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X1 Yoga\OneDrive\Desktop\New folder\"/>
    </mc:Choice>
  </mc:AlternateContent>
  <xr:revisionPtr revIDLastSave="0" documentId="13_ncr:1_{6DA84981-9FE1-4C73-9752-C6B865AC2FAC}" xr6:coauthVersionLast="47" xr6:coauthVersionMax="47" xr10:uidLastSave="{00000000-0000-0000-0000-000000000000}"/>
  <bookViews>
    <workbookView xWindow="57480" yWindow="-120" windowWidth="29040" windowHeight="15720" activeTab="6" xr2:uid="{00000000-000D-0000-FFFF-FFFF00000000}"/>
  </bookViews>
  <sheets>
    <sheet name="Thông tin xe" sheetId="1" r:id="rId1"/>
    <sheet name="Lịch tải" sheetId="21" r:id="rId2"/>
    <sheet name="Phạt nguội" sheetId="22" r:id="rId3"/>
    <sheet name="Hiệu suất sử dụng xe" sheetId="23" r:id="rId4"/>
    <sheet name="Nhân sự" sheetId="24" r:id="rId5"/>
    <sheet name="Tải tăng cường Lấy" sheetId="25" r:id="rId6"/>
    <sheet name="Ontime xe tải" sheetId="26" r:id="rId7"/>
    <sheet name="Giao" sheetId="3" state="hidden" r:id="rId8"/>
    <sheet name="Lấy" sheetId="4" state="hidden" r:id="rId9"/>
    <sheet name="TP. HCM" sheetId="19" state="hidden" r:id="rId10"/>
  </sheets>
  <definedNames>
    <definedName name="_xlnm._FilterDatabase" localSheetId="7" hidden="1">Giao!$A$7:$Z$1003</definedName>
    <definedName name="_xlnm._FilterDatabase" localSheetId="8" hidden="1">Lấy!$A$7:$Z$1003</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3" i="19" l="1"/>
  <c r="R253" i="19"/>
  <c r="S252" i="19"/>
  <c r="R252" i="19"/>
  <c r="S251" i="19"/>
  <c r="R251" i="19"/>
  <c r="S250" i="19"/>
  <c r="R250" i="19"/>
  <c r="S249" i="19"/>
  <c r="R249" i="19"/>
  <c r="S248" i="19"/>
  <c r="R248" i="19"/>
  <c r="S247" i="19"/>
  <c r="R247" i="19"/>
  <c r="S246" i="19"/>
  <c r="R246" i="19"/>
  <c r="S245" i="19"/>
  <c r="R245" i="19"/>
  <c r="S244" i="19"/>
  <c r="R244" i="19"/>
  <c r="S243" i="19"/>
  <c r="R243" i="19"/>
  <c r="S242" i="19"/>
  <c r="R242" i="19"/>
  <c r="S241" i="19"/>
  <c r="R241" i="19"/>
  <c r="S240" i="19"/>
  <c r="R240" i="19"/>
  <c r="S239" i="19"/>
  <c r="R239" i="19"/>
  <c r="S238" i="19"/>
  <c r="R238" i="19"/>
  <c r="S237" i="19"/>
  <c r="R237" i="19"/>
  <c r="S236" i="19"/>
  <c r="R236" i="19"/>
  <c r="S235" i="19"/>
  <c r="R235" i="19"/>
  <c r="S234" i="19"/>
  <c r="R234" i="19"/>
  <c r="S233" i="19"/>
  <c r="R233" i="19"/>
  <c r="S232" i="19"/>
  <c r="R232" i="19"/>
  <c r="S231" i="19"/>
  <c r="R231" i="19"/>
  <c r="S230" i="19"/>
  <c r="R230" i="19"/>
  <c r="S229" i="19"/>
  <c r="R229" i="19"/>
  <c r="S228" i="19"/>
  <c r="R228" i="19"/>
  <c r="S227" i="19"/>
  <c r="R227" i="19"/>
  <c r="S226" i="19"/>
  <c r="R226" i="19"/>
  <c r="S225" i="19"/>
  <c r="R225" i="19"/>
  <c r="S224" i="19"/>
  <c r="R224" i="19"/>
  <c r="S223" i="19"/>
  <c r="R223" i="19"/>
  <c r="S222" i="19"/>
  <c r="R222" i="19"/>
  <c r="S221" i="19"/>
  <c r="R221" i="19"/>
  <c r="S220" i="19"/>
  <c r="R220" i="19"/>
  <c r="S219" i="19"/>
  <c r="R219" i="19"/>
  <c r="S218" i="19"/>
  <c r="R218" i="19"/>
  <c r="S217" i="19"/>
  <c r="R217" i="19"/>
  <c r="S216" i="19"/>
  <c r="R216" i="19"/>
  <c r="S215" i="19"/>
  <c r="R215" i="19"/>
  <c r="S214" i="19"/>
  <c r="R214" i="19"/>
  <c r="S213" i="19"/>
  <c r="R213" i="19"/>
  <c r="S212" i="19"/>
  <c r="R212" i="19"/>
  <c r="S211" i="19"/>
  <c r="R211" i="19"/>
  <c r="S210" i="19"/>
  <c r="R210" i="19"/>
  <c r="S209" i="19"/>
  <c r="R209" i="19"/>
  <c r="S208" i="19"/>
  <c r="R208" i="19"/>
  <c r="S207" i="19"/>
  <c r="R207" i="19"/>
  <c r="S206" i="19"/>
  <c r="R206" i="19"/>
  <c r="S205" i="19"/>
  <c r="R205" i="19"/>
  <c r="S204" i="19"/>
  <c r="R204" i="19"/>
  <c r="S203" i="19"/>
  <c r="R203" i="19"/>
  <c r="S202" i="19"/>
  <c r="R202" i="19"/>
  <c r="S201" i="19"/>
  <c r="R201" i="19"/>
  <c r="S200" i="19"/>
  <c r="R200" i="19"/>
  <c r="S199" i="19"/>
  <c r="R199" i="19"/>
  <c r="S198" i="19"/>
  <c r="R198" i="19"/>
  <c r="S197" i="19"/>
  <c r="R197" i="19"/>
  <c r="S196" i="19"/>
  <c r="R196" i="19"/>
  <c r="S195" i="19"/>
  <c r="R195" i="19"/>
  <c r="S194" i="19"/>
  <c r="R194" i="19"/>
  <c r="S193" i="19"/>
  <c r="R193" i="19"/>
  <c r="S192" i="19"/>
  <c r="R192" i="19"/>
  <c r="S191" i="19"/>
  <c r="R191" i="19"/>
  <c r="S190" i="19"/>
  <c r="R190" i="19"/>
  <c r="S189" i="19"/>
  <c r="R189" i="19"/>
  <c r="S188" i="19"/>
  <c r="R188" i="19"/>
  <c r="S187" i="19"/>
  <c r="R187" i="19"/>
  <c r="S186" i="19"/>
  <c r="R186" i="19"/>
  <c r="S185" i="19"/>
  <c r="R185" i="19"/>
  <c r="S184" i="19"/>
  <c r="R184" i="19"/>
  <c r="S183" i="19"/>
  <c r="R183" i="19"/>
  <c r="S182" i="19"/>
  <c r="R182" i="19"/>
  <c r="S181" i="19"/>
  <c r="R181" i="19"/>
  <c r="S180" i="19"/>
  <c r="R180" i="19"/>
  <c r="S179" i="19"/>
  <c r="R179" i="19"/>
  <c r="S178" i="19"/>
  <c r="R178" i="19"/>
  <c r="S177" i="19"/>
  <c r="R177" i="19"/>
  <c r="S176" i="19"/>
  <c r="R176" i="19"/>
  <c r="S175" i="19"/>
  <c r="R175" i="19"/>
  <c r="S174" i="19"/>
  <c r="R174" i="19"/>
  <c r="S173" i="19"/>
  <c r="R173" i="19"/>
  <c r="S172" i="19"/>
  <c r="R172" i="19"/>
  <c r="S171" i="19"/>
  <c r="R171" i="19"/>
  <c r="S170" i="19"/>
  <c r="R170" i="19"/>
  <c r="S169" i="19"/>
  <c r="R169" i="19"/>
  <c r="S168" i="19"/>
  <c r="R168" i="19"/>
  <c r="S167" i="19"/>
  <c r="R167" i="19"/>
  <c r="S166" i="19"/>
  <c r="R166" i="19"/>
  <c r="S165" i="19"/>
  <c r="R165" i="19"/>
  <c r="S164" i="19"/>
  <c r="R164" i="19"/>
  <c r="S163" i="19"/>
  <c r="R163" i="19"/>
  <c r="S162" i="19"/>
  <c r="R162" i="19"/>
  <c r="S161" i="19"/>
  <c r="R161" i="19"/>
  <c r="S160" i="19"/>
  <c r="R160" i="19"/>
  <c r="S159" i="19"/>
  <c r="R159" i="19"/>
  <c r="S158" i="19"/>
  <c r="R158" i="19"/>
  <c r="S157" i="19"/>
  <c r="R157" i="19"/>
  <c r="S156" i="19"/>
  <c r="R156" i="19"/>
  <c r="S155" i="19"/>
  <c r="R155" i="19"/>
  <c r="S154" i="19"/>
  <c r="R154" i="19"/>
  <c r="S153" i="19"/>
  <c r="R153" i="19"/>
  <c r="S152" i="19"/>
  <c r="R152" i="19"/>
  <c r="S151" i="19"/>
  <c r="R151" i="19"/>
  <c r="S150" i="19"/>
  <c r="R150" i="19"/>
  <c r="S149" i="19"/>
  <c r="R149" i="19"/>
  <c r="S148" i="19"/>
  <c r="R148" i="19"/>
  <c r="S147" i="19"/>
  <c r="R147" i="19"/>
  <c r="S146" i="19"/>
  <c r="R146" i="19"/>
  <c r="S145" i="19"/>
  <c r="R145" i="19"/>
  <c r="S144" i="19"/>
  <c r="R144" i="19"/>
  <c r="S143" i="19"/>
  <c r="R143" i="19"/>
  <c r="S142" i="19"/>
  <c r="R142" i="19"/>
  <c r="S141" i="19"/>
  <c r="R141" i="19"/>
  <c r="S140" i="19"/>
  <c r="R140" i="19"/>
  <c r="S139" i="19"/>
  <c r="R139" i="19"/>
  <c r="S138" i="19"/>
  <c r="R138" i="19"/>
  <c r="S137" i="19"/>
  <c r="R137" i="19"/>
  <c r="S136" i="19"/>
  <c r="R136" i="19"/>
  <c r="S135" i="19"/>
  <c r="R135" i="19"/>
  <c r="S134" i="19"/>
  <c r="R134" i="19"/>
  <c r="A134" i="19"/>
  <c r="A135" i="19" s="1"/>
  <c r="A136" i="19" s="1"/>
  <c r="A137" i="19" s="1"/>
  <c r="A138" i="19" s="1"/>
  <c r="A139" i="19" s="1"/>
  <c r="A140" i="19" s="1"/>
  <c r="A141" i="19" s="1"/>
  <c r="A142" i="19" s="1"/>
  <c r="A143" i="19" s="1"/>
  <c r="A144" i="19" s="1"/>
  <c r="A145" i="19" s="1"/>
  <c r="A146" i="19" s="1"/>
  <c r="A147" i="19" s="1"/>
  <c r="A148" i="19" s="1"/>
  <c r="A149" i="19" s="1"/>
  <c r="A150" i="19" s="1"/>
  <c r="A151" i="19" s="1"/>
  <c r="A152" i="19" s="1"/>
  <c r="A153" i="19" s="1"/>
  <c r="A154" i="19" s="1"/>
  <c r="A155" i="19" s="1"/>
  <c r="A156" i="19" s="1"/>
  <c r="A157" i="19" s="1"/>
  <c r="A158" i="19" s="1"/>
  <c r="A159" i="19" s="1"/>
  <c r="A160" i="19" s="1"/>
  <c r="A161" i="19" s="1"/>
  <c r="A162" i="19" s="1"/>
  <c r="A163" i="19" s="1"/>
  <c r="A164" i="19" s="1"/>
  <c r="A165" i="19" s="1"/>
  <c r="A166" i="19" s="1"/>
  <c r="A167" i="19" s="1"/>
  <c r="A168" i="19" s="1"/>
  <c r="A169" i="19" s="1"/>
  <c r="A170" i="19" s="1"/>
  <c r="A171" i="19" s="1"/>
  <c r="A172" i="19" s="1"/>
  <c r="A173" i="19" s="1"/>
  <c r="A174" i="19" s="1"/>
  <c r="A175" i="19" s="1"/>
  <c r="A176" i="19" s="1"/>
  <c r="A177" i="19" s="1"/>
  <c r="A178" i="19" s="1"/>
  <c r="A179" i="19" s="1"/>
  <c r="A180" i="19" s="1"/>
  <c r="A181" i="19" s="1"/>
  <c r="A182" i="19" s="1"/>
  <c r="A183" i="19" s="1"/>
  <c r="A184" i="19" s="1"/>
  <c r="A185" i="19" s="1"/>
  <c r="A186" i="19" s="1"/>
  <c r="A187" i="19" s="1"/>
  <c r="A188" i="19" s="1"/>
  <c r="A189" i="19" s="1"/>
  <c r="A190" i="19" s="1"/>
  <c r="A191" i="19" s="1"/>
  <c r="A192" i="19" s="1"/>
  <c r="A193" i="19" s="1"/>
  <c r="A194" i="19" s="1"/>
  <c r="A195" i="19" s="1"/>
  <c r="A196" i="19" s="1"/>
  <c r="A197" i="19" s="1"/>
  <c r="A198" i="19" s="1"/>
  <c r="A199" i="19" s="1"/>
  <c r="A200" i="19" s="1"/>
  <c r="A201" i="19" s="1"/>
  <c r="A202" i="19" s="1"/>
  <c r="A203" i="19" s="1"/>
  <c r="A204" i="19" s="1"/>
  <c r="A205" i="19" s="1"/>
  <c r="A206" i="19" s="1"/>
  <c r="A207" i="19" s="1"/>
  <c r="A208" i="19" s="1"/>
  <c r="A209" i="19" s="1"/>
  <c r="A210" i="19" s="1"/>
  <c r="A211" i="19" s="1"/>
  <c r="A212" i="19" s="1"/>
  <c r="A213" i="19" s="1"/>
  <c r="A214" i="19" s="1"/>
  <c r="A215" i="19" s="1"/>
  <c r="A216" i="19" s="1"/>
  <c r="A217" i="19" s="1"/>
  <c r="A218" i="19" s="1"/>
  <c r="A219" i="19" s="1"/>
  <c r="A220" i="19" s="1"/>
  <c r="A221" i="19" s="1"/>
  <c r="A222" i="19" s="1"/>
  <c r="A223" i="19" s="1"/>
  <c r="A224" i="19" s="1"/>
  <c r="A225" i="19" s="1"/>
  <c r="A226" i="19" s="1"/>
  <c r="A227" i="19" s="1"/>
  <c r="A228" i="19" s="1"/>
  <c r="A229" i="19" s="1"/>
  <c r="A230" i="19" s="1"/>
  <c r="A231" i="19" s="1"/>
  <c r="A232" i="19" s="1"/>
  <c r="A233" i="19" s="1"/>
  <c r="A234" i="19" s="1"/>
  <c r="A235" i="19" s="1"/>
  <c r="A236" i="19" s="1"/>
  <c r="A237" i="19" s="1"/>
  <c r="A238" i="19" s="1"/>
  <c r="A239" i="19" s="1"/>
  <c r="A240" i="19" s="1"/>
  <c r="A241" i="19" s="1"/>
  <c r="A242" i="19" s="1"/>
  <c r="A243" i="19" s="1"/>
  <c r="A244" i="19" s="1"/>
  <c r="A245" i="19" s="1"/>
  <c r="A246" i="19" s="1"/>
  <c r="A247" i="19" s="1"/>
  <c r="A248" i="19" s="1"/>
  <c r="A249" i="19" s="1"/>
  <c r="A250" i="19" s="1"/>
  <c r="A251" i="19" s="1"/>
  <c r="A252" i="19" s="1"/>
  <c r="S133" i="19"/>
  <c r="R133" i="19"/>
  <c r="P129" i="19"/>
  <c r="N129" i="19"/>
  <c r="L129" i="19"/>
  <c r="J129" i="19"/>
  <c r="H129" i="19"/>
  <c r="F129" i="19"/>
  <c r="D129" i="19"/>
  <c r="S126" i="19"/>
  <c r="R126" i="19"/>
  <c r="S125" i="19"/>
  <c r="R125" i="19"/>
  <c r="S124" i="19"/>
  <c r="R124" i="19"/>
  <c r="S123" i="19"/>
  <c r="R123" i="19"/>
  <c r="S122" i="19"/>
  <c r="R122" i="19"/>
  <c r="S121" i="19"/>
  <c r="R121" i="19"/>
  <c r="S120" i="19"/>
  <c r="R120" i="19"/>
  <c r="S119" i="19"/>
  <c r="R119" i="19"/>
  <c r="S118" i="19"/>
  <c r="R118" i="19"/>
  <c r="S117" i="19"/>
  <c r="R117" i="19"/>
  <c r="S116" i="19"/>
  <c r="R116" i="19"/>
  <c r="S115" i="19"/>
  <c r="R115" i="19"/>
  <c r="S114" i="19"/>
  <c r="R114" i="19"/>
  <c r="S113" i="19"/>
  <c r="R113" i="19"/>
  <c r="S112" i="19"/>
  <c r="R112" i="19"/>
  <c r="S111" i="19"/>
  <c r="R111" i="19"/>
  <c r="S110" i="19"/>
  <c r="R110" i="19"/>
  <c r="S109" i="19"/>
  <c r="R109" i="19"/>
  <c r="S108" i="19"/>
  <c r="R108" i="19"/>
  <c r="S107" i="19"/>
  <c r="R107" i="19"/>
  <c r="S106" i="19"/>
  <c r="R106" i="19"/>
  <c r="S105" i="19"/>
  <c r="R105" i="19"/>
  <c r="S104" i="19"/>
  <c r="R104" i="19"/>
  <c r="S103" i="19"/>
  <c r="R103" i="19"/>
  <c r="S102" i="19"/>
  <c r="R102" i="19"/>
  <c r="S101" i="19"/>
  <c r="R101" i="19"/>
  <c r="S100" i="19"/>
  <c r="R100" i="19"/>
  <c r="S99" i="19"/>
  <c r="R99" i="19"/>
  <c r="S98" i="19"/>
  <c r="R98" i="19"/>
  <c r="S97" i="19"/>
  <c r="R97" i="19"/>
  <c r="S96" i="19"/>
  <c r="R96" i="19"/>
  <c r="S95" i="19"/>
  <c r="R95" i="19"/>
  <c r="S94" i="19"/>
  <c r="R94" i="19"/>
  <c r="S93" i="19"/>
  <c r="R93" i="19"/>
  <c r="S92" i="19"/>
  <c r="R92" i="19"/>
  <c r="S91" i="19"/>
  <c r="R91" i="19"/>
  <c r="S90" i="19"/>
  <c r="R90" i="19"/>
  <c r="S89" i="19"/>
  <c r="R89" i="19"/>
  <c r="S88" i="19"/>
  <c r="R88" i="19"/>
  <c r="S87" i="19"/>
  <c r="R87" i="19"/>
  <c r="S86" i="19"/>
  <c r="R86" i="19"/>
  <c r="S85" i="19"/>
  <c r="R85" i="19"/>
  <c r="S84" i="19"/>
  <c r="R84" i="19"/>
  <c r="S83" i="19"/>
  <c r="R83" i="19"/>
  <c r="S82" i="19"/>
  <c r="R82" i="19"/>
  <c r="S81" i="19"/>
  <c r="R81" i="19"/>
  <c r="S80" i="19"/>
  <c r="R80" i="19"/>
  <c r="S79" i="19"/>
  <c r="R79" i="19"/>
  <c r="S78" i="19"/>
  <c r="R78" i="19"/>
  <c r="S77" i="19"/>
  <c r="R77" i="19"/>
  <c r="S76" i="19"/>
  <c r="R76" i="19"/>
  <c r="S75" i="19"/>
  <c r="R75" i="19"/>
  <c r="S74" i="19"/>
  <c r="R74" i="19"/>
  <c r="S73" i="19"/>
  <c r="R73" i="19"/>
  <c r="S72" i="19"/>
  <c r="R72" i="19"/>
  <c r="S71" i="19"/>
  <c r="R71" i="19"/>
  <c r="S70" i="19"/>
  <c r="R70" i="19"/>
  <c r="S69" i="19"/>
  <c r="R69" i="19"/>
  <c r="S68" i="19"/>
  <c r="R68" i="19"/>
  <c r="S67" i="19"/>
  <c r="R67" i="19"/>
  <c r="S66" i="19"/>
  <c r="R66" i="19"/>
  <c r="S65" i="19"/>
  <c r="R65" i="19"/>
  <c r="S64" i="19"/>
  <c r="R64" i="19"/>
  <c r="S63" i="19"/>
  <c r="R63" i="19"/>
  <c r="S62" i="19"/>
  <c r="R62" i="19"/>
  <c r="S61" i="19"/>
  <c r="R61" i="19"/>
  <c r="S60" i="19"/>
  <c r="R60" i="19"/>
  <c r="S59" i="19"/>
  <c r="R59" i="19"/>
  <c r="S58" i="19"/>
  <c r="R58" i="19"/>
  <c r="S57" i="19"/>
  <c r="R57" i="19"/>
  <c r="S56" i="19"/>
  <c r="R56" i="19"/>
  <c r="S55" i="19"/>
  <c r="R55" i="19"/>
  <c r="S54" i="19"/>
  <c r="R54" i="19"/>
  <c r="S53" i="19"/>
  <c r="R53" i="19"/>
  <c r="S52" i="19"/>
  <c r="R52" i="19"/>
  <c r="S51" i="19"/>
  <c r="R51" i="19"/>
  <c r="S50" i="19"/>
  <c r="R50" i="19"/>
  <c r="S49" i="19"/>
  <c r="R49" i="19"/>
  <c r="S48" i="19"/>
  <c r="R48" i="19"/>
  <c r="S47" i="19"/>
  <c r="R47" i="19"/>
  <c r="S46" i="19"/>
  <c r="R46" i="19"/>
  <c r="S45" i="19"/>
  <c r="R45" i="19"/>
  <c r="S44" i="19"/>
  <c r="R44" i="19"/>
  <c r="S43" i="19"/>
  <c r="R43" i="19"/>
  <c r="S42" i="19"/>
  <c r="R42" i="19"/>
  <c r="S41" i="19"/>
  <c r="R41" i="19"/>
  <c r="S40" i="19"/>
  <c r="R40" i="19"/>
  <c r="S39" i="19"/>
  <c r="R39" i="19"/>
  <c r="S38" i="19"/>
  <c r="R38" i="19"/>
  <c r="S37" i="19"/>
  <c r="R37" i="19"/>
  <c r="S36" i="19"/>
  <c r="R36" i="19"/>
  <c r="S35" i="19"/>
  <c r="R35" i="19"/>
  <c r="S34" i="19"/>
  <c r="R34" i="19"/>
  <c r="S33" i="19"/>
  <c r="R33" i="19"/>
  <c r="S32" i="19"/>
  <c r="R32" i="19"/>
  <c r="S31" i="19"/>
  <c r="R31" i="19"/>
  <c r="S30" i="19"/>
  <c r="R30" i="19"/>
  <c r="S29" i="19"/>
  <c r="R29" i="19"/>
  <c r="S28" i="19"/>
  <c r="R28" i="19"/>
  <c r="S27" i="19"/>
  <c r="R27" i="19"/>
  <c r="S26" i="19"/>
  <c r="R26" i="19"/>
  <c r="S25" i="19"/>
  <c r="R25" i="19"/>
  <c r="S24" i="19"/>
  <c r="R24" i="19"/>
  <c r="S23" i="19"/>
  <c r="R23" i="19"/>
  <c r="S22" i="19"/>
  <c r="R22" i="19"/>
  <c r="S21" i="19"/>
  <c r="R21" i="19"/>
  <c r="S20" i="19"/>
  <c r="R20" i="19"/>
  <c r="S19" i="19"/>
  <c r="R19" i="19"/>
  <c r="S18" i="19"/>
  <c r="R18" i="19"/>
  <c r="S17" i="19"/>
  <c r="R17" i="19"/>
  <c r="S16" i="19"/>
  <c r="R16" i="19"/>
  <c r="S15" i="19"/>
  <c r="R15" i="19"/>
  <c r="S14" i="19"/>
  <c r="R14" i="19"/>
  <c r="S13" i="19"/>
  <c r="R13" i="19"/>
  <c r="S12" i="19"/>
  <c r="R12" i="19"/>
  <c r="S11" i="19"/>
  <c r="R11" i="19"/>
  <c r="S10" i="19"/>
  <c r="R10" i="19"/>
  <c r="S9" i="19"/>
  <c r="R9" i="19"/>
  <c r="S8" i="19"/>
  <c r="R8" i="19"/>
  <c r="S7" i="19"/>
  <c r="R7" i="19"/>
  <c r="S6" i="19"/>
  <c r="R6" i="19"/>
  <c r="A6" i="19"/>
  <c r="A7" i="19" s="1"/>
  <c r="A8" i="19" s="1"/>
  <c r="A9" i="19" s="1"/>
  <c r="A10" i="19" s="1"/>
  <c r="A11" i="19" s="1"/>
  <c r="A12" i="19" s="1"/>
  <c r="A13" i="19" s="1"/>
  <c r="A14" i="19" s="1"/>
  <c r="A15" i="19" s="1"/>
  <c r="A16" i="19" s="1"/>
  <c r="A17" i="19" s="1"/>
  <c r="A18" i="19" s="1"/>
  <c r="A19" i="19" s="1"/>
  <c r="A20" i="19" s="1"/>
  <c r="A21" i="19" s="1"/>
  <c r="A22" i="19" s="1"/>
  <c r="A23" i="19" s="1"/>
  <c r="A24" i="19" s="1"/>
  <c r="A25" i="19" s="1"/>
  <c r="A26" i="19" s="1"/>
  <c r="A27" i="19" s="1"/>
  <c r="A28" i="19" s="1"/>
  <c r="A29" i="19" s="1"/>
  <c r="A30" i="19" s="1"/>
  <c r="A31" i="19" s="1"/>
  <c r="A32" i="19" s="1"/>
  <c r="A33" i="19" s="1"/>
  <c r="A34" i="19" s="1"/>
  <c r="A35" i="19" s="1"/>
  <c r="A36" i="19" s="1"/>
  <c r="A37" i="19" s="1"/>
  <c r="A38" i="19" s="1"/>
  <c r="A39" i="19" s="1"/>
  <c r="A40" i="19" s="1"/>
  <c r="A41" i="19" s="1"/>
  <c r="A42" i="19" s="1"/>
  <c r="A43" i="19" s="1"/>
  <c r="A44" i="19" s="1"/>
  <c r="A45" i="19" s="1"/>
  <c r="A46" i="19" s="1"/>
  <c r="A47" i="19" s="1"/>
  <c r="A48" i="19" s="1"/>
  <c r="A49" i="19" s="1"/>
  <c r="A50" i="19" s="1"/>
  <c r="A51" i="19" s="1"/>
  <c r="A52" i="19" s="1"/>
  <c r="A53" i="19" s="1"/>
  <c r="A54" i="19" s="1"/>
  <c r="A55" i="19" s="1"/>
  <c r="A56" i="19" s="1"/>
  <c r="A57" i="19" s="1"/>
  <c r="A58" i="19" s="1"/>
  <c r="A59" i="19" s="1"/>
  <c r="A60" i="19" s="1"/>
  <c r="A61" i="19" s="1"/>
  <c r="A62" i="19" s="1"/>
  <c r="A63" i="19" s="1"/>
  <c r="A64" i="19" s="1"/>
  <c r="A65" i="19" s="1"/>
  <c r="A66" i="19" s="1"/>
  <c r="A67" i="19" s="1"/>
  <c r="A68" i="19" s="1"/>
  <c r="A69" i="19" s="1"/>
  <c r="A70" i="19" s="1"/>
  <c r="A71" i="19" s="1"/>
  <c r="A72" i="19" s="1"/>
  <c r="A73" i="19" s="1"/>
  <c r="A74" i="19" s="1"/>
  <c r="A75" i="19" s="1"/>
  <c r="A76" i="19" s="1"/>
  <c r="A77" i="19" s="1"/>
  <c r="A78" i="19" s="1"/>
  <c r="A79" i="19" s="1"/>
  <c r="A80" i="19" s="1"/>
  <c r="A81" i="19" s="1"/>
  <c r="A82" i="19" s="1"/>
  <c r="A83" i="19" s="1"/>
  <c r="A84" i="19" s="1"/>
  <c r="A85" i="19" s="1"/>
  <c r="A86" i="19" s="1"/>
  <c r="A87" i="19" s="1"/>
  <c r="A88" i="19" s="1"/>
  <c r="A89" i="19" s="1"/>
  <c r="A90" i="19" s="1"/>
  <c r="A91" i="19" s="1"/>
  <c r="A92" i="19" s="1"/>
  <c r="A93" i="19" s="1"/>
  <c r="A94" i="19" s="1"/>
  <c r="A95" i="19" s="1"/>
  <c r="A96" i="19" s="1"/>
  <c r="A97" i="19" s="1"/>
  <c r="A98" i="19" s="1"/>
  <c r="A99" i="19" s="1"/>
  <c r="A100" i="19" s="1"/>
  <c r="A101" i="19" s="1"/>
  <c r="A102" i="19" s="1"/>
  <c r="A103" i="19" s="1"/>
  <c r="A104" i="19" s="1"/>
  <c r="A105" i="19" s="1"/>
  <c r="A106" i="19" s="1"/>
  <c r="A107" i="19" s="1"/>
  <c r="A108" i="19" s="1"/>
  <c r="A109" i="19" s="1"/>
  <c r="A110" i="19" s="1"/>
  <c r="A111" i="19" s="1"/>
  <c r="A112" i="19" s="1"/>
  <c r="A113" i="19" s="1"/>
  <c r="A114" i="19" s="1"/>
  <c r="A115" i="19" s="1"/>
  <c r="A116" i="19" s="1"/>
  <c r="A117" i="19" s="1"/>
  <c r="A118" i="19" s="1"/>
  <c r="A119" i="19" s="1"/>
  <c r="A120" i="19" s="1"/>
  <c r="A121" i="19" s="1"/>
  <c r="A122" i="19" s="1"/>
  <c r="A123" i="19" s="1"/>
  <c r="A124" i="19" s="1"/>
  <c r="A125" i="19" s="1"/>
  <c r="S5" i="19"/>
  <c r="R5" i="19"/>
  <c r="P1" i="19"/>
  <c r="N1" i="19"/>
  <c r="L1" i="19"/>
  <c r="J1" i="19"/>
  <c r="H1" i="19"/>
  <c r="F1" i="19"/>
  <c r="D1" i="19"/>
  <c r="W1003" i="4" a="1"/>
  <c r="W1003" i="4" s="1"/>
  <c r="X1003" i="4" s="1"/>
  <c r="V1003" i="4" a="1"/>
  <c r="V1003" i="4" s="1"/>
  <c r="U1003" i="4"/>
  <c r="T1003" i="4"/>
  <c r="A1003" i="4"/>
  <c r="W1002" i="4" a="1"/>
  <c r="W1002" i="4" s="1"/>
  <c r="X1002" i="4" s="1"/>
  <c r="V1002" i="4" a="1"/>
  <c r="V1002" i="4" s="1"/>
  <c r="U1002" i="4"/>
  <c r="T1002" i="4"/>
  <c r="A1002" i="4"/>
  <c r="W1001" i="4" a="1"/>
  <c r="W1001" i="4" s="1"/>
  <c r="X1001" i="4" s="1"/>
  <c r="V1001" i="4" a="1"/>
  <c r="V1001" i="4" s="1"/>
  <c r="U1001" i="4"/>
  <c r="T1001" i="4"/>
  <c r="A1001" i="4"/>
  <c r="W1000" i="4" a="1"/>
  <c r="W1000" i="4" s="1"/>
  <c r="X1000" i="4" s="1"/>
  <c r="V1000" i="4" a="1"/>
  <c r="V1000" i="4" s="1"/>
  <c r="U1000" i="4"/>
  <c r="T1000" i="4"/>
  <c r="A1000" i="4"/>
  <c r="W999" i="4" a="1"/>
  <c r="W999" i="4" s="1"/>
  <c r="X999" i="4" s="1"/>
  <c r="V999" i="4" a="1"/>
  <c r="V999" i="4" s="1"/>
  <c r="U999" i="4"/>
  <c r="T999" i="4"/>
  <c r="A999" i="4"/>
  <c r="W998" i="4" a="1"/>
  <c r="W998" i="4" s="1"/>
  <c r="X998" i="4" s="1"/>
  <c r="V998" i="4" a="1"/>
  <c r="V998" i="4" s="1"/>
  <c r="U998" i="4"/>
  <c r="T998" i="4"/>
  <c r="A998" i="4"/>
  <c r="W997" i="4" a="1"/>
  <c r="W997" i="4" s="1"/>
  <c r="X997" i="4" s="1"/>
  <c r="V997" i="4" a="1"/>
  <c r="V997" i="4" s="1"/>
  <c r="U997" i="4"/>
  <c r="T997" i="4"/>
  <c r="A997" i="4"/>
  <c r="W996" i="4" a="1"/>
  <c r="W996" i="4" s="1"/>
  <c r="X996" i="4" s="1"/>
  <c r="V996" i="4" a="1"/>
  <c r="V996" i="4" s="1"/>
  <c r="U996" i="4"/>
  <c r="T996" i="4"/>
  <c r="A996" i="4"/>
  <c r="W995" i="4" a="1"/>
  <c r="W995" i="4" s="1"/>
  <c r="X995" i="4" s="1"/>
  <c r="V995" i="4" a="1"/>
  <c r="V995" i="4" s="1"/>
  <c r="U995" i="4"/>
  <c r="T995" i="4"/>
  <c r="A995" i="4"/>
  <c r="W994" i="4" a="1"/>
  <c r="W994" i="4" s="1"/>
  <c r="X994" i="4" s="1"/>
  <c r="V994" i="4" a="1"/>
  <c r="V994" i="4" s="1"/>
  <c r="U994" i="4"/>
  <c r="T994" i="4"/>
  <c r="A994" i="4"/>
  <c r="W993" i="4" a="1"/>
  <c r="W993" i="4" s="1"/>
  <c r="X993" i="4" s="1"/>
  <c r="V993" i="4" a="1"/>
  <c r="V993" i="4" s="1"/>
  <c r="U993" i="4"/>
  <c r="T993" i="4"/>
  <c r="A993" i="4"/>
  <c r="W992" i="4" a="1"/>
  <c r="W992" i="4" s="1"/>
  <c r="X992" i="4" s="1"/>
  <c r="V992" i="4" a="1"/>
  <c r="V992" i="4" s="1"/>
  <c r="U992" i="4"/>
  <c r="T992" i="4"/>
  <c r="A992" i="4"/>
  <c r="W991" i="4" a="1"/>
  <c r="W991" i="4" s="1"/>
  <c r="X991" i="4" s="1"/>
  <c r="V991" i="4" a="1"/>
  <c r="V991" i="4" s="1"/>
  <c r="U991" i="4"/>
  <c r="T991" i="4"/>
  <c r="A991" i="4"/>
  <c r="W990" i="4" a="1"/>
  <c r="W990" i="4" s="1"/>
  <c r="X990" i="4" s="1"/>
  <c r="V990" i="4" a="1"/>
  <c r="V990" i="4" s="1"/>
  <c r="U990" i="4"/>
  <c r="T990" i="4"/>
  <c r="A990" i="4"/>
  <c r="W989" i="4" a="1"/>
  <c r="W989" i="4" s="1"/>
  <c r="X989" i="4" s="1"/>
  <c r="V989" i="4" a="1"/>
  <c r="V989" i="4" s="1"/>
  <c r="U989" i="4"/>
  <c r="T989" i="4"/>
  <c r="A989" i="4"/>
  <c r="W988" i="4" a="1"/>
  <c r="W988" i="4" s="1"/>
  <c r="X988" i="4" s="1"/>
  <c r="V988" i="4" a="1"/>
  <c r="V988" i="4" s="1"/>
  <c r="U988" i="4"/>
  <c r="T988" i="4"/>
  <c r="A988" i="4"/>
  <c r="W987" i="4" a="1"/>
  <c r="W987" i="4" s="1"/>
  <c r="X987" i="4" s="1"/>
  <c r="V987" i="4" a="1"/>
  <c r="V987" i="4" s="1"/>
  <c r="U987" i="4"/>
  <c r="T987" i="4"/>
  <c r="A987" i="4"/>
  <c r="W986" i="4" a="1"/>
  <c r="W986" i="4" s="1"/>
  <c r="X986" i="4" s="1"/>
  <c r="V986" i="4" a="1"/>
  <c r="V986" i="4" s="1"/>
  <c r="U986" i="4"/>
  <c r="T986" i="4"/>
  <c r="A986" i="4"/>
  <c r="W985" i="4" a="1"/>
  <c r="W985" i="4" s="1"/>
  <c r="X985" i="4" s="1"/>
  <c r="V985" i="4" a="1"/>
  <c r="V985" i="4" s="1"/>
  <c r="U985" i="4"/>
  <c r="T985" i="4"/>
  <c r="A985" i="4"/>
  <c r="W984" i="4" a="1"/>
  <c r="W984" i="4" s="1"/>
  <c r="X984" i="4" s="1"/>
  <c r="V984" i="4" a="1"/>
  <c r="V984" i="4" s="1"/>
  <c r="U984" i="4"/>
  <c r="T984" i="4"/>
  <c r="A984" i="4"/>
  <c r="W983" i="4" a="1"/>
  <c r="W983" i="4" s="1"/>
  <c r="X983" i="4" s="1"/>
  <c r="V983" i="4" a="1"/>
  <c r="V983" i="4" s="1"/>
  <c r="U983" i="4"/>
  <c r="T983" i="4"/>
  <c r="A983" i="4"/>
  <c r="W982" i="4" a="1"/>
  <c r="W982" i="4" s="1"/>
  <c r="X982" i="4" s="1"/>
  <c r="V982" i="4" a="1"/>
  <c r="V982" i="4" s="1"/>
  <c r="U982" i="4"/>
  <c r="T982" i="4"/>
  <c r="A982" i="4"/>
  <c r="W981" i="4" a="1"/>
  <c r="W981" i="4" s="1"/>
  <c r="X981" i="4" s="1"/>
  <c r="V981" i="4" a="1"/>
  <c r="V981" i="4" s="1"/>
  <c r="U981" i="4"/>
  <c r="T981" i="4"/>
  <c r="A981" i="4"/>
  <c r="W980" i="4" a="1"/>
  <c r="W980" i="4" s="1"/>
  <c r="X980" i="4" s="1"/>
  <c r="V980" i="4" a="1"/>
  <c r="V980" i="4" s="1"/>
  <c r="U980" i="4"/>
  <c r="T980" i="4"/>
  <c r="A980" i="4"/>
  <c r="W979" i="4" a="1"/>
  <c r="W979" i="4" s="1"/>
  <c r="X979" i="4" s="1"/>
  <c r="V979" i="4" a="1"/>
  <c r="V979" i="4" s="1"/>
  <c r="U979" i="4"/>
  <c r="T979" i="4"/>
  <c r="A979" i="4"/>
  <c r="W978" i="4" a="1"/>
  <c r="W978" i="4" s="1"/>
  <c r="X978" i="4" s="1"/>
  <c r="V978" i="4" a="1"/>
  <c r="V978" i="4" s="1"/>
  <c r="U978" i="4"/>
  <c r="T978" i="4"/>
  <c r="A978" i="4"/>
  <c r="W977" i="4" a="1"/>
  <c r="W977" i="4" s="1"/>
  <c r="X977" i="4" s="1"/>
  <c r="V977" i="4" a="1"/>
  <c r="V977" i="4" s="1"/>
  <c r="U977" i="4"/>
  <c r="T977" i="4"/>
  <c r="A977" i="4"/>
  <c r="W976" i="4" a="1"/>
  <c r="W976" i="4" s="1"/>
  <c r="X976" i="4" s="1"/>
  <c r="V976" i="4" a="1"/>
  <c r="V976" i="4" s="1"/>
  <c r="U976" i="4"/>
  <c r="T976" i="4"/>
  <c r="A976" i="4"/>
  <c r="W975" i="4" a="1"/>
  <c r="W975" i="4" s="1"/>
  <c r="X975" i="4" s="1"/>
  <c r="V975" i="4" a="1"/>
  <c r="V975" i="4" s="1"/>
  <c r="U975" i="4"/>
  <c r="T975" i="4"/>
  <c r="A975" i="4"/>
  <c r="W974" i="4" a="1"/>
  <c r="W974" i="4" s="1"/>
  <c r="X974" i="4" s="1"/>
  <c r="V974" i="4" a="1"/>
  <c r="V974" i="4" s="1"/>
  <c r="U974" i="4"/>
  <c r="T974" i="4"/>
  <c r="A974" i="4"/>
  <c r="W973" i="4" a="1"/>
  <c r="W973" i="4" s="1"/>
  <c r="X973" i="4" s="1"/>
  <c r="V973" i="4" a="1"/>
  <c r="V973" i="4" s="1"/>
  <c r="U973" i="4"/>
  <c r="T973" i="4"/>
  <c r="A973" i="4"/>
  <c r="W972" i="4" a="1"/>
  <c r="W972" i="4" s="1"/>
  <c r="X972" i="4" s="1"/>
  <c r="V972" i="4" a="1"/>
  <c r="V972" i="4" s="1"/>
  <c r="U972" i="4"/>
  <c r="T972" i="4"/>
  <c r="A972" i="4"/>
  <c r="W971" i="4" a="1"/>
  <c r="W971" i="4" s="1"/>
  <c r="X971" i="4" s="1"/>
  <c r="V971" i="4" a="1"/>
  <c r="V971" i="4" s="1"/>
  <c r="U971" i="4"/>
  <c r="T971" i="4"/>
  <c r="A971" i="4"/>
  <c r="W970" i="4" a="1"/>
  <c r="W970" i="4" s="1"/>
  <c r="X970" i="4" s="1"/>
  <c r="V970" i="4" a="1"/>
  <c r="V970" i="4" s="1"/>
  <c r="U970" i="4"/>
  <c r="T970" i="4"/>
  <c r="A970" i="4"/>
  <c r="W969" i="4" a="1"/>
  <c r="W969" i="4" s="1"/>
  <c r="X969" i="4" s="1"/>
  <c r="V969" i="4" a="1"/>
  <c r="V969" i="4" s="1"/>
  <c r="U969" i="4"/>
  <c r="T969" i="4"/>
  <c r="A969" i="4"/>
  <c r="W968" i="4" a="1"/>
  <c r="W968" i="4" s="1"/>
  <c r="X968" i="4" s="1"/>
  <c r="V968" i="4" a="1"/>
  <c r="V968" i="4" s="1"/>
  <c r="U968" i="4"/>
  <c r="T968" i="4"/>
  <c r="A968" i="4"/>
  <c r="W967" i="4" a="1"/>
  <c r="W967" i="4" s="1"/>
  <c r="X967" i="4" s="1"/>
  <c r="V967" i="4" a="1"/>
  <c r="V967" i="4" s="1"/>
  <c r="U967" i="4"/>
  <c r="T967" i="4"/>
  <c r="A967" i="4"/>
  <c r="W966" i="4" a="1"/>
  <c r="W966" i="4" s="1"/>
  <c r="X966" i="4" s="1"/>
  <c r="V966" i="4" a="1"/>
  <c r="V966" i="4" s="1"/>
  <c r="U966" i="4"/>
  <c r="T966" i="4"/>
  <c r="A966" i="4"/>
  <c r="W965" i="4" a="1"/>
  <c r="W965" i="4" s="1"/>
  <c r="X965" i="4" s="1"/>
  <c r="V965" i="4" a="1"/>
  <c r="V965" i="4" s="1"/>
  <c r="U965" i="4"/>
  <c r="T965" i="4"/>
  <c r="A965" i="4"/>
  <c r="W964" i="4" a="1"/>
  <c r="W964" i="4" s="1"/>
  <c r="X964" i="4" s="1"/>
  <c r="V964" i="4" a="1"/>
  <c r="V964" i="4" s="1"/>
  <c r="U964" i="4"/>
  <c r="T964" i="4"/>
  <c r="A964" i="4"/>
  <c r="W963" i="4" a="1"/>
  <c r="W963" i="4" s="1"/>
  <c r="X963" i="4" s="1"/>
  <c r="V963" i="4" a="1"/>
  <c r="V963" i="4" s="1"/>
  <c r="U963" i="4"/>
  <c r="T963" i="4"/>
  <c r="A963" i="4"/>
  <c r="W962" i="4" a="1"/>
  <c r="W962" i="4" s="1"/>
  <c r="X962" i="4" s="1"/>
  <c r="V962" i="4" a="1"/>
  <c r="V962" i="4" s="1"/>
  <c r="U962" i="4"/>
  <c r="T962" i="4"/>
  <c r="A962" i="4"/>
  <c r="W961" i="4" a="1"/>
  <c r="W961" i="4" s="1"/>
  <c r="X961" i="4" s="1"/>
  <c r="V961" i="4" a="1"/>
  <c r="V961" i="4" s="1"/>
  <c r="U961" i="4"/>
  <c r="T961" i="4"/>
  <c r="A961" i="4"/>
  <c r="W960" i="4" a="1"/>
  <c r="W960" i="4" s="1"/>
  <c r="X960" i="4" s="1"/>
  <c r="V960" i="4" a="1"/>
  <c r="V960" i="4" s="1"/>
  <c r="U960" i="4"/>
  <c r="T960" i="4"/>
  <c r="A960" i="4"/>
  <c r="W959" i="4" a="1"/>
  <c r="W959" i="4" s="1"/>
  <c r="X959" i="4" s="1"/>
  <c r="V959" i="4" a="1"/>
  <c r="V959" i="4" s="1"/>
  <c r="U959" i="4"/>
  <c r="T959" i="4"/>
  <c r="A959" i="4"/>
  <c r="W958" i="4" a="1"/>
  <c r="W958" i="4" s="1"/>
  <c r="X958" i="4" s="1"/>
  <c r="V958" i="4" a="1"/>
  <c r="V958" i="4" s="1"/>
  <c r="U958" i="4"/>
  <c r="T958" i="4"/>
  <c r="A958" i="4"/>
  <c r="W957" i="4" a="1"/>
  <c r="W957" i="4" s="1"/>
  <c r="X957" i="4" s="1"/>
  <c r="V957" i="4" a="1"/>
  <c r="V957" i="4" s="1"/>
  <c r="U957" i="4"/>
  <c r="T957" i="4"/>
  <c r="A957" i="4"/>
  <c r="W956" i="4" a="1"/>
  <c r="W956" i="4" s="1"/>
  <c r="X956" i="4" s="1"/>
  <c r="V956" i="4" a="1"/>
  <c r="V956" i="4" s="1"/>
  <c r="U956" i="4"/>
  <c r="T956" i="4"/>
  <c r="A956" i="4"/>
  <c r="W955" i="4" a="1"/>
  <c r="W955" i="4" s="1"/>
  <c r="X955" i="4" s="1"/>
  <c r="V955" i="4" a="1"/>
  <c r="V955" i="4" s="1"/>
  <c r="U955" i="4"/>
  <c r="T955" i="4"/>
  <c r="A955" i="4"/>
  <c r="W954" i="4" a="1"/>
  <c r="W954" i="4" s="1"/>
  <c r="X954" i="4" s="1"/>
  <c r="V954" i="4" a="1"/>
  <c r="V954" i="4" s="1"/>
  <c r="U954" i="4"/>
  <c r="T954" i="4"/>
  <c r="A954" i="4"/>
  <c r="W953" i="4" a="1"/>
  <c r="W953" i="4" s="1"/>
  <c r="X953" i="4" s="1"/>
  <c r="V953" i="4" a="1"/>
  <c r="V953" i="4" s="1"/>
  <c r="U953" i="4"/>
  <c r="T953" i="4"/>
  <c r="A953" i="4"/>
  <c r="W952" i="4" a="1"/>
  <c r="W952" i="4" s="1"/>
  <c r="X952" i="4" s="1"/>
  <c r="V952" i="4" a="1"/>
  <c r="V952" i="4" s="1"/>
  <c r="U952" i="4"/>
  <c r="T952" i="4"/>
  <c r="A952" i="4"/>
  <c r="W951" i="4" a="1"/>
  <c r="W951" i="4" s="1"/>
  <c r="X951" i="4" s="1"/>
  <c r="V951" i="4" a="1"/>
  <c r="V951" i="4" s="1"/>
  <c r="U951" i="4"/>
  <c r="T951" i="4"/>
  <c r="A951" i="4"/>
  <c r="W950" i="4" a="1"/>
  <c r="W950" i="4" s="1"/>
  <c r="X950" i="4" s="1"/>
  <c r="V950" i="4" a="1"/>
  <c r="V950" i="4" s="1"/>
  <c r="U950" i="4"/>
  <c r="T950" i="4"/>
  <c r="A950" i="4"/>
  <c r="W949" i="4" a="1"/>
  <c r="W949" i="4" s="1"/>
  <c r="X949" i="4" s="1"/>
  <c r="V949" i="4" a="1"/>
  <c r="V949" i="4" s="1"/>
  <c r="U949" i="4"/>
  <c r="T949" i="4"/>
  <c r="A949" i="4"/>
  <c r="W948" i="4" a="1"/>
  <c r="W948" i="4" s="1"/>
  <c r="X948" i="4" s="1"/>
  <c r="V948" i="4" a="1"/>
  <c r="V948" i="4" s="1"/>
  <c r="U948" i="4"/>
  <c r="T948" i="4"/>
  <c r="A948" i="4"/>
  <c r="W947" i="4" a="1"/>
  <c r="W947" i="4" s="1"/>
  <c r="X947" i="4" s="1"/>
  <c r="V947" i="4" a="1"/>
  <c r="V947" i="4" s="1"/>
  <c r="U947" i="4"/>
  <c r="T947" i="4"/>
  <c r="A947" i="4"/>
  <c r="W946" i="4" a="1"/>
  <c r="W946" i="4" s="1"/>
  <c r="X946" i="4" s="1"/>
  <c r="V946" i="4" a="1"/>
  <c r="V946" i="4" s="1"/>
  <c r="U946" i="4"/>
  <c r="T946" i="4"/>
  <c r="A946" i="4"/>
  <c r="W945" i="4" a="1"/>
  <c r="W945" i="4" s="1"/>
  <c r="X945" i="4" s="1"/>
  <c r="V945" i="4" a="1"/>
  <c r="V945" i="4" s="1"/>
  <c r="U945" i="4"/>
  <c r="T945" i="4"/>
  <c r="A945" i="4"/>
  <c r="W944" i="4" a="1"/>
  <c r="W944" i="4" s="1"/>
  <c r="X944" i="4" s="1"/>
  <c r="V944" i="4" a="1"/>
  <c r="V944" i="4" s="1"/>
  <c r="U944" i="4"/>
  <c r="T944" i="4"/>
  <c r="A944" i="4"/>
  <c r="W943" i="4" a="1"/>
  <c r="W943" i="4" s="1"/>
  <c r="X943" i="4" s="1"/>
  <c r="V943" i="4" a="1"/>
  <c r="V943" i="4" s="1"/>
  <c r="U943" i="4"/>
  <c r="T943" i="4"/>
  <c r="A943" i="4"/>
  <c r="W942" i="4" a="1"/>
  <c r="W942" i="4" s="1"/>
  <c r="X942" i="4" s="1"/>
  <c r="V942" i="4" a="1"/>
  <c r="V942" i="4" s="1"/>
  <c r="U942" i="4"/>
  <c r="T942" i="4"/>
  <c r="A942" i="4"/>
  <c r="W941" i="4" a="1"/>
  <c r="W941" i="4" s="1"/>
  <c r="X941" i="4" s="1"/>
  <c r="V941" i="4" a="1"/>
  <c r="V941" i="4" s="1"/>
  <c r="U941" i="4"/>
  <c r="T941" i="4"/>
  <c r="A941" i="4"/>
  <c r="W940" i="4" a="1"/>
  <c r="W940" i="4" s="1"/>
  <c r="X940" i="4" s="1"/>
  <c r="V940" i="4" a="1"/>
  <c r="V940" i="4" s="1"/>
  <c r="U940" i="4"/>
  <c r="T940" i="4"/>
  <c r="A940" i="4"/>
  <c r="W939" i="4" a="1"/>
  <c r="W939" i="4" s="1"/>
  <c r="X939" i="4" s="1"/>
  <c r="V939" i="4" a="1"/>
  <c r="V939" i="4" s="1"/>
  <c r="U939" i="4"/>
  <c r="T939" i="4"/>
  <c r="A939" i="4"/>
  <c r="W938" i="4" a="1"/>
  <c r="W938" i="4" s="1"/>
  <c r="X938" i="4" s="1"/>
  <c r="V938" i="4" a="1"/>
  <c r="V938" i="4" s="1"/>
  <c r="U938" i="4"/>
  <c r="T938" i="4"/>
  <c r="A938" i="4"/>
  <c r="W937" i="4" a="1"/>
  <c r="W937" i="4" s="1"/>
  <c r="X937" i="4" s="1"/>
  <c r="V937" i="4" a="1"/>
  <c r="V937" i="4" s="1"/>
  <c r="U937" i="4"/>
  <c r="T937" i="4"/>
  <c r="A937" i="4"/>
  <c r="W936" i="4" a="1"/>
  <c r="W936" i="4" s="1"/>
  <c r="X936" i="4" s="1"/>
  <c r="V936" i="4" a="1"/>
  <c r="V936" i="4" s="1"/>
  <c r="U936" i="4"/>
  <c r="T936" i="4"/>
  <c r="A936" i="4"/>
  <c r="W935" i="4" a="1"/>
  <c r="W935" i="4" s="1"/>
  <c r="X935" i="4" s="1"/>
  <c r="V935" i="4" a="1"/>
  <c r="V935" i="4" s="1"/>
  <c r="U935" i="4"/>
  <c r="T935" i="4"/>
  <c r="A935" i="4"/>
  <c r="W934" i="4" a="1"/>
  <c r="W934" i="4" s="1"/>
  <c r="X934" i="4" s="1"/>
  <c r="V934" i="4" a="1"/>
  <c r="V934" i="4" s="1"/>
  <c r="U934" i="4"/>
  <c r="T934" i="4"/>
  <c r="A934" i="4"/>
  <c r="W933" i="4" a="1"/>
  <c r="W933" i="4" s="1"/>
  <c r="X933" i="4" s="1"/>
  <c r="V933" i="4" a="1"/>
  <c r="V933" i="4" s="1"/>
  <c r="U933" i="4"/>
  <c r="T933" i="4"/>
  <c r="A933" i="4"/>
  <c r="W932" i="4" a="1"/>
  <c r="W932" i="4" s="1"/>
  <c r="X932" i="4" s="1"/>
  <c r="V932" i="4" a="1"/>
  <c r="V932" i="4" s="1"/>
  <c r="U932" i="4"/>
  <c r="T932" i="4"/>
  <c r="A932" i="4"/>
  <c r="W931" i="4" a="1"/>
  <c r="W931" i="4" s="1"/>
  <c r="X931" i="4" s="1"/>
  <c r="V931" i="4" a="1"/>
  <c r="V931" i="4" s="1"/>
  <c r="U931" i="4"/>
  <c r="T931" i="4"/>
  <c r="A931" i="4"/>
  <c r="W930" i="4" a="1"/>
  <c r="W930" i="4" s="1"/>
  <c r="X930" i="4" s="1"/>
  <c r="V930" i="4" a="1"/>
  <c r="V930" i="4" s="1"/>
  <c r="U930" i="4"/>
  <c r="T930" i="4"/>
  <c r="A930" i="4"/>
  <c r="W929" i="4" a="1"/>
  <c r="W929" i="4" s="1"/>
  <c r="X929" i="4" s="1"/>
  <c r="V929" i="4" a="1"/>
  <c r="V929" i="4" s="1"/>
  <c r="U929" i="4"/>
  <c r="T929" i="4"/>
  <c r="A929" i="4"/>
  <c r="W928" i="4" a="1"/>
  <c r="W928" i="4" s="1"/>
  <c r="X928" i="4" s="1"/>
  <c r="V928" i="4" a="1"/>
  <c r="V928" i="4" s="1"/>
  <c r="U928" i="4"/>
  <c r="T928" i="4"/>
  <c r="A928" i="4"/>
  <c r="W927" i="4" a="1"/>
  <c r="W927" i="4" s="1"/>
  <c r="X927" i="4" s="1"/>
  <c r="V927" i="4" a="1"/>
  <c r="V927" i="4" s="1"/>
  <c r="U927" i="4"/>
  <c r="T927" i="4"/>
  <c r="A927" i="4"/>
  <c r="W926" i="4" a="1"/>
  <c r="W926" i="4" s="1"/>
  <c r="X926" i="4" s="1"/>
  <c r="V926" i="4" a="1"/>
  <c r="V926" i="4" s="1"/>
  <c r="U926" i="4"/>
  <c r="T926" i="4"/>
  <c r="A926" i="4"/>
  <c r="W925" i="4" a="1"/>
  <c r="W925" i="4" s="1"/>
  <c r="X925" i="4" s="1"/>
  <c r="V925" i="4" a="1"/>
  <c r="V925" i="4" s="1"/>
  <c r="U925" i="4"/>
  <c r="T925" i="4"/>
  <c r="A925" i="4"/>
  <c r="W924" i="4" a="1"/>
  <c r="W924" i="4" s="1"/>
  <c r="X924" i="4" s="1"/>
  <c r="V924" i="4" a="1"/>
  <c r="V924" i="4" s="1"/>
  <c r="U924" i="4"/>
  <c r="T924" i="4"/>
  <c r="A924" i="4"/>
  <c r="W923" i="4" a="1"/>
  <c r="W923" i="4" s="1"/>
  <c r="X923" i="4" s="1"/>
  <c r="V923" i="4" a="1"/>
  <c r="V923" i="4" s="1"/>
  <c r="U923" i="4"/>
  <c r="T923" i="4"/>
  <c r="A923" i="4"/>
  <c r="W922" i="4" a="1"/>
  <c r="W922" i="4" s="1"/>
  <c r="X922" i="4" s="1"/>
  <c r="V922" i="4" a="1"/>
  <c r="V922" i="4" s="1"/>
  <c r="U922" i="4"/>
  <c r="T922" i="4"/>
  <c r="A922" i="4"/>
  <c r="W921" i="4" a="1"/>
  <c r="W921" i="4" s="1"/>
  <c r="X921" i="4" s="1"/>
  <c r="V921" i="4" a="1"/>
  <c r="V921" i="4" s="1"/>
  <c r="U921" i="4"/>
  <c r="T921" i="4"/>
  <c r="A921" i="4"/>
  <c r="W920" i="4" a="1"/>
  <c r="W920" i="4" s="1"/>
  <c r="X920" i="4" s="1"/>
  <c r="V920" i="4" a="1"/>
  <c r="V920" i="4" s="1"/>
  <c r="U920" i="4"/>
  <c r="T920" i="4"/>
  <c r="A920" i="4"/>
  <c r="W919" i="4" a="1"/>
  <c r="W919" i="4" s="1"/>
  <c r="X919" i="4" s="1"/>
  <c r="V919" i="4" a="1"/>
  <c r="V919" i="4" s="1"/>
  <c r="U919" i="4"/>
  <c r="T919" i="4"/>
  <c r="A919" i="4"/>
  <c r="W918" i="4" a="1"/>
  <c r="W918" i="4" s="1"/>
  <c r="X918" i="4" s="1"/>
  <c r="V918" i="4" a="1"/>
  <c r="V918" i="4" s="1"/>
  <c r="U918" i="4"/>
  <c r="T918" i="4"/>
  <c r="A918" i="4"/>
  <c r="W917" i="4" a="1"/>
  <c r="W917" i="4" s="1"/>
  <c r="X917" i="4" s="1"/>
  <c r="V917" i="4" a="1"/>
  <c r="V917" i="4" s="1"/>
  <c r="U917" i="4"/>
  <c r="T917" i="4"/>
  <c r="A917" i="4"/>
  <c r="W916" i="4" a="1"/>
  <c r="W916" i="4" s="1"/>
  <c r="X916" i="4" s="1"/>
  <c r="V916" i="4" a="1"/>
  <c r="V916" i="4" s="1"/>
  <c r="U916" i="4"/>
  <c r="T916" i="4"/>
  <c r="A916" i="4"/>
  <c r="W915" i="4" a="1"/>
  <c r="W915" i="4" s="1"/>
  <c r="X915" i="4" s="1"/>
  <c r="V915" i="4" a="1"/>
  <c r="V915" i="4" s="1"/>
  <c r="U915" i="4"/>
  <c r="T915" i="4"/>
  <c r="A915" i="4"/>
  <c r="W914" i="4" a="1"/>
  <c r="W914" i="4" s="1"/>
  <c r="X914" i="4" s="1"/>
  <c r="V914" i="4" a="1"/>
  <c r="V914" i="4" s="1"/>
  <c r="U914" i="4"/>
  <c r="T914" i="4"/>
  <c r="A914" i="4"/>
  <c r="W913" i="4" a="1"/>
  <c r="W913" i="4" s="1"/>
  <c r="X913" i="4" s="1"/>
  <c r="V913" i="4" a="1"/>
  <c r="V913" i="4" s="1"/>
  <c r="U913" i="4"/>
  <c r="T913" i="4"/>
  <c r="A913" i="4"/>
  <c r="W912" i="4" a="1"/>
  <c r="W912" i="4" s="1"/>
  <c r="X912" i="4" s="1"/>
  <c r="V912" i="4" a="1"/>
  <c r="V912" i="4" s="1"/>
  <c r="U912" i="4"/>
  <c r="T912" i="4"/>
  <c r="A912" i="4"/>
  <c r="W911" i="4" a="1"/>
  <c r="W911" i="4" s="1"/>
  <c r="X911" i="4" s="1"/>
  <c r="V911" i="4" a="1"/>
  <c r="V911" i="4" s="1"/>
  <c r="U911" i="4"/>
  <c r="T911" i="4"/>
  <c r="A911" i="4"/>
  <c r="W910" i="4" a="1"/>
  <c r="W910" i="4" s="1"/>
  <c r="X910" i="4" s="1"/>
  <c r="V910" i="4" a="1"/>
  <c r="V910" i="4" s="1"/>
  <c r="U910" i="4"/>
  <c r="T910" i="4"/>
  <c r="A910" i="4"/>
  <c r="W909" i="4" a="1"/>
  <c r="W909" i="4" s="1"/>
  <c r="X909" i="4" s="1"/>
  <c r="V909" i="4" a="1"/>
  <c r="V909" i="4" s="1"/>
  <c r="U909" i="4"/>
  <c r="T909" i="4"/>
  <c r="A909" i="4"/>
  <c r="W908" i="4" a="1"/>
  <c r="W908" i="4" s="1"/>
  <c r="X908" i="4" s="1"/>
  <c r="V908" i="4" a="1"/>
  <c r="V908" i="4" s="1"/>
  <c r="U908" i="4"/>
  <c r="T908" i="4"/>
  <c r="A908" i="4"/>
  <c r="W907" i="4" a="1"/>
  <c r="W907" i="4" s="1"/>
  <c r="X907" i="4" s="1"/>
  <c r="V907" i="4" a="1"/>
  <c r="V907" i="4" s="1"/>
  <c r="U907" i="4"/>
  <c r="T907" i="4"/>
  <c r="A907" i="4"/>
  <c r="W906" i="4" a="1"/>
  <c r="W906" i="4" s="1"/>
  <c r="X906" i="4" s="1"/>
  <c r="V906" i="4" a="1"/>
  <c r="V906" i="4" s="1"/>
  <c r="U906" i="4"/>
  <c r="T906" i="4"/>
  <c r="A906" i="4"/>
  <c r="W905" i="4" a="1"/>
  <c r="W905" i="4" s="1"/>
  <c r="X905" i="4" s="1"/>
  <c r="V905" i="4" a="1"/>
  <c r="V905" i="4" s="1"/>
  <c r="U905" i="4"/>
  <c r="T905" i="4"/>
  <c r="A905" i="4"/>
  <c r="W904" i="4" a="1"/>
  <c r="W904" i="4" s="1"/>
  <c r="X904" i="4" s="1"/>
  <c r="V904" i="4" a="1"/>
  <c r="V904" i="4" s="1"/>
  <c r="U904" i="4"/>
  <c r="T904" i="4"/>
  <c r="A904" i="4"/>
  <c r="W903" i="4" a="1"/>
  <c r="W903" i="4" s="1"/>
  <c r="X903" i="4" s="1"/>
  <c r="V903" i="4" a="1"/>
  <c r="V903" i="4" s="1"/>
  <c r="U903" i="4"/>
  <c r="T903" i="4"/>
  <c r="A903" i="4"/>
  <c r="W902" i="4" a="1"/>
  <c r="W902" i="4" s="1"/>
  <c r="X902" i="4" s="1"/>
  <c r="V902" i="4" a="1"/>
  <c r="V902" i="4" s="1"/>
  <c r="U902" i="4"/>
  <c r="T902" i="4"/>
  <c r="A902" i="4"/>
  <c r="W901" i="4" a="1"/>
  <c r="W901" i="4" s="1"/>
  <c r="X901" i="4" s="1"/>
  <c r="V901" i="4" a="1"/>
  <c r="V901" i="4" s="1"/>
  <c r="U901" i="4"/>
  <c r="T901" i="4"/>
  <c r="A901" i="4"/>
  <c r="W900" i="4" a="1"/>
  <c r="W900" i="4" s="1"/>
  <c r="X900" i="4" s="1"/>
  <c r="V900" i="4" a="1"/>
  <c r="V900" i="4" s="1"/>
  <c r="U900" i="4"/>
  <c r="T900" i="4"/>
  <c r="A900" i="4"/>
  <c r="W899" i="4" a="1"/>
  <c r="W899" i="4" s="1"/>
  <c r="X899" i="4" s="1"/>
  <c r="V899" i="4" a="1"/>
  <c r="V899" i="4" s="1"/>
  <c r="U899" i="4"/>
  <c r="T899" i="4"/>
  <c r="A899" i="4"/>
  <c r="W898" i="4" a="1"/>
  <c r="W898" i="4" s="1"/>
  <c r="X898" i="4" s="1"/>
  <c r="V898" i="4" a="1"/>
  <c r="V898" i="4" s="1"/>
  <c r="U898" i="4"/>
  <c r="T898" i="4"/>
  <c r="A898" i="4"/>
  <c r="W897" i="4" a="1"/>
  <c r="W897" i="4" s="1"/>
  <c r="X897" i="4" s="1"/>
  <c r="V897" i="4" a="1"/>
  <c r="V897" i="4" s="1"/>
  <c r="U897" i="4"/>
  <c r="T897" i="4"/>
  <c r="A897" i="4"/>
  <c r="W896" i="4" a="1"/>
  <c r="W896" i="4" s="1"/>
  <c r="X896" i="4" s="1"/>
  <c r="V896" i="4" a="1"/>
  <c r="V896" i="4" s="1"/>
  <c r="U896" i="4"/>
  <c r="T896" i="4"/>
  <c r="A896" i="4"/>
  <c r="W895" i="4" a="1"/>
  <c r="W895" i="4" s="1"/>
  <c r="X895" i="4" s="1"/>
  <c r="V895" i="4" a="1"/>
  <c r="V895" i="4" s="1"/>
  <c r="U895" i="4"/>
  <c r="T895" i="4"/>
  <c r="A895" i="4"/>
  <c r="W894" i="4" a="1"/>
  <c r="W894" i="4" s="1"/>
  <c r="X894" i="4" s="1"/>
  <c r="V894" i="4" a="1"/>
  <c r="V894" i="4" s="1"/>
  <c r="U894" i="4"/>
  <c r="T894" i="4"/>
  <c r="A894" i="4"/>
  <c r="W893" i="4" a="1"/>
  <c r="W893" i="4" s="1"/>
  <c r="X893" i="4" s="1"/>
  <c r="V893" i="4" a="1"/>
  <c r="V893" i="4" s="1"/>
  <c r="U893" i="4"/>
  <c r="T893" i="4"/>
  <c r="A893" i="4"/>
  <c r="W892" i="4" a="1"/>
  <c r="W892" i="4" s="1"/>
  <c r="X892" i="4" s="1"/>
  <c r="V892" i="4" a="1"/>
  <c r="V892" i="4" s="1"/>
  <c r="U892" i="4"/>
  <c r="T892" i="4"/>
  <c r="A892" i="4"/>
  <c r="W891" i="4" a="1"/>
  <c r="W891" i="4" s="1"/>
  <c r="X891" i="4" s="1"/>
  <c r="V891" i="4" a="1"/>
  <c r="V891" i="4" s="1"/>
  <c r="U891" i="4"/>
  <c r="T891" i="4"/>
  <c r="A891" i="4"/>
  <c r="W890" i="4" a="1"/>
  <c r="W890" i="4" s="1"/>
  <c r="X890" i="4" s="1"/>
  <c r="V890" i="4" a="1"/>
  <c r="V890" i="4" s="1"/>
  <c r="U890" i="4"/>
  <c r="T890" i="4"/>
  <c r="A890" i="4"/>
  <c r="W889" i="4" a="1"/>
  <c r="W889" i="4" s="1"/>
  <c r="X889" i="4" s="1"/>
  <c r="V889" i="4" a="1"/>
  <c r="V889" i="4" s="1"/>
  <c r="U889" i="4"/>
  <c r="T889" i="4"/>
  <c r="A889" i="4"/>
  <c r="W888" i="4" a="1"/>
  <c r="W888" i="4" s="1"/>
  <c r="X888" i="4" s="1"/>
  <c r="V888" i="4" a="1"/>
  <c r="V888" i="4" s="1"/>
  <c r="U888" i="4"/>
  <c r="T888" i="4"/>
  <c r="A888" i="4"/>
  <c r="W887" i="4" a="1"/>
  <c r="W887" i="4" s="1"/>
  <c r="X887" i="4" s="1"/>
  <c r="V887" i="4" a="1"/>
  <c r="V887" i="4" s="1"/>
  <c r="U887" i="4"/>
  <c r="T887" i="4"/>
  <c r="A887" i="4"/>
  <c r="W886" i="4" a="1"/>
  <c r="W886" i="4" s="1"/>
  <c r="X886" i="4" s="1"/>
  <c r="V886" i="4" a="1"/>
  <c r="V886" i="4" s="1"/>
  <c r="U886" i="4"/>
  <c r="T886" i="4"/>
  <c r="A886" i="4"/>
  <c r="W885" i="4" a="1"/>
  <c r="W885" i="4" s="1"/>
  <c r="X885" i="4" s="1"/>
  <c r="V885" i="4" a="1"/>
  <c r="V885" i="4" s="1"/>
  <c r="U885" i="4"/>
  <c r="T885" i="4"/>
  <c r="A885" i="4"/>
  <c r="W884" i="4" a="1"/>
  <c r="W884" i="4" s="1"/>
  <c r="X884" i="4" s="1"/>
  <c r="V884" i="4" a="1"/>
  <c r="V884" i="4" s="1"/>
  <c r="U884" i="4"/>
  <c r="T884" i="4"/>
  <c r="A884" i="4"/>
  <c r="W883" i="4" a="1"/>
  <c r="W883" i="4" s="1"/>
  <c r="X883" i="4" s="1"/>
  <c r="V883" i="4" a="1"/>
  <c r="V883" i="4" s="1"/>
  <c r="U883" i="4"/>
  <c r="T883" i="4"/>
  <c r="A883" i="4"/>
  <c r="W882" i="4" a="1"/>
  <c r="W882" i="4" s="1"/>
  <c r="X882" i="4" s="1"/>
  <c r="V882" i="4" a="1"/>
  <c r="V882" i="4" s="1"/>
  <c r="U882" i="4"/>
  <c r="T882" i="4"/>
  <c r="A882" i="4"/>
  <c r="W881" i="4" a="1"/>
  <c r="W881" i="4" s="1"/>
  <c r="X881" i="4" s="1"/>
  <c r="V881" i="4" a="1"/>
  <c r="V881" i="4" s="1"/>
  <c r="U881" i="4"/>
  <c r="T881" i="4"/>
  <c r="A881" i="4"/>
  <c r="W880" i="4" a="1"/>
  <c r="W880" i="4" s="1"/>
  <c r="X880" i="4" s="1"/>
  <c r="V880" i="4" a="1"/>
  <c r="V880" i="4" s="1"/>
  <c r="U880" i="4"/>
  <c r="T880" i="4"/>
  <c r="A880" i="4"/>
  <c r="W879" i="4" a="1"/>
  <c r="W879" i="4" s="1"/>
  <c r="X879" i="4" s="1"/>
  <c r="V879" i="4" a="1"/>
  <c r="V879" i="4" s="1"/>
  <c r="U879" i="4"/>
  <c r="T879" i="4"/>
  <c r="A879" i="4"/>
  <c r="W878" i="4" a="1"/>
  <c r="W878" i="4" s="1"/>
  <c r="X878" i="4" s="1"/>
  <c r="V878" i="4" a="1"/>
  <c r="V878" i="4" s="1"/>
  <c r="U878" i="4"/>
  <c r="T878" i="4"/>
  <c r="A878" i="4"/>
  <c r="W877" i="4" a="1"/>
  <c r="W877" i="4" s="1"/>
  <c r="X877" i="4" s="1"/>
  <c r="V877" i="4" a="1"/>
  <c r="V877" i="4" s="1"/>
  <c r="U877" i="4"/>
  <c r="T877" i="4"/>
  <c r="A877" i="4"/>
  <c r="W876" i="4" a="1"/>
  <c r="W876" i="4" s="1"/>
  <c r="X876" i="4" s="1"/>
  <c r="V876" i="4" a="1"/>
  <c r="V876" i="4" s="1"/>
  <c r="U876" i="4"/>
  <c r="T876" i="4"/>
  <c r="A876" i="4"/>
  <c r="W875" i="4" a="1"/>
  <c r="W875" i="4" s="1"/>
  <c r="X875" i="4" s="1"/>
  <c r="V875" i="4" a="1"/>
  <c r="V875" i="4" s="1"/>
  <c r="U875" i="4"/>
  <c r="T875" i="4"/>
  <c r="A875" i="4"/>
  <c r="W874" i="4" a="1"/>
  <c r="W874" i="4" s="1"/>
  <c r="X874" i="4" s="1"/>
  <c r="V874" i="4" a="1"/>
  <c r="V874" i="4" s="1"/>
  <c r="U874" i="4"/>
  <c r="T874" i="4"/>
  <c r="A874" i="4"/>
  <c r="W873" i="4" a="1"/>
  <c r="W873" i="4" s="1"/>
  <c r="X873" i="4" s="1"/>
  <c r="V873" i="4" a="1"/>
  <c r="V873" i="4" s="1"/>
  <c r="U873" i="4"/>
  <c r="T873" i="4"/>
  <c r="A873" i="4"/>
  <c r="W872" i="4" a="1"/>
  <c r="W872" i="4" s="1"/>
  <c r="X872" i="4" s="1"/>
  <c r="V872" i="4" a="1"/>
  <c r="V872" i="4" s="1"/>
  <c r="U872" i="4"/>
  <c r="T872" i="4"/>
  <c r="A872" i="4"/>
  <c r="W871" i="4" a="1"/>
  <c r="W871" i="4" s="1"/>
  <c r="X871" i="4" s="1"/>
  <c r="V871" i="4" a="1"/>
  <c r="V871" i="4" s="1"/>
  <c r="U871" i="4"/>
  <c r="T871" i="4"/>
  <c r="A871" i="4"/>
  <c r="W870" i="4" a="1"/>
  <c r="W870" i="4" s="1"/>
  <c r="X870" i="4" s="1"/>
  <c r="V870" i="4" a="1"/>
  <c r="V870" i="4" s="1"/>
  <c r="U870" i="4"/>
  <c r="T870" i="4"/>
  <c r="A870" i="4"/>
  <c r="W869" i="4" a="1"/>
  <c r="W869" i="4" s="1"/>
  <c r="X869" i="4" s="1"/>
  <c r="V869" i="4" a="1"/>
  <c r="V869" i="4" s="1"/>
  <c r="U869" i="4"/>
  <c r="T869" i="4"/>
  <c r="A869" i="4"/>
  <c r="W868" i="4" a="1"/>
  <c r="W868" i="4" s="1"/>
  <c r="X868" i="4" s="1"/>
  <c r="V868" i="4" a="1"/>
  <c r="V868" i="4" s="1"/>
  <c r="U868" i="4"/>
  <c r="T868" i="4"/>
  <c r="A868" i="4"/>
  <c r="W867" i="4" a="1"/>
  <c r="W867" i="4" s="1"/>
  <c r="X867" i="4" s="1"/>
  <c r="V867" i="4" a="1"/>
  <c r="V867" i="4" s="1"/>
  <c r="U867" i="4"/>
  <c r="T867" i="4"/>
  <c r="A867" i="4"/>
  <c r="W866" i="4" a="1"/>
  <c r="W866" i="4" s="1"/>
  <c r="X866" i="4" s="1"/>
  <c r="V866" i="4" a="1"/>
  <c r="V866" i="4" s="1"/>
  <c r="U866" i="4"/>
  <c r="T866" i="4"/>
  <c r="A866" i="4"/>
  <c r="W865" i="4" a="1"/>
  <c r="W865" i="4" s="1"/>
  <c r="X865" i="4" s="1"/>
  <c r="V865" i="4" a="1"/>
  <c r="V865" i="4" s="1"/>
  <c r="U865" i="4"/>
  <c r="T865" i="4"/>
  <c r="A865" i="4"/>
  <c r="W864" i="4" a="1"/>
  <c r="W864" i="4" s="1"/>
  <c r="X864" i="4" s="1"/>
  <c r="V864" i="4" a="1"/>
  <c r="V864" i="4" s="1"/>
  <c r="U864" i="4"/>
  <c r="T864" i="4"/>
  <c r="A864" i="4"/>
  <c r="W863" i="4" a="1"/>
  <c r="W863" i="4" s="1"/>
  <c r="X863" i="4" s="1"/>
  <c r="V863" i="4" a="1"/>
  <c r="V863" i="4" s="1"/>
  <c r="U863" i="4"/>
  <c r="T863" i="4"/>
  <c r="A863" i="4"/>
  <c r="W862" i="4" a="1"/>
  <c r="W862" i="4" s="1"/>
  <c r="X862" i="4" s="1"/>
  <c r="V862" i="4" a="1"/>
  <c r="V862" i="4" s="1"/>
  <c r="U862" i="4"/>
  <c r="T862" i="4"/>
  <c r="A862" i="4"/>
  <c r="W861" i="4" a="1"/>
  <c r="W861" i="4" s="1"/>
  <c r="X861" i="4" s="1"/>
  <c r="V861" i="4" a="1"/>
  <c r="V861" i="4" s="1"/>
  <c r="U861" i="4"/>
  <c r="T861" i="4"/>
  <c r="A861" i="4"/>
  <c r="W860" i="4" a="1"/>
  <c r="W860" i="4" s="1"/>
  <c r="X860" i="4" s="1"/>
  <c r="V860" i="4" a="1"/>
  <c r="V860" i="4" s="1"/>
  <c r="U860" i="4"/>
  <c r="T860" i="4"/>
  <c r="A860" i="4"/>
  <c r="W859" i="4" a="1"/>
  <c r="W859" i="4" s="1"/>
  <c r="X859" i="4" s="1"/>
  <c r="V859" i="4" a="1"/>
  <c r="V859" i="4" s="1"/>
  <c r="U859" i="4"/>
  <c r="T859" i="4"/>
  <c r="A859" i="4"/>
  <c r="W858" i="4" a="1"/>
  <c r="W858" i="4" s="1"/>
  <c r="X858" i="4" s="1"/>
  <c r="V858" i="4" a="1"/>
  <c r="V858" i="4" s="1"/>
  <c r="U858" i="4"/>
  <c r="T858" i="4"/>
  <c r="A858" i="4"/>
  <c r="W857" i="4" a="1"/>
  <c r="W857" i="4" s="1"/>
  <c r="X857" i="4" s="1"/>
  <c r="V857" i="4" a="1"/>
  <c r="V857" i="4" s="1"/>
  <c r="U857" i="4"/>
  <c r="T857" i="4"/>
  <c r="A857" i="4"/>
  <c r="W856" i="4" a="1"/>
  <c r="W856" i="4" s="1"/>
  <c r="X856" i="4" s="1"/>
  <c r="V856" i="4" a="1"/>
  <c r="V856" i="4" s="1"/>
  <c r="U856" i="4"/>
  <c r="T856" i="4"/>
  <c r="A856" i="4"/>
  <c r="W855" i="4" a="1"/>
  <c r="W855" i="4" s="1"/>
  <c r="X855" i="4" s="1"/>
  <c r="V855" i="4" a="1"/>
  <c r="V855" i="4" s="1"/>
  <c r="U855" i="4"/>
  <c r="T855" i="4"/>
  <c r="A855" i="4"/>
  <c r="W854" i="4" a="1"/>
  <c r="W854" i="4" s="1"/>
  <c r="X854" i="4" s="1"/>
  <c r="V854" i="4" a="1"/>
  <c r="V854" i="4" s="1"/>
  <c r="U854" i="4"/>
  <c r="T854" i="4"/>
  <c r="A854" i="4"/>
  <c r="W853" i="4" a="1"/>
  <c r="W853" i="4" s="1"/>
  <c r="X853" i="4" s="1"/>
  <c r="V853" i="4" a="1"/>
  <c r="V853" i="4" s="1"/>
  <c r="U853" i="4"/>
  <c r="T853" i="4"/>
  <c r="A853" i="4"/>
  <c r="W852" i="4" a="1"/>
  <c r="W852" i="4" s="1"/>
  <c r="X852" i="4" s="1"/>
  <c r="V852" i="4" a="1"/>
  <c r="V852" i="4" s="1"/>
  <c r="U852" i="4"/>
  <c r="T852" i="4"/>
  <c r="A852" i="4"/>
  <c r="W851" i="4" a="1"/>
  <c r="W851" i="4" s="1"/>
  <c r="X851" i="4" s="1"/>
  <c r="V851" i="4" a="1"/>
  <c r="V851" i="4" s="1"/>
  <c r="U851" i="4"/>
  <c r="T851" i="4"/>
  <c r="A851" i="4"/>
  <c r="W850" i="4" a="1"/>
  <c r="W850" i="4" s="1"/>
  <c r="X850" i="4" s="1"/>
  <c r="V850" i="4" a="1"/>
  <c r="V850" i="4" s="1"/>
  <c r="U850" i="4"/>
  <c r="T850" i="4"/>
  <c r="A850" i="4"/>
  <c r="W849" i="4" a="1"/>
  <c r="W849" i="4" s="1"/>
  <c r="X849" i="4" s="1"/>
  <c r="V849" i="4" a="1"/>
  <c r="V849" i="4" s="1"/>
  <c r="U849" i="4"/>
  <c r="T849" i="4"/>
  <c r="A849" i="4"/>
  <c r="W848" i="4" a="1"/>
  <c r="W848" i="4" s="1"/>
  <c r="X848" i="4" s="1"/>
  <c r="V848" i="4" a="1"/>
  <c r="V848" i="4" s="1"/>
  <c r="U848" i="4"/>
  <c r="T848" i="4"/>
  <c r="A848" i="4"/>
  <c r="W847" i="4" a="1"/>
  <c r="W847" i="4" s="1"/>
  <c r="X847" i="4" s="1"/>
  <c r="V847" i="4" a="1"/>
  <c r="V847" i="4" s="1"/>
  <c r="U847" i="4"/>
  <c r="T847" i="4"/>
  <c r="A847" i="4"/>
  <c r="W846" i="4" a="1"/>
  <c r="W846" i="4" s="1"/>
  <c r="X846" i="4" s="1"/>
  <c r="V846" i="4" a="1"/>
  <c r="V846" i="4" s="1"/>
  <c r="U846" i="4"/>
  <c r="T846" i="4"/>
  <c r="A846" i="4"/>
  <c r="W845" i="4" a="1"/>
  <c r="W845" i="4" s="1"/>
  <c r="X845" i="4" s="1"/>
  <c r="V845" i="4" a="1"/>
  <c r="V845" i="4" s="1"/>
  <c r="U845" i="4"/>
  <c r="T845" i="4"/>
  <c r="A845" i="4"/>
  <c r="W844" i="4" a="1"/>
  <c r="W844" i="4" s="1"/>
  <c r="X844" i="4" s="1"/>
  <c r="V844" i="4" a="1"/>
  <c r="V844" i="4" s="1"/>
  <c r="U844" i="4"/>
  <c r="T844" i="4"/>
  <c r="A844" i="4"/>
  <c r="W843" i="4" a="1"/>
  <c r="W843" i="4" s="1"/>
  <c r="X843" i="4" s="1"/>
  <c r="V843" i="4" a="1"/>
  <c r="V843" i="4" s="1"/>
  <c r="U843" i="4"/>
  <c r="T843" i="4"/>
  <c r="A843" i="4"/>
  <c r="W842" i="4" a="1"/>
  <c r="W842" i="4" s="1"/>
  <c r="X842" i="4" s="1"/>
  <c r="V842" i="4" a="1"/>
  <c r="V842" i="4" s="1"/>
  <c r="U842" i="4"/>
  <c r="T842" i="4"/>
  <c r="A842" i="4"/>
  <c r="W841" i="4" a="1"/>
  <c r="W841" i="4" s="1"/>
  <c r="X841" i="4" s="1"/>
  <c r="V841" i="4" a="1"/>
  <c r="V841" i="4" s="1"/>
  <c r="U841" i="4"/>
  <c r="T841" i="4"/>
  <c r="A841" i="4"/>
  <c r="W840" i="4" a="1"/>
  <c r="W840" i="4" s="1"/>
  <c r="X840" i="4" s="1"/>
  <c r="V840" i="4" a="1"/>
  <c r="V840" i="4" s="1"/>
  <c r="U840" i="4"/>
  <c r="T840" i="4"/>
  <c r="A840" i="4"/>
  <c r="W839" i="4" a="1"/>
  <c r="W839" i="4" s="1"/>
  <c r="X839" i="4" s="1"/>
  <c r="V839" i="4" a="1"/>
  <c r="V839" i="4" s="1"/>
  <c r="U839" i="4"/>
  <c r="T839" i="4"/>
  <c r="A839" i="4"/>
  <c r="W838" i="4" a="1"/>
  <c r="W838" i="4" s="1"/>
  <c r="X838" i="4" s="1"/>
  <c r="V838" i="4" a="1"/>
  <c r="V838" i="4" s="1"/>
  <c r="U838" i="4"/>
  <c r="T838" i="4"/>
  <c r="A838" i="4"/>
  <c r="W837" i="4" a="1"/>
  <c r="W837" i="4" s="1"/>
  <c r="X837" i="4" s="1"/>
  <c r="V837" i="4" a="1"/>
  <c r="V837" i="4" s="1"/>
  <c r="U837" i="4"/>
  <c r="T837" i="4"/>
  <c r="A837" i="4"/>
  <c r="W836" i="4" a="1"/>
  <c r="W836" i="4" s="1"/>
  <c r="X836" i="4" s="1"/>
  <c r="V836" i="4" a="1"/>
  <c r="V836" i="4" s="1"/>
  <c r="U836" i="4"/>
  <c r="T836" i="4"/>
  <c r="A836" i="4"/>
  <c r="W835" i="4" a="1"/>
  <c r="W835" i="4" s="1"/>
  <c r="X835" i="4" s="1"/>
  <c r="V835" i="4" a="1"/>
  <c r="V835" i="4" s="1"/>
  <c r="U835" i="4"/>
  <c r="T835" i="4"/>
  <c r="A835" i="4"/>
  <c r="W834" i="4" a="1"/>
  <c r="W834" i="4" s="1"/>
  <c r="X834" i="4" s="1"/>
  <c r="V834" i="4" a="1"/>
  <c r="V834" i="4" s="1"/>
  <c r="U834" i="4"/>
  <c r="T834" i="4"/>
  <c r="A834" i="4"/>
  <c r="W833" i="4" a="1"/>
  <c r="W833" i="4" s="1"/>
  <c r="X833" i="4" s="1"/>
  <c r="V833" i="4" a="1"/>
  <c r="V833" i="4" s="1"/>
  <c r="U833" i="4"/>
  <c r="T833" i="4"/>
  <c r="A833" i="4"/>
  <c r="W832" i="4" a="1"/>
  <c r="W832" i="4" s="1"/>
  <c r="X832" i="4" s="1"/>
  <c r="V832" i="4" a="1"/>
  <c r="V832" i="4" s="1"/>
  <c r="U832" i="4"/>
  <c r="T832" i="4"/>
  <c r="A832" i="4"/>
  <c r="W831" i="4" a="1"/>
  <c r="W831" i="4" s="1"/>
  <c r="X831" i="4" s="1"/>
  <c r="V831" i="4" a="1"/>
  <c r="V831" i="4" s="1"/>
  <c r="U831" i="4"/>
  <c r="T831" i="4"/>
  <c r="A831" i="4"/>
  <c r="W830" i="4" a="1"/>
  <c r="W830" i="4" s="1"/>
  <c r="X830" i="4" s="1"/>
  <c r="V830" i="4" a="1"/>
  <c r="V830" i="4" s="1"/>
  <c r="U830" i="4"/>
  <c r="T830" i="4"/>
  <c r="A830" i="4"/>
  <c r="W829" i="4" a="1"/>
  <c r="W829" i="4" s="1"/>
  <c r="X829" i="4" s="1"/>
  <c r="V829" i="4" a="1"/>
  <c r="V829" i="4" s="1"/>
  <c r="U829" i="4"/>
  <c r="T829" i="4"/>
  <c r="A829" i="4"/>
  <c r="W828" i="4" a="1"/>
  <c r="W828" i="4" s="1"/>
  <c r="X828" i="4" s="1"/>
  <c r="V828" i="4" a="1"/>
  <c r="V828" i="4" s="1"/>
  <c r="U828" i="4"/>
  <c r="T828" i="4"/>
  <c r="A828" i="4"/>
  <c r="W827" i="4" a="1"/>
  <c r="W827" i="4" s="1"/>
  <c r="X827" i="4" s="1"/>
  <c r="V827" i="4" a="1"/>
  <c r="V827" i="4" s="1"/>
  <c r="U827" i="4"/>
  <c r="T827" i="4"/>
  <c r="A827" i="4"/>
  <c r="W826" i="4" a="1"/>
  <c r="W826" i="4" s="1"/>
  <c r="X826" i="4" s="1"/>
  <c r="V826" i="4" a="1"/>
  <c r="V826" i="4" s="1"/>
  <c r="U826" i="4"/>
  <c r="T826" i="4"/>
  <c r="A826" i="4"/>
  <c r="W825" i="4" a="1"/>
  <c r="W825" i="4" s="1"/>
  <c r="X825" i="4" s="1"/>
  <c r="V825" i="4" a="1"/>
  <c r="V825" i="4" s="1"/>
  <c r="U825" i="4"/>
  <c r="T825" i="4"/>
  <c r="A825" i="4"/>
  <c r="W824" i="4" a="1"/>
  <c r="W824" i="4" s="1"/>
  <c r="X824" i="4" s="1"/>
  <c r="V824" i="4" a="1"/>
  <c r="V824" i="4" s="1"/>
  <c r="U824" i="4"/>
  <c r="T824" i="4"/>
  <c r="A824" i="4"/>
  <c r="W823" i="4" a="1"/>
  <c r="W823" i="4" s="1"/>
  <c r="X823" i="4" s="1"/>
  <c r="V823" i="4" a="1"/>
  <c r="V823" i="4" s="1"/>
  <c r="U823" i="4"/>
  <c r="T823" i="4"/>
  <c r="A823" i="4"/>
  <c r="W822" i="4" a="1"/>
  <c r="W822" i="4" s="1"/>
  <c r="X822" i="4" s="1"/>
  <c r="V822" i="4" a="1"/>
  <c r="V822" i="4" s="1"/>
  <c r="U822" i="4"/>
  <c r="T822" i="4"/>
  <c r="A822" i="4"/>
  <c r="W821" i="4" a="1"/>
  <c r="W821" i="4" s="1"/>
  <c r="X821" i="4" s="1"/>
  <c r="V821" i="4" a="1"/>
  <c r="V821" i="4" s="1"/>
  <c r="U821" i="4"/>
  <c r="T821" i="4"/>
  <c r="A821" i="4"/>
  <c r="W820" i="4" a="1"/>
  <c r="W820" i="4" s="1"/>
  <c r="X820" i="4" s="1"/>
  <c r="V820" i="4" a="1"/>
  <c r="V820" i="4" s="1"/>
  <c r="U820" i="4"/>
  <c r="T820" i="4"/>
  <c r="A820" i="4"/>
  <c r="W819" i="4" a="1"/>
  <c r="W819" i="4" s="1"/>
  <c r="X819" i="4" s="1"/>
  <c r="V819" i="4" a="1"/>
  <c r="V819" i="4" s="1"/>
  <c r="U819" i="4"/>
  <c r="T819" i="4"/>
  <c r="A819" i="4"/>
  <c r="W818" i="4" a="1"/>
  <c r="W818" i="4" s="1"/>
  <c r="X818" i="4" s="1"/>
  <c r="V818" i="4" a="1"/>
  <c r="V818" i="4" s="1"/>
  <c r="U818" i="4"/>
  <c r="T818" i="4"/>
  <c r="A818" i="4"/>
  <c r="W817" i="4" a="1"/>
  <c r="W817" i="4" s="1"/>
  <c r="X817" i="4" s="1"/>
  <c r="V817" i="4" a="1"/>
  <c r="V817" i="4" s="1"/>
  <c r="U817" i="4"/>
  <c r="T817" i="4"/>
  <c r="A817" i="4"/>
  <c r="W816" i="4" a="1"/>
  <c r="W816" i="4" s="1"/>
  <c r="X816" i="4" s="1"/>
  <c r="V816" i="4" a="1"/>
  <c r="V816" i="4" s="1"/>
  <c r="U816" i="4"/>
  <c r="T816" i="4"/>
  <c r="A816" i="4"/>
  <c r="W815" i="4" a="1"/>
  <c r="W815" i="4" s="1"/>
  <c r="X815" i="4" s="1"/>
  <c r="V815" i="4" a="1"/>
  <c r="V815" i="4" s="1"/>
  <c r="U815" i="4"/>
  <c r="T815" i="4"/>
  <c r="A815" i="4"/>
  <c r="W814" i="4" a="1"/>
  <c r="W814" i="4" s="1"/>
  <c r="X814" i="4" s="1"/>
  <c r="V814" i="4" a="1"/>
  <c r="V814" i="4" s="1"/>
  <c r="U814" i="4"/>
  <c r="T814" i="4"/>
  <c r="A814" i="4"/>
  <c r="W813" i="4" a="1"/>
  <c r="W813" i="4" s="1"/>
  <c r="X813" i="4" s="1"/>
  <c r="V813" i="4" a="1"/>
  <c r="V813" i="4" s="1"/>
  <c r="U813" i="4"/>
  <c r="T813" i="4"/>
  <c r="A813" i="4"/>
  <c r="W812" i="4" a="1"/>
  <c r="W812" i="4" s="1"/>
  <c r="X812" i="4" s="1"/>
  <c r="V812" i="4" a="1"/>
  <c r="V812" i="4" s="1"/>
  <c r="U812" i="4"/>
  <c r="T812" i="4"/>
  <c r="A812" i="4"/>
  <c r="W811" i="4" a="1"/>
  <c r="W811" i="4" s="1"/>
  <c r="X811" i="4" s="1"/>
  <c r="V811" i="4" a="1"/>
  <c r="V811" i="4" s="1"/>
  <c r="U811" i="4"/>
  <c r="T811" i="4"/>
  <c r="A811" i="4"/>
  <c r="W810" i="4" a="1"/>
  <c r="W810" i="4" s="1"/>
  <c r="X810" i="4" s="1"/>
  <c r="V810" i="4" a="1"/>
  <c r="V810" i="4" s="1"/>
  <c r="U810" i="4"/>
  <c r="T810" i="4"/>
  <c r="A810" i="4"/>
  <c r="W809" i="4" a="1"/>
  <c r="W809" i="4" s="1"/>
  <c r="X809" i="4" s="1"/>
  <c r="V809" i="4" a="1"/>
  <c r="V809" i="4" s="1"/>
  <c r="U809" i="4"/>
  <c r="T809" i="4"/>
  <c r="A809" i="4"/>
  <c r="W808" i="4" a="1"/>
  <c r="W808" i="4" s="1"/>
  <c r="X808" i="4" s="1"/>
  <c r="V808" i="4" a="1"/>
  <c r="V808" i="4" s="1"/>
  <c r="U808" i="4"/>
  <c r="T808" i="4"/>
  <c r="A808" i="4"/>
  <c r="W807" i="4" a="1"/>
  <c r="W807" i="4" s="1"/>
  <c r="X807" i="4" s="1"/>
  <c r="V807" i="4" a="1"/>
  <c r="V807" i="4" s="1"/>
  <c r="U807" i="4"/>
  <c r="T807" i="4"/>
  <c r="A807" i="4"/>
  <c r="W806" i="4" a="1"/>
  <c r="W806" i="4" s="1"/>
  <c r="X806" i="4" s="1"/>
  <c r="V806" i="4" a="1"/>
  <c r="V806" i="4" s="1"/>
  <c r="U806" i="4"/>
  <c r="T806" i="4"/>
  <c r="A806" i="4"/>
  <c r="W805" i="4" a="1"/>
  <c r="W805" i="4" s="1"/>
  <c r="X805" i="4" s="1"/>
  <c r="V805" i="4" a="1"/>
  <c r="V805" i="4" s="1"/>
  <c r="U805" i="4"/>
  <c r="T805" i="4"/>
  <c r="A805" i="4"/>
  <c r="W804" i="4" a="1"/>
  <c r="W804" i="4" s="1"/>
  <c r="X804" i="4" s="1"/>
  <c r="V804" i="4" a="1"/>
  <c r="V804" i="4" s="1"/>
  <c r="U804" i="4"/>
  <c r="T804" i="4"/>
  <c r="A804" i="4"/>
  <c r="W803" i="4" a="1"/>
  <c r="W803" i="4" s="1"/>
  <c r="X803" i="4" s="1"/>
  <c r="V803" i="4" a="1"/>
  <c r="V803" i="4" s="1"/>
  <c r="U803" i="4"/>
  <c r="T803" i="4"/>
  <c r="A803" i="4"/>
  <c r="W802" i="4" a="1"/>
  <c r="W802" i="4" s="1"/>
  <c r="X802" i="4" s="1"/>
  <c r="V802" i="4" a="1"/>
  <c r="V802" i="4" s="1"/>
  <c r="U802" i="4"/>
  <c r="T802" i="4"/>
  <c r="A802" i="4"/>
  <c r="W801" i="4" a="1"/>
  <c r="W801" i="4" s="1"/>
  <c r="X801" i="4" s="1"/>
  <c r="V801" i="4" a="1"/>
  <c r="V801" i="4" s="1"/>
  <c r="U801" i="4"/>
  <c r="T801" i="4"/>
  <c r="A801" i="4"/>
  <c r="W800" i="4" a="1"/>
  <c r="W800" i="4" s="1"/>
  <c r="X800" i="4" s="1"/>
  <c r="V800" i="4" a="1"/>
  <c r="V800" i="4" s="1"/>
  <c r="U800" i="4"/>
  <c r="T800" i="4"/>
  <c r="A800" i="4"/>
  <c r="W799" i="4" a="1"/>
  <c r="W799" i="4" s="1"/>
  <c r="X799" i="4" s="1"/>
  <c r="V799" i="4" a="1"/>
  <c r="V799" i="4" s="1"/>
  <c r="U799" i="4"/>
  <c r="T799" i="4"/>
  <c r="A799" i="4"/>
  <c r="W798" i="4" a="1"/>
  <c r="W798" i="4" s="1"/>
  <c r="X798" i="4" s="1"/>
  <c r="V798" i="4" a="1"/>
  <c r="V798" i="4" s="1"/>
  <c r="U798" i="4"/>
  <c r="T798" i="4"/>
  <c r="A798" i="4"/>
  <c r="W797" i="4" a="1"/>
  <c r="W797" i="4" s="1"/>
  <c r="X797" i="4" s="1"/>
  <c r="V797" i="4" a="1"/>
  <c r="V797" i="4" s="1"/>
  <c r="U797" i="4"/>
  <c r="T797" i="4"/>
  <c r="A797" i="4"/>
  <c r="W796" i="4" a="1"/>
  <c r="W796" i="4" s="1"/>
  <c r="X796" i="4" s="1"/>
  <c r="V796" i="4" a="1"/>
  <c r="V796" i="4" s="1"/>
  <c r="U796" i="4"/>
  <c r="T796" i="4"/>
  <c r="A796" i="4"/>
  <c r="W795" i="4" a="1"/>
  <c r="W795" i="4" s="1"/>
  <c r="X795" i="4" s="1"/>
  <c r="V795" i="4" a="1"/>
  <c r="V795" i="4" s="1"/>
  <c r="U795" i="4"/>
  <c r="T795" i="4"/>
  <c r="A795" i="4"/>
  <c r="W794" i="4" a="1"/>
  <c r="W794" i="4" s="1"/>
  <c r="X794" i="4" s="1"/>
  <c r="V794" i="4" a="1"/>
  <c r="V794" i="4" s="1"/>
  <c r="U794" i="4"/>
  <c r="T794" i="4"/>
  <c r="A794" i="4"/>
  <c r="W793" i="4" a="1"/>
  <c r="W793" i="4" s="1"/>
  <c r="X793" i="4" s="1"/>
  <c r="V793" i="4" a="1"/>
  <c r="V793" i="4" s="1"/>
  <c r="U793" i="4"/>
  <c r="T793" i="4"/>
  <c r="A793" i="4"/>
  <c r="W792" i="4" a="1"/>
  <c r="W792" i="4" s="1"/>
  <c r="X792" i="4" s="1"/>
  <c r="V792" i="4" a="1"/>
  <c r="V792" i="4" s="1"/>
  <c r="U792" i="4"/>
  <c r="T792" i="4"/>
  <c r="A792" i="4"/>
  <c r="W791" i="4" a="1"/>
  <c r="W791" i="4" s="1"/>
  <c r="X791" i="4" s="1"/>
  <c r="V791" i="4" a="1"/>
  <c r="V791" i="4" s="1"/>
  <c r="U791" i="4"/>
  <c r="T791" i="4"/>
  <c r="A791" i="4"/>
  <c r="W790" i="4" a="1"/>
  <c r="W790" i="4" s="1"/>
  <c r="X790" i="4" s="1"/>
  <c r="V790" i="4" a="1"/>
  <c r="V790" i="4" s="1"/>
  <c r="U790" i="4"/>
  <c r="T790" i="4"/>
  <c r="A790" i="4"/>
  <c r="W789" i="4" a="1"/>
  <c r="W789" i="4" s="1"/>
  <c r="X789" i="4" s="1"/>
  <c r="V789" i="4" a="1"/>
  <c r="V789" i="4" s="1"/>
  <c r="U789" i="4"/>
  <c r="T789" i="4"/>
  <c r="A789" i="4"/>
  <c r="W788" i="4" a="1"/>
  <c r="W788" i="4" s="1"/>
  <c r="X788" i="4" s="1"/>
  <c r="V788" i="4" a="1"/>
  <c r="V788" i="4" s="1"/>
  <c r="U788" i="4"/>
  <c r="T788" i="4"/>
  <c r="A788" i="4"/>
  <c r="W787" i="4" a="1"/>
  <c r="W787" i="4" s="1"/>
  <c r="X787" i="4" s="1"/>
  <c r="V787" i="4" a="1"/>
  <c r="V787" i="4" s="1"/>
  <c r="U787" i="4"/>
  <c r="T787" i="4"/>
  <c r="A787" i="4"/>
  <c r="W786" i="4" a="1"/>
  <c r="W786" i="4" s="1"/>
  <c r="X786" i="4" s="1"/>
  <c r="V786" i="4" a="1"/>
  <c r="V786" i="4" s="1"/>
  <c r="U786" i="4"/>
  <c r="T786" i="4"/>
  <c r="A786" i="4"/>
  <c r="W785" i="4" a="1"/>
  <c r="W785" i="4" s="1"/>
  <c r="X785" i="4" s="1"/>
  <c r="V785" i="4" a="1"/>
  <c r="V785" i="4" s="1"/>
  <c r="U785" i="4"/>
  <c r="T785" i="4"/>
  <c r="A785" i="4"/>
  <c r="W784" i="4" a="1"/>
  <c r="W784" i="4" s="1"/>
  <c r="X784" i="4" s="1"/>
  <c r="V784" i="4" a="1"/>
  <c r="V784" i="4" s="1"/>
  <c r="U784" i="4"/>
  <c r="T784" i="4"/>
  <c r="A784" i="4"/>
  <c r="W783" i="4" a="1"/>
  <c r="W783" i="4" s="1"/>
  <c r="X783" i="4" s="1"/>
  <c r="V783" i="4" a="1"/>
  <c r="V783" i="4" s="1"/>
  <c r="U783" i="4"/>
  <c r="T783" i="4"/>
  <c r="A783" i="4"/>
  <c r="W782" i="4" a="1"/>
  <c r="W782" i="4" s="1"/>
  <c r="X782" i="4" s="1"/>
  <c r="V782" i="4" a="1"/>
  <c r="V782" i="4" s="1"/>
  <c r="U782" i="4"/>
  <c r="T782" i="4"/>
  <c r="A782" i="4"/>
  <c r="W781" i="4" a="1"/>
  <c r="W781" i="4" s="1"/>
  <c r="X781" i="4" s="1"/>
  <c r="V781" i="4" a="1"/>
  <c r="V781" i="4" s="1"/>
  <c r="U781" i="4"/>
  <c r="T781" i="4"/>
  <c r="A781" i="4"/>
  <c r="W780" i="4" a="1"/>
  <c r="W780" i="4" s="1"/>
  <c r="X780" i="4" s="1"/>
  <c r="V780" i="4" a="1"/>
  <c r="V780" i="4" s="1"/>
  <c r="U780" i="4"/>
  <c r="T780" i="4"/>
  <c r="A780" i="4"/>
  <c r="W779" i="4" a="1"/>
  <c r="W779" i="4" s="1"/>
  <c r="X779" i="4" s="1"/>
  <c r="V779" i="4" a="1"/>
  <c r="V779" i="4" s="1"/>
  <c r="U779" i="4"/>
  <c r="T779" i="4"/>
  <c r="A779" i="4"/>
  <c r="W778" i="4" a="1"/>
  <c r="W778" i="4" s="1"/>
  <c r="X778" i="4" s="1"/>
  <c r="V778" i="4" a="1"/>
  <c r="V778" i="4" s="1"/>
  <c r="U778" i="4"/>
  <c r="T778" i="4"/>
  <c r="A778" i="4"/>
  <c r="W777" i="4" a="1"/>
  <c r="W777" i="4" s="1"/>
  <c r="X777" i="4" s="1"/>
  <c r="V777" i="4" a="1"/>
  <c r="V777" i="4" s="1"/>
  <c r="U777" i="4"/>
  <c r="T777" i="4"/>
  <c r="A777" i="4"/>
  <c r="W776" i="4" a="1"/>
  <c r="W776" i="4" s="1"/>
  <c r="X776" i="4" s="1"/>
  <c r="V776" i="4" a="1"/>
  <c r="V776" i="4" s="1"/>
  <c r="U776" i="4"/>
  <c r="T776" i="4"/>
  <c r="A776" i="4"/>
  <c r="W775" i="4" a="1"/>
  <c r="W775" i="4" s="1"/>
  <c r="X775" i="4" s="1"/>
  <c r="V775" i="4" a="1"/>
  <c r="V775" i="4" s="1"/>
  <c r="U775" i="4"/>
  <c r="T775" i="4"/>
  <c r="A775" i="4"/>
  <c r="W774" i="4" a="1"/>
  <c r="W774" i="4" s="1"/>
  <c r="X774" i="4" s="1"/>
  <c r="V774" i="4" a="1"/>
  <c r="V774" i="4" s="1"/>
  <c r="U774" i="4"/>
  <c r="T774" i="4"/>
  <c r="A774" i="4"/>
  <c r="W773" i="4" a="1"/>
  <c r="W773" i="4" s="1"/>
  <c r="X773" i="4" s="1"/>
  <c r="V773" i="4" a="1"/>
  <c r="V773" i="4" s="1"/>
  <c r="U773" i="4"/>
  <c r="T773" i="4"/>
  <c r="A773" i="4"/>
  <c r="W772" i="4" a="1"/>
  <c r="W772" i="4" s="1"/>
  <c r="X772" i="4" s="1"/>
  <c r="V772" i="4" a="1"/>
  <c r="V772" i="4" s="1"/>
  <c r="U772" i="4"/>
  <c r="T772" i="4"/>
  <c r="A772" i="4"/>
  <c r="W771" i="4" a="1"/>
  <c r="W771" i="4" s="1"/>
  <c r="X771" i="4" s="1"/>
  <c r="V771" i="4" a="1"/>
  <c r="V771" i="4" s="1"/>
  <c r="U771" i="4"/>
  <c r="T771" i="4"/>
  <c r="A771" i="4"/>
  <c r="W770" i="4" a="1"/>
  <c r="W770" i="4" s="1"/>
  <c r="X770" i="4" s="1"/>
  <c r="V770" i="4" a="1"/>
  <c r="V770" i="4" s="1"/>
  <c r="U770" i="4"/>
  <c r="T770" i="4"/>
  <c r="A770" i="4"/>
  <c r="W769" i="4" a="1"/>
  <c r="W769" i="4" s="1"/>
  <c r="X769" i="4" s="1"/>
  <c r="V769" i="4" a="1"/>
  <c r="V769" i="4" s="1"/>
  <c r="U769" i="4"/>
  <c r="T769" i="4"/>
  <c r="A769" i="4"/>
  <c r="W768" i="4" a="1"/>
  <c r="W768" i="4" s="1"/>
  <c r="X768" i="4" s="1"/>
  <c r="V768" i="4" a="1"/>
  <c r="V768" i="4" s="1"/>
  <c r="U768" i="4"/>
  <c r="T768" i="4"/>
  <c r="A768" i="4"/>
  <c r="W767" i="4" a="1"/>
  <c r="W767" i="4" s="1"/>
  <c r="X767" i="4" s="1"/>
  <c r="V767" i="4" a="1"/>
  <c r="V767" i="4" s="1"/>
  <c r="U767" i="4"/>
  <c r="T767" i="4"/>
  <c r="A767" i="4"/>
  <c r="W766" i="4" a="1"/>
  <c r="W766" i="4" s="1"/>
  <c r="X766" i="4" s="1"/>
  <c r="V766" i="4" a="1"/>
  <c r="V766" i="4" s="1"/>
  <c r="U766" i="4"/>
  <c r="T766" i="4"/>
  <c r="A766" i="4"/>
  <c r="W765" i="4" a="1"/>
  <c r="W765" i="4" s="1"/>
  <c r="X765" i="4" s="1"/>
  <c r="V765" i="4" a="1"/>
  <c r="V765" i="4" s="1"/>
  <c r="U765" i="4"/>
  <c r="T765" i="4"/>
  <c r="A765" i="4"/>
  <c r="W764" i="4" a="1"/>
  <c r="W764" i="4" s="1"/>
  <c r="X764" i="4" s="1"/>
  <c r="V764" i="4" a="1"/>
  <c r="V764" i="4" s="1"/>
  <c r="U764" i="4"/>
  <c r="T764" i="4"/>
  <c r="A764" i="4"/>
  <c r="W763" i="4" a="1"/>
  <c r="W763" i="4" s="1"/>
  <c r="X763" i="4" s="1"/>
  <c r="V763" i="4" a="1"/>
  <c r="V763" i="4" s="1"/>
  <c r="U763" i="4"/>
  <c r="T763" i="4"/>
  <c r="A763" i="4"/>
  <c r="W762" i="4" a="1"/>
  <c r="W762" i="4" s="1"/>
  <c r="X762" i="4" s="1"/>
  <c r="V762" i="4" a="1"/>
  <c r="V762" i="4" s="1"/>
  <c r="U762" i="4"/>
  <c r="T762" i="4"/>
  <c r="A762" i="4"/>
  <c r="W761" i="4" a="1"/>
  <c r="W761" i="4" s="1"/>
  <c r="X761" i="4" s="1"/>
  <c r="V761" i="4" a="1"/>
  <c r="V761" i="4" s="1"/>
  <c r="U761" i="4"/>
  <c r="T761" i="4"/>
  <c r="A761" i="4"/>
  <c r="W760" i="4" a="1"/>
  <c r="W760" i="4" s="1"/>
  <c r="X760" i="4" s="1"/>
  <c r="V760" i="4" a="1"/>
  <c r="V760" i="4" s="1"/>
  <c r="U760" i="4"/>
  <c r="T760" i="4"/>
  <c r="A760" i="4"/>
  <c r="W759" i="4" a="1"/>
  <c r="W759" i="4" s="1"/>
  <c r="X759" i="4" s="1"/>
  <c r="V759" i="4" a="1"/>
  <c r="V759" i="4" s="1"/>
  <c r="U759" i="4"/>
  <c r="T759" i="4"/>
  <c r="A759" i="4"/>
  <c r="W758" i="4" a="1"/>
  <c r="W758" i="4" s="1"/>
  <c r="X758" i="4" s="1"/>
  <c r="V758" i="4" a="1"/>
  <c r="V758" i="4" s="1"/>
  <c r="U758" i="4"/>
  <c r="T758" i="4"/>
  <c r="A758" i="4"/>
  <c r="W757" i="4" a="1"/>
  <c r="W757" i="4" s="1"/>
  <c r="X757" i="4" s="1"/>
  <c r="V757" i="4" a="1"/>
  <c r="V757" i="4" s="1"/>
  <c r="U757" i="4"/>
  <c r="T757" i="4"/>
  <c r="A757" i="4"/>
  <c r="W756" i="4" a="1"/>
  <c r="W756" i="4" s="1"/>
  <c r="X756" i="4" s="1"/>
  <c r="V756" i="4" a="1"/>
  <c r="V756" i="4" s="1"/>
  <c r="U756" i="4"/>
  <c r="T756" i="4"/>
  <c r="A756" i="4"/>
  <c r="W755" i="4" a="1"/>
  <c r="W755" i="4" s="1"/>
  <c r="X755" i="4" s="1"/>
  <c r="V755" i="4" a="1"/>
  <c r="V755" i="4" s="1"/>
  <c r="U755" i="4"/>
  <c r="T755" i="4"/>
  <c r="A755" i="4"/>
  <c r="W754" i="4" a="1"/>
  <c r="W754" i="4" s="1"/>
  <c r="X754" i="4" s="1"/>
  <c r="V754" i="4" a="1"/>
  <c r="V754" i="4" s="1"/>
  <c r="U754" i="4"/>
  <c r="T754" i="4"/>
  <c r="A754" i="4"/>
  <c r="W753" i="4" a="1"/>
  <c r="W753" i="4" s="1"/>
  <c r="X753" i="4" s="1"/>
  <c r="V753" i="4" a="1"/>
  <c r="V753" i="4" s="1"/>
  <c r="U753" i="4"/>
  <c r="T753" i="4"/>
  <c r="A753" i="4"/>
  <c r="W752" i="4" a="1"/>
  <c r="W752" i="4" s="1"/>
  <c r="X752" i="4" s="1"/>
  <c r="V752" i="4" a="1"/>
  <c r="V752" i="4" s="1"/>
  <c r="U752" i="4"/>
  <c r="T752" i="4"/>
  <c r="A752" i="4"/>
  <c r="W751" i="4" a="1"/>
  <c r="W751" i="4" s="1"/>
  <c r="X751" i="4" s="1"/>
  <c r="V751" i="4" a="1"/>
  <c r="V751" i="4" s="1"/>
  <c r="U751" i="4"/>
  <c r="T751" i="4"/>
  <c r="A751" i="4"/>
  <c r="W750" i="4" a="1"/>
  <c r="W750" i="4" s="1"/>
  <c r="X750" i="4" s="1"/>
  <c r="V750" i="4" a="1"/>
  <c r="V750" i="4" s="1"/>
  <c r="U750" i="4"/>
  <c r="T750" i="4"/>
  <c r="A750" i="4"/>
  <c r="W749" i="4" a="1"/>
  <c r="W749" i="4" s="1"/>
  <c r="X749" i="4" s="1"/>
  <c r="V749" i="4" a="1"/>
  <c r="V749" i="4" s="1"/>
  <c r="U749" i="4"/>
  <c r="T749" i="4"/>
  <c r="A749" i="4"/>
  <c r="W748" i="4" a="1"/>
  <c r="W748" i="4" s="1"/>
  <c r="X748" i="4" s="1"/>
  <c r="V748" i="4" a="1"/>
  <c r="V748" i="4" s="1"/>
  <c r="U748" i="4"/>
  <c r="T748" i="4"/>
  <c r="A748" i="4"/>
  <c r="W747" i="4" a="1"/>
  <c r="W747" i="4" s="1"/>
  <c r="X747" i="4" s="1"/>
  <c r="V747" i="4" a="1"/>
  <c r="V747" i="4" s="1"/>
  <c r="U747" i="4"/>
  <c r="T747" i="4"/>
  <c r="A747" i="4"/>
  <c r="W746" i="4" a="1"/>
  <c r="W746" i="4" s="1"/>
  <c r="X746" i="4" s="1"/>
  <c r="V746" i="4" a="1"/>
  <c r="V746" i="4" s="1"/>
  <c r="U746" i="4"/>
  <c r="T746" i="4"/>
  <c r="A746" i="4"/>
  <c r="W745" i="4" a="1"/>
  <c r="W745" i="4" s="1"/>
  <c r="X745" i="4" s="1"/>
  <c r="V745" i="4" a="1"/>
  <c r="V745" i="4" s="1"/>
  <c r="U745" i="4"/>
  <c r="T745" i="4"/>
  <c r="A745" i="4"/>
  <c r="W744" i="4" a="1"/>
  <c r="W744" i="4" s="1"/>
  <c r="X744" i="4" s="1"/>
  <c r="V744" i="4" a="1"/>
  <c r="V744" i="4" s="1"/>
  <c r="U744" i="4"/>
  <c r="T744" i="4"/>
  <c r="A744" i="4"/>
  <c r="W743" i="4" a="1"/>
  <c r="W743" i="4" s="1"/>
  <c r="X743" i="4" s="1"/>
  <c r="V743" i="4" a="1"/>
  <c r="V743" i="4" s="1"/>
  <c r="U743" i="4"/>
  <c r="T743" i="4"/>
  <c r="A743" i="4"/>
  <c r="W742" i="4" a="1"/>
  <c r="W742" i="4" s="1"/>
  <c r="X742" i="4" s="1"/>
  <c r="V742" i="4" a="1"/>
  <c r="V742" i="4" s="1"/>
  <c r="U742" i="4"/>
  <c r="T742" i="4"/>
  <c r="A742" i="4"/>
  <c r="W741" i="4" a="1"/>
  <c r="W741" i="4" s="1"/>
  <c r="X741" i="4" s="1"/>
  <c r="V741" i="4" a="1"/>
  <c r="V741" i="4" s="1"/>
  <c r="U741" i="4"/>
  <c r="T741" i="4"/>
  <c r="A741" i="4"/>
  <c r="W740" i="4" a="1"/>
  <c r="W740" i="4" s="1"/>
  <c r="X740" i="4" s="1"/>
  <c r="V740" i="4" a="1"/>
  <c r="V740" i="4" s="1"/>
  <c r="U740" i="4"/>
  <c r="T740" i="4"/>
  <c r="A740" i="4"/>
  <c r="W739" i="4" a="1"/>
  <c r="W739" i="4" s="1"/>
  <c r="X739" i="4" s="1"/>
  <c r="V739" i="4" a="1"/>
  <c r="V739" i="4" s="1"/>
  <c r="U739" i="4"/>
  <c r="T739" i="4"/>
  <c r="A739" i="4"/>
  <c r="W738" i="4" a="1"/>
  <c r="W738" i="4" s="1"/>
  <c r="X738" i="4" s="1"/>
  <c r="V738" i="4" a="1"/>
  <c r="V738" i="4" s="1"/>
  <c r="U738" i="4"/>
  <c r="T738" i="4"/>
  <c r="A738" i="4"/>
  <c r="W737" i="4" a="1"/>
  <c r="W737" i="4" s="1"/>
  <c r="X737" i="4" s="1"/>
  <c r="V737" i="4" a="1"/>
  <c r="V737" i="4" s="1"/>
  <c r="U737" i="4"/>
  <c r="T737" i="4"/>
  <c r="A737" i="4"/>
  <c r="W736" i="4" a="1"/>
  <c r="W736" i="4" s="1"/>
  <c r="X736" i="4" s="1"/>
  <c r="V736" i="4" a="1"/>
  <c r="V736" i="4" s="1"/>
  <c r="U736" i="4"/>
  <c r="T736" i="4"/>
  <c r="A736" i="4"/>
  <c r="W735" i="4" a="1"/>
  <c r="W735" i="4" s="1"/>
  <c r="X735" i="4" s="1"/>
  <c r="V735" i="4" a="1"/>
  <c r="V735" i="4" s="1"/>
  <c r="U735" i="4"/>
  <c r="T735" i="4"/>
  <c r="A735" i="4"/>
  <c r="W734" i="4" a="1"/>
  <c r="W734" i="4" s="1"/>
  <c r="X734" i="4" s="1"/>
  <c r="V734" i="4" a="1"/>
  <c r="V734" i="4" s="1"/>
  <c r="U734" i="4"/>
  <c r="T734" i="4"/>
  <c r="A734" i="4"/>
  <c r="W733" i="4" a="1"/>
  <c r="W733" i="4" s="1"/>
  <c r="X733" i="4" s="1"/>
  <c r="V733" i="4" a="1"/>
  <c r="V733" i="4" s="1"/>
  <c r="U733" i="4"/>
  <c r="T733" i="4"/>
  <c r="A733" i="4"/>
  <c r="W732" i="4" a="1"/>
  <c r="W732" i="4" s="1"/>
  <c r="X732" i="4" s="1"/>
  <c r="V732" i="4" a="1"/>
  <c r="V732" i="4" s="1"/>
  <c r="U732" i="4"/>
  <c r="T732" i="4"/>
  <c r="A732" i="4"/>
  <c r="W731" i="4" a="1"/>
  <c r="W731" i="4" s="1"/>
  <c r="X731" i="4" s="1"/>
  <c r="V731" i="4" a="1"/>
  <c r="V731" i="4" s="1"/>
  <c r="U731" i="4"/>
  <c r="T731" i="4"/>
  <c r="A731" i="4"/>
  <c r="W730" i="4" a="1"/>
  <c r="W730" i="4" s="1"/>
  <c r="X730" i="4" s="1"/>
  <c r="V730" i="4" a="1"/>
  <c r="V730" i="4" s="1"/>
  <c r="U730" i="4"/>
  <c r="T730" i="4"/>
  <c r="A730" i="4"/>
  <c r="W729" i="4" a="1"/>
  <c r="W729" i="4" s="1"/>
  <c r="X729" i="4" s="1"/>
  <c r="V729" i="4" a="1"/>
  <c r="V729" i="4" s="1"/>
  <c r="U729" i="4"/>
  <c r="T729" i="4"/>
  <c r="A729" i="4"/>
  <c r="W728" i="4" a="1"/>
  <c r="W728" i="4" s="1"/>
  <c r="X728" i="4" s="1"/>
  <c r="V728" i="4" a="1"/>
  <c r="V728" i="4" s="1"/>
  <c r="U728" i="4"/>
  <c r="T728" i="4"/>
  <c r="A728" i="4"/>
  <c r="W727" i="4" a="1"/>
  <c r="W727" i="4" s="1"/>
  <c r="X727" i="4" s="1"/>
  <c r="V727" i="4" a="1"/>
  <c r="V727" i="4" s="1"/>
  <c r="U727" i="4"/>
  <c r="T727" i="4"/>
  <c r="A727" i="4"/>
  <c r="W726" i="4" a="1"/>
  <c r="W726" i="4" s="1"/>
  <c r="X726" i="4" s="1"/>
  <c r="V726" i="4" a="1"/>
  <c r="V726" i="4" s="1"/>
  <c r="U726" i="4"/>
  <c r="T726" i="4"/>
  <c r="A726" i="4"/>
  <c r="W725" i="4" a="1"/>
  <c r="W725" i="4" s="1"/>
  <c r="X725" i="4" s="1"/>
  <c r="V725" i="4" a="1"/>
  <c r="V725" i="4" s="1"/>
  <c r="U725" i="4"/>
  <c r="T725" i="4"/>
  <c r="A725" i="4"/>
  <c r="W724" i="4" a="1"/>
  <c r="W724" i="4" s="1"/>
  <c r="X724" i="4" s="1"/>
  <c r="V724" i="4" a="1"/>
  <c r="V724" i="4" s="1"/>
  <c r="U724" i="4"/>
  <c r="T724" i="4"/>
  <c r="A724" i="4"/>
  <c r="W723" i="4" a="1"/>
  <c r="W723" i="4" s="1"/>
  <c r="X723" i="4" s="1"/>
  <c r="V723" i="4" a="1"/>
  <c r="V723" i="4" s="1"/>
  <c r="U723" i="4"/>
  <c r="T723" i="4"/>
  <c r="A723" i="4"/>
  <c r="W722" i="4" a="1"/>
  <c r="W722" i="4" s="1"/>
  <c r="X722" i="4" s="1"/>
  <c r="V722" i="4" a="1"/>
  <c r="V722" i="4" s="1"/>
  <c r="U722" i="4"/>
  <c r="T722" i="4"/>
  <c r="A722" i="4"/>
  <c r="W721" i="4" a="1"/>
  <c r="W721" i="4" s="1"/>
  <c r="X721" i="4" s="1"/>
  <c r="V721" i="4" a="1"/>
  <c r="V721" i="4" s="1"/>
  <c r="U721" i="4"/>
  <c r="T721" i="4"/>
  <c r="A721" i="4"/>
  <c r="W720" i="4" a="1"/>
  <c r="W720" i="4" s="1"/>
  <c r="X720" i="4" s="1"/>
  <c r="V720" i="4" a="1"/>
  <c r="V720" i="4" s="1"/>
  <c r="U720" i="4"/>
  <c r="T720" i="4"/>
  <c r="A720" i="4"/>
  <c r="W719" i="4" a="1"/>
  <c r="W719" i="4" s="1"/>
  <c r="X719" i="4" s="1"/>
  <c r="V719" i="4" a="1"/>
  <c r="V719" i="4" s="1"/>
  <c r="U719" i="4"/>
  <c r="T719" i="4"/>
  <c r="A719" i="4"/>
  <c r="W718" i="4" a="1"/>
  <c r="W718" i="4" s="1"/>
  <c r="X718" i="4" s="1"/>
  <c r="V718" i="4" a="1"/>
  <c r="V718" i="4" s="1"/>
  <c r="U718" i="4"/>
  <c r="T718" i="4"/>
  <c r="A718" i="4"/>
  <c r="W717" i="4" a="1"/>
  <c r="W717" i="4" s="1"/>
  <c r="X717" i="4" s="1"/>
  <c r="V717" i="4" a="1"/>
  <c r="V717" i="4" s="1"/>
  <c r="U717" i="4"/>
  <c r="T717" i="4"/>
  <c r="A717" i="4"/>
  <c r="W716" i="4" a="1"/>
  <c r="W716" i="4" s="1"/>
  <c r="X716" i="4" s="1"/>
  <c r="V716" i="4" a="1"/>
  <c r="V716" i="4" s="1"/>
  <c r="U716" i="4"/>
  <c r="T716" i="4"/>
  <c r="A716" i="4"/>
  <c r="W715" i="4" a="1"/>
  <c r="W715" i="4" s="1"/>
  <c r="X715" i="4" s="1"/>
  <c r="V715" i="4" a="1"/>
  <c r="V715" i="4" s="1"/>
  <c r="U715" i="4"/>
  <c r="T715" i="4"/>
  <c r="A715" i="4"/>
  <c r="W714" i="4" a="1"/>
  <c r="W714" i="4" s="1"/>
  <c r="X714" i="4" s="1"/>
  <c r="V714" i="4" a="1"/>
  <c r="V714" i="4" s="1"/>
  <c r="U714" i="4"/>
  <c r="T714" i="4"/>
  <c r="A714" i="4"/>
  <c r="W713" i="4" a="1"/>
  <c r="W713" i="4" s="1"/>
  <c r="X713" i="4" s="1"/>
  <c r="V713" i="4" a="1"/>
  <c r="V713" i="4" s="1"/>
  <c r="U713" i="4"/>
  <c r="T713" i="4"/>
  <c r="A713" i="4"/>
  <c r="W712" i="4" a="1"/>
  <c r="W712" i="4" s="1"/>
  <c r="X712" i="4" s="1"/>
  <c r="V712" i="4" a="1"/>
  <c r="V712" i="4" s="1"/>
  <c r="U712" i="4"/>
  <c r="T712" i="4"/>
  <c r="A712" i="4"/>
  <c r="W711" i="4" a="1"/>
  <c r="W711" i="4" s="1"/>
  <c r="X711" i="4" s="1"/>
  <c r="V711" i="4" a="1"/>
  <c r="V711" i="4" s="1"/>
  <c r="U711" i="4"/>
  <c r="T711" i="4"/>
  <c r="A711" i="4"/>
  <c r="W710" i="4" a="1"/>
  <c r="W710" i="4" s="1"/>
  <c r="X710" i="4" s="1"/>
  <c r="V710" i="4" a="1"/>
  <c r="V710" i="4" s="1"/>
  <c r="U710" i="4"/>
  <c r="T710" i="4"/>
  <c r="A710" i="4"/>
  <c r="W709" i="4" a="1"/>
  <c r="W709" i="4" s="1"/>
  <c r="X709" i="4" s="1"/>
  <c r="V709" i="4" a="1"/>
  <c r="V709" i="4" s="1"/>
  <c r="U709" i="4"/>
  <c r="T709" i="4"/>
  <c r="A709" i="4"/>
  <c r="W708" i="4" a="1"/>
  <c r="W708" i="4" s="1"/>
  <c r="X708" i="4" s="1"/>
  <c r="V708" i="4" a="1"/>
  <c r="V708" i="4" s="1"/>
  <c r="U708" i="4"/>
  <c r="T708" i="4"/>
  <c r="A708" i="4"/>
  <c r="W707" i="4" a="1"/>
  <c r="W707" i="4" s="1"/>
  <c r="X707" i="4" s="1"/>
  <c r="V707" i="4" a="1"/>
  <c r="V707" i="4" s="1"/>
  <c r="U707" i="4"/>
  <c r="T707" i="4"/>
  <c r="A707" i="4"/>
  <c r="W706" i="4" a="1"/>
  <c r="W706" i="4" s="1"/>
  <c r="X706" i="4" s="1"/>
  <c r="V706" i="4" a="1"/>
  <c r="V706" i="4" s="1"/>
  <c r="U706" i="4"/>
  <c r="T706" i="4"/>
  <c r="A706" i="4"/>
  <c r="W705" i="4" a="1"/>
  <c r="W705" i="4" s="1"/>
  <c r="X705" i="4" s="1"/>
  <c r="V705" i="4" a="1"/>
  <c r="V705" i="4" s="1"/>
  <c r="U705" i="4"/>
  <c r="T705" i="4"/>
  <c r="A705" i="4"/>
  <c r="W704" i="4" a="1"/>
  <c r="W704" i="4" s="1"/>
  <c r="X704" i="4" s="1"/>
  <c r="V704" i="4" a="1"/>
  <c r="V704" i="4" s="1"/>
  <c r="U704" i="4"/>
  <c r="T704" i="4"/>
  <c r="A704" i="4"/>
  <c r="W703" i="4" a="1"/>
  <c r="W703" i="4" s="1"/>
  <c r="X703" i="4" s="1"/>
  <c r="V703" i="4" a="1"/>
  <c r="V703" i="4" s="1"/>
  <c r="U703" i="4"/>
  <c r="T703" i="4"/>
  <c r="A703" i="4"/>
  <c r="W702" i="4" a="1"/>
  <c r="W702" i="4" s="1"/>
  <c r="X702" i="4" s="1"/>
  <c r="V702" i="4" a="1"/>
  <c r="V702" i="4" s="1"/>
  <c r="U702" i="4"/>
  <c r="T702" i="4"/>
  <c r="A702" i="4"/>
  <c r="W701" i="4" a="1"/>
  <c r="W701" i="4" s="1"/>
  <c r="X701" i="4" s="1"/>
  <c r="V701" i="4" a="1"/>
  <c r="V701" i="4" s="1"/>
  <c r="U701" i="4"/>
  <c r="T701" i="4"/>
  <c r="A701" i="4"/>
  <c r="W700" i="4" a="1"/>
  <c r="W700" i="4" s="1"/>
  <c r="X700" i="4" s="1"/>
  <c r="V700" i="4" a="1"/>
  <c r="V700" i="4" s="1"/>
  <c r="U700" i="4"/>
  <c r="T700" i="4"/>
  <c r="A700" i="4"/>
  <c r="W699" i="4" a="1"/>
  <c r="W699" i="4" s="1"/>
  <c r="X699" i="4" s="1"/>
  <c r="V699" i="4" a="1"/>
  <c r="V699" i="4" s="1"/>
  <c r="U699" i="4"/>
  <c r="T699" i="4"/>
  <c r="A699" i="4"/>
  <c r="W698" i="4" a="1"/>
  <c r="W698" i="4" s="1"/>
  <c r="X698" i="4" s="1"/>
  <c r="V698" i="4" a="1"/>
  <c r="V698" i="4" s="1"/>
  <c r="U698" i="4"/>
  <c r="T698" i="4"/>
  <c r="A698" i="4"/>
  <c r="W697" i="4" a="1"/>
  <c r="W697" i="4" s="1"/>
  <c r="X697" i="4" s="1"/>
  <c r="V697" i="4" a="1"/>
  <c r="V697" i="4" s="1"/>
  <c r="U697" i="4"/>
  <c r="T697" i="4"/>
  <c r="A697" i="4"/>
  <c r="W696" i="4" a="1"/>
  <c r="W696" i="4" s="1"/>
  <c r="X696" i="4" s="1"/>
  <c r="V696" i="4" a="1"/>
  <c r="V696" i="4" s="1"/>
  <c r="U696" i="4"/>
  <c r="T696" i="4"/>
  <c r="A696" i="4"/>
  <c r="W695" i="4" a="1"/>
  <c r="W695" i="4" s="1"/>
  <c r="X695" i="4" s="1"/>
  <c r="V695" i="4" a="1"/>
  <c r="V695" i="4" s="1"/>
  <c r="U695" i="4"/>
  <c r="T695" i="4"/>
  <c r="A695" i="4"/>
  <c r="W694" i="4" a="1"/>
  <c r="W694" i="4" s="1"/>
  <c r="X694" i="4" s="1"/>
  <c r="V694" i="4" a="1"/>
  <c r="V694" i="4" s="1"/>
  <c r="U694" i="4"/>
  <c r="T694" i="4"/>
  <c r="A694" i="4"/>
  <c r="W693" i="4" a="1"/>
  <c r="W693" i="4" s="1"/>
  <c r="X693" i="4" s="1"/>
  <c r="V693" i="4" a="1"/>
  <c r="V693" i="4" s="1"/>
  <c r="U693" i="4"/>
  <c r="T693" i="4"/>
  <c r="A693" i="4"/>
  <c r="W692" i="4" a="1"/>
  <c r="W692" i="4" s="1"/>
  <c r="X692" i="4" s="1"/>
  <c r="V692" i="4" a="1"/>
  <c r="V692" i="4" s="1"/>
  <c r="U692" i="4"/>
  <c r="T692" i="4"/>
  <c r="A692" i="4"/>
  <c r="W691" i="4" a="1"/>
  <c r="W691" i="4" s="1"/>
  <c r="X691" i="4" s="1"/>
  <c r="V691" i="4" a="1"/>
  <c r="V691" i="4" s="1"/>
  <c r="U691" i="4"/>
  <c r="T691" i="4"/>
  <c r="A691" i="4"/>
  <c r="W690" i="4" a="1"/>
  <c r="W690" i="4" s="1"/>
  <c r="X690" i="4" s="1"/>
  <c r="V690" i="4" a="1"/>
  <c r="V690" i="4" s="1"/>
  <c r="U690" i="4"/>
  <c r="T690" i="4"/>
  <c r="A690" i="4"/>
  <c r="W689" i="4" a="1"/>
  <c r="W689" i="4" s="1"/>
  <c r="X689" i="4" s="1"/>
  <c r="V689" i="4" a="1"/>
  <c r="V689" i="4" s="1"/>
  <c r="U689" i="4"/>
  <c r="T689" i="4"/>
  <c r="A689" i="4"/>
  <c r="W688" i="4" a="1"/>
  <c r="W688" i="4" s="1"/>
  <c r="X688" i="4" s="1"/>
  <c r="V688" i="4" a="1"/>
  <c r="V688" i="4" s="1"/>
  <c r="U688" i="4"/>
  <c r="T688" i="4"/>
  <c r="A688" i="4"/>
  <c r="W687" i="4" a="1"/>
  <c r="W687" i="4" s="1"/>
  <c r="X687" i="4" s="1"/>
  <c r="V687" i="4" a="1"/>
  <c r="V687" i="4" s="1"/>
  <c r="U687" i="4"/>
  <c r="T687" i="4"/>
  <c r="A687" i="4"/>
  <c r="W686" i="4" a="1"/>
  <c r="W686" i="4" s="1"/>
  <c r="X686" i="4" s="1"/>
  <c r="V686" i="4" a="1"/>
  <c r="V686" i="4" s="1"/>
  <c r="U686" i="4"/>
  <c r="T686" i="4"/>
  <c r="A686" i="4"/>
  <c r="W685" i="4" a="1"/>
  <c r="W685" i="4" s="1"/>
  <c r="X685" i="4" s="1"/>
  <c r="V685" i="4" a="1"/>
  <c r="V685" i="4" s="1"/>
  <c r="U685" i="4"/>
  <c r="T685" i="4"/>
  <c r="A685" i="4"/>
  <c r="W684" i="4" a="1"/>
  <c r="W684" i="4" s="1"/>
  <c r="X684" i="4" s="1"/>
  <c r="V684" i="4" a="1"/>
  <c r="V684" i="4" s="1"/>
  <c r="U684" i="4"/>
  <c r="T684" i="4"/>
  <c r="A684" i="4"/>
  <c r="W683" i="4" a="1"/>
  <c r="W683" i="4" s="1"/>
  <c r="X683" i="4" s="1"/>
  <c r="V683" i="4" a="1"/>
  <c r="V683" i="4" s="1"/>
  <c r="U683" i="4"/>
  <c r="T683" i="4"/>
  <c r="A683" i="4"/>
  <c r="W682" i="4" a="1"/>
  <c r="W682" i="4" s="1"/>
  <c r="X682" i="4" s="1"/>
  <c r="V682" i="4" a="1"/>
  <c r="V682" i="4" s="1"/>
  <c r="U682" i="4"/>
  <c r="T682" i="4"/>
  <c r="A682" i="4"/>
  <c r="W681" i="4" a="1"/>
  <c r="W681" i="4" s="1"/>
  <c r="X681" i="4" s="1"/>
  <c r="V681" i="4" a="1"/>
  <c r="V681" i="4" s="1"/>
  <c r="U681" i="4"/>
  <c r="T681" i="4"/>
  <c r="A681" i="4"/>
  <c r="W680" i="4" a="1"/>
  <c r="W680" i="4" s="1"/>
  <c r="X680" i="4" s="1"/>
  <c r="V680" i="4" a="1"/>
  <c r="V680" i="4" s="1"/>
  <c r="U680" i="4"/>
  <c r="T680" i="4"/>
  <c r="A680" i="4"/>
  <c r="W679" i="4" a="1"/>
  <c r="W679" i="4" s="1"/>
  <c r="X679" i="4" s="1"/>
  <c r="V679" i="4" a="1"/>
  <c r="V679" i="4" s="1"/>
  <c r="U679" i="4"/>
  <c r="T679" i="4"/>
  <c r="A679" i="4"/>
  <c r="W678" i="4" a="1"/>
  <c r="W678" i="4" s="1"/>
  <c r="X678" i="4" s="1"/>
  <c r="V678" i="4" a="1"/>
  <c r="V678" i="4" s="1"/>
  <c r="U678" i="4"/>
  <c r="T678" i="4"/>
  <c r="A678" i="4"/>
  <c r="W677" i="4" a="1"/>
  <c r="W677" i="4" s="1"/>
  <c r="X677" i="4" s="1"/>
  <c r="V677" i="4" a="1"/>
  <c r="V677" i="4" s="1"/>
  <c r="U677" i="4"/>
  <c r="T677" i="4"/>
  <c r="A677" i="4"/>
  <c r="W676" i="4" a="1"/>
  <c r="W676" i="4" s="1"/>
  <c r="X676" i="4" s="1"/>
  <c r="V676" i="4" a="1"/>
  <c r="V676" i="4" s="1"/>
  <c r="U676" i="4"/>
  <c r="T676" i="4"/>
  <c r="A676" i="4"/>
  <c r="W675" i="4" a="1"/>
  <c r="W675" i="4" s="1"/>
  <c r="X675" i="4" s="1"/>
  <c r="V675" i="4" a="1"/>
  <c r="V675" i="4" s="1"/>
  <c r="U675" i="4"/>
  <c r="T675" i="4"/>
  <c r="A675" i="4"/>
  <c r="W674" i="4" a="1"/>
  <c r="W674" i="4" s="1"/>
  <c r="X674" i="4" s="1"/>
  <c r="V674" i="4" a="1"/>
  <c r="V674" i="4" s="1"/>
  <c r="U674" i="4"/>
  <c r="T674" i="4"/>
  <c r="A674" i="4"/>
  <c r="W673" i="4" a="1"/>
  <c r="W673" i="4" s="1"/>
  <c r="X673" i="4" s="1"/>
  <c r="V673" i="4" a="1"/>
  <c r="V673" i="4" s="1"/>
  <c r="U673" i="4"/>
  <c r="T673" i="4"/>
  <c r="A673" i="4"/>
  <c r="W672" i="4" a="1"/>
  <c r="W672" i="4" s="1"/>
  <c r="X672" i="4" s="1"/>
  <c r="V672" i="4" a="1"/>
  <c r="V672" i="4" s="1"/>
  <c r="U672" i="4"/>
  <c r="T672" i="4"/>
  <c r="A672" i="4"/>
  <c r="W671" i="4" a="1"/>
  <c r="W671" i="4" s="1"/>
  <c r="X671" i="4" s="1"/>
  <c r="V671" i="4" a="1"/>
  <c r="V671" i="4" s="1"/>
  <c r="U671" i="4"/>
  <c r="T671" i="4"/>
  <c r="A671" i="4"/>
  <c r="W670" i="4" a="1"/>
  <c r="W670" i="4" s="1"/>
  <c r="X670" i="4" s="1"/>
  <c r="V670" i="4" a="1"/>
  <c r="V670" i="4" s="1"/>
  <c r="U670" i="4"/>
  <c r="T670" i="4"/>
  <c r="A670" i="4"/>
  <c r="W669" i="4" a="1"/>
  <c r="W669" i="4" s="1"/>
  <c r="X669" i="4" s="1"/>
  <c r="V669" i="4" a="1"/>
  <c r="V669" i="4" s="1"/>
  <c r="U669" i="4"/>
  <c r="T669" i="4"/>
  <c r="A669" i="4"/>
  <c r="W668" i="4" a="1"/>
  <c r="W668" i="4" s="1"/>
  <c r="X668" i="4" s="1"/>
  <c r="V668" i="4" a="1"/>
  <c r="V668" i="4" s="1"/>
  <c r="U668" i="4"/>
  <c r="T668" i="4"/>
  <c r="A668" i="4"/>
  <c r="W667" i="4" a="1"/>
  <c r="W667" i="4" s="1"/>
  <c r="X667" i="4" s="1"/>
  <c r="V667" i="4" a="1"/>
  <c r="V667" i="4" s="1"/>
  <c r="U667" i="4"/>
  <c r="T667" i="4"/>
  <c r="A667" i="4"/>
  <c r="W666" i="4" a="1"/>
  <c r="W666" i="4" s="1"/>
  <c r="X666" i="4" s="1"/>
  <c r="V666" i="4" a="1"/>
  <c r="V666" i="4" s="1"/>
  <c r="U666" i="4"/>
  <c r="T666" i="4"/>
  <c r="A666" i="4"/>
  <c r="W665" i="4" a="1"/>
  <c r="W665" i="4" s="1"/>
  <c r="X665" i="4" s="1"/>
  <c r="V665" i="4" a="1"/>
  <c r="V665" i="4" s="1"/>
  <c r="U665" i="4"/>
  <c r="T665" i="4"/>
  <c r="A665" i="4"/>
  <c r="W664" i="4" a="1"/>
  <c r="W664" i="4" s="1"/>
  <c r="X664" i="4" s="1"/>
  <c r="V664" i="4" a="1"/>
  <c r="V664" i="4" s="1"/>
  <c r="U664" i="4"/>
  <c r="T664" i="4"/>
  <c r="A664" i="4"/>
  <c r="W663" i="4" a="1"/>
  <c r="W663" i="4" s="1"/>
  <c r="X663" i="4" s="1"/>
  <c r="V663" i="4" a="1"/>
  <c r="V663" i="4" s="1"/>
  <c r="U663" i="4"/>
  <c r="T663" i="4"/>
  <c r="A663" i="4"/>
  <c r="W662" i="4" a="1"/>
  <c r="W662" i="4" s="1"/>
  <c r="X662" i="4" s="1"/>
  <c r="V662" i="4" a="1"/>
  <c r="V662" i="4" s="1"/>
  <c r="U662" i="4"/>
  <c r="T662" i="4"/>
  <c r="A662" i="4"/>
  <c r="W661" i="4" a="1"/>
  <c r="W661" i="4" s="1"/>
  <c r="X661" i="4" s="1"/>
  <c r="V661" i="4" a="1"/>
  <c r="V661" i="4" s="1"/>
  <c r="U661" i="4"/>
  <c r="T661" i="4"/>
  <c r="A661" i="4"/>
  <c r="W660" i="4" a="1"/>
  <c r="W660" i="4" s="1"/>
  <c r="X660" i="4" s="1"/>
  <c r="V660" i="4" a="1"/>
  <c r="V660" i="4" s="1"/>
  <c r="U660" i="4"/>
  <c r="T660" i="4"/>
  <c r="A660" i="4"/>
  <c r="W659" i="4" a="1"/>
  <c r="W659" i="4" s="1"/>
  <c r="X659" i="4" s="1"/>
  <c r="V659" i="4" a="1"/>
  <c r="V659" i="4" s="1"/>
  <c r="U659" i="4"/>
  <c r="T659" i="4"/>
  <c r="A659" i="4"/>
  <c r="W658" i="4" a="1"/>
  <c r="W658" i="4" s="1"/>
  <c r="X658" i="4" s="1"/>
  <c r="V658" i="4" a="1"/>
  <c r="V658" i="4" s="1"/>
  <c r="U658" i="4"/>
  <c r="T658" i="4"/>
  <c r="A658" i="4"/>
  <c r="W657" i="4" a="1"/>
  <c r="W657" i="4" s="1"/>
  <c r="X657" i="4" s="1"/>
  <c r="V657" i="4" a="1"/>
  <c r="V657" i="4" s="1"/>
  <c r="U657" i="4"/>
  <c r="T657" i="4"/>
  <c r="A657" i="4"/>
  <c r="W656" i="4" a="1"/>
  <c r="W656" i="4" s="1"/>
  <c r="X656" i="4" s="1"/>
  <c r="V656" i="4" a="1"/>
  <c r="V656" i="4" s="1"/>
  <c r="U656" i="4"/>
  <c r="T656" i="4"/>
  <c r="A656" i="4"/>
  <c r="W655" i="4" a="1"/>
  <c r="W655" i="4" s="1"/>
  <c r="X655" i="4" s="1"/>
  <c r="V655" i="4" a="1"/>
  <c r="V655" i="4" s="1"/>
  <c r="U655" i="4"/>
  <c r="T655" i="4"/>
  <c r="A655" i="4"/>
  <c r="W654" i="4" a="1"/>
  <c r="W654" i="4" s="1"/>
  <c r="X654" i="4" s="1"/>
  <c r="V654" i="4" a="1"/>
  <c r="V654" i="4" s="1"/>
  <c r="U654" i="4"/>
  <c r="T654" i="4"/>
  <c r="A654" i="4"/>
  <c r="W653" i="4" a="1"/>
  <c r="W653" i="4" s="1"/>
  <c r="X653" i="4" s="1"/>
  <c r="V653" i="4" a="1"/>
  <c r="V653" i="4" s="1"/>
  <c r="U653" i="4"/>
  <c r="T653" i="4"/>
  <c r="A653" i="4"/>
  <c r="W652" i="4" a="1"/>
  <c r="W652" i="4" s="1"/>
  <c r="X652" i="4" s="1"/>
  <c r="V652" i="4" a="1"/>
  <c r="V652" i="4" s="1"/>
  <c r="U652" i="4"/>
  <c r="T652" i="4"/>
  <c r="A652" i="4"/>
  <c r="W651" i="4" a="1"/>
  <c r="W651" i="4" s="1"/>
  <c r="X651" i="4" s="1"/>
  <c r="V651" i="4" a="1"/>
  <c r="V651" i="4" s="1"/>
  <c r="U651" i="4"/>
  <c r="T651" i="4"/>
  <c r="A651" i="4"/>
  <c r="W650" i="4" a="1"/>
  <c r="W650" i="4" s="1"/>
  <c r="X650" i="4" s="1"/>
  <c r="V650" i="4" a="1"/>
  <c r="V650" i="4" s="1"/>
  <c r="U650" i="4"/>
  <c r="T650" i="4"/>
  <c r="A650" i="4"/>
  <c r="W649" i="4" a="1"/>
  <c r="W649" i="4" s="1"/>
  <c r="X649" i="4" s="1"/>
  <c r="V649" i="4" a="1"/>
  <c r="V649" i="4" s="1"/>
  <c r="U649" i="4"/>
  <c r="T649" i="4"/>
  <c r="A649" i="4"/>
  <c r="W648" i="4" a="1"/>
  <c r="W648" i="4" s="1"/>
  <c r="X648" i="4" s="1"/>
  <c r="V648" i="4" a="1"/>
  <c r="V648" i="4" s="1"/>
  <c r="U648" i="4"/>
  <c r="T648" i="4"/>
  <c r="A648" i="4"/>
  <c r="W647" i="4" a="1"/>
  <c r="W647" i="4" s="1"/>
  <c r="X647" i="4" s="1"/>
  <c r="V647" i="4" a="1"/>
  <c r="V647" i="4" s="1"/>
  <c r="U647" i="4"/>
  <c r="T647" i="4"/>
  <c r="A647" i="4"/>
  <c r="W646" i="4" a="1"/>
  <c r="W646" i="4" s="1"/>
  <c r="X646" i="4" s="1"/>
  <c r="V646" i="4" a="1"/>
  <c r="V646" i="4" s="1"/>
  <c r="U646" i="4"/>
  <c r="T646" i="4"/>
  <c r="A646" i="4"/>
  <c r="W645" i="4" a="1"/>
  <c r="W645" i="4" s="1"/>
  <c r="X645" i="4" s="1"/>
  <c r="V645" i="4" a="1"/>
  <c r="V645" i="4" s="1"/>
  <c r="U645" i="4"/>
  <c r="T645" i="4"/>
  <c r="A645" i="4"/>
  <c r="W644" i="4" a="1"/>
  <c r="W644" i="4" s="1"/>
  <c r="X644" i="4" s="1"/>
  <c r="V644" i="4" a="1"/>
  <c r="V644" i="4" s="1"/>
  <c r="U644" i="4"/>
  <c r="T644" i="4"/>
  <c r="A644" i="4"/>
  <c r="W643" i="4" a="1"/>
  <c r="W643" i="4" s="1"/>
  <c r="X643" i="4" s="1"/>
  <c r="V643" i="4" a="1"/>
  <c r="V643" i="4" s="1"/>
  <c r="U643" i="4"/>
  <c r="T643" i="4"/>
  <c r="A643" i="4"/>
  <c r="W642" i="4" a="1"/>
  <c r="W642" i="4" s="1"/>
  <c r="X642" i="4" s="1"/>
  <c r="V642" i="4" a="1"/>
  <c r="V642" i="4" s="1"/>
  <c r="U642" i="4"/>
  <c r="T642" i="4"/>
  <c r="A642" i="4"/>
  <c r="W641" i="4" a="1"/>
  <c r="W641" i="4" s="1"/>
  <c r="X641" i="4" s="1"/>
  <c r="V641" i="4" a="1"/>
  <c r="V641" i="4" s="1"/>
  <c r="U641" i="4"/>
  <c r="T641" i="4"/>
  <c r="A641" i="4"/>
  <c r="W640" i="4" a="1"/>
  <c r="W640" i="4" s="1"/>
  <c r="X640" i="4" s="1"/>
  <c r="V640" i="4" a="1"/>
  <c r="V640" i="4" s="1"/>
  <c r="U640" i="4"/>
  <c r="T640" i="4"/>
  <c r="A640" i="4"/>
  <c r="W639" i="4" a="1"/>
  <c r="W639" i="4" s="1"/>
  <c r="X639" i="4" s="1"/>
  <c r="V639" i="4" a="1"/>
  <c r="V639" i="4" s="1"/>
  <c r="U639" i="4"/>
  <c r="T639" i="4"/>
  <c r="A639" i="4"/>
  <c r="W638" i="4" a="1"/>
  <c r="W638" i="4" s="1"/>
  <c r="X638" i="4" s="1"/>
  <c r="V638" i="4" a="1"/>
  <c r="V638" i="4" s="1"/>
  <c r="U638" i="4"/>
  <c r="T638" i="4"/>
  <c r="A638" i="4"/>
  <c r="W637" i="4" a="1"/>
  <c r="W637" i="4" s="1"/>
  <c r="X637" i="4" s="1"/>
  <c r="V637" i="4" a="1"/>
  <c r="V637" i="4" s="1"/>
  <c r="U637" i="4"/>
  <c r="T637" i="4"/>
  <c r="A637" i="4"/>
  <c r="W636" i="4" a="1"/>
  <c r="W636" i="4" s="1"/>
  <c r="X636" i="4" s="1"/>
  <c r="V636" i="4" a="1"/>
  <c r="V636" i="4" s="1"/>
  <c r="U636" i="4"/>
  <c r="T636" i="4"/>
  <c r="A636" i="4"/>
  <c r="W635" i="4" a="1"/>
  <c r="W635" i="4" s="1"/>
  <c r="X635" i="4" s="1"/>
  <c r="V635" i="4" a="1"/>
  <c r="V635" i="4" s="1"/>
  <c r="U635" i="4"/>
  <c r="T635" i="4"/>
  <c r="A635" i="4"/>
  <c r="W634" i="4" a="1"/>
  <c r="W634" i="4" s="1"/>
  <c r="X634" i="4" s="1"/>
  <c r="V634" i="4" a="1"/>
  <c r="V634" i="4" s="1"/>
  <c r="U634" i="4"/>
  <c r="T634" i="4"/>
  <c r="A634" i="4"/>
  <c r="W633" i="4" a="1"/>
  <c r="W633" i="4" s="1"/>
  <c r="X633" i="4" s="1"/>
  <c r="V633" i="4" a="1"/>
  <c r="V633" i="4" s="1"/>
  <c r="U633" i="4"/>
  <c r="T633" i="4"/>
  <c r="A633" i="4"/>
  <c r="W632" i="4" a="1"/>
  <c r="W632" i="4" s="1"/>
  <c r="X632" i="4" s="1"/>
  <c r="V632" i="4" a="1"/>
  <c r="V632" i="4" s="1"/>
  <c r="U632" i="4"/>
  <c r="T632" i="4"/>
  <c r="A632" i="4"/>
  <c r="W631" i="4" a="1"/>
  <c r="W631" i="4" s="1"/>
  <c r="X631" i="4" s="1"/>
  <c r="V631" i="4" a="1"/>
  <c r="V631" i="4" s="1"/>
  <c r="U631" i="4"/>
  <c r="T631" i="4"/>
  <c r="A631" i="4"/>
  <c r="W630" i="4" a="1"/>
  <c r="W630" i="4" s="1"/>
  <c r="X630" i="4" s="1"/>
  <c r="V630" i="4" a="1"/>
  <c r="V630" i="4" s="1"/>
  <c r="U630" i="4"/>
  <c r="T630" i="4"/>
  <c r="A630" i="4"/>
  <c r="W629" i="4" a="1"/>
  <c r="W629" i="4" s="1"/>
  <c r="X629" i="4" s="1"/>
  <c r="V629" i="4" a="1"/>
  <c r="V629" i="4" s="1"/>
  <c r="U629" i="4"/>
  <c r="T629" i="4"/>
  <c r="A629" i="4"/>
  <c r="W628" i="4" a="1"/>
  <c r="W628" i="4" s="1"/>
  <c r="X628" i="4" s="1"/>
  <c r="V628" i="4" a="1"/>
  <c r="V628" i="4" s="1"/>
  <c r="U628" i="4"/>
  <c r="T628" i="4"/>
  <c r="A628" i="4"/>
  <c r="W627" i="4" a="1"/>
  <c r="W627" i="4" s="1"/>
  <c r="X627" i="4" s="1"/>
  <c r="V627" i="4" a="1"/>
  <c r="V627" i="4" s="1"/>
  <c r="U627" i="4"/>
  <c r="T627" i="4"/>
  <c r="A627" i="4"/>
  <c r="W626" i="4" a="1"/>
  <c r="W626" i="4" s="1"/>
  <c r="X626" i="4" s="1"/>
  <c r="V626" i="4" a="1"/>
  <c r="V626" i="4" s="1"/>
  <c r="U626" i="4"/>
  <c r="T626" i="4"/>
  <c r="A626" i="4"/>
  <c r="W625" i="4" a="1"/>
  <c r="W625" i="4" s="1"/>
  <c r="X625" i="4" s="1"/>
  <c r="V625" i="4" a="1"/>
  <c r="V625" i="4" s="1"/>
  <c r="U625" i="4"/>
  <c r="T625" i="4"/>
  <c r="A625" i="4"/>
  <c r="W624" i="4" a="1"/>
  <c r="W624" i="4" s="1"/>
  <c r="X624" i="4" s="1"/>
  <c r="V624" i="4" a="1"/>
  <c r="V624" i="4" s="1"/>
  <c r="U624" i="4"/>
  <c r="T624" i="4"/>
  <c r="A624" i="4"/>
  <c r="W623" i="4" a="1"/>
  <c r="W623" i="4" s="1"/>
  <c r="X623" i="4" s="1"/>
  <c r="V623" i="4" a="1"/>
  <c r="V623" i="4" s="1"/>
  <c r="U623" i="4"/>
  <c r="T623" i="4"/>
  <c r="A623" i="4"/>
  <c r="W622" i="4" a="1"/>
  <c r="W622" i="4" s="1"/>
  <c r="X622" i="4" s="1"/>
  <c r="V622" i="4" a="1"/>
  <c r="V622" i="4" s="1"/>
  <c r="U622" i="4"/>
  <c r="T622" i="4"/>
  <c r="A622" i="4"/>
  <c r="W621" i="4" a="1"/>
  <c r="W621" i="4" s="1"/>
  <c r="X621" i="4" s="1"/>
  <c r="V621" i="4" a="1"/>
  <c r="V621" i="4" s="1"/>
  <c r="U621" i="4"/>
  <c r="T621" i="4"/>
  <c r="A621" i="4"/>
  <c r="W620" i="4" a="1"/>
  <c r="W620" i="4" s="1"/>
  <c r="X620" i="4" s="1"/>
  <c r="V620" i="4" a="1"/>
  <c r="V620" i="4" s="1"/>
  <c r="U620" i="4"/>
  <c r="T620" i="4"/>
  <c r="A620" i="4"/>
  <c r="W619" i="4" a="1"/>
  <c r="W619" i="4" s="1"/>
  <c r="X619" i="4" s="1"/>
  <c r="V619" i="4" a="1"/>
  <c r="V619" i="4" s="1"/>
  <c r="U619" i="4"/>
  <c r="T619" i="4"/>
  <c r="A619" i="4"/>
  <c r="W618" i="4" a="1"/>
  <c r="W618" i="4" s="1"/>
  <c r="X618" i="4" s="1"/>
  <c r="V618" i="4" a="1"/>
  <c r="V618" i="4" s="1"/>
  <c r="U618" i="4"/>
  <c r="T618" i="4"/>
  <c r="A618" i="4"/>
  <c r="W617" i="4" a="1"/>
  <c r="W617" i="4" s="1"/>
  <c r="X617" i="4" s="1"/>
  <c r="V617" i="4" a="1"/>
  <c r="V617" i="4" s="1"/>
  <c r="U617" i="4"/>
  <c r="T617" i="4"/>
  <c r="A617" i="4"/>
  <c r="W616" i="4" a="1"/>
  <c r="W616" i="4" s="1"/>
  <c r="X616" i="4" s="1"/>
  <c r="V616" i="4" a="1"/>
  <c r="V616" i="4" s="1"/>
  <c r="U616" i="4"/>
  <c r="T616" i="4"/>
  <c r="A616" i="4"/>
  <c r="W615" i="4" a="1"/>
  <c r="W615" i="4" s="1"/>
  <c r="X615" i="4" s="1"/>
  <c r="V615" i="4" a="1"/>
  <c r="V615" i="4" s="1"/>
  <c r="U615" i="4"/>
  <c r="T615" i="4"/>
  <c r="A615" i="4"/>
  <c r="W614" i="4" a="1"/>
  <c r="W614" i="4" s="1"/>
  <c r="X614" i="4" s="1"/>
  <c r="V614" i="4" a="1"/>
  <c r="V614" i="4" s="1"/>
  <c r="U614" i="4"/>
  <c r="T614" i="4"/>
  <c r="A614" i="4"/>
  <c r="W613" i="4" a="1"/>
  <c r="W613" i="4" s="1"/>
  <c r="X613" i="4" s="1"/>
  <c r="V613" i="4" a="1"/>
  <c r="V613" i="4" s="1"/>
  <c r="U613" i="4"/>
  <c r="T613" i="4"/>
  <c r="A613" i="4"/>
  <c r="W612" i="4" a="1"/>
  <c r="W612" i="4" s="1"/>
  <c r="X612" i="4" s="1"/>
  <c r="V612" i="4" a="1"/>
  <c r="V612" i="4" s="1"/>
  <c r="U612" i="4"/>
  <c r="T612" i="4"/>
  <c r="A612" i="4"/>
  <c r="W611" i="4" a="1"/>
  <c r="W611" i="4" s="1"/>
  <c r="X611" i="4" s="1"/>
  <c r="V611" i="4" a="1"/>
  <c r="V611" i="4" s="1"/>
  <c r="U611" i="4"/>
  <c r="T611" i="4"/>
  <c r="A611" i="4"/>
  <c r="W610" i="4" a="1"/>
  <c r="W610" i="4" s="1"/>
  <c r="X610" i="4" s="1"/>
  <c r="V610" i="4" a="1"/>
  <c r="V610" i="4" s="1"/>
  <c r="U610" i="4"/>
  <c r="T610" i="4"/>
  <c r="A610" i="4"/>
  <c r="W609" i="4" a="1"/>
  <c r="W609" i="4" s="1"/>
  <c r="X609" i="4" s="1"/>
  <c r="V609" i="4" a="1"/>
  <c r="V609" i="4" s="1"/>
  <c r="U609" i="4"/>
  <c r="T609" i="4"/>
  <c r="A609" i="4"/>
  <c r="W608" i="4" a="1"/>
  <c r="W608" i="4" s="1"/>
  <c r="X608" i="4" s="1"/>
  <c r="V608" i="4" a="1"/>
  <c r="V608" i="4" s="1"/>
  <c r="U608" i="4"/>
  <c r="T608" i="4"/>
  <c r="A608" i="4"/>
  <c r="W607" i="4" a="1"/>
  <c r="W607" i="4" s="1"/>
  <c r="X607" i="4" s="1"/>
  <c r="V607" i="4" a="1"/>
  <c r="V607" i="4" s="1"/>
  <c r="U607" i="4"/>
  <c r="T607" i="4"/>
  <c r="A607" i="4"/>
  <c r="W606" i="4" a="1"/>
  <c r="W606" i="4" s="1"/>
  <c r="X606" i="4" s="1"/>
  <c r="V606" i="4" a="1"/>
  <c r="V606" i="4" s="1"/>
  <c r="U606" i="4"/>
  <c r="T606" i="4"/>
  <c r="A606" i="4"/>
  <c r="W605" i="4" a="1"/>
  <c r="W605" i="4" s="1"/>
  <c r="X605" i="4" s="1"/>
  <c r="V605" i="4" a="1"/>
  <c r="V605" i="4" s="1"/>
  <c r="U605" i="4"/>
  <c r="T605" i="4"/>
  <c r="A605" i="4"/>
  <c r="W604" i="4" a="1"/>
  <c r="W604" i="4" s="1"/>
  <c r="X604" i="4" s="1"/>
  <c r="V604" i="4" a="1"/>
  <c r="V604" i="4" s="1"/>
  <c r="U604" i="4"/>
  <c r="T604" i="4"/>
  <c r="A604" i="4"/>
  <c r="W603" i="4" a="1"/>
  <c r="W603" i="4" s="1"/>
  <c r="X603" i="4" s="1"/>
  <c r="V603" i="4" a="1"/>
  <c r="V603" i="4" s="1"/>
  <c r="U603" i="4"/>
  <c r="T603" i="4"/>
  <c r="A603" i="4"/>
  <c r="W602" i="4" a="1"/>
  <c r="W602" i="4" s="1"/>
  <c r="X602" i="4" s="1"/>
  <c r="V602" i="4" a="1"/>
  <c r="V602" i="4" s="1"/>
  <c r="U602" i="4"/>
  <c r="T602" i="4"/>
  <c r="A602" i="4"/>
  <c r="W601" i="4" a="1"/>
  <c r="W601" i="4" s="1"/>
  <c r="X601" i="4" s="1"/>
  <c r="V601" i="4" a="1"/>
  <c r="V601" i="4" s="1"/>
  <c r="U601" i="4"/>
  <c r="T601" i="4"/>
  <c r="A601" i="4"/>
  <c r="W600" i="4" a="1"/>
  <c r="W600" i="4" s="1"/>
  <c r="X600" i="4" s="1"/>
  <c r="V600" i="4" a="1"/>
  <c r="V600" i="4" s="1"/>
  <c r="U600" i="4"/>
  <c r="T600" i="4"/>
  <c r="A600" i="4"/>
  <c r="W599" i="4" a="1"/>
  <c r="W599" i="4" s="1"/>
  <c r="X599" i="4" s="1"/>
  <c r="V599" i="4" a="1"/>
  <c r="V599" i="4" s="1"/>
  <c r="U599" i="4"/>
  <c r="T599" i="4"/>
  <c r="A599" i="4"/>
  <c r="W598" i="4" a="1"/>
  <c r="W598" i="4" s="1"/>
  <c r="X598" i="4" s="1"/>
  <c r="V598" i="4" a="1"/>
  <c r="V598" i="4" s="1"/>
  <c r="U598" i="4"/>
  <c r="T598" i="4"/>
  <c r="A598" i="4"/>
  <c r="W597" i="4" a="1"/>
  <c r="W597" i="4" s="1"/>
  <c r="X597" i="4" s="1"/>
  <c r="V597" i="4" a="1"/>
  <c r="V597" i="4" s="1"/>
  <c r="U597" i="4"/>
  <c r="T597" i="4"/>
  <c r="A597" i="4"/>
  <c r="W596" i="4" a="1"/>
  <c r="W596" i="4" s="1"/>
  <c r="X596" i="4" s="1"/>
  <c r="V596" i="4" a="1"/>
  <c r="V596" i="4" s="1"/>
  <c r="U596" i="4"/>
  <c r="T596" i="4"/>
  <c r="A596" i="4"/>
  <c r="W595" i="4" a="1"/>
  <c r="W595" i="4" s="1"/>
  <c r="X595" i="4" s="1"/>
  <c r="V595" i="4" a="1"/>
  <c r="V595" i="4" s="1"/>
  <c r="U595" i="4"/>
  <c r="T595" i="4"/>
  <c r="A595" i="4"/>
  <c r="W594" i="4" a="1"/>
  <c r="W594" i="4" s="1"/>
  <c r="X594" i="4" s="1"/>
  <c r="V594" i="4" a="1"/>
  <c r="V594" i="4" s="1"/>
  <c r="U594" i="4"/>
  <c r="T594" i="4"/>
  <c r="A594" i="4"/>
  <c r="W593" i="4" a="1"/>
  <c r="W593" i="4" s="1"/>
  <c r="X593" i="4" s="1"/>
  <c r="V593" i="4" a="1"/>
  <c r="V593" i="4" s="1"/>
  <c r="U593" i="4"/>
  <c r="T593" i="4"/>
  <c r="A593" i="4"/>
  <c r="W592" i="4" a="1"/>
  <c r="W592" i="4" s="1"/>
  <c r="X592" i="4" s="1"/>
  <c r="V592" i="4" a="1"/>
  <c r="V592" i="4" s="1"/>
  <c r="U592" i="4"/>
  <c r="T592" i="4"/>
  <c r="A592" i="4"/>
  <c r="W591" i="4" a="1"/>
  <c r="W591" i="4" s="1"/>
  <c r="X591" i="4" s="1"/>
  <c r="V591" i="4" a="1"/>
  <c r="V591" i="4" s="1"/>
  <c r="U591" i="4"/>
  <c r="T591" i="4"/>
  <c r="A591" i="4"/>
  <c r="W590" i="4" a="1"/>
  <c r="W590" i="4" s="1"/>
  <c r="X590" i="4" s="1"/>
  <c r="V590" i="4" a="1"/>
  <c r="V590" i="4" s="1"/>
  <c r="U590" i="4"/>
  <c r="T590" i="4"/>
  <c r="A590" i="4"/>
  <c r="W589" i="4" a="1"/>
  <c r="W589" i="4" s="1"/>
  <c r="X589" i="4" s="1"/>
  <c r="V589" i="4" a="1"/>
  <c r="V589" i="4" s="1"/>
  <c r="U589" i="4"/>
  <c r="T589" i="4"/>
  <c r="A589" i="4"/>
  <c r="W588" i="4" a="1"/>
  <c r="W588" i="4" s="1"/>
  <c r="X588" i="4" s="1"/>
  <c r="V588" i="4" a="1"/>
  <c r="V588" i="4" s="1"/>
  <c r="U588" i="4"/>
  <c r="T588" i="4"/>
  <c r="A588" i="4"/>
  <c r="W587" i="4" a="1"/>
  <c r="W587" i="4" s="1"/>
  <c r="X587" i="4" s="1"/>
  <c r="V587" i="4" a="1"/>
  <c r="V587" i="4" s="1"/>
  <c r="U587" i="4"/>
  <c r="T587" i="4"/>
  <c r="A587" i="4"/>
  <c r="W586" i="4" a="1"/>
  <c r="W586" i="4" s="1"/>
  <c r="X586" i="4" s="1"/>
  <c r="V586" i="4" a="1"/>
  <c r="V586" i="4" s="1"/>
  <c r="U586" i="4"/>
  <c r="T586" i="4"/>
  <c r="A586" i="4"/>
  <c r="W585" i="4" a="1"/>
  <c r="W585" i="4" s="1"/>
  <c r="X585" i="4" s="1"/>
  <c r="V585" i="4" a="1"/>
  <c r="V585" i="4" s="1"/>
  <c r="U585" i="4"/>
  <c r="T585" i="4"/>
  <c r="A585" i="4"/>
  <c r="W584" i="4" a="1"/>
  <c r="W584" i="4" s="1"/>
  <c r="X584" i="4" s="1"/>
  <c r="V584" i="4" a="1"/>
  <c r="V584" i="4" s="1"/>
  <c r="U584" i="4"/>
  <c r="T584" i="4"/>
  <c r="A584" i="4"/>
  <c r="W583" i="4" a="1"/>
  <c r="W583" i="4" s="1"/>
  <c r="X583" i="4" s="1"/>
  <c r="V583" i="4" a="1"/>
  <c r="V583" i="4" s="1"/>
  <c r="U583" i="4"/>
  <c r="T583" i="4"/>
  <c r="A583" i="4"/>
  <c r="W582" i="4" a="1"/>
  <c r="W582" i="4" s="1"/>
  <c r="X582" i="4" s="1"/>
  <c r="V582" i="4" a="1"/>
  <c r="V582" i="4" s="1"/>
  <c r="U582" i="4"/>
  <c r="T582" i="4"/>
  <c r="A582" i="4"/>
  <c r="W581" i="4" a="1"/>
  <c r="W581" i="4" s="1"/>
  <c r="X581" i="4" s="1"/>
  <c r="V581" i="4" a="1"/>
  <c r="V581" i="4" s="1"/>
  <c r="U581" i="4"/>
  <c r="T581" i="4"/>
  <c r="A581" i="4"/>
  <c r="W580" i="4" a="1"/>
  <c r="W580" i="4" s="1"/>
  <c r="X580" i="4" s="1"/>
  <c r="V580" i="4" a="1"/>
  <c r="V580" i="4" s="1"/>
  <c r="U580" i="4"/>
  <c r="T580" i="4"/>
  <c r="A580" i="4"/>
  <c r="W579" i="4" a="1"/>
  <c r="W579" i="4" s="1"/>
  <c r="X579" i="4" s="1"/>
  <c r="V579" i="4" a="1"/>
  <c r="V579" i="4" s="1"/>
  <c r="U579" i="4"/>
  <c r="T579" i="4"/>
  <c r="A579" i="4"/>
  <c r="W578" i="4" a="1"/>
  <c r="W578" i="4" s="1"/>
  <c r="X578" i="4" s="1"/>
  <c r="V578" i="4" a="1"/>
  <c r="V578" i="4" s="1"/>
  <c r="U578" i="4"/>
  <c r="T578" i="4"/>
  <c r="A578" i="4"/>
  <c r="W577" i="4" a="1"/>
  <c r="W577" i="4" s="1"/>
  <c r="X577" i="4" s="1"/>
  <c r="V577" i="4" a="1"/>
  <c r="V577" i="4" s="1"/>
  <c r="U577" i="4"/>
  <c r="T577" i="4"/>
  <c r="A577" i="4"/>
  <c r="W576" i="4" a="1"/>
  <c r="W576" i="4" s="1"/>
  <c r="X576" i="4" s="1"/>
  <c r="V576" i="4" a="1"/>
  <c r="V576" i="4" s="1"/>
  <c r="U576" i="4"/>
  <c r="T576" i="4"/>
  <c r="A576" i="4"/>
  <c r="W575" i="4" a="1"/>
  <c r="W575" i="4" s="1"/>
  <c r="X575" i="4" s="1"/>
  <c r="V575" i="4" a="1"/>
  <c r="V575" i="4" s="1"/>
  <c r="U575" i="4"/>
  <c r="T575" i="4"/>
  <c r="A575" i="4"/>
  <c r="W574" i="4" a="1"/>
  <c r="W574" i="4" s="1"/>
  <c r="X574" i="4" s="1"/>
  <c r="V574" i="4" a="1"/>
  <c r="V574" i="4" s="1"/>
  <c r="U574" i="4"/>
  <c r="T574" i="4"/>
  <c r="A574" i="4"/>
  <c r="W573" i="4" a="1"/>
  <c r="W573" i="4" s="1"/>
  <c r="X573" i="4" s="1"/>
  <c r="V573" i="4" a="1"/>
  <c r="V573" i="4" s="1"/>
  <c r="U573" i="4"/>
  <c r="T573" i="4"/>
  <c r="A573" i="4"/>
  <c r="W572" i="4" a="1"/>
  <c r="W572" i="4" s="1"/>
  <c r="X572" i="4" s="1"/>
  <c r="V572" i="4" a="1"/>
  <c r="V572" i="4" s="1"/>
  <c r="U572" i="4"/>
  <c r="T572" i="4"/>
  <c r="A572" i="4"/>
  <c r="W571" i="4" a="1"/>
  <c r="W571" i="4" s="1"/>
  <c r="X571" i="4" s="1"/>
  <c r="V571" i="4" a="1"/>
  <c r="V571" i="4" s="1"/>
  <c r="U571" i="4"/>
  <c r="T571" i="4"/>
  <c r="A571" i="4"/>
  <c r="W570" i="4" a="1"/>
  <c r="W570" i="4" s="1"/>
  <c r="X570" i="4" s="1"/>
  <c r="V570" i="4" a="1"/>
  <c r="V570" i="4" s="1"/>
  <c r="U570" i="4"/>
  <c r="T570" i="4"/>
  <c r="A570" i="4"/>
  <c r="W569" i="4" a="1"/>
  <c r="W569" i="4" s="1"/>
  <c r="X569" i="4" s="1"/>
  <c r="V569" i="4" a="1"/>
  <c r="V569" i="4" s="1"/>
  <c r="U569" i="4"/>
  <c r="T569" i="4"/>
  <c r="A569" i="4"/>
  <c r="W568" i="4" a="1"/>
  <c r="W568" i="4" s="1"/>
  <c r="X568" i="4" s="1"/>
  <c r="V568" i="4" a="1"/>
  <c r="V568" i="4" s="1"/>
  <c r="U568" i="4"/>
  <c r="T568" i="4"/>
  <c r="A568" i="4"/>
  <c r="W567" i="4" a="1"/>
  <c r="W567" i="4" s="1"/>
  <c r="X567" i="4" s="1"/>
  <c r="V567" i="4" a="1"/>
  <c r="V567" i="4" s="1"/>
  <c r="U567" i="4"/>
  <c r="T567" i="4"/>
  <c r="A567" i="4"/>
  <c r="W566" i="4" a="1"/>
  <c r="W566" i="4" s="1"/>
  <c r="X566" i="4" s="1"/>
  <c r="V566" i="4" a="1"/>
  <c r="V566" i="4" s="1"/>
  <c r="U566" i="4"/>
  <c r="T566" i="4"/>
  <c r="A566" i="4"/>
  <c r="W565" i="4" a="1"/>
  <c r="W565" i="4" s="1"/>
  <c r="X565" i="4" s="1"/>
  <c r="V565" i="4" a="1"/>
  <c r="V565" i="4" s="1"/>
  <c r="U565" i="4"/>
  <c r="T565" i="4"/>
  <c r="A565" i="4"/>
  <c r="W564" i="4" a="1"/>
  <c r="W564" i="4" s="1"/>
  <c r="X564" i="4" s="1"/>
  <c r="V564" i="4" a="1"/>
  <c r="V564" i="4" s="1"/>
  <c r="U564" i="4"/>
  <c r="T564" i="4"/>
  <c r="A564" i="4"/>
  <c r="W563" i="4" a="1"/>
  <c r="W563" i="4" s="1"/>
  <c r="X563" i="4" s="1"/>
  <c r="V563" i="4" a="1"/>
  <c r="V563" i="4" s="1"/>
  <c r="U563" i="4"/>
  <c r="T563" i="4"/>
  <c r="A563" i="4"/>
  <c r="W562" i="4" a="1"/>
  <c r="W562" i="4" s="1"/>
  <c r="X562" i="4" s="1"/>
  <c r="V562" i="4" a="1"/>
  <c r="V562" i="4" s="1"/>
  <c r="U562" i="4"/>
  <c r="T562" i="4"/>
  <c r="A562" i="4"/>
  <c r="W561" i="4" a="1"/>
  <c r="W561" i="4" s="1"/>
  <c r="X561" i="4" s="1"/>
  <c r="V561" i="4" a="1"/>
  <c r="V561" i="4" s="1"/>
  <c r="U561" i="4"/>
  <c r="T561" i="4"/>
  <c r="A561" i="4"/>
  <c r="W560" i="4" a="1"/>
  <c r="W560" i="4" s="1"/>
  <c r="X560" i="4" s="1"/>
  <c r="V560" i="4" a="1"/>
  <c r="V560" i="4" s="1"/>
  <c r="U560" i="4"/>
  <c r="T560" i="4"/>
  <c r="A560" i="4"/>
  <c r="W559" i="4" a="1"/>
  <c r="W559" i="4" s="1"/>
  <c r="X559" i="4" s="1"/>
  <c r="V559" i="4" a="1"/>
  <c r="V559" i="4" s="1"/>
  <c r="U559" i="4"/>
  <c r="T559" i="4"/>
  <c r="A559" i="4"/>
  <c r="W558" i="4" a="1"/>
  <c r="W558" i="4" s="1"/>
  <c r="X558" i="4" s="1"/>
  <c r="V558" i="4" a="1"/>
  <c r="V558" i="4" s="1"/>
  <c r="U558" i="4"/>
  <c r="T558" i="4"/>
  <c r="A558" i="4"/>
  <c r="W557" i="4" a="1"/>
  <c r="W557" i="4" s="1"/>
  <c r="X557" i="4" s="1"/>
  <c r="V557" i="4" a="1"/>
  <c r="V557" i="4" s="1"/>
  <c r="U557" i="4"/>
  <c r="T557" i="4"/>
  <c r="A557" i="4"/>
  <c r="W556" i="4" a="1"/>
  <c r="W556" i="4" s="1"/>
  <c r="X556" i="4" s="1"/>
  <c r="V556" i="4" a="1"/>
  <c r="V556" i="4" s="1"/>
  <c r="U556" i="4"/>
  <c r="T556" i="4"/>
  <c r="A556" i="4"/>
  <c r="W555" i="4" a="1"/>
  <c r="W555" i="4" s="1"/>
  <c r="X555" i="4" s="1"/>
  <c r="V555" i="4" a="1"/>
  <c r="V555" i="4" s="1"/>
  <c r="U555" i="4"/>
  <c r="T555" i="4"/>
  <c r="A555" i="4"/>
  <c r="W554" i="4" a="1"/>
  <c r="W554" i="4" s="1"/>
  <c r="X554" i="4" s="1"/>
  <c r="V554" i="4" a="1"/>
  <c r="V554" i="4" s="1"/>
  <c r="U554" i="4"/>
  <c r="T554" i="4"/>
  <c r="A554" i="4"/>
  <c r="W553" i="4" a="1"/>
  <c r="W553" i="4" s="1"/>
  <c r="X553" i="4" s="1"/>
  <c r="V553" i="4" a="1"/>
  <c r="V553" i="4" s="1"/>
  <c r="U553" i="4"/>
  <c r="T553" i="4"/>
  <c r="A553" i="4"/>
  <c r="W552" i="4" a="1"/>
  <c r="W552" i="4" s="1"/>
  <c r="X552" i="4" s="1"/>
  <c r="V552" i="4" a="1"/>
  <c r="V552" i="4" s="1"/>
  <c r="U552" i="4"/>
  <c r="T552" i="4"/>
  <c r="A552" i="4"/>
  <c r="W551" i="4" a="1"/>
  <c r="W551" i="4" s="1"/>
  <c r="X551" i="4" s="1"/>
  <c r="V551" i="4" a="1"/>
  <c r="V551" i="4" s="1"/>
  <c r="U551" i="4"/>
  <c r="T551" i="4"/>
  <c r="A551" i="4"/>
  <c r="W550" i="4" a="1"/>
  <c r="W550" i="4" s="1"/>
  <c r="X550" i="4" s="1"/>
  <c r="V550" i="4" a="1"/>
  <c r="V550" i="4" s="1"/>
  <c r="U550" i="4"/>
  <c r="T550" i="4"/>
  <c r="A550" i="4"/>
  <c r="W549" i="4" a="1"/>
  <c r="W549" i="4" s="1"/>
  <c r="X549" i="4" s="1"/>
  <c r="V549" i="4" a="1"/>
  <c r="V549" i="4" s="1"/>
  <c r="U549" i="4"/>
  <c r="T549" i="4"/>
  <c r="A549" i="4"/>
  <c r="W548" i="4" a="1"/>
  <c r="W548" i="4" s="1"/>
  <c r="X548" i="4" s="1"/>
  <c r="V548" i="4" a="1"/>
  <c r="V548" i="4" s="1"/>
  <c r="U548" i="4"/>
  <c r="T548" i="4"/>
  <c r="A548" i="4"/>
  <c r="W547" i="4" a="1"/>
  <c r="W547" i="4" s="1"/>
  <c r="X547" i="4" s="1"/>
  <c r="V547" i="4" a="1"/>
  <c r="V547" i="4" s="1"/>
  <c r="U547" i="4"/>
  <c r="T547" i="4"/>
  <c r="A547" i="4"/>
  <c r="W546" i="4" a="1"/>
  <c r="W546" i="4" s="1"/>
  <c r="X546" i="4" s="1"/>
  <c r="V546" i="4" a="1"/>
  <c r="V546" i="4" s="1"/>
  <c r="U546" i="4"/>
  <c r="T546" i="4"/>
  <c r="A546" i="4"/>
  <c r="W545" i="4" a="1"/>
  <c r="W545" i="4" s="1"/>
  <c r="X545" i="4" s="1"/>
  <c r="V545" i="4" a="1"/>
  <c r="V545" i="4" s="1"/>
  <c r="U545" i="4"/>
  <c r="T545" i="4"/>
  <c r="A545" i="4"/>
  <c r="W544" i="4" a="1"/>
  <c r="W544" i="4" s="1"/>
  <c r="X544" i="4" s="1"/>
  <c r="V544" i="4" a="1"/>
  <c r="V544" i="4" s="1"/>
  <c r="U544" i="4"/>
  <c r="T544" i="4"/>
  <c r="A544" i="4"/>
  <c r="W543" i="4" a="1"/>
  <c r="W543" i="4" s="1"/>
  <c r="X543" i="4" s="1"/>
  <c r="V543" i="4" a="1"/>
  <c r="V543" i="4" s="1"/>
  <c r="U543" i="4"/>
  <c r="T543" i="4"/>
  <c r="A543" i="4"/>
  <c r="W542" i="4" a="1"/>
  <c r="W542" i="4" s="1"/>
  <c r="X542" i="4" s="1"/>
  <c r="V542" i="4" a="1"/>
  <c r="V542" i="4" s="1"/>
  <c r="U542" i="4"/>
  <c r="T542" i="4"/>
  <c r="A542" i="4"/>
  <c r="W541" i="4" a="1"/>
  <c r="W541" i="4" s="1"/>
  <c r="X541" i="4" s="1"/>
  <c r="V541" i="4" a="1"/>
  <c r="V541" i="4" s="1"/>
  <c r="U541" i="4"/>
  <c r="T541" i="4"/>
  <c r="A541" i="4"/>
  <c r="W540" i="4" a="1"/>
  <c r="W540" i="4" s="1"/>
  <c r="X540" i="4" s="1"/>
  <c r="V540" i="4" a="1"/>
  <c r="V540" i="4" s="1"/>
  <c r="U540" i="4"/>
  <c r="T540" i="4"/>
  <c r="A540" i="4"/>
  <c r="W539" i="4" a="1"/>
  <c r="W539" i="4" s="1"/>
  <c r="X539" i="4" s="1"/>
  <c r="V539" i="4" a="1"/>
  <c r="V539" i="4" s="1"/>
  <c r="U539" i="4"/>
  <c r="T539" i="4"/>
  <c r="A539" i="4"/>
  <c r="W538" i="4" a="1"/>
  <c r="W538" i="4" s="1"/>
  <c r="X538" i="4" s="1"/>
  <c r="V538" i="4" a="1"/>
  <c r="V538" i="4" s="1"/>
  <c r="U538" i="4"/>
  <c r="T538" i="4"/>
  <c r="A538" i="4"/>
  <c r="W537" i="4" a="1"/>
  <c r="W537" i="4" s="1"/>
  <c r="X537" i="4" s="1"/>
  <c r="V537" i="4" a="1"/>
  <c r="V537" i="4" s="1"/>
  <c r="U537" i="4"/>
  <c r="T537" i="4"/>
  <c r="A537" i="4"/>
  <c r="W536" i="4" a="1"/>
  <c r="W536" i="4" s="1"/>
  <c r="X536" i="4" s="1"/>
  <c r="V536" i="4" a="1"/>
  <c r="V536" i="4" s="1"/>
  <c r="U536" i="4"/>
  <c r="T536" i="4"/>
  <c r="A536" i="4"/>
  <c r="W535" i="4" a="1"/>
  <c r="W535" i="4" s="1"/>
  <c r="X535" i="4" s="1"/>
  <c r="V535" i="4" a="1"/>
  <c r="V535" i="4" s="1"/>
  <c r="U535" i="4"/>
  <c r="T535" i="4"/>
  <c r="A535" i="4"/>
  <c r="W534" i="4" a="1"/>
  <c r="W534" i="4" s="1"/>
  <c r="X534" i="4" s="1"/>
  <c r="V534" i="4" a="1"/>
  <c r="V534" i="4" s="1"/>
  <c r="U534" i="4"/>
  <c r="T534" i="4"/>
  <c r="A534" i="4"/>
  <c r="W533" i="4" a="1"/>
  <c r="W533" i="4" s="1"/>
  <c r="X533" i="4" s="1"/>
  <c r="V533" i="4" a="1"/>
  <c r="V533" i="4" s="1"/>
  <c r="U533" i="4"/>
  <c r="T533" i="4"/>
  <c r="A533" i="4"/>
  <c r="W532" i="4" a="1"/>
  <c r="W532" i="4" s="1"/>
  <c r="X532" i="4" s="1"/>
  <c r="V532" i="4" a="1"/>
  <c r="V532" i="4" s="1"/>
  <c r="U532" i="4"/>
  <c r="T532" i="4"/>
  <c r="A532" i="4"/>
  <c r="W531" i="4" a="1"/>
  <c r="W531" i="4" s="1"/>
  <c r="X531" i="4" s="1"/>
  <c r="V531" i="4" a="1"/>
  <c r="V531" i="4" s="1"/>
  <c r="U531" i="4"/>
  <c r="T531" i="4"/>
  <c r="A531" i="4"/>
  <c r="W530" i="4" a="1"/>
  <c r="W530" i="4" s="1"/>
  <c r="X530" i="4" s="1"/>
  <c r="V530" i="4" a="1"/>
  <c r="V530" i="4" s="1"/>
  <c r="U530" i="4"/>
  <c r="T530" i="4"/>
  <c r="A530" i="4"/>
  <c r="W529" i="4" a="1"/>
  <c r="W529" i="4" s="1"/>
  <c r="X529" i="4" s="1"/>
  <c r="V529" i="4" a="1"/>
  <c r="V529" i="4" s="1"/>
  <c r="U529" i="4"/>
  <c r="T529" i="4"/>
  <c r="A529" i="4"/>
  <c r="W528" i="4" a="1"/>
  <c r="W528" i="4" s="1"/>
  <c r="X528" i="4" s="1"/>
  <c r="V528" i="4" a="1"/>
  <c r="V528" i="4" s="1"/>
  <c r="U528" i="4"/>
  <c r="T528" i="4"/>
  <c r="A528" i="4"/>
  <c r="W527" i="4" a="1"/>
  <c r="W527" i="4" s="1"/>
  <c r="X527" i="4" s="1"/>
  <c r="V527" i="4" a="1"/>
  <c r="V527" i="4" s="1"/>
  <c r="U527" i="4"/>
  <c r="T527" i="4"/>
  <c r="A527" i="4"/>
  <c r="W526" i="4" a="1"/>
  <c r="W526" i="4" s="1"/>
  <c r="X526" i="4" s="1"/>
  <c r="V526" i="4" a="1"/>
  <c r="V526" i="4" s="1"/>
  <c r="U526" i="4"/>
  <c r="T526" i="4"/>
  <c r="A526" i="4"/>
  <c r="W525" i="4" a="1"/>
  <c r="W525" i="4" s="1"/>
  <c r="X525" i="4" s="1"/>
  <c r="V525" i="4" a="1"/>
  <c r="V525" i="4" s="1"/>
  <c r="U525" i="4"/>
  <c r="T525" i="4"/>
  <c r="A525" i="4"/>
  <c r="W524" i="4" a="1"/>
  <c r="W524" i="4" s="1"/>
  <c r="X524" i="4" s="1"/>
  <c r="V524" i="4" a="1"/>
  <c r="V524" i="4" s="1"/>
  <c r="U524" i="4"/>
  <c r="T524" i="4"/>
  <c r="A524" i="4"/>
  <c r="W523" i="4" a="1"/>
  <c r="W523" i="4" s="1"/>
  <c r="X523" i="4" s="1"/>
  <c r="V523" i="4" a="1"/>
  <c r="V523" i="4" s="1"/>
  <c r="U523" i="4"/>
  <c r="T523" i="4"/>
  <c r="A523" i="4"/>
  <c r="W522" i="4" a="1"/>
  <c r="W522" i="4" s="1"/>
  <c r="X522" i="4" s="1"/>
  <c r="V522" i="4" a="1"/>
  <c r="V522" i="4" s="1"/>
  <c r="U522" i="4"/>
  <c r="T522" i="4"/>
  <c r="A522" i="4"/>
  <c r="W521" i="4" a="1"/>
  <c r="W521" i="4" s="1"/>
  <c r="X521" i="4" s="1"/>
  <c r="V521" i="4" a="1"/>
  <c r="V521" i="4" s="1"/>
  <c r="U521" i="4"/>
  <c r="T521" i="4"/>
  <c r="A521" i="4"/>
  <c r="W520" i="4" a="1"/>
  <c r="W520" i="4" s="1"/>
  <c r="X520" i="4" s="1"/>
  <c r="V520" i="4" a="1"/>
  <c r="V520" i="4" s="1"/>
  <c r="U520" i="4"/>
  <c r="T520" i="4"/>
  <c r="A520" i="4"/>
  <c r="W519" i="4" a="1"/>
  <c r="W519" i="4" s="1"/>
  <c r="X519" i="4" s="1"/>
  <c r="V519" i="4" a="1"/>
  <c r="V519" i="4" s="1"/>
  <c r="U519" i="4"/>
  <c r="T519" i="4"/>
  <c r="A519" i="4"/>
  <c r="W518" i="4" a="1"/>
  <c r="W518" i="4" s="1"/>
  <c r="X518" i="4" s="1"/>
  <c r="V518" i="4" a="1"/>
  <c r="V518" i="4" s="1"/>
  <c r="U518" i="4"/>
  <c r="T518" i="4"/>
  <c r="A518" i="4"/>
  <c r="W517" i="4" a="1"/>
  <c r="W517" i="4" s="1"/>
  <c r="X517" i="4" s="1"/>
  <c r="V517" i="4" a="1"/>
  <c r="V517" i="4" s="1"/>
  <c r="U517" i="4"/>
  <c r="T517" i="4"/>
  <c r="A517" i="4"/>
  <c r="W516" i="4" a="1"/>
  <c r="W516" i="4" s="1"/>
  <c r="X516" i="4" s="1"/>
  <c r="V516" i="4" a="1"/>
  <c r="V516" i="4" s="1"/>
  <c r="U516" i="4"/>
  <c r="T516" i="4"/>
  <c r="A516" i="4"/>
  <c r="W515" i="4" a="1"/>
  <c r="W515" i="4" s="1"/>
  <c r="X515" i="4" s="1"/>
  <c r="V515" i="4" a="1"/>
  <c r="V515" i="4" s="1"/>
  <c r="U515" i="4"/>
  <c r="T515" i="4"/>
  <c r="A515" i="4"/>
  <c r="W514" i="4" a="1"/>
  <c r="W514" i="4" s="1"/>
  <c r="X514" i="4" s="1"/>
  <c r="V514" i="4" a="1"/>
  <c r="V514" i="4" s="1"/>
  <c r="U514" i="4"/>
  <c r="T514" i="4"/>
  <c r="A514" i="4"/>
  <c r="W513" i="4" a="1"/>
  <c r="W513" i="4" s="1"/>
  <c r="X513" i="4" s="1"/>
  <c r="V513" i="4" a="1"/>
  <c r="V513" i="4" s="1"/>
  <c r="U513" i="4"/>
  <c r="T513" i="4"/>
  <c r="A513" i="4"/>
  <c r="W512" i="4" a="1"/>
  <c r="W512" i="4" s="1"/>
  <c r="X512" i="4" s="1"/>
  <c r="V512" i="4" a="1"/>
  <c r="V512" i="4" s="1"/>
  <c r="U512" i="4"/>
  <c r="T512" i="4"/>
  <c r="A512" i="4"/>
  <c r="W511" i="4" a="1"/>
  <c r="W511" i="4" s="1"/>
  <c r="X511" i="4" s="1"/>
  <c r="V511" i="4" a="1"/>
  <c r="V511" i="4" s="1"/>
  <c r="U511" i="4"/>
  <c r="T511" i="4"/>
  <c r="A511" i="4"/>
  <c r="W510" i="4" a="1"/>
  <c r="W510" i="4" s="1"/>
  <c r="X510" i="4" s="1"/>
  <c r="V510" i="4" a="1"/>
  <c r="V510" i="4" s="1"/>
  <c r="U510" i="4"/>
  <c r="T510" i="4"/>
  <c r="A510" i="4"/>
  <c r="W509" i="4" a="1"/>
  <c r="W509" i="4" s="1"/>
  <c r="X509" i="4" s="1"/>
  <c r="V509" i="4" a="1"/>
  <c r="V509" i="4" s="1"/>
  <c r="U509" i="4"/>
  <c r="T509" i="4"/>
  <c r="A509" i="4"/>
  <c r="W508" i="4" a="1"/>
  <c r="W508" i="4" s="1"/>
  <c r="X508" i="4" s="1"/>
  <c r="V508" i="4" a="1"/>
  <c r="V508" i="4" s="1"/>
  <c r="U508" i="4"/>
  <c r="T508" i="4"/>
  <c r="A508" i="4"/>
  <c r="W507" i="4" a="1"/>
  <c r="W507" i="4" s="1"/>
  <c r="X507" i="4" s="1"/>
  <c r="V507" i="4" a="1"/>
  <c r="V507" i="4" s="1"/>
  <c r="U507" i="4"/>
  <c r="T507" i="4"/>
  <c r="A507" i="4"/>
  <c r="W506" i="4" a="1"/>
  <c r="W506" i="4" s="1"/>
  <c r="X506" i="4" s="1"/>
  <c r="V506" i="4" a="1"/>
  <c r="V506" i="4" s="1"/>
  <c r="U506" i="4"/>
  <c r="T506" i="4"/>
  <c r="A506" i="4"/>
  <c r="W505" i="4" a="1"/>
  <c r="W505" i="4" s="1"/>
  <c r="X505" i="4" s="1"/>
  <c r="V505" i="4" a="1"/>
  <c r="V505" i="4" s="1"/>
  <c r="U505" i="4"/>
  <c r="T505" i="4"/>
  <c r="A505" i="4"/>
  <c r="W504" i="4" a="1"/>
  <c r="W504" i="4" s="1"/>
  <c r="X504" i="4" s="1"/>
  <c r="V504" i="4" a="1"/>
  <c r="V504" i="4" s="1"/>
  <c r="U504" i="4"/>
  <c r="T504" i="4"/>
  <c r="A504" i="4"/>
  <c r="W503" i="4" a="1"/>
  <c r="W503" i="4" s="1"/>
  <c r="X503" i="4" s="1"/>
  <c r="V503" i="4" a="1"/>
  <c r="V503" i="4" s="1"/>
  <c r="U503" i="4"/>
  <c r="T503" i="4"/>
  <c r="A503" i="4"/>
  <c r="W502" i="4" a="1"/>
  <c r="W502" i="4" s="1"/>
  <c r="X502" i="4" s="1"/>
  <c r="V502" i="4" a="1"/>
  <c r="V502" i="4" s="1"/>
  <c r="U502" i="4"/>
  <c r="T502" i="4"/>
  <c r="A502" i="4"/>
  <c r="W501" i="4" a="1"/>
  <c r="W501" i="4" s="1"/>
  <c r="X501" i="4" s="1"/>
  <c r="V501" i="4" a="1"/>
  <c r="V501" i="4" s="1"/>
  <c r="U501" i="4"/>
  <c r="T501" i="4"/>
  <c r="A501" i="4"/>
  <c r="W500" i="4" a="1"/>
  <c r="W500" i="4" s="1"/>
  <c r="X500" i="4" s="1"/>
  <c r="V500" i="4" a="1"/>
  <c r="V500" i="4" s="1"/>
  <c r="U500" i="4"/>
  <c r="T500" i="4"/>
  <c r="A500" i="4"/>
  <c r="W499" i="4" a="1"/>
  <c r="W499" i="4" s="1"/>
  <c r="X499" i="4" s="1"/>
  <c r="V499" i="4" a="1"/>
  <c r="V499" i="4" s="1"/>
  <c r="U499" i="4"/>
  <c r="T499" i="4"/>
  <c r="A499" i="4"/>
  <c r="W498" i="4" a="1"/>
  <c r="W498" i="4" s="1"/>
  <c r="X498" i="4" s="1"/>
  <c r="V498" i="4" a="1"/>
  <c r="V498" i="4" s="1"/>
  <c r="U498" i="4"/>
  <c r="T498" i="4"/>
  <c r="A498" i="4"/>
  <c r="W497" i="4" a="1"/>
  <c r="W497" i="4" s="1"/>
  <c r="X497" i="4" s="1"/>
  <c r="V497" i="4" a="1"/>
  <c r="V497" i="4" s="1"/>
  <c r="U497" i="4"/>
  <c r="T497" i="4"/>
  <c r="A497" i="4"/>
  <c r="W496" i="4" a="1"/>
  <c r="W496" i="4" s="1"/>
  <c r="X496" i="4" s="1"/>
  <c r="V496" i="4" a="1"/>
  <c r="V496" i="4" s="1"/>
  <c r="U496" i="4"/>
  <c r="T496" i="4"/>
  <c r="A496" i="4"/>
  <c r="W495" i="4" a="1"/>
  <c r="W495" i="4" s="1"/>
  <c r="X495" i="4" s="1"/>
  <c r="V495" i="4" a="1"/>
  <c r="V495" i="4" s="1"/>
  <c r="U495" i="4"/>
  <c r="T495" i="4"/>
  <c r="A495" i="4"/>
  <c r="W494" i="4" a="1"/>
  <c r="W494" i="4" s="1"/>
  <c r="X494" i="4" s="1"/>
  <c r="V494" i="4" a="1"/>
  <c r="V494" i="4" s="1"/>
  <c r="U494" i="4"/>
  <c r="T494" i="4"/>
  <c r="A494" i="4"/>
  <c r="W493" i="4" a="1"/>
  <c r="W493" i="4" s="1"/>
  <c r="X493" i="4" s="1"/>
  <c r="V493" i="4" a="1"/>
  <c r="V493" i="4" s="1"/>
  <c r="U493" i="4"/>
  <c r="T493" i="4"/>
  <c r="A493" i="4"/>
  <c r="W492" i="4" a="1"/>
  <c r="W492" i="4" s="1"/>
  <c r="X492" i="4" s="1"/>
  <c r="V492" i="4" a="1"/>
  <c r="V492" i="4" s="1"/>
  <c r="U492" i="4"/>
  <c r="T492" i="4"/>
  <c r="A492" i="4"/>
  <c r="W491" i="4" a="1"/>
  <c r="W491" i="4" s="1"/>
  <c r="X491" i="4" s="1"/>
  <c r="V491" i="4" a="1"/>
  <c r="V491" i="4" s="1"/>
  <c r="U491" i="4"/>
  <c r="T491" i="4"/>
  <c r="A491" i="4"/>
  <c r="W490" i="4" a="1"/>
  <c r="W490" i="4" s="1"/>
  <c r="X490" i="4" s="1"/>
  <c r="V490" i="4" a="1"/>
  <c r="V490" i="4" s="1"/>
  <c r="U490" i="4"/>
  <c r="T490" i="4"/>
  <c r="A490" i="4"/>
  <c r="W489" i="4" a="1"/>
  <c r="W489" i="4" s="1"/>
  <c r="X489" i="4" s="1"/>
  <c r="V489" i="4" a="1"/>
  <c r="V489" i="4" s="1"/>
  <c r="U489" i="4"/>
  <c r="T489" i="4"/>
  <c r="A489" i="4"/>
  <c r="W488" i="4" a="1"/>
  <c r="W488" i="4" s="1"/>
  <c r="X488" i="4" s="1"/>
  <c r="V488" i="4" a="1"/>
  <c r="V488" i="4" s="1"/>
  <c r="U488" i="4"/>
  <c r="T488" i="4"/>
  <c r="A488" i="4"/>
  <c r="W487" i="4" a="1"/>
  <c r="W487" i="4" s="1"/>
  <c r="X487" i="4" s="1"/>
  <c r="V487" i="4" a="1"/>
  <c r="V487" i="4" s="1"/>
  <c r="U487" i="4"/>
  <c r="T487" i="4"/>
  <c r="A487" i="4"/>
  <c r="W486" i="4" a="1"/>
  <c r="W486" i="4" s="1"/>
  <c r="X486" i="4" s="1"/>
  <c r="V486" i="4" a="1"/>
  <c r="V486" i="4" s="1"/>
  <c r="U486" i="4"/>
  <c r="T486" i="4"/>
  <c r="A486" i="4"/>
  <c r="W485" i="4" a="1"/>
  <c r="W485" i="4" s="1"/>
  <c r="X485" i="4" s="1"/>
  <c r="V485" i="4" a="1"/>
  <c r="V485" i="4" s="1"/>
  <c r="U485" i="4"/>
  <c r="T485" i="4"/>
  <c r="A485" i="4"/>
  <c r="W484" i="4" a="1"/>
  <c r="W484" i="4" s="1"/>
  <c r="X484" i="4" s="1"/>
  <c r="V484" i="4" a="1"/>
  <c r="V484" i="4" s="1"/>
  <c r="U484" i="4"/>
  <c r="T484" i="4"/>
  <c r="A484" i="4"/>
  <c r="W483" i="4" a="1"/>
  <c r="W483" i="4" s="1"/>
  <c r="X483" i="4" s="1"/>
  <c r="V483" i="4" a="1"/>
  <c r="V483" i="4" s="1"/>
  <c r="U483" i="4"/>
  <c r="T483" i="4"/>
  <c r="A483" i="4"/>
  <c r="W482" i="4" a="1"/>
  <c r="W482" i="4" s="1"/>
  <c r="X482" i="4" s="1"/>
  <c r="V482" i="4" a="1"/>
  <c r="V482" i="4" s="1"/>
  <c r="U482" i="4"/>
  <c r="T482" i="4"/>
  <c r="A482" i="4"/>
  <c r="W481" i="4" a="1"/>
  <c r="W481" i="4" s="1"/>
  <c r="X481" i="4" s="1"/>
  <c r="V481" i="4" a="1"/>
  <c r="V481" i="4" s="1"/>
  <c r="U481" i="4"/>
  <c r="T481" i="4"/>
  <c r="A481" i="4"/>
  <c r="W480" i="4" a="1"/>
  <c r="W480" i="4" s="1"/>
  <c r="X480" i="4" s="1"/>
  <c r="V480" i="4" a="1"/>
  <c r="V480" i="4" s="1"/>
  <c r="U480" i="4"/>
  <c r="T480" i="4"/>
  <c r="A480" i="4"/>
  <c r="W479" i="4" a="1"/>
  <c r="W479" i="4" s="1"/>
  <c r="X479" i="4" s="1"/>
  <c r="V479" i="4" a="1"/>
  <c r="V479" i="4" s="1"/>
  <c r="U479" i="4"/>
  <c r="T479" i="4"/>
  <c r="A479" i="4"/>
  <c r="W478" i="4" a="1"/>
  <c r="W478" i="4" s="1"/>
  <c r="X478" i="4" s="1"/>
  <c r="V478" i="4" a="1"/>
  <c r="V478" i="4" s="1"/>
  <c r="U478" i="4"/>
  <c r="T478" i="4"/>
  <c r="A478" i="4"/>
  <c r="W477" i="4" a="1"/>
  <c r="W477" i="4" s="1"/>
  <c r="X477" i="4" s="1"/>
  <c r="V477" i="4" a="1"/>
  <c r="V477" i="4" s="1"/>
  <c r="U477" i="4"/>
  <c r="T477" i="4"/>
  <c r="A477" i="4"/>
  <c r="W476" i="4" a="1"/>
  <c r="W476" i="4" s="1"/>
  <c r="X476" i="4" s="1"/>
  <c r="V476" i="4" a="1"/>
  <c r="V476" i="4" s="1"/>
  <c r="U476" i="4"/>
  <c r="T476" i="4"/>
  <c r="A476" i="4"/>
  <c r="W475" i="4" a="1"/>
  <c r="W475" i="4" s="1"/>
  <c r="X475" i="4" s="1"/>
  <c r="V475" i="4" a="1"/>
  <c r="V475" i="4" s="1"/>
  <c r="U475" i="4"/>
  <c r="T475" i="4"/>
  <c r="A475" i="4"/>
  <c r="W474" i="4" a="1"/>
  <c r="W474" i="4" s="1"/>
  <c r="X474" i="4" s="1"/>
  <c r="V474" i="4" a="1"/>
  <c r="V474" i="4" s="1"/>
  <c r="U474" i="4"/>
  <c r="T474" i="4"/>
  <c r="A474" i="4"/>
  <c r="W473" i="4" a="1"/>
  <c r="W473" i="4" s="1"/>
  <c r="X473" i="4" s="1"/>
  <c r="V473" i="4" a="1"/>
  <c r="V473" i="4" s="1"/>
  <c r="U473" i="4"/>
  <c r="T473" i="4"/>
  <c r="A473" i="4"/>
  <c r="W472" i="4" a="1"/>
  <c r="W472" i="4" s="1"/>
  <c r="X472" i="4" s="1"/>
  <c r="V472" i="4" a="1"/>
  <c r="V472" i="4" s="1"/>
  <c r="U472" i="4"/>
  <c r="T472" i="4"/>
  <c r="A472" i="4"/>
  <c r="W471" i="4" a="1"/>
  <c r="W471" i="4" s="1"/>
  <c r="X471" i="4" s="1"/>
  <c r="V471" i="4" a="1"/>
  <c r="V471" i="4" s="1"/>
  <c r="U471" i="4"/>
  <c r="T471" i="4"/>
  <c r="A471" i="4"/>
  <c r="W470" i="4" a="1"/>
  <c r="W470" i="4" s="1"/>
  <c r="X470" i="4" s="1"/>
  <c r="V470" i="4" a="1"/>
  <c r="V470" i="4" s="1"/>
  <c r="U470" i="4"/>
  <c r="T470" i="4"/>
  <c r="A470" i="4"/>
  <c r="W469" i="4" a="1"/>
  <c r="W469" i="4" s="1"/>
  <c r="X469" i="4" s="1"/>
  <c r="V469" i="4" a="1"/>
  <c r="V469" i="4" s="1"/>
  <c r="U469" i="4"/>
  <c r="T469" i="4"/>
  <c r="A469" i="4"/>
  <c r="W468" i="4" a="1"/>
  <c r="W468" i="4" s="1"/>
  <c r="X468" i="4" s="1"/>
  <c r="V468" i="4" a="1"/>
  <c r="V468" i="4" s="1"/>
  <c r="U468" i="4"/>
  <c r="T468" i="4"/>
  <c r="A468" i="4"/>
  <c r="W467" i="4" a="1"/>
  <c r="W467" i="4" s="1"/>
  <c r="X467" i="4" s="1"/>
  <c r="V467" i="4" a="1"/>
  <c r="V467" i="4" s="1"/>
  <c r="U467" i="4"/>
  <c r="T467" i="4"/>
  <c r="A467" i="4"/>
  <c r="W466" i="4" a="1"/>
  <c r="W466" i="4" s="1"/>
  <c r="X466" i="4" s="1"/>
  <c r="V466" i="4" a="1"/>
  <c r="V466" i="4" s="1"/>
  <c r="U466" i="4"/>
  <c r="T466" i="4"/>
  <c r="A466" i="4"/>
  <c r="W465" i="4" a="1"/>
  <c r="W465" i="4" s="1"/>
  <c r="X465" i="4" s="1"/>
  <c r="V465" i="4" a="1"/>
  <c r="V465" i="4" s="1"/>
  <c r="U465" i="4"/>
  <c r="T465" i="4"/>
  <c r="A465" i="4"/>
  <c r="W464" i="4" a="1"/>
  <c r="W464" i="4" s="1"/>
  <c r="X464" i="4" s="1"/>
  <c r="V464" i="4" a="1"/>
  <c r="V464" i="4" s="1"/>
  <c r="U464" i="4"/>
  <c r="T464" i="4"/>
  <c r="A464" i="4"/>
  <c r="W463" i="4" a="1"/>
  <c r="W463" i="4" s="1"/>
  <c r="X463" i="4" s="1"/>
  <c r="V463" i="4" a="1"/>
  <c r="V463" i="4" s="1"/>
  <c r="U463" i="4"/>
  <c r="T463" i="4"/>
  <c r="A463" i="4"/>
  <c r="W462" i="4" a="1"/>
  <c r="W462" i="4" s="1"/>
  <c r="X462" i="4" s="1"/>
  <c r="V462" i="4" a="1"/>
  <c r="V462" i="4" s="1"/>
  <c r="U462" i="4"/>
  <c r="T462" i="4"/>
  <c r="A462" i="4"/>
  <c r="W461" i="4" a="1"/>
  <c r="W461" i="4" s="1"/>
  <c r="X461" i="4" s="1"/>
  <c r="V461" i="4" a="1"/>
  <c r="V461" i="4" s="1"/>
  <c r="U461" i="4"/>
  <c r="T461" i="4"/>
  <c r="A461" i="4"/>
  <c r="W460" i="4" a="1"/>
  <c r="W460" i="4" s="1"/>
  <c r="X460" i="4" s="1"/>
  <c r="V460" i="4" a="1"/>
  <c r="V460" i="4" s="1"/>
  <c r="U460" i="4"/>
  <c r="T460" i="4"/>
  <c r="A460" i="4"/>
  <c r="W459" i="4" a="1"/>
  <c r="W459" i="4" s="1"/>
  <c r="X459" i="4" s="1"/>
  <c r="V459" i="4" a="1"/>
  <c r="V459" i="4" s="1"/>
  <c r="U459" i="4"/>
  <c r="T459" i="4"/>
  <c r="A459" i="4"/>
  <c r="W458" i="4" a="1"/>
  <c r="W458" i="4" s="1"/>
  <c r="X458" i="4" s="1"/>
  <c r="V458" i="4" a="1"/>
  <c r="V458" i="4" s="1"/>
  <c r="U458" i="4"/>
  <c r="T458" i="4"/>
  <c r="A458" i="4"/>
  <c r="W457" i="4" a="1"/>
  <c r="W457" i="4" s="1"/>
  <c r="X457" i="4" s="1"/>
  <c r="V457" i="4" a="1"/>
  <c r="V457" i="4" s="1"/>
  <c r="U457" i="4"/>
  <c r="T457" i="4"/>
  <c r="A457" i="4"/>
  <c r="W456" i="4" a="1"/>
  <c r="W456" i="4" s="1"/>
  <c r="X456" i="4" s="1"/>
  <c r="V456" i="4" a="1"/>
  <c r="V456" i="4" s="1"/>
  <c r="U456" i="4"/>
  <c r="T456" i="4"/>
  <c r="A456" i="4"/>
  <c r="W455" i="4" a="1"/>
  <c r="W455" i="4" s="1"/>
  <c r="X455" i="4" s="1"/>
  <c r="V455" i="4" a="1"/>
  <c r="V455" i="4" s="1"/>
  <c r="U455" i="4"/>
  <c r="T455" i="4"/>
  <c r="A455" i="4"/>
  <c r="W454" i="4" a="1"/>
  <c r="W454" i="4" s="1"/>
  <c r="X454" i="4" s="1"/>
  <c r="V454" i="4" a="1"/>
  <c r="V454" i="4" s="1"/>
  <c r="U454" i="4"/>
  <c r="T454" i="4"/>
  <c r="A454" i="4"/>
  <c r="W453" i="4" a="1"/>
  <c r="W453" i="4" s="1"/>
  <c r="X453" i="4" s="1"/>
  <c r="V453" i="4" a="1"/>
  <c r="V453" i="4" s="1"/>
  <c r="U453" i="4"/>
  <c r="T453" i="4"/>
  <c r="A453" i="4"/>
  <c r="W452" i="4" a="1"/>
  <c r="W452" i="4" s="1"/>
  <c r="X452" i="4" s="1"/>
  <c r="V452" i="4" a="1"/>
  <c r="V452" i="4" s="1"/>
  <c r="U452" i="4"/>
  <c r="T452" i="4"/>
  <c r="A452" i="4"/>
  <c r="W451" i="4" a="1"/>
  <c r="W451" i="4" s="1"/>
  <c r="X451" i="4" s="1"/>
  <c r="V451" i="4" a="1"/>
  <c r="V451" i="4" s="1"/>
  <c r="U451" i="4"/>
  <c r="T451" i="4"/>
  <c r="A451" i="4"/>
  <c r="W450" i="4" a="1"/>
  <c r="W450" i="4" s="1"/>
  <c r="X450" i="4" s="1"/>
  <c r="V450" i="4" a="1"/>
  <c r="V450" i="4" s="1"/>
  <c r="U450" i="4"/>
  <c r="T450" i="4"/>
  <c r="A450" i="4"/>
  <c r="W449" i="4" a="1"/>
  <c r="W449" i="4" s="1"/>
  <c r="X449" i="4" s="1"/>
  <c r="V449" i="4" a="1"/>
  <c r="V449" i="4" s="1"/>
  <c r="U449" i="4"/>
  <c r="T449" i="4"/>
  <c r="A449" i="4"/>
  <c r="W448" i="4" a="1"/>
  <c r="W448" i="4" s="1"/>
  <c r="X448" i="4" s="1"/>
  <c r="V448" i="4" a="1"/>
  <c r="V448" i="4" s="1"/>
  <c r="U448" i="4"/>
  <c r="T448" i="4"/>
  <c r="A448" i="4"/>
  <c r="W447" i="4" a="1"/>
  <c r="W447" i="4" s="1"/>
  <c r="X447" i="4" s="1"/>
  <c r="V447" i="4" a="1"/>
  <c r="V447" i="4" s="1"/>
  <c r="U447" i="4"/>
  <c r="T447" i="4"/>
  <c r="A447" i="4"/>
  <c r="W446" i="4" a="1"/>
  <c r="W446" i="4" s="1"/>
  <c r="X446" i="4" s="1"/>
  <c r="V446" i="4" a="1"/>
  <c r="V446" i="4" s="1"/>
  <c r="U446" i="4"/>
  <c r="T446" i="4"/>
  <c r="A446" i="4"/>
  <c r="W445" i="4" a="1"/>
  <c r="W445" i="4" s="1"/>
  <c r="X445" i="4" s="1"/>
  <c r="V445" i="4" a="1"/>
  <c r="V445" i="4" s="1"/>
  <c r="U445" i="4"/>
  <c r="T445" i="4"/>
  <c r="A445" i="4"/>
  <c r="W444" i="4" a="1"/>
  <c r="W444" i="4" s="1"/>
  <c r="X444" i="4" s="1"/>
  <c r="V444" i="4" a="1"/>
  <c r="V444" i="4" s="1"/>
  <c r="U444" i="4"/>
  <c r="T444" i="4"/>
  <c r="A444" i="4"/>
  <c r="W443" i="4" a="1"/>
  <c r="W443" i="4" s="1"/>
  <c r="X443" i="4" s="1"/>
  <c r="V443" i="4" a="1"/>
  <c r="V443" i="4" s="1"/>
  <c r="U443" i="4"/>
  <c r="T443" i="4"/>
  <c r="A443" i="4"/>
  <c r="W442" i="4" a="1"/>
  <c r="W442" i="4" s="1"/>
  <c r="X442" i="4" s="1"/>
  <c r="V442" i="4" a="1"/>
  <c r="V442" i="4" s="1"/>
  <c r="U442" i="4"/>
  <c r="T442" i="4"/>
  <c r="A442" i="4"/>
  <c r="W441" i="4" a="1"/>
  <c r="W441" i="4" s="1"/>
  <c r="X441" i="4" s="1"/>
  <c r="V441" i="4" a="1"/>
  <c r="V441" i="4" s="1"/>
  <c r="U441" i="4"/>
  <c r="T441" i="4"/>
  <c r="A441" i="4"/>
  <c r="W440" i="4" a="1"/>
  <c r="W440" i="4" s="1"/>
  <c r="X440" i="4" s="1"/>
  <c r="V440" i="4" a="1"/>
  <c r="V440" i="4" s="1"/>
  <c r="U440" i="4"/>
  <c r="T440" i="4"/>
  <c r="A440" i="4"/>
  <c r="W439" i="4" a="1"/>
  <c r="W439" i="4" s="1"/>
  <c r="X439" i="4" s="1"/>
  <c r="V439" i="4" a="1"/>
  <c r="V439" i="4" s="1"/>
  <c r="U439" i="4"/>
  <c r="T439" i="4"/>
  <c r="A439" i="4"/>
  <c r="W438" i="4" a="1"/>
  <c r="W438" i="4" s="1"/>
  <c r="X438" i="4" s="1"/>
  <c r="V438" i="4" a="1"/>
  <c r="V438" i="4" s="1"/>
  <c r="U438" i="4"/>
  <c r="T438" i="4"/>
  <c r="A438" i="4"/>
  <c r="W437" i="4" a="1"/>
  <c r="W437" i="4" s="1"/>
  <c r="X437" i="4" s="1"/>
  <c r="V437" i="4" a="1"/>
  <c r="V437" i="4" s="1"/>
  <c r="U437" i="4"/>
  <c r="T437" i="4"/>
  <c r="A437" i="4"/>
  <c r="W436" i="4" a="1"/>
  <c r="W436" i="4" s="1"/>
  <c r="X436" i="4" s="1"/>
  <c r="V436" i="4" a="1"/>
  <c r="V436" i="4" s="1"/>
  <c r="U436" i="4"/>
  <c r="T436" i="4"/>
  <c r="A436" i="4"/>
  <c r="W435" i="4" a="1"/>
  <c r="W435" i="4" s="1"/>
  <c r="X435" i="4" s="1"/>
  <c r="V435" i="4" a="1"/>
  <c r="V435" i="4" s="1"/>
  <c r="U435" i="4"/>
  <c r="T435" i="4"/>
  <c r="A435" i="4"/>
  <c r="W434" i="4" a="1"/>
  <c r="W434" i="4" s="1"/>
  <c r="X434" i="4" s="1"/>
  <c r="V434" i="4" a="1"/>
  <c r="V434" i="4" s="1"/>
  <c r="U434" i="4"/>
  <c r="T434" i="4"/>
  <c r="A434" i="4"/>
  <c r="W433" i="4" a="1"/>
  <c r="W433" i="4" s="1"/>
  <c r="X433" i="4" s="1"/>
  <c r="V433" i="4" a="1"/>
  <c r="V433" i="4" s="1"/>
  <c r="U433" i="4"/>
  <c r="T433" i="4"/>
  <c r="A433" i="4"/>
  <c r="W432" i="4" a="1"/>
  <c r="W432" i="4" s="1"/>
  <c r="X432" i="4" s="1"/>
  <c r="V432" i="4" a="1"/>
  <c r="V432" i="4" s="1"/>
  <c r="U432" i="4"/>
  <c r="T432" i="4"/>
  <c r="A432" i="4"/>
  <c r="W431" i="4" a="1"/>
  <c r="W431" i="4" s="1"/>
  <c r="X431" i="4" s="1"/>
  <c r="V431" i="4" a="1"/>
  <c r="V431" i="4" s="1"/>
  <c r="U431" i="4"/>
  <c r="T431" i="4"/>
  <c r="A431" i="4"/>
  <c r="W430" i="4" a="1"/>
  <c r="W430" i="4" s="1"/>
  <c r="X430" i="4" s="1"/>
  <c r="V430" i="4" a="1"/>
  <c r="V430" i="4" s="1"/>
  <c r="U430" i="4"/>
  <c r="T430" i="4"/>
  <c r="A430" i="4"/>
  <c r="W429" i="4" a="1"/>
  <c r="W429" i="4" s="1"/>
  <c r="X429" i="4" s="1"/>
  <c r="V429" i="4" a="1"/>
  <c r="V429" i="4" s="1"/>
  <c r="U429" i="4"/>
  <c r="T429" i="4"/>
  <c r="A429" i="4"/>
  <c r="W428" i="4" a="1"/>
  <c r="W428" i="4" s="1"/>
  <c r="X428" i="4" s="1"/>
  <c r="V428" i="4" a="1"/>
  <c r="V428" i="4" s="1"/>
  <c r="U428" i="4"/>
  <c r="T428" i="4"/>
  <c r="A428" i="4"/>
  <c r="W427" i="4" a="1"/>
  <c r="W427" i="4" s="1"/>
  <c r="X427" i="4" s="1"/>
  <c r="V427" i="4" a="1"/>
  <c r="V427" i="4" s="1"/>
  <c r="U427" i="4"/>
  <c r="T427" i="4"/>
  <c r="A427" i="4"/>
  <c r="W426" i="4" a="1"/>
  <c r="W426" i="4" s="1"/>
  <c r="X426" i="4" s="1"/>
  <c r="V426" i="4" a="1"/>
  <c r="V426" i="4" s="1"/>
  <c r="U426" i="4"/>
  <c r="T426" i="4"/>
  <c r="A426" i="4"/>
  <c r="W425" i="4" a="1"/>
  <c r="W425" i="4" s="1"/>
  <c r="X425" i="4" s="1"/>
  <c r="V425" i="4" a="1"/>
  <c r="V425" i="4" s="1"/>
  <c r="U425" i="4"/>
  <c r="T425" i="4"/>
  <c r="A425" i="4"/>
  <c r="W424" i="4" a="1"/>
  <c r="W424" i="4" s="1"/>
  <c r="X424" i="4" s="1"/>
  <c r="V424" i="4" a="1"/>
  <c r="V424" i="4" s="1"/>
  <c r="U424" i="4"/>
  <c r="T424" i="4"/>
  <c r="A424" i="4"/>
  <c r="W423" i="4" a="1"/>
  <c r="W423" i="4" s="1"/>
  <c r="X423" i="4" s="1"/>
  <c r="V423" i="4" a="1"/>
  <c r="V423" i="4" s="1"/>
  <c r="U423" i="4"/>
  <c r="T423" i="4"/>
  <c r="A423" i="4"/>
  <c r="W422" i="4" a="1"/>
  <c r="W422" i="4" s="1"/>
  <c r="X422" i="4" s="1"/>
  <c r="V422" i="4" a="1"/>
  <c r="V422" i="4" s="1"/>
  <c r="U422" i="4"/>
  <c r="T422" i="4"/>
  <c r="A422" i="4"/>
  <c r="W421" i="4" a="1"/>
  <c r="W421" i="4" s="1"/>
  <c r="X421" i="4" s="1"/>
  <c r="V421" i="4" a="1"/>
  <c r="V421" i="4" s="1"/>
  <c r="U421" i="4"/>
  <c r="T421" i="4"/>
  <c r="A421" i="4"/>
  <c r="W420" i="4" a="1"/>
  <c r="W420" i="4" s="1"/>
  <c r="X420" i="4" s="1"/>
  <c r="V420" i="4" a="1"/>
  <c r="V420" i="4" s="1"/>
  <c r="U420" i="4"/>
  <c r="T420" i="4"/>
  <c r="A420" i="4"/>
  <c r="W419" i="4" a="1"/>
  <c r="W419" i="4" s="1"/>
  <c r="X419" i="4" s="1"/>
  <c r="V419" i="4" a="1"/>
  <c r="V419" i="4" s="1"/>
  <c r="U419" i="4"/>
  <c r="T419" i="4"/>
  <c r="A419" i="4"/>
  <c r="W418" i="4" a="1"/>
  <c r="W418" i="4" s="1"/>
  <c r="X418" i="4" s="1"/>
  <c r="V418" i="4" a="1"/>
  <c r="V418" i="4" s="1"/>
  <c r="U418" i="4"/>
  <c r="T418" i="4"/>
  <c r="A418" i="4"/>
  <c r="W417" i="4" a="1"/>
  <c r="W417" i="4" s="1"/>
  <c r="X417" i="4" s="1"/>
  <c r="V417" i="4" a="1"/>
  <c r="V417" i="4" s="1"/>
  <c r="U417" i="4"/>
  <c r="T417" i="4"/>
  <c r="A417" i="4"/>
  <c r="W416" i="4" a="1"/>
  <c r="W416" i="4" s="1"/>
  <c r="X416" i="4" s="1"/>
  <c r="V416" i="4" a="1"/>
  <c r="V416" i="4" s="1"/>
  <c r="U416" i="4"/>
  <c r="T416" i="4"/>
  <c r="A416" i="4"/>
  <c r="W415" i="4" a="1"/>
  <c r="W415" i="4" s="1"/>
  <c r="X415" i="4" s="1"/>
  <c r="V415" i="4" a="1"/>
  <c r="V415" i="4" s="1"/>
  <c r="U415" i="4"/>
  <c r="T415" i="4"/>
  <c r="A415" i="4"/>
  <c r="W414" i="4" a="1"/>
  <c r="W414" i="4" s="1"/>
  <c r="X414" i="4" s="1"/>
  <c r="V414" i="4" a="1"/>
  <c r="V414" i="4" s="1"/>
  <c r="U414" i="4"/>
  <c r="T414" i="4"/>
  <c r="A414" i="4"/>
  <c r="W413" i="4" a="1"/>
  <c r="W413" i="4" s="1"/>
  <c r="X413" i="4" s="1"/>
  <c r="V413" i="4" a="1"/>
  <c r="V413" i="4" s="1"/>
  <c r="U413" i="4"/>
  <c r="T413" i="4"/>
  <c r="A413" i="4"/>
  <c r="W412" i="4" a="1"/>
  <c r="W412" i="4" s="1"/>
  <c r="X412" i="4" s="1"/>
  <c r="V412" i="4" a="1"/>
  <c r="V412" i="4" s="1"/>
  <c r="U412" i="4"/>
  <c r="T412" i="4"/>
  <c r="A412" i="4"/>
  <c r="W411" i="4" a="1"/>
  <c r="W411" i="4" s="1"/>
  <c r="X411" i="4" s="1"/>
  <c r="V411" i="4" a="1"/>
  <c r="V411" i="4" s="1"/>
  <c r="U411" i="4"/>
  <c r="T411" i="4"/>
  <c r="A411" i="4"/>
  <c r="W410" i="4" a="1"/>
  <c r="W410" i="4" s="1"/>
  <c r="X410" i="4" s="1"/>
  <c r="V410" i="4" a="1"/>
  <c r="V410" i="4" s="1"/>
  <c r="U410" i="4"/>
  <c r="T410" i="4"/>
  <c r="A410" i="4"/>
  <c r="W409" i="4" a="1"/>
  <c r="W409" i="4" s="1"/>
  <c r="X409" i="4" s="1"/>
  <c r="V409" i="4" a="1"/>
  <c r="V409" i="4" s="1"/>
  <c r="U409" i="4"/>
  <c r="T409" i="4"/>
  <c r="A409" i="4"/>
  <c r="W408" i="4" a="1"/>
  <c r="W408" i="4" s="1"/>
  <c r="X408" i="4" s="1"/>
  <c r="V408" i="4" a="1"/>
  <c r="V408" i="4" s="1"/>
  <c r="U408" i="4"/>
  <c r="T408" i="4"/>
  <c r="A408" i="4"/>
  <c r="W407" i="4" a="1"/>
  <c r="W407" i="4" s="1"/>
  <c r="X407" i="4" s="1"/>
  <c r="V407" i="4" a="1"/>
  <c r="V407" i="4" s="1"/>
  <c r="U407" i="4"/>
  <c r="T407" i="4"/>
  <c r="A407" i="4"/>
  <c r="W406" i="4" a="1"/>
  <c r="W406" i="4" s="1"/>
  <c r="X406" i="4" s="1"/>
  <c r="V406" i="4" a="1"/>
  <c r="V406" i="4" s="1"/>
  <c r="U406" i="4"/>
  <c r="T406" i="4"/>
  <c r="A406" i="4"/>
  <c r="W405" i="4" a="1"/>
  <c r="W405" i="4" s="1"/>
  <c r="X405" i="4" s="1"/>
  <c r="V405" i="4" a="1"/>
  <c r="V405" i="4" s="1"/>
  <c r="U405" i="4"/>
  <c r="T405" i="4"/>
  <c r="A405" i="4"/>
  <c r="W404" i="4" a="1"/>
  <c r="W404" i="4" s="1"/>
  <c r="X404" i="4" s="1"/>
  <c r="V404" i="4" a="1"/>
  <c r="V404" i="4" s="1"/>
  <c r="U404" i="4"/>
  <c r="T404" i="4"/>
  <c r="A404" i="4"/>
  <c r="W403" i="4" a="1"/>
  <c r="W403" i="4" s="1"/>
  <c r="X403" i="4" s="1"/>
  <c r="V403" i="4" a="1"/>
  <c r="V403" i="4" s="1"/>
  <c r="U403" i="4"/>
  <c r="T403" i="4"/>
  <c r="A403" i="4"/>
  <c r="W402" i="4" a="1"/>
  <c r="W402" i="4" s="1"/>
  <c r="X402" i="4" s="1"/>
  <c r="V402" i="4" a="1"/>
  <c r="V402" i="4" s="1"/>
  <c r="U402" i="4"/>
  <c r="T402" i="4"/>
  <c r="A402" i="4"/>
  <c r="W401" i="4" a="1"/>
  <c r="W401" i="4" s="1"/>
  <c r="X401" i="4" s="1"/>
  <c r="V401" i="4" a="1"/>
  <c r="V401" i="4" s="1"/>
  <c r="U401" i="4"/>
  <c r="T401" i="4"/>
  <c r="A401" i="4"/>
  <c r="W400" i="4" a="1"/>
  <c r="W400" i="4" s="1"/>
  <c r="X400" i="4" s="1"/>
  <c r="V400" i="4" a="1"/>
  <c r="V400" i="4" s="1"/>
  <c r="U400" i="4"/>
  <c r="T400" i="4"/>
  <c r="A400" i="4"/>
  <c r="W399" i="4" a="1"/>
  <c r="W399" i="4" s="1"/>
  <c r="X399" i="4" s="1"/>
  <c r="V399" i="4" a="1"/>
  <c r="V399" i="4" s="1"/>
  <c r="U399" i="4"/>
  <c r="T399" i="4"/>
  <c r="A399" i="4"/>
  <c r="W398" i="4" a="1"/>
  <c r="W398" i="4" s="1"/>
  <c r="X398" i="4" s="1"/>
  <c r="V398" i="4" a="1"/>
  <c r="V398" i="4" s="1"/>
  <c r="U398" i="4"/>
  <c r="T398" i="4"/>
  <c r="A398" i="4"/>
  <c r="W397" i="4" a="1"/>
  <c r="W397" i="4" s="1"/>
  <c r="X397" i="4" s="1"/>
  <c r="V397" i="4" a="1"/>
  <c r="V397" i="4" s="1"/>
  <c r="U397" i="4"/>
  <c r="T397" i="4"/>
  <c r="A397" i="4"/>
  <c r="W396" i="4" a="1"/>
  <c r="W396" i="4" s="1"/>
  <c r="X396" i="4" s="1"/>
  <c r="V396" i="4" a="1"/>
  <c r="V396" i="4" s="1"/>
  <c r="U396" i="4"/>
  <c r="T396" i="4"/>
  <c r="A396" i="4"/>
  <c r="W395" i="4" a="1"/>
  <c r="W395" i="4" s="1"/>
  <c r="X395" i="4" s="1"/>
  <c r="V395" i="4" a="1"/>
  <c r="V395" i="4" s="1"/>
  <c r="U395" i="4"/>
  <c r="T395" i="4"/>
  <c r="A395" i="4"/>
  <c r="W394" i="4" a="1"/>
  <c r="W394" i="4" s="1"/>
  <c r="X394" i="4" s="1"/>
  <c r="V394" i="4" a="1"/>
  <c r="V394" i="4" s="1"/>
  <c r="U394" i="4"/>
  <c r="T394" i="4"/>
  <c r="A394" i="4"/>
  <c r="W393" i="4" a="1"/>
  <c r="W393" i="4" s="1"/>
  <c r="X393" i="4" s="1"/>
  <c r="V393" i="4" a="1"/>
  <c r="V393" i="4" s="1"/>
  <c r="U393" i="4"/>
  <c r="T393" i="4"/>
  <c r="A393" i="4"/>
  <c r="W392" i="4" a="1"/>
  <c r="W392" i="4" s="1"/>
  <c r="X392" i="4" s="1"/>
  <c r="V392" i="4" a="1"/>
  <c r="V392" i="4" s="1"/>
  <c r="U392" i="4"/>
  <c r="T392" i="4"/>
  <c r="A392" i="4"/>
  <c r="W391" i="4" a="1"/>
  <c r="W391" i="4" s="1"/>
  <c r="X391" i="4" s="1"/>
  <c r="V391" i="4" a="1"/>
  <c r="V391" i="4" s="1"/>
  <c r="U391" i="4"/>
  <c r="T391" i="4"/>
  <c r="A391" i="4"/>
  <c r="W390" i="4" a="1"/>
  <c r="W390" i="4" s="1"/>
  <c r="X390" i="4" s="1"/>
  <c r="V390" i="4" a="1"/>
  <c r="V390" i="4" s="1"/>
  <c r="U390" i="4"/>
  <c r="T390" i="4"/>
  <c r="A390" i="4"/>
  <c r="W389" i="4" a="1"/>
  <c r="W389" i="4" s="1"/>
  <c r="X389" i="4" s="1"/>
  <c r="V389" i="4" a="1"/>
  <c r="V389" i="4" s="1"/>
  <c r="U389" i="4"/>
  <c r="T389" i="4"/>
  <c r="A389" i="4"/>
  <c r="W388" i="4" a="1"/>
  <c r="W388" i="4" s="1"/>
  <c r="X388" i="4" s="1"/>
  <c r="V388" i="4" a="1"/>
  <c r="V388" i="4" s="1"/>
  <c r="U388" i="4"/>
  <c r="T388" i="4"/>
  <c r="A388" i="4"/>
  <c r="W387" i="4" a="1"/>
  <c r="W387" i="4" s="1"/>
  <c r="X387" i="4" s="1"/>
  <c r="V387" i="4" a="1"/>
  <c r="V387" i="4" s="1"/>
  <c r="U387" i="4"/>
  <c r="T387" i="4"/>
  <c r="A387" i="4"/>
  <c r="W386" i="4" a="1"/>
  <c r="W386" i="4" s="1"/>
  <c r="X386" i="4" s="1"/>
  <c r="V386" i="4" a="1"/>
  <c r="V386" i="4" s="1"/>
  <c r="U386" i="4"/>
  <c r="T386" i="4"/>
  <c r="A386" i="4"/>
  <c r="W385" i="4" a="1"/>
  <c r="W385" i="4" s="1"/>
  <c r="X385" i="4" s="1"/>
  <c r="V385" i="4" a="1"/>
  <c r="V385" i="4" s="1"/>
  <c r="U385" i="4"/>
  <c r="T385" i="4"/>
  <c r="A385" i="4"/>
  <c r="W384" i="4" a="1"/>
  <c r="W384" i="4" s="1"/>
  <c r="X384" i="4" s="1"/>
  <c r="V384" i="4" a="1"/>
  <c r="V384" i="4" s="1"/>
  <c r="U384" i="4"/>
  <c r="T384" i="4"/>
  <c r="A384" i="4"/>
  <c r="W383" i="4" a="1"/>
  <c r="W383" i="4" s="1"/>
  <c r="X383" i="4" s="1"/>
  <c r="V383" i="4" a="1"/>
  <c r="V383" i="4" s="1"/>
  <c r="U383" i="4"/>
  <c r="T383" i="4"/>
  <c r="A383" i="4"/>
  <c r="W382" i="4" a="1"/>
  <c r="W382" i="4" s="1"/>
  <c r="X382" i="4" s="1"/>
  <c r="V382" i="4" a="1"/>
  <c r="V382" i="4" s="1"/>
  <c r="U382" i="4"/>
  <c r="T382" i="4"/>
  <c r="A382" i="4"/>
  <c r="W381" i="4" a="1"/>
  <c r="W381" i="4" s="1"/>
  <c r="X381" i="4" s="1"/>
  <c r="V381" i="4" a="1"/>
  <c r="V381" i="4" s="1"/>
  <c r="U381" i="4"/>
  <c r="T381" i="4"/>
  <c r="A381" i="4"/>
  <c r="W380" i="4" a="1"/>
  <c r="W380" i="4" s="1"/>
  <c r="X380" i="4" s="1"/>
  <c r="V380" i="4" a="1"/>
  <c r="V380" i="4" s="1"/>
  <c r="U380" i="4"/>
  <c r="T380" i="4"/>
  <c r="A380" i="4"/>
  <c r="W379" i="4" a="1"/>
  <c r="W379" i="4" s="1"/>
  <c r="X379" i="4" s="1"/>
  <c r="V379" i="4" a="1"/>
  <c r="V379" i="4" s="1"/>
  <c r="U379" i="4"/>
  <c r="T379" i="4"/>
  <c r="A379" i="4"/>
  <c r="W378" i="4" a="1"/>
  <c r="W378" i="4" s="1"/>
  <c r="X378" i="4" s="1"/>
  <c r="V378" i="4" a="1"/>
  <c r="V378" i="4" s="1"/>
  <c r="U378" i="4"/>
  <c r="T378" i="4"/>
  <c r="A378" i="4"/>
  <c r="W377" i="4" a="1"/>
  <c r="W377" i="4" s="1"/>
  <c r="X377" i="4" s="1"/>
  <c r="V377" i="4" a="1"/>
  <c r="V377" i="4" s="1"/>
  <c r="U377" i="4"/>
  <c r="T377" i="4"/>
  <c r="A377" i="4"/>
  <c r="W376" i="4" a="1"/>
  <c r="W376" i="4" s="1"/>
  <c r="X376" i="4" s="1"/>
  <c r="V376" i="4" a="1"/>
  <c r="V376" i="4" s="1"/>
  <c r="U376" i="4"/>
  <c r="T376" i="4"/>
  <c r="A376" i="4"/>
  <c r="W375" i="4" a="1"/>
  <c r="W375" i="4" s="1"/>
  <c r="X375" i="4" s="1"/>
  <c r="V375" i="4" a="1"/>
  <c r="V375" i="4" s="1"/>
  <c r="U375" i="4"/>
  <c r="T375" i="4"/>
  <c r="A375" i="4"/>
  <c r="W374" i="4" a="1"/>
  <c r="W374" i="4" s="1"/>
  <c r="X374" i="4" s="1"/>
  <c r="V374" i="4" a="1"/>
  <c r="V374" i="4" s="1"/>
  <c r="U374" i="4"/>
  <c r="T374" i="4"/>
  <c r="A374" i="4"/>
  <c r="W373" i="4" a="1"/>
  <c r="W373" i="4" s="1"/>
  <c r="X373" i="4" s="1"/>
  <c r="V373" i="4" a="1"/>
  <c r="V373" i="4" s="1"/>
  <c r="U373" i="4"/>
  <c r="T373" i="4"/>
  <c r="A373" i="4"/>
  <c r="W372" i="4" a="1"/>
  <c r="W372" i="4" s="1"/>
  <c r="X372" i="4" s="1"/>
  <c r="V372" i="4" a="1"/>
  <c r="V372" i="4" s="1"/>
  <c r="U372" i="4"/>
  <c r="T372" i="4"/>
  <c r="A372" i="4"/>
  <c r="W371" i="4" a="1"/>
  <c r="W371" i="4" s="1"/>
  <c r="X371" i="4" s="1"/>
  <c r="V371" i="4" a="1"/>
  <c r="V371" i="4" s="1"/>
  <c r="U371" i="4"/>
  <c r="T371" i="4"/>
  <c r="A371" i="4"/>
  <c r="W370" i="4" a="1"/>
  <c r="W370" i="4" s="1"/>
  <c r="X370" i="4" s="1"/>
  <c r="V370" i="4" a="1"/>
  <c r="V370" i="4" s="1"/>
  <c r="U370" i="4"/>
  <c r="T370" i="4"/>
  <c r="A370" i="4"/>
  <c r="W369" i="4" a="1"/>
  <c r="W369" i="4" s="1"/>
  <c r="X369" i="4" s="1"/>
  <c r="V369" i="4" a="1"/>
  <c r="V369" i="4" s="1"/>
  <c r="U369" i="4"/>
  <c r="T369" i="4"/>
  <c r="A369" i="4"/>
  <c r="W368" i="4" a="1"/>
  <c r="W368" i="4" s="1"/>
  <c r="X368" i="4" s="1"/>
  <c r="V368" i="4" a="1"/>
  <c r="V368" i="4" s="1"/>
  <c r="U368" i="4"/>
  <c r="T368" i="4"/>
  <c r="A368" i="4"/>
  <c r="W367" i="4" a="1"/>
  <c r="W367" i="4" s="1"/>
  <c r="X367" i="4" s="1"/>
  <c r="V367" i="4" a="1"/>
  <c r="V367" i="4" s="1"/>
  <c r="U367" i="4"/>
  <c r="T367" i="4"/>
  <c r="A367" i="4"/>
  <c r="W366" i="4" a="1"/>
  <c r="W366" i="4" s="1"/>
  <c r="X366" i="4" s="1"/>
  <c r="V366" i="4" a="1"/>
  <c r="V366" i="4" s="1"/>
  <c r="U366" i="4"/>
  <c r="T366" i="4"/>
  <c r="A366" i="4"/>
  <c r="W365" i="4" a="1"/>
  <c r="W365" i="4" s="1"/>
  <c r="X365" i="4" s="1"/>
  <c r="V365" i="4" a="1"/>
  <c r="V365" i="4" s="1"/>
  <c r="U365" i="4"/>
  <c r="T365" i="4"/>
  <c r="A365" i="4"/>
  <c r="W364" i="4" a="1"/>
  <c r="W364" i="4" s="1"/>
  <c r="X364" i="4" s="1"/>
  <c r="V364" i="4" a="1"/>
  <c r="V364" i="4" s="1"/>
  <c r="U364" i="4"/>
  <c r="T364" i="4"/>
  <c r="A364" i="4"/>
  <c r="W363" i="4" a="1"/>
  <c r="W363" i="4" s="1"/>
  <c r="X363" i="4" s="1"/>
  <c r="V363" i="4" a="1"/>
  <c r="V363" i="4" s="1"/>
  <c r="U363" i="4"/>
  <c r="T363" i="4"/>
  <c r="A363" i="4"/>
  <c r="W362" i="4" a="1"/>
  <c r="W362" i="4" s="1"/>
  <c r="X362" i="4" s="1"/>
  <c r="V362" i="4" a="1"/>
  <c r="V362" i="4" s="1"/>
  <c r="U362" i="4"/>
  <c r="T362" i="4"/>
  <c r="A362" i="4"/>
  <c r="W361" i="4" a="1"/>
  <c r="W361" i="4" s="1"/>
  <c r="X361" i="4" s="1"/>
  <c r="V361" i="4" a="1"/>
  <c r="V361" i="4" s="1"/>
  <c r="U361" i="4"/>
  <c r="T361" i="4"/>
  <c r="A361" i="4"/>
  <c r="W360" i="4" a="1"/>
  <c r="W360" i="4" s="1"/>
  <c r="X360" i="4" s="1"/>
  <c r="V360" i="4" a="1"/>
  <c r="V360" i="4" s="1"/>
  <c r="U360" i="4"/>
  <c r="T360" i="4"/>
  <c r="A360" i="4"/>
  <c r="W359" i="4" a="1"/>
  <c r="W359" i="4" s="1"/>
  <c r="X359" i="4" s="1"/>
  <c r="V359" i="4" a="1"/>
  <c r="V359" i="4" s="1"/>
  <c r="U359" i="4"/>
  <c r="T359" i="4"/>
  <c r="A359" i="4"/>
  <c r="W358" i="4" a="1"/>
  <c r="W358" i="4" s="1"/>
  <c r="X358" i="4" s="1"/>
  <c r="V358" i="4" a="1"/>
  <c r="V358" i="4" s="1"/>
  <c r="U358" i="4"/>
  <c r="T358" i="4"/>
  <c r="A358" i="4"/>
  <c r="W357" i="4" a="1"/>
  <c r="W357" i="4" s="1"/>
  <c r="X357" i="4" s="1"/>
  <c r="V357" i="4" a="1"/>
  <c r="V357" i="4" s="1"/>
  <c r="U357" i="4"/>
  <c r="T357" i="4"/>
  <c r="A357" i="4"/>
  <c r="W356" i="4" a="1"/>
  <c r="W356" i="4" s="1"/>
  <c r="X356" i="4" s="1"/>
  <c r="V356" i="4" a="1"/>
  <c r="V356" i="4" s="1"/>
  <c r="U356" i="4"/>
  <c r="T356" i="4"/>
  <c r="A356" i="4"/>
  <c r="W355" i="4" a="1"/>
  <c r="W355" i="4" s="1"/>
  <c r="X355" i="4" s="1"/>
  <c r="V355" i="4" a="1"/>
  <c r="V355" i="4" s="1"/>
  <c r="U355" i="4"/>
  <c r="T355" i="4"/>
  <c r="A355" i="4"/>
  <c r="W354" i="4" a="1"/>
  <c r="W354" i="4" s="1"/>
  <c r="X354" i="4" s="1"/>
  <c r="V354" i="4" a="1"/>
  <c r="V354" i="4" s="1"/>
  <c r="U354" i="4"/>
  <c r="T354" i="4"/>
  <c r="A354" i="4"/>
  <c r="W353" i="4" a="1"/>
  <c r="W353" i="4" s="1"/>
  <c r="X353" i="4" s="1"/>
  <c r="V353" i="4" a="1"/>
  <c r="V353" i="4" s="1"/>
  <c r="U353" i="4"/>
  <c r="T353" i="4"/>
  <c r="A353" i="4"/>
  <c r="W352" i="4" a="1"/>
  <c r="W352" i="4" s="1"/>
  <c r="X352" i="4" s="1"/>
  <c r="V352" i="4" a="1"/>
  <c r="V352" i="4" s="1"/>
  <c r="U352" i="4"/>
  <c r="T352" i="4"/>
  <c r="A352" i="4"/>
  <c r="W351" i="4" a="1"/>
  <c r="W351" i="4" s="1"/>
  <c r="X351" i="4" s="1"/>
  <c r="V351" i="4" a="1"/>
  <c r="V351" i="4" s="1"/>
  <c r="U351" i="4"/>
  <c r="T351" i="4"/>
  <c r="A351" i="4"/>
  <c r="W350" i="4" a="1"/>
  <c r="W350" i="4" s="1"/>
  <c r="X350" i="4" s="1"/>
  <c r="V350" i="4" a="1"/>
  <c r="V350" i="4" s="1"/>
  <c r="U350" i="4"/>
  <c r="T350" i="4"/>
  <c r="A350" i="4"/>
  <c r="W349" i="4" a="1"/>
  <c r="W349" i="4" s="1"/>
  <c r="X349" i="4" s="1"/>
  <c r="V349" i="4" a="1"/>
  <c r="V349" i="4" s="1"/>
  <c r="U349" i="4"/>
  <c r="T349" i="4"/>
  <c r="A349" i="4"/>
  <c r="W348" i="4" a="1"/>
  <c r="W348" i="4" s="1"/>
  <c r="X348" i="4" s="1"/>
  <c r="V348" i="4" a="1"/>
  <c r="V348" i="4" s="1"/>
  <c r="U348" i="4"/>
  <c r="T348" i="4"/>
  <c r="A348" i="4"/>
  <c r="W347" i="4" a="1"/>
  <c r="W347" i="4" s="1"/>
  <c r="X347" i="4" s="1"/>
  <c r="V347" i="4" a="1"/>
  <c r="V347" i="4" s="1"/>
  <c r="U347" i="4"/>
  <c r="T347" i="4"/>
  <c r="A347" i="4"/>
  <c r="W346" i="4" a="1"/>
  <c r="W346" i="4" s="1"/>
  <c r="X346" i="4" s="1"/>
  <c r="V346" i="4" a="1"/>
  <c r="V346" i="4" s="1"/>
  <c r="U346" i="4"/>
  <c r="T346" i="4"/>
  <c r="A346" i="4"/>
  <c r="W345" i="4" a="1"/>
  <c r="W345" i="4" s="1"/>
  <c r="X345" i="4" s="1"/>
  <c r="V345" i="4" a="1"/>
  <c r="V345" i="4" s="1"/>
  <c r="U345" i="4"/>
  <c r="T345" i="4"/>
  <c r="A345" i="4"/>
  <c r="W344" i="4" a="1"/>
  <c r="W344" i="4" s="1"/>
  <c r="X344" i="4" s="1"/>
  <c r="V344" i="4" a="1"/>
  <c r="V344" i="4" s="1"/>
  <c r="U344" i="4"/>
  <c r="T344" i="4"/>
  <c r="A344" i="4"/>
  <c r="W343" i="4" a="1"/>
  <c r="W343" i="4" s="1"/>
  <c r="X343" i="4" s="1"/>
  <c r="V343" i="4" a="1"/>
  <c r="V343" i="4" s="1"/>
  <c r="U343" i="4"/>
  <c r="T343" i="4"/>
  <c r="A343" i="4"/>
  <c r="W342" i="4" a="1"/>
  <c r="W342" i="4" s="1"/>
  <c r="X342" i="4" s="1"/>
  <c r="V342" i="4" a="1"/>
  <c r="V342" i="4" s="1"/>
  <c r="U342" i="4"/>
  <c r="T342" i="4"/>
  <c r="A342" i="4"/>
  <c r="W341" i="4" a="1"/>
  <c r="W341" i="4" s="1"/>
  <c r="X341" i="4" s="1"/>
  <c r="V341" i="4" a="1"/>
  <c r="V341" i="4" s="1"/>
  <c r="U341" i="4"/>
  <c r="T341" i="4"/>
  <c r="A341" i="4"/>
  <c r="W340" i="4" a="1"/>
  <c r="W340" i="4" s="1"/>
  <c r="X340" i="4" s="1"/>
  <c r="V340" i="4" a="1"/>
  <c r="V340" i="4" s="1"/>
  <c r="U340" i="4"/>
  <c r="T340" i="4"/>
  <c r="A340" i="4"/>
  <c r="W339" i="4" a="1"/>
  <c r="W339" i="4" s="1"/>
  <c r="X339" i="4" s="1"/>
  <c r="V339" i="4" a="1"/>
  <c r="V339" i="4" s="1"/>
  <c r="U339" i="4"/>
  <c r="T339" i="4"/>
  <c r="A339" i="4"/>
  <c r="W338" i="4" a="1"/>
  <c r="W338" i="4" s="1"/>
  <c r="X338" i="4" s="1"/>
  <c r="V338" i="4" a="1"/>
  <c r="V338" i="4" s="1"/>
  <c r="U338" i="4"/>
  <c r="T338" i="4"/>
  <c r="A338" i="4"/>
  <c r="W337" i="4" a="1"/>
  <c r="W337" i="4" s="1"/>
  <c r="X337" i="4" s="1"/>
  <c r="V337" i="4" a="1"/>
  <c r="V337" i="4" s="1"/>
  <c r="U337" i="4"/>
  <c r="T337" i="4"/>
  <c r="A337" i="4"/>
  <c r="W336" i="4" a="1"/>
  <c r="W336" i="4" s="1"/>
  <c r="X336" i="4" s="1"/>
  <c r="V336" i="4" a="1"/>
  <c r="V336" i="4" s="1"/>
  <c r="U336" i="4"/>
  <c r="T336" i="4"/>
  <c r="A336" i="4"/>
  <c r="W335" i="4" a="1"/>
  <c r="W335" i="4" s="1"/>
  <c r="X335" i="4" s="1"/>
  <c r="V335" i="4" a="1"/>
  <c r="V335" i="4" s="1"/>
  <c r="U335" i="4"/>
  <c r="T335" i="4"/>
  <c r="A335" i="4"/>
  <c r="W334" i="4" a="1"/>
  <c r="W334" i="4" s="1"/>
  <c r="X334" i="4" s="1"/>
  <c r="V334" i="4" a="1"/>
  <c r="V334" i="4" s="1"/>
  <c r="U334" i="4"/>
  <c r="T334" i="4"/>
  <c r="A334" i="4"/>
  <c r="W333" i="4" a="1"/>
  <c r="W333" i="4" s="1"/>
  <c r="X333" i="4" s="1"/>
  <c r="V333" i="4" a="1"/>
  <c r="V333" i="4" s="1"/>
  <c r="U333" i="4"/>
  <c r="T333" i="4"/>
  <c r="A333" i="4"/>
  <c r="W332" i="4" a="1"/>
  <c r="W332" i="4" s="1"/>
  <c r="X332" i="4" s="1"/>
  <c r="V332" i="4" a="1"/>
  <c r="V332" i="4" s="1"/>
  <c r="U332" i="4"/>
  <c r="T332" i="4"/>
  <c r="A332" i="4"/>
  <c r="W331" i="4" a="1"/>
  <c r="W331" i="4" s="1"/>
  <c r="X331" i="4" s="1"/>
  <c r="V331" i="4" a="1"/>
  <c r="V331" i="4" s="1"/>
  <c r="U331" i="4"/>
  <c r="T331" i="4"/>
  <c r="A331" i="4"/>
  <c r="W330" i="4" a="1"/>
  <c r="W330" i="4" s="1"/>
  <c r="X330" i="4" s="1"/>
  <c r="V330" i="4" a="1"/>
  <c r="V330" i="4" s="1"/>
  <c r="U330" i="4"/>
  <c r="T330" i="4"/>
  <c r="A330" i="4"/>
  <c r="W329" i="4" a="1"/>
  <c r="W329" i="4" s="1"/>
  <c r="X329" i="4" s="1"/>
  <c r="V329" i="4" a="1"/>
  <c r="V329" i="4" s="1"/>
  <c r="U329" i="4"/>
  <c r="T329" i="4"/>
  <c r="A329" i="4"/>
  <c r="W328" i="4" a="1"/>
  <c r="W328" i="4" s="1"/>
  <c r="X328" i="4" s="1"/>
  <c r="V328" i="4" a="1"/>
  <c r="V328" i="4" s="1"/>
  <c r="U328" i="4"/>
  <c r="T328" i="4"/>
  <c r="A328" i="4"/>
  <c r="W327" i="4" a="1"/>
  <c r="W327" i="4" s="1"/>
  <c r="X327" i="4" s="1"/>
  <c r="V327" i="4" a="1"/>
  <c r="V327" i="4" s="1"/>
  <c r="U327" i="4"/>
  <c r="T327" i="4"/>
  <c r="A327" i="4"/>
  <c r="W326" i="4" a="1"/>
  <c r="W326" i="4" s="1"/>
  <c r="X326" i="4" s="1"/>
  <c r="V326" i="4" a="1"/>
  <c r="V326" i="4" s="1"/>
  <c r="U326" i="4"/>
  <c r="T326" i="4"/>
  <c r="A326" i="4"/>
  <c r="W325" i="4" a="1"/>
  <c r="W325" i="4" s="1"/>
  <c r="X325" i="4" s="1"/>
  <c r="V325" i="4" a="1"/>
  <c r="V325" i="4" s="1"/>
  <c r="U325" i="4"/>
  <c r="T325" i="4"/>
  <c r="A325" i="4"/>
  <c r="W324" i="4" a="1"/>
  <c r="W324" i="4" s="1"/>
  <c r="X324" i="4" s="1"/>
  <c r="V324" i="4" a="1"/>
  <c r="V324" i="4" s="1"/>
  <c r="U324" i="4"/>
  <c r="T324" i="4"/>
  <c r="A324" i="4"/>
  <c r="W323" i="4" a="1"/>
  <c r="W323" i="4" s="1"/>
  <c r="X323" i="4" s="1"/>
  <c r="V323" i="4" a="1"/>
  <c r="V323" i="4" s="1"/>
  <c r="U323" i="4"/>
  <c r="T323" i="4"/>
  <c r="A323" i="4"/>
  <c r="W322" i="4" a="1"/>
  <c r="W322" i="4" s="1"/>
  <c r="X322" i="4" s="1"/>
  <c r="V322" i="4" a="1"/>
  <c r="V322" i="4" s="1"/>
  <c r="U322" i="4"/>
  <c r="T322" i="4"/>
  <c r="A322" i="4"/>
  <c r="W321" i="4" a="1"/>
  <c r="W321" i="4" s="1"/>
  <c r="X321" i="4" s="1"/>
  <c r="V321" i="4" a="1"/>
  <c r="V321" i="4" s="1"/>
  <c r="U321" i="4"/>
  <c r="T321" i="4"/>
  <c r="A321" i="4"/>
  <c r="W320" i="4" a="1"/>
  <c r="W320" i="4" s="1"/>
  <c r="X320" i="4" s="1"/>
  <c r="V320" i="4" a="1"/>
  <c r="V320" i="4" s="1"/>
  <c r="U320" i="4"/>
  <c r="T320" i="4"/>
  <c r="A320" i="4"/>
  <c r="W319" i="4" a="1"/>
  <c r="W319" i="4" s="1"/>
  <c r="X319" i="4" s="1"/>
  <c r="V319" i="4" a="1"/>
  <c r="V319" i="4" s="1"/>
  <c r="U319" i="4"/>
  <c r="T319" i="4"/>
  <c r="A319" i="4"/>
  <c r="W318" i="4" a="1"/>
  <c r="W318" i="4" s="1"/>
  <c r="X318" i="4" s="1"/>
  <c r="V318" i="4" a="1"/>
  <c r="V318" i="4" s="1"/>
  <c r="U318" i="4"/>
  <c r="T318" i="4"/>
  <c r="A318" i="4"/>
  <c r="W317" i="4" a="1"/>
  <c r="W317" i="4" s="1"/>
  <c r="X317" i="4" s="1"/>
  <c r="V317" i="4" a="1"/>
  <c r="V317" i="4" s="1"/>
  <c r="U317" i="4"/>
  <c r="T317" i="4"/>
  <c r="A317" i="4"/>
  <c r="W316" i="4" a="1"/>
  <c r="W316" i="4" s="1"/>
  <c r="X316" i="4" s="1"/>
  <c r="V316" i="4" a="1"/>
  <c r="V316" i="4" s="1"/>
  <c r="U316" i="4"/>
  <c r="T316" i="4"/>
  <c r="A316" i="4"/>
  <c r="W315" i="4" a="1"/>
  <c r="W315" i="4" s="1"/>
  <c r="X315" i="4" s="1"/>
  <c r="V315" i="4" a="1"/>
  <c r="V315" i="4" s="1"/>
  <c r="U315" i="4"/>
  <c r="T315" i="4"/>
  <c r="A315" i="4"/>
  <c r="W314" i="4" a="1"/>
  <c r="W314" i="4" s="1"/>
  <c r="X314" i="4" s="1"/>
  <c r="V314" i="4" a="1"/>
  <c r="V314" i="4" s="1"/>
  <c r="U314" i="4"/>
  <c r="T314" i="4"/>
  <c r="A314" i="4"/>
  <c r="W313" i="4" a="1"/>
  <c r="W313" i="4" s="1"/>
  <c r="X313" i="4" s="1"/>
  <c r="V313" i="4" a="1"/>
  <c r="V313" i="4" s="1"/>
  <c r="U313" i="4"/>
  <c r="T313" i="4"/>
  <c r="A313" i="4"/>
  <c r="W312" i="4" a="1"/>
  <c r="W312" i="4" s="1"/>
  <c r="X312" i="4" s="1"/>
  <c r="V312" i="4" a="1"/>
  <c r="V312" i="4" s="1"/>
  <c r="U312" i="4"/>
  <c r="T312" i="4"/>
  <c r="A312" i="4"/>
  <c r="W311" i="4" a="1"/>
  <c r="W311" i="4" s="1"/>
  <c r="X311" i="4" s="1"/>
  <c r="V311" i="4" a="1"/>
  <c r="V311" i="4" s="1"/>
  <c r="U311" i="4"/>
  <c r="T311" i="4"/>
  <c r="A311" i="4"/>
  <c r="W310" i="4" a="1"/>
  <c r="W310" i="4" s="1"/>
  <c r="X310" i="4" s="1"/>
  <c r="V310" i="4" a="1"/>
  <c r="V310" i="4" s="1"/>
  <c r="U310" i="4"/>
  <c r="T310" i="4"/>
  <c r="A310" i="4"/>
  <c r="W309" i="4" a="1"/>
  <c r="W309" i="4" s="1"/>
  <c r="X309" i="4" s="1"/>
  <c r="V309" i="4" a="1"/>
  <c r="V309" i="4" s="1"/>
  <c r="U309" i="4"/>
  <c r="T309" i="4"/>
  <c r="A309" i="4"/>
  <c r="W308" i="4" a="1"/>
  <c r="W308" i="4" s="1"/>
  <c r="X308" i="4" s="1"/>
  <c r="V308" i="4" a="1"/>
  <c r="V308" i="4" s="1"/>
  <c r="U308" i="4"/>
  <c r="T308" i="4"/>
  <c r="A308" i="4"/>
  <c r="W307" i="4" a="1"/>
  <c r="W307" i="4" s="1"/>
  <c r="X307" i="4" s="1"/>
  <c r="V307" i="4" a="1"/>
  <c r="V307" i="4" s="1"/>
  <c r="U307" i="4"/>
  <c r="T307" i="4"/>
  <c r="A307" i="4"/>
  <c r="W306" i="4" a="1"/>
  <c r="W306" i="4" s="1"/>
  <c r="X306" i="4" s="1"/>
  <c r="V306" i="4" a="1"/>
  <c r="V306" i="4" s="1"/>
  <c r="U306" i="4"/>
  <c r="T306" i="4"/>
  <c r="A306" i="4"/>
  <c r="W305" i="4" a="1"/>
  <c r="W305" i="4" s="1"/>
  <c r="X305" i="4" s="1"/>
  <c r="V305" i="4" a="1"/>
  <c r="V305" i="4" s="1"/>
  <c r="U305" i="4"/>
  <c r="T305" i="4"/>
  <c r="A305" i="4"/>
  <c r="W304" i="4" a="1"/>
  <c r="W304" i="4" s="1"/>
  <c r="X304" i="4" s="1"/>
  <c r="V304" i="4" a="1"/>
  <c r="V304" i="4" s="1"/>
  <c r="U304" i="4"/>
  <c r="T304" i="4"/>
  <c r="A304" i="4"/>
  <c r="W303" i="4" a="1"/>
  <c r="W303" i="4" s="1"/>
  <c r="X303" i="4" s="1"/>
  <c r="V303" i="4" a="1"/>
  <c r="V303" i="4" s="1"/>
  <c r="U303" i="4"/>
  <c r="T303" i="4"/>
  <c r="A303" i="4"/>
  <c r="W302" i="4" a="1"/>
  <c r="W302" i="4" s="1"/>
  <c r="X302" i="4" s="1"/>
  <c r="V302" i="4" a="1"/>
  <c r="V302" i="4" s="1"/>
  <c r="U302" i="4"/>
  <c r="T302" i="4"/>
  <c r="A302" i="4"/>
  <c r="W301" i="4" a="1"/>
  <c r="W301" i="4" s="1"/>
  <c r="X301" i="4" s="1"/>
  <c r="V301" i="4" a="1"/>
  <c r="V301" i="4" s="1"/>
  <c r="U301" i="4"/>
  <c r="T301" i="4"/>
  <c r="A301" i="4"/>
  <c r="W300" i="4" a="1"/>
  <c r="W300" i="4" s="1"/>
  <c r="X300" i="4" s="1"/>
  <c r="V300" i="4" a="1"/>
  <c r="V300" i="4" s="1"/>
  <c r="U300" i="4"/>
  <c r="T300" i="4"/>
  <c r="A300" i="4"/>
  <c r="W299" i="4" a="1"/>
  <c r="W299" i="4" s="1"/>
  <c r="X299" i="4" s="1"/>
  <c r="V299" i="4" a="1"/>
  <c r="V299" i="4" s="1"/>
  <c r="U299" i="4"/>
  <c r="T299" i="4"/>
  <c r="A299" i="4"/>
  <c r="W298" i="4" a="1"/>
  <c r="W298" i="4" s="1"/>
  <c r="X298" i="4" s="1"/>
  <c r="V298" i="4" a="1"/>
  <c r="V298" i="4" s="1"/>
  <c r="U298" i="4"/>
  <c r="T298" i="4"/>
  <c r="A298" i="4"/>
  <c r="W297" i="4" a="1"/>
  <c r="W297" i="4" s="1"/>
  <c r="X297" i="4" s="1"/>
  <c r="V297" i="4" a="1"/>
  <c r="V297" i="4" s="1"/>
  <c r="U297" i="4"/>
  <c r="T297" i="4"/>
  <c r="A297" i="4"/>
  <c r="W296" i="4" a="1"/>
  <c r="W296" i="4" s="1"/>
  <c r="X296" i="4" s="1"/>
  <c r="V296" i="4" a="1"/>
  <c r="V296" i="4" s="1"/>
  <c r="U296" i="4"/>
  <c r="T296" i="4"/>
  <c r="A296" i="4"/>
  <c r="W295" i="4" a="1"/>
  <c r="W295" i="4" s="1"/>
  <c r="X295" i="4" s="1"/>
  <c r="V295" i="4" a="1"/>
  <c r="V295" i="4" s="1"/>
  <c r="U295" i="4"/>
  <c r="T295" i="4"/>
  <c r="A295" i="4"/>
  <c r="W294" i="4" a="1"/>
  <c r="W294" i="4" s="1"/>
  <c r="X294" i="4" s="1"/>
  <c r="V294" i="4" a="1"/>
  <c r="V294" i="4" s="1"/>
  <c r="U294" i="4"/>
  <c r="T294" i="4"/>
  <c r="A294" i="4"/>
  <c r="W293" i="4" a="1"/>
  <c r="W293" i="4" s="1"/>
  <c r="X293" i="4" s="1"/>
  <c r="V293" i="4" a="1"/>
  <c r="V293" i="4" s="1"/>
  <c r="U293" i="4"/>
  <c r="T293" i="4"/>
  <c r="A293" i="4"/>
  <c r="W292" i="4" a="1"/>
  <c r="W292" i="4" s="1"/>
  <c r="X292" i="4" s="1"/>
  <c r="V292" i="4" a="1"/>
  <c r="V292" i="4" s="1"/>
  <c r="U292" i="4"/>
  <c r="T292" i="4"/>
  <c r="A292" i="4"/>
  <c r="W291" i="4" a="1"/>
  <c r="W291" i="4" s="1"/>
  <c r="X291" i="4" s="1"/>
  <c r="V291" i="4" a="1"/>
  <c r="V291" i="4" s="1"/>
  <c r="U291" i="4"/>
  <c r="T291" i="4"/>
  <c r="A291" i="4"/>
  <c r="W290" i="4" a="1"/>
  <c r="W290" i="4" s="1"/>
  <c r="X290" i="4" s="1"/>
  <c r="V290" i="4" a="1"/>
  <c r="V290" i="4" s="1"/>
  <c r="U290" i="4"/>
  <c r="T290" i="4"/>
  <c r="A290" i="4"/>
  <c r="W289" i="4" a="1"/>
  <c r="W289" i="4" s="1"/>
  <c r="X289" i="4" s="1"/>
  <c r="V289" i="4" a="1"/>
  <c r="V289" i="4" s="1"/>
  <c r="U289" i="4"/>
  <c r="T289" i="4"/>
  <c r="A289" i="4"/>
  <c r="W288" i="4" a="1"/>
  <c r="W288" i="4" s="1"/>
  <c r="X288" i="4" s="1"/>
  <c r="V288" i="4" a="1"/>
  <c r="V288" i="4" s="1"/>
  <c r="U288" i="4"/>
  <c r="T288" i="4"/>
  <c r="A288" i="4"/>
  <c r="W287" i="4" a="1"/>
  <c r="W287" i="4" s="1"/>
  <c r="X287" i="4" s="1"/>
  <c r="V287" i="4" a="1"/>
  <c r="V287" i="4" s="1"/>
  <c r="U287" i="4"/>
  <c r="T287" i="4"/>
  <c r="A287" i="4"/>
  <c r="W286" i="4" a="1"/>
  <c r="W286" i="4" s="1"/>
  <c r="X286" i="4" s="1"/>
  <c r="V286" i="4" a="1"/>
  <c r="V286" i="4" s="1"/>
  <c r="U286" i="4"/>
  <c r="T286" i="4"/>
  <c r="A286" i="4"/>
  <c r="W285" i="4" a="1"/>
  <c r="W285" i="4" s="1"/>
  <c r="X285" i="4" s="1"/>
  <c r="V285" i="4" a="1"/>
  <c r="V285" i="4" s="1"/>
  <c r="U285" i="4"/>
  <c r="T285" i="4"/>
  <c r="A285" i="4"/>
  <c r="W284" i="4" a="1"/>
  <c r="W284" i="4" s="1"/>
  <c r="X284" i="4" s="1"/>
  <c r="V284" i="4" a="1"/>
  <c r="V284" i="4" s="1"/>
  <c r="U284" i="4"/>
  <c r="T284" i="4"/>
  <c r="A284" i="4"/>
  <c r="W283" i="4" a="1"/>
  <c r="W283" i="4" s="1"/>
  <c r="X283" i="4" s="1"/>
  <c r="V283" i="4" a="1"/>
  <c r="V283" i="4" s="1"/>
  <c r="U283" i="4"/>
  <c r="T283" i="4"/>
  <c r="A283" i="4"/>
  <c r="W282" i="4" a="1"/>
  <c r="W282" i="4" s="1"/>
  <c r="X282" i="4" s="1"/>
  <c r="V282" i="4" a="1"/>
  <c r="V282" i="4" s="1"/>
  <c r="U282" i="4"/>
  <c r="T282" i="4"/>
  <c r="A282" i="4"/>
  <c r="W281" i="4" a="1"/>
  <c r="W281" i="4" s="1"/>
  <c r="X281" i="4" s="1"/>
  <c r="V281" i="4" a="1"/>
  <c r="V281" i="4" s="1"/>
  <c r="U281" i="4"/>
  <c r="T281" i="4"/>
  <c r="A281" i="4"/>
  <c r="W280" i="4" a="1"/>
  <c r="W280" i="4" s="1"/>
  <c r="X280" i="4" s="1"/>
  <c r="V280" i="4" a="1"/>
  <c r="V280" i="4" s="1"/>
  <c r="U280" i="4"/>
  <c r="T280" i="4"/>
  <c r="A280" i="4"/>
  <c r="W279" i="4" a="1"/>
  <c r="W279" i="4" s="1"/>
  <c r="X279" i="4" s="1"/>
  <c r="V279" i="4" a="1"/>
  <c r="V279" i="4" s="1"/>
  <c r="U279" i="4"/>
  <c r="T279" i="4"/>
  <c r="A279" i="4"/>
  <c r="W278" i="4" a="1"/>
  <c r="W278" i="4" s="1"/>
  <c r="X278" i="4" s="1"/>
  <c r="V278" i="4" a="1"/>
  <c r="V278" i="4" s="1"/>
  <c r="U278" i="4"/>
  <c r="T278" i="4"/>
  <c r="A278" i="4"/>
  <c r="W277" i="4" a="1"/>
  <c r="W277" i="4" s="1"/>
  <c r="X277" i="4" s="1"/>
  <c r="V277" i="4" a="1"/>
  <c r="V277" i="4" s="1"/>
  <c r="U277" i="4"/>
  <c r="T277" i="4"/>
  <c r="A277" i="4"/>
  <c r="W276" i="4" a="1"/>
  <c r="W276" i="4" s="1"/>
  <c r="X276" i="4" s="1"/>
  <c r="V276" i="4" a="1"/>
  <c r="V276" i="4" s="1"/>
  <c r="U276" i="4"/>
  <c r="T276" i="4"/>
  <c r="A276" i="4"/>
  <c r="W275" i="4" a="1"/>
  <c r="W275" i="4" s="1"/>
  <c r="X275" i="4" s="1"/>
  <c r="V275" i="4" a="1"/>
  <c r="V275" i="4" s="1"/>
  <c r="U275" i="4"/>
  <c r="T275" i="4"/>
  <c r="A275" i="4"/>
  <c r="W274" i="4" a="1"/>
  <c r="W274" i="4" s="1"/>
  <c r="X274" i="4" s="1"/>
  <c r="V274" i="4" a="1"/>
  <c r="V274" i="4" s="1"/>
  <c r="U274" i="4"/>
  <c r="T274" i="4"/>
  <c r="A274" i="4"/>
  <c r="W273" i="4" a="1"/>
  <c r="W273" i="4" s="1"/>
  <c r="X273" i="4" s="1"/>
  <c r="V273" i="4" a="1"/>
  <c r="V273" i="4" s="1"/>
  <c r="U273" i="4"/>
  <c r="T273" i="4"/>
  <c r="A273" i="4"/>
  <c r="W272" i="4" a="1"/>
  <c r="W272" i="4" s="1"/>
  <c r="X272" i="4" s="1"/>
  <c r="V272" i="4" a="1"/>
  <c r="V272" i="4" s="1"/>
  <c r="U272" i="4"/>
  <c r="T272" i="4"/>
  <c r="A272" i="4"/>
  <c r="W271" i="4" a="1"/>
  <c r="W271" i="4" s="1"/>
  <c r="X271" i="4" s="1"/>
  <c r="V271" i="4" a="1"/>
  <c r="V271" i="4" s="1"/>
  <c r="U271" i="4"/>
  <c r="T271" i="4"/>
  <c r="A271" i="4"/>
  <c r="W270" i="4" a="1"/>
  <c r="W270" i="4" s="1"/>
  <c r="X270" i="4" s="1"/>
  <c r="V270" i="4" a="1"/>
  <c r="V270" i="4" s="1"/>
  <c r="U270" i="4"/>
  <c r="T270" i="4"/>
  <c r="A270" i="4"/>
  <c r="W269" i="4" a="1"/>
  <c r="W269" i="4" s="1"/>
  <c r="X269" i="4" s="1"/>
  <c r="V269" i="4" a="1"/>
  <c r="V269" i="4" s="1"/>
  <c r="U269" i="4"/>
  <c r="T269" i="4"/>
  <c r="A269" i="4"/>
  <c r="W268" i="4" a="1"/>
  <c r="W268" i="4" s="1"/>
  <c r="X268" i="4" s="1"/>
  <c r="V268" i="4" a="1"/>
  <c r="V268" i="4" s="1"/>
  <c r="U268" i="4"/>
  <c r="T268" i="4"/>
  <c r="A268" i="4"/>
  <c r="W267" i="4" a="1"/>
  <c r="W267" i="4" s="1"/>
  <c r="X267" i="4" s="1"/>
  <c r="V267" i="4" a="1"/>
  <c r="V267" i="4" s="1"/>
  <c r="U267" i="4"/>
  <c r="T267" i="4"/>
  <c r="A267" i="4"/>
  <c r="W266" i="4" a="1"/>
  <c r="W266" i="4" s="1"/>
  <c r="X266" i="4" s="1"/>
  <c r="V266" i="4" a="1"/>
  <c r="V266" i="4" s="1"/>
  <c r="U266" i="4"/>
  <c r="T266" i="4"/>
  <c r="A266" i="4"/>
  <c r="W265" i="4" a="1"/>
  <c r="W265" i="4" s="1"/>
  <c r="X265" i="4" s="1"/>
  <c r="V265" i="4" a="1"/>
  <c r="V265" i="4" s="1"/>
  <c r="U265" i="4"/>
  <c r="T265" i="4"/>
  <c r="A265" i="4"/>
  <c r="W264" i="4" a="1"/>
  <c r="W264" i="4" s="1"/>
  <c r="X264" i="4" s="1"/>
  <c r="V264" i="4" a="1"/>
  <c r="V264" i="4" s="1"/>
  <c r="U264" i="4"/>
  <c r="T264" i="4"/>
  <c r="A264" i="4"/>
  <c r="W263" i="4" a="1"/>
  <c r="W263" i="4" s="1"/>
  <c r="X263" i="4" s="1"/>
  <c r="V263" i="4" a="1"/>
  <c r="V263" i="4" s="1"/>
  <c r="U263" i="4"/>
  <c r="T263" i="4"/>
  <c r="A263" i="4"/>
  <c r="W262" i="4" a="1"/>
  <c r="W262" i="4" s="1"/>
  <c r="X262" i="4" s="1"/>
  <c r="V262" i="4" a="1"/>
  <c r="V262" i="4" s="1"/>
  <c r="U262" i="4"/>
  <c r="T262" i="4"/>
  <c r="A262" i="4"/>
  <c r="W261" i="4" a="1"/>
  <c r="W261" i="4" s="1"/>
  <c r="X261" i="4" s="1"/>
  <c r="V261" i="4" a="1"/>
  <c r="V261" i="4" s="1"/>
  <c r="U261" i="4"/>
  <c r="T261" i="4"/>
  <c r="A261" i="4"/>
  <c r="W260" i="4" a="1"/>
  <c r="W260" i="4" s="1"/>
  <c r="X260" i="4" s="1"/>
  <c r="V260" i="4" a="1"/>
  <c r="V260" i="4" s="1"/>
  <c r="U260" i="4"/>
  <c r="T260" i="4"/>
  <c r="A260" i="4"/>
  <c r="W259" i="4" a="1"/>
  <c r="W259" i="4" s="1"/>
  <c r="X259" i="4" s="1"/>
  <c r="V259" i="4" a="1"/>
  <c r="V259" i="4" s="1"/>
  <c r="U259" i="4"/>
  <c r="T259" i="4"/>
  <c r="A259" i="4"/>
  <c r="W258" i="4" a="1"/>
  <c r="W258" i="4" s="1"/>
  <c r="X258" i="4" s="1"/>
  <c r="V258" i="4" a="1"/>
  <c r="V258" i="4" s="1"/>
  <c r="U258" i="4"/>
  <c r="T258" i="4"/>
  <c r="A258" i="4"/>
  <c r="W257" i="4" a="1"/>
  <c r="W257" i="4" s="1"/>
  <c r="X257" i="4" s="1"/>
  <c r="V257" i="4" a="1"/>
  <c r="V257" i="4" s="1"/>
  <c r="U257" i="4"/>
  <c r="T257" i="4"/>
  <c r="A257" i="4"/>
  <c r="W256" i="4" a="1"/>
  <c r="W256" i="4" s="1"/>
  <c r="X256" i="4" s="1"/>
  <c r="V256" i="4" a="1"/>
  <c r="V256" i="4" s="1"/>
  <c r="U256" i="4"/>
  <c r="T256" i="4"/>
  <c r="A256" i="4"/>
  <c r="W255" i="4" a="1"/>
  <c r="W255" i="4" s="1"/>
  <c r="X255" i="4" s="1"/>
  <c r="V255" i="4" a="1"/>
  <c r="V255" i="4" s="1"/>
  <c r="U255" i="4"/>
  <c r="T255" i="4"/>
  <c r="A255" i="4"/>
  <c r="W254" i="4" a="1"/>
  <c r="W254" i="4" s="1"/>
  <c r="X254" i="4" s="1"/>
  <c r="V254" i="4" a="1"/>
  <c r="V254" i="4" s="1"/>
  <c r="U254" i="4"/>
  <c r="T254" i="4"/>
  <c r="A254" i="4"/>
  <c r="W253" i="4" a="1"/>
  <c r="W253" i="4" s="1"/>
  <c r="X253" i="4" s="1"/>
  <c r="V253" i="4" a="1"/>
  <c r="V253" i="4" s="1"/>
  <c r="U253" i="4"/>
  <c r="T253" i="4"/>
  <c r="A253" i="4"/>
  <c r="W252" i="4" a="1"/>
  <c r="W252" i="4" s="1"/>
  <c r="X252" i="4" s="1"/>
  <c r="V252" i="4" a="1"/>
  <c r="V252" i="4" s="1"/>
  <c r="U252" i="4"/>
  <c r="T252" i="4"/>
  <c r="A252" i="4"/>
  <c r="W251" i="4" a="1"/>
  <c r="W251" i="4" s="1"/>
  <c r="X251" i="4" s="1"/>
  <c r="V251" i="4" a="1"/>
  <c r="V251" i="4" s="1"/>
  <c r="U251" i="4"/>
  <c r="T251" i="4"/>
  <c r="A251" i="4"/>
  <c r="W250" i="4" a="1"/>
  <c r="W250" i="4" s="1"/>
  <c r="X250" i="4" s="1"/>
  <c r="V250" i="4" a="1"/>
  <c r="V250" i="4" s="1"/>
  <c r="U250" i="4"/>
  <c r="T250" i="4"/>
  <c r="A250" i="4"/>
  <c r="W249" i="4" a="1"/>
  <c r="W249" i="4" s="1"/>
  <c r="X249" i="4" s="1"/>
  <c r="V249" i="4" a="1"/>
  <c r="V249" i="4" s="1"/>
  <c r="U249" i="4"/>
  <c r="T249" i="4"/>
  <c r="A249" i="4"/>
  <c r="W248" i="4" a="1"/>
  <c r="W248" i="4" s="1"/>
  <c r="X248" i="4" s="1"/>
  <c r="V248" i="4" a="1"/>
  <c r="V248" i="4" s="1"/>
  <c r="U248" i="4"/>
  <c r="T248" i="4"/>
  <c r="A248" i="4"/>
  <c r="W247" i="4" a="1"/>
  <c r="W247" i="4" s="1"/>
  <c r="X247" i="4" s="1"/>
  <c r="V247" i="4" a="1"/>
  <c r="V247" i="4" s="1"/>
  <c r="U247" i="4"/>
  <c r="T247" i="4"/>
  <c r="A247" i="4"/>
  <c r="W246" i="4" a="1"/>
  <c r="W246" i="4" s="1"/>
  <c r="X246" i="4" s="1"/>
  <c r="V246" i="4" a="1"/>
  <c r="V246" i="4" s="1"/>
  <c r="U246" i="4"/>
  <c r="T246" i="4"/>
  <c r="A246" i="4"/>
  <c r="W245" i="4" a="1"/>
  <c r="W245" i="4" s="1"/>
  <c r="X245" i="4" s="1"/>
  <c r="V245" i="4" a="1"/>
  <c r="V245" i="4" s="1"/>
  <c r="U245" i="4"/>
  <c r="T245" i="4"/>
  <c r="A245" i="4"/>
  <c r="W244" i="4" a="1"/>
  <c r="W244" i="4" s="1"/>
  <c r="X244" i="4" s="1"/>
  <c r="V244" i="4" a="1"/>
  <c r="V244" i="4" s="1"/>
  <c r="U244" i="4"/>
  <c r="T244" i="4"/>
  <c r="A244" i="4"/>
  <c r="W243" i="4" a="1"/>
  <c r="W243" i="4" s="1"/>
  <c r="X243" i="4" s="1"/>
  <c r="V243" i="4" a="1"/>
  <c r="V243" i="4" s="1"/>
  <c r="U243" i="4"/>
  <c r="T243" i="4"/>
  <c r="A243" i="4"/>
  <c r="W242" i="4" a="1"/>
  <c r="W242" i="4" s="1"/>
  <c r="X242" i="4" s="1"/>
  <c r="V242" i="4" a="1"/>
  <c r="V242" i="4" s="1"/>
  <c r="U242" i="4"/>
  <c r="T242" i="4"/>
  <c r="A242" i="4"/>
  <c r="W241" i="4" a="1"/>
  <c r="W241" i="4" s="1"/>
  <c r="X241" i="4" s="1"/>
  <c r="V241" i="4" a="1"/>
  <c r="V241" i="4" s="1"/>
  <c r="U241" i="4"/>
  <c r="T241" i="4"/>
  <c r="A241" i="4"/>
  <c r="W240" i="4" a="1"/>
  <c r="W240" i="4" s="1"/>
  <c r="X240" i="4" s="1"/>
  <c r="V240" i="4" a="1"/>
  <c r="V240" i="4" s="1"/>
  <c r="U240" i="4"/>
  <c r="T240" i="4"/>
  <c r="A240" i="4"/>
  <c r="W239" i="4" a="1"/>
  <c r="W239" i="4" s="1"/>
  <c r="X239" i="4" s="1"/>
  <c r="V239" i="4" a="1"/>
  <c r="V239" i="4" s="1"/>
  <c r="U239" i="4"/>
  <c r="T239" i="4"/>
  <c r="A239" i="4"/>
  <c r="W238" i="4" a="1"/>
  <c r="W238" i="4" s="1"/>
  <c r="X238" i="4" s="1"/>
  <c r="V238" i="4" a="1"/>
  <c r="V238" i="4" s="1"/>
  <c r="U238" i="4"/>
  <c r="T238" i="4"/>
  <c r="A238" i="4"/>
  <c r="W237" i="4" a="1"/>
  <c r="W237" i="4" s="1"/>
  <c r="X237" i="4" s="1"/>
  <c r="V237" i="4" a="1"/>
  <c r="V237" i="4" s="1"/>
  <c r="U237" i="4"/>
  <c r="T237" i="4"/>
  <c r="A237" i="4"/>
  <c r="W236" i="4" a="1"/>
  <c r="W236" i="4" s="1"/>
  <c r="X236" i="4" s="1"/>
  <c r="V236" i="4" a="1"/>
  <c r="V236" i="4" s="1"/>
  <c r="U236" i="4"/>
  <c r="T236" i="4"/>
  <c r="A236" i="4"/>
  <c r="W235" i="4" a="1"/>
  <c r="W235" i="4" s="1"/>
  <c r="X235" i="4" s="1"/>
  <c r="V235" i="4" a="1"/>
  <c r="V235" i="4" s="1"/>
  <c r="U235" i="4"/>
  <c r="T235" i="4"/>
  <c r="A235" i="4"/>
  <c r="W234" i="4" a="1"/>
  <c r="W234" i="4" s="1"/>
  <c r="X234" i="4" s="1"/>
  <c r="V234" i="4" a="1"/>
  <c r="V234" i="4" s="1"/>
  <c r="U234" i="4"/>
  <c r="T234" i="4"/>
  <c r="A234" i="4"/>
  <c r="W233" i="4" a="1"/>
  <c r="W233" i="4" s="1"/>
  <c r="X233" i="4" s="1"/>
  <c r="V233" i="4" a="1"/>
  <c r="V233" i="4" s="1"/>
  <c r="U233" i="4"/>
  <c r="T233" i="4"/>
  <c r="A233" i="4"/>
  <c r="W232" i="4" a="1"/>
  <c r="W232" i="4" s="1"/>
  <c r="X232" i="4" s="1"/>
  <c r="V232" i="4" a="1"/>
  <c r="V232" i="4" s="1"/>
  <c r="U232" i="4"/>
  <c r="T232" i="4"/>
  <c r="A232" i="4"/>
  <c r="W231" i="4" a="1"/>
  <c r="W231" i="4" s="1"/>
  <c r="X231" i="4" s="1"/>
  <c r="V231" i="4" a="1"/>
  <c r="V231" i="4" s="1"/>
  <c r="U231" i="4"/>
  <c r="T231" i="4"/>
  <c r="A231" i="4"/>
  <c r="W230" i="4" a="1"/>
  <c r="W230" i="4" s="1"/>
  <c r="X230" i="4" s="1"/>
  <c r="V230" i="4" a="1"/>
  <c r="V230" i="4" s="1"/>
  <c r="U230" i="4"/>
  <c r="T230" i="4"/>
  <c r="A230" i="4"/>
  <c r="W229" i="4" a="1"/>
  <c r="W229" i="4" s="1"/>
  <c r="X229" i="4" s="1"/>
  <c r="V229" i="4" a="1"/>
  <c r="V229" i="4" s="1"/>
  <c r="U229" i="4"/>
  <c r="T229" i="4"/>
  <c r="A229" i="4"/>
  <c r="W228" i="4" a="1"/>
  <c r="W228" i="4" s="1"/>
  <c r="X228" i="4" s="1"/>
  <c r="V228" i="4" a="1"/>
  <c r="V228" i="4" s="1"/>
  <c r="U228" i="4"/>
  <c r="T228" i="4"/>
  <c r="A228" i="4"/>
  <c r="W227" i="4" a="1"/>
  <c r="W227" i="4" s="1"/>
  <c r="X227" i="4" s="1"/>
  <c r="V227" i="4" a="1"/>
  <c r="V227" i="4" s="1"/>
  <c r="U227" i="4"/>
  <c r="T227" i="4"/>
  <c r="A227" i="4"/>
  <c r="W226" i="4" a="1"/>
  <c r="W226" i="4" s="1"/>
  <c r="X226" i="4" s="1"/>
  <c r="V226" i="4" a="1"/>
  <c r="V226" i="4" s="1"/>
  <c r="U226" i="4"/>
  <c r="T226" i="4"/>
  <c r="A226" i="4"/>
  <c r="W225" i="4" a="1"/>
  <c r="W225" i="4" s="1"/>
  <c r="X225" i="4" s="1"/>
  <c r="V225" i="4" a="1"/>
  <c r="V225" i="4" s="1"/>
  <c r="U225" i="4"/>
  <c r="T225" i="4"/>
  <c r="A225" i="4"/>
  <c r="W224" i="4" a="1"/>
  <c r="W224" i="4" s="1"/>
  <c r="X224" i="4" s="1"/>
  <c r="V224" i="4" a="1"/>
  <c r="V224" i="4" s="1"/>
  <c r="U224" i="4"/>
  <c r="T224" i="4"/>
  <c r="A224" i="4"/>
  <c r="W223" i="4" a="1"/>
  <c r="W223" i="4" s="1"/>
  <c r="X223" i="4" s="1"/>
  <c r="V223" i="4" a="1"/>
  <c r="V223" i="4" s="1"/>
  <c r="U223" i="4"/>
  <c r="T223" i="4"/>
  <c r="A223" i="4"/>
  <c r="W222" i="4" a="1"/>
  <c r="W222" i="4" s="1"/>
  <c r="X222" i="4" s="1"/>
  <c r="V222" i="4" a="1"/>
  <c r="V222" i="4" s="1"/>
  <c r="U222" i="4"/>
  <c r="T222" i="4"/>
  <c r="A222" i="4"/>
  <c r="W221" i="4" a="1"/>
  <c r="W221" i="4" s="1"/>
  <c r="X221" i="4" s="1"/>
  <c r="V221" i="4" a="1"/>
  <c r="V221" i="4" s="1"/>
  <c r="U221" i="4"/>
  <c r="T221" i="4"/>
  <c r="A221" i="4"/>
  <c r="W220" i="4" a="1"/>
  <c r="W220" i="4" s="1"/>
  <c r="X220" i="4" s="1"/>
  <c r="V220" i="4" a="1"/>
  <c r="V220" i="4" s="1"/>
  <c r="U220" i="4"/>
  <c r="T220" i="4"/>
  <c r="A220" i="4"/>
  <c r="W219" i="4" a="1"/>
  <c r="W219" i="4" s="1"/>
  <c r="X219" i="4" s="1"/>
  <c r="V219" i="4" a="1"/>
  <c r="V219" i="4" s="1"/>
  <c r="U219" i="4"/>
  <c r="T219" i="4"/>
  <c r="A219" i="4"/>
  <c r="W218" i="4" a="1"/>
  <c r="W218" i="4" s="1"/>
  <c r="X218" i="4" s="1"/>
  <c r="V218" i="4" a="1"/>
  <c r="V218" i="4" s="1"/>
  <c r="U218" i="4"/>
  <c r="T218" i="4"/>
  <c r="A218" i="4"/>
  <c r="W217" i="4" a="1"/>
  <c r="W217" i="4" s="1"/>
  <c r="X217" i="4" s="1"/>
  <c r="V217" i="4" a="1"/>
  <c r="V217" i="4" s="1"/>
  <c r="U217" i="4"/>
  <c r="T217" i="4"/>
  <c r="A217" i="4"/>
  <c r="W216" i="4" a="1"/>
  <c r="W216" i="4" s="1"/>
  <c r="X216" i="4" s="1"/>
  <c r="V216" i="4" a="1"/>
  <c r="V216" i="4" s="1"/>
  <c r="U216" i="4"/>
  <c r="T216" i="4"/>
  <c r="A216" i="4"/>
  <c r="W215" i="4" a="1"/>
  <c r="W215" i="4" s="1"/>
  <c r="X215" i="4" s="1"/>
  <c r="V215" i="4" a="1"/>
  <c r="V215" i="4" s="1"/>
  <c r="U215" i="4"/>
  <c r="T215" i="4"/>
  <c r="A215" i="4"/>
  <c r="W214" i="4" a="1"/>
  <c r="W214" i="4" s="1"/>
  <c r="X214" i="4" s="1"/>
  <c r="V214" i="4" a="1"/>
  <c r="V214" i="4" s="1"/>
  <c r="U214" i="4"/>
  <c r="T214" i="4"/>
  <c r="A214" i="4"/>
  <c r="W213" i="4" a="1"/>
  <c r="W213" i="4" s="1"/>
  <c r="X213" i="4" s="1"/>
  <c r="V213" i="4" a="1"/>
  <c r="V213" i="4" s="1"/>
  <c r="U213" i="4"/>
  <c r="T213" i="4"/>
  <c r="A213" i="4"/>
  <c r="W212" i="4" a="1"/>
  <c r="W212" i="4" s="1"/>
  <c r="X212" i="4" s="1"/>
  <c r="V212" i="4" a="1"/>
  <c r="V212" i="4" s="1"/>
  <c r="U212" i="4"/>
  <c r="T212" i="4"/>
  <c r="A212" i="4"/>
  <c r="W211" i="4" a="1"/>
  <c r="W211" i="4" s="1"/>
  <c r="X211" i="4" s="1"/>
  <c r="V211" i="4" a="1"/>
  <c r="V211" i="4" s="1"/>
  <c r="U211" i="4"/>
  <c r="T211" i="4"/>
  <c r="A211" i="4"/>
  <c r="W210" i="4" a="1"/>
  <c r="W210" i="4" s="1"/>
  <c r="X210" i="4" s="1"/>
  <c r="V210" i="4" a="1"/>
  <c r="V210" i="4" s="1"/>
  <c r="U210" i="4"/>
  <c r="T210" i="4"/>
  <c r="A210" i="4"/>
  <c r="W209" i="4" a="1"/>
  <c r="W209" i="4" s="1"/>
  <c r="X209" i="4" s="1"/>
  <c r="V209" i="4" a="1"/>
  <c r="V209" i="4" s="1"/>
  <c r="U209" i="4"/>
  <c r="T209" i="4"/>
  <c r="A209" i="4"/>
  <c r="W208" i="4" a="1"/>
  <c r="W208" i="4" s="1"/>
  <c r="X208" i="4" s="1"/>
  <c r="V208" i="4" a="1"/>
  <c r="V208" i="4" s="1"/>
  <c r="U208" i="4"/>
  <c r="T208" i="4"/>
  <c r="A208" i="4"/>
  <c r="W207" i="4" a="1"/>
  <c r="W207" i="4" s="1"/>
  <c r="X207" i="4" s="1"/>
  <c r="V207" i="4" a="1"/>
  <c r="V207" i="4" s="1"/>
  <c r="U207" i="4"/>
  <c r="T207" i="4"/>
  <c r="A207" i="4"/>
  <c r="W206" i="4" a="1"/>
  <c r="W206" i="4" s="1"/>
  <c r="X206" i="4" s="1"/>
  <c r="V206" i="4" a="1"/>
  <c r="V206" i="4" s="1"/>
  <c r="U206" i="4"/>
  <c r="T206" i="4"/>
  <c r="A206" i="4"/>
  <c r="W205" i="4" a="1"/>
  <c r="W205" i="4" s="1"/>
  <c r="X205" i="4" s="1"/>
  <c r="V205" i="4" a="1"/>
  <c r="V205" i="4" s="1"/>
  <c r="U205" i="4"/>
  <c r="T205" i="4"/>
  <c r="A205" i="4"/>
  <c r="W204" i="4" a="1"/>
  <c r="W204" i="4" s="1"/>
  <c r="X204" i="4" s="1"/>
  <c r="V204" i="4" a="1"/>
  <c r="V204" i="4" s="1"/>
  <c r="U204" i="4"/>
  <c r="T204" i="4"/>
  <c r="A204" i="4"/>
  <c r="W203" i="4" a="1"/>
  <c r="W203" i="4" s="1"/>
  <c r="X203" i="4" s="1"/>
  <c r="V203" i="4" a="1"/>
  <c r="V203" i="4" s="1"/>
  <c r="U203" i="4"/>
  <c r="T203" i="4"/>
  <c r="A203" i="4"/>
  <c r="W202" i="4" a="1"/>
  <c r="W202" i="4" s="1"/>
  <c r="X202" i="4" s="1"/>
  <c r="V202" i="4" a="1"/>
  <c r="V202" i="4" s="1"/>
  <c r="U202" i="4"/>
  <c r="T202" i="4"/>
  <c r="A202" i="4"/>
  <c r="W201" i="4" a="1"/>
  <c r="W201" i="4" s="1"/>
  <c r="X201" i="4" s="1"/>
  <c r="V201" i="4" a="1"/>
  <c r="V201" i="4" s="1"/>
  <c r="U201" i="4"/>
  <c r="T201" i="4"/>
  <c r="A201" i="4"/>
  <c r="W200" i="4" a="1"/>
  <c r="W200" i="4" s="1"/>
  <c r="X200" i="4" s="1"/>
  <c r="V200" i="4" a="1"/>
  <c r="V200" i="4" s="1"/>
  <c r="U200" i="4"/>
  <c r="T200" i="4"/>
  <c r="A200" i="4"/>
  <c r="W199" i="4" a="1"/>
  <c r="W199" i="4" s="1"/>
  <c r="X199" i="4" s="1"/>
  <c r="V199" i="4" a="1"/>
  <c r="V199" i="4" s="1"/>
  <c r="U199" i="4"/>
  <c r="T199" i="4"/>
  <c r="A199" i="4"/>
  <c r="W198" i="4" a="1"/>
  <c r="W198" i="4" s="1"/>
  <c r="X198" i="4" s="1"/>
  <c r="V198" i="4" a="1"/>
  <c r="V198" i="4" s="1"/>
  <c r="U198" i="4"/>
  <c r="T198" i="4"/>
  <c r="A198" i="4"/>
  <c r="W197" i="4" a="1"/>
  <c r="W197" i="4" s="1"/>
  <c r="X197" i="4" s="1"/>
  <c r="V197" i="4" a="1"/>
  <c r="V197" i="4" s="1"/>
  <c r="U197" i="4"/>
  <c r="T197" i="4"/>
  <c r="A197" i="4"/>
  <c r="W196" i="4" a="1"/>
  <c r="W196" i="4" s="1"/>
  <c r="X196" i="4" s="1"/>
  <c r="V196" i="4" a="1"/>
  <c r="V196" i="4" s="1"/>
  <c r="U196" i="4"/>
  <c r="T196" i="4"/>
  <c r="A196" i="4"/>
  <c r="W195" i="4" a="1"/>
  <c r="W195" i="4" s="1"/>
  <c r="X195" i="4" s="1"/>
  <c r="V195" i="4" a="1"/>
  <c r="V195" i="4" s="1"/>
  <c r="U195" i="4"/>
  <c r="T195" i="4"/>
  <c r="A195" i="4"/>
  <c r="W194" i="4" a="1"/>
  <c r="W194" i="4" s="1"/>
  <c r="X194" i="4" s="1"/>
  <c r="V194" i="4" a="1"/>
  <c r="V194" i="4" s="1"/>
  <c r="U194" i="4"/>
  <c r="T194" i="4"/>
  <c r="A194" i="4"/>
  <c r="W193" i="4" a="1"/>
  <c r="W193" i="4" s="1"/>
  <c r="X193" i="4" s="1"/>
  <c r="V193" i="4" a="1"/>
  <c r="V193" i="4" s="1"/>
  <c r="U193" i="4"/>
  <c r="T193" i="4"/>
  <c r="A193" i="4"/>
  <c r="W192" i="4" a="1"/>
  <c r="W192" i="4" s="1"/>
  <c r="X192" i="4" s="1"/>
  <c r="V192" i="4" a="1"/>
  <c r="V192" i="4" s="1"/>
  <c r="U192" i="4"/>
  <c r="T192" i="4"/>
  <c r="A192" i="4"/>
  <c r="W191" i="4" a="1"/>
  <c r="W191" i="4" s="1"/>
  <c r="X191" i="4" s="1"/>
  <c r="V191" i="4" a="1"/>
  <c r="V191" i="4" s="1"/>
  <c r="U191" i="4"/>
  <c r="T191" i="4"/>
  <c r="A191" i="4"/>
  <c r="W190" i="4" a="1"/>
  <c r="W190" i="4" s="1"/>
  <c r="X190" i="4" s="1"/>
  <c r="V190" i="4" a="1"/>
  <c r="V190" i="4" s="1"/>
  <c r="U190" i="4"/>
  <c r="T190" i="4"/>
  <c r="A190" i="4"/>
  <c r="W189" i="4" a="1"/>
  <c r="W189" i="4" s="1"/>
  <c r="X189" i="4" s="1"/>
  <c r="V189" i="4" a="1"/>
  <c r="V189" i="4" s="1"/>
  <c r="U189" i="4"/>
  <c r="T189" i="4"/>
  <c r="A189" i="4"/>
  <c r="W188" i="4" a="1"/>
  <c r="W188" i="4" s="1"/>
  <c r="X188" i="4" s="1"/>
  <c r="V188" i="4" a="1"/>
  <c r="V188" i="4" s="1"/>
  <c r="U188" i="4"/>
  <c r="T188" i="4"/>
  <c r="A188" i="4"/>
  <c r="W187" i="4" a="1"/>
  <c r="W187" i="4" s="1"/>
  <c r="X187" i="4" s="1"/>
  <c r="V187" i="4" a="1"/>
  <c r="V187" i="4" s="1"/>
  <c r="U187" i="4"/>
  <c r="T187" i="4"/>
  <c r="A187" i="4"/>
  <c r="W186" i="4" a="1"/>
  <c r="W186" i="4" s="1"/>
  <c r="X186" i="4" s="1"/>
  <c r="V186" i="4" a="1"/>
  <c r="V186" i="4" s="1"/>
  <c r="U186" i="4"/>
  <c r="T186" i="4"/>
  <c r="A186" i="4"/>
  <c r="W185" i="4" a="1"/>
  <c r="W185" i="4" s="1"/>
  <c r="X185" i="4" s="1"/>
  <c r="V185" i="4" a="1"/>
  <c r="V185" i="4" s="1"/>
  <c r="U185" i="4"/>
  <c r="T185" i="4"/>
  <c r="A185" i="4"/>
  <c r="W184" i="4" a="1"/>
  <c r="W184" i="4" s="1"/>
  <c r="X184" i="4" s="1"/>
  <c r="V184" i="4" a="1"/>
  <c r="V184" i="4" s="1"/>
  <c r="U184" i="4"/>
  <c r="T184" i="4"/>
  <c r="A184" i="4"/>
  <c r="W183" i="4" a="1"/>
  <c r="W183" i="4" s="1"/>
  <c r="X183" i="4" s="1"/>
  <c r="V183" i="4" a="1"/>
  <c r="V183" i="4" s="1"/>
  <c r="U183" i="4"/>
  <c r="T183" i="4"/>
  <c r="A183" i="4"/>
  <c r="W182" i="4" a="1"/>
  <c r="W182" i="4" s="1"/>
  <c r="X182" i="4" s="1"/>
  <c r="V182" i="4" a="1"/>
  <c r="V182" i="4" s="1"/>
  <c r="U182" i="4"/>
  <c r="T182" i="4"/>
  <c r="A182" i="4"/>
  <c r="W181" i="4" a="1"/>
  <c r="W181" i="4" s="1"/>
  <c r="X181" i="4" s="1"/>
  <c r="V181" i="4" a="1"/>
  <c r="V181" i="4" s="1"/>
  <c r="U181" i="4"/>
  <c r="T181" i="4"/>
  <c r="A181" i="4"/>
  <c r="W180" i="4" a="1"/>
  <c r="W180" i="4" s="1"/>
  <c r="X180" i="4" s="1"/>
  <c r="V180" i="4" a="1"/>
  <c r="V180" i="4" s="1"/>
  <c r="U180" i="4"/>
  <c r="T180" i="4"/>
  <c r="A180" i="4"/>
  <c r="W179" i="4" a="1"/>
  <c r="W179" i="4" s="1"/>
  <c r="X179" i="4" s="1"/>
  <c r="V179" i="4" a="1"/>
  <c r="V179" i="4" s="1"/>
  <c r="U179" i="4"/>
  <c r="T179" i="4"/>
  <c r="A179" i="4"/>
  <c r="W178" i="4" a="1"/>
  <c r="W178" i="4" s="1"/>
  <c r="X178" i="4" s="1"/>
  <c r="V178" i="4" a="1"/>
  <c r="V178" i="4" s="1"/>
  <c r="U178" i="4"/>
  <c r="T178" i="4"/>
  <c r="A178" i="4"/>
  <c r="W177" i="4" a="1"/>
  <c r="W177" i="4" s="1"/>
  <c r="X177" i="4" s="1"/>
  <c r="V177" i="4" a="1"/>
  <c r="V177" i="4" s="1"/>
  <c r="U177" i="4"/>
  <c r="T177" i="4"/>
  <c r="A177" i="4"/>
  <c r="W176" i="4" a="1"/>
  <c r="W176" i="4" s="1"/>
  <c r="X176" i="4" s="1"/>
  <c r="V176" i="4" a="1"/>
  <c r="V176" i="4" s="1"/>
  <c r="U176" i="4"/>
  <c r="T176" i="4"/>
  <c r="A176" i="4"/>
  <c r="W175" i="4" a="1"/>
  <c r="W175" i="4" s="1"/>
  <c r="X175" i="4" s="1"/>
  <c r="V175" i="4" a="1"/>
  <c r="V175" i="4" s="1"/>
  <c r="U175" i="4"/>
  <c r="T175" i="4"/>
  <c r="A175" i="4"/>
  <c r="W174" i="4" a="1"/>
  <c r="W174" i="4" s="1"/>
  <c r="X174" i="4" s="1"/>
  <c r="V174" i="4" a="1"/>
  <c r="V174" i="4" s="1"/>
  <c r="U174" i="4"/>
  <c r="T174" i="4"/>
  <c r="A174" i="4"/>
  <c r="W173" i="4" a="1"/>
  <c r="W173" i="4" s="1"/>
  <c r="X173" i="4" s="1"/>
  <c r="V173" i="4" a="1"/>
  <c r="V173" i="4" s="1"/>
  <c r="U173" i="4"/>
  <c r="T173" i="4"/>
  <c r="S173" i="4"/>
  <c r="R173" i="4"/>
  <c r="Q173" i="4"/>
  <c r="P173" i="4"/>
  <c r="O173" i="4"/>
  <c r="N173" i="4"/>
  <c r="M173" i="4"/>
  <c r="L173" i="4"/>
  <c r="K173" i="4"/>
  <c r="J173" i="4"/>
  <c r="I173" i="4"/>
  <c r="H173" i="4"/>
  <c r="G173" i="4"/>
  <c r="F173" i="4"/>
  <c r="E173" i="4"/>
  <c r="D173" i="4"/>
  <c r="C173" i="4"/>
  <c r="B173" i="4"/>
  <c r="W172" i="4" a="1"/>
  <c r="W172" i="4" s="1"/>
  <c r="X172" i="4" s="1"/>
  <c r="V172" i="4" a="1"/>
  <c r="V172" i="4" s="1"/>
  <c r="U172" i="4"/>
  <c r="T172" i="4"/>
  <c r="S172" i="4"/>
  <c r="R172" i="4"/>
  <c r="Q172" i="4"/>
  <c r="P172" i="4"/>
  <c r="O172" i="4"/>
  <c r="N172" i="4"/>
  <c r="M172" i="4"/>
  <c r="L172" i="4"/>
  <c r="K172" i="4"/>
  <c r="J172" i="4"/>
  <c r="I172" i="4"/>
  <c r="H172" i="4"/>
  <c r="G172" i="4"/>
  <c r="F172" i="4"/>
  <c r="E172" i="4"/>
  <c r="D172" i="4"/>
  <c r="C172" i="4"/>
  <c r="B172" i="4"/>
  <c r="W171" i="4" a="1"/>
  <c r="W171" i="4" s="1"/>
  <c r="X171" i="4" s="1"/>
  <c r="V171" i="4" a="1"/>
  <c r="V171" i="4" s="1"/>
  <c r="U171" i="4"/>
  <c r="T171" i="4"/>
  <c r="S171" i="4"/>
  <c r="R171" i="4"/>
  <c r="Q171" i="4"/>
  <c r="P171" i="4"/>
  <c r="O171" i="4"/>
  <c r="N171" i="4"/>
  <c r="M171" i="4"/>
  <c r="L171" i="4"/>
  <c r="K171" i="4"/>
  <c r="J171" i="4"/>
  <c r="I171" i="4"/>
  <c r="H171" i="4"/>
  <c r="G171" i="4"/>
  <c r="F171" i="4"/>
  <c r="E171" i="4"/>
  <c r="D171" i="4"/>
  <c r="C171" i="4"/>
  <c r="B171" i="4"/>
  <c r="W170" i="4" a="1"/>
  <c r="W170" i="4" s="1"/>
  <c r="X170" i="4" s="1"/>
  <c r="V170" i="4" a="1"/>
  <c r="V170" i="4" s="1"/>
  <c r="U170" i="4"/>
  <c r="T170" i="4"/>
  <c r="S170" i="4"/>
  <c r="R170" i="4"/>
  <c r="Q170" i="4"/>
  <c r="P170" i="4"/>
  <c r="O170" i="4"/>
  <c r="N170" i="4"/>
  <c r="M170" i="4"/>
  <c r="L170" i="4"/>
  <c r="K170" i="4"/>
  <c r="J170" i="4"/>
  <c r="I170" i="4"/>
  <c r="H170" i="4"/>
  <c r="G170" i="4"/>
  <c r="F170" i="4"/>
  <c r="E170" i="4"/>
  <c r="D170" i="4"/>
  <c r="C170" i="4"/>
  <c r="B170" i="4"/>
  <c r="W169" i="4" a="1"/>
  <c r="W169" i="4" s="1"/>
  <c r="X169" i="4" s="1"/>
  <c r="V169" i="4" a="1"/>
  <c r="V169" i="4" s="1"/>
  <c r="U169" i="4"/>
  <c r="T169" i="4"/>
  <c r="S169" i="4"/>
  <c r="R169" i="4"/>
  <c r="Q169" i="4"/>
  <c r="P169" i="4"/>
  <c r="O169" i="4"/>
  <c r="N169" i="4"/>
  <c r="M169" i="4"/>
  <c r="L169" i="4"/>
  <c r="K169" i="4"/>
  <c r="J169" i="4"/>
  <c r="I169" i="4"/>
  <c r="H169" i="4"/>
  <c r="G169" i="4"/>
  <c r="F169" i="4"/>
  <c r="E169" i="4"/>
  <c r="D169" i="4"/>
  <c r="C169" i="4"/>
  <c r="B169" i="4"/>
  <c r="W168" i="4" a="1"/>
  <c r="W168" i="4" s="1"/>
  <c r="X168" i="4" s="1"/>
  <c r="V168" i="4" a="1"/>
  <c r="V168" i="4" s="1"/>
  <c r="U168" i="4"/>
  <c r="T168" i="4"/>
  <c r="S168" i="4"/>
  <c r="R168" i="4"/>
  <c r="Q168" i="4"/>
  <c r="P168" i="4"/>
  <c r="O168" i="4"/>
  <c r="N168" i="4"/>
  <c r="M168" i="4"/>
  <c r="L168" i="4"/>
  <c r="K168" i="4"/>
  <c r="J168" i="4"/>
  <c r="I168" i="4"/>
  <c r="H168" i="4"/>
  <c r="G168" i="4"/>
  <c r="F168" i="4"/>
  <c r="E168" i="4"/>
  <c r="D168" i="4"/>
  <c r="C168" i="4"/>
  <c r="B168" i="4"/>
  <c r="W167" i="4" a="1"/>
  <c r="W167" i="4" s="1"/>
  <c r="X167" i="4" s="1"/>
  <c r="V167" i="4" a="1"/>
  <c r="V167" i="4" s="1"/>
  <c r="U167" i="4"/>
  <c r="T167" i="4"/>
  <c r="S167" i="4"/>
  <c r="R167" i="4"/>
  <c r="Q167" i="4"/>
  <c r="P167" i="4"/>
  <c r="O167" i="4"/>
  <c r="N167" i="4"/>
  <c r="M167" i="4"/>
  <c r="L167" i="4"/>
  <c r="K167" i="4"/>
  <c r="J167" i="4"/>
  <c r="I167" i="4"/>
  <c r="H167" i="4"/>
  <c r="G167" i="4"/>
  <c r="F167" i="4"/>
  <c r="E167" i="4"/>
  <c r="D167" i="4"/>
  <c r="C167" i="4"/>
  <c r="B167" i="4"/>
  <c r="W166" i="4" a="1"/>
  <c r="W166" i="4" s="1"/>
  <c r="X166" i="4" s="1"/>
  <c r="V166" i="4" a="1"/>
  <c r="V166" i="4" s="1"/>
  <c r="U166" i="4"/>
  <c r="T166" i="4"/>
  <c r="S166" i="4"/>
  <c r="R166" i="4"/>
  <c r="Q166" i="4"/>
  <c r="P166" i="4"/>
  <c r="O166" i="4"/>
  <c r="N166" i="4"/>
  <c r="M166" i="4"/>
  <c r="L166" i="4"/>
  <c r="K166" i="4"/>
  <c r="J166" i="4"/>
  <c r="I166" i="4"/>
  <c r="H166" i="4"/>
  <c r="G166" i="4"/>
  <c r="F166" i="4"/>
  <c r="E166" i="4"/>
  <c r="D166" i="4"/>
  <c r="C166" i="4"/>
  <c r="B166" i="4"/>
  <c r="W165" i="4" a="1"/>
  <c r="W165" i="4" s="1"/>
  <c r="X165" i="4" s="1"/>
  <c r="V165" i="4" a="1"/>
  <c r="V165" i="4" s="1"/>
  <c r="U165" i="4"/>
  <c r="T165" i="4"/>
  <c r="S165" i="4"/>
  <c r="R165" i="4"/>
  <c r="Q165" i="4"/>
  <c r="P165" i="4"/>
  <c r="O165" i="4"/>
  <c r="N165" i="4"/>
  <c r="M165" i="4"/>
  <c r="L165" i="4"/>
  <c r="K165" i="4"/>
  <c r="J165" i="4"/>
  <c r="I165" i="4"/>
  <c r="H165" i="4"/>
  <c r="G165" i="4"/>
  <c r="F165" i="4"/>
  <c r="E165" i="4"/>
  <c r="D165" i="4"/>
  <c r="C165" i="4"/>
  <c r="B165" i="4"/>
  <c r="W164" i="4" a="1"/>
  <c r="W164" i="4" s="1"/>
  <c r="X164" i="4" s="1"/>
  <c r="V164" i="4" a="1"/>
  <c r="V164" i="4" s="1"/>
  <c r="U164" i="4"/>
  <c r="T164" i="4"/>
  <c r="S164" i="4"/>
  <c r="R164" i="4"/>
  <c r="Q164" i="4"/>
  <c r="P164" i="4"/>
  <c r="O164" i="4"/>
  <c r="N164" i="4"/>
  <c r="M164" i="4"/>
  <c r="L164" i="4"/>
  <c r="K164" i="4"/>
  <c r="J164" i="4"/>
  <c r="I164" i="4"/>
  <c r="H164" i="4"/>
  <c r="G164" i="4"/>
  <c r="F164" i="4"/>
  <c r="E164" i="4"/>
  <c r="D164" i="4"/>
  <c r="C164" i="4"/>
  <c r="B164" i="4"/>
  <c r="W163" i="4" a="1"/>
  <c r="W163" i="4" s="1"/>
  <c r="X163" i="4" s="1"/>
  <c r="V163" i="4" a="1"/>
  <c r="V163" i="4" s="1"/>
  <c r="U163" i="4"/>
  <c r="T163" i="4"/>
  <c r="S163" i="4"/>
  <c r="R163" i="4"/>
  <c r="Q163" i="4"/>
  <c r="P163" i="4"/>
  <c r="O163" i="4"/>
  <c r="N163" i="4"/>
  <c r="M163" i="4"/>
  <c r="L163" i="4"/>
  <c r="K163" i="4"/>
  <c r="J163" i="4"/>
  <c r="I163" i="4"/>
  <c r="H163" i="4"/>
  <c r="G163" i="4"/>
  <c r="F163" i="4"/>
  <c r="E163" i="4"/>
  <c r="D163" i="4"/>
  <c r="C163" i="4"/>
  <c r="B163" i="4"/>
  <c r="W162" i="4" a="1"/>
  <c r="W162" i="4" s="1"/>
  <c r="X162" i="4" s="1"/>
  <c r="V162" i="4" a="1"/>
  <c r="V162" i="4" s="1"/>
  <c r="U162" i="4"/>
  <c r="T162" i="4"/>
  <c r="S162" i="4"/>
  <c r="R162" i="4"/>
  <c r="Q162" i="4"/>
  <c r="P162" i="4"/>
  <c r="O162" i="4"/>
  <c r="N162" i="4"/>
  <c r="M162" i="4"/>
  <c r="L162" i="4"/>
  <c r="K162" i="4"/>
  <c r="J162" i="4"/>
  <c r="I162" i="4"/>
  <c r="H162" i="4"/>
  <c r="G162" i="4"/>
  <c r="F162" i="4"/>
  <c r="E162" i="4"/>
  <c r="D162" i="4"/>
  <c r="C162" i="4"/>
  <c r="B162" i="4"/>
  <c r="W161" i="4" a="1"/>
  <c r="W161" i="4" s="1"/>
  <c r="X161" i="4" s="1"/>
  <c r="V161" i="4" a="1"/>
  <c r="V161" i="4" s="1"/>
  <c r="U161" i="4"/>
  <c r="T161" i="4"/>
  <c r="S161" i="4"/>
  <c r="R161" i="4"/>
  <c r="Q161" i="4"/>
  <c r="P161" i="4"/>
  <c r="O161" i="4"/>
  <c r="N161" i="4"/>
  <c r="M161" i="4"/>
  <c r="L161" i="4"/>
  <c r="K161" i="4"/>
  <c r="J161" i="4"/>
  <c r="I161" i="4"/>
  <c r="H161" i="4"/>
  <c r="G161" i="4"/>
  <c r="F161" i="4"/>
  <c r="E161" i="4"/>
  <c r="D161" i="4"/>
  <c r="C161" i="4"/>
  <c r="B161" i="4"/>
  <c r="W160" i="4" a="1"/>
  <c r="W160" i="4" s="1"/>
  <c r="X160" i="4" s="1"/>
  <c r="V160" i="4" a="1"/>
  <c r="V160" i="4" s="1"/>
  <c r="U160" i="4"/>
  <c r="T160" i="4"/>
  <c r="S160" i="4"/>
  <c r="R160" i="4"/>
  <c r="Q160" i="4"/>
  <c r="P160" i="4"/>
  <c r="O160" i="4"/>
  <c r="N160" i="4"/>
  <c r="M160" i="4"/>
  <c r="L160" i="4"/>
  <c r="K160" i="4"/>
  <c r="J160" i="4"/>
  <c r="I160" i="4"/>
  <c r="H160" i="4"/>
  <c r="G160" i="4"/>
  <c r="F160" i="4"/>
  <c r="E160" i="4"/>
  <c r="D160" i="4"/>
  <c r="C160" i="4"/>
  <c r="B160" i="4"/>
  <c r="W159" i="4" a="1"/>
  <c r="W159" i="4" s="1"/>
  <c r="X159" i="4" s="1"/>
  <c r="V159" i="4" a="1"/>
  <c r="V159" i="4" s="1"/>
  <c r="U159" i="4"/>
  <c r="T159" i="4"/>
  <c r="S159" i="4"/>
  <c r="R159" i="4"/>
  <c r="Q159" i="4"/>
  <c r="P159" i="4"/>
  <c r="O159" i="4"/>
  <c r="N159" i="4"/>
  <c r="M159" i="4"/>
  <c r="L159" i="4"/>
  <c r="K159" i="4"/>
  <c r="J159" i="4"/>
  <c r="I159" i="4"/>
  <c r="H159" i="4"/>
  <c r="G159" i="4"/>
  <c r="F159" i="4"/>
  <c r="E159" i="4"/>
  <c r="D159" i="4"/>
  <c r="C159" i="4"/>
  <c r="B159" i="4"/>
  <c r="W158" i="4" a="1"/>
  <c r="W158" i="4" s="1"/>
  <c r="X158" i="4" s="1"/>
  <c r="V158" i="4" a="1"/>
  <c r="V158" i="4" s="1"/>
  <c r="U158" i="4"/>
  <c r="T158" i="4"/>
  <c r="S158" i="4"/>
  <c r="R158" i="4"/>
  <c r="Q158" i="4"/>
  <c r="P158" i="4"/>
  <c r="O158" i="4"/>
  <c r="N158" i="4"/>
  <c r="M158" i="4"/>
  <c r="L158" i="4"/>
  <c r="K158" i="4"/>
  <c r="J158" i="4"/>
  <c r="I158" i="4"/>
  <c r="H158" i="4"/>
  <c r="G158" i="4"/>
  <c r="F158" i="4"/>
  <c r="E158" i="4"/>
  <c r="D158" i="4"/>
  <c r="C158" i="4"/>
  <c r="B158" i="4"/>
  <c r="W157" i="4" a="1"/>
  <c r="W157" i="4" s="1"/>
  <c r="X157" i="4" s="1"/>
  <c r="V157" i="4" a="1"/>
  <c r="V157" i="4" s="1"/>
  <c r="U157" i="4"/>
  <c r="T157" i="4"/>
  <c r="S157" i="4"/>
  <c r="R157" i="4"/>
  <c r="Q157" i="4"/>
  <c r="P157" i="4"/>
  <c r="O157" i="4"/>
  <c r="N157" i="4"/>
  <c r="M157" i="4"/>
  <c r="L157" i="4"/>
  <c r="K157" i="4"/>
  <c r="J157" i="4"/>
  <c r="I157" i="4"/>
  <c r="H157" i="4"/>
  <c r="G157" i="4"/>
  <c r="F157" i="4"/>
  <c r="E157" i="4"/>
  <c r="D157" i="4"/>
  <c r="C157" i="4"/>
  <c r="B157" i="4"/>
  <c r="W156" i="4" a="1"/>
  <c r="W156" i="4" s="1"/>
  <c r="X156" i="4" s="1"/>
  <c r="V156" i="4" a="1"/>
  <c r="V156" i="4" s="1"/>
  <c r="U156" i="4"/>
  <c r="T156" i="4"/>
  <c r="S156" i="4"/>
  <c r="R156" i="4"/>
  <c r="Q156" i="4"/>
  <c r="P156" i="4"/>
  <c r="M156" i="4"/>
  <c r="L156" i="4"/>
  <c r="K156" i="4"/>
  <c r="J156" i="4"/>
  <c r="E156" i="4"/>
  <c r="D156" i="4"/>
  <c r="C156" i="4"/>
  <c r="B156" i="4"/>
  <c r="W155" i="4" a="1"/>
  <c r="W155" i="4" s="1"/>
  <c r="X155" i="4" s="1"/>
  <c r="V155" i="4" a="1"/>
  <c r="V155" i="4" s="1"/>
  <c r="U155" i="4"/>
  <c r="T155" i="4"/>
  <c r="S155" i="4"/>
  <c r="R155" i="4"/>
  <c r="Q155" i="4"/>
  <c r="P155" i="4"/>
  <c r="O155" i="4"/>
  <c r="N155" i="4"/>
  <c r="M155" i="4"/>
  <c r="L155" i="4"/>
  <c r="K155" i="4"/>
  <c r="J155" i="4"/>
  <c r="I155" i="4"/>
  <c r="H155" i="4"/>
  <c r="G155" i="4"/>
  <c r="F155" i="4"/>
  <c r="E155" i="4"/>
  <c r="D155" i="4"/>
  <c r="C155" i="4"/>
  <c r="B155" i="4"/>
  <c r="W154" i="4" a="1"/>
  <c r="W154" i="4" s="1"/>
  <c r="X154" i="4" s="1"/>
  <c r="V154" i="4" a="1"/>
  <c r="V154" i="4" s="1"/>
  <c r="U154" i="4"/>
  <c r="T154" i="4"/>
  <c r="S154" i="4"/>
  <c r="R154" i="4"/>
  <c r="Q154" i="4"/>
  <c r="P154" i="4"/>
  <c r="O154" i="4"/>
  <c r="N154" i="4"/>
  <c r="M154" i="4"/>
  <c r="L154" i="4"/>
  <c r="K154" i="4"/>
  <c r="J154" i="4"/>
  <c r="I154" i="4"/>
  <c r="H154" i="4"/>
  <c r="G154" i="4"/>
  <c r="F154" i="4"/>
  <c r="E154" i="4"/>
  <c r="D154" i="4"/>
  <c r="C154" i="4"/>
  <c r="B154" i="4"/>
  <c r="W153" i="4" a="1"/>
  <c r="W153" i="4" s="1"/>
  <c r="X153" i="4" s="1"/>
  <c r="V153" i="4" a="1"/>
  <c r="V153" i="4" s="1"/>
  <c r="U153" i="4"/>
  <c r="T153" i="4"/>
  <c r="S153" i="4"/>
  <c r="R153" i="4"/>
  <c r="Q153" i="4"/>
  <c r="P153" i="4"/>
  <c r="O153" i="4"/>
  <c r="N153" i="4"/>
  <c r="M153" i="4"/>
  <c r="L153" i="4"/>
  <c r="K153" i="4"/>
  <c r="J153" i="4"/>
  <c r="I153" i="4"/>
  <c r="H153" i="4"/>
  <c r="G153" i="4"/>
  <c r="F153" i="4"/>
  <c r="E153" i="4"/>
  <c r="D153" i="4"/>
  <c r="C153" i="4"/>
  <c r="B153" i="4"/>
  <c r="W152" i="4" a="1"/>
  <c r="W152" i="4" s="1"/>
  <c r="X152" i="4" s="1"/>
  <c r="V152" i="4" a="1"/>
  <c r="V152" i="4" s="1"/>
  <c r="U152" i="4"/>
  <c r="T152" i="4"/>
  <c r="S152" i="4"/>
  <c r="R152" i="4"/>
  <c r="Q152" i="4"/>
  <c r="P152" i="4"/>
  <c r="O152" i="4"/>
  <c r="N152" i="4"/>
  <c r="M152" i="4"/>
  <c r="L152" i="4"/>
  <c r="K152" i="4"/>
  <c r="J152" i="4"/>
  <c r="I152" i="4"/>
  <c r="H152" i="4"/>
  <c r="G152" i="4"/>
  <c r="F152" i="4"/>
  <c r="E152" i="4"/>
  <c r="D152" i="4"/>
  <c r="C152" i="4"/>
  <c r="B152" i="4"/>
  <c r="W151" i="4" a="1"/>
  <c r="W151" i="4" s="1"/>
  <c r="X151" i="4" s="1"/>
  <c r="V151" i="4" a="1"/>
  <c r="V151" i="4" s="1"/>
  <c r="U151" i="4"/>
  <c r="T151" i="4"/>
  <c r="S151" i="4"/>
  <c r="R151" i="4"/>
  <c r="Q151" i="4"/>
  <c r="P151" i="4"/>
  <c r="O151" i="4"/>
  <c r="N151" i="4"/>
  <c r="M151" i="4"/>
  <c r="L151" i="4"/>
  <c r="K151" i="4"/>
  <c r="J151" i="4"/>
  <c r="I151" i="4"/>
  <c r="H151" i="4"/>
  <c r="G151" i="4"/>
  <c r="F151" i="4"/>
  <c r="E151" i="4"/>
  <c r="D151" i="4"/>
  <c r="C151" i="4"/>
  <c r="B151" i="4"/>
  <c r="W150" i="4" a="1"/>
  <c r="W150" i="4" s="1"/>
  <c r="X150" i="4" s="1"/>
  <c r="V150" i="4" a="1"/>
  <c r="V150" i="4" s="1"/>
  <c r="U150" i="4"/>
  <c r="T150" i="4"/>
  <c r="S150" i="4"/>
  <c r="R150" i="4"/>
  <c r="Q150" i="4"/>
  <c r="P150" i="4"/>
  <c r="O150" i="4"/>
  <c r="N150" i="4"/>
  <c r="M150" i="4"/>
  <c r="L150" i="4"/>
  <c r="K150" i="4"/>
  <c r="J150" i="4"/>
  <c r="I150" i="4"/>
  <c r="H150" i="4"/>
  <c r="G150" i="4"/>
  <c r="F150" i="4"/>
  <c r="E150" i="4"/>
  <c r="D150" i="4"/>
  <c r="C150" i="4"/>
  <c r="B150" i="4"/>
  <c r="W149" i="4" a="1"/>
  <c r="W149" i="4" s="1"/>
  <c r="X149" i="4" s="1"/>
  <c r="V149" i="4" a="1"/>
  <c r="V149" i="4" s="1"/>
  <c r="U149" i="4"/>
  <c r="T149" i="4"/>
  <c r="S149" i="4"/>
  <c r="R149" i="4"/>
  <c r="Q149" i="4"/>
  <c r="P149" i="4"/>
  <c r="O149" i="4"/>
  <c r="N149" i="4"/>
  <c r="M149" i="4"/>
  <c r="L149" i="4"/>
  <c r="K149" i="4"/>
  <c r="J149" i="4"/>
  <c r="I149" i="4"/>
  <c r="H149" i="4"/>
  <c r="G149" i="4"/>
  <c r="F149" i="4"/>
  <c r="E149" i="4"/>
  <c r="D149" i="4"/>
  <c r="C149" i="4"/>
  <c r="B149" i="4"/>
  <c r="W148" i="4" a="1"/>
  <c r="W148" i="4" s="1"/>
  <c r="X148" i="4" s="1"/>
  <c r="V148" i="4" a="1"/>
  <c r="V148" i="4" s="1"/>
  <c r="U148" i="4"/>
  <c r="T148" i="4"/>
  <c r="S148" i="4"/>
  <c r="R148" i="4"/>
  <c r="Q148" i="4"/>
  <c r="P148" i="4"/>
  <c r="O148" i="4"/>
  <c r="N148" i="4"/>
  <c r="M148" i="4"/>
  <c r="L148" i="4"/>
  <c r="K148" i="4"/>
  <c r="J148" i="4"/>
  <c r="I148" i="4"/>
  <c r="H148" i="4"/>
  <c r="G148" i="4"/>
  <c r="F148" i="4"/>
  <c r="E148" i="4"/>
  <c r="D148" i="4"/>
  <c r="C148" i="4"/>
  <c r="B148" i="4"/>
  <c r="W147" i="4" a="1"/>
  <c r="W147" i="4" s="1"/>
  <c r="X147" i="4" s="1"/>
  <c r="V147" i="4" a="1"/>
  <c r="V147" i="4" s="1"/>
  <c r="U147" i="4"/>
  <c r="T147" i="4"/>
  <c r="S147" i="4"/>
  <c r="R147" i="4"/>
  <c r="Q147" i="4"/>
  <c r="P147" i="4"/>
  <c r="O147" i="4"/>
  <c r="N147" i="4"/>
  <c r="M147" i="4"/>
  <c r="L147" i="4"/>
  <c r="K147" i="4"/>
  <c r="J147" i="4"/>
  <c r="I147" i="4"/>
  <c r="H147" i="4"/>
  <c r="G147" i="4"/>
  <c r="F147" i="4"/>
  <c r="E147" i="4"/>
  <c r="D147" i="4"/>
  <c r="C147" i="4"/>
  <c r="B147" i="4"/>
  <c r="W146" i="4" a="1"/>
  <c r="W146" i="4" s="1"/>
  <c r="X146" i="4" s="1"/>
  <c r="V146" i="4" a="1"/>
  <c r="V146" i="4" s="1"/>
  <c r="U146" i="4"/>
  <c r="T146" i="4"/>
  <c r="S146" i="4"/>
  <c r="R146" i="4"/>
  <c r="Q146" i="4"/>
  <c r="P146" i="4"/>
  <c r="O146" i="4"/>
  <c r="N146" i="4"/>
  <c r="M146" i="4"/>
  <c r="L146" i="4"/>
  <c r="K146" i="4"/>
  <c r="J146" i="4"/>
  <c r="I146" i="4"/>
  <c r="H146" i="4"/>
  <c r="G146" i="4"/>
  <c r="F146" i="4"/>
  <c r="E146" i="4"/>
  <c r="D146" i="4"/>
  <c r="C146" i="4"/>
  <c r="B146" i="4"/>
  <c r="W145" i="4" a="1"/>
  <c r="W145" i="4" s="1"/>
  <c r="X145" i="4" s="1"/>
  <c r="V145" i="4" a="1"/>
  <c r="V145" i="4" s="1"/>
  <c r="U145" i="4"/>
  <c r="T145" i="4"/>
  <c r="S145" i="4"/>
  <c r="R145" i="4"/>
  <c r="Q145" i="4"/>
  <c r="P145" i="4"/>
  <c r="O145" i="4"/>
  <c r="N145" i="4"/>
  <c r="M145" i="4"/>
  <c r="L145" i="4"/>
  <c r="K145" i="4"/>
  <c r="J145" i="4"/>
  <c r="I145" i="4"/>
  <c r="H145" i="4"/>
  <c r="G145" i="4"/>
  <c r="F145" i="4"/>
  <c r="E145" i="4"/>
  <c r="D145" i="4"/>
  <c r="C145" i="4"/>
  <c r="B145" i="4"/>
  <c r="W144" i="4" a="1"/>
  <c r="W144" i="4" s="1"/>
  <c r="X144" i="4" s="1"/>
  <c r="V144" i="4" a="1"/>
  <c r="V144" i="4" s="1"/>
  <c r="U144" i="4"/>
  <c r="T144" i="4"/>
  <c r="S144" i="4"/>
  <c r="R144" i="4"/>
  <c r="Q144" i="4"/>
  <c r="P144" i="4"/>
  <c r="O144" i="4"/>
  <c r="N144" i="4"/>
  <c r="M144" i="4"/>
  <c r="L144" i="4"/>
  <c r="K144" i="4"/>
  <c r="J144" i="4"/>
  <c r="I144" i="4"/>
  <c r="H144" i="4"/>
  <c r="G144" i="4"/>
  <c r="F144" i="4"/>
  <c r="E144" i="4"/>
  <c r="D144" i="4"/>
  <c r="C144" i="4"/>
  <c r="B144" i="4"/>
  <c r="W143" i="4" a="1"/>
  <c r="W143" i="4" s="1"/>
  <c r="X143" i="4" s="1"/>
  <c r="V143" i="4" a="1"/>
  <c r="V143" i="4" s="1"/>
  <c r="U143" i="4"/>
  <c r="T143" i="4"/>
  <c r="S143" i="4"/>
  <c r="R143" i="4"/>
  <c r="Q143" i="4"/>
  <c r="P143" i="4"/>
  <c r="O143" i="4"/>
  <c r="N143" i="4"/>
  <c r="M143" i="4"/>
  <c r="L143" i="4"/>
  <c r="K143" i="4"/>
  <c r="J143" i="4"/>
  <c r="I143" i="4"/>
  <c r="H143" i="4"/>
  <c r="G143" i="4"/>
  <c r="F143" i="4"/>
  <c r="E143" i="4"/>
  <c r="D143" i="4"/>
  <c r="C143" i="4"/>
  <c r="B143" i="4"/>
  <c r="W142" i="4" a="1"/>
  <c r="W142" i="4" s="1"/>
  <c r="X142" i="4" s="1"/>
  <c r="V142" i="4" a="1"/>
  <c r="V142" i="4" s="1"/>
  <c r="U142" i="4"/>
  <c r="T142" i="4"/>
  <c r="S142" i="4"/>
  <c r="R142" i="4"/>
  <c r="Q142" i="4"/>
  <c r="P142" i="4"/>
  <c r="O142" i="4"/>
  <c r="N142" i="4"/>
  <c r="M142" i="4"/>
  <c r="L142" i="4"/>
  <c r="K142" i="4"/>
  <c r="J142" i="4"/>
  <c r="I142" i="4"/>
  <c r="H142" i="4"/>
  <c r="G142" i="4"/>
  <c r="F142" i="4"/>
  <c r="E142" i="4"/>
  <c r="D142" i="4"/>
  <c r="C142" i="4"/>
  <c r="B142" i="4"/>
  <c r="W141" i="4" a="1"/>
  <c r="W141" i="4" s="1"/>
  <c r="X141" i="4" s="1"/>
  <c r="V141" i="4" a="1"/>
  <c r="V141" i="4" s="1"/>
  <c r="U141" i="4"/>
  <c r="T141" i="4"/>
  <c r="S141" i="4"/>
  <c r="R141" i="4"/>
  <c r="Q141" i="4"/>
  <c r="P141" i="4"/>
  <c r="O141" i="4"/>
  <c r="N141" i="4"/>
  <c r="M141" i="4"/>
  <c r="L141" i="4"/>
  <c r="K141" i="4"/>
  <c r="J141" i="4"/>
  <c r="I141" i="4"/>
  <c r="H141" i="4"/>
  <c r="G141" i="4"/>
  <c r="F141" i="4"/>
  <c r="E141" i="4"/>
  <c r="D141" i="4"/>
  <c r="C141" i="4"/>
  <c r="B141" i="4"/>
  <c r="W140" i="4" a="1"/>
  <c r="W140" i="4" s="1"/>
  <c r="X140" i="4" s="1"/>
  <c r="V140" i="4" a="1"/>
  <c r="V140" i="4" s="1"/>
  <c r="U140" i="4"/>
  <c r="T140" i="4"/>
  <c r="S140" i="4"/>
  <c r="R140" i="4"/>
  <c r="Q140" i="4"/>
  <c r="P140" i="4"/>
  <c r="O140" i="4"/>
  <c r="N140" i="4"/>
  <c r="M140" i="4"/>
  <c r="L140" i="4"/>
  <c r="K140" i="4"/>
  <c r="J140" i="4"/>
  <c r="I140" i="4"/>
  <c r="H140" i="4"/>
  <c r="G140" i="4"/>
  <c r="F140" i="4"/>
  <c r="E140" i="4"/>
  <c r="D140" i="4"/>
  <c r="C140" i="4"/>
  <c r="B140" i="4"/>
  <c r="W139" i="4" a="1"/>
  <c r="W139" i="4" s="1"/>
  <c r="X139" i="4" s="1"/>
  <c r="V139" i="4" a="1"/>
  <c r="V139" i="4" s="1"/>
  <c r="U139" i="4"/>
  <c r="T139" i="4"/>
  <c r="S139" i="4"/>
  <c r="R139" i="4"/>
  <c r="Q139" i="4"/>
  <c r="P139" i="4"/>
  <c r="O139" i="4"/>
  <c r="N139" i="4"/>
  <c r="M139" i="4"/>
  <c r="L139" i="4"/>
  <c r="K139" i="4"/>
  <c r="J139" i="4"/>
  <c r="I139" i="4"/>
  <c r="H139" i="4"/>
  <c r="G139" i="4"/>
  <c r="F139" i="4"/>
  <c r="E139" i="4"/>
  <c r="D139" i="4"/>
  <c r="C139" i="4"/>
  <c r="B139" i="4"/>
  <c r="W138" i="4" a="1"/>
  <c r="W138" i="4" s="1"/>
  <c r="X138" i="4" s="1"/>
  <c r="V138" i="4" a="1"/>
  <c r="V138" i="4" s="1"/>
  <c r="U138" i="4"/>
  <c r="T138" i="4"/>
  <c r="S138" i="4"/>
  <c r="R138" i="4"/>
  <c r="Q138" i="4"/>
  <c r="P138" i="4"/>
  <c r="O138" i="4"/>
  <c r="N138" i="4"/>
  <c r="M138" i="4"/>
  <c r="L138" i="4"/>
  <c r="K138" i="4"/>
  <c r="J138" i="4"/>
  <c r="I138" i="4"/>
  <c r="H138" i="4"/>
  <c r="G138" i="4"/>
  <c r="F138" i="4"/>
  <c r="E138" i="4"/>
  <c r="D138" i="4"/>
  <c r="C138" i="4"/>
  <c r="B138" i="4"/>
  <c r="W137" i="4" a="1"/>
  <c r="W137" i="4" s="1"/>
  <c r="X137" i="4" s="1"/>
  <c r="V137" i="4" a="1"/>
  <c r="V137" i="4" s="1"/>
  <c r="U137" i="4"/>
  <c r="T137" i="4"/>
  <c r="S137" i="4"/>
  <c r="R137" i="4"/>
  <c r="Q137" i="4"/>
  <c r="P137" i="4"/>
  <c r="O137" i="4"/>
  <c r="N137" i="4"/>
  <c r="M137" i="4"/>
  <c r="L137" i="4"/>
  <c r="K137" i="4"/>
  <c r="J137" i="4"/>
  <c r="I137" i="4"/>
  <c r="H137" i="4"/>
  <c r="G137" i="4"/>
  <c r="F137" i="4"/>
  <c r="E137" i="4"/>
  <c r="D137" i="4"/>
  <c r="C137" i="4"/>
  <c r="B137" i="4"/>
  <c r="W136" i="4" a="1"/>
  <c r="W136" i="4" s="1"/>
  <c r="X136" i="4" s="1"/>
  <c r="V136" i="4" a="1"/>
  <c r="V136" i="4" s="1"/>
  <c r="U136" i="4"/>
  <c r="T136" i="4"/>
  <c r="S136" i="4"/>
  <c r="R136" i="4"/>
  <c r="Q136" i="4"/>
  <c r="P136" i="4"/>
  <c r="O136" i="4"/>
  <c r="N136" i="4"/>
  <c r="M136" i="4"/>
  <c r="L136" i="4"/>
  <c r="K136" i="4"/>
  <c r="J136" i="4"/>
  <c r="I136" i="4"/>
  <c r="H136" i="4"/>
  <c r="G136" i="4"/>
  <c r="F136" i="4"/>
  <c r="E136" i="4"/>
  <c r="D136" i="4"/>
  <c r="C136" i="4"/>
  <c r="B136" i="4"/>
  <c r="W135" i="4" a="1"/>
  <c r="W135" i="4" s="1"/>
  <c r="X135" i="4" s="1"/>
  <c r="V135" i="4" a="1"/>
  <c r="V135" i="4" s="1"/>
  <c r="U135" i="4"/>
  <c r="T135" i="4"/>
  <c r="S135" i="4"/>
  <c r="R135" i="4"/>
  <c r="Q135" i="4"/>
  <c r="P135" i="4"/>
  <c r="O135" i="4"/>
  <c r="N135" i="4"/>
  <c r="M135" i="4"/>
  <c r="L135" i="4"/>
  <c r="K135" i="4"/>
  <c r="J135" i="4"/>
  <c r="I135" i="4"/>
  <c r="H135" i="4"/>
  <c r="G135" i="4"/>
  <c r="F135" i="4"/>
  <c r="E135" i="4"/>
  <c r="D135" i="4"/>
  <c r="C135" i="4"/>
  <c r="B135" i="4"/>
  <c r="W134" i="4" a="1"/>
  <c r="W134" i="4" s="1"/>
  <c r="X134" i="4" s="1"/>
  <c r="V134" i="4" a="1"/>
  <c r="V134" i="4" s="1"/>
  <c r="U134" i="4"/>
  <c r="T134" i="4"/>
  <c r="S134" i="4"/>
  <c r="R134" i="4"/>
  <c r="Q134" i="4"/>
  <c r="P134" i="4"/>
  <c r="O134" i="4"/>
  <c r="N134" i="4"/>
  <c r="M134" i="4"/>
  <c r="L134" i="4"/>
  <c r="K134" i="4"/>
  <c r="J134" i="4"/>
  <c r="I134" i="4"/>
  <c r="H134" i="4"/>
  <c r="G134" i="4"/>
  <c r="F134" i="4"/>
  <c r="E134" i="4"/>
  <c r="D134" i="4"/>
  <c r="C134" i="4"/>
  <c r="B134" i="4"/>
  <c r="W133" i="4" a="1"/>
  <c r="W133" i="4" s="1"/>
  <c r="X133" i="4" s="1"/>
  <c r="V133" i="4" a="1"/>
  <c r="V133" i="4" s="1"/>
  <c r="U133" i="4"/>
  <c r="T133" i="4"/>
  <c r="S133" i="4"/>
  <c r="R133" i="4"/>
  <c r="Q133" i="4"/>
  <c r="P133" i="4"/>
  <c r="O133" i="4"/>
  <c r="N133" i="4"/>
  <c r="M133" i="4"/>
  <c r="L133" i="4"/>
  <c r="K133" i="4"/>
  <c r="J133" i="4"/>
  <c r="I133" i="4"/>
  <c r="H133" i="4"/>
  <c r="G133" i="4"/>
  <c r="F133" i="4"/>
  <c r="E133" i="4"/>
  <c r="D133" i="4"/>
  <c r="C133" i="4"/>
  <c r="B133" i="4"/>
  <c r="W132" i="4" a="1"/>
  <c r="W132" i="4" s="1"/>
  <c r="X132" i="4" s="1"/>
  <c r="V132" i="4" a="1"/>
  <c r="V132" i="4" s="1"/>
  <c r="U132" i="4"/>
  <c r="T132" i="4"/>
  <c r="S132" i="4"/>
  <c r="R132" i="4"/>
  <c r="Q132" i="4"/>
  <c r="P132" i="4"/>
  <c r="O132" i="4"/>
  <c r="N132" i="4"/>
  <c r="K132" i="4"/>
  <c r="J132" i="4"/>
  <c r="I132" i="4"/>
  <c r="H132" i="4"/>
  <c r="C132" i="4"/>
  <c r="B132" i="4"/>
  <c r="W131" i="4" a="1"/>
  <c r="W131" i="4" s="1"/>
  <c r="X131" i="4" s="1"/>
  <c r="V131" i="4" a="1"/>
  <c r="V131" i="4" s="1"/>
  <c r="U131" i="4"/>
  <c r="T131" i="4"/>
  <c r="S131" i="4"/>
  <c r="R131" i="4"/>
  <c r="Q131" i="4"/>
  <c r="P131" i="4"/>
  <c r="O131" i="4"/>
  <c r="N131" i="4"/>
  <c r="M131" i="4"/>
  <c r="L131" i="4"/>
  <c r="K131" i="4"/>
  <c r="J131" i="4"/>
  <c r="I131" i="4"/>
  <c r="H131" i="4"/>
  <c r="G131" i="4"/>
  <c r="F131" i="4"/>
  <c r="E131" i="4"/>
  <c r="D131" i="4"/>
  <c r="C131" i="4"/>
  <c r="B131" i="4"/>
  <c r="W130" i="4" a="1"/>
  <c r="W130" i="4" s="1"/>
  <c r="X130" i="4" s="1"/>
  <c r="V130" i="4" a="1"/>
  <c r="V130" i="4" s="1"/>
  <c r="U130" i="4"/>
  <c r="T130" i="4"/>
  <c r="S130" i="4"/>
  <c r="R130" i="4"/>
  <c r="Q130" i="4"/>
  <c r="P130" i="4"/>
  <c r="O130" i="4"/>
  <c r="N130" i="4"/>
  <c r="M130" i="4"/>
  <c r="L130" i="4"/>
  <c r="K130" i="4"/>
  <c r="J130" i="4"/>
  <c r="I130" i="4"/>
  <c r="H130" i="4"/>
  <c r="G130" i="4"/>
  <c r="F130" i="4"/>
  <c r="E130" i="4"/>
  <c r="D130" i="4"/>
  <c r="C130" i="4"/>
  <c r="B130" i="4"/>
  <c r="W129" i="4" a="1"/>
  <c r="W129" i="4" s="1"/>
  <c r="X129" i="4" s="1"/>
  <c r="V129" i="4" a="1"/>
  <c r="V129" i="4" s="1"/>
  <c r="U129" i="4"/>
  <c r="T129" i="4"/>
  <c r="S129" i="4"/>
  <c r="R129" i="4"/>
  <c r="Q129" i="4"/>
  <c r="P129" i="4"/>
  <c r="O129" i="4"/>
  <c r="N129" i="4"/>
  <c r="M129" i="4"/>
  <c r="L129" i="4"/>
  <c r="K129" i="4"/>
  <c r="J129" i="4"/>
  <c r="I129" i="4"/>
  <c r="H129" i="4"/>
  <c r="G129" i="4"/>
  <c r="F129" i="4"/>
  <c r="E129" i="4"/>
  <c r="D129" i="4"/>
  <c r="C129" i="4"/>
  <c r="B129" i="4"/>
  <c r="W128" i="4" a="1"/>
  <c r="W128" i="4" s="1"/>
  <c r="X128" i="4" s="1"/>
  <c r="V128" i="4" a="1"/>
  <c r="V128" i="4" s="1"/>
  <c r="U128" i="4"/>
  <c r="T128" i="4"/>
  <c r="S128" i="4"/>
  <c r="R128" i="4"/>
  <c r="Q128" i="4"/>
  <c r="P128" i="4"/>
  <c r="O128" i="4"/>
  <c r="N128" i="4"/>
  <c r="M128" i="4"/>
  <c r="L128" i="4"/>
  <c r="K128" i="4"/>
  <c r="J128" i="4"/>
  <c r="I128" i="4"/>
  <c r="H128" i="4"/>
  <c r="G128" i="4"/>
  <c r="F128" i="4"/>
  <c r="E128" i="4"/>
  <c r="D128" i="4"/>
  <c r="C128" i="4"/>
  <c r="B128" i="4"/>
  <c r="W127" i="4" a="1"/>
  <c r="W127" i="4" s="1"/>
  <c r="X127" i="4" s="1"/>
  <c r="V127" i="4" a="1"/>
  <c r="V127" i="4" s="1"/>
  <c r="U127" i="4"/>
  <c r="T127" i="4"/>
  <c r="S127" i="4"/>
  <c r="R127" i="4"/>
  <c r="M127" i="4"/>
  <c r="L127" i="4"/>
  <c r="I127" i="4"/>
  <c r="H127" i="4"/>
  <c r="C127" i="4"/>
  <c r="B127" i="4"/>
  <c r="W126" i="4" a="1"/>
  <c r="W126" i="4" s="1"/>
  <c r="X126" i="4" s="1"/>
  <c r="V126" i="4" a="1"/>
  <c r="V126" i="4" s="1"/>
  <c r="U126" i="4"/>
  <c r="T126" i="4"/>
  <c r="S126" i="4"/>
  <c r="R126" i="4"/>
  <c r="Q126" i="4"/>
  <c r="P126" i="4"/>
  <c r="O126" i="4"/>
  <c r="N126" i="4"/>
  <c r="M126" i="4"/>
  <c r="L126" i="4"/>
  <c r="K126" i="4"/>
  <c r="J126" i="4"/>
  <c r="I126" i="4"/>
  <c r="H126" i="4"/>
  <c r="G126" i="4"/>
  <c r="F126" i="4"/>
  <c r="E126" i="4"/>
  <c r="D126" i="4"/>
  <c r="C126" i="4"/>
  <c r="B126" i="4"/>
  <c r="W125" i="4" a="1"/>
  <c r="W125" i="4" s="1"/>
  <c r="X125" i="4" s="1"/>
  <c r="V125" i="4" a="1"/>
  <c r="V125" i="4" s="1"/>
  <c r="U125" i="4"/>
  <c r="T125" i="4"/>
  <c r="S125" i="4"/>
  <c r="R125" i="4"/>
  <c r="Q125" i="4"/>
  <c r="P125" i="4"/>
  <c r="O125" i="4"/>
  <c r="N125" i="4"/>
  <c r="M125" i="4"/>
  <c r="L125" i="4"/>
  <c r="K125" i="4"/>
  <c r="J125" i="4"/>
  <c r="I125" i="4"/>
  <c r="H125" i="4"/>
  <c r="G125" i="4"/>
  <c r="F125" i="4"/>
  <c r="E125" i="4"/>
  <c r="D125" i="4"/>
  <c r="C125" i="4"/>
  <c r="B125" i="4"/>
  <c r="W124" i="4" a="1"/>
  <c r="W124" i="4" s="1"/>
  <c r="X124" i="4" s="1"/>
  <c r="V124" i="4" a="1"/>
  <c r="V124" i="4" s="1"/>
  <c r="U124" i="4"/>
  <c r="T124" i="4"/>
  <c r="S124" i="4"/>
  <c r="R124" i="4"/>
  <c r="Q124" i="4"/>
  <c r="P124" i="4"/>
  <c r="O124" i="4"/>
  <c r="N124" i="4"/>
  <c r="M124" i="4"/>
  <c r="L124" i="4"/>
  <c r="K124" i="4"/>
  <c r="J124" i="4"/>
  <c r="I124" i="4"/>
  <c r="H124" i="4"/>
  <c r="G124" i="4"/>
  <c r="F124" i="4"/>
  <c r="E124" i="4"/>
  <c r="D124" i="4"/>
  <c r="C124" i="4"/>
  <c r="B124" i="4"/>
  <c r="W123" i="4" a="1"/>
  <c r="W123" i="4" s="1"/>
  <c r="X123" i="4" s="1"/>
  <c r="V123" i="4" a="1"/>
  <c r="V123" i="4" s="1"/>
  <c r="U123" i="4"/>
  <c r="T123" i="4"/>
  <c r="S123" i="4"/>
  <c r="R123" i="4"/>
  <c r="Q123" i="4"/>
  <c r="P123" i="4"/>
  <c r="O123" i="4"/>
  <c r="N123" i="4"/>
  <c r="M123" i="4"/>
  <c r="L123" i="4"/>
  <c r="K123" i="4"/>
  <c r="J123" i="4"/>
  <c r="I123" i="4"/>
  <c r="H123" i="4"/>
  <c r="G123" i="4"/>
  <c r="F123" i="4"/>
  <c r="E123" i="4"/>
  <c r="D123" i="4"/>
  <c r="C123" i="4"/>
  <c r="B123" i="4"/>
  <c r="W122" i="4" a="1"/>
  <c r="W122" i="4" s="1"/>
  <c r="X122" i="4" s="1"/>
  <c r="V122" i="4" a="1"/>
  <c r="V122" i="4" s="1"/>
  <c r="U122" i="4"/>
  <c r="T122" i="4"/>
  <c r="S122" i="4"/>
  <c r="R122" i="4"/>
  <c r="Q122" i="4"/>
  <c r="P122" i="4"/>
  <c r="O122" i="4"/>
  <c r="N122" i="4"/>
  <c r="M122" i="4"/>
  <c r="L122" i="4"/>
  <c r="K122" i="4"/>
  <c r="J122" i="4"/>
  <c r="I122" i="4"/>
  <c r="H122" i="4"/>
  <c r="G122" i="4"/>
  <c r="F122" i="4"/>
  <c r="E122" i="4"/>
  <c r="D122" i="4"/>
  <c r="C122" i="4"/>
  <c r="B122" i="4"/>
  <c r="W121" i="4" a="1"/>
  <c r="W121" i="4" s="1"/>
  <c r="X121" i="4" s="1"/>
  <c r="V121" i="4" a="1"/>
  <c r="V121" i="4" s="1"/>
  <c r="U121" i="4"/>
  <c r="T121" i="4"/>
  <c r="S121" i="4"/>
  <c r="R121" i="4"/>
  <c r="Q121" i="4"/>
  <c r="P121" i="4"/>
  <c r="O121" i="4"/>
  <c r="N121" i="4"/>
  <c r="M121" i="4"/>
  <c r="L121" i="4"/>
  <c r="K121" i="4"/>
  <c r="J121" i="4"/>
  <c r="I121" i="4"/>
  <c r="H121" i="4"/>
  <c r="G121" i="4"/>
  <c r="F121" i="4"/>
  <c r="E121" i="4"/>
  <c r="D121" i="4"/>
  <c r="C121" i="4"/>
  <c r="B121" i="4"/>
  <c r="W120" i="4" a="1"/>
  <c r="W120" i="4" s="1"/>
  <c r="X120" i="4" s="1"/>
  <c r="V120" i="4" a="1"/>
  <c r="V120" i="4" s="1"/>
  <c r="U120" i="4"/>
  <c r="T120" i="4"/>
  <c r="S120" i="4"/>
  <c r="R120" i="4"/>
  <c r="Q120" i="4"/>
  <c r="P120" i="4"/>
  <c r="O120" i="4"/>
  <c r="N120" i="4"/>
  <c r="M120" i="4"/>
  <c r="L120" i="4"/>
  <c r="K120" i="4"/>
  <c r="J120" i="4"/>
  <c r="I120" i="4"/>
  <c r="H120" i="4"/>
  <c r="G120" i="4"/>
  <c r="F120" i="4"/>
  <c r="E120" i="4"/>
  <c r="D120" i="4"/>
  <c r="C120" i="4"/>
  <c r="B120" i="4"/>
  <c r="W119" i="4" a="1"/>
  <c r="W119" i="4" s="1"/>
  <c r="X119" i="4" s="1"/>
  <c r="V119" i="4" a="1"/>
  <c r="V119" i="4" s="1"/>
  <c r="U119" i="4"/>
  <c r="T119" i="4"/>
  <c r="S119" i="4"/>
  <c r="R119" i="4"/>
  <c r="Q119" i="4"/>
  <c r="P119" i="4"/>
  <c r="O119" i="4"/>
  <c r="N119" i="4"/>
  <c r="M119" i="4"/>
  <c r="L119" i="4"/>
  <c r="K119" i="4"/>
  <c r="J119" i="4"/>
  <c r="I119" i="4"/>
  <c r="H119" i="4"/>
  <c r="G119" i="4"/>
  <c r="F119" i="4"/>
  <c r="E119" i="4"/>
  <c r="D119" i="4"/>
  <c r="C119" i="4"/>
  <c r="B119" i="4"/>
  <c r="W118" i="4" a="1"/>
  <c r="W118" i="4" s="1"/>
  <c r="X118" i="4" s="1"/>
  <c r="V118" i="4" a="1"/>
  <c r="V118" i="4" s="1"/>
  <c r="U118" i="4"/>
  <c r="T118" i="4"/>
  <c r="S118" i="4"/>
  <c r="R118" i="4"/>
  <c r="Q118" i="4"/>
  <c r="P118" i="4"/>
  <c r="K118" i="4"/>
  <c r="J118" i="4"/>
  <c r="I118" i="4"/>
  <c r="H118" i="4"/>
  <c r="G118" i="4"/>
  <c r="F118" i="4"/>
  <c r="E118" i="4"/>
  <c r="D118" i="4"/>
  <c r="C118" i="4"/>
  <c r="B118" i="4"/>
  <c r="W117" i="4" a="1"/>
  <c r="W117" i="4" s="1"/>
  <c r="X117" i="4" s="1"/>
  <c r="V117" i="4" a="1"/>
  <c r="V117" i="4" s="1"/>
  <c r="U117" i="4"/>
  <c r="T117" i="4"/>
  <c r="S117" i="4"/>
  <c r="R117" i="4"/>
  <c r="Q117" i="4"/>
  <c r="P117" i="4"/>
  <c r="O117" i="4"/>
  <c r="N117" i="4"/>
  <c r="M117" i="4"/>
  <c r="L117" i="4"/>
  <c r="K117" i="4"/>
  <c r="J117" i="4"/>
  <c r="I117" i="4"/>
  <c r="H117" i="4"/>
  <c r="G117" i="4"/>
  <c r="F117" i="4"/>
  <c r="E117" i="4"/>
  <c r="D117" i="4"/>
  <c r="C117" i="4"/>
  <c r="B117" i="4"/>
  <c r="W116" i="4" a="1"/>
  <c r="W116" i="4" s="1"/>
  <c r="X116" i="4" s="1"/>
  <c r="V116" i="4" a="1"/>
  <c r="V116" i="4" s="1"/>
  <c r="U116" i="4"/>
  <c r="T116" i="4"/>
  <c r="S116" i="4"/>
  <c r="R116" i="4"/>
  <c r="Q116" i="4"/>
  <c r="P116" i="4"/>
  <c r="O116" i="4"/>
  <c r="N116" i="4"/>
  <c r="M116" i="4"/>
  <c r="L116" i="4"/>
  <c r="K116" i="4"/>
  <c r="J116" i="4"/>
  <c r="I116" i="4"/>
  <c r="H116" i="4"/>
  <c r="G116" i="4"/>
  <c r="F116" i="4"/>
  <c r="E116" i="4"/>
  <c r="D116" i="4"/>
  <c r="C116" i="4"/>
  <c r="B116" i="4"/>
  <c r="W115" i="4" a="1"/>
  <c r="W115" i="4" s="1"/>
  <c r="X115" i="4" s="1"/>
  <c r="V115" i="4" a="1"/>
  <c r="V115" i="4" s="1"/>
  <c r="U115" i="4"/>
  <c r="T115" i="4"/>
  <c r="S115" i="4"/>
  <c r="R115" i="4"/>
  <c r="Q115" i="4"/>
  <c r="P115" i="4"/>
  <c r="O115" i="4"/>
  <c r="N115" i="4"/>
  <c r="M115" i="4"/>
  <c r="L115" i="4"/>
  <c r="K115" i="4"/>
  <c r="J115" i="4"/>
  <c r="I115" i="4"/>
  <c r="H115" i="4"/>
  <c r="G115" i="4"/>
  <c r="F115" i="4"/>
  <c r="E115" i="4"/>
  <c r="D115" i="4"/>
  <c r="C115" i="4"/>
  <c r="B115" i="4"/>
  <c r="W114" i="4" a="1"/>
  <c r="W114" i="4" s="1"/>
  <c r="X114" i="4" s="1"/>
  <c r="V114" i="4" a="1"/>
  <c r="V114" i="4" s="1"/>
  <c r="U114" i="4"/>
  <c r="T114" i="4"/>
  <c r="S114" i="4"/>
  <c r="R114" i="4"/>
  <c r="Q114" i="4"/>
  <c r="P114" i="4"/>
  <c r="O114" i="4"/>
  <c r="N114" i="4"/>
  <c r="M114" i="4"/>
  <c r="L114" i="4"/>
  <c r="K114" i="4"/>
  <c r="J114" i="4"/>
  <c r="I114" i="4"/>
  <c r="H114" i="4"/>
  <c r="G114" i="4"/>
  <c r="F114" i="4"/>
  <c r="E114" i="4"/>
  <c r="D114" i="4"/>
  <c r="C114" i="4"/>
  <c r="B114" i="4"/>
  <c r="W113" i="4" a="1"/>
  <c r="W113" i="4" s="1"/>
  <c r="X113" i="4" s="1"/>
  <c r="V113" i="4" a="1"/>
  <c r="V113" i="4" s="1"/>
  <c r="U113" i="4"/>
  <c r="T113" i="4"/>
  <c r="S113" i="4"/>
  <c r="R113" i="4"/>
  <c r="Q113" i="4"/>
  <c r="P113" i="4"/>
  <c r="O113" i="4"/>
  <c r="N113" i="4"/>
  <c r="M113" i="4"/>
  <c r="L113" i="4"/>
  <c r="K113" i="4"/>
  <c r="J113" i="4"/>
  <c r="I113" i="4"/>
  <c r="H113" i="4"/>
  <c r="G113" i="4"/>
  <c r="F113" i="4"/>
  <c r="E113" i="4"/>
  <c r="D113" i="4"/>
  <c r="C113" i="4"/>
  <c r="B113" i="4"/>
  <c r="W112" i="4" a="1"/>
  <c r="W112" i="4" s="1"/>
  <c r="X112" i="4" s="1"/>
  <c r="V112" i="4" a="1"/>
  <c r="V112" i="4" s="1"/>
  <c r="U112" i="4"/>
  <c r="T112" i="4"/>
  <c r="S112" i="4"/>
  <c r="R112" i="4"/>
  <c r="Q112" i="4"/>
  <c r="P112" i="4"/>
  <c r="O112" i="4"/>
  <c r="N112" i="4"/>
  <c r="M112" i="4"/>
  <c r="L112" i="4"/>
  <c r="K112" i="4"/>
  <c r="J112" i="4"/>
  <c r="I112" i="4"/>
  <c r="H112" i="4"/>
  <c r="G112" i="4"/>
  <c r="F112" i="4"/>
  <c r="E112" i="4"/>
  <c r="D112" i="4"/>
  <c r="C112" i="4"/>
  <c r="B112" i="4"/>
  <c r="W111" i="4" a="1"/>
  <c r="W111" i="4" s="1"/>
  <c r="X111" i="4" s="1"/>
  <c r="V111" i="4" a="1"/>
  <c r="V111" i="4" s="1"/>
  <c r="U111" i="4"/>
  <c r="T111" i="4"/>
  <c r="S111" i="4"/>
  <c r="R111" i="4"/>
  <c r="Q111" i="4"/>
  <c r="P111" i="4"/>
  <c r="O111" i="4"/>
  <c r="N111" i="4"/>
  <c r="M111" i="4"/>
  <c r="L111" i="4"/>
  <c r="K111" i="4"/>
  <c r="J111" i="4"/>
  <c r="I111" i="4"/>
  <c r="H111" i="4"/>
  <c r="G111" i="4"/>
  <c r="F111" i="4"/>
  <c r="E111" i="4"/>
  <c r="D111" i="4"/>
  <c r="C111" i="4"/>
  <c r="B111" i="4"/>
  <c r="W110" i="4" a="1"/>
  <c r="W110" i="4" s="1"/>
  <c r="X110" i="4" s="1"/>
  <c r="V110" i="4" a="1"/>
  <c r="V110" i="4" s="1"/>
  <c r="U110" i="4"/>
  <c r="T110" i="4"/>
  <c r="S110" i="4"/>
  <c r="R110" i="4"/>
  <c r="Q110" i="4"/>
  <c r="P110" i="4"/>
  <c r="O110" i="4"/>
  <c r="N110" i="4"/>
  <c r="M110" i="4"/>
  <c r="L110" i="4"/>
  <c r="K110" i="4"/>
  <c r="J110" i="4"/>
  <c r="I110" i="4"/>
  <c r="H110" i="4"/>
  <c r="G110" i="4"/>
  <c r="F110" i="4"/>
  <c r="E110" i="4"/>
  <c r="D110" i="4"/>
  <c r="C110" i="4"/>
  <c r="B110" i="4"/>
  <c r="W109" i="4" a="1"/>
  <c r="W109" i="4" s="1"/>
  <c r="X109" i="4" s="1"/>
  <c r="V109" i="4" a="1"/>
  <c r="V109" i="4" s="1"/>
  <c r="U109" i="4"/>
  <c r="T109" i="4"/>
  <c r="S109" i="4"/>
  <c r="R109" i="4"/>
  <c r="Q109" i="4"/>
  <c r="P109" i="4"/>
  <c r="O109" i="4"/>
  <c r="N109" i="4"/>
  <c r="M109" i="4"/>
  <c r="L109" i="4"/>
  <c r="K109" i="4"/>
  <c r="J109" i="4"/>
  <c r="I109" i="4"/>
  <c r="H109" i="4"/>
  <c r="G109" i="4"/>
  <c r="F109" i="4"/>
  <c r="E109" i="4"/>
  <c r="D109" i="4"/>
  <c r="C109" i="4"/>
  <c r="B109" i="4"/>
  <c r="W108" i="4" a="1"/>
  <c r="W108" i="4" s="1"/>
  <c r="X108" i="4" s="1"/>
  <c r="V108" i="4" a="1"/>
  <c r="V108" i="4" s="1"/>
  <c r="U108" i="4"/>
  <c r="T108" i="4"/>
  <c r="S108" i="4"/>
  <c r="R108" i="4"/>
  <c r="Q108" i="4"/>
  <c r="P108" i="4"/>
  <c r="O108" i="4"/>
  <c r="N108" i="4"/>
  <c r="M108" i="4"/>
  <c r="L108" i="4"/>
  <c r="K108" i="4"/>
  <c r="J108" i="4"/>
  <c r="I108" i="4"/>
  <c r="H108" i="4"/>
  <c r="G108" i="4"/>
  <c r="F108" i="4"/>
  <c r="E108" i="4"/>
  <c r="D108" i="4"/>
  <c r="C108" i="4"/>
  <c r="B108" i="4"/>
  <c r="W107" i="4" a="1"/>
  <c r="W107" i="4" s="1"/>
  <c r="X107" i="4" s="1"/>
  <c r="V107" i="4" a="1"/>
  <c r="V107" i="4" s="1"/>
  <c r="U107" i="4"/>
  <c r="T107" i="4"/>
  <c r="S107" i="4"/>
  <c r="R107" i="4"/>
  <c r="Q107" i="4"/>
  <c r="P107" i="4"/>
  <c r="O107" i="4"/>
  <c r="N107" i="4"/>
  <c r="M107" i="4"/>
  <c r="L107" i="4"/>
  <c r="K107" i="4"/>
  <c r="J107" i="4"/>
  <c r="I107" i="4"/>
  <c r="H107" i="4"/>
  <c r="G107" i="4"/>
  <c r="F107" i="4"/>
  <c r="E107" i="4"/>
  <c r="D107" i="4"/>
  <c r="C107" i="4"/>
  <c r="B107" i="4"/>
  <c r="W106" i="4" a="1"/>
  <c r="W106" i="4" s="1"/>
  <c r="X106" i="4" s="1"/>
  <c r="V106" i="4" a="1"/>
  <c r="V106" i="4" s="1"/>
  <c r="U106" i="4"/>
  <c r="T106" i="4"/>
  <c r="S106" i="4"/>
  <c r="R106" i="4"/>
  <c r="Q106" i="4"/>
  <c r="P106" i="4"/>
  <c r="O106" i="4"/>
  <c r="N106" i="4"/>
  <c r="M106" i="4"/>
  <c r="L106" i="4"/>
  <c r="K106" i="4"/>
  <c r="J106" i="4"/>
  <c r="I106" i="4"/>
  <c r="H106" i="4"/>
  <c r="G106" i="4"/>
  <c r="F106" i="4"/>
  <c r="E106" i="4"/>
  <c r="D106" i="4"/>
  <c r="C106" i="4"/>
  <c r="B106" i="4"/>
  <c r="W105" i="4" a="1"/>
  <c r="W105" i="4" s="1"/>
  <c r="X105" i="4" s="1"/>
  <c r="V105" i="4" a="1"/>
  <c r="V105" i="4" s="1"/>
  <c r="U105" i="4"/>
  <c r="T105" i="4"/>
  <c r="S105" i="4"/>
  <c r="R105" i="4"/>
  <c r="Q105" i="4"/>
  <c r="P105" i="4"/>
  <c r="O105" i="4"/>
  <c r="N105" i="4"/>
  <c r="M105" i="4"/>
  <c r="L105" i="4"/>
  <c r="K105" i="4"/>
  <c r="J105" i="4"/>
  <c r="I105" i="4"/>
  <c r="H105" i="4"/>
  <c r="G105" i="4"/>
  <c r="F105" i="4"/>
  <c r="E105" i="4"/>
  <c r="D105" i="4"/>
  <c r="C105" i="4"/>
  <c r="B105" i="4"/>
  <c r="W104" i="4" a="1"/>
  <c r="W104" i="4" s="1"/>
  <c r="X104" i="4" s="1"/>
  <c r="V104" i="4" a="1"/>
  <c r="V104" i="4" s="1"/>
  <c r="U104" i="4"/>
  <c r="T104" i="4"/>
  <c r="S104" i="4"/>
  <c r="R104" i="4"/>
  <c r="Q104" i="4"/>
  <c r="P104" i="4"/>
  <c r="O104" i="4"/>
  <c r="N104" i="4"/>
  <c r="M104" i="4"/>
  <c r="L104" i="4"/>
  <c r="K104" i="4"/>
  <c r="J104" i="4"/>
  <c r="I104" i="4"/>
  <c r="H104" i="4"/>
  <c r="G104" i="4"/>
  <c r="F104" i="4"/>
  <c r="E104" i="4"/>
  <c r="D104" i="4"/>
  <c r="C104" i="4"/>
  <c r="B104" i="4"/>
  <c r="W103" i="4" a="1"/>
  <c r="W103" i="4" s="1"/>
  <c r="X103" i="4" s="1"/>
  <c r="V103" i="4" a="1"/>
  <c r="V103" i="4" s="1"/>
  <c r="U103" i="4"/>
  <c r="T103" i="4"/>
  <c r="S103" i="4"/>
  <c r="R103" i="4"/>
  <c r="Q103" i="4"/>
  <c r="P103" i="4"/>
  <c r="O103" i="4"/>
  <c r="N103" i="4"/>
  <c r="M103" i="4"/>
  <c r="L103" i="4"/>
  <c r="K103" i="4"/>
  <c r="J103" i="4"/>
  <c r="I103" i="4"/>
  <c r="H103" i="4"/>
  <c r="G103" i="4"/>
  <c r="F103" i="4"/>
  <c r="E103" i="4"/>
  <c r="D103" i="4"/>
  <c r="C103" i="4"/>
  <c r="B103" i="4"/>
  <c r="W102" i="4" a="1"/>
  <c r="W102" i="4" s="1"/>
  <c r="X102" i="4" s="1"/>
  <c r="V102" i="4" a="1"/>
  <c r="V102" i="4" s="1"/>
  <c r="U102" i="4"/>
  <c r="T102" i="4"/>
  <c r="S102" i="4"/>
  <c r="R102" i="4"/>
  <c r="M102" i="4"/>
  <c r="L102" i="4"/>
  <c r="K102" i="4"/>
  <c r="J102" i="4"/>
  <c r="G102" i="4"/>
  <c r="F102" i="4"/>
  <c r="C102" i="4"/>
  <c r="B102" i="4"/>
  <c r="W101" i="4" a="1"/>
  <c r="W101" i="4" s="1"/>
  <c r="X101" i="4" s="1"/>
  <c r="V101" i="4" a="1"/>
  <c r="V101" i="4" s="1"/>
  <c r="U101" i="4"/>
  <c r="T101" i="4"/>
  <c r="S101" i="4"/>
  <c r="R101" i="4"/>
  <c r="M101" i="4"/>
  <c r="L101" i="4"/>
  <c r="K101" i="4"/>
  <c r="J101" i="4"/>
  <c r="I101" i="4"/>
  <c r="H101" i="4"/>
  <c r="G101" i="4"/>
  <c r="F101" i="4"/>
  <c r="E101" i="4"/>
  <c r="D101" i="4"/>
  <c r="C101" i="4"/>
  <c r="B101" i="4"/>
  <c r="W100" i="4" a="1"/>
  <c r="W100" i="4" s="1"/>
  <c r="X100" i="4" s="1"/>
  <c r="V100" i="4" a="1"/>
  <c r="V100" i="4" s="1"/>
  <c r="U100" i="4"/>
  <c r="T100" i="4"/>
  <c r="S100" i="4"/>
  <c r="R100" i="4"/>
  <c r="Q100" i="4"/>
  <c r="P100" i="4"/>
  <c r="O100" i="4"/>
  <c r="N100" i="4"/>
  <c r="M100" i="4"/>
  <c r="L100" i="4"/>
  <c r="K100" i="4"/>
  <c r="J100" i="4"/>
  <c r="I100" i="4"/>
  <c r="H100" i="4"/>
  <c r="G100" i="4"/>
  <c r="F100" i="4"/>
  <c r="E100" i="4"/>
  <c r="D100" i="4"/>
  <c r="C100" i="4"/>
  <c r="B100" i="4"/>
  <c r="W99" i="4" a="1"/>
  <c r="W99" i="4" s="1"/>
  <c r="X99" i="4" s="1"/>
  <c r="V99" i="4" a="1"/>
  <c r="V99" i="4" s="1"/>
  <c r="U99" i="4"/>
  <c r="T99" i="4"/>
  <c r="S99" i="4"/>
  <c r="R99" i="4"/>
  <c r="Q99" i="4"/>
  <c r="P99" i="4"/>
  <c r="O99" i="4"/>
  <c r="N99" i="4"/>
  <c r="M99" i="4"/>
  <c r="L99" i="4"/>
  <c r="K99" i="4"/>
  <c r="J99" i="4"/>
  <c r="I99" i="4"/>
  <c r="H99" i="4"/>
  <c r="G99" i="4"/>
  <c r="F99" i="4"/>
  <c r="E99" i="4"/>
  <c r="D99" i="4"/>
  <c r="C99" i="4"/>
  <c r="B99" i="4"/>
  <c r="W98" i="4" a="1"/>
  <c r="W98" i="4" s="1"/>
  <c r="X98" i="4" s="1"/>
  <c r="V98" i="4" a="1"/>
  <c r="V98" i="4" s="1"/>
  <c r="U98" i="4"/>
  <c r="T98" i="4"/>
  <c r="S98" i="4"/>
  <c r="R98" i="4"/>
  <c r="Q98" i="4"/>
  <c r="P98" i="4"/>
  <c r="O98" i="4"/>
  <c r="N98" i="4"/>
  <c r="M98" i="4"/>
  <c r="L98" i="4"/>
  <c r="K98" i="4"/>
  <c r="J98" i="4"/>
  <c r="I98" i="4"/>
  <c r="H98" i="4"/>
  <c r="G98" i="4"/>
  <c r="F98" i="4"/>
  <c r="E98" i="4"/>
  <c r="D98" i="4"/>
  <c r="C98" i="4"/>
  <c r="B98" i="4"/>
  <c r="W97" i="4" a="1"/>
  <c r="W97" i="4" s="1"/>
  <c r="X97" i="4" s="1"/>
  <c r="V97" i="4" a="1"/>
  <c r="V97" i="4" s="1"/>
  <c r="U97" i="4"/>
  <c r="T97" i="4"/>
  <c r="S97" i="4"/>
  <c r="R97" i="4"/>
  <c r="Q97" i="4"/>
  <c r="P97" i="4"/>
  <c r="O97" i="4"/>
  <c r="N97" i="4"/>
  <c r="M97" i="4"/>
  <c r="L97" i="4"/>
  <c r="K97" i="4"/>
  <c r="J97" i="4"/>
  <c r="I97" i="4"/>
  <c r="H97" i="4"/>
  <c r="G97" i="4"/>
  <c r="F97" i="4"/>
  <c r="E97" i="4"/>
  <c r="D97" i="4"/>
  <c r="C97" i="4"/>
  <c r="B97" i="4"/>
  <c r="W96" i="4" a="1"/>
  <c r="W96" i="4" s="1"/>
  <c r="X96" i="4" s="1"/>
  <c r="V96" i="4" a="1"/>
  <c r="V96" i="4" s="1"/>
  <c r="U96" i="4"/>
  <c r="T96" i="4"/>
  <c r="S96" i="4"/>
  <c r="R96" i="4"/>
  <c r="Q96" i="4"/>
  <c r="P96" i="4"/>
  <c r="O96" i="4"/>
  <c r="N96" i="4"/>
  <c r="M96" i="4"/>
  <c r="L96" i="4"/>
  <c r="K96" i="4"/>
  <c r="J96" i="4"/>
  <c r="I96" i="4"/>
  <c r="H96" i="4"/>
  <c r="G96" i="4"/>
  <c r="F96" i="4"/>
  <c r="E96" i="4"/>
  <c r="D96" i="4"/>
  <c r="C96" i="4"/>
  <c r="B96" i="4"/>
  <c r="W95" i="4" a="1"/>
  <c r="W95" i="4" s="1"/>
  <c r="X95" i="4" s="1"/>
  <c r="V95" i="4" a="1"/>
  <c r="V95" i="4" s="1"/>
  <c r="U95" i="4"/>
  <c r="T95" i="4"/>
  <c r="S95" i="4"/>
  <c r="R95" i="4"/>
  <c r="Q95" i="4"/>
  <c r="P95" i="4"/>
  <c r="O95" i="4"/>
  <c r="N95" i="4"/>
  <c r="M95" i="4"/>
  <c r="L95" i="4"/>
  <c r="K95" i="4"/>
  <c r="J95" i="4"/>
  <c r="I95" i="4"/>
  <c r="H95" i="4"/>
  <c r="G95" i="4"/>
  <c r="F95" i="4"/>
  <c r="E95" i="4"/>
  <c r="D95" i="4"/>
  <c r="C95" i="4"/>
  <c r="B95" i="4"/>
  <c r="W94" i="4" a="1"/>
  <c r="W94" i="4" s="1"/>
  <c r="X94" i="4" s="1"/>
  <c r="V94" i="4" a="1"/>
  <c r="V94" i="4" s="1"/>
  <c r="U94" i="4"/>
  <c r="T94" i="4"/>
  <c r="S94" i="4"/>
  <c r="R94" i="4"/>
  <c r="Q94" i="4"/>
  <c r="P94" i="4"/>
  <c r="O94" i="4"/>
  <c r="N94" i="4"/>
  <c r="M94" i="4"/>
  <c r="L94" i="4"/>
  <c r="K94" i="4"/>
  <c r="J94" i="4"/>
  <c r="I94" i="4"/>
  <c r="H94" i="4"/>
  <c r="G94" i="4"/>
  <c r="F94" i="4"/>
  <c r="E94" i="4"/>
  <c r="D94" i="4"/>
  <c r="C94" i="4"/>
  <c r="B94" i="4"/>
  <c r="W93" i="4" a="1"/>
  <c r="W93" i="4" s="1"/>
  <c r="X93" i="4" s="1"/>
  <c r="V93" i="4" a="1"/>
  <c r="V93" i="4" s="1"/>
  <c r="U93" i="4"/>
  <c r="T93" i="4"/>
  <c r="S93" i="4"/>
  <c r="R93" i="4"/>
  <c r="Q93" i="4"/>
  <c r="P93" i="4"/>
  <c r="O93" i="4"/>
  <c r="N93" i="4"/>
  <c r="M93" i="4"/>
  <c r="L93" i="4"/>
  <c r="K93" i="4"/>
  <c r="J93" i="4"/>
  <c r="I93" i="4"/>
  <c r="H93" i="4"/>
  <c r="G93" i="4"/>
  <c r="F93" i="4"/>
  <c r="E93" i="4"/>
  <c r="D93" i="4"/>
  <c r="C93" i="4"/>
  <c r="B93" i="4"/>
  <c r="W92" i="4" a="1"/>
  <c r="W92" i="4" s="1"/>
  <c r="X92" i="4" s="1"/>
  <c r="V92" i="4" a="1"/>
  <c r="V92" i="4" s="1"/>
  <c r="U92" i="4"/>
  <c r="T92" i="4"/>
  <c r="S92" i="4"/>
  <c r="R92" i="4"/>
  <c r="Q92" i="4"/>
  <c r="P92" i="4"/>
  <c r="O92" i="4"/>
  <c r="N92" i="4"/>
  <c r="M92" i="4"/>
  <c r="L92" i="4"/>
  <c r="K92" i="4"/>
  <c r="J92" i="4"/>
  <c r="I92" i="4"/>
  <c r="H92" i="4"/>
  <c r="G92" i="4"/>
  <c r="F92" i="4"/>
  <c r="E92" i="4"/>
  <c r="D92" i="4"/>
  <c r="C92" i="4"/>
  <c r="B92" i="4"/>
  <c r="W91" i="4" a="1"/>
  <c r="W91" i="4" s="1"/>
  <c r="X91" i="4" s="1"/>
  <c r="V91" i="4" a="1"/>
  <c r="V91" i="4" s="1"/>
  <c r="U91" i="4"/>
  <c r="T91" i="4"/>
  <c r="S91" i="4"/>
  <c r="R91" i="4"/>
  <c r="Q91" i="4"/>
  <c r="P91" i="4"/>
  <c r="O91" i="4"/>
  <c r="N91" i="4"/>
  <c r="M91" i="4"/>
  <c r="L91" i="4"/>
  <c r="K91" i="4"/>
  <c r="J91" i="4"/>
  <c r="I91" i="4"/>
  <c r="H91" i="4"/>
  <c r="G91" i="4"/>
  <c r="F91" i="4"/>
  <c r="E91" i="4"/>
  <c r="D91" i="4"/>
  <c r="C91" i="4"/>
  <c r="B91" i="4"/>
  <c r="W90" i="4" a="1"/>
  <c r="W90" i="4" s="1"/>
  <c r="X90" i="4" s="1"/>
  <c r="V90" i="4" a="1"/>
  <c r="V90" i="4" s="1"/>
  <c r="U90" i="4"/>
  <c r="T90" i="4"/>
  <c r="S90" i="4"/>
  <c r="R90" i="4"/>
  <c r="I90" i="4"/>
  <c r="H90" i="4"/>
  <c r="C90" i="4"/>
  <c r="B90" i="4"/>
  <c r="W89" i="4" a="1"/>
  <c r="W89" i="4" s="1"/>
  <c r="X89" i="4" s="1"/>
  <c r="V89" i="4" a="1"/>
  <c r="V89" i="4" s="1"/>
  <c r="U89" i="4"/>
  <c r="T89" i="4"/>
  <c r="S89" i="4"/>
  <c r="R89" i="4"/>
  <c r="O89" i="4"/>
  <c r="N89" i="4"/>
  <c r="M89" i="4"/>
  <c r="L89" i="4"/>
  <c r="G89" i="4"/>
  <c r="F89" i="4"/>
  <c r="C89" i="4"/>
  <c r="B89" i="4"/>
  <c r="W88" i="4" a="1"/>
  <c r="W88" i="4" s="1"/>
  <c r="X88" i="4" s="1"/>
  <c r="V88" i="4" a="1"/>
  <c r="V88" i="4" s="1"/>
  <c r="U88" i="4"/>
  <c r="T88" i="4"/>
  <c r="S88" i="4"/>
  <c r="R88" i="4"/>
  <c r="Q88" i="4"/>
  <c r="P88" i="4"/>
  <c r="O88" i="4"/>
  <c r="N88" i="4"/>
  <c r="M88" i="4"/>
  <c r="L88" i="4"/>
  <c r="K88" i="4"/>
  <c r="J88" i="4"/>
  <c r="I88" i="4"/>
  <c r="H88" i="4"/>
  <c r="G88" i="4"/>
  <c r="F88" i="4"/>
  <c r="E88" i="4"/>
  <c r="D88" i="4"/>
  <c r="C88" i="4"/>
  <c r="B88" i="4"/>
  <c r="W87" i="4" a="1"/>
  <c r="W87" i="4" s="1"/>
  <c r="X87" i="4" s="1"/>
  <c r="V87" i="4" a="1"/>
  <c r="V87" i="4" s="1"/>
  <c r="U87" i="4"/>
  <c r="T87" i="4"/>
  <c r="S87" i="4"/>
  <c r="R87" i="4"/>
  <c r="Q87" i="4"/>
  <c r="P87" i="4"/>
  <c r="O87" i="4"/>
  <c r="N87" i="4"/>
  <c r="M87" i="4"/>
  <c r="L87" i="4"/>
  <c r="K87" i="4"/>
  <c r="J87" i="4"/>
  <c r="I87" i="4"/>
  <c r="H87" i="4"/>
  <c r="G87" i="4"/>
  <c r="F87" i="4"/>
  <c r="E87" i="4"/>
  <c r="D87" i="4"/>
  <c r="C87" i="4"/>
  <c r="B87" i="4"/>
  <c r="W86" i="4" a="1"/>
  <c r="W86" i="4" s="1"/>
  <c r="X86" i="4" s="1"/>
  <c r="V86" i="4" a="1"/>
  <c r="V86" i="4" s="1"/>
  <c r="U86" i="4"/>
  <c r="T86" i="4"/>
  <c r="S86" i="4"/>
  <c r="R86" i="4"/>
  <c r="Q86" i="4"/>
  <c r="P86" i="4"/>
  <c r="O86" i="4"/>
  <c r="N86" i="4"/>
  <c r="M86" i="4"/>
  <c r="L86" i="4"/>
  <c r="K86" i="4"/>
  <c r="J86" i="4"/>
  <c r="I86" i="4"/>
  <c r="H86" i="4"/>
  <c r="G86" i="4"/>
  <c r="F86" i="4"/>
  <c r="E86" i="4"/>
  <c r="D86" i="4"/>
  <c r="C86" i="4"/>
  <c r="B86" i="4"/>
  <c r="W85" i="4" a="1"/>
  <c r="W85" i="4" s="1"/>
  <c r="X85" i="4" s="1"/>
  <c r="V85" i="4" a="1"/>
  <c r="V85" i="4" s="1"/>
  <c r="U85" i="4"/>
  <c r="T85" i="4"/>
  <c r="S85" i="4"/>
  <c r="R85" i="4"/>
  <c r="Q85" i="4"/>
  <c r="P85" i="4"/>
  <c r="O85" i="4"/>
  <c r="N85" i="4"/>
  <c r="M85" i="4"/>
  <c r="L85" i="4"/>
  <c r="K85" i="4"/>
  <c r="J85" i="4"/>
  <c r="I85" i="4"/>
  <c r="H85" i="4"/>
  <c r="G85" i="4"/>
  <c r="F85" i="4"/>
  <c r="E85" i="4"/>
  <c r="D85" i="4"/>
  <c r="C85" i="4"/>
  <c r="B85" i="4"/>
  <c r="W84" i="4" a="1"/>
  <c r="W84" i="4" s="1"/>
  <c r="X84" i="4" s="1"/>
  <c r="V84" i="4" a="1"/>
  <c r="V84" i="4" s="1"/>
  <c r="U84" i="4"/>
  <c r="T84" i="4"/>
  <c r="S84" i="4"/>
  <c r="R84" i="4"/>
  <c r="Q84" i="4"/>
  <c r="P84" i="4"/>
  <c r="O84" i="4"/>
  <c r="N84" i="4"/>
  <c r="M84" i="4"/>
  <c r="L84" i="4"/>
  <c r="K84" i="4"/>
  <c r="J84" i="4"/>
  <c r="I84" i="4"/>
  <c r="H84" i="4"/>
  <c r="G84" i="4"/>
  <c r="F84" i="4"/>
  <c r="E84" i="4"/>
  <c r="D84" i="4"/>
  <c r="C84" i="4"/>
  <c r="B84" i="4"/>
  <c r="W83" i="4" a="1"/>
  <c r="W83" i="4" s="1"/>
  <c r="X83" i="4" s="1"/>
  <c r="V83" i="4" a="1"/>
  <c r="V83" i="4" s="1"/>
  <c r="U83" i="4"/>
  <c r="T83" i="4"/>
  <c r="S83" i="4"/>
  <c r="R83" i="4"/>
  <c r="Q83" i="4"/>
  <c r="P83" i="4"/>
  <c r="O83" i="4"/>
  <c r="N83" i="4"/>
  <c r="M83" i="4"/>
  <c r="L83" i="4"/>
  <c r="K83" i="4"/>
  <c r="J83" i="4"/>
  <c r="I83" i="4"/>
  <c r="H83" i="4"/>
  <c r="G83" i="4"/>
  <c r="F83" i="4"/>
  <c r="E83" i="4"/>
  <c r="D83" i="4"/>
  <c r="C83" i="4"/>
  <c r="B83" i="4"/>
  <c r="W82" i="4" a="1"/>
  <c r="W82" i="4" s="1"/>
  <c r="X82" i="4" s="1"/>
  <c r="V82" i="4" a="1"/>
  <c r="V82" i="4" s="1"/>
  <c r="U82" i="4"/>
  <c r="T82" i="4"/>
  <c r="S82" i="4"/>
  <c r="R82" i="4"/>
  <c r="Q82" i="4"/>
  <c r="P82" i="4"/>
  <c r="O82" i="4"/>
  <c r="N82" i="4"/>
  <c r="M82" i="4"/>
  <c r="L82" i="4"/>
  <c r="K82" i="4"/>
  <c r="J82" i="4"/>
  <c r="I82" i="4"/>
  <c r="H82" i="4"/>
  <c r="G82" i="4"/>
  <c r="F82" i="4"/>
  <c r="E82" i="4"/>
  <c r="D82" i="4"/>
  <c r="C82" i="4"/>
  <c r="B82" i="4"/>
  <c r="W81" i="4" a="1"/>
  <c r="W81" i="4" s="1"/>
  <c r="X81" i="4" s="1"/>
  <c r="V81" i="4" a="1"/>
  <c r="V81" i="4" s="1"/>
  <c r="U81" i="4"/>
  <c r="T81" i="4"/>
  <c r="S81" i="4"/>
  <c r="R81" i="4"/>
  <c r="Q81" i="4"/>
  <c r="P81" i="4"/>
  <c r="C81" i="4"/>
  <c r="B81" i="4"/>
  <c r="W80" i="4" a="1"/>
  <c r="W80" i="4" s="1"/>
  <c r="X80" i="4" s="1"/>
  <c r="V80" i="4" a="1"/>
  <c r="V80" i="4" s="1"/>
  <c r="U80" i="4"/>
  <c r="T80" i="4"/>
  <c r="S80" i="4"/>
  <c r="R80" i="4"/>
  <c r="Q80" i="4"/>
  <c r="P80" i="4"/>
  <c r="O80" i="4"/>
  <c r="N80" i="4"/>
  <c r="M80" i="4"/>
  <c r="L80" i="4"/>
  <c r="K80" i="4"/>
  <c r="J80" i="4"/>
  <c r="I80" i="4"/>
  <c r="H80" i="4"/>
  <c r="G80" i="4"/>
  <c r="F80" i="4"/>
  <c r="E80" i="4"/>
  <c r="D80" i="4"/>
  <c r="C80" i="4"/>
  <c r="B80" i="4"/>
  <c r="W79" i="4" a="1"/>
  <c r="W79" i="4" s="1"/>
  <c r="X79" i="4" s="1"/>
  <c r="V79" i="4" a="1"/>
  <c r="V79" i="4" s="1"/>
  <c r="U79" i="4"/>
  <c r="T79" i="4"/>
  <c r="S79" i="4"/>
  <c r="R79" i="4"/>
  <c r="Q79" i="4"/>
  <c r="P79" i="4"/>
  <c r="O79" i="4"/>
  <c r="N79" i="4"/>
  <c r="M79" i="4"/>
  <c r="L79" i="4"/>
  <c r="K79" i="4"/>
  <c r="J79" i="4"/>
  <c r="I79" i="4"/>
  <c r="H79" i="4"/>
  <c r="G79" i="4"/>
  <c r="F79" i="4"/>
  <c r="E79" i="4"/>
  <c r="D79" i="4"/>
  <c r="C79" i="4"/>
  <c r="B79" i="4"/>
  <c r="W78" i="4" a="1"/>
  <c r="W78" i="4" s="1"/>
  <c r="X78" i="4" s="1"/>
  <c r="V78" i="4" a="1"/>
  <c r="V78" i="4" s="1"/>
  <c r="U78" i="4"/>
  <c r="T78" i="4"/>
  <c r="S78" i="4"/>
  <c r="R78" i="4"/>
  <c r="Q78" i="4"/>
  <c r="P78" i="4"/>
  <c r="O78" i="4"/>
  <c r="N78" i="4"/>
  <c r="M78" i="4"/>
  <c r="L78" i="4"/>
  <c r="K78" i="4"/>
  <c r="J78" i="4"/>
  <c r="I78" i="4"/>
  <c r="H78" i="4"/>
  <c r="G78" i="4"/>
  <c r="F78" i="4"/>
  <c r="E78" i="4"/>
  <c r="D78" i="4"/>
  <c r="C78" i="4"/>
  <c r="B78" i="4"/>
  <c r="W77" i="4" a="1"/>
  <c r="W77" i="4" s="1"/>
  <c r="X77" i="4" s="1"/>
  <c r="V77" i="4" a="1"/>
  <c r="V77" i="4" s="1"/>
  <c r="U77" i="4"/>
  <c r="T77" i="4"/>
  <c r="S77" i="4"/>
  <c r="R77" i="4"/>
  <c r="Q77" i="4"/>
  <c r="P77" i="4"/>
  <c r="O77" i="4"/>
  <c r="N77" i="4"/>
  <c r="M77" i="4"/>
  <c r="L77" i="4"/>
  <c r="K77" i="4"/>
  <c r="J77" i="4"/>
  <c r="I77" i="4"/>
  <c r="H77" i="4"/>
  <c r="G77" i="4"/>
  <c r="F77" i="4"/>
  <c r="E77" i="4"/>
  <c r="D77" i="4"/>
  <c r="C77" i="4"/>
  <c r="B77" i="4"/>
  <c r="W76" i="4" a="1"/>
  <c r="W76" i="4" s="1"/>
  <c r="X76" i="4" s="1"/>
  <c r="V76" i="4" a="1"/>
  <c r="V76" i="4" s="1"/>
  <c r="U76" i="4"/>
  <c r="T76" i="4"/>
  <c r="S76" i="4"/>
  <c r="R76" i="4"/>
  <c r="Q76" i="4"/>
  <c r="P76" i="4"/>
  <c r="O76" i="4"/>
  <c r="N76" i="4"/>
  <c r="M76" i="4"/>
  <c r="L76" i="4"/>
  <c r="K76" i="4"/>
  <c r="J76" i="4"/>
  <c r="I76" i="4"/>
  <c r="H76" i="4"/>
  <c r="G76" i="4"/>
  <c r="F76" i="4"/>
  <c r="E76" i="4"/>
  <c r="D76" i="4"/>
  <c r="C76" i="4"/>
  <c r="B76" i="4"/>
  <c r="W75" i="4" a="1"/>
  <c r="W75" i="4" s="1"/>
  <c r="X75" i="4" s="1"/>
  <c r="V75" i="4" a="1"/>
  <c r="V75" i="4" s="1"/>
  <c r="U75" i="4"/>
  <c r="T75" i="4"/>
  <c r="S75" i="4"/>
  <c r="R75" i="4"/>
  <c r="Q75" i="4"/>
  <c r="P75" i="4"/>
  <c r="O75" i="4"/>
  <c r="N75" i="4"/>
  <c r="M75" i="4"/>
  <c r="L75" i="4"/>
  <c r="K75" i="4"/>
  <c r="J75" i="4"/>
  <c r="I75" i="4"/>
  <c r="H75" i="4"/>
  <c r="G75" i="4"/>
  <c r="F75" i="4"/>
  <c r="E75" i="4"/>
  <c r="D75" i="4"/>
  <c r="C75" i="4"/>
  <c r="B75" i="4"/>
  <c r="W74" i="4" a="1"/>
  <c r="W74" i="4" s="1"/>
  <c r="X74" i="4" s="1"/>
  <c r="V74" i="4" a="1"/>
  <c r="V74" i="4" s="1"/>
  <c r="U74" i="4"/>
  <c r="T74" i="4"/>
  <c r="S74" i="4"/>
  <c r="R74" i="4"/>
  <c r="Q74" i="4"/>
  <c r="P74" i="4"/>
  <c r="O74" i="4"/>
  <c r="N74" i="4"/>
  <c r="M74" i="4"/>
  <c r="L74" i="4"/>
  <c r="K74" i="4"/>
  <c r="J74" i="4"/>
  <c r="I74" i="4"/>
  <c r="H74" i="4"/>
  <c r="G74" i="4"/>
  <c r="F74" i="4"/>
  <c r="E74" i="4"/>
  <c r="D74" i="4"/>
  <c r="C74" i="4"/>
  <c r="B74" i="4"/>
  <c r="W73" i="4" a="1"/>
  <c r="W73" i="4" s="1"/>
  <c r="X73" i="4" s="1"/>
  <c r="V73" i="4" a="1"/>
  <c r="V73" i="4" s="1"/>
  <c r="U73" i="4"/>
  <c r="T73" i="4"/>
  <c r="S73" i="4"/>
  <c r="R73" i="4"/>
  <c r="Q73" i="4"/>
  <c r="P73" i="4"/>
  <c r="O73" i="4"/>
  <c r="N73" i="4"/>
  <c r="M73" i="4"/>
  <c r="L73" i="4"/>
  <c r="K73" i="4"/>
  <c r="J73" i="4"/>
  <c r="I73" i="4"/>
  <c r="H73" i="4"/>
  <c r="G73" i="4"/>
  <c r="F73" i="4"/>
  <c r="E73" i="4"/>
  <c r="D73" i="4"/>
  <c r="C73" i="4"/>
  <c r="B73" i="4"/>
  <c r="W72" i="4" a="1"/>
  <c r="W72" i="4" s="1"/>
  <c r="X72" i="4" s="1"/>
  <c r="V72" i="4" a="1"/>
  <c r="V72" i="4" s="1"/>
  <c r="U72" i="4"/>
  <c r="T72" i="4"/>
  <c r="S72" i="4"/>
  <c r="R72" i="4"/>
  <c r="Q72" i="4"/>
  <c r="P72" i="4"/>
  <c r="O72" i="4"/>
  <c r="N72" i="4"/>
  <c r="M72" i="4"/>
  <c r="L72" i="4"/>
  <c r="K72" i="4"/>
  <c r="J72" i="4"/>
  <c r="I72" i="4"/>
  <c r="H72" i="4"/>
  <c r="G72" i="4"/>
  <c r="F72" i="4"/>
  <c r="E72" i="4"/>
  <c r="D72" i="4"/>
  <c r="C72" i="4"/>
  <c r="B72" i="4"/>
  <c r="W71" i="4" a="1"/>
  <c r="W71" i="4" s="1"/>
  <c r="X71" i="4" s="1"/>
  <c r="V71" i="4" a="1"/>
  <c r="V71" i="4" s="1"/>
  <c r="U71" i="4"/>
  <c r="T71" i="4"/>
  <c r="S71" i="4"/>
  <c r="R71" i="4"/>
  <c r="Q71" i="4"/>
  <c r="P71" i="4"/>
  <c r="O71" i="4"/>
  <c r="N71" i="4"/>
  <c r="M71" i="4"/>
  <c r="L71" i="4"/>
  <c r="K71" i="4"/>
  <c r="J71" i="4"/>
  <c r="I71" i="4"/>
  <c r="H71" i="4"/>
  <c r="G71" i="4"/>
  <c r="F71" i="4"/>
  <c r="E71" i="4"/>
  <c r="D71" i="4"/>
  <c r="C71" i="4"/>
  <c r="B71" i="4"/>
  <c r="W70" i="4" a="1"/>
  <c r="W70" i="4" s="1"/>
  <c r="X70" i="4" s="1"/>
  <c r="V70" i="4" a="1"/>
  <c r="V70" i="4" s="1"/>
  <c r="U70" i="4"/>
  <c r="T70" i="4"/>
  <c r="S70" i="4"/>
  <c r="R70" i="4"/>
  <c r="Q70" i="4"/>
  <c r="P70" i="4"/>
  <c r="O70" i="4"/>
  <c r="N70" i="4"/>
  <c r="M70" i="4"/>
  <c r="L70" i="4"/>
  <c r="K70" i="4"/>
  <c r="J70" i="4"/>
  <c r="I70" i="4"/>
  <c r="H70" i="4"/>
  <c r="G70" i="4"/>
  <c r="F70" i="4"/>
  <c r="E70" i="4"/>
  <c r="D70" i="4"/>
  <c r="C70" i="4"/>
  <c r="B70" i="4"/>
  <c r="W69" i="4" a="1"/>
  <c r="W69" i="4" s="1"/>
  <c r="X69" i="4" s="1"/>
  <c r="V69" i="4" a="1"/>
  <c r="V69" i="4" s="1"/>
  <c r="U69" i="4"/>
  <c r="T69" i="4"/>
  <c r="S69" i="4"/>
  <c r="R69" i="4"/>
  <c r="O69" i="4"/>
  <c r="N69" i="4"/>
  <c r="C69" i="4"/>
  <c r="B69" i="4"/>
  <c r="W68" i="4" a="1"/>
  <c r="W68" i="4" s="1"/>
  <c r="X68" i="4" s="1"/>
  <c r="V68" i="4" a="1"/>
  <c r="V68" i="4" s="1"/>
  <c r="U68" i="4"/>
  <c r="T68" i="4"/>
  <c r="S68" i="4"/>
  <c r="R68" i="4"/>
  <c r="Q68" i="4"/>
  <c r="P68" i="4"/>
  <c r="O68" i="4"/>
  <c r="N68" i="4"/>
  <c r="M68" i="4"/>
  <c r="L68" i="4"/>
  <c r="K68" i="4"/>
  <c r="J68" i="4"/>
  <c r="I68" i="4"/>
  <c r="H68" i="4"/>
  <c r="G68" i="4"/>
  <c r="F68" i="4"/>
  <c r="E68" i="4"/>
  <c r="D68" i="4"/>
  <c r="C68" i="4"/>
  <c r="B68" i="4"/>
  <c r="W67" i="4" a="1"/>
  <c r="W67" i="4" s="1"/>
  <c r="X67" i="4" s="1"/>
  <c r="V67" i="4" a="1"/>
  <c r="V67" i="4" s="1"/>
  <c r="U67" i="4"/>
  <c r="T67" i="4"/>
  <c r="S67" i="4"/>
  <c r="R67" i="4"/>
  <c r="Q67" i="4"/>
  <c r="P67" i="4"/>
  <c r="O67" i="4"/>
  <c r="N67" i="4"/>
  <c r="M67" i="4"/>
  <c r="L67" i="4"/>
  <c r="K67" i="4"/>
  <c r="J67" i="4"/>
  <c r="I67" i="4"/>
  <c r="H67" i="4"/>
  <c r="G67" i="4"/>
  <c r="F67" i="4"/>
  <c r="E67" i="4"/>
  <c r="D67" i="4"/>
  <c r="C67" i="4"/>
  <c r="B67" i="4"/>
  <c r="W66" i="4" a="1"/>
  <c r="W66" i="4" s="1"/>
  <c r="X66" i="4" s="1"/>
  <c r="V66" i="4" a="1"/>
  <c r="V66" i="4" s="1"/>
  <c r="U66" i="4"/>
  <c r="T66" i="4"/>
  <c r="S66" i="4"/>
  <c r="R66" i="4"/>
  <c r="Q66" i="4"/>
  <c r="P66" i="4"/>
  <c r="O66" i="4"/>
  <c r="N66" i="4"/>
  <c r="M66" i="4"/>
  <c r="L66" i="4"/>
  <c r="K66" i="4"/>
  <c r="J66" i="4"/>
  <c r="I66" i="4"/>
  <c r="H66" i="4"/>
  <c r="G66" i="4"/>
  <c r="F66" i="4"/>
  <c r="E66" i="4"/>
  <c r="D66" i="4"/>
  <c r="C66" i="4"/>
  <c r="B66" i="4"/>
  <c r="W65" i="4" a="1"/>
  <c r="W65" i="4" s="1"/>
  <c r="X65" i="4" s="1"/>
  <c r="V65" i="4" a="1"/>
  <c r="V65" i="4" s="1"/>
  <c r="U65" i="4"/>
  <c r="T65" i="4"/>
  <c r="S65" i="4"/>
  <c r="R65" i="4"/>
  <c r="E65" i="4"/>
  <c r="D65" i="4"/>
  <c r="C65" i="4"/>
  <c r="B65" i="4"/>
  <c r="W64" i="4" a="1"/>
  <c r="W64" i="4" s="1"/>
  <c r="X64" i="4" s="1"/>
  <c r="V64" i="4" a="1"/>
  <c r="V64" i="4" s="1"/>
  <c r="U64" i="4"/>
  <c r="T64" i="4"/>
  <c r="S64" i="4"/>
  <c r="R64" i="4"/>
  <c r="O64" i="4"/>
  <c r="N64" i="4"/>
  <c r="G64" i="4"/>
  <c r="F64" i="4"/>
  <c r="C64" i="4"/>
  <c r="B64" i="4"/>
  <c r="W63" i="4" a="1"/>
  <c r="W63" i="4" s="1"/>
  <c r="X63" i="4" s="1"/>
  <c r="V63" i="4" a="1"/>
  <c r="V63" i="4" s="1"/>
  <c r="U63" i="4"/>
  <c r="T63" i="4"/>
  <c r="S63" i="4"/>
  <c r="R63" i="4"/>
  <c r="Q63" i="4"/>
  <c r="P63" i="4"/>
  <c r="O63" i="4"/>
  <c r="N63" i="4"/>
  <c r="M63" i="4"/>
  <c r="L63" i="4"/>
  <c r="K63" i="4"/>
  <c r="J63" i="4"/>
  <c r="I63" i="4"/>
  <c r="H63" i="4"/>
  <c r="G63" i="4"/>
  <c r="F63" i="4"/>
  <c r="E63" i="4"/>
  <c r="D63" i="4"/>
  <c r="C63" i="4"/>
  <c r="B63" i="4"/>
  <c r="W62" i="4" a="1"/>
  <c r="W62" i="4" s="1"/>
  <c r="X62" i="4" s="1"/>
  <c r="V62" i="4" a="1"/>
  <c r="V62" i="4" s="1"/>
  <c r="U62" i="4"/>
  <c r="T62" i="4"/>
  <c r="S62" i="4"/>
  <c r="R62" i="4"/>
  <c r="Q62" i="4"/>
  <c r="P62" i="4"/>
  <c r="O62" i="4"/>
  <c r="N62" i="4"/>
  <c r="M62" i="4"/>
  <c r="L62" i="4"/>
  <c r="K62" i="4"/>
  <c r="J62" i="4"/>
  <c r="I62" i="4"/>
  <c r="H62" i="4"/>
  <c r="G62" i="4"/>
  <c r="F62" i="4"/>
  <c r="E62" i="4"/>
  <c r="D62" i="4"/>
  <c r="C62" i="4"/>
  <c r="B62" i="4"/>
  <c r="W61" i="4" a="1"/>
  <c r="W61" i="4" s="1"/>
  <c r="X61" i="4" s="1"/>
  <c r="V61" i="4" a="1"/>
  <c r="V61" i="4" s="1"/>
  <c r="U61" i="4"/>
  <c r="T61" i="4"/>
  <c r="S61" i="4"/>
  <c r="R61" i="4"/>
  <c r="G61" i="4"/>
  <c r="F61" i="4"/>
  <c r="E61" i="4"/>
  <c r="D61" i="4"/>
  <c r="C61" i="4"/>
  <c r="B61" i="4"/>
  <c r="W60" i="4" a="1"/>
  <c r="W60" i="4" s="1"/>
  <c r="X60" i="4" s="1"/>
  <c r="V60" i="4" a="1"/>
  <c r="V60" i="4" s="1"/>
  <c r="U60" i="4"/>
  <c r="T60" i="4"/>
  <c r="S60" i="4"/>
  <c r="R60" i="4"/>
  <c r="Q60" i="4"/>
  <c r="P60" i="4"/>
  <c r="O60" i="4"/>
  <c r="N60" i="4"/>
  <c r="M60" i="4"/>
  <c r="L60" i="4"/>
  <c r="K60" i="4"/>
  <c r="J60" i="4"/>
  <c r="I60" i="4"/>
  <c r="H60" i="4"/>
  <c r="G60" i="4"/>
  <c r="F60" i="4"/>
  <c r="E60" i="4"/>
  <c r="D60" i="4"/>
  <c r="C60" i="4"/>
  <c r="B60" i="4"/>
  <c r="W59" i="4" a="1"/>
  <c r="W59" i="4" s="1"/>
  <c r="X59" i="4" s="1"/>
  <c r="V59" i="4" a="1"/>
  <c r="V59" i="4" s="1"/>
  <c r="U59" i="4"/>
  <c r="T59" i="4"/>
  <c r="S59" i="4"/>
  <c r="R59" i="4"/>
  <c r="M59" i="4"/>
  <c r="L59" i="4"/>
  <c r="K59" i="4"/>
  <c r="J59" i="4"/>
  <c r="I59" i="4"/>
  <c r="H59" i="4"/>
  <c r="G59" i="4"/>
  <c r="F59" i="4"/>
  <c r="C59" i="4"/>
  <c r="B59" i="4"/>
  <c r="W58" i="4" a="1"/>
  <c r="W58" i="4" s="1"/>
  <c r="X58" i="4" s="1"/>
  <c r="V58" i="4" a="1"/>
  <c r="V58" i="4" s="1"/>
  <c r="U58" i="4"/>
  <c r="T58" i="4"/>
  <c r="S58" i="4"/>
  <c r="R58" i="4"/>
  <c r="Q58" i="4"/>
  <c r="P58" i="4"/>
  <c r="O58" i="4"/>
  <c r="N58" i="4"/>
  <c r="M58" i="4"/>
  <c r="L58" i="4"/>
  <c r="K58" i="4"/>
  <c r="J58" i="4"/>
  <c r="I58" i="4"/>
  <c r="H58" i="4"/>
  <c r="G58" i="4"/>
  <c r="F58" i="4"/>
  <c r="E58" i="4"/>
  <c r="D58" i="4"/>
  <c r="C58" i="4"/>
  <c r="B58" i="4"/>
  <c r="W57" i="4" a="1"/>
  <c r="W57" i="4" s="1"/>
  <c r="X57" i="4" s="1"/>
  <c r="V57" i="4" a="1"/>
  <c r="V57" i="4" s="1"/>
  <c r="U57" i="4"/>
  <c r="T57" i="4"/>
  <c r="S57" i="4"/>
  <c r="R57" i="4"/>
  <c r="Q57" i="4"/>
  <c r="P57" i="4"/>
  <c r="O57" i="4"/>
  <c r="N57" i="4"/>
  <c r="M57" i="4"/>
  <c r="L57" i="4"/>
  <c r="K57" i="4"/>
  <c r="J57" i="4"/>
  <c r="I57" i="4"/>
  <c r="H57" i="4"/>
  <c r="G57" i="4"/>
  <c r="F57" i="4"/>
  <c r="E57" i="4"/>
  <c r="D57" i="4"/>
  <c r="C57" i="4"/>
  <c r="B57" i="4"/>
  <c r="W56" i="4" a="1"/>
  <c r="W56" i="4" s="1"/>
  <c r="X56" i="4" s="1"/>
  <c r="V56" i="4" a="1"/>
  <c r="V56" i="4" s="1"/>
  <c r="U56" i="4"/>
  <c r="T56" i="4"/>
  <c r="S56" i="4"/>
  <c r="R56" i="4"/>
  <c r="Q56" i="4"/>
  <c r="P56" i="4"/>
  <c r="O56" i="4"/>
  <c r="N56" i="4"/>
  <c r="M56" i="4"/>
  <c r="L56" i="4"/>
  <c r="K56" i="4"/>
  <c r="J56" i="4"/>
  <c r="I56" i="4"/>
  <c r="H56" i="4"/>
  <c r="G56" i="4"/>
  <c r="F56" i="4"/>
  <c r="E56" i="4"/>
  <c r="D56" i="4"/>
  <c r="C56" i="4"/>
  <c r="B56" i="4"/>
  <c r="W55" i="4" a="1"/>
  <c r="W55" i="4" s="1"/>
  <c r="X55" i="4" s="1"/>
  <c r="V55" i="4" a="1"/>
  <c r="V55" i="4" s="1"/>
  <c r="U55" i="4"/>
  <c r="T55" i="4"/>
  <c r="S55" i="4"/>
  <c r="R55" i="4"/>
  <c r="Q55" i="4"/>
  <c r="P55" i="4"/>
  <c r="O55" i="4"/>
  <c r="N55" i="4"/>
  <c r="M55" i="4"/>
  <c r="L55" i="4"/>
  <c r="K55" i="4"/>
  <c r="J55" i="4"/>
  <c r="I55" i="4"/>
  <c r="H55" i="4"/>
  <c r="G55" i="4"/>
  <c r="F55" i="4"/>
  <c r="E55" i="4"/>
  <c r="D55" i="4"/>
  <c r="C55" i="4"/>
  <c r="B55" i="4"/>
  <c r="W54" i="4" a="1"/>
  <c r="W54" i="4" s="1"/>
  <c r="X54" i="4" s="1"/>
  <c r="V54" i="4" a="1"/>
  <c r="V54" i="4" s="1"/>
  <c r="U54" i="4"/>
  <c r="T54" i="4"/>
  <c r="S54" i="4"/>
  <c r="R54" i="4"/>
  <c r="Q54" i="4"/>
  <c r="P54" i="4"/>
  <c r="O54" i="4"/>
  <c r="N54" i="4"/>
  <c r="M54" i="4"/>
  <c r="L54" i="4"/>
  <c r="K54" i="4"/>
  <c r="J54" i="4"/>
  <c r="I54" i="4"/>
  <c r="H54" i="4"/>
  <c r="G54" i="4"/>
  <c r="F54" i="4"/>
  <c r="E54" i="4"/>
  <c r="D54" i="4"/>
  <c r="C54" i="4"/>
  <c r="B54" i="4"/>
  <c r="W53" i="4" a="1"/>
  <c r="W53" i="4" s="1"/>
  <c r="X53" i="4" s="1"/>
  <c r="V53" i="4" a="1"/>
  <c r="V53" i="4" s="1"/>
  <c r="U53" i="4"/>
  <c r="T53" i="4"/>
  <c r="S53" i="4"/>
  <c r="R53" i="4"/>
  <c r="Q53" i="4"/>
  <c r="P53" i="4"/>
  <c r="O53" i="4"/>
  <c r="N53" i="4"/>
  <c r="M53" i="4"/>
  <c r="L53" i="4"/>
  <c r="K53" i="4"/>
  <c r="J53" i="4"/>
  <c r="I53" i="4"/>
  <c r="H53" i="4"/>
  <c r="G53" i="4"/>
  <c r="F53" i="4"/>
  <c r="E53" i="4"/>
  <c r="D53" i="4"/>
  <c r="C53" i="4"/>
  <c r="B53" i="4"/>
  <c r="W52" i="4" a="1"/>
  <c r="W52" i="4" s="1"/>
  <c r="X52" i="4" s="1"/>
  <c r="V52" i="4" a="1"/>
  <c r="V52" i="4" s="1"/>
  <c r="U52" i="4"/>
  <c r="T52" i="4"/>
  <c r="S52" i="4"/>
  <c r="R52" i="4"/>
  <c r="Q52" i="4"/>
  <c r="P52" i="4"/>
  <c r="O52" i="4"/>
  <c r="N52" i="4"/>
  <c r="M52" i="4"/>
  <c r="L52" i="4"/>
  <c r="K52" i="4"/>
  <c r="J52" i="4"/>
  <c r="I52" i="4"/>
  <c r="H52" i="4"/>
  <c r="G52" i="4"/>
  <c r="F52" i="4"/>
  <c r="E52" i="4"/>
  <c r="D52" i="4"/>
  <c r="C52" i="4"/>
  <c r="B52" i="4"/>
  <c r="W51" i="4" a="1"/>
  <c r="W51" i="4" s="1"/>
  <c r="X51" i="4" s="1"/>
  <c r="V51" i="4" a="1"/>
  <c r="V51" i="4" s="1"/>
  <c r="U51" i="4"/>
  <c r="T51" i="4"/>
  <c r="S51" i="4"/>
  <c r="R51" i="4"/>
  <c r="Q51" i="4"/>
  <c r="P51" i="4"/>
  <c r="O51" i="4"/>
  <c r="N51" i="4"/>
  <c r="M51" i="4"/>
  <c r="L51" i="4"/>
  <c r="K51" i="4"/>
  <c r="J51" i="4"/>
  <c r="I51" i="4"/>
  <c r="H51" i="4"/>
  <c r="G51" i="4"/>
  <c r="F51" i="4"/>
  <c r="E51" i="4"/>
  <c r="D51" i="4"/>
  <c r="C51" i="4"/>
  <c r="B51" i="4"/>
  <c r="W50" i="4" a="1"/>
  <c r="W50" i="4" s="1"/>
  <c r="X50" i="4" s="1"/>
  <c r="V50" i="4" a="1"/>
  <c r="V50" i="4" s="1"/>
  <c r="U50" i="4"/>
  <c r="T50" i="4"/>
  <c r="S50" i="4"/>
  <c r="R50" i="4"/>
  <c r="Q50" i="4"/>
  <c r="P50" i="4"/>
  <c r="O50" i="4"/>
  <c r="N50" i="4"/>
  <c r="M50" i="4"/>
  <c r="L50" i="4"/>
  <c r="K50" i="4"/>
  <c r="J50" i="4"/>
  <c r="I50" i="4"/>
  <c r="H50" i="4"/>
  <c r="G50" i="4"/>
  <c r="F50" i="4"/>
  <c r="E50" i="4"/>
  <c r="D50" i="4"/>
  <c r="C50" i="4"/>
  <c r="B50" i="4"/>
  <c r="W49" i="4" a="1"/>
  <c r="W49" i="4" s="1"/>
  <c r="X49" i="4" s="1"/>
  <c r="V49" i="4" a="1"/>
  <c r="V49" i="4" s="1"/>
  <c r="U49" i="4"/>
  <c r="T49" i="4"/>
  <c r="S49" i="4"/>
  <c r="R49" i="4"/>
  <c r="Q49" i="4"/>
  <c r="P49" i="4"/>
  <c r="O49" i="4"/>
  <c r="N49" i="4"/>
  <c r="M49" i="4"/>
  <c r="L49" i="4"/>
  <c r="K49" i="4"/>
  <c r="J49" i="4"/>
  <c r="I49" i="4"/>
  <c r="H49" i="4"/>
  <c r="G49" i="4"/>
  <c r="F49" i="4"/>
  <c r="E49" i="4"/>
  <c r="D49" i="4"/>
  <c r="C49" i="4"/>
  <c r="B49" i="4"/>
  <c r="W48" i="4" a="1"/>
  <c r="W48" i="4" s="1"/>
  <c r="X48" i="4" s="1"/>
  <c r="V48" i="4" a="1"/>
  <c r="V48" i="4" s="1"/>
  <c r="U48" i="4"/>
  <c r="T48" i="4"/>
  <c r="S48" i="4"/>
  <c r="R48" i="4"/>
  <c r="Q48" i="4"/>
  <c r="P48" i="4"/>
  <c r="O48" i="4"/>
  <c r="N48" i="4"/>
  <c r="M48" i="4"/>
  <c r="L48" i="4"/>
  <c r="K48" i="4"/>
  <c r="J48" i="4"/>
  <c r="I48" i="4"/>
  <c r="H48" i="4"/>
  <c r="G48" i="4"/>
  <c r="F48" i="4"/>
  <c r="E48" i="4"/>
  <c r="D48" i="4"/>
  <c r="C48" i="4"/>
  <c r="B48" i="4"/>
  <c r="W47" i="4" a="1"/>
  <c r="W47" i="4" s="1"/>
  <c r="X47" i="4" s="1"/>
  <c r="V47" i="4" a="1"/>
  <c r="V47" i="4" s="1"/>
  <c r="U47" i="4"/>
  <c r="T47" i="4"/>
  <c r="S47" i="4"/>
  <c r="R47" i="4"/>
  <c r="Q47" i="4"/>
  <c r="P47" i="4"/>
  <c r="O47" i="4"/>
  <c r="N47" i="4"/>
  <c r="M47" i="4"/>
  <c r="L47" i="4"/>
  <c r="K47" i="4"/>
  <c r="J47" i="4"/>
  <c r="I47" i="4"/>
  <c r="H47" i="4"/>
  <c r="G47" i="4"/>
  <c r="F47" i="4"/>
  <c r="E47" i="4"/>
  <c r="D47" i="4"/>
  <c r="C47" i="4"/>
  <c r="B47" i="4"/>
  <c r="W46" i="4" a="1"/>
  <c r="W46" i="4" s="1"/>
  <c r="X46" i="4" s="1"/>
  <c r="V46" i="4" a="1"/>
  <c r="V46" i="4" s="1"/>
  <c r="U46" i="4"/>
  <c r="T46" i="4"/>
  <c r="S46" i="4"/>
  <c r="R46" i="4"/>
  <c r="Q46" i="4"/>
  <c r="P46" i="4"/>
  <c r="O46" i="4"/>
  <c r="N46" i="4"/>
  <c r="M46" i="4"/>
  <c r="L46" i="4"/>
  <c r="K46" i="4"/>
  <c r="J46" i="4"/>
  <c r="I46" i="4"/>
  <c r="H46" i="4"/>
  <c r="G46" i="4"/>
  <c r="F46" i="4"/>
  <c r="E46" i="4"/>
  <c r="D46" i="4"/>
  <c r="C46" i="4"/>
  <c r="B46" i="4"/>
  <c r="W45" i="4" a="1"/>
  <c r="W45" i="4" s="1"/>
  <c r="X45" i="4" s="1"/>
  <c r="V45" i="4" a="1"/>
  <c r="V45" i="4" s="1"/>
  <c r="U45" i="4"/>
  <c r="T45" i="4"/>
  <c r="S45" i="4"/>
  <c r="R45" i="4"/>
  <c r="Q45" i="4"/>
  <c r="P45" i="4"/>
  <c r="O45" i="4"/>
  <c r="N45" i="4"/>
  <c r="M45" i="4"/>
  <c r="L45" i="4"/>
  <c r="K45" i="4"/>
  <c r="J45" i="4"/>
  <c r="I45" i="4"/>
  <c r="H45" i="4"/>
  <c r="G45" i="4"/>
  <c r="F45" i="4"/>
  <c r="E45" i="4"/>
  <c r="D45" i="4"/>
  <c r="C45" i="4"/>
  <c r="B45" i="4"/>
  <c r="W44" i="4" a="1"/>
  <c r="W44" i="4" s="1"/>
  <c r="X44" i="4" s="1"/>
  <c r="V44" i="4" a="1"/>
  <c r="V44" i="4" s="1"/>
  <c r="U44" i="4"/>
  <c r="T44" i="4"/>
  <c r="S44" i="4"/>
  <c r="R44" i="4"/>
  <c r="Q44" i="4"/>
  <c r="P44" i="4"/>
  <c r="O44" i="4"/>
  <c r="N44" i="4"/>
  <c r="M44" i="4"/>
  <c r="L44" i="4"/>
  <c r="K44" i="4"/>
  <c r="J44" i="4"/>
  <c r="I44" i="4"/>
  <c r="H44" i="4"/>
  <c r="G44" i="4"/>
  <c r="F44" i="4"/>
  <c r="E44" i="4"/>
  <c r="D44" i="4"/>
  <c r="C44" i="4"/>
  <c r="B44" i="4"/>
  <c r="W43" i="4" a="1"/>
  <c r="W43" i="4" s="1"/>
  <c r="X43" i="4" s="1"/>
  <c r="V43" i="4" a="1"/>
  <c r="V43" i="4" s="1"/>
  <c r="U43" i="4"/>
  <c r="T43" i="4"/>
  <c r="S43" i="4"/>
  <c r="R43" i="4"/>
  <c r="Q43" i="4"/>
  <c r="P43" i="4"/>
  <c r="O43" i="4"/>
  <c r="N43" i="4"/>
  <c r="M43" i="4"/>
  <c r="L43" i="4"/>
  <c r="K43" i="4"/>
  <c r="J43" i="4"/>
  <c r="I43" i="4"/>
  <c r="H43" i="4"/>
  <c r="G43" i="4"/>
  <c r="F43" i="4"/>
  <c r="E43" i="4"/>
  <c r="D43" i="4"/>
  <c r="C43" i="4"/>
  <c r="B43" i="4"/>
  <c r="W42" i="4" a="1"/>
  <c r="W42" i="4" s="1"/>
  <c r="X42" i="4" s="1"/>
  <c r="V42" i="4" a="1"/>
  <c r="V42" i="4" s="1"/>
  <c r="U42" i="4"/>
  <c r="T42" i="4"/>
  <c r="S42" i="4"/>
  <c r="R42" i="4"/>
  <c r="Q42" i="4"/>
  <c r="P42" i="4"/>
  <c r="O42" i="4"/>
  <c r="N42" i="4"/>
  <c r="M42" i="4"/>
  <c r="L42" i="4"/>
  <c r="K42" i="4"/>
  <c r="J42" i="4"/>
  <c r="I42" i="4"/>
  <c r="H42" i="4"/>
  <c r="G42" i="4"/>
  <c r="F42" i="4"/>
  <c r="E42" i="4"/>
  <c r="D42" i="4"/>
  <c r="C42" i="4"/>
  <c r="B42" i="4"/>
  <c r="W41" i="4" a="1"/>
  <c r="W41" i="4" s="1"/>
  <c r="X41" i="4" s="1"/>
  <c r="V41" i="4" a="1"/>
  <c r="V41" i="4" s="1"/>
  <c r="U41" i="4"/>
  <c r="T41" i="4"/>
  <c r="S41" i="4"/>
  <c r="R41" i="4"/>
  <c r="Q41" i="4"/>
  <c r="P41" i="4"/>
  <c r="O41" i="4"/>
  <c r="N41" i="4"/>
  <c r="M41" i="4"/>
  <c r="L41" i="4"/>
  <c r="K41" i="4"/>
  <c r="J41" i="4"/>
  <c r="I41" i="4"/>
  <c r="H41" i="4"/>
  <c r="G41" i="4"/>
  <c r="F41" i="4"/>
  <c r="E41" i="4"/>
  <c r="D41" i="4"/>
  <c r="C41" i="4"/>
  <c r="B41" i="4"/>
  <c r="W40" i="4" a="1"/>
  <c r="W40" i="4" s="1"/>
  <c r="X40" i="4" s="1"/>
  <c r="V40" i="4" a="1"/>
  <c r="V40" i="4" s="1"/>
  <c r="U40" i="4"/>
  <c r="T40" i="4"/>
  <c r="S40" i="4"/>
  <c r="R40" i="4"/>
  <c r="Q40" i="4"/>
  <c r="P40" i="4"/>
  <c r="O40" i="4"/>
  <c r="N40" i="4"/>
  <c r="M40" i="4"/>
  <c r="L40" i="4"/>
  <c r="K40" i="4"/>
  <c r="J40" i="4"/>
  <c r="I40" i="4"/>
  <c r="H40" i="4"/>
  <c r="G40" i="4"/>
  <c r="F40" i="4"/>
  <c r="E40" i="4"/>
  <c r="D40" i="4"/>
  <c r="C40" i="4"/>
  <c r="B40" i="4"/>
  <c r="W39" i="4" a="1"/>
  <c r="W39" i="4" s="1"/>
  <c r="X39" i="4" s="1"/>
  <c r="V39" i="4" a="1"/>
  <c r="V39" i="4" s="1"/>
  <c r="U39" i="4"/>
  <c r="T39" i="4"/>
  <c r="S39" i="4"/>
  <c r="R39" i="4"/>
  <c r="Q39" i="4"/>
  <c r="P39" i="4"/>
  <c r="O39" i="4"/>
  <c r="N39" i="4"/>
  <c r="M39" i="4"/>
  <c r="L39" i="4"/>
  <c r="K39" i="4"/>
  <c r="J39" i="4"/>
  <c r="I39" i="4"/>
  <c r="H39" i="4"/>
  <c r="G39" i="4"/>
  <c r="F39" i="4"/>
  <c r="E39" i="4"/>
  <c r="D39" i="4"/>
  <c r="C39" i="4"/>
  <c r="B39" i="4"/>
  <c r="W38" i="4" a="1"/>
  <c r="W38" i="4" s="1"/>
  <c r="X38" i="4" s="1"/>
  <c r="V38" i="4" a="1"/>
  <c r="V38" i="4" s="1"/>
  <c r="U38" i="4"/>
  <c r="T38" i="4"/>
  <c r="S38" i="4"/>
  <c r="R38" i="4"/>
  <c r="Q38" i="4"/>
  <c r="P38" i="4"/>
  <c r="O38" i="4"/>
  <c r="N38" i="4"/>
  <c r="M38" i="4"/>
  <c r="L38" i="4"/>
  <c r="K38" i="4"/>
  <c r="J38" i="4"/>
  <c r="I38" i="4"/>
  <c r="H38" i="4"/>
  <c r="G38" i="4"/>
  <c r="F38" i="4"/>
  <c r="E38" i="4"/>
  <c r="D38" i="4"/>
  <c r="C38" i="4"/>
  <c r="B38" i="4"/>
  <c r="W37" i="4" a="1"/>
  <c r="W37" i="4" s="1"/>
  <c r="X37" i="4" s="1"/>
  <c r="Z37" i="4" s="1"/>
  <c r="V37" i="4" a="1"/>
  <c r="V37" i="4" s="1"/>
  <c r="U37" i="4"/>
  <c r="T37" i="4"/>
  <c r="S37" i="4"/>
  <c r="R37" i="4"/>
  <c r="Q37" i="4"/>
  <c r="P37" i="4"/>
  <c r="O37" i="4"/>
  <c r="N37" i="4"/>
  <c r="M37" i="4"/>
  <c r="L37" i="4"/>
  <c r="K37" i="4"/>
  <c r="J37" i="4"/>
  <c r="I37" i="4"/>
  <c r="H37" i="4"/>
  <c r="G37" i="4"/>
  <c r="F37" i="4"/>
  <c r="E37" i="4"/>
  <c r="D37" i="4"/>
  <c r="C37" i="4"/>
  <c r="B37" i="4"/>
  <c r="W36" i="4" a="1"/>
  <c r="W36" i="4" s="1"/>
  <c r="X36" i="4" s="1"/>
  <c r="Z36" i="4" s="1"/>
  <c r="V36" i="4" a="1"/>
  <c r="V36" i="4" s="1"/>
  <c r="U36" i="4"/>
  <c r="T36" i="4"/>
  <c r="S36" i="4"/>
  <c r="R36" i="4"/>
  <c r="Q36" i="4"/>
  <c r="P36" i="4"/>
  <c r="M36" i="4"/>
  <c r="L36" i="4"/>
  <c r="K36" i="4"/>
  <c r="J36" i="4"/>
  <c r="I36" i="4"/>
  <c r="H36" i="4"/>
  <c r="G36" i="4"/>
  <c r="F36" i="4"/>
  <c r="E36" i="4"/>
  <c r="D36" i="4"/>
  <c r="C36" i="4"/>
  <c r="B36" i="4"/>
  <c r="W35" i="4" a="1"/>
  <c r="W35" i="4" s="1"/>
  <c r="X35" i="4" s="1"/>
  <c r="Z35" i="4" s="1"/>
  <c r="V35" i="4" a="1"/>
  <c r="V35" i="4" s="1"/>
  <c r="U35" i="4"/>
  <c r="T35" i="4"/>
  <c r="S35" i="4"/>
  <c r="R35" i="4"/>
  <c r="Q35" i="4"/>
  <c r="P35" i="4"/>
  <c r="O35" i="4"/>
  <c r="N35" i="4"/>
  <c r="M35" i="4"/>
  <c r="L35" i="4"/>
  <c r="K35" i="4"/>
  <c r="J35" i="4"/>
  <c r="I35" i="4"/>
  <c r="H35" i="4"/>
  <c r="G35" i="4"/>
  <c r="F35" i="4"/>
  <c r="E35" i="4"/>
  <c r="D35" i="4"/>
  <c r="C35" i="4"/>
  <c r="B35" i="4"/>
  <c r="W34" i="4" a="1"/>
  <c r="W34" i="4" s="1"/>
  <c r="X34" i="4" s="1"/>
  <c r="Z34" i="4" s="1"/>
  <c r="V34" i="4" a="1"/>
  <c r="V34" i="4" s="1"/>
  <c r="U34" i="4"/>
  <c r="T34" i="4"/>
  <c r="S34" i="4"/>
  <c r="R34" i="4"/>
  <c r="Q34" i="4"/>
  <c r="P34" i="4"/>
  <c r="O34" i="4"/>
  <c r="N34" i="4"/>
  <c r="M34" i="4"/>
  <c r="L34" i="4"/>
  <c r="K34" i="4"/>
  <c r="J34" i="4"/>
  <c r="I34" i="4"/>
  <c r="H34" i="4"/>
  <c r="G34" i="4"/>
  <c r="F34" i="4"/>
  <c r="E34" i="4"/>
  <c r="D34" i="4"/>
  <c r="C34" i="4"/>
  <c r="B34" i="4"/>
  <c r="W33" i="4" a="1"/>
  <c r="W33" i="4" s="1"/>
  <c r="X33" i="4" s="1"/>
  <c r="Z33" i="4" s="1"/>
  <c r="V33" i="4" a="1"/>
  <c r="V33" i="4" s="1"/>
  <c r="U33" i="4"/>
  <c r="T33" i="4"/>
  <c r="S33" i="4"/>
  <c r="R33" i="4"/>
  <c r="Q33" i="4"/>
  <c r="P33" i="4"/>
  <c r="O33" i="4"/>
  <c r="N33" i="4"/>
  <c r="M33" i="4"/>
  <c r="L33" i="4"/>
  <c r="K33" i="4"/>
  <c r="J33" i="4"/>
  <c r="I33" i="4"/>
  <c r="H33" i="4"/>
  <c r="G33" i="4"/>
  <c r="F33" i="4"/>
  <c r="E33" i="4"/>
  <c r="D33" i="4"/>
  <c r="C33" i="4"/>
  <c r="B33" i="4"/>
  <c r="W32" i="4" a="1"/>
  <c r="W32" i="4" s="1"/>
  <c r="X32" i="4" s="1"/>
  <c r="Z32" i="4" s="1"/>
  <c r="V32" i="4" a="1"/>
  <c r="V32" i="4" s="1"/>
  <c r="U32" i="4"/>
  <c r="T32" i="4"/>
  <c r="S32" i="4"/>
  <c r="R32" i="4"/>
  <c r="Q32" i="4"/>
  <c r="P32" i="4"/>
  <c r="O32" i="4"/>
  <c r="N32" i="4"/>
  <c r="M32" i="4"/>
  <c r="L32" i="4"/>
  <c r="K32" i="4"/>
  <c r="J32" i="4"/>
  <c r="I32" i="4"/>
  <c r="H32" i="4"/>
  <c r="G32" i="4"/>
  <c r="F32" i="4"/>
  <c r="E32" i="4"/>
  <c r="D32" i="4"/>
  <c r="C32" i="4"/>
  <c r="B32" i="4"/>
  <c r="W31" i="4" a="1"/>
  <c r="W31" i="4" s="1"/>
  <c r="X31" i="4" s="1"/>
  <c r="Z31" i="4" s="1"/>
  <c r="V31" i="4" a="1"/>
  <c r="V31" i="4" s="1"/>
  <c r="U31" i="4"/>
  <c r="T31" i="4"/>
  <c r="S31" i="4"/>
  <c r="R31" i="4"/>
  <c r="Q31" i="4"/>
  <c r="P31" i="4"/>
  <c r="O31" i="4"/>
  <c r="N31" i="4"/>
  <c r="M31" i="4"/>
  <c r="L31" i="4"/>
  <c r="K31" i="4"/>
  <c r="J31" i="4"/>
  <c r="I31" i="4"/>
  <c r="H31" i="4"/>
  <c r="G31" i="4"/>
  <c r="F31" i="4"/>
  <c r="E31" i="4"/>
  <c r="D31" i="4"/>
  <c r="C31" i="4"/>
  <c r="B31" i="4"/>
  <c r="W30" i="4" a="1"/>
  <c r="W30" i="4" s="1"/>
  <c r="X30" i="4" s="1"/>
  <c r="Z30" i="4" s="1"/>
  <c r="V30" i="4" a="1"/>
  <c r="V30" i="4" s="1"/>
  <c r="U30" i="4"/>
  <c r="T30" i="4"/>
  <c r="S30" i="4"/>
  <c r="R30" i="4"/>
  <c r="Q30" i="4"/>
  <c r="P30" i="4"/>
  <c r="O30" i="4"/>
  <c r="N30" i="4"/>
  <c r="M30" i="4"/>
  <c r="L30" i="4"/>
  <c r="K30" i="4"/>
  <c r="J30" i="4"/>
  <c r="I30" i="4"/>
  <c r="H30" i="4"/>
  <c r="G30" i="4"/>
  <c r="F30" i="4"/>
  <c r="E30" i="4"/>
  <c r="D30" i="4"/>
  <c r="C30" i="4"/>
  <c r="B30" i="4"/>
  <c r="W29" i="4" a="1"/>
  <c r="W29" i="4" s="1"/>
  <c r="X29" i="4" s="1"/>
  <c r="Z29" i="4" s="1"/>
  <c r="V29" i="4" a="1"/>
  <c r="V29" i="4" s="1"/>
  <c r="U29" i="4"/>
  <c r="T29" i="4"/>
  <c r="S29" i="4"/>
  <c r="R29" i="4"/>
  <c r="Q29" i="4"/>
  <c r="P29" i="4"/>
  <c r="O29" i="4"/>
  <c r="N29" i="4"/>
  <c r="M29" i="4"/>
  <c r="L29" i="4"/>
  <c r="K29" i="4"/>
  <c r="J29" i="4"/>
  <c r="I29" i="4"/>
  <c r="H29" i="4"/>
  <c r="G29" i="4"/>
  <c r="F29" i="4"/>
  <c r="E29" i="4"/>
  <c r="D29" i="4"/>
  <c r="C29" i="4"/>
  <c r="B29" i="4"/>
  <c r="W28" i="4" a="1"/>
  <c r="W28" i="4" s="1"/>
  <c r="X28" i="4" s="1"/>
  <c r="Z28" i="4" s="1"/>
  <c r="V28" i="4" a="1"/>
  <c r="V28" i="4" s="1"/>
  <c r="U28" i="4"/>
  <c r="T28" i="4"/>
  <c r="S28" i="4"/>
  <c r="R28" i="4"/>
  <c r="Q28" i="4"/>
  <c r="P28" i="4"/>
  <c r="O28" i="4"/>
  <c r="N28" i="4"/>
  <c r="M28" i="4"/>
  <c r="L28" i="4"/>
  <c r="K28" i="4"/>
  <c r="J28" i="4"/>
  <c r="I28" i="4"/>
  <c r="H28" i="4"/>
  <c r="G28" i="4"/>
  <c r="F28" i="4"/>
  <c r="E28" i="4"/>
  <c r="D28" i="4"/>
  <c r="C28" i="4"/>
  <c r="B28" i="4"/>
  <c r="W27" i="4" a="1"/>
  <c r="W27" i="4" s="1"/>
  <c r="X27" i="4" s="1"/>
  <c r="Z27" i="4" s="1"/>
  <c r="V27" i="4" a="1"/>
  <c r="V27" i="4" s="1"/>
  <c r="U27" i="4"/>
  <c r="T27" i="4"/>
  <c r="S27" i="4"/>
  <c r="R27" i="4"/>
  <c r="Q27" i="4"/>
  <c r="P27" i="4"/>
  <c r="O27" i="4"/>
  <c r="N27" i="4"/>
  <c r="M27" i="4"/>
  <c r="L27" i="4"/>
  <c r="K27" i="4"/>
  <c r="J27" i="4"/>
  <c r="I27" i="4"/>
  <c r="H27" i="4"/>
  <c r="G27" i="4"/>
  <c r="F27" i="4"/>
  <c r="E27" i="4"/>
  <c r="D27" i="4"/>
  <c r="C27" i="4"/>
  <c r="B27" i="4"/>
  <c r="W26" i="4" a="1"/>
  <c r="W26" i="4" s="1"/>
  <c r="X26" i="4" s="1"/>
  <c r="Z26" i="4" s="1"/>
  <c r="V26" i="4" a="1"/>
  <c r="V26" i="4" s="1"/>
  <c r="U26" i="4"/>
  <c r="T26" i="4"/>
  <c r="S26" i="4"/>
  <c r="R26" i="4"/>
  <c r="Q26" i="4"/>
  <c r="P26" i="4"/>
  <c r="O26" i="4"/>
  <c r="N26" i="4"/>
  <c r="M26" i="4"/>
  <c r="L26" i="4"/>
  <c r="K26" i="4"/>
  <c r="J26" i="4"/>
  <c r="I26" i="4"/>
  <c r="H26" i="4"/>
  <c r="G26" i="4"/>
  <c r="F26" i="4"/>
  <c r="E26" i="4"/>
  <c r="D26" i="4"/>
  <c r="C26" i="4"/>
  <c r="B26" i="4"/>
  <c r="W25" i="4" a="1"/>
  <c r="W25" i="4" s="1"/>
  <c r="X25" i="4" s="1"/>
  <c r="V25" i="4" a="1"/>
  <c r="V25" i="4" s="1"/>
  <c r="U25" i="4"/>
  <c r="T25" i="4"/>
  <c r="S25" i="4"/>
  <c r="R25" i="4"/>
  <c r="Q25" i="4"/>
  <c r="P25" i="4"/>
  <c r="O25" i="4"/>
  <c r="N25" i="4"/>
  <c r="M25" i="4"/>
  <c r="L25" i="4"/>
  <c r="K25" i="4"/>
  <c r="J25" i="4"/>
  <c r="I25" i="4"/>
  <c r="H25" i="4"/>
  <c r="G25" i="4"/>
  <c r="F25" i="4"/>
  <c r="E25" i="4"/>
  <c r="D25" i="4"/>
  <c r="C25" i="4"/>
  <c r="B25" i="4"/>
  <c r="W24" i="4" a="1"/>
  <c r="W24" i="4" s="1"/>
  <c r="X24" i="4" s="1"/>
  <c r="V24" i="4" a="1"/>
  <c r="V24" i="4" s="1"/>
  <c r="U24" i="4"/>
  <c r="T24" i="4"/>
  <c r="S24" i="4"/>
  <c r="R24" i="4"/>
  <c r="Q24" i="4"/>
  <c r="P24" i="4"/>
  <c r="O24" i="4"/>
  <c r="N24" i="4"/>
  <c r="M24" i="4"/>
  <c r="L24" i="4"/>
  <c r="K24" i="4"/>
  <c r="J24" i="4"/>
  <c r="I24" i="4"/>
  <c r="H24" i="4"/>
  <c r="G24" i="4"/>
  <c r="F24" i="4"/>
  <c r="E24" i="4"/>
  <c r="D24" i="4"/>
  <c r="C24" i="4"/>
  <c r="B24" i="4"/>
  <c r="W23" i="4" a="1"/>
  <c r="W23" i="4" s="1"/>
  <c r="X23" i="4" s="1"/>
  <c r="V23" i="4" a="1"/>
  <c r="V23" i="4" s="1"/>
  <c r="U23" i="4"/>
  <c r="T23" i="4"/>
  <c r="S23" i="4"/>
  <c r="R23" i="4"/>
  <c r="Q23" i="4"/>
  <c r="P23" i="4"/>
  <c r="O23" i="4"/>
  <c r="N23" i="4"/>
  <c r="M23" i="4"/>
  <c r="L23" i="4"/>
  <c r="K23" i="4"/>
  <c r="J23" i="4"/>
  <c r="I23" i="4"/>
  <c r="H23" i="4"/>
  <c r="G23" i="4"/>
  <c r="F23" i="4"/>
  <c r="E23" i="4"/>
  <c r="D23" i="4"/>
  <c r="C23" i="4"/>
  <c r="B23" i="4"/>
  <c r="W22" i="4" a="1"/>
  <c r="W22" i="4" s="1"/>
  <c r="X22" i="4" s="1"/>
  <c r="V22" i="4" a="1"/>
  <c r="V22" i="4" s="1"/>
  <c r="U22" i="4"/>
  <c r="T22" i="4"/>
  <c r="S22" i="4"/>
  <c r="R22" i="4"/>
  <c r="Q22" i="4"/>
  <c r="P22" i="4"/>
  <c r="O22" i="4"/>
  <c r="N22" i="4"/>
  <c r="M22" i="4"/>
  <c r="L22" i="4"/>
  <c r="K22" i="4"/>
  <c r="J22" i="4"/>
  <c r="I22" i="4"/>
  <c r="H22" i="4"/>
  <c r="G22" i="4"/>
  <c r="F22" i="4"/>
  <c r="E22" i="4"/>
  <c r="D22" i="4"/>
  <c r="C22" i="4"/>
  <c r="B22" i="4"/>
  <c r="W21" i="4" a="1"/>
  <c r="W21" i="4" s="1"/>
  <c r="X21" i="4" s="1"/>
  <c r="V21" i="4" a="1"/>
  <c r="V21" i="4" s="1"/>
  <c r="U21" i="4"/>
  <c r="T21" i="4"/>
  <c r="S21" i="4"/>
  <c r="R21" i="4"/>
  <c r="Q21" i="4"/>
  <c r="P21" i="4"/>
  <c r="O21" i="4"/>
  <c r="N21" i="4"/>
  <c r="M21" i="4"/>
  <c r="L21" i="4"/>
  <c r="K21" i="4"/>
  <c r="J21" i="4"/>
  <c r="I21" i="4"/>
  <c r="H21" i="4"/>
  <c r="G21" i="4"/>
  <c r="F21" i="4"/>
  <c r="E21" i="4"/>
  <c r="D21" i="4"/>
  <c r="C21" i="4"/>
  <c r="B21" i="4"/>
  <c r="W20" i="4" a="1"/>
  <c r="W20" i="4" s="1"/>
  <c r="X20" i="4" s="1"/>
  <c r="V20" i="4" a="1"/>
  <c r="V20" i="4" s="1"/>
  <c r="U20" i="4"/>
  <c r="T20" i="4"/>
  <c r="S20" i="4"/>
  <c r="R20" i="4"/>
  <c r="Q20" i="4"/>
  <c r="P20" i="4"/>
  <c r="O20" i="4"/>
  <c r="N20" i="4"/>
  <c r="M20" i="4"/>
  <c r="L20" i="4"/>
  <c r="K20" i="4"/>
  <c r="J20" i="4"/>
  <c r="I20" i="4"/>
  <c r="H20" i="4"/>
  <c r="G20" i="4"/>
  <c r="F20" i="4"/>
  <c r="E20" i="4"/>
  <c r="D20" i="4"/>
  <c r="C20" i="4"/>
  <c r="B20" i="4"/>
  <c r="W19" i="4" a="1"/>
  <c r="W19" i="4" s="1"/>
  <c r="X19" i="4" s="1"/>
  <c r="Z19" i="4" s="1"/>
  <c r="V19" i="4" a="1"/>
  <c r="V19" i="4" s="1"/>
  <c r="U19" i="4"/>
  <c r="T19" i="4"/>
  <c r="S19" i="4"/>
  <c r="R19" i="4"/>
  <c r="Q19" i="4"/>
  <c r="P19" i="4"/>
  <c r="O19" i="4"/>
  <c r="N19" i="4"/>
  <c r="M19" i="4"/>
  <c r="L19" i="4"/>
  <c r="K19" i="4"/>
  <c r="J19" i="4"/>
  <c r="I19" i="4"/>
  <c r="H19" i="4"/>
  <c r="G19" i="4"/>
  <c r="F19" i="4"/>
  <c r="E19" i="4"/>
  <c r="D19" i="4"/>
  <c r="C19" i="4"/>
  <c r="B19" i="4"/>
  <c r="W18" i="4" a="1"/>
  <c r="W18" i="4" s="1"/>
  <c r="X18" i="4" s="1"/>
  <c r="Z18" i="4" s="1"/>
  <c r="V18" i="4" a="1"/>
  <c r="V18" i="4" s="1"/>
  <c r="U18" i="4"/>
  <c r="T18" i="4"/>
  <c r="S18" i="4"/>
  <c r="R18" i="4"/>
  <c r="Q18" i="4"/>
  <c r="P18" i="4"/>
  <c r="O18" i="4"/>
  <c r="N18" i="4"/>
  <c r="M18" i="4"/>
  <c r="L18" i="4"/>
  <c r="K18" i="4"/>
  <c r="J18" i="4"/>
  <c r="I18" i="4"/>
  <c r="H18" i="4"/>
  <c r="G18" i="4"/>
  <c r="F18" i="4"/>
  <c r="E18" i="4"/>
  <c r="D18" i="4"/>
  <c r="C18" i="4"/>
  <c r="B18" i="4"/>
  <c r="W17" i="4" a="1"/>
  <c r="W17" i="4" s="1"/>
  <c r="X17" i="4" s="1"/>
  <c r="Z17" i="4" s="1"/>
  <c r="V17" i="4" a="1"/>
  <c r="V17" i="4" s="1"/>
  <c r="U17" i="4"/>
  <c r="T17" i="4"/>
  <c r="S17" i="4"/>
  <c r="R17" i="4"/>
  <c r="Q17" i="4"/>
  <c r="P17" i="4"/>
  <c r="O17" i="4"/>
  <c r="N17" i="4"/>
  <c r="M17" i="4"/>
  <c r="L17" i="4"/>
  <c r="K17" i="4"/>
  <c r="J17" i="4"/>
  <c r="I17" i="4"/>
  <c r="H17" i="4"/>
  <c r="G17" i="4"/>
  <c r="F17" i="4"/>
  <c r="E17" i="4"/>
  <c r="D17" i="4"/>
  <c r="C17" i="4"/>
  <c r="B17" i="4"/>
  <c r="W16" i="4" a="1"/>
  <c r="W16" i="4" s="1"/>
  <c r="X16" i="4" s="1"/>
  <c r="Z16" i="4" s="1"/>
  <c r="V16" i="4" a="1"/>
  <c r="V16" i="4" s="1"/>
  <c r="U16" i="4"/>
  <c r="T16" i="4"/>
  <c r="S16" i="4"/>
  <c r="R16" i="4"/>
  <c r="Q16" i="4"/>
  <c r="P16" i="4"/>
  <c r="O16" i="4"/>
  <c r="N16" i="4"/>
  <c r="M16" i="4"/>
  <c r="L16" i="4"/>
  <c r="K16" i="4"/>
  <c r="J16" i="4"/>
  <c r="I16" i="4"/>
  <c r="H16" i="4"/>
  <c r="G16" i="4"/>
  <c r="F16" i="4"/>
  <c r="E16" i="4"/>
  <c r="D16" i="4"/>
  <c r="C16" i="4"/>
  <c r="B16" i="4"/>
  <c r="W15" i="4" a="1"/>
  <c r="W15" i="4" s="1"/>
  <c r="X15" i="4" s="1"/>
  <c r="Z15" i="4" s="1"/>
  <c r="V15" i="4" a="1"/>
  <c r="V15" i="4" s="1"/>
  <c r="U15" i="4"/>
  <c r="T15" i="4"/>
  <c r="S15" i="4"/>
  <c r="R15" i="4"/>
  <c r="Q15" i="4"/>
  <c r="P15" i="4"/>
  <c r="O15" i="4"/>
  <c r="N15" i="4"/>
  <c r="M15" i="4"/>
  <c r="L15" i="4"/>
  <c r="K15" i="4"/>
  <c r="J15" i="4"/>
  <c r="I15" i="4"/>
  <c r="H15" i="4"/>
  <c r="G15" i="4"/>
  <c r="F15" i="4"/>
  <c r="E15" i="4"/>
  <c r="D15" i="4"/>
  <c r="C15" i="4"/>
  <c r="B15" i="4"/>
  <c r="W14" i="4" a="1"/>
  <c r="W14" i="4" s="1"/>
  <c r="X14" i="4" s="1"/>
  <c r="Z14" i="4" s="1"/>
  <c r="V14" i="4" a="1"/>
  <c r="V14" i="4" s="1"/>
  <c r="U14" i="4"/>
  <c r="T14" i="4"/>
  <c r="S14" i="4"/>
  <c r="R14" i="4"/>
  <c r="Q14" i="4"/>
  <c r="P14" i="4"/>
  <c r="O14" i="4"/>
  <c r="N14" i="4"/>
  <c r="M14" i="4"/>
  <c r="L14" i="4"/>
  <c r="K14" i="4"/>
  <c r="J14" i="4"/>
  <c r="I14" i="4"/>
  <c r="H14" i="4"/>
  <c r="G14" i="4"/>
  <c r="F14" i="4"/>
  <c r="E14" i="4"/>
  <c r="D14" i="4"/>
  <c r="C14" i="4"/>
  <c r="B14" i="4"/>
  <c r="W13" i="4" a="1"/>
  <c r="W13" i="4" s="1"/>
  <c r="X13" i="4" s="1"/>
  <c r="V13" i="4" a="1"/>
  <c r="V13" i="4" s="1"/>
  <c r="U13" i="4"/>
  <c r="T13" i="4"/>
  <c r="S13" i="4"/>
  <c r="R13" i="4"/>
  <c r="Q13" i="4"/>
  <c r="P13" i="4"/>
  <c r="O13" i="4"/>
  <c r="N13" i="4"/>
  <c r="M13" i="4"/>
  <c r="L13" i="4"/>
  <c r="K13" i="4"/>
  <c r="J13" i="4"/>
  <c r="I13" i="4"/>
  <c r="H13" i="4"/>
  <c r="G13" i="4"/>
  <c r="F13" i="4"/>
  <c r="E13" i="4"/>
  <c r="D13" i="4"/>
  <c r="C13" i="4"/>
  <c r="B13" i="4"/>
  <c r="W12" i="4" a="1"/>
  <c r="W12" i="4" s="1"/>
  <c r="X12" i="4" s="1"/>
  <c r="V12" i="4" a="1"/>
  <c r="V12" i="4" s="1"/>
  <c r="U12" i="4"/>
  <c r="T12" i="4"/>
  <c r="S12" i="4"/>
  <c r="R12" i="4"/>
  <c r="Q12" i="4"/>
  <c r="P12" i="4"/>
  <c r="O12" i="4"/>
  <c r="N12" i="4"/>
  <c r="M12" i="4"/>
  <c r="L12" i="4"/>
  <c r="K12" i="4"/>
  <c r="J12" i="4"/>
  <c r="I12" i="4"/>
  <c r="H12" i="4"/>
  <c r="G12" i="4"/>
  <c r="F12" i="4"/>
  <c r="E12" i="4"/>
  <c r="D12" i="4"/>
  <c r="C12" i="4"/>
  <c r="B12" i="4"/>
  <c r="W11" i="4" a="1"/>
  <c r="W11" i="4" s="1"/>
  <c r="X11" i="4" s="1"/>
  <c r="V11" i="4" a="1"/>
  <c r="V11" i="4" s="1"/>
  <c r="U11" i="4"/>
  <c r="T11" i="4"/>
  <c r="S11" i="4"/>
  <c r="R11" i="4"/>
  <c r="Q11" i="4"/>
  <c r="P11" i="4"/>
  <c r="O11" i="4"/>
  <c r="N11" i="4"/>
  <c r="M11" i="4"/>
  <c r="L11" i="4"/>
  <c r="K11" i="4"/>
  <c r="J11" i="4"/>
  <c r="I11" i="4"/>
  <c r="H11" i="4"/>
  <c r="G11" i="4"/>
  <c r="F11" i="4"/>
  <c r="E11" i="4"/>
  <c r="D11" i="4"/>
  <c r="C11" i="4"/>
  <c r="B11" i="4"/>
  <c r="W10" i="4" a="1"/>
  <c r="W10" i="4" s="1"/>
  <c r="X10" i="4" s="1"/>
  <c r="V10" i="4" a="1"/>
  <c r="V10" i="4" s="1"/>
  <c r="U10" i="4"/>
  <c r="T10" i="4"/>
  <c r="S10" i="4"/>
  <c r="R10" i="4"/>
  <c r="Q10" i="4"/>
  <c r="P10" i="4"/>
  <c r="O10" i="4"/>
  <c r="N10" i="4"/>
  <c r="M10" i="4"/>
  <c r="L10" i="4"/>
  <c r="K10" i="4"/>
  <c r="J10" i="4"/>
  <c r="I10" i="4"/>
  <c r="H10" i="4"/>
  <c r="G10" i="4"/>
  <c r="F10" i="4"/>
  <c r="E10" i="4"/>
  <c r="D10" i="4"/>
  <c r="C10" i="4"/>
  <c r="B10" i="4"/>
  <c r="W9" i="4" a="1"/>
  <c r="W9" i="4" s="1"/>
  <c r="X9" i="4" s="1"/>
  <c r="V9" i="4" a="1"/>
  <c r="V9" i="4" s="1"/>
  <c r="U9" i="4"/>
  <c r="T9" i="4"/>
  <c r="S9" i="4"/>
  <c r="R9" i="4"/>
  <c r="Q9" i="4"/>
  <c r="P9" i="4"/>
  <c r="O9" i="4"/>
  <c r="N9" i="4"/>
  <c r="M9" i="4"/>
  <c r="L9" i="4"/>
  <c r="K9" i="4"/>
  <c r="J9" i="4"/>
  <c r="I9" i="4"/>
  <c r="H9" i="4"/>
  <c r="G9" i="4"/>
  <c r="F9" i="4"/>
  <c r="E9" i="4"/>
  <c r="D9" i="4"/>
  <c r="C9" i="4"/>
  <c r="B9" i="4"/>
  <c r="W8" i="4" a="1"/>
  <c r="W8" i="4" s="1"/>
  <c r="X8" i="4" s="1"/>
  <c r="V8" i="4" a="1"/>
  <c r="V8" i="4" s="1"/>
  <c r="U8" i="4"/>
  <c r="T8" i="4"/>
  <c r="S8" i="4"/>
  <c r="R8" i="4"/>
  <c r="Q8" i="4"/>
  <c r="P8" i="4"/>
  <c r="O8" i="4"/>
  <c r="N8" i="4"/>
  <c r="M8" i="4"/>
  <c r="L8" i="4"/>
  <c r="K8" i="4"/>
  <c r="J8" i="4"/>
  <c r="I8" i="4"/>
  <c r="H8" i="4"/>
  <c r="G8" i="4"/>
  <c r="F8" i="4"/>
  <c r="E8" i="4"/>
  <c r="D8" i="4"/>
  <c r="C8" i="4"/>
  <c r="B8" i="4"/>
  <c r="A8" i="4" s="1"/>
  <c r="P6" i="4"/>
  <c r="N6" i="4"/>
  <c r="L6" i="4"/>
  <c r="J6" i="4"/>
  <c r="H6" i="4"/>
  <c r="F6" i="4"/>
  <c r="D6" i="4"/>
  <c r="W1003" i="3" a="1"/>
  <c r="W1003" i="3" s="1"/>
  <c r="X1003" i="3" s="1"/>
  <c r="V1003" i="3" a="1"/>
  <c r="V1003" i="3" s="1"/>
  <c r="U1003" i="3"/>
  <c r="T1003" i="3"/>
  <c r="A1003" i="3"/>
  <c r="W1002" i="3" a="1"/>
  <c r="W1002" i="3" s="1"/>
  <c r="X1002" i="3" s="1"/>
  <c r="V1002" i="3" a="1"/>
  <c r="V1002" i="3" s="1"/>
  <c r="U1002" i="3"/>
  <c r="T1002" i="3"/>
  <c r="A1002" i="3"/>
  <c r="W1001" i="3" a="1"/>
  <c r="W1001" i="3" s="1"/>
  <c r="X1001" i="3" s="1"/>
  <c r="V1001" i="3" a="1"/>
  <c r="V1001" i="3" s="1"/>
  <c r="U1001" i="3"/>
  <c r="T1001" i="3"/>
  <c r="A1001" i="3"/>
  <c r="W1000" i="3" a="1"/>
  <c r="W1000" i="3" s="1"/>
  <c r="X1000" i="3" s="1"/>
  <c r="V1000" i="3" a="1"/>
  <c r="V1000" i="3" s="1"/>
  <c r="U1000" i="3"/>
  <c r="T1000" i="3"/>
  <c r="A1000" i="3"/>
  <c r="W999" i="3" a="1"/>
  <c r="W999" i="3" s="1"/>
  <c r="X999" i="3" s="1"/>
  <c r="V999" i="3" a="1"/>
  <c r="V999" i="3" s="1"/>
  <c r="U999" i="3"/>
  <c r="T999" i="3"/>
  <c r="A999" i="3"/>
  <c r="W998" i="3" a="1"/>
  <c r="W998" i="3" s="1"/>
  <c r="X998" i="3" s="1"/>
  <c r="V998" i="3" a="1"/>
  <c r="V998" i="3" s="1"/>
  <c r="U998" i="3"/>
  <c r="T998" i="3"/>
  <c r="A998" i="3"/>
  <c r="W997" i="3" a="1"/>
  <c r="W997" i="3" s="1"/>
  <c r="X997" i="3" s="1"/>
  <c r="V997" i="3" a="1"/>
  <c r="V997" i="3" s="1"/>
  <c r="U997" i="3"/>
  <c r="T997" i="3"/>
  <c r="A997" i="3"/>
  <c r="W996" i="3" a="1"/>
  <c r="W996" i="3" s="1"/>
  <c r="X996" i="3" s="1"/>
  <c r="V996" i="3" a="1"/>
  <c r="V996" i="3" s="1"/>
  <c r="U996" i="3"/>
  <c r="T996" i="3"/>
  <c r="A996" i="3"/>
  <c r="W995" i="3" a="1"/>
  <c r="W995" i="3" s="1"/>
  <c r="X995" i="3" s="1"/>
  <c r="V995" i="3" a="1"/>
  <c r="V995" i="3" s="1"/>
  <c r="U995" i="3"/>
  <c r="T995" i="3"/>
  <c r="A995" i="3"/>
  <c r="W994" i="3" a="1"/>
  <c r="W994" i="3" s="1"/>
  <c r="X994" i="3" s="1"/>
  <c r="V994" i="3" a="1"/>
  <c r="V994" i="3" s="1"/>
  <c r="U994" i="3"/>
  <c r="T994" i="3"/>
  <c r="A994" i="3"/>
  <c r="W993" i="3" a="1"/>
  <c r="W993" i="3" s="1"/>
  <c r="X993" i="3" s="1"/>
  <c r="V993" i="3" a="1"/>
  <c r="V993" i="3" s="1"/>
  <c r="U993" i="3"/>
  <c r="T993" i="3"/>
  <c r="A993" i="3"/>
  <c r="W992" i="3" a="1"/>
  <c r="W992" i="3" s="1"/>
  <c r="X992" i="3" s="1"/>
  <c r="V992" i="3" a="1"/>
  <c r="V992" i="3" s="1"/>
  <c r="U992" i="3"/>
  <c r="T992" i="3"/>
  <c r="A992" i="3"/>
  <c r="W991" i="3" a="1"/>
  <c r="W991" i="3" s="1"/>
  <c r="X991" i="3" s="1"/>
  <c r="V991" i="3" a="1"/>
  <c r="V991" i="3" s="1"/>
  <c r="U991" i="3"/>
  <c r="T991" i="3"/>
  <c r="A991" i="3"/>
  <c r="W990" i="3" a="1"/>
  <c r="W990" i="3" s="1"/>
  <c r="X990" i="3" s="1"/>
  <c r="V990" i="3" a="1"/>
  <c r="V990" i="3" s="1"/>
  <c r="U990" i="3"/>
  <c r="T990" i="3"/>
  <c r="A990" i="3"/>
  <c r="W989" i="3" a="1"/>
  <c r="W989" i="3" s="1"/>
  <c r="X989" i="3" s="1"/>
  <c r="V989" i="3" a="1"/>
  <c r="V989" i="3" s="1"/>
  <c r="U989" i="3"/>
  <c r="T989" i="3"/>
  <c r="A989" i="3"/>
  <c r="W988" i="3" a="1"/>
  <c r="W988" i="3" s="1"/>
  <c r="X988" i="3" s="1"/>
  <c r="V988" i="3" a="1"/>
  <c r="V988" i="3" s="1"/>
  <c r="U988" i="3"/>
  <c r="T988" i="3"/>
  <c r="A988" i="3"/>
  <c r="W987" i="3" a="1"/>
  <c r="W987" i="3" s="1"/>
  <c r="X987" i="3" s="1"/>
  <c r="V987" i="3" a="1"/>
  <c r="V987" i="3" s="1"/>
  <c r="U987" i="3"/>
  <c r="T987" i="3"/>
  <c r="A987" i="3"/>
  <c r="W986" i="3" a="1"/>
  <c r="W986" i="3" s="1"/>
  <c r="X986" i="3" s="1"/>
  <c r="V986" i="3" a="1"/>
  <c r="V986" i="3" s="1"/>
  <c r="U986" i="3"/>
  <c r="T986" i="3"/>
  <c r="A986" i="3"/>
  <c r="W985" i="3" a="1"/>
  <c r="W985" i="3" s="1"/>
  <c r="X985" i="3" s="1"/>
  <c r="V985" i="3" a="1"/>
  <c r="V985" i="3" s="1"/>
  <c r="U985" i="3"/>
  <c r="T985" i="3"/>
  <c r="A985" i="3"/>
  <c r="W984" i="3" a="1"/>
  <c r="W984" i="3" s="1"/>
  <c r="X984" i="3" s="1"/>
  <c r="V984" i="3" a="1"/>
  <c r="V984" i="3" s="1"/>
  <c r="U984" i="3"/>
  <c r="T984" i="3"/>
  <c r="A984" i="3"/>
  <c r="W983" i="3" a="1"/>
  <c r="W983" i="3" s="1"/>
  <c r="X983" i="3" s="1"/>
  <c r="V983" i="3" a="1"/>
  <c r="V983" i="3" s="1"/>
  <c r="U983" i="3"/>
  <c r="T983" i="3"/>
  <c r="A983" i="3"/>
  <c r="W982" i="3" a="1"/>
  <c r="W982" i="3" s="1"/>
  <c r="X982" i="3" s="1"/>
  <c r="V982" i="3" a="1"/>
  <c r="V982" i="3" s="1"/>
  <c r="U982" i="3"/>
  <c r="T982" i="3"/>
  <c r="A982" i="3"/>
  <c r="W981" i="3" a="1"/>
  <c r="W981" i="3" s="1"/>
  <c r="X981" i="3" s="1"/>
  <c r="V981" i="3" a="1"/>
  <c r="V981" i="3" s="1"/>
  <c r="U981" i="3"/>
  <c r="T981" i="3"/>
  <c r="A981" i="3"/>
  <c r="W980" i="3" a="1"/>
  <c r="W980" i="3" s="1"/>
  <c r="X980" i="3" s="1"/>
  <c r="V980" i="3" a="1"/>
  <c r="V980" i="3" s="1"/>
  <c r="U980" i="3"/>
  <c r="T980" i="3"/>
  <c r="A980" i="3"/>
  <c r="W979" i="3" a="1"/>
  <c r="W979" i="3" s="1"/>
  <c r="X979" i="3" s="1"/>
  <c r="V979" i="3" a="1"/>
  <c r="V979" i="3" s="1"/>
  <c r="U979" i="3"/>
  <c r="T979" i="3"/>
  <c r="A979" i="3"/>
  <c r="W978" i="3" a="1"/>
  <c r="W978" i="3" s="1"/>
  <c r="X978" i="3" s="1"/>
  <c r="V978" i="3" a="1"/>
  <c r="V978" i="3" s="1"/>
  <c r="U978" i="3"/>
  <c r="T978" i="3"/>
  <c r="A978" i="3"/>
  <c r="W977" i="3" a="1"/>
  <c r="W977" i="3" s="1"/>
  <c r="X977" i="3" s="1"/>
  <c r="V977" i="3" a="1"/>
  <c r="V977" i="3" s="1"/>
  <c r="U977" i="3"/>
  <c r="T977" i="3"/>
  <c r="A977" i="3"/>
  <c r="W976" i="3" a="1"/>
  <c r="W976" i="3" s="1"/>
  <c r="X976" i="3" s="1"/>
  <c r="V976" i="3" a="1"/>
  <c r="V976" i="3" s="1"/>
  <c r="U976" i="3"/>
  <c r="T976" i="3"/>
  <c r="A976" i="3"/>
  <c r="W975" i="3" a="1"/>
  <c r="W975" i="3" s="1"/>
  <c r="X975" i="3" s="1"/>
  <c r="V975" i="3" a="1"/>
  <c r="V975" i="3" s="1"/>
  <c r="U975" i="3"/>
  <c r="T975" i="3"/>
  <c r="A975" i="3"/>
  <c r="W974" i="3" a="1"/>
  <c r="W974" i="3" s="1"/>
  <c r="X974" i="3" s="1"/>
  <c r="V974" i="3" a="1"/>
  <c r="V974" i="3" s="1"/>
  <c r="U974" i="3"/>
  <c r="T974" i="3"/>
  <c r="A974" i="3"/>
  <c r="W973" i="3" a="1"/>
  <c r="W973" i="3" s="1"/>
  <c r="X973" i="3" s="1"/>
  <c r="V973" i="3" a="1"/>
  <c r="V973" i="3" s="1"/>
  <c r="U973" i="3"/>
  <c r="T973" i="3"/>
  <c r="A973" i="3"/>
  <c r="W972" i="3" a="1"/>
  <c r="W972" i="3" s="1"/>
  <c r="X972" i="3" s="1"/>
  <c r="V972" i="3" a="1"/>
  <c r="V972" i="3" s="1"/>
  <c r="U972" i="3"/>
  <c r="T972" i="3"/>
  <c r="A972" i="3"/>
  <c r="W971" i="3" a="1"/>
  <c r="W971" i="3" s="1"/>
  <c r="X971" i="3" s="1"/>
  <c r="V971" i="3" a="1"/>
  <c r="V971" i="3" s="1"/>
  <c r="U971" i="3"/>
  <c r="T971" i="3"/>
  <c r="A971" i="3"/>
  <c r="W970" i="3" a="1"/>
  <c r="W970" i="3" s="1"/>
  <c r="X970" i="3" s="1"/>
  <c r="V970" i="3" a="1"/>
  <c r="V970" i="3" s="1"/>
  <c r="U970" i="3"/>
  <c r="T970" i="3"/>
  <c r="A970" i="3"/>
  <c r="W969" i="3" a="1"/>
  <c r="W969" i="3" s="1"/>
  <c r="X969" i="3" s="1"/>
  <c r="V969" i="3" a="1"/>
  <c r="V969" i="3" s="1"/>
  <c r="U969" i="3"/>
  <c r="T969" i="3"/>
  <c r="A969" i="3"/>
  <c r="W968" i="3" a="1"/>
  <c r="W968" i="3" s="1"/>
  <c r="X968" i="3" s="1"/>
  <c r="V968" i="3" a="1"/>
  <c r="V968" i="3" s="1"/>
  <c r="U968" i="3"/>
  <c r="T968" i="3"/>
  <c r="A968" i="3"/>
  <c r="W967" i="3" a="1"/>
  <c r="W967" i="3" s="1"/>
  <c r="X967" i="3" s="1"/>
  <c r="V967" i="3" a="1"/>
  <c r="V967" i="3" s="1"/>
  <c r="U967" i="3"/>
  <c r="T967" i="3"/>
  <c r="A967" i="3"/>
  <c r="W966" i="3" a="1"/>
  <c r="W966" i="3" s="1"/>
  <c r="X966" i="3" s="1"/>
  <c r="V966" i="3" a="1"/>
  <c r="V966" i="3" s="1"/>
  <c r="U966" i="3"/>
  <c r="T966" i="3"/>
  <c r="A966" i="3"/>
  <c r="W965" i="3" a="1"/>
  <c r="W965" i="3" s="1"/>
  <c r="X965" i="3" s="1"/>
  <c r="V965" i="3" a="1"/>
  <c r="V965" i="3" s="1"/>
  <c r="U965" i="3"/>
  <c r="T965" i="3"/>
  <c r="A965" i="3"/>
  <c r="W964" i="3" a="1"/>
  <c r="W964" i="3" s="1"/>
  <c r="X964" i="3" s="1"/>
  <c r="V964" i="3" a="1"/>
  <c r="V964" i="3" s="1"/>
  <c r="U964" i="3"/>
  <c r="T964" i="3"/>
  <c r="A964" i="3"/>
  <c r="W963" i="3" a="1"/>
  <c r="W963" i="3" s="1"/>
  <c r="X963" i="3" s="1"/>
  <c r="V963" i="3" a="1"/>
  <c r="V963" i="3" s="1"/>
  <c r="U963" i="3"/>
  <c r="T963" i="3"/>
  <c r="A963" i="3"/>
  <c r="W962" i="3" a="1"/>
  <c r="W962" i="3" s="1"/>
  <c r="X962" i="3" s="1"/>
  <c r="V962" i="3" a="1"/>
  <c r="V962" i="3" s="1"/>
  <c r="U962" i="3"/>
  <c r="T962" i="3"/>
  <c r="A962" i="3"/>
  <c r="W961" i="3" a="1"/>
  <c r="W961" i="3" s="1"/>
  <c r="X961" i="3" s="1"/>
  <c r="V961" i="3" a="1"/>
  <c r="V961" i="3" s="1"/>
  <c r="U961" i="3"/>
  <c r="T961" i="3"/>
  <c r="A961" i="3"/>
  <c r="W960" i="3" a="1"/>
  <c r="W960" i="3" s="1"/>
  <c r="X960" i="3" s="1"/>
  <c r="V960" i="3" a="1"/>
  <c r="V960" i="3" s="1"/>
  <c r="U960" i="3"/>
  <c r="T960" i="3"/>
  <c r="A960" i="3"/>
  <c r="W959" i="3" a="1"/>
  <c r="W959" i="3" s="1"/>
  <c r="X959" i="3" s="1"/>
  <c r="V959" i="3" a="1"/>
  <c r="V959" i="3" s="1"/>
  <c r="U959" i="3"/>
  <c r="T959" i="3"/>
  <c r="A959" i="3"/>
  <c r="W958" i="3" a="1"/>
  <c r="W958" i="3" s="1"/>
  <c r="X958" i="3" s="1"/>
  <c r="V958" i="3" a="1"/>
  <c r="V958" i="3" s="1"/>
  <c r="U958" i="3"/>
  <c r="T958" i="3"/>
  <c r="A958" i="3"/>
  <c r="W957" i="3" a="1"/>
  <c r="W957" i="3" s="1"/>
  <c r="X957" i="3" s="1"/>
  <c r="V957" i="3" a="1"/>
  <c r="V957" i="3" s="1"/>
  <c r="U957" i="3"/>
  <c r="T957" i="3"/>
  <c r="A957" i="3"/>
  <c r="W956" i="3" a="1"/>
  <c r="W956" i="3" s="1"/>
  <c r="X956" i="3" s="1"/>
  <c r="V956" i="3" a="1"/>
  <c r="V956" i="3" s="1"/>
  <c r="U956" i="3"/>
  <c r="T956" i="3"/>
  <c r="A956" i="3"/>
  <c r="W955" i="3" a="1"/>
  <c r="W955" i="3" s="1"/>
  <c r="X955" i="3" s="1"/>
  <c r="V955" i="3" a="1"/>
  <c r="V955" i="3" s="1"/>
  <c r="U955" i="3"/>
  <c r="T955" i="3"/>
  <c r="A955" i="3"/>
  <c r="W954" i="3" a="1"/>
  <c r="W954" i="3" s="1"/>
  <c r="X954" i="3" s="1"/>
  <c r="V954" i="3" a="1"/>
  <c r="V954" i="3" s="1"/>
  <c r="U954" i="3"/>
  <c r="T954" i="3"/>
  <c r="A954" i="3"/>
  <c r="W953" i="3" a="1"/>
  <c r="W953" i="3" s="1"/>
  <c r="X953" i="3" s="1"/>
  <c r="V953" i="3" a="1"/>
  <c r="V953" i="3" s="1"/>
  <c r="U953" i="3"/>
  <c r="T953" i="3"/>
  <c r="A953" i="3"/>
  <c r="W952" i="3" a="1"/>
  <c r="W952" i="3" s="1"/>
  <c r="X952" i="3" s="1"/>
  <c r="V952" i="3" a="1"/>
  <c r="V952" i="3" s="1"/>
  <c r="U952" i="3"/>
  <c r="T952" i="3"/>
  <c r="A952" i="3"/>
  <c r="W951" i="3" a="1"/>
  <c r="W951" i="3" s="1"/>
  <c r="X951" i="3" s="1"/>
  <c r="V951" i="3" a="1"/>
  <c r="V951" i="3" s="1"/>
  <c r="U951" i="3"/>
  <c r="T951" i="3"/>
  <c r="A951" i="3"/>
  <c r="W950" i="3" a="1"/>
  <c r="W950" i="3" s="1"/>
  <c r="X950" i="3" s="1"/>
  <c r="V950" i="3" a="1"/>
  <c r="V950" i="3" s="1"/>
  <c r="U950" i="3"/>
  <c r="T950" i="3"/>
  <c r="A950" i="3"/>
  <c r="W949" i="3" a="1"/>
  <c r="W949" i="3" s="1"/>
  <c r="X949" i="3" s="1"/>
  <c r="V949" i="3" a="1"/>
  <c r="V949" i="3" s="1"/>
  <c r="U949" i="3"/>
  <c r="T949" i="3"/>
  <c r="A949" i="3"/>
  <c r="W948" i="3" a="1"/>
  <c r="W948" i="3" s="1"/>
  <c r="X948" i="3" s="1"/>
  <c r="V948" i="3" a="1"/>
  <c r="V948" i="3" s="1"/>
  <c r="U948" i="3"/>
  <c r="T948" i="3"/>
  <c r="A948" i="3"/>
  <c r="W947" i="3" a="1"/>
  <c r="W947" i="3" s="1"/>
  <c r="X947" i="3" s="1"/>
  <c r="V947" i="3" a="1"/>
  <c r="V947" i="3" s="1"/>
  <c r="U947" i="3"/>
  <c r="T947" i="3"/>
  <c r="A947" i="3"/>
  <c r="W946" i="3" a="1"/>
  <c r="W946" i="3" s="1"/>
  <c r="X946" i="3" s="1"/>
  <c r="V946" i="3" a="1"/>
  <c r="V946" i="3" s="1"/>
  <c r="U946" i="3"/>
  <c r="T946" i="3"/>
  <c r="A946" i="3"/>
  <c r="W945" i="3" a="1"/>
  <c r="W945" i="3" s="1"/>
  <c r="X945" i="3" s="1"/>
  <c r="V945" i="3" a="1"/>
  <c r="V945" i="3" s="1"/>
  <c r="U945" i="3"/>
  <c r="T945" i="3"/>
  <c r="A945" i="3"/>
  <c r="W944" i="3" a="1"/>
  <c r="W944" i="3" s="1"/>
  <c r="X944" i="3" s="1"/>
  <c r="V944" i="3" a="1"/>
  <c r="V944" i="3" s="1"/>
  <c r="U944" i="3"/>
  <c r="T944" i="3"/>
  <c r="A944" i="3"/>
  <c r="W943" i="3" a="1"/>
  <c r="W943" i="3" s="1"/>
  <c r="X943" i="3" s="1"/>
  <c r="V943" i="3" a="1"/>
  <c r="V943" i="3" s="1"/>
  <c r="U943" i="3"/>
  <c r="T943" i="3"/>
  <c r="A943" i="3"/>
  <c r="W942" i="3" a="1"/>
  <c r="W942" i="3" s="1"/>
  <c r="X942" i="3" s="1"/>
  <c r="V942" i="3" a="1"/>
  <c r="V942" i="3" s="1"/>
  <c r="U942" i="3"/>
  <c r="T942" i="3"/>
  <c r="A942" i="3"/>
  <c r="W941" i="3" a="1"/>
  <c r="W941" i="3" s="1"/>
  <c r="X941" i="3" s="1"/>
  <c r="V941" i="3" a="1"/>
  <c r="V941" i="3" s="1"/>
  <c r="U941" i="3"/>
  <c r="T941" i="3"/>
  <c r="A941" i="3"/>
  <c r="W940" i="3" a="1"/>
  <c r="W940" i="3" s="1"/>
  <c r="X940" i="3" s="1"/>
  <c r="V940" i="3" a="1"/>
  <c r="V940" i="3" s="1"/>
  <c r="U940" i="3"/>
  <c r="T940" i="3"/>
  <c r="A940" i="3"/>
  <c r="W939" i="3" a="1"/>
  <c r="W939" i="3" s="1"/>
  <c r="X939" i="3" s="1"/>
  <c r="V939" i="3" a="1"/>
  <c r="V939" i="3" s="1"/>
  <c r="U939" i="3"/>
  <c r="T939" i="3"/>
  <c r="A939" i="3"/>
  <c r="W938" i="3" a="1"/>
  <c r="W938" i="3" s="1"/>
  <c r="X938" i="3" s="1"/>
  <c r="V938" i="3" a="1"/>
  <c r="V938" i="3" s="1"/>
  <c r="U938" i="3"/>
  <c r="T938" i="3"/>
  <c r="A938" i="3"/>
  <c r="W937" i="3" a="1"/>
  <c r="W937" i="3" s="1"/>
  <c r="X937" i="3" s="1"/>
  <c r="V937" i="3" a="1"/>
  <c r="V937" i="3" s="1"/>
  <c r="U937" i="3"/>
  <c r="T937" i="3"/>
  <c r="A937" i="3"/>
  <c r="W936" i="3" a="1"/>
  <c r="W936" i="3" s="1"/>
  <c r="X936" i="3" s="1"/>
  <c r="V936" i="3" a="1"/>
  <c r="V936" i="3" s="1"/>
  <c r="U936" i="3"/>
  <c r="T936" i="3"/>
  <c r="A936" i="3"/>
  <c r="W935" i="3" a="1"/>
  <c r="W935" i="3" s="1"/>
  <c r="X935" i="3" s="1"/>
  <c r="V935" i="3" a="1"/>
  <c r="V935" i="3" s="1"/>
  <c r="U935" i="3"/>
  <c r="T935" i="3"/>
  <c r="A935" i="3"/>
  <c r="W934" i="3" a="1"/>
  <c r="W934" i="3" s="1"/>
  <c r="X934" i="3" s="1"/>
  <c r="V934" i="3" a="1"/>
  <c r="V934" i="3" s="1"/>
  <c r="U934" i="3"/>
  <c r="T934" i="3"/>
  <c r="A934" i="3"/>
  <c r="W933" i="3" a="1"/>
  <c r="W933" i="3" s="1"/>
  <c r="X933" i="3" s="1"/>
  <c r="V933" i="3" a="1"/>
  <c r="V933" i="3" s="1"/>
  <c r="U933" i="3"/>
  <c r="T933" i="3"/>
  <c r="A933" i="3"/>
  <c r="W932" i="3" a="1"/>
  <c r="W932" i="3" s="1"/>
  <c r="X932" i="3" s="1"/>
  <c r="V932" i="3" a="1"/>
  <c r="V932" i="3" s="1"/>
  <c r="U932" i="3"/>
  <c r="T932" i="3"/>
  <c r="A932" i="3"/>
  <c r="W931" i="3" a="1"/>
  <c r="W931" i="3" s="1"/>
  <c r="X931" i="3" s="1"/>
  <c r="V931" i="3" a="1"/>
  <c r="V931" i="3" s="1"/>
  <c r="U931" i="3"/>
  <c r="T931" i="3"/>
  <c r="A931" i="3"/>
  <c r="W930" i="3" a="1"/>
  <c r="W930" i="3" s="1"/>
  <c r="X930" i="3" s="1"/>
  <c r="V930" i="3" a="1"/>
  <c r="V930" i="3" s="1"/>
  <c r="U930" i="3"/>
  <c r="T930" i="3"/>
  <c r="A930" i="3"/>
  <c r="W929" i="3" a="1"/>
  <c r="W929" i="3" s="1"/>
  <c r="X929" i="3" s="1"/>
  <c r="V929" i="3" a="1"/>
  <c r="V929" i="3" s="1"/>
  <c r="U929" i="3"/>
  <c r="T929" i="3"/>
  <c r="A929" i="3"/>
  <c r="W928" i="3" a="1"/>
  <c r="W928" i="3" s="1"/>
  <c r="X928" i="3" s="1"/>
  <c r="V928" i="3" a="1"/>
  <c r="V928" i="3" s="1"/>
  <c r="U928" i="3"/>
  <c r="T928" i="3"/>
  <c r="A928" i="3"/>
  <c r="W927" i="3" a="1"/>
  <c r="W927" i="3" s="1"/>
  <c r="X927" i="3" s="1"/>
  <c r="V927" i="3" a="1"/>
  <c r="V927" i="3" s="1"/>
  <c r="U927" i="3"/>
  <c r="T927" i="3"/>
  <c r="A927" i="3"/>
  <c r="W926" i="3" a="1"/>
  <c r="W926" i="3" s="1"/>
  <c r="X926" i="3" s="1"/>
  <c r="V926" i="3" a="1"/>
  <c r="V926" i="3" s="1"/>
  <c r="U926" i="3"/>
  <c r="T926" i="3"/>
  <c r="A926" i="3"/>
  <c r="W925" i="3" a="1"/>
  <c r="W925" i="3" s="1"/>
  <c r="X925" i="3" s="1"/>
  <c r="V925" i="3" a="1"/>
  <c r="V925" i="3" s="1"/>
  <c r="U925" i="3"/>
  <c r="T925" i="3"/>
  <c r="A925" i="3"/>
  <c r="W924" i="3" a="1"/>
  <c r="W924" i="3" s="1"/>
  <c r="X924" i="3" s="1"/>
  <c r="V924" i="3" a="1"/>
  <c r="V924" i="3" s="1"/>
  <c r="U924" i="3"/>
  <c r="T924" i="3"/>
  <c r="A924" i="3"/>
  <c r="W923" i="3" a="1"/>
  <c r="W923" i="3" s="1"/>
  <c r="X923" i="3" s="1"/>
  <c r="V923" i="3" a="1"/>
  <c r="V923" i="3" s="1"/>
  <c r="U923" i="3"/>
  <c r="T923" i="3"/>
  <c r="A923" i="3"/>
  <c r="W922" i="3" a="1"/>
  <c r="W922" i="3" s="1"/>
  <c r="X922" i="3" s="1"/>
  <c r="V922" i="3" a="1"/>
  <c r="V922" i="3" s="1"/>
  <c r="U922" i="3"/>
  <c r="T922" i="3"/>
  <c r="A922" i="3"/>
  <c r="W921" i="3" a="1"/>
  <c r="W921" i="3" s="1"/>
  <c r="X921" i="3" s="1"/>
  <c r="V921" i="3" a="1"/>
  <c r="V921" i="3" s="1"/>
  <c r="U921" i="3"/>
  <c r="T921" i="3"/>
  <c r="A921" i="3"/>
  <c r="W920" i="3" a="1"/>
  <c r="W920" i="3" s="1"/>
  <c r="X920" i="3" s="1"/>
  <c r="V920" i="3" a="1"/>
  <c r="V920" i="3" s="1"/>
  <c r="U920" i="3"/>
  <c r="T920" i="3"/>
  <c r="A920" i="3"/>
  <c r="W919" i="3" a="1"/>
  <c r="W919" i="3" s="1"/>
  <c r="X919" i="3" s="1"/>
  <c r="V919" i="3" a="1"/>
  <c r="V919" i="3" s="1"/>
  <c r="U919" i="3"/>
  <c r="T919" i="3"/>
  <c r="A919" i="3"/>
  <c r="W918" i="3" a="1"/>
  <c r="W918" i="3" s="1"/>
  <c r="X918" i="3" s="1"/>
  <c r="V918" i="3" a="1"/>
  <c r="V918" i="3" s="1"/>
  <c r="U918" i="3"/>
  <c r="T918" i="3"/>
  <c r="A918" i="3"/>
  <c r="W917" i="3" a="1"/>
  <c r="W917" i="3" s="1"/>
  <c r="X917" i="3" s="1"/>
  <c r="V917" i="3" a="1"/>
  <c r="V917" i="3" s="1"/>
  <c r="U917" i="3"/>
  <c r="T917" i="3"/>
  <c r="A917" i="3"/>
  <c r="W916" i="3" a="1"/>
  <c r="W916" i="3" s="1"/>
  <c r="X916" i="3" s="1"/>
  <c r="V916" i="3" a="1"/>
  <c r="V916" i="3" s="1"/>
  <c r="U916" i="3"/>
  <c r="T916" i="3"/>
  <c r="A916" i="3"/>
  <c r="W915" i="3" a="1"/>
  <c r="W915" i="3" s="1"/>
  <c r="X915" i="3" s="1"/>
  <c r="V915" i="3" a="1"/>
  <c r="V915" i="3" s="1"/>
  <c r="U915" i="3"/>
  <c r="T915" i="3"/>
  <c r="A915" i="3"/>
  <c r="W914" i="3" a="1"/>
  <c r="W914" i="3" s="1"/>
  <c r="X914" i="3" s="1"/>
  <c r="V914" i="3" a="1"/>
  <c r="V914" i="3" s="1"/>
  <c r="U914" i="3"/>
  <c r="T914" i="3"/>
  <c r="A914" i="3"/>
  <c r="W913" i="3" a="1"/>
  <c r="W913" i="3" s="1"/>
  <c r="X913" i="3" s="1"/>
  <c r="V913" i="3" a="1"/>
  <c r="V913" i="3" s="1"/>
  <c r="U913" i="3"/>
  <c r="T913" i="3"/>
  <c r="A913" i="3"/>
  <c r="W912" i="3" a="1"/>
  <c r="W912" i="3" s="1"/>
  <c r="X912" i="3" s="1"/>
  <c r="V912" i="3" a="1"/>
  <c r="V912" i="3" s="1"/>
  <c r="U912" i="3"/>
  <c r="T912" i="3"/>
  <c r="A912" i="3"/>
  <c r="W911" i="3" a="1"/>
  <c r="W911" i="3" s="1"/>
  <c r="X911" i="3" s="1"/>
  <c r="V911" i="3" a="1"/>
  <c r="V911" i="3" s="1"/>
  <c r="U911" i="3"/>
  <c r="T911" i="3"/>
  <c r="A911" i="3"/>
  <c r="W910" i="3" a="1"/>
  <c r="W910" i="3" s="1"/>
  <c r="X910" i="3" s="1"/>
  <c r="V910" i="3" a="1"/>
  <c r="V910" i="3" s="1"/>
  <c r="U910" i="3"/>
  <c r="T910" i="3"/>
  <c r="A910" i="3"/>
  <c r="W909" i="3" a="1"/>
  <c r="W909" i="3" s="1"/>
  <c r="X909" i="3" s="1"/>
  <c r="V909" i="3" a="1"/>
  <c r="V909" i="3" s="1"/>
  <c r="U909" i="3"/>
  <c r="T909" i="3"/>
  <c r="A909" i="3"/>
  <c r="W908" i="3" a="1"/>
  <c r="W908" i="3" s="1"/>
  <c r="X908" i="3" s="1"/>
  <c r="V908" i="3" a="1"/>
  <c r="V908" i="3" s="1"/>
  <c r="U908" i="3"/>
  <c r="T908" i="3"/>
  <c r="A908" i="3"/>
  <c r="W907" i="3" a="1"/>
  <c r="W907" i="3" s="1"/>
  <c r="X907" i="3" s="1"/>
  <c r="V907" i="3" a="1"/>
  <c r="V907" i="3" s="1"/>
  <c r="U907" i="3"/>
  <c r="T907" i="3"/>
  <c r="A907" i="3"/>
  <c r="W906" i="3" a="1"/>
  <c r="W906" i="3" s="1"/>
  <c r="X906" i="3" s="1"/>
  <c r="V906" i="3" a="1"/>
  <c r="V906" i="3" s="1"/>
  <c r="U906" i="3"/>
  <c r="T906" i="3"/>
  <c r="A906" i="3"/>
  <c r="W905" i="3" a="1"/>
  <c r="W905" i="3" s="1"/>
  <c r="X905" i="3" s="1"/>
  <c r="V905" i="3" a="1"/>
  <c r="V905" i="3" s="1"/>
  <c r="U905" i="3"/>
  <c r="T905" i="3"/>
  <c r="A905" i="3"/>
  <c r="W904" i="3" a="1"/>
  <c r="W904" i="3" s="1"/>
  <c r="X904" i="3" s="1"/>
  <c r="V904" i="3" a="1"/>
  <c r="V904" i="3" s="1"/>
  <c r="U904" i="3"/>
  <c r="T904" i="3"/>
  <c r="A904" i="3"/>
  <c r="W903" i="3" a="1"/>
  <c r="W903" i="3" s="1"/>
  <c r="X903" i="3" s="1"/>
  <c r="V903" i="3" a="1"/>
  <c r="V903" i="3" s="1"/>
  <c r="U903" i="3"/>
  <c r="T903" i="3"/>
  <c r="A903" i="3"/>
  <c r="W902" i="3" a="1"/>
  <c r="W902" i="3" s="1"/>
  <c r="X902" i="3" s="1"/>
  <c r="V902" i="3" a="1"/>
  <c r="V902" i="3" s="1"/>
  <c r="U902" i="3"/>
  <c r="T902" i="3"/>
  <c r="A902" i="3"/>
  <c r="W901" i="3" a="1"/>
  <c r="W901" i="3" s="1"/>
  <c r="X901" i="3" s="1"/>
  <c r="V901" i="3" a="1"/>
  <c r="V901" i="3" s="1"/>
  <c r="U901" i="3"/>
  <c r="T901" i="3"/>
  <c r="A901" i="3"/>
  <c r="W900" i="3" a="1"/>
  <c r="W900" i="3" s="1"/>
  <c r="X900" i="3" s="1"/>
  <c r="V900" i="3" a="1"/>
  <c r="V900" i="3" s="1"/>
  <c r="U900" i="3"/>
  <c r="T900" i="3"/>
  <c r="A900" i="3"/>
  <c r="W899" i="3" a="1"/>
  <c r="W899" i="3" s="1"/>
  <c r="X899" i="3" s="1"/>
  <c r="V899" i="3" a="1"/>
  <c r="V899" i="3" s="1"/>
  <c r="U899" i="3"/>
  <c r="T899" i="3"/>
  <c r="A899" i="3"/>
  <c r="W898" i="3" a="1"/>
  <c r="W898" i="3" s="1"/>
  <c r="X898" i="3" s="1"/>
  <c r="V898" i="3" a="1"/>
  <c r="V898" i="3" s="1"/>
  <c r="U898" i="3"/>
  <c r="T898" i="3"/>
  <c r="A898" i="3"/>
  <c r="W897" i="3" a="1"/>
  <c r="W897" i="3" s="1"/>
  <c r="X897" i="3" s="1"/>
  <c r="V897" i="3" a="1"/>
  <c r="V897" i="3" s="1"/>
  <c r="U897" i="3"/>
  <c r="T897" i="3"/>
  <c r="A897" i="3"/>
  <c r="W896" i="3" a="1"/>
  <c r="W896" i="3" s="1"/>
  <c r="X896" i="3" s="1"/>
  <c r="V896" i="3" a="1"/>
  <c r="V896" i="3" s="1"/>
  <c r="U896" i="3"/>
  <c r="T896" i="3"/>
  <c r="A896" i="3"/>
  <c r="W895" i="3" a="1"/>
  <c r="W895" i="3" s="1"/>
  <c r="X895" i="3" s="1"/>
  <c r="V895" i="3" a="1"/>
  <c r="V895" i="3" s="1"/>
  <c r="U895" i="3"/>
  <c r="T895" i="3"/>
  <c r="A895" i="3"/>
  <c r="W894" i="3" a="1"/>
  <c r="W894" i="3" s="1"/>
  <c r="X894" i="3" s="1"/>
  <c r="V894" i="3" a="1"/>
  <c r="V894" i="3" s="1"/>
  <c r="U894" i="3"/>
  <c r="T894" i="3"/>
  <c r="A894" i="3"/>
  <c r="W893" i="3" a="1"/>
  <c r="W893" i="3" s="1"/>
  <c r="X893" i="3" s="1"/>
  <c r="V893" i="3" a="1"/>
  <c r="V893" i="3" s="1"/>
  <c r="U893" i="3"/>
  <c r="T893" i="3"/>
  <c r="A893" i="3"/>
  <c r="W892" i="3" a="1"/>
  <c r="W892" i="3" s="1"/>
  <c r="X892" i="3" s="1"/>
  <c r="V892" i="3" a="1"/>
  <c r="V892" i="3" s="1"/>
  <c r="U892" i="3"/>
  <c r="T892" i="3"/>
  <c r="A892" i="3"/>
  <c r="W891" i="3" a="1"/>
  <c r="W891" i="3" s="1"/>
  <c r="X891" i="3" s="1"/>
  <c r="V891" i="3" a="1"/>
  <c r="V891" i="3" s="1"/>
  <c r="U891" i="3"/>
  <c r="T891" i="3"/>
  <c r="A891" i="3"/>
  <c r="W890" i="3" a="1"/>
  <c r="W890" i="3" s="1"/>
  <c r="X890" i="3" s="1"/>
  <c r="V890" i="3" a="1"/>
  <c r="V890" i="3" s="1"/>
  <c r="U890" i="3"/>
  <c r="T890" i="3"/>
  <c r="A890" i="3"/>
  <c r="W889" i="3" a="1"/>
  <c r="W889" i="3" s="1"/>
  <c r="X889" i="3" s="1"/>
  <c r="V889" i="3" a="1"/>
  <c r="V889" i="3" s="1"/>
  <c r="U889" i="3"/>
  <c r="T889" i="3"/>
  <c r="A889" i="3"/>
  <c r="W888" i="3" a="1"/>
  <c r="W888" i="3" s="1"/>
  <c r="X888" i="3" s="1"/>
  <c r="V888" i="3" a="1"/>
  <c r="V888" i="3" s="1"/>
  <c r="U888" i="3"/>
  <c r="T888" i="3"/>
  <c r="A888" i="3"/>
  <c r="W887" i="3" a="1"/>
  <c r="W887" i="3" s="1"/>
  <c r="X887" i="3" s="1"/>
  <c r="V887" i="3" a="1"/>
  <c r="V887" i="3" s="1"/>
  <c r="U887" i="3"/>
  <c r="T887" i="3"/>
  <c r="A887" i="3"/>
  <c r="W886" i="3" a="1"/>
  <c r="W886" i="3" s="1"/>
  <c r="X886" i="3" s="1"/>
  <c r="V886" i="3" a="1"/>
  <c r="V886" i="3" s="1"/>
  <c r="U886" i="3"/>
  <c r="T886" i="3"/>
  <c r="A886" i="3"/>
  <c r="W885" i="3" a="1"/>
  <c r="W885" i="3" s="1"/>
  <c r="X885" i="3" s="1"/>
  <c r="V885" i="3" a="1"/>
  <c r="V885" i="3" s="1"/>
  <c r="U885" i="3"/>
  <c r="T885" i="3"/>
  <c r="A885" i="3"/>
  <c r="W884" i="3" a="1"/>
  <c r="W884" i="3" s="1"/>
  <c r="X884" i="3" s="1"/>
  <c r="V884" i="3" a="1"/>
  <c r="V884" i="3" s="1"/>
  <c r="U884" i="3"/>
  <c r="T884" i="3"/>
  <c r="A884" i="3"/>
  <c r="W883" i="3" a="1"/>
  <c r="W883" i="3" s="1"/>
  <c r="X883" i="3" s="1"/>
  <c r="V883" i="3" a="1"/>
  <c r="V883" i="3" s="1"/>
  <c r="U883" i="3"/>
  <c r="T883" i="3"/>
  <c r="A883" i="3"/>
  <c r="W882" i="3" a="1"/>
  <c r="W882" i="3" s="1"/>
  <c r="X882" i="3" s="1"/>
  <c r="V882" i="3" a="1"/>
  <c r="V882" i="3" s="1"/>
  <c r="U882" i="3"/>
  <c r="T882" i="3"/>
  <c r="A882" i="3"/>
  <c r="W881" i="3" a="1"/>
  <c r="W881" i="3" s="1"/>
  <c r="X881" i="3" s="1"/>
  <c r="V881" i="3" a="1"/>
  <c r="V881" i="3" s="1"/>
  <c r="U881" i="3"/>
  <c r="T881" i="3"/>
  <c r="A881" i="3"/>
  <c r="W880" i="3" a="1"/>
  <c r="W880" i="3" s="1"/>
  <c r="X880" i="3" s="1"/>
  <c r="V880" i="3" a="1"/>
  <c r="V880" i="3" s="1"/>
  <c r="U880" i="3"/>
  <c r="T880" i="3"/>
  <c r="A880" i="3"/>
  <c r="W879" i="3" a="1"/>
  <c r="W879" i="3" s="1"/>
  <c r="X879" i="3" s="1"/>
  <c r="V879" i="3" a="1"/>
  <c r="V879" i="3" s="1"/>
  <c r="U879" i="3"/>
  <c r="T879" i="3"/>
  <c r="A879" i="3"/>
  <c r="W878" i="3" a="1"/>
  <c r="W878" i="3" s="1"/>
  <c r="X878" i="3" s="1"/>
  <c r="V878" i="3" a="1"/>
  <c r="V878" i="3" s="1"/>
  <c r="U878" i="3"/>
  <c r="T878" i="3"/>
  <c r="A878" i="3"/>
  <c r="W877" i="3" a="1"/>
  <c r="W877" i="3" s="1"/>
  <c r="X877" i="3" s="1"/>
  <c r="V877" i="3" a="1"/>
  <c r="V877" i="3" s="1"/>
  <c r="U877" i="3"/>
  <c r="T877" i="3"/>
  <c r="A877" i="3"/>
  <c r="W876" i="3" a="1"/>
  <c r="W876" i="3" s="1"/>
  <c r="X876" i="3" s="1"/>
  <c r="V876" i="3" a="1"/>
  <c r="V876" i="3" s="1"/>
  <c r="U876" i="3"/>
  <c r="T876" i="3"/>
  <c r="A876" i="3"/>
  <c r="W875" i="3" a="1"/>
  <c r="W875" i="3" s="1"/>
  <c r="X875" i="3" s="1"/>
  <c r="V875" i="3" a="1"/>
  <c r="V875" i="3" s="1"/>
  <c r="U875" i="3"/>
  <c r="T875" i="3"/>
  <c r="A875" i="3"/>
  <c r="W874" i="3" a="1"/>
  <c r="W874" i="3" s="1"/>
  <c r="X874" i="3" s="1"/>
  <c r="V874" i="3" a="1"/>
  <c r="V874" i="3" s="1"/>
  <c r="U874" i="3"/>
  <c r="T874" i="3"/>
  <c r="A874" i="3"/>
  <c r="W873" i="3" a="1"/>
  <c r="W873" i="3" s="1"/>
  <c r="X873" i="3" s="1"/>
  <c r="V873" i="3" a="1"/>
  <c r="V873" i="3" s="1"/>
  <c r="U873" i="3"/>
  <c r="T873" i="3"/>
  <c r="A873" i="3"/>
  <c r="W872" i="3" a="1"/>
  <c r="W872" i="3" s="1"/>
  <c r="X872" i="3" s="1"/>
  <c r="V872" i="3" a="1"/>
  <c r="V872" i="3" s="1"/>
  <c r="U872" i="3"/>
  <c r="T872" i="3"/>
  <c r="A872" i="3"/>
  <c r="W871" i="3" a="1"/>
  <c r="W871" i="3" s="1"/>
  <c r="X871" i="3" s="1"/>
  <c r="V871" i="3" a="1"/>
  <c r="V871" i="3" s="1"/>
  <c r="U871" i="3"/>
  <c r="T871" i="3"/>
  <c r="A871" i="3"/>
  <c r="W870" i="3" a="1"/>
  <c r="W870" i="3" s="1"/>
  <c r="X870" i="3" s="1"/>
  <c r="V870" i="3" a="1"/>
  <c r="V870" i="3" s="1"/>
  <c r="U870" i="3"/>
  <c r="T870" i="3"/>
  <c r="A870" i="3"/>
  <c r="W869" i="3" a="1"/>
  <c r="W869" i="3" s="1"/>
  <c r="X869" i="3" s="1"/>
  <c r="V869" i="3" a="1"/>
  <c r="V869" i="3" s="1"/>
  <c r="U869" i="3"/>
  <c r="T869" i="3"/>
  <c r="A869" i="3"/>
  <c r="W868" i="3" a="1"/>
  <c r="W868" i="3" s="1"/>
  <c r="X868" i="3" s="1"/>
  <c r="V868" i="3" a="1"/>
  <c r="V868" i="3" s="1"/>
  <c r="U868" i="3"/>
  <c r="T868" i="3"/>
  <c r="A868" i="3"/>
  <c r="W867" i="3" a="1"/>
  <c r="W867" i="3" s="1"/>
  <c r="X867" i="3" s="1"/>
  <c r="V867" i="3" a="1"/>
  <c r="V867" i="3" s="1"/>
  <c r="U867" i="3"/>
  <c r="T867" i="3"/>
  <c r="A867" i="3"/>
  <c r="W866" i="3" a="1"/>
  <c r="W866" i="3" s="1"/>
  <c r="X866" i="3" s="1"/>
  <c r="V866" i="3" a="1"/>
  <c r="V866" i="3" s="1"/>
  <c r="U866" i="3"/>
  <c r="T866" i="3"/>
  <c r="A866" i="3"/>
  <c r="W865" i="3" a="1"/>
  <c r="W865" i="3" s="1"/>
  <c r="X865" i="3" s="1"/>
  <c r="V865" i="3" a="1"/>
  <c r="V865" i="3" s="1"/>
  <c r="U865" i="3"/>
  <c r="T865" i="3"/>
  <c r="A865" i="3"/>
  <c r="W864" i="3" a="1"/>
  <c r="W864" i="3" s="1"/>
  <c r="X864" i="3" s="1"/>
  <c r="V864" i="3" a="1"/>
  <c r="V864" i="3" s="1"/>
  <c r="U864" i="3"/>
  <c r="T864" i="3"/>
  <c r="A864" i="3"/>
  <c r="W863" i="3" a="1"/>
  <c r="W863" i="3" s="1"/>
  <c r="X863" i="3" s="1"/>
  <c r="V863" i="3" a="1"/>
  <c r="V863" i="3" s="1"/>
  <c r="U863" i="3"/>
  <c r="T863" i="3"/>
  <c r="A863" i="3"/>
  <c r="W862" i="3" a="1"/>
  <c r="W862" i="3" s="1"/>
  <c r="X862" i="3" s="1"/>
  <c r="V862" i="3" a="1"/>
  <c r="V862" i="3" s="1"/>
  <c r="U862" i="3"/>
  <c r="T862" i="3"/>
  <c r="A862" i="3"/>
  <c r="W861" i="3" a="1"/>
  <c r="W861" i="3" s="1"/>
  <c r="X861" i="3" s="1"/>
  <c r="V861" i="3" a="1"/>
  <c r="V861" i="3" s="1"/>
  <c r="U861" i="3"/>
  <c r="T861" i="3"/>
  <c r="A861" i="3"/>
  <c r="W860" i="3" a="1"/>
  <c r="W860" i="3" s="1"/>
  <c r="X860" i="3" s="1"/>
  <c r="V860" i="3" a="1"/>
  <c r="V860" i="3" s="1"/>
  <c r="U860" i="3"/>
  <c r="T860" i="3"/>
  <c r="A860" i="3"/>
  <c r="W859" i="3" a="1"/>
  <c r="W859" i="3" s="1"/>
  <c r="X859" i="3" s="1"/>
  <c r="V859" i="3" a="1"/>
  <c r="V859" i="3" s="1"/>
  <c r="U859" i="3"/>
  <c r="T859" i="3"/>
  <c r="A859" i="3"/>
  <c r="W858" i="3" a="1"/>
  <c r="W858" i="3" s="1"/>
  <c r="X858" i="3" s="1"/>
  <c r="V858" i="3" a="1"/>
  <c r="V858" i="3" s="1"/>
  <c r="U858" i="3"/>
  <c r="T858" i="3"/>
  <c r="A858" i="3"/>
  <c r="W857" i="3" a="1"/>
  <c r="W857" i="3" s="1"/>
  <c r="X857" i="3" s="1"/>
  <c r="V857" i="3" a="1"/>
  <c r="V857" i="3" s="1"/>
  <c r="U857" i="3"/>
  <c r="T857" i="3"/>
  <c r="A857" i="3"/>
  <c r="W856" i="3" a="1"/>
  <c r="W856" i="3" s="1"/>
  <c r="X856" i="3" s="1"/>
  <c r="V856" i="3" a="1"/>
  <c r="V856" i="3" s="1"/>
  <c r="U856" i="3"/>
  <c r="T856" i="3"/>
  <c r="A856" i="3"/>
  <c r="W855" i="3" a="1"/>
  <c r="W855" i="3" s="1"/>
  <c r="X855" i="3" s="1"/>
  <c r="V855" i="3" a="1"/>
  <c r="V855" i="3" s="1"/>
  <c r="U855" i="3"/>
  <c r="T855" i="3"/>
  <c r="A855" i="3"/>
  <c r="W854" i="3" a="1"/>
  <c r="W854" i="3" s="1"/>
  <c r="X854" i="3" s="1"/>
  <c r="V854" i="3" a="1"/>
  <c r="V854" i="3" s="1"/>
  <c r="U854" i="3"/>
  <c r="T854" i="3"/>
  <c r="A854" i="3"/>
  <c r="W853" i="3" a="1"/>
  <c r="W853" i="3" s="1"/>
  <c r="X853" i="3" s="1"/>
  <c r="V853" i="3" a="1"/>
  <c r="V853" i="3" s="1"/>
  <c r="U853" i="3"/>
  <c r="T853" i="3"/>
  <c r="A853" i="3"/>
  <c r="W852" i="3" a="1"/>
  <c r="W852" i="3" s="1"/>
  <c r="X852" i="3" s="1"/>
  <c r="V852" i="3" a="1"/>
  <c r="V852" i="3" s="1"/>
  <c r="U852" i="3"/>
  <c r="T852" i="3"/>
  <c r="A852" i="3"/>
  <c r="W851" i="3" a="1"/>
  <c r="W851" i="3" s="1"/>
  <c r="X851" i="3" s="1"/>
  <c r="V851" i="3" a="1"/>
  <c r="V851" i="3" s="1"/>
  <c r="U851" i="3"/>
  <c r="T851" i="3"/>
  <c r="A851" i="3"/>
  <c r="W850" i="3" a="1"/>
  <c r="W850" i="3" s="1"/>
  <c r="X850" i="3" s="1"/>
  <c r="V850" i="3" a="1"/>
  <c r="V850" i="3" s="1"/>
  <c r="U850" i="3"/>
  <c r="T850" i="3"/>
  <c r="A850" i="3"/>
  <c r="W849" i="3" a="1"/>
  <c r="W849" i="3" s="1"/>
  <c r="X849" i="3" s="1"/>
  <c r="V849" i="3" a="1"/>
  <c r="V849" i="3" s="1"/>
  <c r="U849" i="3"/>
  <c r="T849" i="3"/>
  <c r="A849" i="3"/>
  <c r="W848" i="3" a="1"/>
  <c r="W848" i="3" s="1"/>
  <c r="X848" i="3" s="1"/>
  <c r="V848" i="3" a="1"/>
  <c r="V848" i="3" s="1"/>
  <c r="U848" i="3"/>
  <c r="T848" i="3"/>
  <c r="A848" i="3"/>
  <c r="W847" i="3" a="1"/>
  <c r="W847" i="3" s="1"/>
  <c r="X847" i="3" s="1"/>
  <c r="V847" i="3" a="1"/>
  <c r="V847" i="3" s="1"/>
  <c r="U847" i="3"/>
  <c r="T847" i="3"/>
  <c r="A847" i="3"/>
  <c r="W846" i="3" a="1"/>
  <c r="W846" i="3" s="1"/>
  <c r="X846" i="3" s="1"/>
  <c r="V846" i="3" a="1"/>
  <c r="V846" i="3" s="1"/>
  <c r="U846" i="3"/>
  <c r="T846" i="3"/>
  <c r="A846" i="3"/>
  <c r="W845" i="3" a="1"/>
  <c r="W845" i="3" s="1"/>
  <c r="X845" i="3" s="1"/>
  <c r="V845" i="3" a="1"/>
  <c r="V845" i="3" s="1"/>
  <c r="U845" i="3"/>
  <c r="T845" i="3"/>
  <c r="A845" i="3"/>
  <c r="W844" i="3" a="1"/>
  <c r="W844" i="3" s="1"/>
  <c r="X844" i="3" s="1"/>
  <c r="V844" i="3" a="1"/>
  <c r="V844" i="3" s="1"/>
  <c r="U844" i="3"/>
  <c r="T844" i="3"/>
  <c r="A844" i="3"/>
  <c r="W843" i="3" a="1"/>
  <c r="W843" i="3" s="1"/>
  <c r="X843" i="3" s="1"/>
  <c r="V843" i="3" a="1"/>
  <c r="V843" i="3" s="1"/>
  <c r="U843" i="3"/>
  <c r="T843" i="3"/>
  <c r="A843" i="3"/>
  <c r="W842" i="3" a="1"/>
  <c r="W842" i="3" s="1"/>
  <c r="X842" i="3" s="1"/>
  <c r="V842" i="3" a="1"/>
  <c r="V842" i="3" s="1"/>
  <c r="U842" i="3"/>
  <c r="T842" i="3"/>
  <c r="A842" i="3"/>
  <c r="W841" i="3" a="1"/>
  <c r="W841" i="3" s="1"/>
  <c r="X841" i="3" s="1"/>
  <c r="V841" i="3" a="1"/>
  <c r="V841" i="3" s="1"/>
  <c r="U841" i="3"/>
  <c r="T841" i="3"/>
  <c r="A841" i="3"/>
  <c r="W840" i="3" a="1"/>
  <c r="W840" i="3" s="1"/>
  <c r="X840" i="3" s="1"/>
  <c r="V840" i="3" a="1"/>
  <c r="V840" i="3" s="1"/>
  <c r="U840" i="3"/>
  <c r="T840" i="3"/>
  <c r="A840" i="3"/>
  <c r="W839" i="3" a="1"/>
  <c r="W839" i="3" s="1"/>
  <c r="X839" i="3" s="1"/>
  <c r="V839" i="3" a="1"/>
  <c r="V839" i="3" s="1"/>
  <c r="U839" i="3"/>
  <c r="T839" i="3"/>
  <c r="A839" i="3"/>
  <c r="W838" i="3" a="1"/>
  <c r="W838" i="3" s="1"/>
  <c r="X838" i="3" s="1"/>
  <c r="V838" i="3" a="1"/>
  <c r="V838" i="3" s="1"/>
  <c r="U838" i="3"/>
  <c r="T838" i="3"/>
  <c r="A838" i="3"/>
  <c r="W837" i="3" a="1"/>
  <c r="W837" i="3" s="1"/>
  <c r="X837" i="3" s="1"/>
  <c r="V837" i="3" a="1"/>
  <c r="V837" i="3" s="1"/>
  <c r="U837" i="3"/>
  <c r="T837" i="3"/>
  <c r="A837" i="3"/>
  <c r="W836" i="3" a="1"/>
  <c r="W836" i="3" s="1"/>
  <c r="X836" i="3" s="1"/>
  <c r="V836" i="3" a="1"/>
  <c r="V836" i="3" s="1"/>
  <c r="U836" i="3"/>
  <c r="T836" i="3"/>
  <c r="A836" i="3"/>
  <c r="W835" i="3" a="1"/>
  <c r="W835" i="3" s="1"/>
  <c r="X835" i="3" s="1"/>
  <c r="V835" i="3" a="1"/>
  <c r="V835" i="3" s="1"/>
  <c r="U835" i="3"/>
  <c r="T835" i="3"/>
  <c r="A835" i="3"/>
  <c r="W834" i="3" a="1"/>
  <c r="W834" i="3" s="1"/>
  <c r="X834" i="3" s="1"/>
  <c r="V834" i="3" a="1"/>
  <c r="V834" i="3" s="1"/>
  <c r="U834" i="3"/>
  <c r="T834" i="3"/>
  <c r="A834" i="3"/>
  <c r="W833" i="3" a="1"/>
  <c r="W833" i="3" s="1"/>
  <c r="X833" i="3" s="1"/>
  <c r="V833" i="3" a="1"/>
  <c r="V833" i="3" s="1"/>
  <c r="U833" i="3"/>
  <c r="T833" i="3"/>
  <c r="A833" i="3"/>
  <c r="W832" i="3" a="1"/>
  <c r="W832" i="3" s="1"/>
  <c r="X832" i="3" s="1"/>
  <c r="V832" i="3" a="1"/>
  <c r="V832" i="3" s="1"/>
  <c r="U832" i="3"/>
  <c r="T832" i="3"/>
  <c r="A832" i="3"/>
  <c r="W831" i="3" a="1"/>
  <c r="W831" i="3" s="1"/>
  <c r="X831" i="3" s="1"/>
  <c r="V831" i="3" a="1"/>
  <c r="V831" i="3" s="1"/>
  <c r="U831" i="3"/>
  <c r="T831" i="3"/>
  <c r="A831" i="3"/>
  <c r="W830" i="3" a="1"/>
  <c r="W830" i="3" s="1"/>
  <c r="X830" i="3" s="1"/>
  <c r="V830" i="3" a="1"/>
  <c r="V830" i="3" s="1"/>
  <c r="U830" i="3"/>
  <c r="T830" i="3"/>
  <c r="A830" i="3"/>
  <c r="W829" i="3" a="1"/>
  <c r="W829" i="3" s="1"/>
  <c r="X829" i="3" s="1"/>
  <c r="V829" i="3" a="1"/>
  <c r="V829" i="3" s="1"/>
  <c r="U829" i="3"/>
  <c r="T829" i="3"/>
  <c r="A829" i="3"/>
  <c r="W828" i="3" a="1"/>
  <c r="W828" i="3" s="1"/>
  <c r="X828" i="3" s="1"/>
  <c r="V828" i="3" a="1"/>
  <c r="V828" i="3" s="1"/>
  <c r="U828" i="3"/>
  <c r="T828" i="3"/>
  <c r="A828" i="3"/>
  <c r="W827" i="3" a="1"/>
  <c r="W827" i="3" s="1"/>
  <c r="X827" i="3" s="1"/>
  <c r="V827" i="3" a="1"/>
  <c r="V827" i="3" s="1"/>
  <c r="U827" i="3"/>
  <c r="T827" i="3"/>
  <c r="A827" i="3"/>
  <c r="W826" i="3" a="1"/>
  <c r="W826" i="3" s="1"/>
  <c r="X826" i="3" s="1"/>
  <c r="V826" i="3" a="1"/>
  <c r="V826" i="3" s="1"/>
  <c r="U826" i="3"/>
  <c r="T826" i="3"/>
  <c r="A826" i="3"/>
  <c r="W825" i="3" a="1"/>
  <c r="W825" i="3" s="1"/>
  <c r="X825" i="3" s="1"/>
  <c r="V825" i="3" a="1"/>
  <c r="V825" i="3" s="1"/>
  <c r="U825" i="3"/>
  <c r="T825" i="3"/>
  <c r="A825" i="3"/>
  <c r="W824" i="3" a="1"/>
  <c r="W824" i="3" s="1"/>
  <c r="X824" i="3" s="1"/>
  <c r="V824" i="3" a="1"/>
  <c r="V824" i="3" s="1"/>
  <c r="U824" i="3"/>
  <c r="T824" i="3"/>
  <c r="A824" i="3"/>
  <c r="W823" i="3" a="1"/>
  <c r="W823" i="3" s="1"/>
  <c r="X823" i="3" s="1"/>
  <c r="V823" i="3" a="1"/>
  <c r="V823" i="3" s="1"/>
  <c r="U823" i="3"/>
  <c r="T823" i="3"/>
  <c r="A823" i="3"/>
  <c r="W822" i="3" a="1"/>
  <c r="W822" i="3" s="1"/>
  <c r="X822" i="3" s="1"/>
  <c r="V822" i="3" a="1"/>
  <c r="V822" i="3" s="1"/>
  <c r="U822" i="3"/>
  <c r="T822" i="3"/>
  <c r="A822" i="3"/>
  <c r="W821" i="3" a="1"/>
  <c r="W821" i="3" s="1"/>
  <c r="X821" i="3" s="1"/>
  <c r="V821" i="3" a="1"/>
  <c r="V821" i="3" s="1"/>
  <c r="U821" i="3"/>
  <c r="T821" i="3"/>
  <c r="A821" i="3"/>
  <c r="W820" i="3" a="1"/>
  <c r="W820" i="3" s="1"/>
  <c r="X820" i="3" s="1"/>
  <c r="V820" i="3" a="1"/>
  <c r="V820" i="3" s="1"/>
  <c r="U820" i="3"/>
  <c r="T820" i="3"/>
  <c r="A820" i="3"/>
  <c r="W819" i="3" a="1"/>
  <c r="W819" i="3" s="1"/>
  <c r="X819" i="3" s="1"/>
  <c r="V819" i="3" a="1"/>
  <c r="V819" i="3" s="1"/>
  <c r="U819" i="3"/>
  <c r="T819" i="3"/>
  <c r="A819" i="3"/>
  <c r="W818" i="3" a="1"/>
  <c r="W818" i="3" s="1"/>
  <c r="X818" i="3" s="1"/>
  <c r="V818" i="3" a="1"/>
  <c r="V818" i="3" s="1"/>
  <c r="U818" i="3"/>
  <c r="T818" i="3"/>
  <c r="A818" i="3"/>
  <c r="W817" i="3" a="1"/>
  <c r="W817" i="3" s="1"/>
  <c r="X817" i="3" s="1"/>
  <c r="V817" i="3" a="1"/>
  <c r="V817" i="3" s="1"/>
  <c r="U817" i="3"/>
  <c r="T817" i="3"/>
  <c r="A817" i="3"/>
  <c r="W816" i="3" a="1"/>
  <c r="W816" i="3" s="1"/>
  <c r="X816" i="3" s="1"/>
  <c r="V816" i="3" a="1"/>
  <c r="V816" i="3" s="1"/>
  <c r="U816" i="3"/>
  <c r="T816" i="3"/>
  <c r="A816" i="3"/>
  <c r="W815" i="3" a="1"/>
  <c r="W815" i="3" s="1"/>
  <c r="X815" i="3" s="1"/>
  <c r="V815" i="3" a="1"/>
  <c r="V815" i="3" s="1"/>
  <c r="U815" i="3"/>
  <c r="T815" i="3"/>
  <c r="A815" i="3"/>
  <c r="W814" i="3" a="1"/>
  <c r="W814" i="3" s="1"/>
  <c r="X814" i="3" s="1"/>
  <c r="V814" i="3" a="1"/>
  <c r="V814" i="3" s="1"/>
  <c r="U814" i="3"/>
  <c r="T814" i="3"/>
  <c r="A814" i="3"/>
  <c r="W813" i="3" a="1"/>
  <c r="W813" i="3" s="1"/>
  <c r="X813" i="3" s="1"/>
  <c r="V813" i="3" a="1"/>
  <c r="V813" i="3" s="1"/>
  <c r="U813" i="3"/>
  <c r="T813" i="3"/>
  <c r="A813" i="3"/>
  <c r="W812" i="3" a="1"/>
  <c r="W812" i="3" s="1"/>
  <c r="X812" i="3" s="1"/>
  <c r="V812" i="3" a="1"/>
  <c r="V812" i="3" s="1"/>
  <c r="U812" i="3"/>
  <c r="T812" i="3"/>
  <c r="A812" i="3"/>
  <c r="W811" i="3" a="1"/>
  <c r="W811" i="3" s="1"/>
  <c r="X811" i="3" s="1"/>
  <c r="V811" i="3" a="1"/>
  <c r="V811" i="3" s="1"/>
  <c r="U811" i="3"/>
  <c r="T811" i="3"/>
  <c r="A811" i="3"/>
  <c r="W810" i="3" a="1"/>
  <c r="W810" i="3" s="1"/>
  <c r="X810" i="3" s="1"/>
  <c r="V810" i="3" a="1"/>
  <c r="V810" i="3" s="1"/>
  <c r="U810" i="3"/>
  <c r="T810" i="3"/>
  <c r="A810" i="3"/>
  <c r="W809" i="3" a="1"/>
  <c r="W809" i="3" s="1"/>
  <c r="X809" i="3" s="1"/>
  <c r="V809" i="3" a="1"/>
  <c r="V809" i="3" s="1"/>
  <c r="U809" i="3"/>
  <c r="T809" i="3"/>
  <c r="A809" i="3"/>
  <c r="W808" i="3" a="1"/>
  <c r="W808" i="3" s="1"/>
  <c r="X808" i="3" s="1"/>
  <c r="V808" i="3" a="1"/>
  <c r="V808" i="3" s="1"/>
  <c r="U808" i="3"/>
  <c r="T808" i="3"/>
  <c r="A808" i="3"/>
  <c r="W807" i="3" a="1"/>
  <c r="W807" i="3" s="1"/>
  <c r="X807" i="3" s="1"/>
  <c r="V807" i="3" a="1"/>
  <c r="V807" i="3" s="1"/>
  <c r="U807" i="3"/>
  <c r="T807" i="3"/>
  <c r="A807" i="3"/>
  <c r="W806" i="3" a="1"/>
  <c r="W806" i="3" s="1"/>
  <c r="X806" i="3" s="1"/>
  <c r="V806" i="3" a="1"/>
  <c r="V806" i="3" s="1"/>
  <c r="U806" i="3"/>
  <c r="T806" i="3"/>
  <c r="A806" i="3"/>
  <c r="W805" i="3" a="1"/>
  <c r="W805" i="3" s="1"/>
  <c r="X805" i="3" s="1"/>
  <c r="V805" i="3" a="1"/>
  <c r="V805" i="3" s="1"/>
  <c r="U805" i="3"/>
  <c r="T805" i="3"/>
  <c r="A805" i="3"/>
  <c r="W804" i="3" a="1"/>
  <c r="W804" i="3" s="1"/>
  <c r="X804" i="3" s="1"/>
  <c r="V804" i="3" a="1"/>
  <c r="V804" i="3" s="1"/>
  <c r="U804" i="3"/>
  <c r="T804" i="3"/>
  <c r="A804" i="3"/>
  <c r="W803" i="3" a="1"/>
  <c r="W803" i="3" s="1"/>
  <c r="X803" i="3" s="1"/>
  <c r="V803" i="3" a="1"/>
  <c r="V803" i="3" s="1"/>
  <c r="U803" i="3"/>
  <c r="T803" i="3"/>
  <c r="A803" i="3"/>
  <c r="W802" i="3" a="1"/>
  <c r="W802" i="3" s="1"/>
  <c r="X802" i="3" s="1"/>
  <c r="V802" i="3" a="1"/>
  <c r="V802" i="3" s="1"/>
  <c r="U802" i="3"/>
  <c r="T802" i="3"/>
  <c r="A802" i="3"/>
  <c r="W801" i="3" a="1"/>
  <c r="W801" i="3" s="1"/>
  <c r="X801" i="3" s="1"/>
  <c r="V801" i="3" a="1"/>
  <c r="V801" i="3" s="1"/>
  <c r="U801" i="3"/>
  <c r="T801" i="3"/>
  <c r="A801" i="3"/>
  <c r="W800" i="3" a="1"/>
  <c r="W800" i="3" s="1"/>
  <c r="X800" i="3" s="1"/>
  <c r="V800" i="3" a="1"/>
  <c r="V800" i="3" s="1"/>
  <c r="U800" i="3"/>
  <c r="T800" i="3"/>
  <c r="A800" i="3"/>
  <c r="W799" i="3" a="1"/>
  <c r="W799" i="3" s="1"/>
  <c r="X799" i="3" s="1"/>
  <c r="V799" i="3" a="1"/>
  <c r="V799" i="3" s="1"/>
  <c r="U799" i="3"/>
  <c r="T799" i="3"/>
  <c r="A799" i="3"/>
  <c r="W798" i="3" a="1"/>
  <c r="W798" i="3" s="1"/>
  <c r="X798" i="3" s="1"/>
  <c r="V798" i="3" a="1"/>
  <c r="V798" i="3" s="1"/>
  <c r="U798" i="3"/>
  <c r="T798" i="3"/>
  <c r="A798" i="3"/>
  <c r="W797" i="3" a="1"/>
  <c r="W797" i="3" s="1"/>
  <c r="X797" i="3" s="1"/>
  <c r="V797" i="3" a="1"/>
  <c r="V797" i="3" s="1"/>
  <c r="U797" i="3"/>
  <c r="T797" i="3"/>
  <c r="A797" i="3"/>
  <c r="W796" i="3" a="1"/>
  <c r="W796" i="3" s="1"/>
  <c r="X796" i="3" s="1"/>
  <c r="V796" i="3" a="1"/>
  <c r="V796" i="3" s="1"/>
  <c r="U796" i="3"/>
  <c r="T796" i="3"/>
  <c r="A796" i="3"/>
  <c r="W795" i="3" a="1"/>
  <c r="W795" i="3" s="1"/>
  <c r="X795" i="3" s="1"/>
  <c r="V795" i="3" a="1"/>
  <c r="V795" i="3" s="1"/>
  <c r="U795" i="3"/>
  <c r="T795" i="3"/>
  <c r="A795" i="3"/>
  <c r="W794" i="3" a="1"/>
  <c r="W794" i="3" s="1"/>
  <c r="X794" i="3" s="1"/>
  <c r="V794" i="3" a="1"/>
  <c r="V794" i="3" s="1"/>
  <c r="U794" i="3"/>
  <c r="T794" i="3"/>
  <c r="A794" i="3"/>
  <c r="W793" i="3" a="1"/>
  <c r="W793" i="3" s="1"/>
  <c r="X793" i="3" s="1"/>
  <c r="V793" i="3" a="1"/>
  <c r="V793" i="3" s="1"/>
  <c r="U793" i="3"/>
  <c r="T793" i="3"/>
  <c r="A793" i="3"/>
  <c r="W792" i="3" a="1"/>
  <c r="W792" i="3" s="1"/>
  <c r="X792" i="3" s="1"/>
  <c r="V792" i="3" a="1"/>
  <c r="V792" i="3" s="1"/>
  <c r="U792" i="3"/>
  <c r="T792" i="3"/>
  <c r="A792" i="3"/>
  <c r="W791" i="3" a="1"/>
  <c r="W791" i="3" s="1"/>
  <c r="X791" i="3" s="1"/>
  <c r="V791" i="3" a="1"/>
  <c r="V791" i="3" s="1"/>
  <c r="U791" i="3"/>
  <c r="T791" i="3"/>
  <c r="A791" i="3"/>
  <c r="W790" i="3" a="1"/>
  <c r="W790" i="3" s="1"/>
  <c r="X790" i="3" s="1"/>
  <c r="V790" i="3" a="1"/>
  <c r="V790" i="3" s="1"/>
  <c r="U790" i="3"/>
  <c r="T790" i="3"/>
  <c r="A790" i="3"/>
  <c r="W789" i="3" a="1"/>
  <c r="W789" i="3" s="1"/>
  <c r="X789" i="3" s="1"/>
  <c r="V789" i="3" a="1"/>
  <c r="V789" i="3" s="1"/>
  <c r="U789" i="3"/>
  <c r="T789" i="3"/>
  <c r="A789" i="3"/>
  <c r="W788" i="3" a="1"/>
  <c r="W788" i="3" s="1"/>
  <c r="X788" i="3" s="1"/>
  <c r="V788" i="3" a="1"/>
  <c r="V788" i="3" s="1"/>
  <c r="U788" i="3"/>
  <c r="T788" i="3"/>
  <c r="A788" i="3"/>
  <c r="W787" i="3" a="1"/>
  <c r="W787" i="3" s="1"/>
  <c r="X787" i="3" s="1"/>
  <c r="V787" i="3" a="1"/>
  <c r="V787" i="3" s="1"/>
  <c r="U787" i="3"/>
  <c r="T787" i="3"/>
  <c r="A787" i="3"/>
  <c r="W786" i="3" a="1"/>
  <c r="W786" i="3" s="1"/>
  <c r="X786" i="3" s="1"/>
  <c r="V786" i="3" a="1"/>
  <c r="V786" i="3" s="1"/>
  <c r="U786" i="3"/>
  <c r="T786" i="3"/>
  <c r="A786" i="3"/>
  <c r="W785" i="3" a="1"/>
  <c r="W785" i="3" s="1"/>
  <c r="X785" i="3" s="1"/>
  <c r="V785" i="3" a="1"/>
  <c r="V785" i="3" s="1"/>
  <c r="U785" i="3"/>
  <c r="T785" i="3"/>
  <c r="A785" i="3"/>
  <c r="W784" i="3" a="1"/>
  <c r="W784" i="3" s="1"/>
  <c r="X784" i="3" s="1"/>
  <c r="V784" i="3" a="1"/>
  <c r="V784" i="3" s="1"/>
  <c r="U784" i="3"/>
  <c r="T784" i="3"/>
  <c r="A784" i="3"/>
  <c r="W783" i="3" a="1"/>
  <c r="W783" i="3" s="1"/>
  <c r="X783" i="3" s="1"/>
  <c r="V783" i="3" a="1"/>
  <c r="V783" i="3" s="1"/>
  <c r="U783" i="3"/>
  <c r="T783" i="3"/>
  <c r="A783" i="3"/>
  <c r="W782" i="3" a="1"/>
  <c r="W782" i="3" s="1"/>
  <c r="X782" i="3" s="1"/>
  <c r="V782" i="3" a="1"/>
  <c r="V782" i="3" s="1"/>
  <c r="U782" i="3"/>
  <c r="T782" i="3"/>
  <c r="A782" i="3"/>
  <c r="W781" i="3" a="1"/>
  <c r="W781" i="3" s="1"/>
  <c r="X781" i="3" s="1"/>
  <c r="V781" i="3" a="1"/>
  <c r="V781" i="3" s="1"/>
  <c r="U781" i="3"/>
  <c r="T781" i="3"/>
  <c r="A781" i="3"/>
  <c r="W780" i="3" a="1"/>
  <c r="W780" i="3" s="1"/>
  <c r="X780" i="3" s="1"/>
  <c r="V780" i="3" a="1"/>
  <c r="V780" i="3" s="1"/>
  <c r="U780" i="3"/>
  <c r="T780" i="3"/>
  <c r="A780" i="3"/>
  <c r="W779" i="3" a="1"/>
  <c r="W779" i="3" s="1"/>
  <c r="X779" i="3" s="1"/>
  <c r="V779" i="3" a="1"/>
  <c r="V779" i="3" s="1"/>
  <c r="U779" i="3"/>
  <c r="T779" i="3"/>
  <c r="A779" i="3"/>
  <c r="W778" i="3" a="1"/>
  <c r="W778" i="3" s="1"/>
  <c r="X778" i="3" s="1"/>
  <c r="V778" i="3" a="1"/>
  <c r="V778" i="3" s="1"/>
  <c r="U778" i="3"/>
  <c r="T778" i="3"/>
  <c r="A778" i="3"/>
  <c r="W777" i="3" a="1"/>
  <c r="W777" i="3" s="1"/>
  <c r="X777" i="3" s="1"/>
  <c r="V777" i="3" a="1"/>
  <c r="V777" i="3" s="1"/>
  <c r="U777" i="3"/>
  <c r="T777" i="3"/>
  <c r="A777" i="3"/>
  <c r="W776" i="3" a="1"/>
  <c r="W776" i="3" s="1"/>
  <c r="X776" i="3" s="1"/>
  <c r="V776" i="3" a="1"/>
  <c r="V776" i="3" s="1"/>
  <c r="U776" i="3"/>
  <c r="T776" i="3"/>
  <c r="A776" i="3"/>
  <c r="W775" i="3" a="1"/>
  <c r="W775" i="3" s="1"/>
  <c r="X775" i="3" s="1"/>
  <c r="V775" i="3" a="1"/>
  <c r="V775" i="3" s="1"/>
  <c r="U775" i="3"/>
  <c r="T775" i="3"/>
  <c r="A775" i="3"/>
  <c r="W774" i="3" a="1"/>
  <c r="W774" i="3" s="1"/>
  <c r="X774" i="3" s="1"/>
  <c r="V774" i="3" a="1"/>
  <c r="V774" i="3" s="1"/>
  <c r="U774" i="3"/>
  <c r="T774" i="3"/>
  <c r="A774" i="3"/>
  <c r="W773" i="3" a="1"/>
  <c r="W773" i="3" s="1"/>
  <c r="X773" i="3" s="1"/>
  <c r="V773" i="3" a="1"/>
  <c r="V773" i="3" s="1"/>
  <c r="U773" i="3"/>
  <c r="T773" i="3"/>
  <c r="A773" i="3"/>
  <c r="W772" i="3" a="1"/>
  <c r="W772" i="3" s="1"/>
  <c r="X772" i="3" s="1"/>
  <c r="V772" i="3" a="1"/>
  <c r="V772" i="3" s="1"/>
  <c r="U772" i="3"/>
  <c r="T772" i="3"/>
  <c r="A772" i="3"/>
  <c r="W771" i="3" a="1"/>
  <c r="W771" i="3" s="1"/>
  <c r="X771" i="3" s="1"/>
  <c r="V771" i="3" a="1"/>
  <c r="V771" i="3" s="1"/>
  <c r="U771" i="3"/>
  <c r="T771" i="3"/>
  <c r="A771" i="3"/>
  <c r="W770" i="3" a="1"/>
  <c r="W770" i="3" s="1"/>
  <c r="X770" i="3" s="1"/>
  <c r="V770" i="3" a="1"/>
  <c r="V770" i="3" s="1"/>
  <c r="U770" i="3"/>
  <c r="T770" i="3"/>
  <c r="A770" i="3"/>
  <c r="W769" i="3" a="1"/>
  <c r="W769" i="3" s="1"/>
  <c r="X769" i="3" s="1"/>
  <c r="V769" i="3" a="1"/>
  <c r="V769" i="3" s="1"/>
  <c r="U769" i="3"/>
  <c r="T769" i="3"/>
  <c r="A769" i="3"/>
  <c r="W768" i="3" a="1"/>
  <c r="W768" i="3" s="1"/>
  <c r="X768" i="3" s="1"/>
  <c r="V768" i="3" a="1"/>
  <c r="V768" i="3" s="1"/>
  <c r="U768" i="3"/>
  <c r="T768" i="3"/>
  <c r="A768" i="3"/>
  <c r="W767" i="3" a="1"/>
  <c r="W767" i="3" s="1"/>
  <c r="X767" i="3" s="1"/>
  <c r="V767" i="3" a="1"/>
  <c r="V767" i="3" s="1"/>
  <c r="U767" i="3"/>
  <c r="T767" i="3"/>
  <c r="A767" i="3"/>
  <c r="W766" i="3" a="1"/>
  <c r="W766" i="3" s="1"/>
  <c r="X766" i="3" s="1"/>
  <c r="V766" i="3" a="1"/>
  <c r="V766" i="3" s="1"/>
  <c r="U766" i="3"/>
  <c r="T766" i="3"/>
  <c r="A766" i="3"/>
  <c r="W765" i="3" a="1"/>
  <c r="W765" i="3" s="1"/>
  <c r="X765" i="3" s="1"/>
  <c r="V765" i="3" a="1"/>
  <c r="V765" i="3" s="1"/>
  <c r="U765" i="3"/>
  <c r="T765" i="3"/>
  <c r="A765" i="3"/>
  <c r="W764" i="3" a="1"/>
  <c r="W764" i="3" s="1"/>
  <c r="X764" i="3" s="1"/>
  <c r="V764" i="3" a="1"/>
  <c r="V764" i="3" s="1"/>
  <c r="U764" i="3"/>
  <c r="T764" i="3"/>
  <c r="A764" i="3"/>
  <c r="W763" i="3" a="1"/>
  <c r="W763" i="3" s="1"/>
  <c r="X763" i="3" s="1"/>
  <c r="V763" i="3" a="1"/>
  <c r="V763" i="3" s="1"/>
  <c r="U763" i="3"/>
  <c r="T763" i="3"/>
  <c r="A763" i="3"/>
  <c r="W762" i="3" a="1"/>
  <c r="W762" i="3" s="1"/>
  <c r="X762" i="3" s="1"/>
  <c r="V762" i="3" a="1"/>
  <c r="V762" i="3" s="1"/>
  <c r="U762" i="3"/>
  <c r="T762" i="3"/>
  <c r="A762" i="3"/>
  <c r="W761" i="3" a="1"/>
  <c r="W761" i="3" s="1"/>
  <c r="X761" i="3" s="1"/>
  <c r="V761" i="3" a="1"/>
  <c r="V761" i="3" s="1"/>
  <c r="U761" i="3"/>
  <c r="T761" i="3"/>
  <c r="A761" i="3"/>
  <c r="W760" i="3" a="1"/>
  <c r="W760" i="3" s="1"/>
  <c r="X760" i="3" s="1"/>
  <c r="V760" i="3" a="1"/>
  <c r="V760" i="3" s="1"/>
  <c r="U760" i="3"/>
  <c r="T760" i="3"/>
  <c r="A760" i="3"/>
  <c r="W759" i="3" a="1"/>
  <c r="W759" i="3" s="1"/>
  <c r="X759" i="3" s="1"/>
  <c r="V759" i="3" a="1"/>
  <c r="V759" i="3" s="1"/>
  <c r="U759" i="3"/>
  <c r="T759" i="3"/>
  <c r="A759" i="3"/>
  <c r="W758" i="3" a="1"/>
  <c r="W758" i="3" s="1"/>
  <c r="X758" i="3" s="1"/>
  <c r="V758" i="3" a="1"/>
  <c r="V758" i="3" s="1"/>
  <c r="U758" i="3"/>
  <c r="T758" i="3"/>
  <c r="A758" i="3"/>
  <c r="W757" i="3" a="1"/>
  <c r="W757" i="3" s="1"/>
  <c r="X757" i="3" s="1"/>
  <c r="V757" i="3" a="1"/>
  <c r="V757" i="3" s="1"/>
  <c r="U757" i="3"/>
  <c r="T757" i="3"/>
  <c r="A757" i="3"/>
  <c r="W756" i="3" a="1"/>
  <c r="W756" i="3" s="1"/>
  <c r="X756" i="3" s="1"/>
  <c r="V756" i="3" a="1"/>
  <c r="V756" i="3" s="1"/>
  <c r="U756" i="3"/>
  <c r="T756" i="3"/>
  <c r="A756" i="3"/>
  <c r="W755" i="3" a="1"/>
  <c r="W755" i="3" s="1"/>
  <c r="X755" i="3" s="1"/>
  <c r="V755" i="3" a="1"/>
  <c r="V755" i="3" s="1"/>
  <c r="U755" i="3"/>
  <c r="T755" i="3"/>
  <c r="A755" i="3"/>
  <c r="W754" i="3" a="1"/>
  <c r="W754" i="3" s="1"/>
  <c r="X754" i="3" s="1"/>
  <c r="V754" i="3" a="1"/>
  <c r="V754" i="3" s="1"/>
  <c r="U754" i="3"/>
  <c r="T754" i="3"/>
  <c r="A754" i="3"/>
  <c r="W753" i="3" a="1"/>
  <c r="W753" i="3" s="1"/>
  <c r="X753" i="3" s="1"/>
  <c r="V753" i="3" a="1"/>
  <c r="V753" i="3" s="1"/>
  <c r="U753" i="3"/>
  <c r="T753" i="3"/>
  <c r="A753" i="3"/>
  <c r="W752" i="3" a="1"/>
  <c r="W752" i="3" s="1"/>
  <c r="X752" i="3" s="1"/>
  <c r="V752" i="3" a="1"/>
  <c r="V752" i="3" s="1"/>
  <c r="U752" i="3"/>
  <c r="T752" i="3"/>
  <c r="A752" i="3"/>
  <c r="W751" i="3" a="1"/>
  <c r="W751" i="3" s="1"/>
  <c r="X751" i="3" s="1"/>
  <c r="V751" i="3" a="1"/>
  <c r="V751" i="3" s="1"/>
  <c r="U751" i="3"/>
  <c r="T751" i="3"/>
  <c r="A751" i="3"/>
  <c r="W750" i="3" a="1"/>
  <c r="W750" i="3" s="1"/>
  <c r="X750" i="3" s="1"/>
  <c r="V750" i="3" a="1"/>
  <c r="V750" i="3" s="1"/>
  <c r="U750" i="3"/>
  <c r="T750" i="3"/>
  <c r="A750" i="3"/>
  <c r="W749" i="3" a="1"/>
  <c r="W749" i="3" s="1"/>
  <c r="X749" i="3" s="1"/>
  <c r="V749" i="3" a="1"/>
  <c r="V749" i="3" s="1"/>
  <c r="U749" i="3"/>
  <c r="T749" i="3"/>
  <c r="A749" i="3"/>
  <c r="W748" i="3" a="1"/>
  <c r="W748" i="3" s="1"/>
  <c r="X748" i="3" s="1"/>
  <c r="V748" i="3" a="1"/>
  <c r="V748" i="3" s="1"/>
  <c r="U748" i="3"/>
  <c r="T748" i="3"/>
  <c r="A748" i="3"/>
  <c r="W747" i="3" a="1"/>
  <c r="W747" i="3" s="1"/>
  <c r="X747" i="3" s="1"/>
  <c r="V747" i="3" a="1"/>
  <c r="V747" i="3" s="1"/>
  <c r="U747" i="3"/>
  <c r="T747" i="3"/>
  <c r="A747" i="3"/>
  <c r="W746" i="3" a="1"/>
  <c r="W746" i="3" s="1"/>
  <c r="X746" i="3" s="1"/>
  <c r="V746" i="3" a="1"/>
  <c r="V746" i="3" s="1"/>
  <c r="U746" i="3"/>
  <c r="T746" i="3"/>
  <c r="A746" i="3"/>
  <c r="W745" i="3" a="1"/>
  <c r="W745" i="3" s="1"/>
  <c r="X745" i="3" s="1"/>
  <c r="V745" i="3" a="1"/>
  <c r="V745" i="3" s="1"/>
  <c r="U745" i="3"/>
  <c r="T745" i="3"/>
  <c r="A745" i="3"/>
  <c r="W744" i="3" a="1"/>
  <c r="W744" i="3" s="1"/>
  <c r="X744" i="3" s="1"/>
  <c r="V744" i="3" a="1"/>
  <c r="V744" i="3" s="1"/>
  <c r="U744" i="3"/>
  <c r="T744" i="3"/>
  <c r="A744" i="3"/>
  <c r="W743" i="3" a="1"/>
  <c r="W743" i="3" s="1"/>
  <c r="X743" i="3" s="1"/>
  <c r="V743" i="3" a="1"/>
  <c r="V743" i="3" s="1"/>
  <c r="U743" i="3"/>
  <c r="T743" i="3"/>
  <c r="A743" i="3"/>
  <c r="W742" i="3" a="1"/>
  <c r="W742" i="3" s="1"/>
  <c r="X742" i="3" s="1"/>
  <c r="V742" i="3" a="1"/>
  <c r="V742" i="3" s="1"/>
  <c r="U742" i="3"/>
  <c r="T742" i="3"/>
  <c r="A742" i="3"/>
  <c r="W741" i="3" a="1"/>
  <c r="W741" i="3" s="1"/>
  <c r="X741" i="3" s="1"/>
  <c r="V741" i="3" a="1"/>
  <c r="V741" i="3" s="1"/>
  <c r="U741" i="3"/>
  <c r="T741" i="3"/>
  <c r="A741" i="3"/>
  <c r="W740" i="3" a="1"/>
  <c r="W740" i="3" s="1"/>
  <c r="X740" i="3" s="1"/>
  <c r="V740" i="3" a="1"/>
  <c r="V740" i="3" s="1"/>
  <c r="U740" i="3"/>
  <c r="T740" i="3"/>
  <c r="A740" i="3"/>
  <c r="W739" i="3" a="1"/>
  <c r="W739" i="3" s="1"/>
  <c r="X739" i="3" s="1"/>
  <c r="V739" i="3" a="1"/>
  <c r="V739" i="3" s="1"/>
  <c r="U739" i="3"/>
  <c r="T739" i="3"/>
  <c r="A739" i="3"/>
  <c r="W738" i="3" a="1"/>
  <c r="W738" i="3" s="1"/>
  <c r="X738" i="3" s="1"/>
  <c r="V738" i="3" a="1"/>
  <c r="V738" i="3" s="1"/>
  <c r="U738" i="3"/>
  <c r="T738" i="3"/>
  <c r="A738" i="3"/>
  <c r="W737" i="3" a="1"/>
  <c r="W737" i="3" s="1"/>
  <c r="X737" i="3" s="1"/>
  <c r="V737" i="3" a="1"/>
  <c r="V737" i="3" s="1"/>
  <c r="U737" i="3"/>
  <c r="T737" i="3"/>
  <c r="A737" i="3"/>
  <c r="W736" i="3" a="1"/>
  <c r="W736" i="3" s="1"/>
  <c r="X736" i="3" s="1"/>
  <c r="V736" i="3" a="1"/>
  <c r="V736" i="3" s="1"/>
  <c r="U736" i="3"/>
  <c r="T736" i="3"/>
  <c r="A736" i="3"/>
  <c r="W735" i="3" a="1"/>
  <c r="W735" i="3" s="1"/>
  <c r="X735" i="3" s="1"/>
  <c r="V735" i="3" a="1"/>
  <c r="V735" i="3" s="1"/>
  <c r="U735" i="3"/>
  <c r="T735" i="3"/>
  <c r="A735" i="3"/>
  <c r="W734" i="3" a="1"/>
  <c r="W734" i="3" s="1"/>
  <c r="X734" i="3" s="1"/>
  <c r="V734" i="3" a="1"/>
  <c r="V734" i="3" s="1"/>
  <c r="U734" i="3"/>
  <c r="T734" i="3"/>
  <c r="A734" i="3"/>
  <c r="W733" i="3" a="1"/>
  <c r="W733" i="3" s="1"/>
  <c r="X733" i="3" s="1"/>
  <c r="V733" i="3" a="1"/>
  <c r="V733" i="3" s="1"/>
  <c r="U733" i="3"/>
  <c r="T733" i="3"/>
  <c r="A733" i="3"/>
  <c r="W732" i="3" a="1"/>
  <c r="W732" i="3" s="1"/>
  <c r="X732" i="3" s="1"/>
  <c r="V732" i="3" a="1"/>
  <c r="V732" i="3" s="1"/>
  <c r="U732" i="3"/>
  <c r="T732" i="3"/>
  <c r="A732" i="3"/>
  <c r="W731" i="3" a="1"/>
  <c r="W731" i="3" s="1"/>
  <c r="X731" i="3" s="1"/>
  <c r="V731" i="3" a="1"/>
  <c r="V731" i="3" s="1"/>
  <c r="U731" i="3"/>
  <c r="T731" i="3"/>
  <c r="A731" i="3"/>
  <c r="W730" i="3" a="1"/>
  <c r="W730" i="3" s="1"/>
  <c r="X730" i="3" s="1"/>
  <c r="V730" i="3" a="1"/>
  <c r="V730" i="3" s="1"/>
  <c r="U730" i="3"/>
  <c r="T730" i="3"/>
  <c r="A730" i="3"/>
  <c r="W729" i="3" a="1"/>
  <c r="W729" i="3" s="1"/>
  <c r="X729" i="3" s="1"/>
  <c r="V729" i="3" a="1"/>
  <c r="V729" i="3" s="1"/>
  <c r="U729" i="3"/>
  <c r="T729" i="3"/>
  <c r="A729" i="3"/>
  <c r="W728" i="3" a="1"/>
  <c r="W728" i="3" s="1"/>
  <c r="X728" i="3" s="1"/>
  <c r="V728" i="3" a="1"/>
  <c r="V728" i="3" s="1"/>
  <c r="U728" i="3"/>
  <c r="T728" i="3"/>
  <c r="A728" i="3"/>
  <c r="W727" i="3" a="1"/>
  <c r="W727" i="3" s="1"/>
  <c r="X727" i="3" s="1"/>
  <c r="V727" i="3" a="1"/>
  <c r="V727" i="3" s="1"/>
  <c r="U727" i="3"/>
  <c r="T727" i="3"/>
  <c r="A727" i="3"/>
  <c r="W726" i="3" a="1"/>
  <c r="W726" i="3" s="1"/>
  <c r="X726" i="3" s="1"/>
  <c r="V726" i="3" a="1"/>
  <c r="V726" i="3" s="1"/>
  <c r="U726" i="3"/>
  <c r="T726" i="3"/>
  <c r="A726" i="3"/>
  <c r="W725" i="3" a="1"/>
  <c r="W725" i="3" s="1"/>
  <c r="X725" i="3" s="1"/>
  <c r="V725" i="3" a="1"/>
  <c r="V725" i="3" s="1"/>
  <c r="U725" i="3"/>
  <c r="T725" i="3"/>
  <c r="A725" i="3"/>
  <c r="W724" i="3" a="1"/>
  <c r="W724" i="3" s="1"/>
  <c r="X724" i="3" s="1"/>
  <c r="V724" i="3" a="1"/>
  <c r="V724" i="3" s="1"/>
  <c r="U724" i="3"/>
  <c r="T724" i="3"/>
  <c r="A724" i="3"/>
  <c r="W723" i="3" a="1"/>
  <c r="W723" i="3" s="1"/>
  <c r="X723" i="3" s="1"/>
  <c r="V723" i="3" a="1"/>
  <c r="V723" i="3" s="1"/>
  <c r="U723" i="3"/>
  <c r="T723" i="3"/>
  <c r="A723" i="3"/>
  <c r="W722" i="3" a="1"/>
  <c r="W722" i="3" s="1"/>
  <c r="X722" i="3" s="1"/>
  <c r="V722" i="3" a="1"/>
  <c r="V722" i="3" s="1"/>
  <c r="U722" i="3"/>
  <c r="T722" i="3"/>
  <c r="A722" i="3"/>
  <c r="W721" i="3" a="1"/>
  <c r="W721" i="3" s="1"/>
  <c r="X721" i="3" s="1"/>
  <c r="V721" i="3" a="1"/>
  <c r="V721" i="3" s="1"/>
  <c r="U721" i="3"/>
  <c r="T721" i="3"/>
  <c r="A721" i="3"/>
  <c r="W720" i="3" a="1"/>
  <c r="W720" i="3" s="1"/>
  <c r="X720" i="3" s="1"/>
  <c r="V720" i="3" a="1"/>
  <c r="V720" i="3" s="1"/>
  <c r="U720" i="3"/>
  <c r="T720" i="3"/>
  <c r="A720" i="3"/>
  <c r="W719" i="3" a="1"/>
  <c r="W719" i="3" s="1"/>
  <c r="X719" i="3" s="1"/>
  <c r="V719" i="3" a="1"/>
  <c r="V719" i="3" s="1"/>
  <c r="U719" i="3"/>
  <c r="T719" i="3"/>
  <c r="A719" i="3"/>
  <c r="W718" i="3" a="1"/>
  <c r="W718" i="3" s="1"/>
  <c r="X718" i="3" s="1"/>
  <c r="V718" i="3" a="1"/>
  <c r="V718" i="3" s="1"/>
  <c r="U718" i="3"/>
  <c r="T718" i="3"/>
  <c r="A718" i="3"/>
  <c r="W717" i="3" a="1"/>
  <c r="W717" i="3" s="1"/>
  <c r="X717" i="3" s="1"/>
  <c r="V717" i="3" a="1"/>
  <c r="V717" i="3" s="1"/>
  <c r="U717" i="3"/>
  <c r="T717" i="3"/>
  <c r="A717" i="3"/>
  <c r="W716" i="3" a="1"/>
  <c r="W716" i="3" s="1"/>
  <c r="X716" i="3" s="1"/>
  <c r="V716" i="3" a="1"/>
  <c r="V716" i="3" s="1"/>
  <c r="U716" i="3"/>
  <c r="T716" i="3"/>
  <c r="A716" i="3"/>
  <c r="W715" i="3" a="1"/>
  <c r="W715" i="3" s="1"/>
  <c r="X715" i="3" s="1"/>
  <c r="V715" i="3" a="1"/>
  <c r="V715" i="3" s="1"/>
  <c r="U715" i="3"/>
  <c r="T715" i="3"/>
  <c r="A715" i="3"/>
  <c r="W714" i="3" a="1"/>
  <c r="W714" i="3" s="1"/>
  <c r="X714" i="3" s="1"/>
  <c r="V714" i="3" a="1"/>
  <c r="V714" i="3" s="1"/>
  <c r="U714" i="3"/>
  <c r="T714" i="3"/>
  <c r="A714" i="3"/>
  <c r="W713" i="3" a="1"/>
  <c r="W713" i="3" s="1"/>
  <c r="X713" i="3" s="1"/>
  <c r="V713" i="3" a="1"/>
  <c r="V713" i="3" s="1"/>
  <c r="U713" i="3"/>
  <c r="T713" i="3"/>
  <c r="A713" i="3"/>
  <c r="W712" i="3" a="1"/>
  <c r="W712" i="3" s="1"/>
  <c r="X712" i="3" s="1"/>
  <c r="V712" i="3" a="1"/>
  <c r="V712" i="3" s="1"/>
  <c r="U712" i="3"/>
  <c r="T712" i="3"/>
  <c r="A712" i="3"/>
  <c r="W711" i="3" a="1"/>
  <c r="W711" i="3" s="1"/>
  <c r="X711" i="3" s="1"/>
  <c r="V711" i="3" a="1"/>
  <c r="V711" i="3" s="1"/>
  <c r="U711" i="3"/>
  <c r="T711" i="3"/>
  <c r="A711" i="3"/>
  <c r="W710" i="3" a="1"/>
  <c r="W710" i="3" s="1"/>
  <c r="X710" i="3" s="1"/>
  <c r="V710" i="3" a="1"/>
  <c r="V710" i="3" s="1"/>
  <c r="U710" i="3"/>
  <c r="T710" i="3"/>
  <c r="A710" i="3"/>
  <c r="W709" i="3" a="1"/>
  <c r="W709" i="3" s="1"/>
  <c r="X709" i="3" s="1"/>
  <c r="V709" i="3" a="1"/>
  <c r="V709" i="3" s="1"/>
  <c r="U709" i="3"/>
  <c r="T709" i="3"/>
  <c r="A709" i="3"/>
  <c r="W708" i="3" a="1"/>
  <c r="W708" i="3" s="1"/>
  <c r="X708" i="3" s="1"/>
  <c r="V708" i="3" a="1"/>
  <c r="V708" i="3" s="1"/>
  <c r="U708" i="3"/>
  <c r="T708" i="3"/>
  <c r="A708" i="3"/>
  <c r="W707" i="3" a="1"/>
  <c r="W707" i="3" s="1"/>
  <c r="X707" i="3" s="1"/>
  <c r="V707" i="3" a="1"/>
  <c r="V707" i="3" s="1"/>
  <c r="U707" i="3"/>
  <c r="T707" i="3"/>
  <c r="A707" i="3"/>
  <c r="W706" i="3" a="1"/>
  <c r="W706" i="3" s="1"/>
  <c r="X706" i="3" s="1"/>
  <c r="V706" i="3" a="1"/>
  <c r="V706" i="3" s="1"/>
  <c r="U706" i="3"/>
  <c r="T706" i="3"/>
  <c r="A706" i="3"/>
  <c r="W705" i="3" a="1"/>
  <c r="W705" i="3" s="1"/>
  <c r="X705" i="3" s="1"/>
  <c r="V705" i="3" a="1"/>
  <c r="V705" i="3" s="1"/>
  <c r="U705" i="3"/>
  <c r="T705" i="3"/>
  <c r="A705" i="3"/>
  <c r="W704" i="3" a="1"/>
  <c r="W704" i="3" s="1"/>
  <c r="X704" i="3" s="1"/>
  <c r="V704" i="3" a="1"/>
  <c r="V704" i="3" s="1"/>
  <c r="U704" i="3"/>
  <c r="T704" i="3"/>
  <c r="A704" i="3"/>
  <c r="W703" i="3" a="1"/>
  <c r="W703" i="3" s="1"/>
  <c r="X703" i="3" s="1"/>
  <c r="V703" i="3" a="1"/>
  <c r="V703" i="3" s="1"/>
  <c r="U703" i="3"/>
  <c r="T703" i="3"/>
  <c r="A703" i="3"/>
  <c r="W702" i="3" a="1"/>
  <c r="W702" i="3" s="1"/>
  <c r="X702" i="3" s="1"/>
  <c r="V702" i="3" a="1"/>
  <c r="V702" i="3" s="1"/>
  <c r="U702" i="3"/>
  <c r="T702" i="3"/>
  <c r="A702" i="3"/>
  <c r="W701" i="3" a="1"/>
  <c r="W701" i="3" s="1"/>
  <c r="X701" i="3" s="1"/>
  <c r="V701" i="3" a="1"/>
  <c r="V701" i="3" s="1"/>
  <c r="U701" i="3"/>
  <c r="T701" i="3"/>
  <c r="A701" i="3"/>
  <c r="W700" i="3" a="1"/>
  <c r="W700" i="3" s="1"/>
  <c r="X700" i="3" s="1"/>
  <c r="V700" i="3" a="1"/>
  <c r="V700" i="3" s="1"/>
  <c r="U700" i="3"/>
  <c r="T700" i="3"/>
  <c r="A700" i="3"/>
  <c r="W699" i="3" a="1"/>
  <c r="W699" i="3" s="1"/>
  <c r="X699" i="3" s="1"/>
  <c r="V699" i="3" a="1"/>
  <c r="V699" i="3" s="1"/>
  <c r="U699" i="3"/>
  <c r="T699" i="3"/>
  <c r="A699" i="3"/>
  <c r="W698" i="3" a="1"/>
  <c r="W698" i="3" s="1"/>
  <c r="X698" i="3" s="1"/>
  <c r="V698" i="3" a="1"/>
  <c r="V698" i="3" s="1"/>
  <c r="U698" i="3"/>
  <c r="T698" i="3"/>
  <c r="A698" i="3"/>
  <c r="W697" i="3" a="1"/>
  <c r="W697" i="3" s="1"/>
  <c r="X697" i="3" s="1"/>
  <c r="V697" i="3" a="1"/>
  <c r="V697" i="3" s="1"/>
  <c r="U697" i="3"/>
  <c r="T697" i="3"/>
  <c r="A697" i="3"/>
  <c r="W696" i="3" a="1"/>
  <c r="W696" i="3" s="1"/>
  <c r="X696" i="3" s="1"/>
  <c r="V696" i="3" a="1"/>
  <c r="V696" i="3" s="1"/>
  <c r="U696" i="3"/>
  <c r="T696" i="3"/>
  <c r="A696" i="3"/>
  <c r="W695" i="3" a="1"/>
  <c r="W695" i="3" s="1"/>
  <c r="X695" i="3" s="1"/>
  <c r="V695" i="3" a="1"/>
  <c r="V695" i="3" s="1"/>
  <c r="U695" i="3"/>
  <c r="T695" i="3"/>
  <c r="A695" i="3"/>
  <c r="W694" i="3" a="1"/>
  <c r="W694" i="3" s="1"/>
  <c r="X694" i="3" s="1"/>
  <c r="V694" i="3" a="1"/>
  <c r="V694" i="3" s="1"/>
  <c r="U694" i="3"/>
  <c r="T694" i="3"/>
  <c r="A694" i="3"/>
  <c r="W693" i="3" a="1"/>
  <c r="W693" i="3" s="1"/>
  <c r="X693" i="3" s="1"/>
  <c r="V693" i="3" a="1"/>
  <c r="V693" i="3" s="1"/>
  <c r="U693" i="3"/>
  <c r="T693" i="3"/>
  <c r="A693" i="3"/>
  <c r="W692" i="3" a="1"/>
  <c r="W692" i="3" s="1"/>
  <c r="X692" i="3" s="1"/>
  <c r="V692" i="3" a="1"/>
  <c r="V692" i="3" s="1"/>
  <c r="U692" i="3"/>
  <c r="T692" i="3"/>
  <c r="A692" i="3"/>
  <c r="W691" i="3" a="1"/>
  <c r="W691" i="3" s="1"/>
  <c r="X691" i="3" s="1"/>
  <c r="V691" i="3" a="1"/>
  <c r="V691" i="3" s="1"/>
  <c r="U691" i="3"/>
  <c r="T691" i="3"/>
  <c r="A691" i="3"/>
  <c r="W690" i="3" a="1"/>
  <c r="W690" i="3" s="1"/>
  <c r="X690" i="3" s="1"/>
  <c r="V690" i="3" a="1"/>
  <c r="V690" i="3" s="1"/>
  <c r="U690" i="3"/>
  <c r="T690" i="3"/>
  <c r="A690" i="3"/>
  <c r="W689" i="3" a="1"/>
  <c r="W689" i="3" s="1"/>
  <c r="X689" i="3" s="1"/>
  <c r="V689" i="3" a="1"/>
  <c r="V689" i="3" s="1"/>
  <c r="U689" i="3"/>
  <c r="T689" i="3"/>
  <c r="A689" i="3"/>
  <c r="W688" i="3" a="1"/>
  <c r="W688" i="3" s="1"/>
  <c r="X688" i="3" s="1"/>
  <c r="V688" i="3" a="1"/>
  <c r="V688" i="3" s="1"/>
  <c r="U688" i="3"/>
  <c r="T688" i="3"/>
  <c r="A688" i="3"/>
  <c r="W687" i="3" a="1"/>
  <c r="W687" i="3" s="1"/>
  <c r="X687" i="3" s="1"/>
  <c r="V687" i="3" a="1"/>
  <c r="V687" i="3" s="1"/>
  <c r="U687" i="3"/>
  <c r="T687" i="3"/>
  <c r="A687" i="3"/>
  <c r="W686" i="3" a="1"/>
  <c r="W686" i="3" s="1"/>
  <c r="X686" i="3" s="1"/>
  <c r="V686" i="3" a="1"/>
  <c r="V686" i="3" s="1"/>
  <c r="U686" i="3"/>
  <c r="T686" i="3"/>
  <c r="A686" i="3"/>
  <c r="W685" i="3" a="1"/>
  <c r="W685" i="3" s="1"/>
  <c r="X685" i="3" s="1"/>
  <c r="V685" i="3" a="1"/>
  <c r="V685" i="3" s="1"/>
  <c r="U685" i="3"/>
  <c r="T685" i="3"/>
  <c r="A685" i="3"/>
  <c r="W684" i="3" a="1"/>
  <c r="W684" i="3" s="1"/>
  <c r="X684" i="3" s="1"/>
  <c r="V684" i="3" a="1"/>
  <c r="V684" i="3" s="1"/>
  <c r="U684" i="3"/>
  <c r="T684" i="3"/>
  <c r="A684" i="3"/>
  <c r="W683" i="3" a="1"/>
  <c r="W683" i="3" s="1"/>
  <c r="X683" i="3" s="1"/>
  <c r="V683" i="3" a="1"/>
  <c r="V683" i="3" s="1"/>
  <c r="U683" i="3"/>
  <c r="T683" i="3"/>
  <c r="A683" i="3"/>
  <c r="W682" i="3" a="1"/>
  <c r="W682" i="3" s="1"/>
  <c r="X682" i="3" s="1"/>
  <c r="V682" i="3" a="1"/>
  <c r="V682" i="3" s="1"/>
  <c r="U682" i="3"/>
  <c r="T682" i="3"/>
  <c r="A682" i="3"/>
  <c r="W681" i="3" a="1"/>
  <c r="W681" i="3" s="1"/>
  <c r="X681" i="3" s="1"/>
  <c r="V681" i="3" a="1"/>
  <c r="V681" i="3" s="1"/>
  <c r="U681" i="3"/>
  <c r="T681" i="3"/>
  <c r="A681" i="3"/>
  <c r="W680" i="3" a="1"/>
  <c r="W680" i="3" s="1"/>
  <c r="X680" i="3" s="1"/>
  <c r="V680" i="3" a="1"/>
  <c r="V680" i="3" s="1"/>
  <c r="U680" i="3"/>
  <c r="T680" i="3"/>
  <c r="A680" i="3"/>
  <c r="W679" i="3" a="1"/>
  <c r="W679" i="3" s="1"/>
  <c r="X679" i="3" s="1"/>
  <c r="V679" i="3" a="1"/>
  <c r="V679" i="3" s="1"/>
  <c r="U679" i="3"/>
  <c r="T679" i="3"/>
  <c r="A679" i="3"/>
  <c r="W678" i="3" a="1"/>
  <c r="W678" i="3" s="1"/>
  <c r="X678" i="3" s="1"/>
  <c r="V678" i="3" a="1"/>
  <c r="V678" i="3" s="1"/>
  <c r="U678" i="3"/>
  <c r="T678" i="3"/>
  <c r="A678" i="3"/>
  <c r="W677" i="3" a="1"/>
  <c r="W677" i="3" s="1"/>
  <c r="X677" i="3" s="1"/>
  <c r="V677" i="3" a="1"/>
  <c r="V677" i="3" s="1"/>
  <c r="U677" i="3"/>
  <c r="T677" i="3"/>
  <c r="A677" i="3"/>
  <c r="W676" i="3" a="1"/>
  <c r="W676" i="3" s="1"/>
  <c r="X676" i="3" s="1"/>
  <c r="V676" i="3" a="1"/>
  <c r="V676" i="3" s="1"/>
  <c r="U676" i="3"/>
  <c r="T676" i="3"/>
  <c r="A676" i="3"/>
  <c r="W675" i="3" a="1"/>
  <c r="W675" i="3" s="1"/>
  <c r="X675" i="3" s="1"/>
  <c r="V675" i="3" a="1"/>
  <c r="V675" i="3" s="1"/>
  <c r="U675" i="3"/>
  <c r="T675" i="3"/>
  <c r="A675" i="3"/>
  <c r="W674" i="3" a="1"/>
  <c r="W674" i="3" s="1"/>
  <c r="X674" i="3" s="1"/>
  <c r="V674" i="3" a="1"/>
  <c r="V674" i="3" s="1"/>
  <c r="U674" i="3"/>
  <c r="T674" i="3"/>
  <c r="A674" i="3"/>
  <c r="W673" i="3" a="1"/>
  <c r="W673" i="3" s="1"/>
  <c r="X673" i="3" s="1"/>
  <c r="V673" i="3" a="1"/>
  <c r="V673" i="3" s="1"/>
  <c r="U673" i="3"/>
  <c r="T673" i="3"/>
  <c r="A673" i="3"/>
  <c r="W672" i="3" a="1"/>
  <c r="W672" i="3" s="1"/>
  <c r="X672" i="3" s="1"/>
  <c r="V672" i="3" a="1"/>
  <c r="V672" i="3" s="1"/>
  <c r="U672" i="3"/>
  <c r="T672" i="3"/>
  <c r="A672" i="3"/>
  <c r="W671" i="3" a="1"/>
  <c r="W671" i="3" s="1"/>
  <c r="X671" i="3" s="1"/>
  <c r="V671" i="3" a="1"/>
  <c r="V671" i="3" s="1"/>
  <c r="U671" i="3"/>
  <c r="T671" i="3"/>
  <c r="A671" i="3"/>
  <c r="W670" i="3" a="1"/>
  <c r="W670" i="3" s="1"/>
  <c r="X670" i="3" s="1"/>
  <c r="V670" i="3" a="1"/>
  <c r="V670" i="3" s="1"/>
  <c r="U670" i="3"/>
  <c r="T670" i="3"/>
  <c r="A670" i="3"/>
  <c r="W669" i="3" a="1"/>
  <c r="W669" i="3" s="1"/>
  <c r="X669" i="3" s="1"/>
  <c r="V669" i="3" a="1"/>
  <c r="V669" i="3" s="1"/>
  <c r="U669" i="3"/>
  <c r="T669" i="3"/>
  <c r="A669" i="3"/>
  <c r="W668" i="3" a="1"/>
  <c r="W668" i="3" s="1"/>
  <c r="X668" i="3" s="1"/>
  <c r="V668" i="3" a="1"/>
  <c r="V668" i="3" s="1"/>
  <c r="U668" i="3"/>
  <c r="T668" i="3"/>
  <c r="A668" i="3"/>
  <c r="W667" i="3" a="1"/>
  <c r="W667" i="3" s="1"/>
  <c r="X667" i="3" s="1"/>
  <c r="V667" i="3" a="1"/>
  <c r="V667" i="3" s="1"/>
  <c r="U667" i="3"/>
  <c r="T667" i="3"/>
  <c r="A667" i="3"/>
  <c r="W666" i="3" a="1"/>
  <c r="W666" i="3" s="1"/>
  <c r="X666" i="3" s="1"/>
  <c r="V666" i="3" a="1"/>
  <c r="V666" i="3" s="1"/>
  <c r="U666" i="3"/>
  <c r="T666" i="3"/>
  <c r="A666" i="3"/>
  <c r="W665" i="3" a="1"/>
  <c r="W665" i="3" s="1"/>
  <c r="X665" i="3" s="1"/>
  <c r="V665" i="3" a="1"/>
  <c r="V665" i="3" s="1"/>
  <c r="U665" i="3"/>
  <c r="T665" i="3"/>
  <c r="A665" i="3"/>
  <c r="W664" i="3" a="1"/>
  <c r="W664" i="3" s="1"/>
  <c r="X664" i="3" s="1"/>
  <c r="V664" i="3" a="1"/>
  <c r="V664" i="3" s="1"/>
  <c r="U664" i="3"/>
  <c r="T664" i="3"/>
  <c r="A664" i="3"/>
  <c r="W663" i="3" a="1"/>
  <c r="W663" i="3" s="1"/>
  <c r="X663" i="3" s="1"/>
  <c r="V663" i="3" a="1"/>
  <c r="V663" i="3" s="1"/>
  <c r="U663" i="3"/>
  <c r="T663" i="3"/>
  <c r="A663" i="3"/>
  <c r="W662" i="3" a="1"/>
  <c r="W662" i="3" s="1"/>
  <c r="X662" i="3" s="1"/>
  <c r="V662" i="3" a="1"/>
  <c r="V662" i="3" s="1"/>
  <c r="U662" i="3"/>
  <c r="T662" i="3"/>
  <c r="A662" i="3"/>
  <c r="W661" i="3" a="1"/>
  <c r="W661" i="3" s="1"/>
  <c r="X661" i="3" s="1"/>
  <c r="V661" i="3" a="1"/>
  <c r="V661" i="3" s="1"/>
  <c r="U661" i="3"/>
  <c r="T661" i="3"/>
  <c r="A661" i="3"/>
  <c r="W660" i="3" a="1"/>
  <c r="W660" i="3" s="1"/>
  <c r="X660" i="3" s="1"/>
  <c r="V660" i="3" a="1"/>
  <c r="V660" i="3" s="1"/>
  <c r="U660" i="3"/>
  <c r="T660" i="3"/>
  <c r="A660" i="3"/>
  <c r="W659" i="3" a="1"/>
  <c r="W659" i="3" s="1"/>
  <c r="X659" i="3" s="1"/>
  <c r="V659" i="3" a="1"/>
  <c r="V659" i="3" s="1"/>
  <c r="U659" i="3"/>
  <c r="T659" i="3"/>
  <c r="A659" i="3"/>
  <c r="W658" i="3" a="1"/>
  <c r="W658" i="3" s="1"/>
  <c r="X658" i="3" s="1"/>
  <c r="V658" i="3" a="1"/>
  <c r="V658" i="3" s="1"/>
  <c r="U658" i="3"/>
  <c r="T658" i="3"/>
  <c r="A658" i="3"/>
  <c r="W657" i="3" a="1"/>
  <c r="W657" i="3" s="1"/>
  <c r="X657" i="3" s="1"/>
  <c r="V657" i="3" a="1"/>
  <c r="V657" i="3" s="1"/>
  <c r="U657" i="3"/>
  <c r="T657" i="3"/>
  <c r="A657" i="3"/>
  <c r="W656" i="3" a="1"/>
  <c r="W656" i="3" s="1"/>
  <c r="X656" i="3" s="1"/>
  <c r="V656" i="3" a="1"/>
  <c r="V656" i="3" s="1"/>
  <c r="U656" i="3"/>
  <c r="T656" i="3"/>
  <c r="A656" i="3"/>
  <c r="W655" i="3" a="1"/>
  <c r="W655" i="3" s="1"/>
  <c r="X655" i="3" s="1"/>
  <c r="V655" i="3" a="1"/>
  <c r="V655" i="3" s="1"/>
  <c r="U655" i="3"/>
  <c r="T655" i="3"/>
  <c r="A655" i="3"/>
  <c r="W654" i="3" a="1"/>
  <c r="W654" i="3" s="1"/>
  <c r="X654" i="3" s="1"/>
  <c r="V654" i="3" a="1"/>
  <c r="V654" i="3" s="1"/>
  <c r="U654" i="3"/>
  <c r="T654" i="3"/>
  <c r="A654" i="3"/>
  <c r="W653" i="3" a="1"/>
  <c r="W653" i="3" s="1"/>
  <c r="X653" i="3" s="1"/>
  <c r="V653" i="3" a="1"/>
  <c r="V653" i="3" s="1"/>
  <c r="U653" i="3"/>
  <c r="T653" i="3"/>
  <c r="A653" i="3"/>
  <c r="W652" i="3" a="1"/>
  <c r="W652" i="3" s="1"/>
  <c r="X652" i="3" s="1"/>
  <c r="V652" i="3" a="1"/>
  <c r="V652" i="3" s="1"/>
  <c r="U652" i="3"/>
  <c r="T652" i="3"/>
  <c r="A652" i="3"/>
  <c r="W651" i="3" a="1"/>
  <c r="W651" i="3" s="1"/>
  <c r="X651" i="3" s="1"/>
  <c r="V651" i="3" a="1"/>
  <c r="V651" i="3" s="1"/>
  <c r="U651" i="3"/>
  <c r="T651" i="3"/>
  <c r="A651" i="3"/>
  <c r="W650" i="3" a="1"/>
  <c r="W650" i="3" s="1"/>
  <c r="X650" i="3" s="1"/>
  <c r="V650" i="3" a="1"/>
  <c r="V650" i="3" s="1"/>
  <c r="U650" i="3"/>
  <c r="T650" i="3"/>
  <c r="A650" i="3"/>
  <c r="W649" i="3" a="1"/>
  <c r="W649" i="3" s="1"/>
  <c r="X649" i="3" s="1"/>
  <c r="V649" i="3" a="1"/>
  <c r="V649" i="3" s="1"/>
  <c r="U649" i="3"/>
  <c r="T649" i="3"/>
  <c r="A649" i="3"/>
  <c r="W648" i="3" a="1"/>
  <c r="W648" i="3" s="1"/>
  <c r="X648" i="3" s="1"/>
  <c r="V648" i="3" a="1"/>
  <c r="V648" i="3" s="1"/>
  <c r="U648" i="3"/>
  <c r="T648" i="3"/>
  <c r="A648" i="3"/>
  <c r="W647" i="3" a="1"/>
  <c r="W647" i="3" s="1"/>
  <c r="X647" i="3" s="1"/>
  <c r="V647" i="3" a="1"/>
  <c r="V647" i="3" s="1"/>
  <c r="U647" i="3"/>
  <c r="T647" i="3"/>
  <c r="A647" i="3"/>
  <c r="W646" i="3" a="1"/>
  <c r="W646" i="3" s="1"/>
  <c r="X646" i="3" s="1"/>
  <c r="V646" i="3" a="1"/>
  <c r="V646" i="3" s="1"/>
  <c r="U646" i="3"/>
  <c r="T646" i="3"/>
  <c r="A646" i="3"/>
  <c r="W645" i="3" a="1"/>
  <c r="W645" i="3" s="1"/>
  <c r="X645" i="3" s="1"/>
  <c r="V645" i="3" a="1"/>
  <c r="V645" i="3" s="1"/>
  <c r="U645" i="3"/>
  <c r="T645" i="3"/>
  <c r="A645" i="3"/>
  <c r="W644" i="3" a="1"/>
  <c r="W644" i="3" s="1"/>
  <c r="X644" i="3" s="1"/>
  <c r="V644" i="3" a="1"/>
  <c r="V644" i="3" s="1"/>
  <c r="U644" i="3"/>
  <c r="T644" i="3"/>
  <c r="A644" i="3"/>
  <c r="W643" i="3" a="1"/>
  <c r="W643" i="3" s="1"/>
  <c r="X643" i="3" s="1"/>
  <c r="V643" i="3" a="1"/>
  <c r="V643" i="3" s="1"/>
  <c r="U643" i="3"/>
  <c r="T643" i="3"/>
  <c r="A643" i="3"/>
  <c r="W642" i="3" a="1"/>
  <c r="W642" i="3" s="1"/>
  <c r="X642" i="3" s="1"/>
  <c r="V642" i="3" a="1"/>
  <c r="V642" i="3" s="1"/>
  <c r="U642" i="3"/>
  <c r="T642" i="3"/>
  <c r="A642" i="3"/>
  <c r="W641" i="3" a="1"/>
  <c r="W641" i="3" s="1"/>
  <c r="X641" i="3" s="1"/>
  <c r="V641" i="3" a="1"/>
  <c r="V641" i="3" s="1"/>
  <c r="U641" i="3"/>
  <c r="T641" i="3"/>
  <c r="A641" i="3"/>
  <c r="W640" i="3" a="1"/>
  <c r="W640" i="3" s="1"/>
  <c r="X640" i="3" s="1"/>
  <c r="V640" i="3" a="1"/>
  <c r="V640" i="3" s="1"/>
  <c r="U640" i="3"/>
  <c r="T640" i="3"/>
  <c r="A640" i="3"/>
  <c r="W639" i="3" a="1"/>
  <c r="W639" i="3" s="1"/>
  <c r="X639" i="3" s="1"/>
  <c r="V639" i="3" a="1"/>
  <c r="V639" i="3" s="1"/>
  <c r="U639" i="3"/>
  <c r="T639" i="3"/>
  <c r="A639" i="3"/>
  <c r="W638" i="3" a="1"/>
  <c r="W638" i="3" s="1"/>
  <c r="X638" i="3" s="1"/>
  <c r="V638" i="3" a="1"/>
  <c r="V638" i="3" s="1"/>
  <c r="U638" i="3"/>
  <c r="T638" i="3"/>
  <c r="A638" i="3"/>
  <c r="W637" i="3" a="1"/>
  <c r="W637" i="3" s="1"/>
  <c r="X637" i="3" s="1"/>
  <c r="V637" i="3" a="1"/>
  <c r="V637" i="3" s="1"/>
  <c r="U637" i="3"/>
  <c r="T637" i="3"/>
  <c r="A637" i="3"/>
  <c r="W636" i="3" a="1"/>
  <c r="W636" i="3" s="1"/>
  <c r="X636" i="3" s="1"/>
  <c r="V636" i="3" a="1"/>
  <c r="V636" i="3" s="1"/>
  <c r="U636" i="3"/>
  <c r="T636" i="3"/>
  <c r="A636" i="3"/>
  <c r="W635" i="3" a="1"/>
  <c r="W635" i="3" s="1"/>
  <c r="X635" i="3" s="1"/>
  <c r="V635" i="3" a="1"/>
  <c r="V635" i="3" s="1"/>
  <c r="U635" i="3"/>
  <c r="T635" i="3"/>
  <c r="A635" i="3"/>
  <c r="W634" i="3" a="1"/>
  <c r="W634" i="3" s="1"/>
  <c r="X634" i="3" s="1"/>
  <c r="V634" i="3" a="1"/>
  <c r="V634" i="3" s="1"/>
  <c r="U634" i="3"/>
  <c r="T634" i="3"/>
  <c r="A634" i="3"/>
  <c r="W633" i="3" a="1"/>
  <c r="W633" i="3" s="1"/>
  <c r="X633" i="3" s="1"/>
  <c r="V633" i="3" a="1"/>
  <c r="V633" i="3" s="1"/>
  <c r="U633" i="3"/>
  <c r="T633" i="3"/>
  <c r="A633" i="3"/>
  <c r="W632" i="3" a="1"/>
  <c r="W632" i="3" s="1"/>
  <c r="X632" i="3" s="1"/>
  <c r="V632" i="3" a="1"/>
  <c r="V632" i="3" s="1"/>
  <c r="U632" i="3"/>
  <c r="T632" i="3"/>
  <c r="A632" i="3"/>
  <c r="W631" i="3" a="1"/>
  <c r="W631" i="3" s="1"/>
  <c r="X631" i="3" s="1"/>
  <c r="V631" i="3" a="1"/>
  <c r="V631" i="3" s="1"/>
  <c r="U631" i="3"/>
  <c r="T631" i="3"/>
  <c r="A631" i="3"/>
  <c r="W630" i="3" a="1"/>
  <c r="W630" i="3" s="1"/>
  <c r="X630" i="3" s="1"/>
  <c r="V630" i="3" a="1"/>
  <c r="V630" i="3" s="1"/>
  <c r="U630" i="3"/>
  <c r="T630" i="3"/>
  <c r="A630" i="3"/>
  <c r="W629" i="3" a="1"/>
  <c r="W629" i="3" s="1"/>
  <c r="X629" i="3" s="1"/>
  <c r="V629" i="3" a="1"/>
  <c r="V629" i="3" s="1"/>
  <c r="U629" i="3"/>
  <c r="T629" i="3"/>
  <c r="A629" i="3"/>
  <c r="W628" i="3" a="1"/>
  <c r="W628" i="3" s="1"/>
  <c r="X628" i="3" s="1"/>
  <c r="V628" i="3" a="1"/>
  <c r="V628" i="3" s="1"/>
  <c r="U628" i="3"/>
  <c r="T628" i="3"/>
  <c r="A628" i="3"/>
  <c r="W627" i="3" a="1"/>
  <c r="W627" i="3" s="1"/>
  <c r="X627" i="3" s="1"/>
  <c r="V627" i="3" a="1"/>
  <c r="V627" i="3" s="1"/>
  <c r="U627" i="3"/>
  <c r="T627" i="3"/>
  <c r="A627" i="3"/>
  <c r="W626" i="3" a="1"/>
  <c r="W626" i="3" s="1"/>
  <c r="X626" i="3" s="1"/>
  <c r="V626" i="3" a="1"/>
  <c r="V626" i="3" s="1"/>
  <c r="U626" i="3"/>
  <c r="T626" i="3"/>
  <c r="A626" i="3"/>
  <c r="W625" i="3" a="1"/>
  <c r="W625" i="3" s="1"/>
  <c r="X625" i="3" s="1"/>
  <c r="V625" i="3" a="1"/>
  <c r="V625" i="3" s="1"/>
  <c r="U625" i="3"/>
  <c r="T625" i="3"/>
  <c r="A625" i="3"/>
  <c r="W624" i="3" a="1"/>
  <c r="W624" i="3" s="1"/>
  <c r="X624" i="3" s="1"/>
  <c r="V624" i="3" a="1"/>
  <c r="V624" i="3" s="1"/>
  <c r="U624" i="3"/>
  <c r="T624" i="3"/>
  <c r="A624" i="3"/>
  <c r="W623" i="3" a="1"/>
  <c r="W623" i="3" s="1"/>
  <c r="X623" i="3" s="1"/>
  <c r="V623" i="3" a="1"/>
  <c r="V623" i="3" s="1"/>
  <c r="U623" i="3"/>
  <c r="T623" i="3"/>
  <c r="A623" i="3"/>
  <c r="W622" i="3" a="1"/>
  <c r="W622" i="3" s="1"/>
  <c r="X622" i="3" s="1"/>
  <c r="V622" i="3" a="1"/>
  <c r="V622" i="3" s="1"/>
  <c r="U622" i="3"/>
  <c r="T622" i="3"/>
  <c r="A622" i="3"/>
  <c r="W621" i="3" a="1"/>
  <c r="W621" i="3" s="1"/>
  <c r="X621" i="3" s="1"/>
  <c r="V621" i="3" a="1"/>
  <c r="V621" i="3" s="1"/>
  <c r="U621" i="3"/>
  <c r="T621" i="3"/>
  <c r="A621" i="3"/>
  <c r="W620" i="3" a="1"/>
  <c r="W620" i="3" s="1"/>
  <c r="X620" i="3" s="1"/>
  <c r="V620" i="3" a="1"/>
  <c r="V620" i="3" s="1"/>
  <c r="U620" i="3"/>
  <c r="T620" i="3"/>
  <c r="A620" i="3"/>
  <c r="W619" i="3" a="1"/>
  <c r="W619" i="3" s="1"/>
  <c r="X619" i="3" s="1"/>
  <c r="V619" i="3" a="1"/>
  <c r="V619" i="3" s="1"/>
  <c r="U619" i="3"/>
  <c r="T619" i="3"/>
  <c r="A619" i="3"/>
  <c r="W618" i="3" a="1"/>
  <c r="W618" i="3" s="1"/>
  <c r="X618" i="3" s="1"/>
  <c r="V618" i="3" a="1"/>
  <c r="V618" i="3" s="1"/>
  <c r="U618" i="3"/>
  <c r="T618" i="3"/>
  <c r="A618" i="3"/>
  <c r="W617" i="3" a="1"/>
  <c r="W617" i="3" s="1"/>
  <c r="X617" i="3" s="1"/>
  <c r="V617" i="3" a="1"/>
  <c r="V617" i="3" s="1"/>
  <c r="U617" i="3"/>
  <c r="T617" i="3"/>
  <c r="A617" i="3"/>
  <c r="W616" i="3" a="1"/>
  <c r="W616" i="3" s="1"/>
  <c r="X616" i="3" s="1"/>
  <c r="V616" i="3" a="1"/>
  <c r="V616" i="3" s="1"/>
  <c r="U616" i="3"/>
  <c r="T616" i="3"/>
  <c r="A616" i="3"/>
  <c r="W615" i="3" a="1"/>
  <c r="W615" i="3" s="1"/>
  <c r="X615" i="3" s="1"/>
  <c r="V615" i="3" a="1"/>
  <c r="V615" i="3" s="1"/>
  <c r="U615" i="3"/>
  <c r="T615" i="3"/>
  <c r="A615" i="3"/>
  <c r="W614" i="3" a="1"/>
  <c r="W614" i="3" s="1"/>
  <c r="X614" i="3" s="1"/>
  <c r="V614" i="3" a="1"/>
  <c r="V614" i="3" s="1"/>
  <c r="U614" i="3"/>
  <c r="T614" i="3"/>
  <c r="A614" i="3"/>
  <c r="W613" i="3" a="1"/>
  <c r="W613" i="3" s="1"/>
  <c r="X613" i="3" s="1"/>
  <c r="V613" i="3" a="1"/>
  <c r="V613" i="3" s="1"/>
  <c r="U613" i="3"/>
  <c r="T613" i="3"/>
  <c r="A613" i="3"/>
  <c r="W612" i="3" a="1"/>
  <c r="W612" i="3" s="1"/>
  <c r="X612" i="3" s="1"/>
  <c r="V612" i="3" a="1"/>
  <c r="V612" i="3" s="1"/>
  <c r="U612" i="3"/>
  <c r="T612" i="3"/>
  <c r="A612" i="3"/>
  <c r="W611" i="3" a="1"/>
  <c r="W611" i="3" s="1"/>
  <c r="X611" i="3" s="1"/>
  <c r="V611" i="3" a="1"/>
  <c r="V611" i="3" s="1"/>
  <c r="U611" i="3"/>
  <c r="T611" i="3"/>
  <c r="A611" i="3"/>
  <c r="W610" i="3" a="1"/>
  <c r="W610" i="3" s="1"/>
  <c r="X610" i="3" s="1"/>
  <c r="V610" i="3" a="1"/>
  <c r="V610" i="3" s="1"/>
  <c r="U610" i="3"/>
  <c r="T610" i="3"/>
  <c r="A610" i="3"/>
  <c r="W609" i="3" a="1"/>
  <c r="W609" i="3" s="1"/>
  <c r="X609" i="3" s="1"/>
  <c r="V609" i="3" a="1"/>
  <c r="V609" i="3" s="1"/>
  <c r="U609" i="3"/>
  <c r="T609" i="3"/>
  <c r="A609" i="3"/>
  <c r="W608" i="3" a="1"/>
  <c r="W608" i="3" s="1"/>
  <c r="X608" i="3" s="1"/>
  <c r="V608" i="3" a="1"/>
  <c r="V608" i="3" s="1"/>
  <c r="U608" i="3"/>
  <c r="T608" i="3"/>
  <c r="A608" i="3"/>
  <c r="W607" i="3" a="1"/>
  <c r="W607" i="3" s="1"/>
  <c r="X607" i="3" s="1"/>
  <c r="V607" i="3" a="1"/>
  <c r="V607" i="3" s="1"/>
  <c r="U607" i="3"/>
  <c r="T607" i="3"/>
  <c r="A607" i="3"/>
  <c r="W606" i="3" a="1"/>
  <c r="W606" i="3" s="1"/>
  <c r="X606" i="3" s="1"/>
  <c r="V606" i="3" a="1"/>
  <c r="V606" i="3" s="1"/>
  <c r="U606" i="3"/>
  <c r="T606" i="3"/>
  <c r="A606" i="3"/>
  <c r="W605" i="3" a="1"/>
  <c r="W605" i="3" s="1"/>
  <c r="X605" i="3" s="1"/>
  <c r="V605" i="3" a="1"/>
  <c r="V605" i="3" s="1"/>
  <c r="U605" i="3"/>
  <c r="T605" i="3"/>
  <c r="A605" i="3"/>
  <c r="W604" i="3" a="1"/>
  <c r="W604" i="3" s="1"/>
  <c r="X604" i="3" s="1"/>
  <c r="V604" i="3" a="1"/>
  <c r="V604" i="3" s="1"/>
  <c r="U604" i="3"/>
  <c r="T604" i="3"/>
  <c r="A604" i="3"/>
  <c r="W603" i="3" a="1"/>
  <c r="W603" i="3" s="1"/>
  <c r="X603" i="3" s="1"/>
  <c r="V603" i="3" a="1"/>
  <c r="V603" i="3" s="1"/>
  <c r="U603" i="3"/>
  <c r="T603" i="3"/>
  <c r="A603" i="3"/>
  <c r="W602" i="3" a="1"/>
  <c r="W602" i="3" s="1"/>
  <c r="X602" i="3" s="1"/>
  <c r="V602" i="3" a="1"/>
  <c r="V602" i="3" s="1"/>
  <c r="U602" i="3"/>
  <c r="T602" i="3"/>
  <c r="A602" i="3"/>
  <c r="W601" i="3" a="1"/>
  <c r="W601" i="3" s="1"/>
  <c r="X601" i="3" s="1"/>
  <c r="V601" i="3" a="1"/>
  <c r="V601" i="3" s="1"/>
  <c r="U601" i="3"/>
  <c r="T601" i="3"/>
  <c r="A601" i="3"/>
  <c r="W600" i="3" a="1"/>
  <c r="W600" i="3" s="1"/>
  <c r="X600" i="3" s="1"/>
  <c r="V600" i="3" a="1"/>
  <c r="V600" i="3" s="1"/>
  <c r="U600" i="3"/>
  <c r="T600" i="3"/>
  <c r="A600" i="3"/>
  <c r="W599" i="3" a="1"/>
  <c r="W599" i="3" s="1"/>
  <c r="X599" i="3" s="1"/>
  <c r="V599" i="3" a="1"/>
  <c r="V599" i="3" s="1"/>
  <c r="U599" i="3"/>
  <c r="T599" i="3"/>
  <c r="A599" i="3"/>
  <c r="W598" i="3" a="1"/>
  <c r="W598" i="3" s="1"/>
  <c r="X598" i="3" s="1"/>
  <c r="V598" i="3" a="1"/>
  <c r="V598" i="3" s="1"/>
  <c r="U598" i="3"/>
  <c r="T598" i="3"/>
  <c r="A598" i="3"/>
  <c r="W597" i="3" a="1"/>
  <c r="W597" i="3" s="1"/>
  <c r="X597" i="3" s="1"/>
  <c r="V597" i="3" a="1"/>
  <c r="V597" i="3" s="1"/>
  <c r="U597" i="3"/>
  <c r="T597" i="3"/>
  <c r="A597" i="3"/>
  <c r="W596" i="3" a="1"/>
  <c r="W596" i="3" s="1"/>
  <c r="X596" i="3" s="1"/>
  <c r="V596" i="3" a="1"/>
  <c r="V596" i="3" s="1"/>
  <c r="U596" i="3"/>
  <c r="T596" i="3"/>
  <c r="A596" i="3"/>
  <c r="W595" i="3" a="1"/>
  <c r="W595" i="3" s="1"/>
  <c r="X595" i="3" s="1"/>
  <c r="V595" i="3" a="1"/>
  <c r="V595" i="3" s="1"/>
  <c r="U595" i="3"/>
  <c r="T595" i="3"/>
  <c r="A595" i="3"/>
  <c r="W594" i="3" a="1"/>
  <c r="W594" i="3" s="1"/>
  <c r="X594" i="3" s="1"/>
  <c r="V594" i="3" a="1"/>
  <c r="V594" i="3" s="1"/>
  <c r="U594" i="3"/>
  <c r="T594" i="3"/>
  <c r="A594" i="3"/>
  <c r="W593" i="3" a="1"/>
  <c r="W593" i="3" s="1"/>
  <c r="X593" i="3" s="1"/>
  <c r="V593" i="3" a="1"/>
  <c r="V593" i="3" s="1"/>
  <c r="U593" i="3"/>
  <c r="T593" i="3"/>
  <c r="A593" i="3"/>
  <c r="W592" i="3" a="1"/>
  <c r="W592" i="3" s="1"/>
  <c r="X592" i="3" s="1"/>
  <c r="V592" i="3" a="1"/>
  <c r="V592" i="3" s="1"/>
  <c r="U592" i="3"/>
  <c r="T592" i="3"/>
  <c r="A592" i="3"/>
  <c r="W591" i="3" a="1"/>
  <c r="W591" i="3" s="1"/>
  <c r="X591" i="3" s="1"/>
  <c r="V591" i="3" a="1"/>
  <c r="V591" i="3" s="1"/>
  <c r="U591" i="3"/>
  <c r="T591" i="3"/>
  <c r="A591" i="3"/>
  <c r="W590" i="3" a="1"/>
  <c r="W590" i="3" s="1"/>
  <c r="X590" i="3" s="1"/>
  <c r="V590" i="3" a="1"/>
  <c r="V590" i="3" s="1"/>
  <c r="U590" i="3"/>
  <c r="T590" i="3"/>
  <c r="A590" i="3"/>
  <c r="W589" i="3" a="1"/>
  <c r="W589" i="3" s="1"/>
  <c r="X589" i="3" s="1"/>
  <c r="V589" i="3" a="1"/>
  <c r="V589" i="3" s="1"/>
  <c r="U589" i="3"/>
  <c r="T589" i="3"/>
  <c r="A589" i="3"/>
  <c r="W588" i="3" a="1"/>
  <c r="W588" i="3" s="1"/>
  <c r="X588" i="3" s="1"/>
  <c r="V588" i="3" a="1"/>
  <c r="V588" i="3" s="1"/>
  <c r="U588" i="3"/>
  <c r="T588" i="3"/>
  <c r="A588" i="3"/>
  <c r="W587" i="3" a="1"/>
  <c r="W587" i="3" s="1"/>
  <c r="X587" i="3" s="1"/>
  <c r="V587" i="3" a="1"/>
  <c r="V587" i="3" s="1"/>
  <c r="U587" i="3"/>
  <c r="T587" i="3"/>
  <c r="A587" i="3"/>
  <c r="W586" i="3" a="1"/>
  <c r="W586" i="3" s="1"/>
  <c r="X586" i="3" s="1"/>
  <c r="V586" i="3" a="1"/>
  <c r="V586" i="3" s="1"/>
  <c r="U586" i="3"/>
  <c r="T586" i="3"/>
  <c r="A586" i="3"/>
  <c r="W585" i="3" a="1"/>
  <c r="W585" i="3" s="1"/>
  <c r="X585" i="3" s="1"/>
  <c r="V585" i="3" a="1"/>
  <c r="V585" i="3" s="1"/>
  <c r="U585" i="3"/>
  <c r="T585" i="3"/>
  <c r="A585" i="3"/>
  <c r="W584" i="3" a="1"/>
  <c r="W584" i="3" s="1"/>
  <c r="X584" i="3" s="1"/>
  <c r="V584" i="3" a="1"/>
  <c r="V584" i="3" s="1"/>
  <c r="U584" i="3"/>
  <c r="T584" i="3"/>
  <c r="A584" i="3"/>
  <c r="W583" i="3" a="1"/>
  <c r="W583" i="3" s="1"/>
  <c r="X583" i="3" s="1"/>
  <c r="V583" i="3" a="1"/>
  <c r="V583" i="3" s="1"/>
  <c r="U583" i="3"/>
  <c r="T583" i="3"/>
  <c r="A583" i="3"/>
  <c r="W582" i="3" a="1"/>
  <c r="W582" i="3" s="1"/>
  <c r="X582" i="3" s="1"/>
  <c r="V582" i="3" a="1"/>
  <c r="V582" i="3" s="1"/>
  <c r="U582" i="3"/>
  <c r="T582" i="3"/>
  <c r="A582" i="3"/>
  <c r="W581" i="3" a="1"/>
  <c r="W581" i="3" s="1"/>
  <c r="X581" i="3" s="1"/>
  <c r="V581" i="3" a="1"/>
  <c r="V581" i="3" s="1"/>
  <c r="U581" i="3"/>
  <c r="T581" i="3"/>
  <c r="A581" i="3"/>
  <c r="W580" i="3" a="1"/>
  <c r="W580" i="3" s="1"/>
  <c r="X580" i="3" s="1"/>
  <c r="V580" i="3" a="1"/>
  <c r="V580" i="3" s="1"/>
  <c r="U580" i="3"/>
  <c r="T580" i="3"/>
  <c r="A580" i="3"/>
  <c r="W579" i="3" a="1"/>
  <c r="W579" i="3" s="1"/>
  <c r="X579" i="3" s="1"/>
  <c r="V579" i="3" a="1"/>
  <c r="V579" i="3" s="1"/>
  <c r="U579" i="3"/>
  <c r="T579" i="3"/>
  <c r="A579" i="3"/>
  <c r="W578" i="3" a="1"/>
  <c r="W578" i="3" s="1"/>
  <c r="X578" i="3" s="1"/>
  <c r="V578" i="3" a="1"/>
  <c r="V578" i="3" s="1"/>
  <c r="U578" i="3"/>
  <c r="T578" i="3"/>
  <c r="A578" i="3"/>
  <c r="W577" i="3" a="1"/>
  <c r="W577" i="3" s="1"/>
  <c r="X577" i="3" s="1"/>
  <c r="V577" i="3" a="1"/>
  <c r="V577" i="3" s="1"/>
  <c r="U577" i="3"/>
  <c r="T577" i="3"/>
  <c r="A577" i="3"/>
  <c r="W576" i="3" a="1"/>
  <c r="W576" i="3" s="1"/>
  <c r="X576" i="3" s="1"/>
  <c r="V576" i="3" a="1"/>
  <c r="V576" i="3" s="1"/>
  <c r="U576" i="3"/>
  <c r="T576" i="3"/>
  <c r="A576" i="3"/>
  <c r="W575" i="3" a="1"/>
  <c r="W575" i="3" s="1"/>
  <c r="X575" i="3" s="1"/>
  <c r="V575" i="3" a="1"/>
  <c r="V575" i="3" s="1"/>
  <c r="U575" i="3"/>
  <c r="T575" i="3"/>
  <c r="A575" i="3"/>
  <c r="W574" i="3" a="1"/>
  <c r="W574" i="3" s="1"/>
  <c r="X574" i="3" s="1"/>
  <c r="V574" i="3" a="1"/>
  <c r="V574" i="3" s="1"/>
  <c r="U574" i="3"/>
  <c r="T574" i="3"/>
  <c r="A574" i="3"/>
  <c r="W573" i="3" a="1"/>
  <c r="W573" i="3" s="1"/>
  <c r="X573" i="3" s="1"/>
  <c r="V573" i="3" a="1"/>
  <c r="V573" i="3" s="1"/>
  <c r="U573" i="3"/>
  <c r="T573" i="3"/>
  <c r="A573" i="3"/>
  <c r="W572" i="3" a="1"/>
  <c r="W572" i="3" s="1"/>
  <c r="X572" i="3" s="1"/>
  <c r="V572" i="3" a="1"/>
  <c r="V572" i="3" s="1"/>
  <c r="U572" i="3"/>
  <c r="T572" i="3"/>
  <c r="A572" i="3"/>
  <c r="W571" i="3" a="1"/>
  <c r="W571" i="3" s="1"/>
  <c r="X571" i="3" s="1"/>
  <c r="V571" i="3" a="1"/>
  <c r="V571" i="3" s="1"/>
  <c r="U571" i="3"/>
  <c r="T571" i="3"/>
  <c r="A571" i="3"/>
  <c r="W570" i="3" a="1"/>
  <c r="W570" i="3" s="1"/>
  <c r="X570" i="3" s="1"/>
  <c r="V570" i="3" a="1"/>
  <c r="V570" i="3" s="1"/>
  <c r="U570" i="3"/>
  <c r="T570" i="3"/>
  <c r="A570" i="3"/>
  <c r="W569" i="3" a="1"/>
  <c r="W569" i="3" s="1"/>
  <c r="X569" i="3" s="1"/>
  <c r="V569" i="3" a="1"/>
  <c r="V569" i="3" s="1"/>
  <c r="U569" i="3"/>
  <c r="T569" i="3"/>
  <c r="A569" i="3"/>
  <c r="W568" i="3" a="1"/>
  <c r="W568" i="3" s="1"/>
  <c r="X568" i="3" s="1"/>
  <c r="V568" i="3" a="1"/>
  <c r="V568" i="3" s="1"/>
  <c r="U568" i="3"/>
  <c r="T568" i="3"/>
  <c r="A568" i="3"/>
  <c r="W567" i="3" a="1"/>
  <c r="W567" i="3" s="1"/>
  <c r="X567" i="3" s="1"/>
  <c r="V567" i="3" a="1"/>
  <c r="V567" i="3" s="1"/>
  <c r="U567" i="3"/>
  <c r="T567" i="3"/>
  <c r="A567" i="3"/>
  <c r="W566" i="3" a="1"/>
  <c r="W566" i="3" s="1"/>
  <c r="X566" i="3" s="1"/>
  <c r="V566" i="3" a="1"/>
  <c r="V566" i="3" s="1"/>
  <c r="U566" i="3"/>
  <c r="T566" i="3"/>
  <c r="A566" i="3"/>
  <c r="W565" i="3" a="1"/>
  <c r="W565" i="3" s="1"/>
  <c r="X565" i="3" s="1"/>
  <c r="V565" i="3" a="1"/>
  <c r="V565" i="3" s="1"/>
  <c r="U565" i="3"/>
  <c r="T565" i="3"/>
  <c r="A565" i="3"/>
  <c r="W564" i="3" a="1"/>
  <c r="W564" i="3" s="1"/>
  <c r="X564" i="3" s="1"/>
  <c r="V564" i="3" a="1"/>
  <c r="V564" i="3" s="1"/>
  <c r="U564" i="3"/>
  <c r="T564" i="3"/>
  <c r="A564" i="3"/>
  <c r="W563" i="3" a="1"/>
  <c r="W563" i="3" s="1"/>
  <c r="X563" i="3" s="1"/>
  <c r="V563" i="3" a="1"/>
  <c r="V563" i="3" s="1"/>
  <c r="U563" i="3"/>
  <c r="T563" i="3"/>
  <c r="A563" i="3"/>
  <c r="W562" i="3" a="1"/>
  <c r="W562" i="3" s="1"/>
  <c r="X562" i="3" s="1"/>
  <c r="V562" i="3" a="1"/>
  <c r="V562" i="3" s="1"/>
  <c r="U562" i="3"/>
  <c r="T562" i="3"/>
  <c r="A562" i="3"/>
  <c r="W561" i="3" a="1"/>
  <c r="W561" i="3" s="1"/>
  <c r="X561" i="3" s="1"/>
  <c r="V561" i="3" a="1"/>
  <c r="V561" i="3" s="1"/>
  <c r="U561" i="3"/>
  <c r="T561" i="3"/>
  <c r="A561" i="3"/>
  <c r="W560" i="3" a="1"/>
  <c r="W560" i="3" s="1"/>
  <c r="X560" i="3" s="1"/>
  <c r="V560" i="3" a="1"/>
  <c r="V560" i="3" s="1"/>
  <c r="U560" i="3"/>
  <c r="T560" i="3"/>
  <c r="A560" i="3"/>
  <c r="W559" i="3" a="1"/>
  <c r="W559" i="3" s="1"/>
  <c r="X559" i="3" s="1"/>
  <c r="V559" i="3" a="1"/>
  <c r="V559" i="3" s="1"/>
  <c r="U559" i="3"/>
  <c r="T559" i="3"/>
  <c r="A559" i="3"/>
  <c r="W558" i="3" a="1"/>
  <c r="W558" i="3" s="1"/>
  <c r="X558" i="3" s="1"/>
  <c r="V558" i="3" a="1"/>
  <c r="V558" i="3" s="1"/>
  <c r="U558" i="3"/>
  <c r="T558" i="3"/>
  <c r="A558" i="3"/>
  <c r="W557" i="3" a="1"/>
  <c r="W557" i="3" s="1"/>
  <c r="X557" i="3" s="1"/>
  <c r="V557" i="3" a="1"/>
  <c r="V557" i="3" s="1"/>
  <c r="U557" i="3"/>
  <c r="T557" i="3"/>
  <c r="A557" i="3"/>
  <c r="W556" i="3" a="1"/>
  <c r="W556" i="3" s="1"/>
  <c r="X556" i="3" s="1"/>
  <c r="V556" i="3" a="1"/>
  <c r="V556" i="3" s="1"/>
  <c r="U556" i="3"/>
  <c r="T556" i="3"/>
  <c r="A556" i="3"/>
  <c r="W555" i="3" a="1"/>
  <c r="W555" i="3" s="1"/>
  <c r="X555" i="3" s="1"/>
  <c r="V555" i="3" a="1"/>
  <c r="V555" i="3" s="1"/>
  <c r="U555" i="3"/>
  <c r="T555" i="3"/>
  <c r="A555" i="3"/>
  <c r="W554" i="3" a="1"/>
  <c r="W554" i="3" s="1"/>
  <c r="X554" i="3" s="1"/>
  <c r="V554" i="3" a="1"/>
  <c r="V554" i="3" s="1"/>
  <c r="U554" i="3"/>
  <c r="T554" i="3"/>
  <c r="A554" i="3"/>
  <c r="W553" i="3" a="1"/>
  <c r="W553" i="3" s="1"/>
  <c r="X553" i="3" s="1"/>
  <c r="V553" i="3" a="1"/>
  <c r="V553" i="3" s="1"/>
  <c r="U553" i="3"/>
  <c r="T553" i="3"/>
  <c r="A553" i="3"/>
  <c r="W552" i="3" a="1"/>
  <c r="W552" i="3" s="1"/>
  <c r="X552" i="3" s="1"/>
  <c r="V552" i="3" a="1"/>
  <c r="V552" i="3" s="1"/>
  <c r="U552" i="3"/>
  <c r="T552" i="3"/>
  <c r="A552" i="3"/>
  <c r="W551" i="3" a="1"/>
  <c r="W551" i="3" s="1"/>
  <c r="X551" i="3" s="1"/>
  <c r="V551" i="3" a="1"/>
  <c r="V551" i="3" s="1"/>
  <c r="U551" i="3"/>
  <c r="T551" i="3"/>
  <c r="A551" i="3"/>
  <c r="W550" i="3" a="1"/>
  <c r="W550" i="3" s="1"/>
  <c r="X550" i="3" s="1"/>
  <c r="V550" i="3" a="1"/>
  <c r="V550" i="3" s="1"/>
  <c r="U550" i="3"/>
  <c r="T550" i="3"/>
  <c r="A550" i="3"/>
  <c r="W549" i="3" a="1"/>
  <c r="W549" i="3" s="1"/>
  <c r="X549" i="3" s="1"/>
  <c r="V549" i="3" a="1"/>
  <c r="V549" i="3" s="1"/>
  <c r="U549" i="3"/>
  <c r="T549" i="3"/>
  <c r="A549" i="3"/>
  <c r="W548" i="3" a="1"/>
  <c r="W548" i="3" s="1"/>
  <c r="X548" i="3" s="1"/>
  <c r="V548" i="3" a="1"/>
  <c r="V548" i="3" s="1"/>
  <c r="U548" i="3"/>
  <c r="T548" i="3"/>
  <c r="A548" i="3"/>
  <c r="W547" i="3" a="1"/>
  <c r="W547" i="3" s="1"/>
  <c r="X547" i="3" s="1"/>
  <c r="V547" i="3" a="1"/>
  <c r="V547" i="3" s="1"/>
  <c r="U547" i="3"/>
  <c r="T547" i="3"/>
  <c r="A547" i="3"/>
  <c r="W546" i="3" a="1"/>
  <c r="W546" i="3" s="1"/>
  <c r="X546" i="3" s="1"/>
  <c r="V546" i="3" a="1"/>
  <c r="V546" i="3" s="1"/>
  <c r="U546" i="3"/>
  <c r="T546" i="3"/>
  <c r="A546" i="3"/>
  <c r="W545" i="3" a="1"/>
  <c r="W545" i="3" s="1"/>
  <c r="X545" i="3" s="1"/>
  <c r="V545" i="3" a="1"/>
  <c r="V545" i="3" s="1"/>
  <c r="U545" i="3"/>
  <c r="T545" i="3"/>
  <c r="A545" i="3"/>
  <c r="W544" i="3" a="1"/>
  <c r="W544" i="3" s="1"/>
  <c r="X544" i="3" s="1"/>
  <c r="V544" i="3" a="1"/>
  <c r="V544" i="3" s="1"/>
  <c r="U544" i="3"/>
  <c r="T544" i="3"/>
  <c r="A544" i="3"/>
  <c r="W543" i="3" a="1"/>
  <c r="W543" i="3" s="1"/>
  <c r="X543" i="3" s="1"/>
  <c r="V543" i="3" a="1"/>
  <c r="V543" i="3" s="1"/>
  <c r="U543" i="3"/>
  <c r="T543" i="3"/>
  <c r="A543" i="3"/>
  <c r="W542" i="3" a="1"/>
  <c r="W542" i="3" s="1"/>
  <c r="X542" i="3" s="1"/>
  <c r="V542" i="3" a="1"/>
  <c r="V542" i="3" s="1"/>
  <c r="U542" i="3"/>
  <c r="T542" i="3"/>
  <c r="A542" i="3"/>
  <c r="W541" i="3" a="1"/>
  <c r="W541" i="3" s="1"/>
  <c r="X541" i="3" s="1"/>
  <c r="V541" i="3" a="1"/>
  <c r="V541" i="3" s="1"/>
  <c r="U541" i="3"/>
  <c r="T541" i="3"/>
  <c r="A541" i="3"/>
  <c r="W540" i="3" a="1"/>
  <c r="W540" i="3" s="1"/>
  <c r="X540" i="3" s="1"/>
  <c r="V540" i="3" a="1"/>
  <c r="V540" i="3" s="1"/>
  <c r="U540" i="3"/>
  <c r="T540" i="3"/>
  <c r="A540" i="3"/>
  <c r="W539" i="3" a="1"/>
  <c r="W539" i="3" s="1"/>
  <c r="X539" i="3" s="1"/>
  <c r="V539" i="3" a="1"/>
  <c r="V539" i="3" s="1"/>
  <c r="U539" i="3"/>
  <c r="T539" i="3"/>
  <c r="A539" i="3"/>
  <c r="W538" i="3" a="1"/>
  <c r="W538" i="3" s="1"/>
  <c r="X538" i="3" s="1"/>
  <c r="V538" i="3" a="1"/>
  <c r="V538" i="3" s="1"/>
  <c r="U538" i="3"/>
  <c r="T538" i="3"/>
  <c r="A538" i="3"/>
  <c r="W537" i="3" a="1"/>
  <c r="W537" i="3" s="1"/>
  <c r="X537" i="3" s="1"/>
  <c r="V537" i="3" a="1"/>
  <c r="V537" i="3" s="1"/>
  <c r="U537" i="3"/>
  <c r="T537" i="3"/>
  <c r="A537" i="3"/>
  <c r="W536" i="3" a="1"/>
  <c r="W536" i="3" s="1"/>
  <c r="X536" i="3" s="1"/>
  <c r="V536" i="3" a="1"/>
  <c r="V536" i="3" s="1"/>
  <c r="U536" i="3"/>
  <c r="T536" i="3"/>
  <c r="A536" i="3"/>
  <c r="W535" i="3" a="1"/>
  <c r="W535" i="3" s="1"/>
  <c r="X535" i="3" s="1"/>
  <c r="V535" i="3" a="1"/>
  <c r="V535" i="3" s="1"/>
  <c r="U535" i="3"/>
  <c r="T535" i="3"/>
  <c r="A535" i="3"/>
  <c r="W534" i="3" a="1"/>
  <c r="W534" i="3" s="1"/>
  <c r="X534" i="3" s="1"/>
  <c r="V534" i="3" a="1"/>
  <c r="V534" i="3" s="1"/>
  <c r="U534" i="3"/>
  <c r="T534" i="3"/>
  <c r="A534" i="3"/>
  <c r="W533" i="3" a="1"/>
  <c r="W533" i="3" s="1"/>
  <c r="X533" i="3" s="1"/>
  <c r="V533" i="3" a="1"/>
  <c r="V533" i="3" s="1"/>
  <c r="U533" i="3"/>
  <c r="T533" i="3"/>
  <c r="A533" i="3"/>
  <c r="W532" i="3" a="1"/>
  <c r="W532" i="3" s="1"/>
  <c r="X532" i="3" s="1"/>
  <c r="V532" i="3" a="1"/>
  <c r="V532" i="3" s="1"/>
  <c r="U532" i="3"/>
  <c r="T532" i="3"/>
  <c r="A532" i="3"/>
  <c r="W531" i="3" a="1"/>
  <c r="W531" i="3" s="1"/>
  <c r="X531" i="3" s="1"/>
  <c r="V531" i="3" a="1"/>
  <c r="V531" i="3" s="1"/>
  <c r="U531" i="3"/>
  <c r="T531" i="3"/>
  <c r="A531" i="3"/>
  <c r="W530" i="3" a="1"/>
  <c r="W530" i="3" s="1"/>
  <c r="X530" i="3" s="1"/>
  <c r="V530" i="3" a="1"/>
  <c r="V530" i="3" s="1"/>
  <c r="U530" i="3"/>
  <c r="T530" i="3"/>
  <c r="A530" i="3"/>
  <c r="W529" i="3" a="1"/>
  <c r="W529" i="3" s="1"/>
  <c r="X529" i="3" s="1"/>
  <c r="V529" i="3" a="1"/>
  <c r="V529" i="3" s="1"/>
  <c r="U529" i="3"/>
  <c r="T529" i="3"/>
  <c r="A529" i="3"/>
  <c r="W528" i="3" a="1"/>
  <c r="W528" i="3" s="1"/>
  <c r="X528" i="3" s="1"/>
  <c r="V528" i="3" a="1"/>
  <c r="V528" i="3" s="1"/>
  <c r="U528" i="3"/>
  <c r="T528" i="3"/>
  <c r="A528" i="3"/>
  <c r="W527" i="3" a="1"/>
  <c r="W527" i="3" s="1"/>
  <c r="X527" i="3" s="1"/>
  <c r="V527" i="3" a="1"/>
  <c r="V527" i="3" s="1"/>
  <c r="U527" i="3"/>
  <c r="T527" i="3"/>
  <c r="A527" i="3"/>
  <c r="W526" i="3" a="1"/>
  <c r="W526" i="3" s="1"/>
  <c r="X526" i="3" s="1"/>
  <c r="V526" i="3" a="1"/>
  <c r="V526" i="3" s="1"/>
  <c r="U526" i="3"/>
  <c r="T526" i="3"/>
  <c r="A526" i="3"/>
  <c r="W525" i="3" a="1"/>
  <c r="W525" i="3" s="1"/>
  <c r="X525" i="3" s="1"/>
  <c r="V525" i="3" a="1"/>
  <c r="V525" i="3" s="1"/>
  <c r="U525" i="3"/>
  <c r="T525" i="3"/>
  <c r="A525" i="3"/>
  <c r="W524" i="3" a="1"/>
  <c r="W524" i="3" s="1"/>
  <c r="X524" i="3" s="1"/>
  <c r="V524" i="3" a="1"/>
  <c r="V524" i="3" s="1"/>
  <c r="U524" i="3"/>
  <c r="T524" i="3"/>
  <c r="A524" i="3"/>
  <c r="W523" i="3" a="1"/>
  <c r="W523" i="3" s="1"/>
  <c r="X523" i="3" s="1"/>
  <c r="V523" i="3" a="1"/>
  <c r="V523" i="3" s="1"/>
  <c r="U523" i="3"/>
  <c r="T523" i="3"/>
  <c r="A523" i="3"/>
  <c r="W522" i="3" a="1"/>
  <c r="W522" i="3" s="1"/>
  <c r="X522" i="3" s="1"/>
  <c r="V522" i="3" a="1"/>
  <c r="V522" i="3" s="1"/>
  <c r="U522" i="3"/>
  <c r="T522" i="3"/>
  <c r="A522" i="3"/>
  <c r="W521" i="3" a="1"/>
  <c r="W521" i="3" s="1"/>
  <c r="X521" i="3" s="1"/>
  <c r="V521" i="3" a="1"/>
  <c r="V521" i="3" s="1"/>
  <c r="U521" i="3"/>
  <c r="T521" i="3"/>
  <c r="A521" i="3"/>
  <c r="W520" i="3" a="1"/>
  <c r="W520" i="3" s="1"/>
  <c r="X520" i="3" s="1"/>
  <c r="V520" i="3" a="1"/>
  <c r="V520" i="3" s="1"/>
  <c r="U520" i="3"/>
  <c r="T520" i="3"/>
  <c r="A520" i="3"/>
  <c r="W519" i="3" a="1"/>
  <c r="W519" i="3" s="1"/>
  <c r="X519" i="3" s="1"/>
  <c r="V519" i="3" a="1"/>
  <c r="V519" i="3" s="1"/>
  <c r="U519" i="3"/>
  <c r="T519" i="3"/>
  <c r="A519" i="3"/>
  <c r="W518" i="3" a="1"/>
  <c r="W518" i="3" s="1"/>
  <c r="X518" i="3" s="1"/>
  <c r="V518" i="3" a="1"/>
  <c r="V518" i="3" s="1"/>
  <c r="U518" i="3"/>
  <c r="T518" i="3"/>
  <c r="A518" i="3"/>
  <c r="W517" i="3" a="1"/>
  <c r="W517" i="3" s="1"/>
  <c r="X517" i="3" s="1"/>
  <c r="V517" i="3" a="1"/>
  <c r="V517" i="3" s="1"/>
  <c r="U517" i="3"/>
  <c r="T517" i="3"/>
  <c r="A517" i="3"/>
  <c r="W516" i="3" a="1"/>
  <c r="W516" i="3" s="1"/>
  <c r="X516" i="3" s="1"/>
  <c r="V516" i="3" a="1"/>
  <c r="V516" i="3" s="1"/>
  <c r="U516" i="3"/>
  <c r="T516" i="3"/>
  <c r="A516" i="3"/>
  <c r="W515" i="3" a="1"/>
  <c r="W515" i="3" s="1"/>
  <c r="X515" i="3" s="1"/>
  <c r="V515" i="3" a="1"/>
  <c r="V515" i="3" s="1"/>
  <c r="U515" i="3"/>
  <c r="T515" i="3"/>
  <c r="A515" i="3"/>
  <c r="W514" i="3" a="1"/>
  <c r="W514" i="3" s="1"/>
  <c r="X514" i="3" s="1"/>
  <c r="V514" i="3" a="1"/>
  <c r="V514" i="3" s="1"/>
  <c r="U514" i="3"/>
  <c r="T514" i="3"/>
  <c r="A514" i="3"/>
  <c r="W513" i="3" a="1"/>
  <c r="W513" i="3" s="1"/>
  <c r="X513" i="3" s="1"/>
  <c r="V513" i="3" a="1"/>
  <c r="V513" i="3" s="1"/>
  <c r="U513" i="3"/>
  <c r="T513" i="3"/>
  <c r="A513" i="3"/>
  <c r="W512" i="3" a="1"/>
  <c r="W512" i="3" s="1"/>
  <c r="X512" i="3" s="1"/>
  <c r="V512" i="3" a="1"/>
  <c r="V512" i="3" s="1"/>
  <c r="U512" i="3"/>
  <c r="T512" i="3"/>
  <c r="A512" i="3"/>
  <c r="W511" i="3" a="1"/>
  <c r="W511" i="3" s="1"/>
  <c r="X511" i="3" s="1"/>
  <c r="V511" i="3" a="1"/>
  <c r="V511" i="3" s="1"/>
  <c r="U511" i="3"/>
  <c r="T511" i="3"/>
  <c r="A511" i="3"/>
  <c r="W510" i="3" a="1"/>
  <c r="W510" i="3" s="1"/>
  <c r="X510" i="3" s="1"/>
  <c r="V510" i="3" a="1"/>
  <c r="V510" i="3" s="1"/>
  <c r="U510" i="3"/>
  <c r="T510" i="3"/>
  <c r="A510" i="3"/>
  <c r="W509" i="3" a="1"/>
  <c r="W509" i="3" s="1"/>
  <c r="X509" i="3" s="1"/>
  <c r="V509" i="3" a="1"/>
  <c r="V509" i="3" s="1"/>
  <c r="U509" i="3"/>
  <c r="T509" i="3"/>
  <c r="A509" i="3"/>
  <c r="W508" i="3" a="1"/>
  <c r="W508" i="3" s="1"/>
  <c r="X508" i="3" s="1"/>
  <c r="V508" i="3" a="1"/>
  <c r="V508" i="3" s="1"/>
  <c r="U508" i="3"/>
  <c r="T508" i="3"/>
  <c r="A508" i="3"/>
  <c r="W507" i="3" a="1"/>
  <c r="W507" i="3" s="1"/>
  <c r="X507" i="3" s="1"/>
  <c r="V507" i="3" a="1"/>
  <c r="V507" i="3" s="1"/>
  <c r="U507" i="3"/>
  <c r="T507" i="3"/>
  <c r="A507" i="3"/>
  <c r="W506" i="3" a="1"/>
  <c r="W506" i="3" s="1"/>
  <c r="X506" i="3" s="1"/>
  <c r="V506" i="3" a="1"/>
  <c r="V506" i="3" s="1"/>
  <c r="U506" i="3"/>
  <c r="T506" i="3"/>
  <c r="A506" i="3"/>
  <c r="W505" i="3" a="1"/>
  <c r="W505" i="3" s="1"/>
  <c r="X505" i="3" s="1"/>
  <c r="V505" i="3" a="1"/>
  <c r="V505" i="3" s="1"/>
  <c r="U505" i="3"/>
  <c r="T505" i="3"/>
  <c r="A505" i="3"/>
  <c r="W504" i="3" a="1"/>
  <c r="W504" i="3" s="1"/>
  <c r="X504" i="3" s="1"/>
  <c r="V504" i="3" a="1"/>
  <c r="V504" i="3" s="1"/>
  <c r="U504" i="3"/>
  <c r="T504" i="3"/>
  <c r="A504" i="3"/>
  <c r="W503" i="3" a="1"/>
  <c r="W503" i="3" s="1"/>
  <c r="X503" i="3" s="1"/>
  <c r="V503" i="3" a="1"/>
  <c r="V503" i="3" s="1"/>
  <c r="U503" i="3"/>
  <c r="T503" i="3"/>
  <c r="A503" i="3"/>
  <c r="W502" i="3" a="1"/>
  <c r="W502" i="3" s="1"/>
  <c r="X502" i="3" s="1"/>
  <c r="V502" i="3" a="1"/>
  <c r="V502" i="3" s="1"/>
  <c r="U502" i="3"/>
  <c r="T502" i="3"/>
  <c r="A502" i="3"/>
  <c r="W501" i="3" a="1"/>
  <c r="W501" i="3" s="1"/>
  <c r="X501" i="3" s="1"/>
  <c r="V501" i="3" a="1"/>
  <c r="V501" i="3" s="1"/>
  <c r="U501" i="3"/>
  <c r="T501" i="3"/>
  <c r="A501" i="3"/>
  <c r="W500" i="3" a="1"/>
  <c r="W500" i="3" s="1"/>
  <c r="X500" i="3" s="1"/>
  <c r="V500" i="3" a="1"/>
  <c r="V500" i="3" s="1"/>
  <c r="U500" i="3"/>
  <c r="T500" i="3"/>
  <c r="A500" i="3"/>
  <c r="W499" i="3" a="1"/>
  <c r="W499" i="3" s="1"/>
  <c r="X499" i="3" s="1"/>
  <c r="V499" i="3" a="1"/>
  <c r="V499" i="3" s="1"/>
  <c r="U499" i="3"/>
  <c r="T499" i="3"/>
  <c r="A499" i="3"/>
  <c r="W498" i="3" a="1"/>
  <c r="W498" i="3" s="1"/>
  <c r="X498" i="3" s="1"/>
  <c r="V498" i="3" a="1"/>
  <c r="V498" i="3" s="1"/>
  <c r="U498" i="3"/>
  <c r="T498" i="3"/>
  <c r="A498" i="3"/>
  <c r="W497" i="3" a="1"/>
  <c r="W497" i="3" s="1"/>
  <c r="X497" i="3" s="1"/>
  <c r="V497" i="3" a="1"/>
  <c r="V497" i="3" s="1"/>
  <c r="U497" i="3"/>
  <c r="T497" i="3"/>
  <c r="A497" i="3"/>
  <c r="W496" i="3" a="1"/>
  <c r="W496" i="3" s="1"/>
  <c r="X496" i="3" s="1"/>
  <c r="V496" i="3" a="1"/>
  <c r="V496" i="3" s="1"/>
  <c r="U496" i="3"/>
  <c r="T496" i="3"/>
  <c r="A496" i="3"/>
  <c r="W495" i="3" a="1"/>
  <c r="W495" i="3" s="1"/>
  <c r="X495" i="3" s="1"/>
  <c r="V495" i="3" a="1"/>
  <c r="V495" i="3" s="1"/>
  <c r="U495" i="3"/>
  <c r="T495" i="3"/>
  <c r="A495" i="3"/>
  <c r="W494" i="3" a="1"/>
  <c r="W494" i="3" s="1"/>
  <c r="X494" i="3" s="1"/>
  <c r="V494" i="3" a="1"/>
  <c r="V494" i="3" s="1"/>
  <c r="U494" i="3"/>
  <c r="T494" i="3"/>
  <c r="A494" i="3"/>
  <c r="W493" i="3" a="1"/>
  <c r="W493" i="3" s="1"/>
  <c r="X493" i="3" s="1"/>
  <c r="V493" i="3" a="1"/>
  <c r="V493" i="3" s="1"/>
  <c r="U493" i="3"/>
  <c r="T493" i="3"/>
  <c r="A493" i="3"/>
  <c r="W492" i="3" a="1"/>
  <c r="W492" i="3" s="1"/>
  <c r="X492" i="3" s="1"/>
  <c r="V492" i="3" a="1"/>
  <c r="V492" i="3" s="1"/>
  <c r="U492" i="3"/>
  <c r="T492" i="3"/>
  <c r="A492" i="3"/>
  <c r="W491" i="3" a="1"/>
  <c r="W491" i="3" s="1"/>
  <c r="X491" i="3" s="1"/>
  <c r="V491" i="3" a="1"/>
  <c r="V491" i="3" s="1"/>
  <c r="U491" i="3"/>
  <c r="T491" i="3"/>
  <c r="A491" i="3"/>
  <c r="W490" i="3" a="1"/>
  <c r="W490" i="3" s="1"/>
  <c r="X490" i="3" s="1"/>
  <c r="V490" i="3" a="1"/>
  <c r="V490" i="3" s="1"/>
  <c r="U490" i="3"/>
  <c r="T490" i="3"/>
  <c r="A490" i="3"/>
  <c r="W489" i="3" a="1"/>
  <c r="W489" i="3" s="1"/>
  <c r="X489" i="3" s="1"/>
  <c r="V489" i="3" a="1"/>
  <c r="V489" i="3" s="1"/>
  <c r="U489" i="3"/>
  <c r="T489" i="3"/>
  <c r="A489" i="3"/>
  <c r="W488" i="3" a="1"/>
  <c r="W488" i="3" s="1"/>
  <c r="X488" i="3" s="1"/>
  <c r="V488" i="3" a="1"/>
  <c r="V488" i="3" s="1"/>
  <c r="U488" i="3"/>
  <c r="T488" i="3"/>
  <c r="A488" i="3"/>
  <c r="W487" i="3" a="1"/>
  <c r="W487" i="3" s="1"/>
  <c r="X487" i="3" s="1"/>
  <c r="V487" i="3" a="1"/>
  <c r="V487" i="3" s="1"/>
  <c r="U487" i="3"/>
  <c r="T487" i="3"/>
  <c r="A487" i="3"/>
  <c r="W486" i="3" a="1"/>
  <c r="W486" i="3" s="1"/>
  <c r="X486" i="3" s="1"/>
  <c r="V486" i="3" a="1"/>
  <c r="V486" i="3" s="1"/>
  <c r="U486" i="3"/>
  <c r="T486" i="3"/>
  <c r="A486" i="3"/>
  <c r="W485" i="3" a="1"/>
  <c r="W485" i="3" s="1"/>
  <c r="X485" i="3" s="1"/>
  <c r="V485" i="3" a="1"/>
  <c r="V485" i="3" s="1"/>
  <c r="U485" i="3"/>
  <c r="T485" i="3"/>
  <c r="A485" i="3"/>
  <c r="W484" i="3" a="1"/>
  <c r="W484" i="3" s="1"/>
  <c r="X484" i="3" s="1"/>
  <c r="V484" i="3" a="1"/>
  <c r="V484" i="3" s="1"/>
  <c r="U484" i="3"/>
  <c r="T484" i="3"/>
  <c r="A484" i="3"/>
  <c r="W483" i="3" a="1"/>
  <c r="W483" i="3" s="1"/>
  <c r="X483" i="3" s="1"/>
  <c r="V483" i="3" a="1"/>
  <c r="V483" i="3" s="1"/>
  <c r="U483" i="3"/>
  <c r="T483" i="3"/>
  <c r="A483" i="3"/>
  <c r="W482" i="3" a="1"/>
  <c r="W482" i="3" s="1"/>
  <c r="X482" i="3" s="1"/>
  <c r="V482" i="3" a="1"/>
  <c r="V482" i="3" s="1"/>
  <c r="U482" i="3"/>
  <c r="T482" i="3"/>
  <c r="A482" i="3"/>
  <c r="W481" i="3" a="1"/>
  <c r="W481" i="3" s="1"/>
  <c r="X481" i="3" s="1"/>
  <c r="V481" i="3" a="1"/>
  <c r="V481" i="3" s="1"/>
  <c r="U481" i="3"/>
  <c r="T481" i="3"/>
  <c r="A481" i="3"/>
  <c r="W480" i="3" a="1"/>
  <c r="W480" i="3" s="1"/>
  <c r="X480" i="3" s="1"/>
  <c r="V480" i="3" a="1"/>
  <c r="V480" i="3" s="1"/>
  <c r="U480" i="3"/>
  <c r="T480" i="3"/>
  <c r="A480" i="3"/>
  <c r="W479" i="3" a="1"/>
  <c r="W479" i="3" s="1"/>
  <c r="X479" i="3" s="1"/>
  <c r="V479" i="3" a="1"/>
  <c r="V479" i="3" s="1"/>
  <c r="U479" i="3"/>
  <c r="T479" i="3"/>
  <c r="A479" i="3"/>
  <c r="W478" i="3" a="1"/>
  <c r="W478" i="3" s="1"/>
  <c r="X478" i="3" s="1"/>
  <c r="V478" i="3" a="1"/>
  <c r="V478" i="3" s="1"/>
  <c r="U478" i="3"/>
  <c r="T478" i="3"/>
  <c r="A478" i="3"/>
  <c r="W477" i="3" a="1"/>
  <c r="W477" i="3" s="1"/>
  <c r="X477" i="3" s="1"/>
  <c r="V477" i="3" a="1"/>
  <c r="V477" i="3" s="1"/>
  <c r="U477" i="3"/>
  <c r="T477" i="3"/>
  <c r="A477" i="3"/>
  <c r="W476" i="3" a="1"/>
  <c r="W476" i="3" s="1"/>
  <c r="X476" i="3" s="1"/>
  <c r="V476" i="3" a="1"/>
  <c r="V476" i="3" s="1"/>
  <c r="U476" i="3"/>
  <c r="T476" i="3"/>
  <c r="A476" i="3"/>
  <c r="W475" i="3" a="1"/>
  <c r="W475" i="3" s="1"/>
  <c r="X475" i="3" s="1"/>
  <c r="V475" i="3" a="1"/>
  <c r="V475" i="3" s="1"/>
  <c r="U475" i="3"/>
  <c r="T475" i="3"/>
  <c r="A475" i="3"/>
  <c r="W474" i="3" a="1"/>
  <c r="W474" i="3" s="1"/>
  <c r="X474" i="3" s="1"/>
  <c r="V474" i="3" a="1"/>
  <c r="V474" i="3" s="1"/>
  <c r="U474" i="3"/>
  <c r="T474" i="3"/>
  <c r="A474" i="3"/>
  <c r="W473" i="3" a="1"/>
  <c r="W473" i="3" s="1"/>
  <c r="X473" i="3" s="1"/>
  <c r="V473" i="3" a="1"/>
  <c r="V473" i="3" s="1"/>
  <c r="U473" i="3"/>
  <c r="T473" i="3"/>
  <c r="A473" i="3"/>
  <c r="W472" i="3" a="1"/>
  <c r="W472" i="3" s="1"/>
  <c r="X472" i="3" s="1"/>
  <c r="V472" i="3" a="1"/>
  <c r="V472" i="3" s="1"/>
  <c r="U472" i="3"/>
  <c r="T472" i="3"/>
  <c r="A472" i="3"/>
  <c r="W471" i="3" a="1"/>
  <c r="W471" i="3" s="1"/>
  <c r="X471" i="3" s="1"/>
  <c r="V471" i="3" a="1"/>
  <c r="V471" i="3" s="1"/>
  <c r="U471" i="3"/>
  <c r="T471" i="3"/>
  <c r="A471" i="3"/>
  <c r="W470" i="3" a="1"/>
  <c r="W470" i="3" s="1"/>
  <c r="X470" i="3" s="1"/>
  <c r="V470" i="3" a="1"/>
  <c r="V470" i="3" s="1"/>
  <c r="U470" i="3"/>
  <c r="T470" i="3"/>
  <c r="A470" i="3"/>
  <c r="W469" i="3" a="1"/>
  <c r="W469" i="3" s="1"/>
  <c r="X469" i="3" s="1"/>
  <c r="V469" i="3" a="1"/>
  <c r="V469" i="3" s="1"/>
  <c r="U469" i="3"/>
  <c r="T469" i="3"/>
  <c r="A469" i="3"/>
  <c r="W468" i="3" a="1"/>
  <c r="W468" i="3" s="1"/>
  <c r="X468" i="3" s="1"/>
  <c r="V468" i="3" a="1"/>
  <c r="V468" i="3" s="1"/>
  <c r="U468" i="3"/>
  <c r="T468" i="3"/>
  <c r="A468" i="3"/>
  <c r="W467" i="3" a="1"/>
  <c r="W467" i="3" s="1"/>
  <c r="X467" i="3" s="1"/>
  <c r="V467" i="3" a="1"/>
  <c r="V467" i="3" s="1"/>
  <c r="U467" i="3"/>
  <c r="T467" i="3"/>
  <c r="A467" i="3"/>
  <c r="W466" i="3" a="1"/>
  <c r="W466" i="3" s="1"/>
  <c r="X466" i="3" s="1"/>
  <c r="V466" i="3" a="1"/>
  <c r="V466" i="3" s="1"/>
  <c r="U466" i="3"/>
  <c r="T466" i="3"/>
  <c r="A466" i="3"/>
  <c r="W465" i="3" a="1"/>
  <c r="W465" i="3" s="1"/>
  <c r="X465" i="3" s="1"/>
  <c r="V465" i="3" a="1"/>
  <c r="V465" i="3" s="1"/>
  <c r="U465" i="3"/>
  <c r="T465" i="3"/>
  <c r="A465" i="3"/>
  <c r="W464" i="3" a="1"/>
  <c r="W464" i="3" s="1"/>
  <c r="X464" i="3" s="1"/>
  <c r="V464" i="3" a="1"/>
  <c r="V464" i="3" s="1"/>
  <c r="U464" i="3"/>
  <c r="T464" i="3"/>
  <c r="A464" i="3"/>
  <c r="W463" i="3" a="1"/>
  <c r="W463" i="3" s="1"/>
  <c r="X463" i="3" s="1"/>
  <c r="V463" i="3" a="1"/>
  <c r="V463" i="3" s="1"/>
  <c r="U463" i="3"/>
  <c r="T463" i="3"/>
  <c r="A463" i="3"/>
  <c r="W462" i="3" a="1"/>
  <c r="W462" i="3" s="1"/>
  <c r="X462" i="3" s="1"/>
  <c r="V462" i="3" a="1"/>
  <c r="V462" i="3" s="1"/>
  <c r="U462" i="3"/>
  <c r="T462" i="3"/>
  <c r="A462" i="3"/>
  <c r="W461" i="3" a="1"/>
  <c r="W461" i="3" s="1"/>
  <c r="X461" i="3" s="1"/>
  <c r="V461" i="3" a="1"/>
  <c r="V461" i="3" s="1"/>
  <c r="U461" i="3"/>
  <c r="T461" i="3"/>
  <c r="A461" i="3"/>
  <c r="W460" i="3" a="1"/>
  <c r="W460" i="3" s="1"/>
  <c r="X460" i="3" s="1"/>
  <c r="V460" i="3" a="1"/>
  <c r="V460" i="3" s="1"/>
  <c r="U460" i="3"/>
  <c r="T460" i="3"/>
  <c r="A460" i="3"/>
  <c r="W459" i="3" a="1"/>
  <c r="W459" i="3" s="1"/>
  <c r="X459" i="3" s="1"/>
  <c r="V459" i="3" a="1"/>
  <c r="V459" i="3" s="1"/>
  <c r="U459" i="3"/>
  <c r="T459" i="3"/>
  <c r="A459" i="3"/>
  <c r="W458" i="3" a="1"/>
  <c r="W458" i="3" s="1"/>
  <c r="X458" i="3" s="1"/>
  <c r="V458" i="3" a="1"/>
  <c r="V458" i="3" s="1"/>
  <c r="U458" i="3"/>
  <c r="T458" i="3"/>
  <c r="A458" i="3"/>
  <c r="W457" i="3" a="1"/>
  <c r="W457" i="3" s="1"/>
  <c r="X457" i="3" s="1"/>
  <c r="V457" i="3" a="1"/>
  <c r="V457" i="3" s="1"/>
  <c r="U457" i="3"/>
  <c r="T457" i="3"/>
  <c r="A457" i="3"/>
  <c r="W456" i="3" a="1"/>
  <c r="W456" i="3" s="1"/>
  <c r="X456" i="3" s="1"/>
  <c r="V456" i="3" a="1"/>
  <c r="V456" i="3" s="1"/>
  <c r="U456" i="3"/>
  <c r="T456" i="3"/>
  <c r="A456" i="3"/>
  <c r="W455" i="3" a="1"/>
  <c r="W455" i="3" s="1"/>
  <c r="X455" i="3" s="1"/>
  <c r="V455" i="3" a="1"/>
  <c r="V455" i="3" s="1"/>
  <c r="U455" i="3"/>
  <c r="T455" i="3"/>
  <c r="A455" i="3"/>
  <c r="W454" i="3" a="1"/>
  <c r="W454" i="3" s="1"/>
  <c r="X454" i="3" s="1"/>
  <c r="V454" i="3" a="1"/>
  <c r="V454" i="3" s="1"/>
  <c r="U454" i="3"/>
  <c r="T454" i="3"/>
  <c r="A454" i="3"/>
  <c r="W453" i="3" a="1"/>
  <c r="W453" i="3" s="1"/>
  <c r="X453" i="3" s="1"/>
  <c r="V453" i="3" a="1"/>
  <c r="V453" i="3" s="1"/>
  <c r="U453" i="3"/>
  <c r="T453" i="3"/>
  <c r="A453" i="3"/>
  <c r="W452" i="3" a="1"/>
  <c r="W452" i="3" s="1"/>
  <c r="X452" i="3" s="1"/>
  <c r="V452" i="3" a="1"/>
  <c r="V452" i="3" s="1"/>
  <c r="U452" i="3"/>
  <c r="T452" i="3"/>
  <c r="A452" i="3"/>
  <c r="W451" i="3" a="1"/>
  <c r="W451" i="3" s="1"/>
  <c r="X451" i="3" s="1"/>
  <c r="V451" i="3" a="1"/>
  <c r="V451" i="3" s="1"/>
  <c r="U451" i="3"/>
  <c r="T451" i="3"/>
  <c r="A451" i="3"/>
  <c r="W450" i="3" a="1"/>
  <c r="W450" i="3" s="1"/>
  <c r="X450" i="3" s="1"/>
  <c r="V450" i="3" a="1"/>
  <c r="V450" i="3" s="1"/>
  <c r="U450" i="3"/>
  <c r="T450" i="3"/>
  <c r="A450" i="3"/>
  <c r="W449" i="3" a="1"/>
  <c r="W449" i="3" s="1"/>
  <c r="X449" i="3" s="1"/>
  <c r="V449" i="3" a="1"/>
  <c r="V449" i="3" s="1"/>
  <c r="U449" i="3"/>
  <c r="T449" i="3"/>
  <c r="A449" i="3"/>
  <c r="W448" i="3" a="1"/>
  <c r="W448" i="3" s="1"/>
  <c r="X448" i="3" s="1"/>
  <c r="V448" i="3" a="1"/>
  <c r="V448" i="3" s="1"/>
  <c r="U448" i="3"/>
  <c r="T448" i="3"/>
  <c r="A448" i="3"/>
  <c r="W447" i="3" a="1"/>
  <c r="W447" i="3" s="1"/>
  <c r="X447" i="3" s="1"/>
  <c r="V447" i="3" a="1"/>
  <c r="V447" i="3" s="1"/>
  <c r="U447" i="3"/>
  <c r="T447" i="3"/>
  <c r="A447" i="3"/>
  <c r="W446" i="3" a="1"/>
  <c r="W446" i="3" s="1"/>
  <c r="X446" i="3" s="1"/>
  <c r="V446" i="3" a="1"/>
  <c r="V446" i="3" s="1"/>
  <c r="U446" i="3"/>
  <c r="T446" i="3"/>
  <c r="A446" i="3"/>
  <c r="W445" i="3" a="1"/>
  <c r="W445" i="3" s="1"/>
  <c r="X445" i="3" s="1"/>
  <c r="V445" i="3" a="1"/>
  <c r="V445" i="3" s="1"/>
  <c r="U445" i="3"/>
  <c r="T445" i="3"/>
  <c r="A445" i="3"/>
  <c r="W444" i="3" a="1"/>
  <c r="W444" i="3" s="1"/>
  <c r="X444" i="3" s="1"/>
  <c r="V444" i="3" a="1"/>
  <c r="V444" i="3" s="1"/>
  <c r="U444" i="3"/>
  <c r="T444" i="3"/>
  <c r="A444" i="3"/>
  <c r="W443" i="3" a="1"/>
  <c r="W443" i="3" s="1"/>
  <c r="X443" i="3" s="1"/>
  <c r="V443" i="3" a="1"/>
  <c r="V443" i="3" s="1"/>
  <c r="U443" i="3"/>
  <c r="T443" i="3"/>
  <c r="A443" i="3"/>
  <c r="W442" i="3" a="1"/>
  <c r="W442" i="3" s="1"/>
  <c r="X442" i="3" s="1"/>
  <c r="V442" i="3" a="1"/>
  <c r="V442" i="3" s="1"/>
  <c r="U442" i="3"/>
  <c r="T442" i="3"/>
  <c r="A442" i="3"/>
  <c r="W441" i="3" a="1"/>
  <c r="W441" i="3" s="1"/>
  <c r="X441" i="3" s="1"/>
  <c r="V441" i="3" a="1"/>
  <c r="V441" i="3" s="1"/>
  <c r="U441" i="3"/>
  <c r="T441" i="3"/>
  <c r="A441" i="3"/>
  <c r="W440" i="3" a="1"/>
  <c r="W440" i="3" s="1"/>
  <c r="X440" i="3" s="1"/>
  <c r="V440" i="3" a="1"/>
  <c r="V440" i="3" s="1"/>
  <c r="U440" i="3"/>
  <c r="T440" i="3"/>
  <c r="A440" i="3"/>
  <c r="W439" i="3" a="1"/>
  <c r="W439" i="3" s="1"/>
  <c r="X439" i="3" s="1"/>
  <c r="V439" i="3" a="1"/>
  <c r="V439" i="3" s="1"/>
  <c r="U439" i="3"/>
  <c r="T439" i="3"/>
  <c r="A439" i="3"/>
  <c r="W438" i="3" a="1"/>
  <c r="W438" i="3" s="1"/>
  <c r="X438" i="3" s="1"/>
  <c r="V438" i="3" a="1"/>
  <c r="V438" i="3" s="1"/>
  <c r="U438" i="3"/>
  <c r="T438" i="3"/>
  <c r="A438" i="3"/>
  <c r="W437" i="3" a="1"/>
  <c r="W437" i="3" s="1"/>
  <c r="X437" i="3" s="1"/>
  <c r="V437" i="3" a="1"/>
  <c r="V437" i="3" s="1"/>
  <c r="U437" i="3"/>
  <c r="T437" i="3"/>
  <c r="A437" i="3"/>
  <c r="W436" i="3" a="1"/>
  <c r="W436" i="3" s="1"/>
  <c r="X436" i="3" s="1"/>
  <c r="V436" i="3" a="1"/>
  <c r="V436" i="3" s="1"/>
  <c r="U436" i="3"/>
  <c r="T436" i="3"/>
  <c r="A436" i="3"/>
  <c r="W435" i="3" a="1"/>
  <c r="W435" i="3" s="1"/>
  <c r="X435" i="3" s="1"/>
  <c r="V435" i="3" a="1"/>
  <c r="V435" i="3" s="1"/>
  <c r="U435" i="3"/>
  <c r="T435" i="3"/>
  <c r="A435" i="3"/>
  <c r="W434" i="3" a="1"/>
  <c r="W434" i="3" s="1"/>
  <c r="X434" i="3" s="1"/>
  <c r="V434" i="3" a="1"/>
  <c r="V434" i="3" s="1"/>
  <c r="U434" i="3"/>
  <c r="T434" i="3"/>
  <c r="A434" i="3"/>
  <c r="W433" i="3" a="1"/>
  <c r="W433" i="3" s="1"/>
  <c r="X433" i="3" s="1"/>
  <c r="V433" i="3" a="1"/>
  <c r="V433" i="3" s="1"/>
  <c r="U433" i="3"/>
  <c r="T433" i="3"/>
  <c r="A433" i="3"/>
  <c r="W432" i="3" a="1"/>
  <c r="W432" i="3" s="1"/>
  <c r="X432" i="3" s="1"/>
  <c r="V432" i="3" a="1"/>
  <c r="V432" i="3" s="1"/>
  <c r="U432" i="3"/>
  <c r="T432" i="3"/>
  <c r="A432" i="3"/>
  <c r="W431" i="3" a="1"/>
  <c r="W431" i="3" s="1"/>
  <c r="X431" i="3" s="1"/>
  <c r="V431" i="3" a="1"/>
  <c r="V431" i="3" s="1"/>
  <c r="U431" i="3"/>
  <c r="T431" i="3"/>
  <c r="A431" i="3"/>
  <c r="W430" i="3" a="1"/>
  <c r="W430" i="3" s="1"/>
  <c r="X430" i="3" s="1"/>
  <c r="V430" i="3" a="1"/>
  <c r="V430" i="3" s="1"/>
  <c r="U430" i="3"/>
  <c r="T430" i="3"/>
  <c r="A430" i="3"/>
  <c r="W429" i="3" a="1"/>
  <c r="W429" i="3" s="1"/>
  <c r="X429" i="3" s="1"/>
  <c r="V429" i="3" a="1"/>
  <c r="V429" i="3" s="1"/>
  <c r="U429" i="3"/>
  <c r="T429" i="3"/>
  <c r="A429" i="3"/>
  <c r="W428" i="3" a="1"/>
  <c r="W428" i="3" s="1"/>
  <c r="X428" i="3" s="1"/>
  <c r="V428" i="3" a="1"/>
  <c r="V428" i="3" s="1"/>
  <c r="U428" i="3"/>
  <c r="T428" i="3"/>
  <c r="A428" i="3"/>
  <c r="W427" i="3" a="1"/>
  <c r="W427" i="3" s="1"/>
  <c r="X427" i="3" s="1"/>
  <c r="V427" i="3" a="1"/>
  <c r="V427" i="3" s="1"/>
  <c r="U427" i="3"/>
  <c r="T427" i="3"/>
  <c r="A427" i="3"/>
  <c r="W426" i="3" a="1"/>
  <c r="W426" i="3" s="1"/>
  <c r="X426" i="3" s="1"/>
  <c r="V426" i="3" a="1"/>
  <c r="V426" i="3" s="1"/>
  <c r="U426" i="3"/>
  <c r="T426" i="3"/>
  <c r="A426" i="3"/>
  <c r="W425" i="3" a="1"/>
  <c r="W425" i="3" s="1"/>
  <c r="X425" i="3" s="1"/>
  <c r="V425" i="3" a="1"/>
  <c r="V425" i="3" s="1"/>
  <c r="U425" i="3"/>
  <c r="T425" i="3"/>
  <c r="A425" i="3"/>
  <c r="W424" i="3" a="1"/>
  <c r="W424" i="3" s="1"/>
  <c r="X424" i="3" s="1"/>
  <c r="V424" i="3" a="1"/>
  <c r="V424" i="3" s="1"/>
  <c r="U424" i="3"/>
  <c r="T424" i="3"/>
  <c r="A424" i="3"/>
  <c r="W423" i="3" a="1"/>
  <c r="W423" i="3" s="1"/>
  <c r="X423" i="3" s="1"/>
  <c r="V423" i="3" a="1"/>
  <c r="V423" i="3" s="1"/>
  <c r="U423" i="3"/>
  <c r="T423" i="3"/>
  <c r="A423" i="3"/>
  <c r="W422" i="3" a="1"/>
  <c r="W422" i="3" s="1"/>
  <c r="X422" i="3" s="1"/>
  <c r="V422" i="3" a="1"/>
  <c r="V422" i="3" s="1"/>
  <c r="U422" i="3"/>
  <c r="T422" i="3"/>
  <c r="A422" i="3"/>
  <c r="W421" i="3" a="1"/>
  <c r="W421" i="3" s="1"/>
  <c r="X421" i="3" s="1"/>
  <c r="V421" i="3" a="1"/>
  <c r="V421" i="3" s="1"/>
  <c r="U421" i="3"/>
  <c r="T421" i="3"/>
  <c r="A421" i="3"/>
  <c r="W420" i="3" a="1"/>
  <c r="W420" i="3" s="1"/>
  <c r="X420" i="3" s="1"/>
  <c r="V420" i="3" a="1"/>
  <c r="V420" i="3" s="1"/>
  <c r="U420" i="3"/>
  <c r="T420" i="3"/>
  <c r="A420" i="3"/>
  <c r="W419" i="3" a="1"/>
  <c r="W419" i="3" s="1"/>
  <c r="X419" i="3" s="1"/>
  <c r="V419" i="3" a="1"/>
  <c r="V419" i="3" s="1"/>
  <c r="U419" i="3"/>
  <c r="T419" i="3"/>
  <c r="A419" i="3"/>
  <c r="W418" i="3" a="1"/>
  <c r="W418" i="3" s="1"/>
  <c r="X418" i="3" s="1"/>
  <c r="V418" i="3" a="1"/>
  <c r="V418" i="3" s="1"/>
  <c r="U418" i="3"/>
  <c r="T418" i="3"/>
  <c r="A418" i="3"/>
  <c r="W417" i="3" a="1"/>
  <c r="W417" i="3" s="1"/>
  <c r="X417" i="3" s="1"/>
  <c r="V417" i="3" a="1"/>
  <c r="V417" i="3" s="1"/>
  <c r="U417" i="3"/>
  <c r="T417" i="3"/>
  <c r="A417" i="3"/>
  <c r="W416" i="3" a="1"/>
  <c r="W416" i="3" s="1"/>
  <c r="X416" i="3" s="1"/>
  <c r="V416" i="3" a="1"/>
  <c r="V416" i="3" s="1"/>
  <c r="U416" i="3"/>
  <c r="T416" i="3"/>
  <c r="A416" i="3"/>
  <c r="W415" i="3" a="1"/>
  <c r="W415" i="3" s="1"/>
  <c r="X415" i="3" s="1"/>
  <c r="V415" i="3" a="1"/>
  <c r="V415" i="3" s="1"/>
  <c r="U415" i="3"/>
  <c r="T415" i="3"/>
  <c r="A415" i="3"/>
  <c r="W414" i="3" a="1"/>
  <c r="W414" i="3" s="1"/>
  <c r="X414" i="3" s="1"/>
  <c r="V414" i="3" a="1"/>
  <c r="V414" i="3" s="1"/>
  <c r="U414" i="3"/>
  <c r="T414" i="3"/>
  <c r="A414" i="3"/>
  <c r="W413" i="3" a="1"/>
  <c r="W413" i="3" s="1"/>
  <c r="X413" i="3" s="1"/>
  <c r="V413" i="3" a="1"/>
  <c r="V413" i="3" s="1"/>
  <c r="U413" i="3"/>
  <c r="T413" i="3"/>
  <c r="A413" i="3"/>
  <c r="W412" i="3" a="1"/>
  <c r="W412" i="3" s="1"/>
  <c r="X412" i="3" s="1"/>
  <c r="V412" i="3" a="1"/>
  <c r="V412" i="3" s="1"/>
  <c r="U412" i="3"/>
  <c r="T412" i="3"/>
  <c r="A412" i="3"/>
  <c r="W411" i="3" a="1"/>
  <c r="W411" i="3" s="1"/>
  <c r="X411" i="3" s="1"/>
  <c r="V411" i="3" a="1"/>
  <c r="V411" i="3" s="1"/>
  <c r="U411" i="3"/>
  <c r="T411" i="3"/>
  <c r="A411" i="3"/>
  <c r="W410" i="3" a="1"/>
  <c r="W410" i="3" s="1"/>
  <c r="X410" i="3" s="1"/>
  <c r="V410" i="3" a="1"/>
  <c r="V410" i="3" s="1"/>
  <c r="U410" i="3"/>
  <c r="T410" i="3"/>
  <c r="A410" i="3"/>
  <c r="W409" i="3" a="1"/>
  <c r="W409" i="3" s="1"/>
  <c r="X409" i="3" s="1"/>
  <c r="V409" i="3" a="1"/>
  <c r="V409" i="3" s="1"/>
  <c r="U409" i="3"/>
  <c r="T409" i="3"/>
  <c r="A409" i="3"/>
  <c r="W408" i="3" a="1"/>
  <c r="W408" i="3" s="1"/>
  <c r="X408" i="3" s="1"/>
  <c r="V408" i="3" a="1"/>
  <c r="V408" i="3" s="1"/>
  <c r="U408" i="3"/>
  <c r="T408" i="3"/>
  <c r="A408" i="3"/>
  <c r="W407" i="3" a="1"/>
  <c r="W407" i="3" s="1"/>
  <c r="X407" i="3" s="1"/>
  <c r="V407" i="3" a="1"/>
  <c r="V407" i="3" s="1"/>
  <c r="U407" i="3"/>
  <c r="T407" i="3"/>
  <c r="A407" i="3"/>
  <c r="W406" i="3" a="1"/>
  <c r="W406" i="3" s="1"/>
  <c r="X406" i="3" s="1"/>
  <c r="V406" i="3" a="1"/>
  <c r="V406" i="3" s="1"/>
  <c r="U406" i="3"/>
  <c r="T406" i="3"/>
  <c r="A406" i="3"/>
  <c r="W405" i="3" a="1"/>
  <c r="W405" i="3" s="1"/>
  <c r="X405" i="3" s="1"/>
  <c r="V405" i="3" a="1"/>
  <c r="V405" i="3" s="1"/>
  <c r="U405" i="3"/>
  <c r="T405" i="3"/>
  <c r="A405" i="3"/>
  <c r="W404" i="3" a="1"/>
  <c r="W404" i="3" s="1"/>
  <c r="X404" i="3" s="1"/>
  <c r="V404" i="3" a="1"/>
  <c r="V404" i="3" s="1"/>
  <c r="U404" i="3"/>
  <c r="T404" i="3"/>
  <c r="A404" i="3"/>
  <c r="W403" i="3" a="1"/>
  <c r="W403" i="3" s="1"/>
  <c r="X403" i="3" s="1"/>
  <c r="V403" i="3" a="1"/>
  <c r="V403" i="3" s="1"/>
  <c r="U403" i="3"/>
  <c r="T403" i="3"/>
  <c r="A403" i="3"/>
  <c r="W402" i="3" a="1"/>
  <c r="W402" i="3" s="1"/>
  <c r="X402" i="3" s="1"/>
  <c r="V402" i="3" a="1"/>
  <c r="V402" i="3" s="1"/>
  <c r="U402" i="3"/>
  <c r="T402" i="3"/>
  <c r="A402" i="3"/>
  <c r="W401" i="3" a="1"/>
  <c r="W401" i="3" s="1"/>
  <c r="X401" i="3" s="1"/>
  <c r="V401" i="3" a="1"/>
  <c r="V401" i="3" s="1"/>
  <c r="U401" i="3"/>
  <c r="T401" i="3"/>
  <c r="A401" i="3"/>
  <c r="W400" i="3" a="1"/>
  <c r="W400" i="3" s="1"/>
  <c r="X400" i="3" s="1"/>
  <c r="V400" i="3" a="1"/>
  <c r="V400" i="3" s="1"/>
  <c r="U400" i="3"/>
  <c r="T400" i="3"/>
  <c r="A400" i="3"/>
  <c r="W399" i="3" a="1"/>
  <c r="W399" i="3" s="1"/>
  <c r="X399" i="3" s="1"/>
  <c r="V399" i="3" a="1"/>
  <c r="V399" i="3" s="1"/>
  <c r="U399" i="3"/>
  <c r="T399" i="3"/>
  <c r="A399" i="3"/>
  <c r="W398" i="3" a="1"/>
  <c r="W398" i="3" s="1"/>
  <c r="X398" i="3" s="1"/>
  <c r="V398" i="3" a="1"/>
  <c r="V398" i="3" s="1"/>
  <c r="U398" i="3"/>
  <c r="T398" i="3"/>
  <c r="A398" i="3"/>
  <c r="W397" i="3" a="1"/>
  <c r="W397" i="3" s="1"/>
  <c r="X397" i="3" s="1"/>
  <c r="V397" i="3" a="1"/>
  <c r="V397" i="3" s="1"/>
  <c r="U397" i="3"/>
  <c r="T397" i="3"/>
  <c r="A397" i="3"/>
  <c r="W396" i="3" a="1"/>
  <c r="W396" i="3" s="1"/>
  <c r="X396" i="3" s="1"/>
  <c r="V396" i="3" a="1"/>
  <c r="V396" i="3" s="1"/>
  <c r="U396" i="3"/>
  <c r="T396" i="3"/>
  <c r="A396" i="3"/>
  <c r="W395" i="3" a="1"/>
  <c r="W395" i="3" s="1"/>
  <c r="X395" i="3" s="1"/>
  <c r="V395" i="3" a="1"/>
  <c r="V395" i="3" s="1"/>
  <c r="U395" i="3"/>
  <c r="T395" i="3"/>
  <c r="A395" i="3"/>
  <c r="W394" i="3" a="1"/>
  <c r="W394" i="3" s="1"/>
  <c r="X394" i="3" s="1"/>
  <c r="V394" i="3" a="1"/>
  <c r="V394" i="3" s="1"/>
  <c r="U394" i="3"/>
  <c r="T394" i="3"/>
  <c r="A394" i="3"/>
  <c r="W393" i="3" a="1"/>
  <c r="W393" i="3" s="1"/>
  <c r="X393" i="3" s="1"/>
  <c r="V393" i="3" a="1"/>
  <c r="V393" i="3" s="1"/>
  <c r="U393" i="3"/>
  <c r="T393" i="3"/>
  <c r="A393" i="3"/>
  <c r="W392" i="3" a="1"/>
  <c r="W392" i="3" s="1"/>
  <c r="X392" i="3" s="1"/>
  <c r="V392" i="3" a="1"/>
  <c r="V392" i="3" s="1"/>
  <c r="U392" i="3"/>
  <c r="T392" i="3"/>
  <c r="A392" i="3"/>
  <c r="W391" i="3" a="1"/>
  <c r="W391" i="3" s="1"/>
  <c r="X391" i="3" s="1"/>
  <c r="V391" i="3" a="1"/>
  <c r="V391" i="3" s="1"/>
  <c r="U391" i="3"/>
  <c r="T391" i="3"/>
  <c r="A391" i="3"/>
  <c r="W390" i="3" a="1"/>
  <c r="W390" i="3" s="1"/>
  <c r="X390" i="3" s="1"/>
  <c r="V390" i="3" a="1"/>
  <c r="V390" i="3" s="1"/>
  <c r="U390" i="3"/>
  <c r="T390" i="3"/>
  <c r="A390" i="3"/>
  <c r="W389" i="3" a="1"/>
  <c r="W389" i="3" s="1"/>
  <c r="X389" i="3" s="1"/>
  <c r="V389" i="3" a="1"/>
  <c r="V389" i="3" s="1"/>
  <c r="U389" i="3"/>
  <c r="T389" i="3"/>
  <c r="A389" i="3"/>
  <c r="W388" i="3" a="1"/>
  <c r="W388" i="3" s="1"/>
  <c r="X388" i="3" s="1"/>
  <c r="V388" i="3" a="1"/>
  <c r="V388" i="3" s="1"/>
  <c r="U388" i="3"/>
  <c r="T388" i="3"/>
  <c r="A388" i="3"/>
  <c r="W387" i="3" a="1"/>
  <c r="W387" i="3" s="1"/>
  <c r="X387" i="3" s="1"/>
  <c r="V387" i="3" a="1"/>
  <c r="V387" i="3" s="1"/>
  <c r="U387" i="3"/>
  <c r="T387" i="3"/>
  <c r="A387" i="3"/>
  <c r="W386" i="3" a="1"/>
  <c r="W386" i="3" s="1"/>
  <c r="X386" i="3" s="1"/>
  <c r="V386" i="3" a="1"/>
  <c r="V386" i="3" s="1"/>
  <c r="U386" i="3"/>
  <c r="T386" i="3"/>
  <c r="A386" i="3"/>
  <c r="W385" i="3" a="1"/>
  <c r="W385" i="3" s="1"/>
  <c r="X385" i="3" s="1"/>
  <c r="V385" i="3" a="1"/>
  <c r="V385" i="3" s="1"/>
  <c r="U385" i="3"/>
  <c r="T385" i="3"/>
  <c r="A385" i="3"/>
  <c r="W384" i="3" a="1"/>
  <c r="W384" i="3" s="1"/>
  <c r="X384" i="3" s="1"/>
  <c r="V384" i="3" a="1"/>
  <c r="V384" i="3" s="1"/>
  <c r="U384" i="3"/>
  <c r="T384" i="3"/>
  <c r="A384" i="3"/>
  <c r="W383" i="3" a="1"/>
  <c r="W383" i="3" s="1"/>
  <c r="X383" i="3" s="1"/>
  <c r="V383" i="3" a="1"/>
  <c r="V383" i="3" s="1"/>
  <c r="U383" i="3"/>
  <c r="T383" i="3"/>
  <c r="A383" i="3"/>
  <c r="W382" i="3" a="1"/>
  <c r="W382" i="3" s="1"/>
  <c r="X382" i="3" s="1"/>
  <c r="V382" i="3" a="1"/>
  <c r="V382" i="3" s="1"/>
  <c r="U382" i="3"/>
  <c r="T382" i="3"/>
  <c r="A382" i="3"/>
  <c r="W381" i="3" a="1"/>
  <c r="W381" i="3" s="1"/>
  <c r="X381" i="3" s="1"/>
  <c r="V381" i="3" a="1"/>
  <c r="V381" i="3" s="1"/>
  <c r="U381" i="3"/>
  <c r="T381" i="3"/>
  <c r="A381" i="3"/>
  <c r="W380" i="3" a="1"/>
  <c r="W380" i="3" s="1"/>
  <c r="X380" i="3" s="1"/>
  <c r="V380" i="3" a="1"/>
  <c r="V380" i="3" s="1"/>
  <c r="U380" i="3"/>
  <c r="T380" i="3"/>
  <c r="A380" i="3"/>
  <c r="W379" i="3" a="1"/>
  <c r="W379" i="3" s="1"/>
  <c r="X379" i="3" s="1"/>
  <c r="V379" i="3" a="1"/>
  <c r="V379" i="3" s="1"/>
  <c r="U379" i="3"/>
  <c r="T379" i="3"/>
  <c r="A379" i="3"/>
  <c r="W378" i="3" a="1"/>
  <c r="W378" i="3" s="1"/>
  <c r="X378" i="3" s="1"/>
  <c r="V378" i="3" a="1"/>
  <c r="V378" i="3" s="1"/>
  <c r="U378" i="3"/>
  <c r="T378" i="3"/>
  <c r="A378" i="3"/>
  <c r="W377" i="3" a="1"/>
  <c r="W377" i="3" s="1"/>
  <c r="X377" i="3" s="1"/>
  <c r="V377" i="3" a="1"/>
  <c r="V377" i="3" s="1"/>
  <c r="U377" i="3"/>
  <c r="T377" i="3"/>
  <c r="A377" i="3"/>
  <c r="W376" i="3" a="1"/>
  <c r="W376" i="3" s="1"/>
  <c r="X376" i="3" s="1"/>
  <c r="V376" i="3" a="1"/>
  <c r="V376" i="3" s="1"/>
  <c r="U376" i="3"/>
  <c r="T376" i="3"/>
  <c r="A376" i="3"/>
  <c r="W375" i="3" a="1"/>
  <c r="W375" i="3" s="1"/>
  <c r="X375" i="3" s="1"/>
  <c r="V375" i="3" a="1"/>
  <c r="V375" i="3" s="1"/>
  <c r="U375" i="3"/>
  <c r="T375" i="3"/>
  <c r="A375" i="3"/>
  <c r="W374" i="3" a="1"/>
  <c r="W374" i="3" s="1"/>
  <c r="X374" i="3" s="1"/>
  <c r="V374" i="3" a="1"/>
  <c r="V374" i="3" s="1"/>
  <c r="U374" i="3"/>
  <c r="T374" i="3"/>
  <c r="A374" i="3"/>
  <c r="W373" i="3" a="1"/>
  <c r="W373" i="3" s="1"/>
  <c r="X373" i="3" s="1"/>
  <c r="V373" i="3" a="1"/>
  <c r="V373" i="3" s="1"/>
  <c r="U373" i="3"/>
  <c r="T373" i="3"/>
  <c r="A373" i="3"/>
  <c r="W372" i="3" a="1"/>
  <c r="W372" i="3" s="1"/>
  <c r="X372" i="3" s="1"/>
  <c r="V372" i="3" a="1"/>
  <c r="V372" i="3" s="1"/>
  <c r="U372" i="3"/>
  <c r="T372" i="3"/>
  <c r="A372" i="3"/>
  <c r="W371" i="3" a="1"/>
  <c r="W371" i="3" s="1"/>
  <c r="X371" i="3" s="1"/>
  <c r="V371" i="3" a="1"/>
  <c r="V371" i="3" s="1"/>
  <c r="U371" i="3"/>
  <c r="T371" i="3"/>
  <c r="A371" i="3"/>
  <c r="W370" i="3" a="1"/>
  <c r="W370" i="3" s="1"/>
  <c r="X370" i="3" s="1"/>
  <c r="V370" i="3" a="1"/>
  <c r="V370" i="3" s="1"/>
  <c r="U370" i="3"/>
  <c r="T370" i="3"/>
  <c r="A370" i="3"/>
  <c r="W369" i="3" a="1"/>
  <c r="W369" i="3" s="1"/>
  <c r="X369" i="3" s="1"/>
  <c r="V369" i="3" a="1"/>
  <c r="V369" i="3" s="1"/>
  <c r="U369" i="3"/>
  <c r="T369" i="3"/>
  <c r="A369" i="3"/>
  <c r="W368" i="3" a="1"/>
  <c r="W368" i="3" s="1"/>
  <c r="X368" i="3" s="1"/>
  <c r="V368" i="3" a="1"/>
  <c r="V368" i="3" s="1"/>
  <c r="U368" i="3"/>
  <c r="T368" i="3"/>
  <c r="A368" i="3"/>
  <c r="W367" i="3" a="1"/>
  <c r="W367" i="3" s="1"/>
  <c r="X367" i="3" s="1"/>
  <c r="V367" i="3" a="1"/>
  <c r="V367" i="3" s="1"/>
  <c r="U367" i="3"/>
  <c r="T367" i="3"/>
  <c r="A367" i="3"/>
  <c r="W366" i="3" a="1"/>
  <c r="W366" i="3" s="1"/>
  <c r="X366" i="3" s="1"/>
  <c r="V366" i="3" a="1"/>
  <c r="V366" i="3" s="1"/>
  <c r="U366" i="3"/>
  <c r="T366" i="3"/>
  <c r="A366" i="3"/>
  <c r="W365" i="3" a="1"/>
  <c r="W365" i="3" s="1"/>
  <c r="X365" i="3" s="1"/>
  <c r="V365" i="3" a="1"/>
  <c r="V365" i="3" s="1"/>
  <c r="U365" i="3"/>
  <c r="T365" i="3"/>
  <c r="A365" i="3"/>
  <c r="W364" i="3" a="1"/>
  <c r="W364" i="3" s="1"/>
  <c r="X364" i="3" s="1"/>
  <c r="V364" i="3" a="1"/>
  <c r="V364" i="3" s="1"/>
  <c r="U364" i="3"/>
  <c r="T364" i="3"/>
  <c r="A364" i="3"/>
  <c r="W363" i="3" a="1"/>
  <c r="W363" i="3" s="1"/>
  <c r="X363" i="3" s="1"/>
  <c r="V363" i="3" a="1"/>
  <c r="V363" i="3" s="1"/>
  <c r="U363" i="3"/>
  <c r="T363" i="3"/>
  <c r="A363" i="3"/>
  <c r="W362" i="3" a="1"/>
  <c r="W362" i="3" s="1"/>
  <c r="X362" i="3" s="1"/>
  <c r="V362" i="3" a="1"/>
  <c r="V362" i="3" s="1"/>
  <c r="U362" i="3"/>
  <c r="T362" i="3"/>
  <c r="A362" i="3"/>
  <c r="W361" i="3" a="1"/>
  <c r="W361" i="3" s="1"/>
  <c r="X361" i="3" s="1"/>
  <c r="V361" i="3" a="1"/>
  <c r="V361" i="3" s="1"/>
  <c r="U361" i="3"/>
  <c r="T361" i="3"/>
  <c r="A361" i="3"/>
  <c r="W360" i="3" a="1"/>
  <c r="W360" i="3" s="1"/>
  <c r="X360" i="3" s="1"/>
  <c r="V360" i="3" a="1"/>
  <c r="V360" i="3" s="1"/>
  <c r="U360" i="3"/>
  <c r="T360" i="3"/>
  <c r="A360" i="3"/>
  <c r="W359" i="3" a="1"/>
  <c r="W359" i="3" s="1"/>
  <c r="X359" i="3" s="1"/>
  <c r="V359" i="3" a="1"/>
  <c r="V359" i="3" s="1"/>
  <c r="U359" i="3"/>
  <c r="T359" i="3"/>
  <c r="A359" i="3"/>
  <c r="W358" i="3" a="1"/>
  <c r="W358" i="3" s="1"/>
  <c r="X358" i="3" s="1"/>
  <c r="V358" i="3" a="1"/>
  <c r="V358" i="3" s="1"/>
  <c r="U358" i="3"/>
  <c r="T358" i="3"/>
  <c r="A358" i="3"/>
  <c r="W357" i="3" a="1"/>
  <c r="W357" i="3" s="1"/>
  <c r="X357" i="3" s="1"/>
  <c r="V357" i="3" a="1"/>
  <c r="V357" i="3" s="1"/>
  <c r="U357" i="3"/>
  <c r="T357" i="3"/>
  <c r="A357" i="3"/>
  <c r="W356" i="3" a="1"/>
  <c r="W356" i="3" s="1"/>
  <c r="X356" i="3" s="1"/>
  <c r="V356" i="3" a="1"/>
  <c r="V356" i="3" s="1"/>
  <c r="U356" i="3"/>
  <c r="T356" i="3"/>
  <c r="A356" i="3"/>
  <c r="W355" i="3" a="1"/>
  <c r="W355" i="3" s="1"/>
  <c r="X355" i="3" s="1"/>
  <c r="V355" i="3" a="1"/>
  <c r="V355" i="3" s="1"/>
  <c r="U355" i="3"/>
  <c r="T355" i="3"/>
  <c r="A355" i="3"/>
  <c r="W354" i="3" a="1"/>
  <c r="W354" i="3" s="1"/>
  <c r="X354" i="3" s="1"/>
  <c r="V354" i="3" a="1"/>
  <c r="V354" i="3" s="1"/>
  <c r="U354" i="3"/>
  <c r="T354" i="3"/>
  <c r="A354" i="3"/>
  <c r="W353" i="3" a="1"/>
  <c r="W353" i="3" s="1"/>
  <c r="X353" i="3" s="1"/>
  <c r="V353" i="3" a="1"/>
  <c r="V353" i="3" s="1"/>
  <c r="U353" i="3"/>
  <c r="T353" i="3"/>
  <c r="A353" i="3"/>
  <c r="W352" i="3" a="1"/>
  <c r="W352" i="3" s="1"/>
  <c r="X352" i="3" s="1"/>
  <c r="V352" i="3" a="1"/>
  <c r="V352" i="3" s="1"/>
  <c r="U352" i="3"/>
  <c r="T352" i="3"/>
  <c r="A352" i="3"/>
  <c r="W351" i="3" a="1"/>
  <c r="W351" i="3" s="1"/>
  <c r="X351" i="3" s="1"/>
  <c r="V351" i="3" a="1"/>
  <c r="V351" i="3" s="1"/>
  <c r="U351" i="3"/>
  <c r="T351" i="3"/>
  <c r="A351" i="3"/>
  <c r="W350" i="3" a="1"/>
  <c r="W350" i="3" s="1"/>
  <c r="X350" i="3" s="1"/>
  <c r="V350" i="3" a="1"/>
  <c r="V350" i="3" s="1"/>
  <c r="U350" i="3"/>
  <c r="T350" i="3"/>
  <c r="A350" i="3"/>
  <c r="W349" i="3" a="1"/>
  <c r="W349" i="3" s="1"/>
  <c r="X349" i="3" s="1"/>
  <c r="V349" i="3" a="1"/>
  <c r="V349" i="3" s="1"/>
  <c r="U349" i="3"/>
  <c r="T349" i="3"/>
  <c r="A349" i="3"/>
  <c r="W348" i="3" a="1"/>
  <c r="W348" i="3" s="1"/>
  <c r="X348" i="3" s="1"/>
  <c r="V348" i="3" a="1"/>
  <c r="V348" i="3" s="1"/>
  <c r="U348" i="3"/>
  <c r="T348" i="3"/>
  <c r="A348" i="3"/>
  <c r="W347" i="3" a="1"/>
  <c r="W347" i="3" s="1"/>
  <c r="X347" i="3" s="1"/>
  <c r="V347" i="3" a="1"/>
  <c r="V347" i="3" s="1"/>
  <c r="U347" i="3"/>
  <c r="T347" i="3"/>
  <c r="A347" i="3"/>
  <c r="W346" i="3" a="1"/>
  <c r="W346" i="3" s="1"/>
  <c r="X346" i="3" s="1"/>
  <c r="V346" i="3" a="1"/>
  <c r="V346" i="3" s="1"/>
  <c r="U346" i="3"/>
  <c r="T346" i="3"/>
  <c r="A346" i="3"/>
  <c r="W345" i="3" a="1"/>
  <c r="W345" i="3" s="1"/>
  <c r="X345" i="3" s="1"/>
  <c r="V345" i="3" a="1"/>
  <c r="V345" i="3" s="1"/>
  <c r="U345" i="3"/>
  <c r="T345" i="3"/>
  <c r="A345" i="3"/>
  <c r="W344" i="3" a="1"/>
  <c r="W344" i="3" s="1"/>
  <c r="X344" i="3" s="1"/>
  <c r="V344" i="3" a="1"/>
  <c r="V344" i="3" s="1"/>
  <c r="U344" i="3"/>
  <c r="T344" i="3"/>
  <c r="A344" i="3"/>
  <c r="W343" i="3" a="1"/>
  <c r="W343" i="3" s="1"/>
  <c r="X343" i="3" s="1"/>
  <c r="V343" i="3" a="1"/>
  <c r="V343" i="3" s="1"/>
  <c r="U343" i="3"/>
  <c r="T343" i="3"/>
  <c r="A343" i="3"/>
  <c r="W342" i="3" a="1"/>
  <c r="W342" i="3" s="1"/>
  <c r="X342" i="3" s="1"/>
  <c r="V342" i="3" a="1"/>
  <c r="V342" i="3" s="1"/>
  <c r="U342" i="3"/>
  <c r="T342" i="3"/>
  <c r="A342" i="3"/>
  <c r="W341" i="3" a="1"/>
  <c r="W341" i="3" s="1"/>
  <c r="X341" i="3" s="1"/>
  <c r="V341" i="3" a="1"/>
  <c r="V341" i="3" s="1"/>
  <c r="U341" i="3"/>
  <c r="T341" i="3"/>
  <c r="A341" i="3"/>
  <c r="W340" i="3" a="1"/>
  <c r="W340" i="3" s="1"/>
  <c r="X340" i="3" s="1"/>
  <c r="V340" i="3" a="1"/>
  <c r="V340" i="3" s="1"/>
  <c r="U340" i="3"/>
  <c r="T340" i="3"/>
  <c r="A340" i="3"/>
  <c r="W339" i="3" a="1"/>
  <c r="W339" i="3" s="1"/>
  <c r="X339" i="3" s="1"/>
  <c r="V339" i="3" a="1"/>
  <c r="V339" i="3" s="1"/>
  <c r="U339" i="3"/>
  <c r="T339" i="3"/>
  <c r="A339" i="3"/>
  <c r="W338" i="3" a="1"/>
  <c r="W338" i="3" s="1"/>
  <c r="X338" i="3" s="1"/>
  <c r="V338" i="3" a="1"/>
  <c r="V338" i="3" s="1"/>
  <c r="U338" i="3"/>
  <c r="T338" i="3"/>
  <c r="A338" i="3"/>
  <c r="W337" i="3" a="1"/>
  <c r="W337" i="3" s="1"/>
  <c r="X337" i="3" s="1"/>
  <c r="V337" i="3" a="1"/>
  <c r="V337" i="3" s="1"/>
  <c r="U337" i="3"/>
  <c r="T337" i="3"/>
  <c r="A337" i="3"/>
  <c r="W336" i="3" a="1"/>
  <c r="W336" i="3" s="1"/>
  <c r="X336" i="3" s="1"/>
  <c r="V336" i="3" a="1"/>
  <c r="V336" i="3" s="1"/>
  <c r="U336" i="3"/>
  <c r="T336" i="3"/>
  <c r="A336" i="3"/>
  <c r="W335" i="3" a="1"/>
  <c r="W335" i="3" s="1"/>
  <c r="X335" i="3" s="1"/>
  <c r="V335" i="3" a="1"/>
  <c r="V335" i="3" s="1"/>
  <c r="U335" i="3"/>
  <c r="T335" i="3"/>
  <c r="A335" i="3"/>
  <c r="W334" i="3" a="1"/>
  <c r="W334" i="3" s="1"/>
  <c r="X334" i="3" s="1"/>
  <c r="V334" i="3" a="1"/>
  <c r="V334" i="3" s="1"/>
  <c r="U334" i="3"/>
  <c r="T334" i="3"/>
  <c r="A334" i="3"/>
  <c r="W333" i="3" a="1"/>
  <c r="W333" i="3" s="1"/>
  <c r="X333" i="3" s="1"/>
  <c r="V333" i="3" a="1"/>
  <c r="V333" i="3" s="1"/>
  <c r="U333" i="3"/>
  <c r="T333" i="3"/>
  <c r="A333" i="3"/>
  <c r="W332" i="3" a="1"/>
  <c r="W332" i="3" s="1"/>
  <c r="X332" i="3" s="1"/>
  <c r="V332" i="3" a="1"/>
  <c r="V332" i="3" s="1"/>
  <c r="U332" i="3"/>
  <c r="T332" i="3"/>
  <c r="A332" i="3"/>
  <c r="W331" i="3" a="1"/>
  <c r="W331" i="3" s="1"/>
  <c r="X331" i="3" s="1"/>
  <c r="V331" i="3" a="1"/>
  <c r="V331" i="3" s="1"/>
  <c r="U331" i="3"/>
  <c r="T331" i="3"/>
  <c r="A331" i="3"/>
  <c r="W330" i="3" a="1"/>
  <c r="W330" i="3" s="1"/>
  <c r="X330" i="3" s="1"/>
  <c r="V330" i="3" a="1"/>
  <c r="V330" i="3" s="1"/>
  <c r="U330" i="3"/>
  <c r="T330" i="3"/>
  <c r="A330" i="3"/>
  <c r="W329" i="3" a="1"/>
  <c r="W329" i="3" s="1"/>
  <c r="X329" i="3" s="1"/>
  <c r="V329" i="3" a="1"/>
  <c r="V329" i="3" s="1"/>
  <c r="U329" i="3"/>
  <c r="T329" i="3"/>
  <c r="A329" i="3"/>
  <c r="W328" i="3" a="1"/>
  <c r="W328" i="3" s="1"/>
  <c r="X328" i="3" s="1"/>
  <c r="V328" i="3" a="1"/>
  <c r="V328" i="3" s="1"/>
  <c r="U328" i="3"/>
  <c r="T328" i="3"/>
  <c r="A328" i="3"/>
  <c r="W327" i="3" a="1"/>
  <c r="W327" i="3" s="1"/>
  <c r="X327" i="3" s="1"/>
  <c r="V327" i="3" a="1"/>
  <c r="V327" i="3" s="1"/>
  <c r="U327" i="3"/>
  <c r="T327" i="3"/>
  <c r="A327" i="3"/>
  <c r="W326" i="3" a="1"/>
  <c r="W326" i="3" s="1"/>
  <c r="X326" i="3" s="1"/>
  <c r="V326" i="3" a="1"/>
  <c r="V326" i="3" s="1"/>
  <c r="U326" i="3"/>
  <c r="T326" i="3"/>
  <c r="A326" i="3"/>
  <c r="W325" i="3" a="1"/>
  <c r="W325" i="3" s="1"/>
  <c r="X325" i="3" s="1"/>
  <c r="V325" i="3" a="1"/>
  <c r="V325" i="3" s="1"/>
  <c r="U325" i="3"/>
  <c r="T325" i="3"/>
  <c r="A325" i="3"/>
  <c r="W324" i="3" a="1"/>
  <c r="W324" i="3" s="1"/>
  <c r="X324" i="3" s="1"/>
  <c r="V324" i="3" a="1"/>
  <c r="V324" i="3" s="1"/>
  <c r="U324" i="3"/>
  <c r="T324" i="3"/>
  <c r="A324" i="3"/>
  <c r="W323" i="3" a="1"/>
  <c r="W323" i="3" s="1"/>
  <c r="X323" i="3" s="1"/>
  <c r="V323" i="3" a="1"/>
  <c r="V323" i="3" s="1"/>
  <c r="U323" i="3"/>
  <c r="T323" i="3"/>
  <c r="A323" i="3"/>
  <c r="W322" i="3" a="1"/>
  <c r="W322" i="3" s="1"/>
  <c r="X322" i="3" s="1"/>
  <c r="V322" i="3" a="1"/>
  <c r="V322" i="3" s="1"/>
  <c r="U322" i="3"/>
  <c r="T322" i="3"/>
  <c r="A322" i="3"/>
  <c r="W321" i="3" a="1"/>
  <c r="W321" i="3" s="1"/>
  <c r="X321" i="3" s="1"/>
  <c r="V321" i="3" a="1"/>
  <c r="V321" i="3" s="1"/>
  <c r="U321" i="3"/>
  <c r="T321" i="3"/>
  <c r="A321" i="3"/>
  <c r="W320" i="3" a="1"/>
  <c r="W320" i="3" s="1"/>
  <c r="X320" i="3" s="1"/>
  <c r="V320" i="3" a="1"/>
  <c r="V320" i="3" s="1"/>
  <c r="U320" i="3"/>
  <c r="T320" i="3"/>
  <c r="A320" i="3"/>
  <c r="W319" i="3" a="1"/>
  <c r="W319" i="3" s="1"/>
  <c r="X319" i="3" s="1"/>
  <c r="V319" i="3" a="1"/>
  <c r="V319" i="3" s="1"/>
  <c r="U319" i="3"/>
  <c r="T319" i="3"/>
  <c r="A319" i="3"/>
  <c r="W318" i="3" a="1"/>
  <c r="W318" i="3" s="1"/>
  <c r="X318" i="3" s="1"/>
  <c r="V318" i="3" a="1"/>
  <c r="V318" i="3" s="1"/>
  <c r="U318" i="3"/>
  <c r="T318" i="3"/>
  <c r="A318" i="3"/>
  <c r="W317" i="3" a="1"/>
  <c r="W317" i="3" s="1"/>
  <c r="X317" i="3" s="1"/>
  <c r="V317" i="3" a="1"/>
  <c r="V317" i="3" s="1"/>
  <c r="U317" i="3"/>
  <c r="T317" i="3"/>
  <c r="A317" i="3"/>
  <c r="W316" i="3" a="1"/>
  <c r="W316" i="3" s="1"/>
  <c r="X316" i="3" s="1"/>
  <c r="V316" i="3" a="1"/>
  <c r="V316" i="3" s="1"/>
  <c r="U316" i="3"/>
  <c r="T316" i="3"/>
  <c r="A316" i="3"/>
  <c r="W315" i="3" a="1"/>
  <c r="W315" i="3" s="1"/>
  <c r="X315" i="3" s="1"/>
  <c r="V315" i="3" a="1"/>
  <c r="V315" i="3" s="1"/>
  <c r="U315" i="3"/>
  <c r="T315" i="3"/>
  <c r="A315" i="3"/>
  <c r="W314" i="3" a="1"/>
  <c r="W314" i="3" s="1"/>
  <c r="X314" i="3" s="1"/>
  <c r="V314" i="3" a="1"/>
  <c r="V314" i="3" s="1"/>
  <c r="U314" i="3"/>
  <c r="T314" i="3"/>
  <c r="A314" i="3"/>
  <c r="W313" i="3" a="1"/>
  <c r="W313" i="3" s="1"/>
  <c r="X313" i="3" s="1"/>
  <c r="V313" i="3" a="1"/>
  <c r="V313" i="3" s="1"/>
  <c r="U313" i="3"/>
  <c r="T313" i="3"/>
  <c r="A313" i="3"/>
  <c r="W312" i="3" a="1"/>
  <c r="W312" i="3" s="1"/>
  <c r="X312" i="3" s="1"/>
  <c r="V312" i="3" a="1"/>
  <c r="V312" i="3" s="1"/>
  <c r="U312" i="3"/>
  <c r="T312" i="3"/>
  <c r="A312" i="3"/>
  <c r="W311" i="3" a="1"/>
  <c r="W311" i="3" s="1"/>
  <c r="X311" i="3" s="1"/>
  <c r="V311" i="3" a="1"/>
  <c r="V311" i="3" s="1"/>
  <c r="U311" i="3"/>
  <c r="T311" i="3"/>
  <c r="A311" i="3"/>
  <c r="W310" i="3" a="1"/>
  <c r="W310" i="3" s="1"/>
  <c r="X310" i="3" s="1"/>
  <c r="V310" i="3" a="1"/>
  <c r="V310" i="3" s="1"/>
  <c r="U310" i="3"/>
  <c r="T310" i="3"/>
  <c r="A310" i="3"/>
  <c r="W309" i="3" a="1"/>
  <c r="W309" i="3" s="1"/>
  <c r="X309" i="3" s="1"/>
  <c r="V309" i="3" a="1"/>
  <c r="V309" i="3" s="1"/>
  <c r="U309" i="3"/>
  <c r="T309" i="3"/>
  <c r="A309" i="3"/>
  <c r="W308" i="3" a="1"/>
  <c r="W308" i="3" s="1"/>
  <c r="X308" i="3" s="1"/>
  <c r="V308" i="3" a="1"/>
  <c r="V308" i="3" s="1"/>
  <c r="U308" i="3"/>
  <c r="T308" i="3"/>
  <c r="A308" i="3"/>
  <c r="W307" i="3" a="1"/>
  <c r="W307" i="3" s="1"/>
  <c r="X307" i="3" s="1"/>
  <c r="V307" i="3" a="1"/>
  <c r="V307" i="3" s="1"/>
  <c r="U307" i="3"/>
  <c r="T307" i="3"/>
  <c r="A307" i="3"/>
  <c r="W306" i="3" a="1"/>
  <c r="W306" i="3" s="1"/>
  <c r="X306" i="3" s="1"/>
  <c r="V306" i="3" a="1"/>
  <c r="V306" i="3" s="1"/>
  <c r="U306" i="3"/>
  <c r="T306" i="3"/>
  <c r="A306" i="3"/>
  <c r="W305" i="3" a="1"/>
  <c r="W305" i="3" s="1"/>
  <c r="X305" i="3" s="1"/>
  <c r="V305" i="3" a="1"/>
  <c r="V305" i="3" s="1"/>
  <c r="U305" i="3"/>
  <c r="T305" i="3"/>
  <c r="A305" i="3"/>
  <c r="W304" i="3" a="1"/>
  <c r="W304" i="3" s="1"/>
  <c r="X304" i="3" s="1"/>
  <c r="V304" i="3" a="1"/>
  <c r="V304" i="3" s="1"/>
  <c r="U304" i="3"/>
  <c r="T304" i="3"/>
  <c r="A304" i="3"/>
  <c r="W303" i="3" a="1"/>
  <c r="W303" i="3" s="1"/>
  <c r="X303" i="3" s="1"/>
  <c r="V303" i="3" a="1"/>
  <c r="V303" i="3" s="1"/>
  <c r="U303" i="3"/>
  <c r="T303" i="3"/>
  <c r="A303" i="3"/>
  <c r="W302" i="3" a="1"/>
  <c r="W302" i="3" s="1"/>
  <c r="X302" i="3" s="1"/>
  <c r="V302" i="3" a="1"/>
  <c r="V302" i="3" s="1"/>
  <c r="U302" i="3"/>
  <c r="T302" i="3"/>
  <c r="A302" i="3"/>
  <c r="W301" i="3" a="1"/>
  <c r="W301" i="3" s="1"/>
  <c r="X301" i="3" s="1"/>
  <c r="V301" i="3" a="1"/>
  <c r="V301" i="3" s="1"/>
  <c r="U301" i="3"/>
  <c r="T301" i="3"/>
  <c r="A301" i="3"/>
  <c r="W300" i="3" a="1"/>
  <c r="W300" i="3" s="1"/>
  <c r="X300" i="3" s="1"/>
  <c r="V300" i="3" a="1"/>
  <c r="V300" i="3" s="1"/>
  <c r="U300" i="3"/>
  <c r="T300" i="3"/>
  <c r="A300" i="3"/>
  <c r="W299" i="3" a="1"/>
  <c r="W299" i="3" s="1"/>
  <c r="X299" i="3" s="1"/>
  <c r="V299" i="3" a="1"/>
  <c r="V299" i="3" s="1"/>
  <c r="U299" i="3"/>
  <c r="T299" i="3"/>
  <c r="A299" i="3"/>
  <c r="W298" i="3" a="1"/>
  <c r="W298" i="3" s="1"/>
  <c r="X298" i="3" s="1"/>
  <c r="V298" i="3" a="1"/>
  <c r="V298" i="3" s="1"/>
  <c r="U298" i="3"/>
  <c r="T298" i="3"/>
  <c r="A298" i="3"/>
  <c r="W297" i="3" a="1"/>
  <c r="W297" i="3" s="1"/>
  <c r="X297" i="3" s="1"/>
  <c r="V297" i="3" a="1"/>
  <c r="V297" i="3" s="1"/>
  <c r="U297" i="3"/>
  <c r="T297" i="3"/>
  <c r="A297" i="3"/>
  <c r="W296" i="3" a="1"/>
  <c r="W296" i="3" s="1"/>
  <c r="X296" i="3" s="1"/>
  <c r="V296" i="3" a="1"/>
  <c r="V296" i="3" s="1"/>
  <c r="U296" i="3"/>
  <c r="T296" i="3"/>
  <c r="A296" i="3"/>
  <c r="W295" i="3" a="1"/>
  <c r="W295" i="3" s="1"/>
  <c r="X295" i="3" s="1"/>
  <c r="V295" i="3" a="1"/>
  <c r="V295" i="3" s="1"/>
  <c r="U295" i="3"/>
  <c r="T295" i="3"/>
  <c r="A295" i="3"/>
  <c r="W294" i="3" a="1"/>
  <c r="W294" i="3" s="1"/>
  <c r="X294" i="3" s="1"/>
  <c r="V294" i="3" a="1"/>
  <c r="V294" i="3" s="1"/>
  <c r="U294" i="3"/>
  <c r="T294" i="3"/>
  <c r="A294" i="3"/>
  <c r="W293" i="3" a="1"/>
  <c r="W293" i="3" s="1"/>
  <c r="X293" i="3" s="1"/>
  <c r="V293" i="3" a="1"/>
  <c r="V293" i="3" s="1"/>
  <c r="U293" i="3"/>
  <c r="T293" i="3"/>
  <c r="A293" i="3"/>
  <c r="W292" i="3" a="1"/>
  <c r="W292" i="3" s="1"/>
  <c r="X292" i="3" s="1"/>
  <c r="V292" i="3" a="1"/>
  <c r="V292" i="3" s="1"/>
  <c r="U292" i="3"/>
  <c r="T292" i="3"/>
  <c r="A292" i="3"/>
  <c r="W291" i="3" a="1"/>
  <c r="W291" i="3" s="1"/>
  <c r="X291" i="3" s="1"/>
  <c r="V291" i="3" a="1"/>
  <c r="V291" i="3" s="1"/>
  <c r="U291" i="3"/>
  <c r="T291" i="3"/>
  <c r="A291" i="3"/>
  <c r="W290" i="3" a="1"/>
  <c r="W290" i="3" s="1"/>
  <c r="X290" i="3" s="1"/>
  <c r="V290" i="3" a="1"/>
  <c r="V290" i="3" s="1"/>
  <c r="U290" i="3"/>
  <c r="T290" i="3"/>
  <c r="A290" i="3"/>
  <c r="W289" i="3" a="1"/>
  <c r="W289" i="3" s="1"/>
  <c r="X289" i="3" s="1"/>
  <c r="V289" i="3" a="1"/>
  <c r="V289" i="3" s="1"/>
  <c r="U289" i="3"/>
  <c r="T289" i="3"/>
  <c r="A289" i="3"/>
  <c r="W288" i="3" a="1"/>
  <c r="W288" i="3" s="1"/>
  <c r="X288" i="3" s="1"/>
  <c r="V288" i="3" a="1"/>
  <c r="V288" i="3" s="1"/>
  <c r="U288" i="3"/>
  <c r="T288" i="3"/>
  <c r="A288" i="3"/>
  <c r="W287" i="3" a="1"/>
  <c r="W287" i="3" s="1"/>
  <c r="X287" i="3" s="1"/>
  <c r="V287" i="3" a="1"/>
  <c r="V287" i="3" s="1"/>
  <c r="U287" i="3"/>
  <c r="T287" i="3"/>
  <c r="A287" i="3"/>
  <c r="W286" i="3" a="1"/>
  <c r="W286" i="3" s="1"/>
  <c r="X286" i="3" s="1"/>
  <c r="V286" i="3" a="1"/>
  <c r="V286" i="3" s="1"/>
  <c r="U286" i="3"/>
  <c r="T286" i="3"/>
  <c r="A286" i="3"/>
  <c r="W285" i="3" a="1"/>
  <c r="W285" i="3" s="1"/>
  <c r="X285" i="3" s="1"/>
  <c r="V285" i="3" a="1"/>
  <c r="V285" i="3" s="1"/>
  <c r="U285" i="3"/>
  <c r="T285" i="3"/>
  <c r="A285" i="3"/>
  <c r="W284" i="3" a="1"/>
  <c r="W284" i="3" s="1"/>
  <c r="X284" i="3" s="1"/>
  <c r="V284" i="3" a="1"/>
  <c r="V284" i="3" s="1"/>
  <c r="U284" i="3"/>
  <c r="T284" i="3"/>
  <c r="A284" i="3"/>
  <c r="W283" i="3" a="1"/>
  <c r="W283" i="3" s="1"/>
  <c r="X283" i="3" s="1"/>
  <c r="V283" i="3" a="1"/>
  <c r="V283" i="3" s="1"/>
  <c r="U283" i="3"/>
  <c r="T283" i="3"/>
  <c r="A283" i="3"/>
  <c r="W282" i="3" a="1"/>
  <c r="W282" i="3" s="1"/>
  <c r="X282" i="3" s="1"/>
  <c r="V282" i="3" a="1"/>
  <c r="V282" i="3" s="1"/>
  <c r="U282" i="3"/>
  <c r="T282" i="3"/>
  <c r="A282" i="3"/>
  <c r="W281" i="3" a="1"/>
  <c r="W281" i="3" s="1"/>
  <c r="X281" i="3" s="1"/>
  <c r="V281" i="3" a="1"/>
  <c r="V281" i="3" s="1"/>
  <c r="U281" i="3"/>
  <c r="T281" i="3"/>
  <c r="A281" i="3"/>
  <c r="W280" i="3" a="1"/>
  <c r="W280" i="3" s="1"/>
  <c r="X280" i="3" s="1"/>
  <c r="V280" i="3" a="1"/>
  <c r="V280" i="3" s="1"/>
  <c r="U280" i="3"/>
  <c r="T280" i="3"/>
  <c r="A280" i="3"/>
  <c r="W279" i="3" a="1"/>
  <c r="W279" i="3" s="1"/>
  <c r="X279" i="3" s="1"/>
  <c r="V279" i="3" a="1"/>
  <c r="V279" i="3" s="1"/>
  <c r="U279" i="3"/>
  <c r="T279" i="3"/>
  <c r="A279" i="3"/>
  <c r="W278" i="3" a="1"/>
  <c r="W278" i="3" s="1"/>
  <c r="X278" i="3" s="1"/>
  <c r="V278" i="3" a="1"/>
  <c r="V278" i="3" s="1"/>
  <c r="U278" i="3"/>
  <c r="T278" i="3"/>
  <c r="A278" i="3"/>
  <c r="W277" i="3" a="1"/>
  <c r="W277" i="3" s="1"/>
  <c r="X277" i="3" s="1"/>
  <c r="V277" i="3" a="1"/>
  <c r="V277" i="3" s="1"/>
  <c r="U277" i="3"/>
  <c r="T277" i="3"/>
  <c r="A277" i="3"/>
  <c r="W276" i="3" a="1"/>
  <c r="W276" i="3" s="1"/>
  <c r="X276" i="3" s="1"/>
  <c r="V276" i="3" a="1"/>
  <c r="V276" i="3" s="1"/>
  <c r="U276" i="3"/>
  <c r="T276" i="3"/>
  <c r="A276" i="3"/>
  <c r="W275" i="3" a="1"/>
  <c r="W275" i="3" s="1"/>
  <c r="X275" i="3" s="1"/>
  <c r="V275" i="3" a="1"/>
  <c r="V275" i="3" s="1"/>
  <c r="U275" i="3"/>
  <c r="T275" i="3"/>
  <c r="A275" i="3"/>
  <c r="W274" i="3" a="1"/>
  <c r="W274" i="3" s="1"/>
  <c r="X274" i="3" s="1"/>
  <c r="V274" i="3" a="1"/>
  <c r="V274" i="3" s="1"/>
  <c r="U274" i="3"/>
  <c r="T274" i="3"/>
  <c r="A274" i="3"/>
  <c r="W273" i="3" a="1"/>
  <c r="W273" i="3" s="1"/>
  <c r="X273" i="3" s="1"/>
  <c r="V273" i="3" a="1"/>
  <c r="V273" i="3" s="1"/>
  <c r="U273" i="3"/>
  <c r="T273" i="3"/>
  <c r="A273" i="3"/>
  <c r="W272" i="3" a="1"/>
  <c r="W272" i="3" s="1"/>
  <c r="X272" i="3" s="1"/>
  <c r="V272" i="3" a="1"/>
  <c r="V272" i="3" s="1"/>
  <c r="U272" i="3"/>
  <c r="T272" i="3"/>
  <c r="A272" i="3"/>
  <c r="W271" i="3" a="1"/>
  <c r="W271" i="3" s="1"/>
  <c r="X271" i="3" s="1"/>
  <c r="V271" i="3" a="1"/>
  <c r="V271" i="3" s="1"/>
  <c r="U271" i="3"/>
  <c r="T271" i="3"/>
  <c r="A271" i="3"/>
  <c r="W270" i="3" a="1"/>
  <c r="W270" i="3" s="1"/>
  <c r="X270" i="3" s="1"/>
  <c r="V270" i="3" a="1"/>
  <c r="V270" i="3" s="1"/>
  <c r="U270" i="3"/>
  <c r="T270" i="3"/>
  <c r="A270" i="3"/>
  <c r="W269" i="3" a="1"/>
  <c r="W269" i="3" s="1"/>
  <c r="X269" i="3" s="1"/>
  <c r="V269" i="3" a="1"/>
  <c r="V269" i="3" s="1"/>
  <c r="U269" i="3"/>
  <c r="T269" i="3"/>
  <c r="A269" i="3"/>
  <c r="W268" i="3" a="1"/>
  <c r="W268" i="3" s="1"/>
  <c r="X268" i="3" s="1"/>
  <c r="V268" i="3" a="1"/>
  <c r="V268" i="3" s="1"/>
  <c r="U268" i="3"/>
  <c r="T268" i="3"/>
  <c r="A268" i="3"/>
  <c r="W267" i="3" a="1"/>
  <c r="W267" i="3" s="1"/>
  <c r="X267" i="3" s="1"/>
  <c r="V267" i="3" a="1"/>
  <c r="V267" i="3" s="1"/>
  <c r="U267" i="3"/>
  <c r="T267" i="3"/>
  <c r="A267" i="3"/>
  <c r="W266" i="3" a="1"/>
  <c r="W266" i="3" s="1"/>
  <c r="X266" i="3" s="1"/>
  <c r="V266" i="3" a="1"/>
  <c r="V266" i="3" s="1"/>
  <c r="U266" i="3"/>
  <c r="T266" i="3"/>
  <c r="A266" i="3"/>
  <c r="W265" i="3" a="1"/>
  <c r="W265" i="3" s="1"/>
  <c r="X265" i="3" s="1"/>
  <c r="V265" i="3" a="1"/>
  <c r="V265" i="3" s="1"/>
  <c r="U265" i="3"/>
  <c r="T265" i="3"/>
  <c r="A265" i="3"/>
  <c r="W264" i="3" a="1"/>
  <c r="W264" i="3" s="1"/>
  <c r="X264" i="3" s="1"/>
  <c r="V264" i="3" a="1"/>
  <c r="V264" i="3" s="1"/>
  <c r="U264" i="3"/>
  <c r="T264" i="3"/>
  <c r="A264" i="3"/>
  <c r="W263" i="3" a="1"/>
  <c r="W263" i="3" s="1"/>
  <c r="X263" i="3" s="1"/>
  <c r="V263" i="3" a="1"/>
  <c r="V263" i="3" s="1"/>
  <c r="U263" i="3"/>
  <c r="T263" i="3"/>
  <c r="A263" i="3"/>
  <c r="W262" i="3" a="1"/>
  <c r="W262" i="3" s="1"/>
  <c r="X262" i="3" s="1"/>
  <c r="V262" i="3" a="1"/>
  <c r="V262" i="3" s="1"/>
  <c r="U262" i="3"/>
  <c r="T262" i="3"/>
  <c r="A262" i="3"/>
  <c r="W261" i="3" a="1"/>
  <c r="W261" i="3" s="1"/>
  <c r="X261" i="3" s="1"/>
  <c r="V261" i="3" a="1"/>
  <c r="V261" i="3" s="1"/>
  <c r="U261" i="3"/>
  <c r="T261" i="3"/>
  <c r="A261" i="3"/>
  <c r="W260" i="3" a="1"/>
  <c r="W260" i="3" s="1"/>
  <c r="X260" i="3" s="1"/>
  <c r="V260" i="3" a="1"/>
  <c r="V260" i="3" s="1"/>
  <c r="U260" i="3"/>
  <c r="T260" i="3"/>
  <c r="A260" i="3"/>
  <c r="W259" i="3" a="1"/>
  <c r="W259" i="3" s="1"/>
  <c r="X259" i="3" s="1"/>
  <c r="V259" i="3" a="1"/>
  <c r="V259" i="3" s="1"/>
  <c r="U259" i="3"/>
  <c r="T259" i="3"/>
  <c r="A259" i="3"/>
  <c r="W258" i="3" a="1"/>
  <c r="W258" i="3" s="1"/>
  <c r="X258" i="3" s="1"/>
  <c r="V258" i="3" a="1"/>
  <c r="V258" i="3" s="1"/>
  <c r="U258" i="3"/>
  <c r="T258" i="3"/>
  <c r="A258" i="3"/>
  <c r="W257" i="3" a="1"/>
  <c r="W257" i="3" s="1"/>
  <c r="X257" i="3" s="1"/>
  <c r="V257" i="3" a="1"/>
  <c r="V257" i="3" s="1"/>
  <c r="U257" i="3"/>
  <c r="T257" i="3"/>
  <c r="A257" i="3"/>
  <c r="W256" i="3" a="1"/>
  <c r="W256" i="3" s="1"/>
  <c r="X256" i="3" s="1"/>
  <c r="V256" i="3" a="1"/>
  <c r="V256" i="3" s="1"/>
  <c r="U256" i="3"/>
  <c r="T256" i="3"/>
  <c r="A256" i="3"/>
  <c r="W255" i="3" a="1"/>
  <c r="W255" i="3" s="1"/>
  <c r="X255" i="3" s="1"/>
  <c r="V255" i="3" a="1"/>
  <c r="V255" i="3" s="1"/>
  <c r="U255" i="3"/>
  <c r="T255" i="3"/>
  <c r="A255" i="3"/>
  <c r="W254" i="3" a="1"/>
  <c r="W254" i="3" s="1"/>
  <c r="X254" i="3" s="1"/>
  <c r="V254" i="3" a="1"/>
  <c r="V254" i="3" s="1"/>
  <c r="U254" i="3"/>
  <c r="T254" i="3"/>
  <c r="A254" i="3"/>
  <c r="W253" i="3" a="1"/>
  <c r="W253" i="3" s="1"/>
  <c r="X253" i="3" s="1"/>
  <c r="V253" i="3" a="1"/>
  <c r="V253" i="3" s="1"/>
  <c r="U253" i="3"/>
  <c r="T253" i="3"/>
  <c r="A253" i="3"/>
  <c r="W252" i="3" a="1"/>
  <c r="W252" i="3" s="1"/>
  <c r="X252" i="3" s="1"/>
  <c r="V252" i="3" a="1"/>
  <c r="V252" i="3" s="1"/>
  <c r="U252" i="3"/>
  <c r="T252" i="3"/>
  <c r="A252" i="3"/>
  <c r="W251" i="3" a="1"/>
  <c r="W251" i="3" s="1"/>
  <c r="X251" i="3" s="1"/>
  <c r="V251" i="3" a="1"/>
  <c r="V251" i="3" s="1"/>
  <c r="U251" i="3"/>
  <c r="T251" i="3"/>
  <c r="A251" i="3"/>
  <c r="W250" i="3" a="1"/>
  <c r="W250" i="3" s="1"/>
  <c r="X250" i="3" s="1"/>
  <c r="V250" i="3" a="1"/>
  <c r="V250" i="3" s="1"/>
  <c r="U250" i="3"/>
  <c r="T250" i="3"/>
  <c r="A250" i="3"/>
  <c r="W249" i="3" a="1"/>
  <c r="W249" i="3" s="1"/>
  <c r="X249" i="3" s="1"/>
  <c r="V249" i="3" a="1"/>
  <c r="V249" i="3" s="1"/>
  <c r="U249" i="3"/>
  <c r="T249" i="3"/>
  <c r="A249" i="3"/>
  <c r="W248" i="3" a="1"/>
  <c r="W248" i="3" s="1"/>
  <c r="X248" i="3" s="1"/>
  <c r="V248" i="3" a="1"/>
  <c r="V248" i="3" s="1"/>
  <c r="U248" i="3"/>
  <c r="T248" i="3"/>
  <c r="A248" i="3"/>
  <c r="W247" i="3" a="1"/>
  <c r="W247" i="3" s="1"/>
  <c r="X247" i="3" s="1"/>
  <c r="V247" i="3" a="1"/>
  <c r="V247" i="3" s="1"/>
  <c r="U247" i="3"/>
  <c r="T247" i="3"/>
  <c r="A247" i="3"/>
  <c r="W246" i="3" a="1"/>
  <c r="W246" i="3" s="1"/>
  <c r="X246" i="3" s="1"/>
  <c r="V246" i="3" a="1"/>
  <c r="V246" i="3" s="1"/>
  <c r="U246" i="3"/>
  <c r="T246" i="3"/>
  <c r="A246" i="3"/>
  <c r="W245" i="3" a="1"/>
  <c r="W245" i="3" s="1"/>
  <c r="X245" i="3" s="1"/>
  <c r="V245" i="3" a="1"/>
  <c r="V245" i="3" s="1"/>
  <c r="U245" i="3"/>
  <c r="T245" i="3"/>
  <c r="A245" i="3"/>
  <c r="W244" i="3" a="1"/>
  <c r="W244" i="3" s="1"/>
  <c r="X244" i="3" s="1"/>
  <c r="V244" i="3" a="1"/>
  <c r="V244" i="3" s="1"/>
  <c r="U244" i="3"/>
  <c r="T244" i="3"/>
  <c r="A244" i="3"/>
  <c r="W243" i="3" a="1"/>
  <c r="W243" i="3" s="1"/>
  <c r="X243" i="3" s="1"/>
  <c r="V243" i="3" a="1"/>
  <c r="V243" i="3" s="1"/>
  <c r="U243" i="3"/>
  <c r="T243" i="3"/>
  <c r="A243" i="3"/>
  <c r="W242" i="3" a="1"/>
  <c r="W242" i="3" s="1"/>
  <c r="X242" i="3" s="1"/>
  <c r="V242" i="3" a="1"/>
  <c r="V242" i="3" s="1"/>
  <c r="U242" i="3"/>
  <c r="T242" i="3"/>
  <c r="A242" i="3"/>
  <c r="W241" i="3" a="1"/>
  <c r="W241" i="3" s="1"/>
  <c r="X241" i="3" s="1"/>
  <c r="V241" i="3" a="1"/>
  <c r="V241" i="3" s="1"/>
  <c r="U241" i="3"/>
  <c r="T241" i="3"/>
  <c r="A241" i="3"/>
  <c r="W240" i="3" a="1"/>
  <c r="W240" i="3" s="1"/>
  <c r="X240" i="3" s="1"/>
  <c r="V240" i="3" a="1"/>
  <c r="V240" i="3" s="1"/>
  <c r="U240" i="3"/>
  <c r="T240" i="3"/>
  <c r="A240" i="3"/>
  <c r="W239" i="3" a="1"/>
  <c r="W239" i="3" s="1"/>
  <c r="X239" i="3" s="1"/>
  <c r="V239" i="3" a="1"/>
  <c r="V239" i="3" s="1"/>
  <c r="U239" i="3"/>
  <c r="T239" i="3"/>
  <c r="A239" i="3"/>
  <c r="W238" i="3" a="1"/>
  <c r="W238" i="3" s="1"/>
  <c r="X238" i="3" s="1"/>
  <c r="V238" i="3" a="1"/>
  <c r="V238" i="3" s="1"/>
  <c r="U238" i="3"/>
  <c r="T238" i="3"/>
  <c r="A238" i="3"/>
  <c r="W237" i="3" a="1"/>
  <c r="W237" i="3" s="1"/>
  <c r="X237" i="3" s="1"/>
  <c r="V237" i="3" a="1"/>
  <c r="V237" i="3" s="1"/>
  <c r="U237" i="3"/>
  <c r="T237" i="3"/>
  <c r="A237" i="3"/>
  <c r="W236" i="3" a="1"/>
  <c r="W236" i="3" s="1"/>
  <c r="X236" i="3" s="1"/>
  <c r="V236" i="3" a="1"/>
  <c r="V236" i="3" s="1"/>
  <c r="U236" i="3"/>
  <c r="T236" i="3"/>
  <c r="A236" i="3"/>
  <c r="W235" i="3" a="1"/>
  <c r="W235" i="3" s="1"/>
  <c r="X235" i="3" s="1"/>
  <c r="V235" i="3" a="1"/>
  <c r="V235" i="3" s="1"/>
  <c r="U235" i="3"/>
  <c r="T235" i="3"/>
  <c r="A235" i="3"/>
  <c r="W234" i="3" a="1"/>
  <c r="W234" i="3" s="1"/>
  <c r="X234" i="3" s="1"/>
  <c r="V234" i="3" a="1"/>
  <c r="V234" i="3" s="1"/>
  <c r="U234" i="3"/>
  <c r="T234" i="3"/>
  <c r="A234" i="3"/>
  <c r="W233" i="3" a="1"/>
  <c r="W233" i="3" s="1"/>
  <c r="X233" i="3" s="1"/>
  <c r="V233" i="3" a="1"/>
  <c r="V233" i="3" s="1"/>
  <c r="U233" i="3"/>
  <c r="T233" i="3"/>
  <c r="A233" i="3"/>
  <c r="W232" i="3" a="1"/>
  <c r="W232" i="3" s="1"/>
  <c r="X232" i="3" s="1"/>
  <c r="V232" i="3" a="1"/>
  <c r="V232" i="3" s="1"/>
  <c r="U232" i="3"/>
  <c r="T232" i="3"/>
  <c r="A232" i="3"/>
  <c r="W231" i="3" a="1"/>
  <c r="W231" i="3" s="1"/>
  <c r="X231" i="3" s="1"/>
  <c r="V231" i="3" a="1"/>
  <c r="V231" i="3" s="1"/>
  <c r="U231" i="3"/>
  <c r="T231" i="3"/>
  <c r="A231" i="3"/>
  <c r="W230" i="3" a="1"/>
  <c r="W230" i="3" s="1"/>
  <c r="X230" i="3" s="1"/>
  <c r="V230" i="3" a="1"/>
  <c r="V230" i="3" s="1"/>
  <c r="U230" i="3"/>
  <c r="T230" i="3"/>
  <c r="A230" i="3"/>
  <c r="W229" i="3" a="1"/>
  <c r="W229" i="3" s="1"/>
  <c r="X229" i="3" s="1"/>
  <c r="V229" i="3" a="1"/>
  <c r="V229" i="3" s="1"/>
  <c r="U229" i="3"/>
  <c r="T229" i="3"/>
  <c r="A229" i="3"/>
  <c r="W228" i="3" a="1"/>
  <c r="W228" i="3" s="1"/>
  <c r="X228" i="3" s="1"/>
  <c r="V228" i="3" a="1"/>
  <c r="V228" i="3" s="1"/>
  <c r="U228" i="3"/>
  <c r="T228" i="3"/>
  <c r="A228" i="3"/>
  <c r="W227" i="3" a="1"/>
  <c r="W227" i="3" s="1"/>
  <c r="X227" i="3" s="1"/>
  <c r="V227" i="3" a="1"/>
  <c r="V227" i="3" s="1"/>
  <c r="U227" i="3"/>
  <c r="T227" i="3"/>
  <c r="A227" i="3"/>
  <c r="W226" i="3" a="1"/>
  <c r="W226" i="3" s="1"/>
  <c r="X226" i="3" s="1"/>
  <c r="V226" i="3" a="1"/>
  <c r="V226" i="3" s="1"/>
  <c r="U226" i="3"/>
  <c r="T226" i="3"/>
  <c r="A226" i="3"/>
  <c r="W225" i="3" a="1"/>
  <c r="W225" i="3" s="1"/>
  <c r="X225" i="3" s="1"/>
  <c r="V225" i="3" a="1"/>
  <c r="V225" i="3" s="1"/>
  <c r="U225" i="3"/>
  <c r="T225" i="3"/>
  <c r="A225" i="3"/>
  <c r="W224" i="3" a="1"/>
  <c r="W224" i="3" s="1"/>
  <c r="X224" i="3" s="1"/>
  <c r="V224" i="3" a="1"/>
  <c r="V224" i="3" s="1"/>
  <c r="U224" i="3"/>
  <c r="T224" i="3"/>
  <c r="A224" i="3"/>
  <c r="W223" i="3" a="1"/>
  <c r="W223" i="3" s="1"/>
  <c r="X223" i="3" s="1"/>
  <c r="V223" i="3" a="1"/>
  <c r="V223" i="3" s="1"/>
  <c r="U223" i="3"/>
  <c r="T223" i="3"/>
  <c r="A223" i="3"/>
  <c r="W222" i="3" a="1"/>
  <c r="W222" i="3" s="1"/>
  <c r="X222" i="3" s="1"/>
  <c r="V222" i="3" a="1"/>
  <c r="V222" i="3" s="1"/>
  <c r="U222" i="3"/>
  <c r="T222" i="3"/>
  <c r="A222" i="3"/>
  <c r="W221" i="3" a="1"/>
  <c r="W221" i="3" s="1"/>
  <c r="X221" i="3" s="1"/>
  <c r="V221" i="3" a="1"/>
  <c r="V221" i="3" s="1"/>
  <c r="U221" i="3"/>
  <c r="T221" i="3"/>
  <c r="A221" i="3"/>
  <c r="W220" i="3" a="1"/>
  <c r="W220" i="3" s="1"/>
  <c r="X220" i="3" s="1"/>
  <c r="V220" i="3" a="1"/>
  <c r="V220" i="3" s="1"/>
  <c r="U220" i="3"/>
  <c r="T220" i="3"/>
  <c r="A220" i="3"/>
  <c r="W219" i="3" a="1"/>
  <c r="W219" i="3" s="1"/>
  <c r="X219" i="3" s="1"/>
  <c r="V219" i="3" a="1"/>
  <c r="V219" i="3" s="1"/>
  <c r="U219" i="3"/>
  <c r="T219" i="3"/>
  <c r="A219" i="3"/>
  <c r="W218" i="3" a="1"/>
  <c r="W218" i="3" s="1"/>
  <c r="X218" i="3" s="1"/>
  <c r="V218" i="3" a="1"/>
  <c r="V218" i="3" s="1"/>
  <c r="U218" i="3"/>
  <c r="T218" i="3"/>
  <c r="A218" i="3"/>
  <c r="W217" i="3" a="1"/>
  <c r="W217" i="3" s="1"/>
  <c r="X217" i="3" s="1"/>
  <c r="V217" i="3" a="1"/>
  <c r="V217" i="3" s="1"/>
  <c r="U217" i="3"/>
  <c r="T217" i="3"/>
  <c r="A217" i="3"/>
  <c r="W216" i="3" a="1"/>
  <c r="W216" i="3" s="1"/>
  <c r="X216" i="3" s="1"/>
  <c r="V216" i="3" a="1"/>
  <c r="V216" i="3" s="1"/>
  <c r="U216" i="3"/>
  <c r="T216" i="3"/>
  <c r="A216" i="3"/>
  <c r="W215" i="3" a="1"/>
  <c r="W215" i="3" s="1"/>
  <c r="X215" i="3" s="1"/>
  <c r="V215" i="3" a="1"/>
  <c r="V215" i="3" s="1"/>
  <c r="U215" i="3"/>
  <c r="T215" i="3"/>
  <c r="A215" i="3"/>
  <c r="W214" i="3" a="1"/>
  <c r="W214" i="3" s="1"/>
  <c r="X214" i="3" s="1"/>
  <c r="V214" i="3" a="1"/>
  <c r="V214" i="3" s="1"/>
  <c r="U214" i="3"/>
  <c r="T214" i="3"/>
  <c r="A214" i="3"/>
  <c r="W213" i="3" a="1"/>
  <c r="W213" i="3" s="1"/>
  <c r="X213" i="3" s="1"/>
  <c r="V213" i="3" a="1"/>
  <c r="V213" i="3" s="1"/>
  <c r="U213" i="3"/>
  <c r="T213" i="3"/>
  <c r="A213" i="3"/>
  <c r="W212" i="3" a="1"/>
  <c r="W212" i="3" s="1"/>
  <c r="X212" i="3" s="1"/>
  <c r="V212" i="3" a="1"/>
  <c r="V212" i="3" s="1"/>
  <c r="U212" i="3"/>
  <c r="T212" i="3"/>
  <c r="A212" i="3"/>
  <c r="W211" i="3" a="1"/>
  <c r="W211" i="3" s="1"/>
  <c r="X211" i="3" s="1"/>
  <c r="V211" i="3" a="1"/>
  <c r="V211" i="3" s="1"/>
  <c r="U211" i="3"/>
  <c r="T211" i="3"/>
  <c r="A211" i="3"/>
  <c r="W210" i="3" a="1"/>
  <c r="W210" i="3" s="1"/>
  <c r="X210" i="3" s="1"/>
  <c r="V210" i="3" a="1"/>
  <c r="V210" i="3" s="1"/>
  <c r="U210" i="3"/>
  <c r="T210" i="3"/>
  <c r="A210" i="3"/>
  <c r="W209" i="3" a="1"/>
  <c r="W209" i="3" s="1"/>
  <c r="X209" i="3" s="1"/>
  <c r="V209" i="3" a="1"/>
  <c r="V209" i="3" s="1"/>
  <c r="U209" i="3"/>
  <c r="T209" i="3"/>
  <c r="A209" i="3"/>
  <c r="W208" i="3" a="1"/>
  <c r="W208" i="3" s="1"/>
  <c r="X208" i="3" s="1"/>
  <c r="V208" i="3" a="1"/>
  <c r="V208" i="3" s="1"/>
  <c r="U208" i="3"/>
  <c r="T208" i="3"/>
  <c r="A208" i="3"/>
  <c r="W207" i="3" a="1"/>
  <c r="W207" i="3" s="1"/>
  <c r="X207" i="3" s="1"/>
  <c r="V207" i="3" a="1"/>
  <c r="V207" i="3" s="1"/>
  <c r="U207" i="3"/>
  <c r="T207" i="3"/>
  <c r="A207" i="3"/>
  <c r="W206" i="3" a="1"/>
  <c r="W206" i="3" s="1"/>
  <c r="X206" i="3" s="1"/>
  <c r="V206" i="3" a="1"/>
  <c r="V206" i="3" s="1"/>
  <c r="U206" i="3"/>
  <c r="T206" i="3"/>
  <c r="A206" i="3"/>
  <c r="W205" i="3" a="1"/>
  <c r="W205" i="3" s="1"/>
  <c r="X205" i="3" s="1"/>
  <c r="V205" i="3" a="1"/>
  <c r="V205" i="3" s="1"/>
  <c r="U205" i="3"/>
  <c r="T205" i="3"/>
  <c r="A205" i="3"/>
  <c r="W204" i="3" a="1"/>
  <c r="W204" i="3" s="1"/>
  <c r="X204" i="3" s="1"/>
  <c r="V204" i="3" a="1"/>
  <c r="V204" i="3" s="1"/>
  <c r="U204" i="3"/>
  <c r="T204" i="3"/>
  <c r="A204" i="3"/>
  <c r="W203" i="3" a="1"/>
  <c r="W203" i="3" s="1"/>
  <c r="X203" i="3" s="1"/>
  <c r="V203" i="3" a="1"/>
  <c r="V203" i="3" s="1"/>
  <c r="U203" i="3"/>
  <c r="T203" i="3"/>
  <c r="A203" i="3"/>
  <c r="W202" i="3" a="1"/>
  <c r="W202" i="3" s="1"/>
  <c r="X202" i="3" s="1"/>
  <c r="V202" i="3" a="1"/>
  <c r="V202" i="3" s="1"/>
  <c r="U202" i="3"/>
  <c r="T202" i="3"/>
  <c r="A202" i="3"/>
  <c r="W201" i="3" a="1"/>
  <c r="W201" i="3" s="1"/>
  <c r="X201" i="3" s="1"/>
  <c r="V201" i="3" a="1"/>
  <c r="V201" i="3" s="1"/>
  <c r="U201" i="3"/>
  <c r="T201" i="3"/>
  <c r="A201" i="3"/>
  <c r="W200" i="3" a="1"/>
  <c r="W200" i="3" s="1"/>
  <c r="X200" i="3" s="1"/>
  <c r="V200" i="3" a="1"/>
  <c r="V200" i="3" s="1"/>
  <c r="U200" i="3"/>
  <c r="T200" i="3"/>
  <c r="A200" i="3"/>
  <c r="W199" i="3" a="1"/>
  <c r="W199" i="3" s="1"/>
  <c r="X199" i="3" s="1"/>
  <c r="V199" i="3" a="1"/>
  <c r="V199" i="3" s="1"/>
  <c r="U199" i="3"/>
  <c r="T199" i="3"/>
  <c r="A199" i="3"/>
  <c r="W198" i="3" a="1"/>
  <c r="W198" i="3" s="1"/>
  <c r="X198" i="3" s="1"/>
  <c r="V198" i="3" a="1"/>
  <c r="V198" i="3" s="1"/>
  <c r="U198" i="3"/>
  <c r="T198" i="3"/>
  <c r="A198" i="3"/>
  <c r="W197" i="3" a="1"/>
  <c r="W197" i="3" s="1"/>
  <c r="X197" i="3" s="1"/>
  <c r="V197" i="3" a="1"/>
  <c r="V197" i="3" s="1"/>
  <c r="U197" i="3"/>
  <c r="T197" i="3"/>
  <c r="A197" i="3"/>
  <c r="W196" i="3" a="1"/>
  <c r="W196" i="3" s="1"/>
  <c r="X196" i="3" s="1"/>
  <c r="V196" i="3" a="1"/>
  <c r="V196" i="3" s="1"/>
  <c r="U196" i="3"/>
  <c r="T196" i="3"/>
  <c r="A196" i="3"/>
  <c r="W195" i="3" a="1"/>
  <c r="W195" i="3" s="1"/>
  <c r="X195" i="3" s="1"/>
  <c r="V195" i="3" a="1"/>
  <c r="V195" i="3" s="1"/>
  <c r="U195" i="3"/>
  <c r="T195" i="3"/>
  <c r="A195" i="3"/>
  <c r="W194" i="3" a="1"/>
  <c r="W194" i="3" s="1"/>
  <c r="X194" i="3" s="1"/>
  <c r="V194" i="3" a="1"/>
  <c r="V194" i="3" s="1"/>
  <c r="U194" i="3"/>
  <c r="T194" i="3"/>
  <c r="A194" i="3"/>
  <c r="W193" i="3" a="1"/>
  <c r="W193" i="3" s="1"/>
  <c r="X193" i="3" s="1"/>
  <c r="V193" i="3" a="1"/>
  <c r="V193" i="3" s="1"/>
  <c r="U193" i="3"/>
  <c r="T193" i="3"/>
  <c r="A193" i="3"/>
  <c r="W192" i="3" a="1"/>
  <c r="W192" i="3" s="1"/>
  <c r="X192" i="3" s="1"/>
  <c r="V192" i="3" a="1"/>
  <c r="V192" i="3" s="1"/>
  <c r="U192" i="3"/>
  <c r="T192" i="3"/>
  <c r="A192" i="3"/>
  <c r="W191" i="3" a="1"/>
  <c r="W191" i="3" s="1"/>
  <c r="X191" i="3" s="1"/>
  <c r="V191" i="3" a="1"/>
  <c r="V191" i="3" s="1"/>
  <c r="U191" i="3"/>
  <c r="T191" i="3"/>
  <c r="A191" i="3"/>
  <c r="W190" i="3" a="1"/>
  <c r="W190" i="3" s="1"/>
  <c r="X190" i="3" s="1"/>
  <c r="V190" i="3" a="1"/>
  <c r="V190" i="3" s="1"/>
  <c r="U190" i="3"/>
  <c r="T190" i="3"/>
  <c r="A190" i="3"/>
  <c r="W189" i="3" a="1"/>
  <c r="W189" i="3" s="1"/>
  <c r="X189" i="3" s="1"/>
  <c r="V189" i="3" a="1"/>
  <c r="V189" i="3" s="1"/>
  <c r="U189" i="3"/>
  <c r="T189" i="3"/>
  <c r="A189" i="3"/>
  <c r="W188" i="3" a="1"/>
  <c r="W188" i="3" s="1"/>
  <c r="X188" i="3" s="1"/>
  <c r="V188" i="3" a="1"/>
  <c r="V188" i="3" s="1"/>
  <c r="U188" i="3"/>
  <c r="T188" i="3"/>
  <c r="A188" i="3"/>
  <c r="W187" i="3" a="1"/>
  <c r="W187" i="3" s="1"/>
  <c r="X187" i="3" s="1"/>
  <c r="V187" i="3" a="1"/>
  <c r="V187" i="3" s="1"/>
  <c r="U187" i="3"/>
  <c r="T187" i="3"/>
  <c r="A187" i="3"/>
  <c r="W186" i="3" a="1"/>
  <c r="W186" i="3" s="1"/>
  <c r="X186" i="3" s="1"/>
  <c r="V186" i="3" a="1"/>
  <c r="V186" i="3" s="1"/>
  <c r="U186" i="3"/>
  <c r="T186" i="3"/>
  <c r="A186" i="3"/>
  <c r="W185" i="3" a="1"/>
  <c r="W185" i="3" s="1"/>
  <c r="X185" i="3" s="1"/>
  <c r="V185" i="3" a="1"/>
  <c r="V185" i="3" s="1"/>
  <c r="U185" i="3"/>
  <c r="T185" i="3"/>
  <c r="A185" i="3"/>
  <c r="W184" i="3" a="1"/>
  <c r="W184" i="3" s="1"/>
  <c r="X184" i="3" s="1"/>
  <c r="V184" i="3" a="1"/>
  <c r="V184" i="3" s="1"/>
  <c r="U184" i="3"/>
  <c r="T184" i="3"/>
  <c r="A184" i="3"/>
  <c r="W183" i="3" a="1"/>
  <c r="W183" i="3" s="1"/>
  <c r="X183" i="3" s="1"/>
  <c r="V183" i="3" a="1"/>
  <c r="V183" i="3" s="1"/>
  <c r="U183" i="3"/>
  <c r="T183" i="3"/>
  <c r="A183" i="3"/>
  <c r="W182" i="3" a="1"/>
  <c r="W182" i="3" s="1"/>
  <c r="X182" i="3" s="1"/>
  <c r="V182" i="3" a="1"/>
  <c r="V182" i="3" s="1"/>
  <c r="U182" i="3"/>
  <c r="T182" i="3"/>
  <c r="A182" i="3"/>
  <c r="W181" i="3" a="1"/>
  <c r="W181" i="3" s="1"/>
  <c r="X181" i="3" s="1"/>
  <c r="V181" i="3" a="1"/>
  <c r="V181" i="3" s="1"/>
  <c r="U181" i="3"/>
  <c r="T181" i="3"/>
  <c r="A181" i="3"/>
  <c r="W180" i="3" a="1"/>
  <c r="W180" i="3" s="1"/>
  <c r="X180" i="3" s="1"/>
  <c r="V180" i="3" a="1"/>
  <c r="V180" i="3" s="1"/>
  <c r="U180" i="3"/>
  <c r="T180" i="3"/>
  <c r="A180" i="3"/>
  <c r="W179" i="3" a="1"/>
  <c r="W179" i="3" s="1"/>
  <c r="X179" i="3" s="1"/>
  <c r="V179" i="3" a="1"/>
  <c r="V179" i="3" s="1"/>
  <c r="U179" i="3"/>
  <c r="T179" i="3"/>
  <c r="A179" i="3"/>
  <c r="W178" i="3" a="1"/>
  <c r="W178" i="3" s="1"/>
  <c r="X178" i="3" s="1"/>
  <c r="V178" i="3" a="1"/>
  <c r="V178" i="3" s="1"/>
  <c r="U178" i="3"/>
  <c r="T178" i="3"/>
  <c r="A178" i="3"/>
  <c r="W177" i="3" a="1"/>
  <c r="W177" i="3" s="1"/>
  <c r="X177" i="3" s="1"/>
  <c r="V177" i="3" a="1"/>
  <c r="V177" i="3" s="1"/>
  <c r="U177" i="3"/>
  <c r="T177" i="3"/>
  <c r="A177" i="3"/>
  <c r="W176" i="3" a="1"/>
  <c r="W176" i="3" s="1"/>
  <c r="X176" i="3" s="1"/>
  <c r="V176" i="3" a="1"/>
  <c r="V176" i="3" s="1"/>
  <c r="U176" i="3"/>
  <c r="T176" i="3"/>
  <c r="A176" i="3"/>
  <c r="W175" i="3" a="1"/>
  <c r="W175" i="3" s="1"/>
  <c r="X175" i="3" s="1"/>
  <c r="V175" i="3" a="1"/>
  <c r="V175" i="3" s="1"/>
  <c r="U175" i="3"/>
  <c r="T175" i="3"/>
  <c r="A175" i="3"/>
  <c r="W174" i="3" a="1"/>
  <c r="W174" i="3" s="1"/>
  <c r="X174" i="3" s="1"/>
  <c r="V174" i="3" a="1"/>
  <c r="V174" i="3" s="1"/>
  <c r="U174" i="3"/>
  <c r="T174" i="3"/>
  <c r="A174" i="3"/>
  <c r="W173" i="3" a="1"/>
  <c r="W173" i="3" s="1"/>
  <c r="X173" i="3" s="1"/>
  <c r="V173" i="3" a="1"/>
  <c r="V173" i="3" s="1"/>
  <c r="U173" i="3"/>
  <c r="T173" i="3"/>
  <c r="A173" i="3"/>
  <c r="W172" i="3" a="1"/>
  <c r="W172" i="3" s="1"/>
  <c r="X172" i="3" s="1"/>
  <c r="V172" i="3" a="1"/>
  <c r="V172" i="3" s="1"/>
  <c r="U172" i="3"/>
  <c r="T172" i="3"/>
  <c r="A172" i="3"/>
  <c r="W171" i="3" a="1"/>
  <c r="W171" i="3" s="1"/>
  <c r="X171" i="3" s="1"/>
  <c r="V171" i="3" a="1"/>
  <c r="V171" i="3" s="1"/>
  <c r="U171" i="3"/>
  <c r="T171" i="3"/>
  <c r="A171" i="3"/>
  <c r="W170" i="3" a="1"/>
  <c r="W170" i="3" s="1"/>
  <c r="X170" i="3" s="1"/>
  <c r="V170" i="3" a="1"/>
  <c r="V170" i="3" s="1"/>
  <c r="U170" i="3"/>
  <c r="T170" i="3"/>
  <c r="A170" i="3"/>
  <c r="W169" i="3" a="1"/>
  <c r="W169" i="3" s="1"/>
  <c r="X169" i="3" s="1"/>
  <c r="V169" i="3" a="1"/>
  <c r="V169" i="3" s="1"/>
  <c r="U169" i="3"/>
  <c r="T169" i="3"/>
  <c r="A169" i="3"/>
  <c r="W168" i="3" a="1"/>
  <c r="W168" i="3" s="1"/>
  <c r="X168" i="3" s="1"/>
  <c r="V168" i="3" a="1"/>
  <c r="V168" i="3" s="1"/>
  <c r="U168" i="3"/>
  <c r="T168" i="3"/>
  <c r="A168" i="3"/>
  <c r="W167" i="3" a="1"/>
  <c r="W167" i="3" s="1"/>
  <c r="X167" i="3" s="1"/>
  <c r="V167" i="3" a="1"/>
  <c r="V167" i="3" s="1"/>
  <c r="U167" i="3"/>
  <c r="T167" i="3"/>
  <c r="A167" i="3"/>
  <c r="W166" i="3" a="1"/>
  <c r="W166" i="3" s="1"/>
  <c r="X166" i="3" s="1"/>
  <c r="V166" i="3" a="1"/>
  <c r="V166" i="3" s="1"/>
  <c r="U166" i="3"/>
  <c r="T166" i="3"/>
  <c r="A166" i="3"/>
  <c r="W165" i="3" a="1"/>
  <c r="W165" i="3" s="1"/>
  <c r="X165" i="3" s="1"/>
  <c r="V165" i="3" a="1"/>
  <c r="V165" i="3" s="1"/>
  <c r="U165" i="3"/>
  <c r="T165" i="3"/>
  <c r="A165" i="3"/>
  <c r="W164" i="3" a="1"/>
  <c r="W164" i="3" s="1"/>
  <c r="X164" i="3" s="1"/>
  <c r="V164" i="3" a="1"/>
  <c r="V164" i="3" s="1"/>
  <c r="U164" i="3"/>
  <c r="T164" i="3"/>
  <c r="A164" i="3"/>
  <c r="W163" i="3" a="1"/>
  <c r="W163" i="3" s="1"/>
  <c r="X163" i="3" s="1"/>
  <c r="V163" i="3" a="1"/>
  <c r="V163" i="3" s="1"/>
  <c r="U163" i="3"/>
  <c r="T163" i="3"/>
  <c r="A163" i="3"/>
  <c r="W162" i="3" a="1"/>
  <c r="W162" i="3" s="1"/>
  <c r="X162" i="3" s="1"/>
  <c r="V162" i="3" a="1"/>
  <c r="V162" i="3" s="1"/>
  <c r="U162" i="3"/>
  <c r="T162" i="3"/>
  <c r="A162" i="3"/>
  <c r="W161" i="3" a="1"/>
  <c r="W161" i="3" s="1"/>
  <c r="X161" i="3" s="1"/>
  <c r="V161" i="3" a="1"/>
  <c r="V161" i="3" s="1"/>
  <c r="U161" i="3"/>
  <c r="T161" i="3"/>
  <c r="A161" i="3"/>
  <c r="W160" i="3" a="1"/>
  <c r="W160" i="3" s="1"/>
  <c r="X160" i="3" s="1"/>
  <c r="V160" i="3" a="1"/>
  <c r="V160" i="3" s="1"/>
  <c r="U160" i="3"/>
  <c r="T160" i="3"/>
  <c r="A160" i="3"/>
  <c r="W159" i="3" a="1"/>
  <c r="W159" i="3" s="1"/>
  <c r="X159" i="3" s="1"/>
  <c r="V159" i="3" a="1"/>
  <c r="V159" i="3" s="1"/>
  <c r="U159" i="3"/>
  <c r="T159" i="3"/>
  <c r="A159" i="3"/>
  <c r="W158" i="3" a="1"/>
  <c r="W158" i="3" s="1"/>
  <c r="X158" i="3" s="1"/>
  <c r="V158" i="3" a="1"/>
  <c r="V158" i="3" s="1"/>
  <c r="U158" i="3"/>
  <c r="T158" i="3"/>
  <c r="A158" i="3"/>
  <c r="W157" i="3" a="1"/>
  <c r="W157" i="3" s="1"/>
  <c r="X157" i="3" s="1"/>
  <c r="V157" i="3" a="1"/>
  <c r="V157" i="3" s="1"/>
  <c r="U157" i="3"/>
  <c r="T157" i="3"/>
  <c r="A157" i="3"/>
  <c r="W156" i="3" a="1"/>
  <c r="W156" i="3" s="1"/>
  <c r="X156" i="3" s="1"/>
  <c r="V156" i="3" a="1"/>
  <c r="V156" i="3" s="1"/>
  <c r="U156" i="3"/>
  <c r="T156" i="3"/>
  <c r="A156" i="3"/>
  <c r="W155" i="3" a="1"/>
  <c r="W155" i="3" s="1"/>
  <c r="X155" i="3" s="1"/>
  <c r="V155" i="3" a="1"/>
  <c r="V155" i="3" s="1"/>
  <c r="U155" i="3"/>
  <c r="T155" i="3"/>
  <c r="A155" i="3"/>
  <c r="W154" i="3" a="1"/>
  <c r="W154" i="3" s="1"/>
  <c r="X154" i="3" s="1"/>
  <c r="V154" i="3" a="1"/>
  <c r="V154" i="3" s="1"/>
  <c r="U154" i="3"/>
  <c r="T154" i="3"/>
  <c r="A154" i="3"/>
  <c r="W153" i="3" a="1"/>
  <c r="W153" i="3" s="1"/>
  <c r="X153" i="3" s="1"/>
  <c r="V153" i="3" a="1"/>
  <c r="V153" i="3" s="1"/>
  <c r="U153" i="3"/>
  <c r="T153" i="3"/>
  <c r="A153" i="3"/>
  <c r="W152" i="3" a="1"/>
  <c r="W152" i="3" s="1"/>
  <c r="X152" i="3" s="1"/>
  <c r="V152" i="3" a="1"/>
  <c r="V152" i="3" s="1"/>
  <c r="U152" i="3"/>
  <c r="T152" i="3"/>
  <c r="A152" i="3"/>
  <c r="W151" i="3" a="1"/>
  <c r="W151" i="3" s="1"/>
  <c r="X151" i="3" s="1"/>
  <c r="V151" i="3" a="1"/>
  <c r="V151" i="3" s="1"/>
  <c r="U151" i="3"/>
  <c r="T151" i="3"/>
  <c r="A151" i="3"/>
  <c r="W150" i="3" a="1"/>
  <c r="W150" i="3" s="1"/>
  <c r="X150" i="3" s="1"/>
  <c r="V150" i="3" a="1"/>
  <c r="V150" i="3" s="1"/>
  <c r="U150" i="3"/>
  <c r="T150" i="3"/>
  <c r="A150" i="3"/>
  <c r="W149" i="3" a="1"/>
  <c r="W149" i="3" s="1"/>
  <c r="X149" i="3" s="1"/>
  <c r="V149" i="3" a="1"/>
  <c r="V149" i="3" s="1"/>
  <c r="U149" i="3"/>
  <c r="T149" i="3"/>
  <c r="A149" i="3"/>
  <c r="W148" i="3" a="1"/>
  <c r="W148" i="3" s="1"/>
  <c r="X148" i="3" s="1"/>
  <c r="V148" i="3" a="1"/>
  <c r="V148" i="3" s="1"/>
  <c r="U148" i="3"/>
  <c r="T148" i="3"/>
  <c r="A148" i="3"/>
  <c r="W147" i="3" a="1"/>
  <c r="W147" i="3" s="1"/>
  <c r="X147" i="3" s="1"/>
  <c r="V147" i="3" a="1"/>
  <c r="V147" i="3" s="1"/>
  <c r="U147" i="3"/>
  <c r="T147" i="3"/>
  <c r="A147" i="3"/>
  <c r="W146" i="3" a="1"/>
  <c r="W146" i="3" s="1"/>
  <c r="X146" i="3" s="1"/>
  <c r="V146" i="3" a="1"/>
  <c r="V146" i="3" s="1"/>
  <c r="U146" i="3"/>
  <c r="T146" i="3"/>
  <c r="A146" i="3"/>
  <c r="W145" i="3" a="1"/>
  <c r="W145" i="3" s="1"/>
  <c r="X145" i="3" s="1"/>
  <c r="V145" i="3" a="1"/>
  <c r="V145" i="3" s="1"/>
  <c r="U145" i="3"/>
  <c r="T145" i="3"/>
  <c r="A145" i="3"/>
  <c r="W144" i="3" a="1"/>
  <c r="W144" i="3" s="1"/>
  <c r="X144" i="3" s="1"/>
  <c r="V144" i="3" a="1"/>
  <c r="V144" i="3" s="1"/>
  <c r="U144" i="3"/>
  <c r="T144" i="3"/>
  <c r="A144" i="3"/>
  <c r="W143" i="3" a="1"/>
  <c r="W143" i="3" s="1"/>
  <c r="X143" i="3" s="1"/>
  <c r="V143" i="3" a="1"/>
  <c r="V143" i="3" s="1"/>
  <c r="U143" i="3"/>
  <c r="T143" i="3"/>
  <c r="A143" i="3"/>
  <c r="W142" i="3" a="1"/>
  <c r="W142" i="3" s="1"/>
  <c r="X142" i="3" s="1"/>
  <c r="V142" i="3" a="1"/>
  <c r="V142" i="3" s="1"/>
  <c r="U142" i="3"/>
  <c r="T142" i="3"/>
  <c r="A142" i="3"/>
  <c r="W141" i="3" a="1"/>
  <c r="W141" i="3" s="1"/>
  <c r="X141" i="3" s="1"/>
  <c r="V141" i="3" a="1"/>
  <c r="V141" i="3" s="1"/>
  <c r="U141" i="3"/>
  <c r="T141" i="3"/>
  <c r="A141" i="3"/>
  <c r="W140" i="3" a="1"/>
  <c r="W140" i="3" s="1"/>
  <c r="X140" i="3" s="1"/>
  <c r="V140" i="3" a="1"/>
  <c r="V140" i="3" s="1"/>
  <c r="U140" i="3"/>
  <c r="T140" i="3"/>
  <c r="A140" i="3"/>
  <c r="W139" i="3" a="1"/>
  <c r="W139" i="3" s="1"/>
  <c r="X139" i="3" s="1"/>
  <c r="V139" i="3" a="1"/>
  <c r="V139" i="3" s="1"/>
  <c r="U139" i="3"/>
  <c r="T139" i="3"/>
  <c r="A139" i="3"/>
  <c r="W138" i="3" a="1"/>
  <c r="W138" i="3" s="1"/>
  <c r="X138" i="3" s="1"/>
  <c r="V138" i="3" a="1"/>
  <c r="V138" i="3" s="1"/>
  <c r="U138" i="3"/>
  <c r="T138" i="3"/>
  <c r="A138" i="3"/>
  <c r="W137" i="3" a="1"/>
  <c r="W137" i="3" s="1"/>
  <c r="X137" i="3" s="1"/>
  <c r="V137" i="3" a="1"/>
  <c r="V137" i="3" s="1"/>
  <c r="U137" i="3"/>
  <c r="T137" i="3"/>
  <c r="A137" i="3"/>
  <c r="W136" i="3" a="1"/>
  <c r="W136" i="3" s="1"/>
  <c r="X136" i="3" s="1"/>
  <c r="V136" i="3" a="1"/>
  <c r="V136" i="3" s="1"/>
  <c r="U136" i="3"/>
  <c r="T136" i="3"/>
  <c r="A136" i="3"/>
  <c r="W135" i="3" a="1"/>
  <c r="W135" i="3" s="1"/>
  <c r="X135" i="3" s="1"/>
  <c r="V135" i="3" a="1"/>
  <c r="V135" i="3" s="1"/>
  <c r="U135" i="3"/>
  <c r="T135" i="3"/>
  <c r="A135" i="3"/>
  <c r="W134" i="3" a="1"/>
  <c r="W134" i="3" s="1"/>
  <c r="X134" i="3" s="1"/>
  <c r="V134" i="3" a="1"/>
  <c r="V134" i="3" s="1"/>
  <c r="U134" i="3"/>
  <c r="T134" i="3"/>
  <c r="A134" i="3"/>
  <c r="W133" i="3" a="1"/>
  <c r="W133" i="3" s="1"/>
  <c r="X133" i="3" s="1"/>
  <c r="V133" i="3" a="1"/>
  <c r="V133" i="3" s="1"/>
  <c r="U133" i="3"/>
  <c r="T133" i="3"/>
  <c r="A133" i="3"/>
  <c r="W132" i="3" a="1"/>
  <c r="W132" i="3" s="1"/>
  <c r="X132" i="3" s="1"/>
  <c r="V132" i="3" a="1"/>
  <c r="V132" i="3" s="1"/>
  <c r="U132" i="3"/>
  <c r="T132" i="3"/>
  <c r="A132" i="3"/>
  <c r="W131" i="3" a="1"/>
  <c r="W131" i="3" s="1"/>
  <c r="X131" i="3" s="1"/>
  <c r="V131" i="3" a="1"/>
  <c r="V131" i="3" s="1"/>
  <c r="U131" i="3"/>
  <c r="T131" i="3"/>
  <c r="A131" i="3"/>
  <c r="W130" i="3" a="1"/>
  <c r="W130" i="3" s="1"/>
  <c r="X130" i="3" s="1"/>
  <c r="V130" i="3" a="1"/>
  <c r="V130" i="3" s="1"/>
  <c r="U130" i="3"/>
  <c r="T130" i="3"/>
  <c r="A130" i="3"/>
  <c r="W129" i="3" a="1"/>
  <c r="W129" i="3" s="1"/>
  <c r="X129" i="3" s="1"/>
  <c r="V129" i="3" a="1"/>
  <c r="V129" i="3" s="1"/>
  <c r="U129" i="3"/>
  <c r="T129" i="3"/>
  <c r="A129" i="3"/>
  <c r="W128" i="3" a="1"/>
  <c r="W128" i="3" s="1"/>
  <c r="X128" i="3" s="1"/>
  <c r="V128" i="3" a="1"/>
  <c r="V128" i="3" s="1"/>
  <c r="U128" i="3"/>
  <c r="T128" i="3"/>
  <c r="A128" i="3"/>
  <c r="W127" i="3" a="1"/>
  <c r="W127" i="3" s="1"/>
  <c r="X127" i="3" s="1"/>
  <c r="V127" i="3" a="1"/>
  <c r="V127" i="3" s="1"/>
  <c r="U127" i="3"/>
  <c r="T127" i="3"/>
  <c r="A127" i="3"/>
  <c r="W126" i="3" a="1"/>
  <c r="W126" i="3" s="1"/>
  <c r="X126" i="3" s="1"/>
  <c r="V126" i="3" a="1"/>
  <c r="V126" i="3" s="1"/>
  <c r="U126" i="3"/>
  <c r="T126" i="3"/>
  <c r="A126" i="3"/>
  <c r="W125" i="3" a="1"/>
  <c r="W125" i="3" s="1"/>
  <c r="X125" i="3" s="1"/>
  <c r="V125" i="3" a="1"/>
  <c r="V125" i="3" s="1"/>
  <c r="U125" i="3"/>
  <c r="T125" i="3"/>
  <c r="A125" i="3"/>
  <c r="W124" i="3" a="1"/>
  <c r="W124" i="3" s="1"/>
  <c r="X124" i="3" s="1"/>
  <c r="V124" i="3" a="1"/>
  <c r="V124" i="3" s="1"/>
  <c r="U124" i="3"/>
  <c r="T124" i="3"/>
  <c r="A124" i="3"/>
  <c r="W123" i="3" a="1"/>
  <c r="W123" i="3" s="1"/>
  <c r="X123" i="3" s="1"/>
  <c r="V123" i="3" a="1"/>
  <c r="V123" i="3" s="1"/>
  <c r="U123" i="3"/>
  <c r="T123" i="3"/>
  <c r="A123" i="3"/>
  <c r="W122" i="3" a="1"/>
  <c r="W122" i="3" s="1"/>
  <c r="X122" i="3" s="1"/>
  <c r="V122" i="3" a="1"/>
  <c r="V122" i="3" s="1"/>
  <c r="U122" i="3"/>
  <c r="T122" i="3"/>
  <c r="A122" i="3"/>
  <c r="W121" i="3" a="1"/>
  <c r="W121" i="3" s="1"/>
  <c r="X121" i="3" s="1"/>
  <c r="V121" i="3" a="1"/>
  <c r="V121" i="3" s="1"/>
  <c r="U121" i="3"/>
  <c r="T121" i="3"/>
  <c r="A121" i="3"/>
  <c r="W120" i="3" a="1"/>
  <c r="W120" i="3" s="1"/>
  <c r="X120" i="3" s="1"/>
  <c r="V120" i="3" a="1"/>
  <c r="V120" i="3" s="1"/>
  <c r="U120" i="3"/>
  <c r="T120" i="3"/>
  <c r="A120" i="3"/>
  <c r="W119" i="3" a="1"/>
  <c r="W119" i="3" s="1"/>
  <c r="X119" i="3" s="1"/>
  <c r="V119" i="3" a="1"/>
  <c r="V119" i="3" s="1"/>
  <c r="U119" i="3"/>
  <c r="T119" i="3"/>
  <c r="A119" i="3"/>
  <c r="W118" i="3" a="1"/>
  <c r="W118" i="3" s="1"/>
  <c r="X118" i="3" s="1"/>
  <c r="V118" i="3" a="1"/>
  <c r="V118" i="3" s="1"/>
  <c r="U118" i="3"/>
  <c r="T118" i="3"/>
  <c r="A118" i="3"/>
  <c r="W117" i="3" a="1"/>
  <c r="W117" i="3" s="1"/>
  <c r="X117" i="3" s="1"/>
  <c r="V117" i="3" a="1"/>
  <c r="V117" i="3" s="1"/>
  <c r="U117" i="3"/>
  <c r="T117" i="3"/>
  <c r="A117" i="3"/>
  <c r="W116" i="3" a="1"/>
  <c r="W116" i="3" s="1"/>
  <c r="X116" i="3" s="1"/>
  <c r="V116" i="3" a="1"/>
  <c r="V116" i="3" s="1"/>
  <c r="U116" i="3"/>
  <c r="T116" i="3"/>
  <c r="A116" i="3"/>
  <c r="W115" i="3" a="1"/>
  <c r="W115" i="3" s="1"/>
  <c r="X115" i="3" s="1"/>
  <c r="V115" i="3" a="1"/>
  <c r="V115" i="3" s="1"/>
  <c r="U115" i="3"/>
  <c r="T115" i="3"/>
  <c r="A115" i="3"/>
  <c r="W114" i="3" a="1"/>
  <c r="W114" i="3" s="1"/>
  <c r="X114" i="3" s="1"/>
  <c r="V114" i="3" a="1"/>
  <c r="V114" i="3" s="1"/>
  <c r="U114" i="3"/>
  <c r="T114" i="3"/>
  <c r="A114" i="3"/>
  <c r="W113" i="3" a="1"/>
  <c r="W113" i="3" s="1"/>
  <c r="X113" i="3" s="1"/>
  <c r="V113" i="3" a="1"/>
  <c r="V113" i="3" s="1"/>
  <c r="U113" i="3"/>
  <c r="T113" i="3"/>
  <c r="A113" i="3"/>
  <c r="W112" i="3" a="1"/>
  <c r="W112" i="3" s="1"/>
  <c r="X112" i="3" s="1"/>
  <c r="V112" i="3" a="1"/>
  <c r="V112" i="3" s="1"/>
  <c r="U112" i="3"/>
  <c r="T112" i="3"/>
  <c r="A112" i="3"/>
  <c r="W111" i="3" a="1"/>
  <c r="W111" i="3" s="1"/>
  <c r="X111" i="3" s="1"/>
  <c r="V111" i="3" a="1"/>
  <c r="V111" i="3" s="1"/>
  <c r="U111" i="3"/>
  <c r="T111" i="3"/>
  <c r="A111" i="3"/>
  <c r="W110" i="3" a="1"/>
  <c r="W110" i="3" s="1"/>
  <c r="X110" i="3" s="1"/>
  <c r="V110" i="3" a="1"/>
  <c r="V110" i="3" s="1"/>
  <c r="U110" i="3"/>
  <c r="T110" i="3"/>
  <c r="A110" i="3"/>
  <c r="W109" i="3" a="1"/>
  <c r="W109" i="3" s="1"/>
  <c r="X109" i="3" s="1"/>
  <c r="V109" i="3" a="1"/>
  <c r="V109" i="3" s="1"/>
  <c r="U109" i="3"/>
  <c r="T109" i="3"/>
  <c r="A109" i="3"/>
  <c r="W108" i="3" a="1"/>
  <c r="W108" i="3" s="1"/>
  <c r="X108" i="3" s="1"/>
  <c r="V108" i="3" a="1"/>
  <c r="V108" i="3" s="1"/>
  <c r="U108" i="3"/>
  <c r="T108" i="3"/>
  <c r="A108" i="3"/>
  <c r="W107" i="3" a="1"/>
  <c r="W107" i="3" s="1"/>
  <c r="X107" i="3" s="1"/>
  <c r="V107" i="3" a="1"/>
  <c r="V107" i="3" s="1"/>
  <c r="U107" i="3"/>
  <c r="T107" i="3"/>
  <c r="A107" i="3"/>
  <c r="W106" i="3" a="1"/>
  <c r="W106" i="3" s="1"/>
  <c r="X106" i="3" s="1"/>
  <c r="V106" i="3" a="1"/>
  <c r="V106" i="3" s="1"/>
  <c r="U106" i="3"/>
  <c r="T106" i="3"/>
  <c r="A106" i="3"/>
  <c r="W105" i="3" a="1"/>
  <c r="W105" i="3" s="1"/>
  <c r="X105" i="3" s="1"/>
  <c r="V105" i="3" a="1"/>
  <c r="V105" i="3" s="1"/>
  <c r="U105" i="3"/>
  <c r="T105" i="3"/>
  <c r="A105" i="3"/>
  <c r="W104" i="3" a="1"/>
  <c r="W104" i="3" s="1"/>
  <c r="X104" i="3" s="1"/>
  <c r="V104" i="3" a="1"/>
  <c r="V104" i="3" s="1"/>
  <c r="U104" i="3"/>
  <c r="T104" i="3"/>
  <c r="A104" i="3"/>
  <c r="W103" i="3" a="1"/>
  <c r="W103" i="3" s="1"/>
  <c r="X103" i="3" s="1"/>
  <c r="V103" i="3" a="1"/>
  <c r="V103" i="3" s="1"/>
  <c r="U103" i="3"/>
  <c r="T103" i="3"/>
  <c r="A103" i="3"/>
  <c r="W102" i="3" a="1"/>
  <c r="W102" i="3" s="1"/>
  <c r="X102" i="3" s="1"/>
  <c r="V102" i="3" a="1"/>
  <c r="V102" i="3" s="1"/>
  <c r="U102" i="3"/>
  <c r="T102" i="3"/>
  <c r="A102" i="3"/>
  <c r="W101" i="3" a="1"/>
  <c r="W101" i="3" s="1"/>
  <c r="X101" i="3" s="1"/>
  <c r="V101" i="3" a="1"/>
  <c r="V101" i="3" s="1"/>
  <c r="U101" i="3"/>
  <c r="T101" i="3"/>
  <c r="A101" i="3"/>
  <c r="W100" i="3" a="1"/>
  <c r="W100" i="3" s="1"/>
  <c r="X100" i="3" s="1"/>
  <c r="V100" i="3" a="1"/>
  <c r="V100" i="3" s="1"/>
  <c r="U100" i="3"/>
  <c r="T100" i="3"/>
  <c r="A100" i="3"/>
  <c r="W99" i="3" a="1"/>
  <c r="W99" i="3" s="1"/>
  <c r="X99" i="3" s="1"/>
  <c r="V99" i="3" a="1"/>
  <c r="V99" i="3" s="1"/>
  <c r="U99" i="3"/>
  <c r="T99" i="3"/>
  <c r="A99" i="3"/>
  <c r="W98" i="3" a="1"/>
  <c r="W98" i="3" s="1"/>
  <c r="X98" i="3" s="1"/>
  <c r="V98" i="3" a="1"/>
  <c r="V98" i="3" s="1"/>
  <c r="U98" i="3"/>
  <c r="T98" i="3"/>
  <c r="A98" i="3"/>
  <c r="W97" i="3" a="1"/>
  <c r="W97" i="3" s="1"/>
  <c r="X97" i="3" s="1"/>
  <c r="V97" i="3" a="1"/>
  <c r="V97" i="3" s="1"/>
  <c r="U97" i="3"/>
  <c r="T97" i="3"/>
  <c r="A97" i="3"/>
  <c r="W96" i="3" a="1"/>
  <c r="W96" i="3" s="1"/>
  <c r="X96" i="3" s="1"/>
  <c r="V96" i="3" a="1"/>
  <c r="V96" i="3" s="1"/>
  <c r="U96" i="3"/>
  <c r="T96" i="3"/>
  <c r="A96" i="3"/>
  <c r="W95" i="3" a="1"/>
  <c r="W95" i="3" s="1"/>
  <c r="X95" i="3" s="1"/>
  <c r="V95" i="3" a="1"/>
  <c r="V95" i="3" s="1"/>
  <c r="U95" i="3"/>
  <c r="T95" i="3"/>
  <c r="A95" i="3"/>
  <c r="W94" i="3" a="1"/>
  <c r="W94" i="3" s="1"/>
  <c r="X94" i="3" s="1"/>
  <c r="V94" i="3" a="1"/>
  <c r="V94" i="3" s="1"/>
  <c r="U94" i="3"/>
  <c r="T94" i="3"/>
  <c r="A94" i="3"/>
  <c r="W93" i="3" a="1"/>
  <c r="W93" i="3" s="1"/>
  <c r="X93" i="3" s="1"/>
  <c r="V93" i="3" a="1"/>
  <c r="V93" i="3" s="1"/>
  <c r="U93" i="3"/>
  <c r="T93" i="3"/>
  <c r="A93" i="3"/>
  <c r="W92" i="3" a="1"/>
  <c r="W92" i="3" s="1"/>
  <c r="X92" i="3" s="1"/>
  <c r="V92" i="3" a="1"/>
  <c r="V92" i="3" s="1"/>
  <c r="U92" i="3"/>
  <c r="T92" i="3"/>
  <c r="A92" i="3"/>
  <c r="W91" i="3" a="1"/>
  <c r="W91" i="3" s="1"/>
  <c r="X91" i="3" s="1"/>
  <c r="V91" i="3" a="1"/>
  <c r="V91" i="3" s="1"/>
  <c r="U91" i="3"/>
  <c r="T91" i="3"/>
  <c r="A91" i="3"/>
  <c r="W90" i="3" a="1"/>
  <c r="W90" i="3" s="1"/>
  <c r="X90" i="3" s="1"/>
  <c r="V90" i="3" a="1"/>
  <c r="V90" i="3" s="1"/>
  <c r="U90" i="3"/>
  <c r="T90" i="3"/>
  <c r="A90" i="3"/>
  <c r="W89" i="3" a="1"/>
  <c r="W89" i="3" s="1"/>
  <c r="X89" i="3" s="1"/>
  <c r="V89" i="3" a="1"/>
  <c r="V89" i="3" s="1"/>
  <c r="U89" i="3"/>
  <c r="T89" i="3"/>
  <c r="A89" i="3"/>
  <c r="W88" i="3" a="1"/>
  <c r="W88" i="3" s="1"/>
  <c r="X88" i="3" s="1"/>
  <c r="V88" i="3" a="1"/>
  <c r="V88" i="3" s="1"/>
  <c r="U88" i="3"/>
  <c r="T88" i="3"/>
  <c r="A88" i="3"/>
  <c r="W87" i="3" a="1"/>
  <c r="W87" i="3" s="1"/>
  <c r="X87" i="3" s="1"/>
  <c r="V87" i="3" a="1"/>
  <c r="V87" i="3" s="1"/>
  <c r="U87" i="3"/>
  <c r="T87" i="3"/>
  <c r="A87" i="3"/>
  <c r="W86" i="3" a="1"/>
  <c r="W86" i="3" s="1"/>
  <c r="X86" i="3" s="1"/>
  <c r="V86" i="3" a="1"/>
  <c r="V86" i="3" s="1"/>
  <c r="U86" i="3"/>
  <c r="T86" i="3"/>
  <c r="A86" i="3"/>
  <c r="W85" i="3" a="1"/>
  <c r="W85" i="3" s="1"/>
  <c r="X85" i="3" s="1"/>
  <c r="V85" i="3" a="1"/>
  <c r="V85" i="3" s="1"/>
  <c r="U85" i="3"/>
  <c r="T85" i="3"/>
  <c r="A85" i="3"/>
  <c r="W84" i="3" a="1"/>
  <c r="W84" i="3" s="1"/>
  <c r="X84" i="3" s="1"/>
  <c r="V84" i="3" a="1"/>
  <c r="V84" i="3" s="1"/>
  <c r="U84" i="3"/>
  <c r="T84" i="3"/>
  <c r="A84" i="3"/>
  <c r="W83" i="3" a="1"/>
  <c r="W83" i="3" s="1"/>
  <c r="X83" i="3" s="1"/>
  <c r="V83" i="3" a="1"/>
  <c r="V83" i="3" s="1"/>
  <c r="U83" i="3"/>
  <c r="T83" i="3"/>
  <c r="A83" i="3"/>
  <c r="W82" i="3" a="1"/>
  <c r="W82" i="3" s="1"/>
  <c r="X82" i="3" s="1"/>
  <c r="V82" i="3" a="1"/>
  <c r="V82" i="3" s="1"/>
  <c r="U82" i="3"/>
  <c r="T82" i="3"/>
  <c r="A82" i="3"/>
  <c r="W81" i="3" a="1"/>
  <c r="W81" i="3" s="1"/>
  <c r="X81" i="3" s="1"/>
  <c r="V81" i="3" a="1"/>
  <c r="V81" i="3" s="1"/>
  <c r="U81" i="3"/>
  <c r="T81" i="3"/>
  <c r="A81" i="3"/>
  <c r="W80" i="3" a="1"/>
  <c r="W80" i="3" s="1"/>
  <c r="X80" i="3" s="1"/>
  <c r="V80" i="3" a="1"/>
  <c r="V80" i="3" s="1"/>
  <c r="U80" i="3"/>
  <c r="T80" i="3"/>
  <c r="A80" i="3"/>
  <c r="W79" i="3" a="1"/>
  <c r="W79" i="3" s="1"/>
  <c r="X79" i="3" s="1"/>
  <c r="V79" i="3" a="1"/>
  <c r="V79" i="3" s="1"/>
  <c r="U79" i="3"/>
  <c r="T79" i="3"/>
  <c r="A79" i="3"/>
  <c r="W78" i="3" a="1"/>
  <c r="W78" i="3" s="1"/>
  <c r="X78" i="3" s="1"/>
  <c r="V78" i="3" a="1"/>
  <c r="V78" i="3" s="1"/>
  <c r="U78" i="3"/>
  <c r="T78" i="3"/>
  <c r="A78" i="3"/>
  <c r="W77" i="3" a="1"/>
  <c r="W77" i="3" s="1"/>
  <c r="X77" i="3" s="1"/>
  <c r="V77" i="3" a="1"/>
  <c r="V77" i="3" s="1"/>
  <c r="U77" i="3"/>
  <c r="T77" i="3"/>
  <c r="A77" i="3"/>
  <c r="W76" i="3" a="1"/>
  <c r="W76" i="3" s="1"/>
  <c r="X76" i="3" s="1"/>
  <c r="V76" i="3" a="1"/>
  <c r="V76" i="3" s="1"/>
  <c r="U76" i="3"/>
  <c r="T76" i="3"/>
  <c r="A76" i="3"/>
  <c r="W75" i="3" a="1"/>
  <c r="W75" i="3" s="1"/>
  <c r="X75" i="3" s="1"/>
  <c r="V75" i="3" a="1"/>
  <c r="V75" i="3" s="1"/>
  <c r="U75" i="3"/>
  <c r="T75" i="3"/>
  <c r="A75" i="3"/>
  <c r="W74" i="3" a="1"/>
  <c r="W74" i="3" s="1"/>
  <c r="X74" i="3" s="1"/>
  <c r="V74" i="3" a="1"/>
  <c r="V74" i="3" s="1"/>
  <c r="U74" i="3"/>
  <c r="T74" i="3"/>
  <c r="A74" i="3"/>
  <c r="W73" i="3" a="1"/>
  <c r="W73" i="3" s="1"/>
  <c r="X73" i="3" s="1"/>
  <c r="V73" i="3" a="1"/>
  <c r="V73" i="3" s="1"/>
  <c r="U73" i="3"/>
  <c r="T73" i="3"/>
  <c r="A73" i="3"/>
  <c r="W72" i="3" a="1"/>
  <c r="W72" i="3" s="1"/>
  <c r="X72" i="3" s="1"/>
  <c r="V72" i="3" a="1"/>
  <c r="V72" i="3" s="1"/>
  <c r="U72" i="3"/>
  <c r="T72" i="3"/>
  <c r="A72" i="3"/>
  <c r="W71" i="3" a="1"/>
  <c r="W71" i="3" s="1"/>
  <c r="X71" i="3" s="1"/>
  <c r="V71" i="3" a="1"/>
  <c r="V71" i="3" s="1"/>
  <c r="U71" i="3"/>
  <c r="T71" i="3"/>
  <c r="A71" i="3"/>
  <c r="W70" i="3" a="1"/>
  <c r="W70" i="3" s="1"/>
  <c r="X70" i="3" s="1"/>
  <c r="V70" i="3" a="1"/>
  <c r="V70" i="3" s="1"/>
  <c r="U70" i="3"/>
  <c r="T70" i="3"/>
  <c r="A70" i="3"/>
  <c r="W69" i="3" a="1"/>
  <c r="W69" i="3" s="1"/>
  <c r="X69" i="3" s="1"/>
  <c r="V69" i="3" a="1"/>
  <c r="V69" i="3" s="1"/>
  <c r="U69" i="3"/>
  <c r="T69" i="3"/>
  <c r="A69" i="3"/>
  <c r="W68" i="3" a="1"/>
  <c r="W68" i="3" s="1"/>
  <c r="X68" i="3" s="1"/>
  <c r="V68" i="3" a="1"/>
  <c r="V68" i="3" s="1"/>
  <c r="U68" i="3"/>
  <c r="T68" i="3"/>
  <c r="A68" i="3"/>
  <c r="W67" i="3" a="1"/>
  <c r="W67" i="3" s="1"/>
  <c r="X67" i="3" s="1"/>
  <c r="V67" i="3" a="1"/>
  <c r="V67" i="3" s="1"/>
  <c r="U67" i="3"/>
  <c r="T67" i="3"/>
  <c r="A67" i="3"/>
  <c r="W66" i="3" a="1"/>
  <c r="W66" i="3" s="1"/>
  <c r="X66" i="3" s="1"/>
  <c r="V66" i="3" a="1"/>
  <c r="V66" i="3" s="1"/>
  <c r="U66" i="3"/>
  <c r="T66" i="3"/>
  <c r="A66" i="3"/>
  <c r="W65" i="3" a="1"/>
  <c r="W65" i="3" s="1"/>
  <c r="X65" i="3" s="1"/>
  <c r="V65" i="3" a="1"/>
  <c r="V65" i="3" s="1"/>
  <c r="U65" i="3"/>
  <c r="T65" i="3"/>
  <c r="A65" i="3"/>
  <c r="W64" i="3" a="1"/>
  <c r="W64" i="3" s="1"/>
  <c r="X64" i="3" s="1"/>
  <c r="V64" i="3" a="1"/>
  <c r="V64" i="3" s="1"/>
  <c r="U64" i="3"/>
  <c r="T64" i="3"/>
  <c r="A64" i="3"/>
  <c r="W63" i="3" a="1"/>
  <c r="W63" i="3" s="1"/>
  <c r="X63" i="3" s="1"/>
  <c r="V63" i="3" a="1"/>
  <c r="V63" i="3" s="1"/>
  <c r="U63" i="3"/>
  <c r="T63" i="3"/>
  <c r="A63" i="3"/>
  <c r="W62" i="3" a="1"/>
  <c r="W62" i="3" s="1"/>
  <c r="X62" i="3" s="1"/>
  <c r="V62" i="3" a="1"/>
  <c r="V62" i="3" s="1"/>
  <c r="U62" i="3"/>
  <c r="T62" i="3"/>
  <c r="A62" i="3"/>
  <c r="W61" i="3" a="1"/>
  <c r="W61" i="3" s="1"/>
  <c r="X61" i="3" s="1"/>
  <c r="V61" i="3" a="1"/>
  <c r="V61" i="3" s="1"/>
  <c r="U61" i="3"/>
  <c r="T61" i="3"/>
  <c r="A61" i="3"/>
  <c r="W60" i="3" a="1"/>
  <c r="W60" i="3" s="1"/>
  <c r="X60" i="3" s="1"/>
  <c r="V60" i="3" a="1"/>
  <c r="V60" i="3" s="1"/>
  <c r="U60" i="3"/>
  <c r="T60" i="3"/>
  <c r="A60" i="3"/>
  <c r="W59" i="3" a="1"/>
  <c r="W59" i="3" s="1"/>
  <c r="X59" i="3" s="1"/>
  <c r="V59" i="3" a="1"/>
  <c r="V59" i="3" s="1"/>
  <c r="U59" i="3"/>
  <c r="T59" i="3"/>
  <c r="A59" i="3"/>
  <c r="W58" i="3" a="1"/>
  <c r="W58" i="3" s="1"/>
  <c r="X58" i="3" s="1"/>
  <c r="V58" i="3" a="1"/>
  <c r="V58" i="3" s="1"/>
  <c r="U58" i="3"/>
  <c r="T58" i="3"/>
  <c r="A58" i="3"/>
  <c r="W57" i="3" a="1"/>
  <c r="W57" i="3" s="1"/>
  <c r="X57" i="3" s="1"/>
  <c r="V57" i="3" a="1"/>
  <c r="V57" i="3" s="1"/>
  <c r="U57" i="3"/>
  <c r="T57" i="3"/>
  <c r="A57" i="3"/>
  <c r="W56" i="3" a="1"/>
  <c r="W56" i="3" s="1"/>
  <c r="X56" i="3" s="1"/>
  <c r="V56" i="3" a="1"/>
  <c r="V56" i="3" s="1"/>
  <c r="U56" i="3"/>
  <c r="T56" i="3"/>
  <c r="A56" i="3"/>
  <c r="W55" i="3" a="1"/>
  <c r="W55" i="3" s="1"/>
  <c r="X55" i="3" s="1"/>
  <c r="V55" i="3" a="1"/>
  <c r="V55" i="3" s="1"/>
  <c r="U55" i="3"/>
  <c r="T55" i="3"/>
  <c r="A55" i="3"/>
  <c r="W54" i="3" a="1"/>
  <c r="W54" i="3" s="1"/>
  <c r="X54" i="3" s="1"/>
  <c r="V54" i="3" a="1"/>
  <c r="V54" i="3" s="1"/>
  <c r="U54" i="3"/>
  <c r="T54" i="3"/>
  <c r="A54" i="3"/>
  <c r="W53" i="3" a="1"/>
  <c r="W53" i="3" s="1"/>
  <c r="X53" i="3" s="1"/>
  <c r="V53" i="3" a="1"/>
  <c r="V53" i="3" s="1"/>
  <c r="U53" i="3"/>
  <c r="T53" i="3"/>
  <c r="A53" i="3"/>
  <c r="W52" i="3" a="1"/>
  <c r="W52" i="3" s="1"/>
  <c r="X52" i="3" s="1"/>
  <c r="V52" i="3" a="1"/>
  <c r="V52" i="3" s="1"/>
  <c r="U52" i="3"/>
  <c r="T52" i="3"/>
  <c r="A52" i="3"/>
  <c r="W51" i="3" a="1"/>
  <c r="W51" i="3" s="1"/>
  <c r="X51" i="3" s="1"/>
  <c r="V51" i="3" a="1"/>
  <c r="V51" i="3" s="1"/>
  <c r="U51" i="3"/>
  <c r="T51" i="3"/>
  <c r="A51" i="3"/>
  <c r="W50" i="3" a="1"/>
  <c r="W50" i="3" s="1"/>
  <c r="X50" i="3" s="1"/>
  <c r="V50" i="3" a="1"/>
  <c r="V50" i="3" s="1"/>
  <c r="U50" i="3"/>
  <c r="T50" i="3"/>
  <c r="A50" i="3"/>
  <c r="W49" i="3" a="1"/>
  <c r="W49" i="3" s="1"/>
  <c r="X49" i="3" s="1"/>
  <c r="V49" i="3" a="1"/>
  <c r="V49" i="3" s="1"/>
  <c r="U49" i="3"/>
  <c r="T49" i="3"/>
  <c r="A49" i="3"/>
  <c r="W48" i="3" a="1"/>
  <c r="W48" i="3" s="1"/>
  <c r="X48" i="3" s="1"/>
  <c r="V48" i="3" a="1"/>
  <c r="V48" i="3" s="1"/>
  <c r="U48" i="3"/>
  <c r="T48" i="3"/>
  <c r="A48" i="3"/>
  <c r="W47" i="3" a="1"/>
  <c r="W47" i="3" s="1"/>
  <c r="X47" i="3" s="1"/>
  <c r="V47" i="3" a="1"/>
  <c r="V47" i="3" s="1"/>
  <c r="U47" i="3"/>
  <c r="T47" i="3"/>
  <c r="A47" i="3"/>
  <c r="W46" i="3" a="1"/>
  <c r="W46" i="3" s="1"/>
  <c r="X46" i="3" s="1"/>
  <c r="V46" i="3" a="1"/>
  <c r="V46" i="3" s="1"/>
  <c r="U46" i="3"/>
  <c r="T46" i="3"/>
  <c r="A46" i="3"/>
  <c r="W45" i="3" a="1"/>
  <c r="W45" i="3" s="1"/>
  <c r="X45" i="3" s="1"/>
  <c r="V45" i="3" a="1"/>
  <c r="V45" i="3" s="1"/>
  <c r="U45" i="3"/>
  <c r="T45" i="3"/>
  <c r="A45" i="3"/>
  <c r="W44" i="3" a="1"/>
  <c r="W44" i="3" s="1"/>
  <c r="X44" i="3" s="1"/>
  <c r="V44" i="3" a="1"/>
  <c r="V44" i="3" s="1"/>
  <c r="U44" i="3"/>
  <c r="T44" i="3"/>
  <c r="A44" i="3"/>
  <c r="W43" i="3" a="1"/>
  <c r="W43" i="3" s="1"/>
  <c r="X43" i="3" s="1"/>
  <c r="V43" i="3" a="1"/>
  <c r="V43" i="3" s="1"/>
  <c r="U43" i="3"/>
  <c r="T43" i="3"/>
  <c r="A43" i="3"/>
  <c r="W42" i="3" a="1"/>
  <c r="W42" i="3" s="1"/>
  <c r="X42" i="3" s="1"/>
  <c r="V42" i="3" a="1"/>
  <c r="V42" i="3" s="1"/>
  <c r="U42" i="3"/>
  <c r="T42" i="3"/>
  <c r="A42" i="3"/>
  <c r="W41" i="3" a="1"/>
  <c r="W41" i="3" s="1"/>
  <c r="X41" i="3" s="1"/>
  <c r="V41" i="3" a="1"/>
  <c r="V41" i="3" s="1"/>
  <c r="U41" i="3"/>
  <c r="T41" i="3"/>
  <c r="A41" i="3"/>
  <c r="W40" i="3" a="1"/>
  <c r="W40" i="3" s="1"/>
  <c r="X40" i="3" s="1"/>
  <c r="V40" i="3" a="1"/>
  <c r="V40" i="3" s="1"/>
  <c r="U40" i="3"/>
  <c r="T40" i="3"/>
  <c r="A40" i="3"/>
  <c r="W39" i="3" a="1"/>
  <c r="W39" i="3" s="1"/>
  <c r="X39" i="3" s="1"/>
  <c r="V39" i="3" a="1"/>
  <c r="V39" i="3" s="1"/>
  <c r="U39" i="3"/>
  <c r="T39" i="3"/>
  <c r="A39" i="3"/>
  <c r="W38" i="3" a="1"/>
  <c r="W38" i="3" s="1"/>
  <c r="X38" i="3" s="1"/>
  <c r="V38" i="3" a="1"/>
  <c r="V38" i="3" s="1"/>
  <c r="U38" i="3"/>
  <c r="T38" i="3"/>
  <c r="A38" i="3"/>
  <c r="W37" i="3" a="1"/>
  <c r="W37" i="3" s="1"/>
  <c r="X37" i="3" s="1"/>
  <c r="Z37" i="3" s="1"/>
  <c r="V37" i="3" a="1"/>
  <c r="V37" i="3" s="1"/>
  <c r="U37" i="3"/>
  <c r="T37" i="3"/>
  <c r="A37" i="3"/>
  <c r="W36" i="3" a="1"/>
  <c r="W36" i="3" s="1"/>
  <c r="X36" i="3" s="1"/>
  <c r="Z36" i="3" s="1"/>
  <c r="V36" i="3" a="1"/>
  <c r="V36" i="3" s="1"/>
  <c r="U36" i="3"/>
  <c r="T36" i="3"/>
  <c r="A36" i="3"/>
  <c r="W35" i="3" a="1"/>
  <c r="W35" i="3" s="1"/>
  <c r="X35" i="3" s="1"/>
  <c r="Z35" i="3" s="1"/>
  <c r="V35" i="3" a="1"/>
  <c r="V35" i="3" s="1"/>
  <c r="U35" i="3"/>
  <c r="T35" i="3"/>
  <c r="A35" i="3"/>
  <c r="W34" i="3" a="1"/>
  <c r="W34" i="3" s="1"/>
  <c r="X34" i="3" s="1"/>
  <c r="Z34" i="3" s="1"/>
  <c r="V34" i="3" a="1"/>
  <c r="V34" i="3" s="1"/>
  <c r="U34" i="3"/>
  <c r="T34" i="3"/>
  <c r="A34" i="3"/>
  <c r="W33" i="3" a="1"/>
  <c r="W33" i="3" s="1"/>
  <c r="X33" i="3" s="1"/>
  <c r="Z33" i="3" s="1"/>
  <c r="V33" i="3" a="1"/>
  <c r="V33" i="3" s="1"/>
  <c r="U33" i="3"/>
  <c r="T33" i="3"/>
  <c r="A33" i="3"/>
  <c r="W32" i="3" a="1"/>
  <c r="W32" i="3" s="1"/>
  <c r="X32" i="3" s="1"/>
  <c r="Z32" i="3" s="1"/>
  <c r="V32" i="3" a="1"/>
  <c r="V32" i="3" s="1"/>
  <c r="U32" i="3"/>
  <c r="T32" i="3"/>
  <c r="A32" i="3"/>
  <c r="W31" i="3" a="1"/>
  <c r="W31" i="3" s="1"/>
  <c r="X31" i="3" s="1"/>
  <c r="Z31" i="3" s="1"/>
  <c r="V31" i="3" a="1"/>
  <c r="V31" i="3" s="1"/>
  <c r="U31" i="3"/>
  <c r="T31" i="3"/>
  <c r="A31" i="3"/>
  <c r="W30" i="3" a="1"/>
  <c r="W30" i="3" s="1"/>
  <c r="X30" i="3" s="1"/>
  <c r="Z30" i="3" s="1"/>
  <c r="V30" i="3" a="1"/>
  <c r="V30" i="3" s="1"/>
  <c r="U30" i="3"/>
  <c r="T30" i="3"/>
  <c r="A30" i="3"/>
  <c r="W29" i="3" a="1"/>
  <c r="W29" i="3" s="1"/>
  <c r="X29" i="3" s="1"/>
  <c r="Z29" i="3" s="1"/>
  <c r="V29" i="3" a="1"/>
  <c r="V29" i="3" s="1"/>
  <c r="U29" i="3"/>
  <c r="T29" i="3"/>
  <c r="A29" i="3"/>
  <c r="W28" i="3" a="1"/>
  <c r="W28" i="3" s="1"/>
  <c r="X28" i="3" s="1"/>
  <c r="Z28" i="3" s="1"/>
  <c r="V28" i="3" a="1"/>
  <c r="V28" i="3" s="1"/>
  <c r="U28" i="3"/>
  <c r="T28" i="3"/>
  <c r="A28" i="3"/>
  <c r="W27" i="3" a="1"/>
  <c r="W27" i="3" s="1"/>
  <c r="X27" i="3" s="1"/>
  <c r="Z27" i="3" s="1"/>
  <c r="V27" i="3" a="1"/>
  <c r="V27" i="3" s="1"/>
  <c r="U27" i="3"/>
  <c r="T27" i="3"/>
  <c r="A27" i="3"/>
  <c r="W26" i="3" a="1"/>
  <c r="W26" i="3" s="1"/>
  <c r="X26" i="3" s="1"/>
  <c r="Z26" i="3" s="1"/>
  <c r="V26" i="3" a="1"/>
  <c r="V26" i="3" s="1"/>
  <c r="U26" i="3"/>
  <c r="T26" i="3"/>
  <c r="A26" i="3"/>
  <c r="W25" i="3" a="1"/>
  <c r="W25" i="3" s="1"/>
  <c r="X25" i="3" s="1"/>
  <c r="V25" i="3" a="1"/>
  <c r="V25" i="3" s="1"/>
  <c r="U25" i="3"/>
  <c r="T25" i="3"/>
  <c r="E25" i="3"/>
  <c r="D25" i="3"/>
  <c r="B25" i="3"/>
  <c r="W24" i="3" a="1"/>
  <c r="W24" i="3" s="1"/>
  <c r="X24" i="3" s="1"/>
  <c r="V24" i="3" a="1"/>
  <c r="V24" i="3" s="1"/>
  <c r="U24" i="3"/>
  <c r="T24" i="3"/>
  <c r="S24" i="3"/>
  <c r="R24" i="3"/>
  <c r="E24" i="3"/>
  <c r="D24" i="3"/>
  <c r="C24" i="3"/>
  <c r="B24" i="3"/>
  <c r="W23" i="3" a="1"/>
  <c r="W23" i="3" s="1"/>
  <c r="X23" i="3" s="1"/>
  <c r="V23" i="3" a="1"/>
  <c r="V23" i="3" s="1"/>
  <c r="U23" i="3"/>
  <c r="T23" i="3"/>
  <c r="S23" i="3"/>
  <c r="R23" i="3"/>
  <c r="E23" i="3"/>
  <c r="D23" i="3"/>
  <c r="C23" i="3"/>
  <c r="B23" i="3"/>
  <c r="W22" i="3" a="1"/>
  <c r="W22" i="3" s="1"/>
  <c r="X22" i="3" s="1"/>
  <c r="V22" i="3" a="1"/>
  <c r="V22" i="3" s="1"/>
  <c r="U22" i="3"/>
  <c r="T22" i="3"/>
  <c r="S22" i="3"/>
  <c r="R22" i="3"/>
  <c r="E22" i="3"/>
  <c r="D22" i="3"/>
  <c r="C22" i="3"/>
  <c r="B22" i="3"/>
  <c r="W21" i="3" a="1"/>
  <c r="W21" i="3" s="1"/>
  <c r="X21" i="3" s="1"/>
  <c r="V21" i="3" a="1"/>
  <c r="V21" i="3" s="1"/>
  <c r="U21" i="3"/>
  <c r="T21" i="3"/>
  <c r="S21" i="3"/>
  <c r="R21" i="3"/>
  <c r="E21" i="3"/>
  <c r="D21" i="3"/>
  <c r="C21" i="3"/>
  <c r="B21" i="3"/>
  <c r="W20" i="3" a="1"/>
  <c r="W20" i="3" s="1"/>
  <c r="X20" i="3" s="1"/>
  <c r="V20" i="3" a="1"/>
  <c r="V20" i="3" s="1"/>
  <c r="U20" i="3"/>
  <c r="T20" i="3"/>
  <c r="S20" i="3"/>
  <c r="R20" i="3"/>
  <c r="E20" i="3"/>
  <c r="D20" i="3"/>
  <c r="C20" i="3"/>
  <c r="B20" i="3"/>
  <c r="W19" i="3" a="1"/>
  <c r="W19" i="3" s="1"/>
  <c r="X19" i="3" s="1"/>
  <c r="Z19" i="3" s="1"/>
  <c r="V19" i="3" a="1"/>
  <c r="V19" i="3" s="1"/>
  <c r="U19" i="3"/>
  <c r="T19" i="3"/>
  <c r="S19" i="3"/>
  <c r="R19" i="3"/>
  <c r="E19" i="3"/>
  <c r="D19" i="3"/>
  <c r="C19" i="3"/>
  <c r="B19" i="3"/>
  <c r="W18" i="3" a="1"/>
  <c r="W18" i="3" s="1"/>
  <c r="X18" i="3" s="1"/>
  <c r="Z18" i="3" s="1"/>
  <c r="V18" i="3" a="1"/>
  <c r="V18" i="3" s="1"/>
  <c r="U18" i="3"/>
  <c r="T18" i="3"/>
  <c r="S18" i="3"/>
  <c r="R18" i="3"/>
  <c r="E18" i="3"/>
  <c r="D18" i="3"/>
  <c r="C18" i="3"/>
  <c r="B18" i="3"/>
  <c r="W17" i="3" a="1"/>
  <c r="W17" i="3" s="1"/>
  <c r="X17" i="3" s="1"/>
  <c r="Z17" i="3" s="1"/>
  <c r="V17" i="3" a="1"/>
  <c r="V17" i="3" s="1"/>
  <c r="U17" i="3"/>
  <c r="T17" i="3"/>
  <c r="S17" i="3"/>
  <c r="R17" i="3"/>
  <c r="E17" i="3"/>
  <c r="D17" i="3"/>
  <c r="C17" i="3"/>
  <c r="B17" i="3"/>
  <c r="W16" i="3" a="1"/>
  <c r="W16" i="3" s="1"/>
  <c r="X16" i="3" s="1"/>
  <c r="Z16" i="3" s="1"/>
  <c r="V16" i="3" a="1"/>
  <c r="V16" i="3" s="1"/>
  <c r="U16" i="3"/>
  <c r="T16" i="3"/>
  <c r="S16" i="3"/>
  <c r="R16" i="3"/>
  <c r="E16" i="3"/>
  <c r="D16" i="3"/>
  <c r="C16" i="3"/>
  <c r="B16" i="3"/>
  <c r="W15" i="3" a="1"/>
  <c r="W15" i="3" s="1"/>
  <c r="X15" i="3" s="1"/>
  <c r="Z15" i="3" s="1"/>
  <c r="V15" i="3" a="1"/>
  <c r="V15" i="3" s="1"/>
  <c r="U15" i="3"/>
  <c r="T15" i="3"/>
  <c r="S15" i="3"/>
  <c r="R15" i="3"/>
  <c r="E15" i="3"/>
  <c r="D15" i="3"/>
  <c r="C15" i="3"/>
  <c r="B15" i="3"/>
  <c r="W14" i="3" a="1"/>
  <c r="W14" i="3" s="1"/>
  <c r="X14" i="3" s="1"/>
  <c r="Z14" i="3" s="1"/>
  <c r="V14" i="3" a="1"/>
  <c r="V14" i="3" s="1"/>
  <c r="U14" i="3"/>
  <c r="T14" i="3"/>
  <c r="S14" i="3"/>
  <c r="R14" i="3"/>
  <c r="E14" i="3"/>
  <c r="D14" i="3"/>
  <c r="C14" i="3"/>
  <c r="B14" i="3"/>
  <c r="W13" i="3" a="1"/>
  <c r="W13" i="3" s="1"/>
  <c r="X13" i="3" s="1"/>
  <c r="V13" i="3" a="1"/>
  <c r="V13" i="3" s="1"/>
  <c r="U13" i="3"/>
  <c r="T13" i="3"/>
  <c r="S13" i="3"/>
  <c r="R13" i="3"/>
  <c r="E13" i="3"/>
  <c r="D13" i="3"/>
  <c r="C13" i="3"/>
  <c r="B13" i="3"/>
  <c r="W12" i="3" a="1"/>
  <c r="W12" i="3" s="1"/>
  <c r="X12" i="3" s="1"/>
  <c r="V12" i="3" a="1"/>
  <c r="V12" i="3" s="1"/>
  <c r="U12" i="3"/>
  <c r="T12" i="3"/>
  <c r="S12" i="3"/>
  <c r="R12" i="3"/>
  <c r="E12" i="3"/>
  <c r="D12" i="3"/>
  <c r="C12" i="3"/>
  <c r="B12" i="3"/>
  <c r="W11" i="3" a="1"/>
  <c r="W11" i="3" s="1"/>
  <c r="X11" i="3" s="1"/>
  <c r="V11" i="3" a="1"/>
  <c r="V11" i="3" s="1"/>
  <c r="U11" i="3"/>
  <c r="T11" i="3"/>
  <c r="S11" i="3"/>
  <c r="R11" i="3"/>
  <c r="E11" i="3"/>
  <c r="D11" i="3"/>
  <c r="C11" i="3"/>
  <c r="B11" i="3"/>
  <c r="W10" i="3" a="1"/>
  <c r="W10" i="3" s="1"/>
  <c r="X10" i="3" s="1"/>
  <c r="V10" i="3" a="1"/>
  <c r="V10" i="3" s="1"/>
  <c r="U10" i="3"/>
  <c r="T10" i="3"/>
  <c r="S10" i="3"/>
  <c r="R10" i="3"/>
  <c r="E10" i="3"/>
  <c r="D10" i="3"/>
  <c r="C10" i="3"/>
  <c r="B10" i="3"/>
  <c r="W9" i="3" a="1"/>
  <c r="W9" i="3" s="1"/>
  <c r="X9" i="3" s="1"/>
  <c r="V9" i="3" a="1"/>
  <c r="V9" i="3" s="1"/>
  <c r="U9" i="3"/>
  <c r="T9" i="3"/>
  <c r="S9" i="3"/>
  <c r="R9" i="3"/>
  <c r="E9" i="3"/>
  <c r="D9" i="3"/>
  <c r="C9" i="3"/>
  <c r="B9" i="3"/>
  <c r="W8" i="3" a="1"/>
  <c r="W8" i="3" s="1"/>
  <c r="X8" i="3" s="1"/>
  <c r="V8" i="3" a="1"/>
  <c r="V8" i="3" s="1"/>
  <c r="U8" i="3"/>
  <c r="T8" i="3"/>
  <c r="S8" i="3"/>
  <c r="R8" i="3"/>
  <c r="E8" i="3"/>
  <c r="D8" i="3"/>
  <c r="C8" i="3"/>
  <c r="B8" i="3"/>
  <c r="P6" i="3"/>
  <c r="N6" i="3"/>
  <c r="L6" i="3"/>
  <c r="J6" i="3"/>
  <c r="H6" i="3"/>
  <c r="F6" i="3"/>
  <c r="D6" i="3"/>
  <c r="Q5" i="3"/>
  <c r="P5" i="3"/>
  <c r="O5" i="3"/>
  <c r="N5" i="3"/>
  <c r="M5" i="3"/>
  <c r="L5" i="3"/>
  <c r="K5" i="3"/>
  <c r="J5" i="3"/>
  <c r="I5" i="3"/>
  <c r="H5" i="3"/>
  <c r="G5" i="3"/>
  <c r="F5" i="3"/>
  <c r="N5" i="4" l="1"/>
  <c r="A19" i="3"/>
  <c r="A27" i="4"/>
  <c r="A12" i="3"/>
  <c r="A18" i="3"/>
  <c r="D5" i="3"/>
  <c r="A23" i="3"/>
  <c r="E5" i="3"/>
  <c r="A169" i="4"/>
  <c r="A29" i="4"/>
  <c r="J5" i="4"/>
  <c r="A38" i="4"/>
  <c r="F5" i="4"/>
  <c r="A30" i="4"/>
  <c r="A31" i="4"/>
  <c r="A37" i="4"/>
  <c r="G5" i="4"/>
  <c r="O5" i="4"/>
  <c r="A8" i="3"/>
  <c r="A11" i="3"/>
  <c r="A10" i="3"/>
  <c r="A14" i="3"/>
  <c r="A21" i="3"/>
  <c r="A25" i="3"/>
  <c r="A15" i="3"/>
  <c r="A9" i="3"/>
  <c r="A13" i="3"/>
  <c r="A20" i="3"/>
  <c r="A24" i="3"/>
  <c r="A17" i="3"/>
  <c r="A16" i="3"/>
  <c r="A22" i="3"/>
  <c r="A172" i="4"/>
  <c r="A157" i="4"/>
  <c r="A39" i="4"/>
  <c r="A41" i="4"/>
  <c r="A91" i="4"/>
  <c r="A92" i="4"/>
  <c r="A94" i="4"/>
  <c r="A109" i="4"/>
  <c r="A110" i="4"/>
  <c r="A112" i="4"/>
  <c r="A123" i="4"/>
  <c r="A124" i="4"/>
  <c r="A126" i="4"/>
  <c r="A140" i="4"/>
  <c r="A62" i="4"/>
  <c r="A63" i="4"/>
  <c r="A105" i="4"/>
  <c r="A106" i="4"/>
  <c r="A108" i="4"/>
  <c r="A119" i="4"/>
  <c r="A120" i="4"/>
  <c r="A122" i="4"/>
  <c r="A147" i="4"/>
  <c r="A10" i="4"/>
  <c r="A164" i="4"/>
  <c r="A158" i="4"/>
  <c r="A35" i="4"/>
  <c r="A17" i="4"/>
  <c r="A153" i="4"/>
  <c r="A11" i="4"/>
  <c r="A13" i="4"/>
  <c r="E5" i="4"/>
  <c r="M5" i="4"/>
  <c r="A23" i="4"/>
  <c r="A24" i="4"/>
  <c r="A26" i="4"/>
  <c r="A69" i="4"/>
  <c r="A102" i="4"/>
  <c r="A104" i="4"/>
  <c r="A154" i="4"/>
  <c r="A162" i="4"/>
  <c r="A170" i="4"/>
  <c r="D5" i="4"/>
  <c r="L5" i="4"/>
  <c r="A20" i="4"/>
  <c r="A22" i="4"/>
  <c r="A58" i="4"/>
  <c r="A59" i="4"/>
  <c r="A66" i="4"/>
  <c r="A68" i="4"/>
  <c r="A79" i="4"/>
  <c r="A80" i="4"/>
  <c r="A132" i="4"/>
  <c r="A146" i="4"/>
  <c r="I5" i="4"/>
  <c r="Q5" i="4"/>
  <c r="A54" i="4"/>
  <c r="A55" i="4"/>
  <c r="A57" i="4"/>
  <c r="A61" i="4"/>
  <c r="A75" i="4"/>
  <c r="A76" i="4"/>
  <c r="A78" i="4"/>
  <c r="A128" i="4"/>
  <c r="A129" i="4"/>
  <c r="A131" i="4"/>
  <c r="A135" i="4"/>
  <c r="A136" i="4"/>
  <c r="A137" i="4"/>
  <c r="A138" i="4"/>
  <c r="A151" i="4"/>
  <c r="A161" i="4"/>
  <c r="A16" i="4"/>
  <c r="A34" i="4"/>
  <c r="A50" i="4"/>
  <c r="A51" i="4"/>
  <c r="A53" i="4"/>
  <c r="A60" i="4"/>
  <c r="A71" i="4"/>
  <c r="A72" i="4"/>
  <c r="A74" i="4"/>
  <c r="A89" i="4"/>
  <c r="A90" i="4"/>
  <c r="A133" i="4"/>
  <c r="A134" i="4"/>
  <c r="A143" i="4"/>
  <c r="A150" i="4"/>
  <c r="A166" i="4"/>
  <c r="A168" i="4"/>
  <c r="H5" i="4"/>
  <c r="P5" i="4"/>
  <c r="K5" i="4"/>
  <c r="A46" i="4"/>
  <c r="A47" i="4"/>
  <c r="A49" i="4"/>
  <c r="A70" i="4"/>
  <c r="A85" i="4"/>
  <c r="A86" i="4"/>
  <c r="A88" i="4"/>
  <c r="A99" i="4"/>
  <c r="A100" i="4"/>
  <c r="A117" i="4"/>
  <c r="A118" i="4"/>
  <c r="A14" i="4"/>
  <c r="A32" i="4"/>
  <c r="A42" i="4"/>
  <c r="A43" i="4"/>
  <c r="A45" i="4"/>
  <c r="A82" i="4"/>
  <c r="A84" i="4"/>
  <c r="A95" i="4"/>
  <c r="A96" i="4"/>
  <c r="A98" i="4"/>
  <c r="A113" i="4"/>
  <c r="A114" i="4"/>
  <c r="A116" i="4"/>
  <c r="A127" i="4"/>
  <c r="A141" i="4"/>
  <c r="A165" i="4"/>
  <c r="A152" i="4"/>
  <c r="A163" i="4"/>
  <c r="A171" i="4"/>
  <c r="A15" i="4"/>
  <c r="A33" i="4"/>
  <c r="A142" i="4"/>
  <c r="A148" i="4"/>
  <c r="A155" i="4"/>
  <c r="A159" i="4"/>
  <c r="A12" i="4"/>
  <c r="A18" i="4"/>
  <c r="A21" i="4"/>
  <c r="A25" i="4"/>
  <c r="A28" i="4"/>
  <c r="A36" i="4"/>
  <c r="A40" i="4"/>
  <c r="A44" i="4"/>
  <c r="A48" i="4"/>
  <c r="A52" i="4"/>
  <c r="A56" i="4"/>
  <c r="A64" i="4"/>
  <c r="A65" i="4"/>
  <c r="A67" i="4"/>
  <c r="A73" i="4"/>
  <c r="A77" i="4"/>
  <c r="A81" i="4"/>
  <c r="A83" i="4"/>
  <c r="A87" i="4"/>
  <c r="A93" i="4"/>
  <c r="A97" i="4"/>
  <c r="A101" i="4"/>
  <c r="A103" i="4"/>
  <c r="A107" i="4"/>
  <c r="A111" i="4"/>
  <c r="A115" i="4"/>
  <c r="A121" i="4"/>
  <c r="A125" i="4"/>
  <c r="A130" i="4"/>
  <c r="A149" i="4"/>
  <c r="A160" i="4"/>
  <c r="A173" i="4"/>
  <c r="A156" i="4"/>
  <c r="A167" i="4"/>
  <c r="A9" i="4"/>
  <c r="A144" i="4"/>
  <c r="A19" i="4"/>
  <c r="A139" i="4"/>
  <c r="A145" i="4"/>
</calcChain>
</file>

<file path=xl/sharedStrings.xml><?xml version="1.0" encoding="utf-8"?>
<sst xmlns="http://schemas.openxmlformats.org/spreadsheetml/2006/main" count="25876" uniqueCount="5006">
  <si>
    <t>Tỉnh/Thành Phố</t>
  </si>
  <si>
    <t>Quận/Huyện</t>
  </si>
  <si>
    <t>Khách Hàng</t>
  </si>
  <si>
    <t>Tất cả</t>
  </si>
  <si>
    <t>Loại Hàng</t>
  </si>
  <si>
    <t>Giao</t>
  </si>
  <si>
    <t>Xu Hướng</t>
  </si>
  <si>
    <t>GTC Ngày N-1</t>
  </si>
  <si>
    <t>STT</t>
  </si>
  <si>
    <t>Bưu Cục</t>
  </si>
  <si>
    <t>Sản lượng</t>
  </si>
  <si>
    <t>Khối lượng</t>
  </si>
  <si>
    <t>GTC/LTC Ngày N-1</t>
  </si>
  <si>
    <t>GTC/LTC tốt nhất T04.2026</t>
  </si>
  <si>
    <t>Capacity
tối đa</t>
  </si>
  <si>
    <t>So sánh Cap giao</t>
  </si>
  <si>
    <t>Bưu Cục 2227 Văn Tiến Dũng-Bình Chánh-HCM</t>
  </si>
  <si>
    <t>Hồ Chí Minh</t>
  </si>
  <si>
    <t>Bưu Cục 26 Bùi Thanh Khiết-Tân Túc-Bình Chánh</t>
  </si>
  <si>
    <t>Bưu Cục 692 An Phú Tây-Bình Chánh-HCM</t>
  </si>
  <si>
    <t>Bưu Cục 75 Đường Số 2 KDC Nguyên Sơn-Bình Hưng-Bình Chánh</t>
  </si>
  <si>
    <t>Bưu Cục C1/7 Lại Hùng Cường-Vĩnh Lộc B-Bình Chánh-HCM</t>
  </si>
  <si>
    <t>Bưu Cục F5/9A Trần Văn Giàu-Bình Chánh-HCM</t>
  </si>
  <si>
    <t>Bưu Cục Tân Kiên-Bình Chánh-HCM</t>
  </si>
  <si>
    <t>Bưu Cục Vĩnh Lộc A-Bình Chánh-HCM</t>
  </si>
  <si>
    <t>Bưu Cục Cần Giờ-HCM</t>
  </si>
  <si>
    <t>Bưu Cục KDC Giồng Ao-Cần Giờ-HCM</t>
  </si>
  <si>
    <t>Bưu Cục 02 Đường Số 28 - Củ Chi - HCM</t>
  </si>
  <si>
    <t>Bưu Cục 242 Tỉnh Lộ 2-Củ Chi-HCM</t>
  </si>
  <si>
    <t>Bưu Cục 390 Nguyễn Kim Cương-Tân Thạnh Đông-Củ Chi</t>
  </si>
  <si>
    <t>Bưu Cục 593A Tỉnh Lộ 15-Củ Chi-HCM</t>
  </si>
  <si>
    <t>Bưu Cục 106/3A Tây Lân-Hóc Môn-HCM</t>
  </si>
  <si>
    <t>Bưu Cục 125A Lê Lợi-Hóc Môn-HCM</t>
  </si>
  <si>
    <t>Bưu Cục 309 Nguyễn Thị Ngâu-Hóc Môn-HCM</t>
  </si>
  <si>
    <t>Bưu cục Xuân Thới Thượng-Hóc Môn-HCM</t>
  </si>
  <si>
    <t>Bưu Cục 63 Đường Số 7-Xã Nhà Bè-HCM</t>
  </si>
  <si>
    <t>Bưu Cục 785C Nguyễn Bình-Nhà Bè-HCM</t>
  </si>
  <si>
    <t>Bưu Cục Phước Kiển-Nhà Bè-HCM</t>
  </si>
  <si>
    <t>Bưu Cục 16 Trần Nhật Duật-Q.1-HCM</t>
  </si>
  <si>
    <t>Bưu Cục 21 Phú Mỹ-Q.Bình Thạnh-HCM</t>
  </si>
  <si>
    <t>Bưu Cục 274 Cô Bắc-Q.1-HCM</t>
  </si>
  <si>
    <t>Bưu Cục 63A Trần Đình Xu-Q.1-HCM</t>
  </si>
  <si>
    <t>Bưu Cục 16A Lê Hồng Phong-Q.10-HCM</t>
  </si>
  <si>
    <t>Bưu Cục 7A/3 Thành Thái-Phường Diên Hồng-HCM</t>
  </si>
  <si>
    <t>Bưu Cục Hàng Vừa 16A Lê Hồng Phong-Q.10-HCM</t>
  </si>
  <si>
    <t>Bưu Cục 147E Đội Cung-Q.11-HCM</t>
  </si>
  <si>
    <t>Bưu cục 215 Bình Thới-Q.11-HCM</t>
  </si>
  <si>
    <t>Bưu Cục 295F Lý Thường Kiệt-Quận 11-HCM</t>
  </si>
  <si>
    <t>Bưu Cục Hàng Vừa 215 Bình Thới-Q.11-HCM</t>
  </si>
  <si>
    <t>Bưu Cục 1130 Đông Hưng Thuận 05-Q.12-HCM</t>
  </si>
  <si>
    <t>Bưu Cục 185 Tân Thới Nhất 8-Phường Đông Hưng Thuận-HCM</t>
  </si>
  <si>
    <t>Bưu Cục 198 Thạnh Lộc 15-Q.12-HCM</t>
  </si>
  <si>
    <t>Bưu Cục 256/59 Đường Thạnh Xuân 25-Quận 12-HCM</t>
  </si>
  <si>
    <t>Bưu Cục 320 Nguyễn Thị Kiểu-Hiệp Thành-Quận 12-HCM</t>
  </si>
  <si>
    <t>Bưu Cục 47/2 Lê Văn Khương-Q.12-HCM</t>
  </si>
  <si>
    <t>Bưu Cục 88 Võ Thị Liễu-Q.12-HCM</t>
  </si>
  <si>
    <t>Bưu Cục 92 Tân Chánh Hiệp 03-Tân Chánh Hiệp-Quận 12-HCM</t>
  </si>
  <si>
    <t>Bưu Cục Hàng Vừa 1130 Đông Hưng Thuận 05-Q.12-HCM</t>
  </si>
  <si>
    <t>Bưu Cục Hàng Vừa 198C Thạnh Lộc-Q.12-HCM</t>
  </si>
  <si>
    <t>Bưu Cục Hàng Vừa 320 Nguyễn Thị Kiểu-Hiệp Thành-Quận 12-HCM</t>
  </si>
  <si>
    <t>Bưu Cục 29A Đường Số 5-Q.2-HCM</t>
  </si>
  <si>
    <t>Bưu cục 58 Vũ Tông Phan-Q.2-HCM</t>
  </si>
  <si>
    <t>Bưu Cục Hàng Vừa 367 Lương Định Của-An Phú-Q.2-HCM</t>
  </si>
  <si>
    <t>Bưu Cục Hàng Vừa Kho 02 367 Lương Định Của-Q.2-HCM</t>
  </si>
  <si>
    <t>Bưu Cục Số 25 Đường 12-An Phú-Q.2-HCM</t>
  </si>
  <si>
    <t>Bưu Cục 195B Lý Chính Thắng-Q.3-HCM</t>
  </si>
  <si>
    <t>Bưu Cục 480F Cao Thắng - Trường Sa-Q.3-HCM</t>
  </si>
  <si>
    <t>Bưu Cục Hàng Vừa Quận 3 480F Cao Thắng-Q.10-HCM</t>
  </si>
  <si>
    <t>Bưu Cục 63 Vĩnh Hội-Q.4-HCM</t>
  </si>
  <si>
    <t>Bưu Cục T30 Nguyễn Hữu Hào-Q.4-HCM</t>
  </si>
  <si>
    <t>Bưu Cục 117 Hùng Vương-Q.5-HCM</t>
  </si>
  <si>
    <t>Bưu Cục 63 Ký Hòa-Q.5-HCM</t>
  </si>
  <si>
    <t>Bưu Cục 116A Bà Hom-Phường 13-Quận 6-HCM</t>
  </si>
  <si>
    <t>Bưu Cục 119 Nguyễn Văn Luông-Q.6-HCM</t>
  </si>
  <si>
    <t>Bưu Cục 20 Đường số 81-Q.7-HCM</t>
  </si>
  <si>
    <t>Bưu Cục 31-31A Lý Phục Man-Bình Thuận-Quận 7-HCM</t>
  </si>
  <si>
    <t>Bưu cục 78 Đường số 4-Q.7-HCM</t>
  </si>
  <si>
    <t>Bưu Cục 860/36 Huỳnh Tấn Phát-Q.7-HCM</t>
  </si>
  <si>
    <t>Bưu Cục A5 KDC Tân Thuận Nam-Phú Thuận-Quận 7-HCM</t>
  </si>
  <si>
    <t>Bưu Cục Hàng Vừa Q.7 Kho 01 Số 860/36 Huỳnh Tấn Phát-Q.7-HCM</t>
  </si>
  <si>
    <t>Bưu Cục 291A Nguyễn Duy-Q.8-HCM</t>
  </si>
  <si>
    <t>Bưu Cục 2999 Phạm Thế Hiển-Q.8-HCM</t>
  </si>
  <si>
    <t>Bưu Cục 903B Tạ Quang Bửu-Q.8-HCM</t>
  </si>
  <si>
    <t>Bưu Cục 01 Đường Số 6-Long Bình-Q.9-HCM</t>
  </si>
  <si>
    <t>Bưu Cục 47 Đường 882-Phú Hữu-Q.9-HCM</t>
  </si>
  <si>
    <t>Bưu Cục Chuyên Lấy 01 Đường Số 6-Long Bình-Q.9-HCM</t>
  </si>
  <si>
    <t>Bưu Cục Đường 268 Đỗ Xuân Hợp-Phường Phước Long-HCM</t>
  </si>
  <si>
    <t>Bưu Cục Hàng Vừa 20A Đường 12-Q.9-HCM</t>
  </si>
  <si>
    <t>Bưu Cục Hàng Vừa Đường 268 Đỗ Xuân Hợp-Q.9-HCM</t>
  </si>
  <si>
    <t>Bưu cục Long Thạnh Mỹ-Q9-HCM</t>
  </si>
  <si>
    <t>Bưu Cục Phường Long Trường-Q9-HCM</t>
  </si>
  <si>
    <t>Bưu Cục Tăng Nhơn Phú B-Q.9-HCM</t>
  </si>
  <si>
    <t>Bưu Cục 107 Đường 3D-Bình Hưng Hòa B-Bình Tân-HCM</t>
  </si>
  <si>
    <t>Bưu Cục 1440/1 Tỉnh Lộ 10-Tân Tạo-Bình Tân-HCM</t>
  </si>
  <si>
    <t>Bưu Cục 38 Đường Số 3-Q.Bình Tân-HCM</t>
  </si>
  <si>
    <t>Bưu Cục 59 Trương Phước Phan-Q.Bình Tân-HCM</t>
  </si>
  <si>
    <t>Bưu Cục 8F Gò Xoài-Bình Hưng Hòa A-Bình Tân-HCM</t>
  </si>
  <si>
    <t>Bưu Cục Chuyên Lấy 1162/6A Tỉnh Lộ 10-Q.Bình Tân-HCM</t>
  </si>
  <si>
    <t>Bưu Cục Hàng Vừa Bình Tân Kho 01 1162/6A Tỉnh Lộ 10-HCM</t>
  </si>
  <si>
    <t>Bưu Cục Hàng Vừa Bình Tân Kho 02 1162/6A Tỉnh Lộ 10-HCM</t>
  </si>
  <si>
    <t>Bưu Cục Hương Lộ 2-Bình Trị Đông A-Bình Tân</t>
  </si>
  <si>
    <t>Bưu Cục Số 17 Đường Hoàng Văn Hợp-An Lạc A-Bình Tân-HCM</t>
  </si>
  <si>
    <t>Bưu Cục 104 Lương Ngọc Quyến-Q.Bình Thạnh-HCM</t>
  </si>
  <si>
    <t>Bưu Cục 248A Nơ Trang Long-Q.Bình Thạnh-HCM</t>
  </si>
  <si>
    <t>Bưu Cục 27 Nguyễn Xí-Q.Bình Thạnh-HCM</t>
  </si>
  <si>
    <t>Bưu Cục 374 Xô Viết Nghệ Tĩnh-Q.Bình Thạnh-HCM</t>
  </si>
  <si>
    <t>Bưu Cục 602/26 Điện Biên Phủ-Phường 12-Bình Thạnh-HCM</t>
  </si>
  <si>
    <t>Bưu Cục 9 Hồng Bàng-Q.Bình Thạnh-HCM</t>
  </si>
  <si>
    <t>Bưu Cục Hàng Vừa 248A Nơ Trang Long-Q.Bình Thạnh-HCM</t>
  </si>
  <si>
    <t>Bưu Cục 1135 Phan Văn Trị-Q.Gò Vấp-HCM</t>
  </si>
  <si>
    <t>Bưu Cục 119 Đường Số 1-Phường 11-Gò Vấp-HCM</t>
  </si>
  <si>
    <t>Bưu Cục 183 Nguyễn Oanh-Phường 17-Gò Vấp-HCM</t>
  </si>
  <si>
    <t>Bưu Cục 371 Nguyễn Kiệm-Q.Gò Vấp-HCM</t>
  </si>
  <si>
    <t>Bưu Cục 608 Phan Văn Trị-Gò Vấp-HCM</t>
  </si>
  <si>
    <t>Bưu Cục Đường 21-Phường 08-Gò Vấp-HCM</t>
  </si>
  <si>
    <t>Bưu Cục Hàng Vừa 971 Nguyễn Kiệm-Q.Gò Vấp-HCM</t>
  </si>
  <si>
    <t>Bưu Cục Phan Huy Ích-Gò Vấp-HCM</t>
  </si>
  <si>
    <t>Bưu Cục 456 Nguyễn Kiệm-Q.Phú Nhuận-HCM</t>
  </si>
  <si>
    <t>Bưu Cục 58 Trương Quốc Dung-Q.Phú Nhuận-HCM</t>
  </si>
  <si>
    <t>Bưu Cục 04 Nhất Chi Mai-Q.Tân Bình-HCM</t>
  </si>
  <si>
    <t>Bưu Cục 6 Phạm Văn Hai-Q.Tân Bình-HCM</t>
  </si>
  <si>
    <t>Bưu Cục 78 Nguyễn Minh Hoàng-Phường 12-Q.Tân Bình-HCM</t>
  </si>
  <si>
    <t>Bưu Cục 82 Nguyễn Sỹ Sách-Q.Tân Bình-HCM</t>
  </si>
  <si>
    <t>Bưu Cục 88/21 Phan Sào Nam-Q.Tân Bình-HCM</t>
  </si>
  <si>
    <t>Bưu Cục Hàng Vừa 6 Phạm Văn Hai-Q.Tân Bình-HCM</t>
  </si>
  <si>
    <t>Bưu Cục 197 Lê Cao Lãng-Phú Thạnh-Tân Phú-HCM</t>
  </si>
  <si>
    <t>Bưu Cục 20/48A Bờ Bao Tân Thắng-Q.Tân Phú-HCM</t>
  </si>
  <si>
    <t>Bưu Cục 58 Lê Thúc Hoạch-Q.Tân Phú-HCM</t>
  </si>
  <si>
    <t>Bưu Cục 85 Cao Văn Ngọc-Phường Tân Phú-HCM</t>
  </si>
  <si>
    <t>Bưu Cục Hàng Vừa 85 Cao Văn Ngọc-Q.Tân Phú-HCM</t>
  </si>
  <si>
    <t>Bưu Cục Phường Tây Thạnh-Tân Phú-HCM</t>
  </si>
  <si>
    <t>Bưu Cục 155 Quốc lộ 1A-Bình Chiểu-Thủ Đức-HCM</t>
  </si>
  <si>
    <t>Bưu Cục 46 Tam Bình-Hiệp Bình Chánh-Q.Thủ Đức-HCM</t>
  </si>
  <si>
    <t>Bưu Cục 53 Đường 22-Linh Đông-Thủ Đức-HCM</t>
  </si>
  <si>
    <t>Bưu Cục 53A2 Đường 5-Linh Tây-Q.Thủ Đức-HCM</t>
  </si>
  <si>
    <t>Bưu Cục Hàng Vừa Q.Thủ Đức Kho 01 13 Đường Số 8-HCM</t>
  </si>
  <si>
    <t>Grand Total</t>
  </si>
  <si>
    <t>Lấy</t>
  </si>
  <si>
    <t>Nguyễn Thanh Bình</t>
  </si>
  <si>
    <t>Nguyễn Văn Tân</t>
  </si>
  <si>
    <t>Bưu Cục 13 Đường Số 8-Hiệp Bình Phước-Q.Thủ Đức-HCM</t>
  </si>
  <si>
    <t>Note</t>
  </si>
  <si>
    <t>Thành Phố</t>
  </si>
  <si>
    <t>Ngày</t>
  </si>
  <si>
    <t>Khách hàng</t>
  </si>
  <si>
    <t>Tổng quan Bưu cục theo Sản lượng và Khối lượng</t>
  </si>
  <si>
    <t>Bưu Cục 10 Đường số 8-Q.Thủ Đức-HCM</t>
  </si>
  <si>
    <t>Bưu Cục 13 Đường Số 8-TP.Thủ Đức-HCM</t>
  </si>
  <si>
    <t>Sản lượng và Khối lượng (Shopee)</t>
  </si>
  <si>
    <t>(Multiple Items)</t>
  </si>
  <si>
    <t/>
  </si>
  <si>
    <t>Biển số</t>
  </si>
  <si>
    <t>Tải trọng</t>
  </si>
  <si>
    <t>Model</t>
  </si>
  <si>
    <t>Ngày nhận xe</t>
  </si>
  <si>
    <t>Khu vực</t>
  </si>
  <si>
    <t>Bộ phận quản lý</t>
  </si>
  <si>
    <t>Thể tích thùng</t>
  </si>
  <si>
    <t>Ngày cấp đăng kí xe</t>
  </si>
  <si>
    <t>Năm nhận xe</t>
  </si>
  <si>
    <t>Ngày hoạt động</t>
  </si>
  <si>
    <t>Số năm đã dùng</t>
  </si>
  <si>
    <t>Tình trạng xe</t>
  </si>
  <si>
    <t>Tình trạng</t>
  </si>
  <si>
    <t>Hạn BH vật chất</t>
  </si>
  <si>
    <t>Mã đăng kiểm</t>
  </si>
  <si>
    <t>Hạn đăng kiểm</t>
  </si>
  <si>
    <t>Hạn bảo hiểm dân sự</t>
  </si>
  <si>
    <t>Hạn phí đường bộ</t>
  </si>
  <si>
    <t>Hạn phù hiệu</t>
  </si>
  <si>
    <t>Hạn giấy đăng ký</t>
  </si>
  <si>
    <t>Số giấy đăng ký</t>
  </si>
  <si>
    <t>Số quản lý</t>
  </si>
  <si>
    <t>Tổng KM đã chạy</t>
  </si>
  <si>
    <t>Check</t>
  </si>
  <si>
    <t>Cảnh báo</t>
  </si>
  <si>
    <t>Ghi chú</t>
  </si>
  <si>
    <t>Đội xe</t>
  </si>
  <si>
    <t>51C86121</t>
  </si>
  <si>
    <t>Isuzu</t>
  </si>
  <si>
    <t>KA HCM</t>
  </si>
  <si>
    <t>09 Năm</t>
  </si>
  <si>
    <t>Cũ</t>
  </si>
  <si>
    <t>Thanh lý</t>
  </si>
  <si>
    <t>EA-0373834</t>
  </si>
  <si>
    <t>hết hạn</t>
  </si>
  <si>
    <t>Khách hàng lớn</t>
  </si>
  <si>
    <t>KA đang đề xuất thanh lý - Hết ĐK</t>
  </si>
  <si>
    <t>KHL</t>
  </si>
  <si>
    <t>51C86169</t>
  </si>
  <si>
    <t>EA-0597066</t>
  </si>
  <si>
    <t>51C86464</t>
  </si>
  <si>
    <t>EA-0315343</t>
  </si>
  <si>
    <t>51D18838</t>
  </si>
  <si>
    <t>08 Năm</t>
  </si>
  <si>
    <t>EB-0642177</t>
  </si>
  <si>
    <t>51D18863</t>
  </si>
  <si>
    <t>EA-0033016</t>
  </si>
  <si>
    <t>51D18890</t>
  </si>
  <si>
    <t>KA đề xuất thanh lý - Hết ĐK - phạt nguội</t>
  </si>
  <si>
    <t>50H00214</t>
  </si>
  <si>
    <t>LH HCM</t>
  </si>
  <si>
    <t>HCM20</t>
  </si>
  <si>
    <t>05 Năm</t>
  </si>
  <si>
    <t>Hoạt động</t>
  </si>
  <si>
    <t>EB-0640466</t>
  </si>
  <si>
    <t>6109D-002386</t>
  </si>
  <si>
    <t>Còn thời hạn</t>
  </si>
  <si>
    <t>KTC</t>
  </si>
  <si>
    <t>50H00217</t>
  </si>
  <si>
    <t>VA-0761491</t>
  </si>
  <si>
    <t>6109D-002378</t>
  </si>
  <si>
    <t>50H00226</t>
  </si>
  <si>
    <t>VA-0760774</t>
  </si>
  <si>
    <t>6109D-002385</t>
  </si>
  <si>
    <t>Dự án_P</t>
  </si>
  <si>
    <t>50H00233</t>
  </si>
  <si>
    <t>EA-1458573</t>
  </si>
  <si>
    <t>6109D-002391</t>
  </si>
  <si>
    <t>Chưa điền</t>
  </si>
  <si>
    <t>50H00237</t>
  </si>
  <si>
    <t>6109D-002394</t>
  </si>
  <si>
    <t>50H00241</t>
  </si>
  <si>
    <t>EA-1458539</t>
  </si>
  <si>
    <t>6109D-002398</t>
  </si>
  <si>
    <t>50H00252</t>
  </si>
  <si>
    <t>Đồng Nai</t>
  </si>
  <si>
    <t>6109D-002401</t>
  </si>
  <si>
    <t>50H00258</t>
  </si>
  <si>
    <t>6109D-002399</t>
  </si>
  <si>
    <t>50H00262</t>
  </si>
  <si>
    <t>EA-1458490</t>
  </si>
  <si>
    <t>6109D-002402</t>
  </si>
  <si>
    <t>50H00268</t>
  </si>
  <si>
    <t>EA-2135551</t>
  </si>
  <si>
    <t>6109D-002382</t>
  </si>
  <si>
    <t>50H00269</t>
  </si>
  <si>
    <t>EA-2135691</t>
  </si>
  <si>
    <t>6109D-002376</t>
  </si>
  <si>
    <t>50H00273</t>
  </si>
  <si>
    <t>6109D-002403</t>
  </si>
  <si>
    <t>50H00274</t>
  </si>
  <si>
    <t>VA-1178766</t>
  </si>
  <si>
    <t>6109D-002400</t>
  </si>
  <si>
    <t>50H00277</t>
  </si>
  <si>
    <t>EB-0640479</t>
  </si>
  <si>
    <t>6109D-002388</t>
  </si>
  <si>
    <t>50H00287</t>
  </si>
  <si>
    <t>6109D-002396</t>
  </si>
  <si>
    <t>50H00426</t>
  </si>
  <si>
    <t>6109D-002903</t>
  </si>
  <si>
    <t>50H00427</t>
  </si>
  <si>
    <t>6109D-002899</t>
  </si>
  <si>
    <t>50H00429</t>
  </si>
  <si>
    <t>6109D-002894</t>
  </si>
  <si>
    <t>50H00434</t>
  </si>
  <si>
    <t>VA-1810450</t>
  </si>
  <si>
    <t>6109D-002905</t>
  </si>
  <si>
    <t>50H00497</t>
  </si>
  <si>
    <t>6109D-002900</t>
  </si>
  <si>
    <t>50H00500</t>
  </si>
  <si>
    <t>6109D-002902</t>
  </si>
  <si>
    <t>50H00516</t>
  </si>
  <si>
    <t>6109D-002893</t>
  </si>
  <si>
    <t>50H00525</t>
  </si>
  <si>
    <t>6109D-002888</t>
  </si>
  <si>
    <t>Sắp đến hạn</t>
  </si>
  <si>
    <t>50H00544</t>
  </si>
  <si>
    <t>6109D-002885</t>
  </si>
  <si>
    <t>50H00576</t>
  </si>
  <si>
    <t>6109D-002901</t>
  </si>
  <si>
    <t>50H00630</t>
  </si>
  <si>
    <t>VA-3939663</t>
  </si>
  <si>
    <t>6109D-002908</t>
  </si>
  <si>
    <t>50H00653</t>
  </si>
  <si>
    <t>6109D-002890</t>
  </si>
  <si>
    <t>50H00656</t>
  </si>
  <si>
    <t>VB-0660279</t>
  </si>
  <si>
    <t>6109D-002889</t>
  </si>
  <si>
    <t>50H00674</t>
  </si>
  <si>
    <t>EB-0010950</t>
  </si>
  <si>
    <t>6109D-002906</t>
  </si>
  <si>
    <t>50H00769</t>
  </si>
  <si>
    <t>VA-1812442</t>
  </si>
  <si>
    <t>6109D-002887</t>
  </si>
  <si>
    <t>50H00776</t>
  </si>
  <si>
    <t>6109D-002907</t>
  </si>
  <si>
    <t>50H00779</t>
  </si>
  <si>
    <t>VA-2212961</t>
  </si>
  <si>
    <t>6109D-002892</t>
  </si>
  <si>
    <t>50H00795</t>
  </si>
  <si>
    <t>VA-3939797</t>
  </si>
  <si>
    <t>6109D-002904</t>
  </si>
  <si>
    <t>50H04450</t>
  </si>
  <si>
    <t>VA-2888423</t>
  </si>
  <si>
    <t>6112D-001356</t>
  </si>
  <si>
    <t>50H04486</t>
  </si>
  <si>
    <t>VA-2888920</t>
  </si>
  <si>
    <t>6112D-001374</t>
  </si>
  <si>
    <t>50H04508</t>
  </si>
  <si>
    <t>EC-0040250</t>
  </si>
  <si>
    <t>6109D-004266</t>
  </si>
  <si>
    <t>50H04525</t>
  </si>
  <si>
    <t>VA-2889518</t>
  </si>
  <si>
    <t>6109D-004258</t>
  </si>
  <si>
    <t>50H04559</t>
  </si>
  <si>
    <t>VA-2889219</t>
  </si>
  <si>
    <t>6109D-004263</t>
  </si>
  <si>
    <t>50H04575</t>
  </si>
  <si>
    <t>VA-2892497</t>
  </si>
  <si>
    <t>6109D-004267</t>
  </si>
  <si>
    <t>50H04585</t>
  </si>
  <si>
    <t>VA-2887865</t>
  </si>
  <si>
    <t>6109D-004257</t>
  </si>
  <si>
    <t>50H04608</t>
  </si>
  <si>
    <t>VA-2888668</t>
  </si>
  <si>
    <t>6112D-001359</t>
  </si>
  <si>
    <t>50H04636</t>
  </si>
  <si>
    <t>VA-3514021</t>
  </si>
  <si>
    <t>6109D-004259</t>
  </si>
  <si>
    <t>50H04653</t>
  </si>
  <si>
    <t>VA-2888643</t>
  </si>
  <si>
    <t>6112D-001364</t>
  </si>
  <si>
    <t>Nứt kính lái cần làm BH</t>
  </si>
  <si>
    <t>50H04657</t>
  </si>
  <si>
    <t>VA-3513595</t>
  </si>
  <si>
    <t>6112D-001361</t>
  </si>
  <si>
    <t>50H04676</t>
  </si>
  <si>
    <t>VB-0658884</t>
  </si>
  <si>
    <t>6109D-004260</t>
  </si>
  <si>
    <t>50H04700</t>
  </si>
  <si>
    <t>VA-2888222</t>
  </si>
  <si>
    <t>6109D-004261</t>
  </si>
  <si>
    <t>50H04707</t>
  </si>
  <si>
    <t>VA-2889200</t>
  </si>
  <si>
    <t>6109D-004256</t>
  </si>
  <si>
    <t>50H04709</t>
  </si>
  <si>
    <t>VA-2889013</t>
  </si>
  <si>
    <t>6109D-004262</t>
  </si>
  <si>
    <t>50H04765</t>
  </si>
  <si>
    <t>EB-1318033</t>
  </si>
  <si>
    <t>6112D-001371</t>
  </si>
  <si>
    <t>50H04768</t>
  </si>
  <si>
    <t>VA-2888023</t>
  </si>
  <si>
    <t>6112D-001360</t>
  </si>
  <si>
    <t>50H04769</t>
  </si>
  <si>
    <t>6112D-001362</t>
  </si>
  <si>
    <t>50H04771</t>
  </si>
  <si>
    <t>VA-2887591</t>
  </si>
  <si>
    <t>6112D-001354</t>
  </si>
  <si>
    <t>50H04790</t>
  </si>
  <si>
    <t>VB-0658796</t>
  </si>
  <si>
    <t>6112D-001370</t>
  </si>
  <si>
    <t>50H04795</t>
  </si>
  <si>
    <t>VA-2888690</t>
  </si>
  <si>
    <t>6109D-004399</t>
  </si>
  <si>
    <t>50H04840</t>
  </si>
  <si>
    <t>6112D-001355</t>
  </si>
  <si>
    <t>50H04841</t>
  </si>
  <si>
    <t>VA-2892531</t>
  </si>
  <si>
    <t>6109D-004395</t>
  </si>
  <si>
    <t>50H04857</t>
  </si>
  <si>
    <t>VA-2889105</t>
  </si>
  <si>
    <t>6112D-001373</t>
  </si>
  <si>
    <t>50H04863</t>
  </si>
  <si>
    <t>EB-0378101</t>
  </si>
  <si>
    <t>6109D-004390</t>
  </si>
  <si>
    <t>50H04868</t>
  </si>
  <si>
    <t>VA-1178644</t>
  </si>
  <si>
    <t>6109D-004397</t>
  </si>
  <si>
    <t>50H04876</t>
  </si>
  <si>
    <t>EB-0378095</t>
  </si>
  <si>
    <t>6112D-001369</t>
  </si>
  <si>
    <t>50H04880</t>
  </si>
  <si>
    <t>6112D-001363</t>
  </si>
  <si>
    <t>51D49379</t>
  </si>
  <si>
    <t>04 Năm</t>
  </si>
  <si>
    <t>VA-1177775</t>
  </si>
  <si>
    <t>5005V-098366</t>
  </si>
  <si>
    <t>51D60023</t>
  </si>
  <si>
    <t>VA-1812979</t>
  </si>
  <si>
    <t>5005V-098704</t>
  </si>
  <si>
    <t>51D60113</t>
  </si>
  <si>
    <t>VA-1180395</t>
  </si>
  <si>
    <t>5005V-098702</t>
  </si>
  <si>
    <t>51D60173</t>
  </si>
  <si>
    <t>5005V-098701</t>
  </si>
  <si>
    <t>51D49024</t>
  </si>
  <si>
    <t>51D49028</t>
  </si>
  <si>
    <t>EA-0890440</t>
  </si>
  <si>
    <t>51D49123</t>
  </si>
  <si>
    <t>EA-0890441</t>
  </si>
  <si>
    <t>51D49139</t>
  </si>
  <si>
    <t>51D49165</t>
  </si>
  <si>
    <t>51D49310</t>
  </si>
  <si>
    <t>EA-0886605</t>
  </si>
  <si>
    <t>51D49311</t>
  </si>
  <si>
    <t>EA-0866572</t>
  </si>
  <si>
    <t>51D49332</t>
  </si>
  <si>
    <t>51D49338</t>
  </si>
  <si>
    <t>EA-0890553</t>
  </si>
  <si>
    <t>51D49438</t>
  </si>
  <si>
    <t>EA-0886383</t>
  </si>
  <si>
    <t>51D60095</t>
  </si>
  <si>
    <t>EA-0032969</t>
  </si>
  <si>
    <t>5005V-098703</t>
  </si>
  <si>
    <t>51D60181</t>
  </si>
  <si>
    <t>KD-7067440</t>
  </si>
  <si>
    <t>50H16784</t>
  </si>
  <si>
    <t>03 Năm</t>
  </si>
  <si>
    <t>VB-0659518</t>
  </si>
  <si>
    <t>5005V-253732</t>
  </si>
  <si>
    <t>50H16816</t>
  </si>
  <si>
    <t>EB-0497633</t>
  </si>
  <si>
    <t>5005V-253748</t>
  </si>
  <si>
    <t>50H16712</t>
  </si>
  <si>
    <t>VB-0876662</t>
  </si>
  <si>
    <t>5005V-253731</t>
  </si>
  <si>
    <t>50H16581</t>
  </si>
  <si>
    <t>VB-0659755</t>
  </si>
  <si>
    <t>5005V-253729</t>
  </si>
  <si>
    <t>50H16599</t>
  </si>
  <si>
    <t>VB-0659491</t>
  </si>
  <si>
    <t>5005V-253734</t>
  </si>
  <si>
    <t>50H16697</t>
  </si>
  <si>
    <t>VB-0660316</t>
  </si>
  <si>
    <t>5005V-253749</t>
  </si>
  <si>
    <t>50H16831</t>
  </si>
  <si>
    <t>EB-0497648</t>
  </si>
  <si>
    <t>5005V-253750</t>
  </si>
  <si>
    <t>50H16671</t>
  </si>
  <si>
    <t>VB-0659784</t>
  </si>
  <si>
    <t>5005V-253756</t>
  </si>
  <si>
    <t>50H16775</t>
  </si>
  <si>
    <t>EB-0497654</t>
  </si>
  <si>
    <t>5005V-253753</t>
  </si>
  <si>
    <t>50H16804</t>
  </si>
  <si>
    <t>VB-0659783</t>
  </si>
  <si>
    <t>5005V-253752</t>
  </si>
  <si>
    <t>50H16847</t>
  </si>
  <si>
    <t>EB-0120564</t>
  </si>
  <si>
    <t>5005V-253755</t>
  </si>
  <si>
    <t>50H16834</t>
  </si>
  <si>
    <t>VB-0385182</t>
  </si>
  <si>
    <t>5005V-253751</t>
  </si>
  <si>
    <t>50H16700</t>
  </si>
  <si>
    <t>VB-0659492</t>
  </si>
  <si>
    <t>5005V-253754</t>
  </si>
  <si>
    <t>50H16579</t>
  </si>
  <si>
    <t>Cần Thơ</t>
  </si>
  <si>
    <t>VB-0487046</t>
  </si>
  <si>
    <t>5005V-253757</t>
  </si>
  <si>
    <t>50H16663</t>
  </si>
  <si>
    <t>VB-0660297</t>
  </si>
  <si>
    <t>5005V-253733</t>
  </si>
  <si>
    <t>50H17037</t>
  </si>
  <si>
    <t>VB-0660080</t>
  </si>
  <si>
    <t>5005V-253872</t>
  </si>
  <si>
    <t>50H16957</t>
  </si>
  <si>
    <t>VB-0659716</t>
  </si>
  <si>
    <t>5005V-253838</t>
  </si>
  <si>
    <t>50H16962</t>
  </si>
  <si>
    <t>VB-0877049</t>
  </si>
  <si>
    <t>5005V-253874</t>
  </si>
  <si>
    <t>50H16649</t>
  </si>
  <si>
    <t>VB-0660267</t>
  </si>
  <si>
    <t>50 136854</t>
  </si>
  <si>
    <t>5005V-253812</t>
  </si>
  <si>
    <t>50H18471</t>
  </si>
  <si>
    <t>VA-1824550</t>
  </si>
  <si>
    <t>5005V-254016</t>
  </si>
  <si>
    <t>50H18696</t>
  </si>
  <si>
    <t>EA-0882864</t>
  </si>
  <si>
    <t>5005V-254022</t>
  </si>
  <si>
    <t>50H18416</t>
  </si>
  <si>
    <t>5005V-254021</t>
  </si>
  <si>
    <t>50H18684</t>
  </si>
  <si>
    <t>EA-0882860</t>
  </si>
  <si>
    <t>5005V-254018</t>
  </si>
  <si>
    <t>50H18528</t>
  </si>
  <si>
    <t>5005V-254019</t>
  </si>
  <si>
    <t>50H18551</t>
  </si>
  <si>
    <t>5005V-254020</t>
  </si>
  <si>
    <t>50H18509</t>
  </si>
  <si>
    <t>EA-0882866</t>
  </si>
  <si>
    <t>5005V-254012</t>
  </si>
  <si>
    <t>50H18597</t>
  </si>
  <si>
    <t>5005V-254025</t>
  </si>
  <si>
    <t>50H18483</t>
  </si>
  <si>
    <t>VA-1813405</t>
  </si>
  <si>
    <t>5005V-254013</t>
  </si>
  <si>
    <t>50H18639</t>
  </si>
  <si>
    <t>EA-0882863</t>
  </si>
  <si>
    <t>5005V-254015</t>
  </si>
  <si>
    <t>50H18644</t>
  </si>
  <si>
    <t>EA-0882869</t>
  </si>
  <si>
    <t>5005V-254011</t>
  </si>
  <si>
    <t>50H23179</t>
  </si>
  <si>
    <t>Hino</t>
  </si>
  <si>
    <t>02 Năm</t>
  </si>
  <si>
    <t>50 001043</t>
  </si>
  <si>
    <t>6112D-026726</t>
  </si>
  <si>
    <t>50H26632</t>
  </si>
  <si>
    <t>50 000815</t>
  </si>
  <si>
    <t>6112D-026599</t>
  </si>
  <si>
    <t>50H25714</t>
  </si>
  <si>
    <t>SC bảo hiểm</t>
  </si>
  <si>
    <t>50 000817</t>
  </si>
  <si>
    <t>6112D-026601</t>
  </si>
  <si>
    <t>Tai nạn</t>
  </si>
  <si>
    <t>50H25993</t>
  </si>
  <si>
    <t>EB-0011404</t>
  </si>
  <si>
    <t>50 000813</t>
  </si>
  <si>
    <t>6112D-026602</t>
  </si>
  <si>
    <t>50H26103</t>
  </si>
  <si>
    <t>EB-0011408</t>
  </si>
  <si>
    <t>6112D-026604</t>
  </si>
  <si>
    <t>50H26085</t>
  </si>
  <si>
    <t>EB-0011508</t>
  </si>
  <si>
    <t>6112D-026607</t>
  </si>
  <si>
    <t>50H26552</t>
  </si>
  <si>
    <t>6112D-026606</t>
  </si>
  <si>
    <t>50H26168</t>
  </si>
  <si>
    <t>EB-0011511</t>
  </si>
  <si>
    <t>6112D-026728</t>
  </si>
  <si>
    <t>50H26428</t>
  </si>
  <si>
    <t>EB-0011509</t>
  </si>
  <si>
    <t>50 001114</t>
  </si>
  <si>
    <t>6112D-026722</t>
  </si>
  <si>
    <t>50H25975</t>
  </si>
  <si>
    <t>VA-1812318</t>
  </si>
  <si>
    <t>50 000919</t>
  </si>
  <si>
    <t>6112D-026729</t>
  </si>
  <si>
    <t>50H25917</t>
  </si>
  <si>
    <t>VA-1814908</t>
  </si>
  <si>
    <t>50 001045</t>
  </si>
  <si>
    <t>6112D-026721</t>
  </si>
  <si>
    <t>50H26517</t>
  </si>
  <si>
    <t>VA-1814950</t>
  </si>
  <si>
    <t>50 001042</t>
  </si>
  <si>
    <t>6112D-026723</t>
  </si>
  <si>
    <t>50H26481</t>
  </si>
  <si>
    <t>EB-0011694</t>
  </si>
  <si>
    <t>6112D-026951</t>
  </si>
  <si>
    <t>50H26016</t>
  </si>
  <si>
    <t>VA-1810989</t>
  </si>
  <si>
    <t>50 001096</t>
  </si>
  <si>
    <t>6112D-026720</t>
  </si>
  <si>
    <t>50H26261</t>
  </si>
  <si>
    <t>EB-0011512</t>
  </si>
  <si>
    <t>50 000995</t>
  </si>
  <si>
    <t>50H26441</t>
  </si>
  <si>
    <t>EB-0011513</t>
  </si>
  <si>
    <t>6112D-026727</t>
  </si>
  <si>
    <t>50H26659</t>
  </si>
  <si>
    <t>6112D-026724</t>
  </si>
  <si>
    <t>50H26373</t>
  </si>
  <si>
    <t>EB-0011407</t>
  </si>
  <si>
    <t>50 000814</t>
  </si>
  <si>
    <t>6112D-026603</t>
  </si>
  <si>
    <t>50H26212</t>
  </si>
  <si>
    <t>EB-0011400</t>
  </si>
  <si>
    <t>50 000821</t>
  </si>
  <si>
    <t>6112D-026605</t>
  </si>
  <si>
    <t>50H26263</t>
  </si>
  <si>
    <t>EB-0011405</t>
  </si>
  <si>
    <t>50 000816</t>
  </si>
  <si>
    <t>6112D-026600</t>
  </si>
  <si>
    <t>50H55573</t>
  </si>
  <si>
    <t>Gaz Ellie</t>
  </si>
  <si>
    <t>01 Năm</t>
  </si>
  <si>
    <t>Mới</t>
  </si>
  <si>
    <t>EB-1050272</t>
  </si>
  <si>
    <t>6109D-022092</t>
  </si>
  <si>
    <t>50H49500</t>
  </si>
  <si>
    <t>EB-1050274</t>
  </si>
  <si>
    <t>50 113193</t>
  </si>
  <si>
    <t>6109D-022090</t>
  </si>
  <si>
    <t>50H55421</t>
  </si>
  <si>
    <t>EB-1050273</t>
  </si>
  <si>
    <t>6109D-022091</t>
  </si>
  <si>
    <t>50H55943</t>
  </si>
  <si>
    <t>KIA K200</t>
  </si>
  <si>
    <t>50H55316</t>
  </si>
  <si>
    <t>50H54728</t>
  </si>
  <si>
    <t>50H55165</t>
  </si>
  <si>
    <t>50H80556</t>
  </si>
  <si>
    <t>EB-1333799</t>
  </si>
  <si>
    <t>6112D-056520</t>
  </si>
  <si>
    <t>50H80151</t>
  </si>
  <si>
    <t>EB-1333791</t>
  </si>
  <si>
    <t>6112D-056513</t>
  </si>
  <si>
    <t>50H80716</t>
  </si>
  <si>
    <t>EB-1333785</t>
  </si>
  <si>
    <t>6112D-056511</t>
  </si>
  <si>
    <t>Dự án_S</t>
  </si>
  <si>
    <t>50H80422</t>
  </si>
  <si>
    <t>EB-1333798</t>
  </si>
  <si>
    <t>6112D-056518</t>
  </si>
  <si>
    <t>50H80282</t>
  </si>
  <si>
    <t>EB-1333806</t>
  </si>
  <si>
    <t>6112D-056526</t>
  </si>
  <si>
    <t>50H80860</t>
  </si>
  <si>
    <t>EB-1333803</t>
  </si>
  <si>
    <t>6112D-056523</t>
  </si>
  <si>
    <t>50H80673</t>
  </si>
  <si>
    <t>EB-1333796</t>
  </si>
  <si>
    <t>6112D-056510</t>
  </si>
  <si>
    <t>50H80219</t>
  </si>
  <si>
    <t>EB-1333805</t>
  </si>
  <si>
    <t>6112D-056525</t>
  </si>
  <si>
    <t>50H79720</t>
  </si>
  <si>
    <t>EB-1333801</t>
  </si>
  <si>
    <t>6112D-056521</t>
  </si>
  <si>
    <t>50H80311</t>
  </si>
  <si>
    <t>EB-1333783</t>
  </si>
  <si>
    <t>6112D-056508</t>
  </si>
  <si>
    <t>50H88387</t>
  </si>
  <si>
    <t>EB-1334366</t>
  </si>
  <si>
    <t>6112D-057069</t>
  </si>
  <si>
    <t>50H89335</t>
  </si>
  <si>
    <t>EB-1334367</t>
  </si>
  <si>
    <t>6112D-057068</t>
  </si>
  <si>
    <t>50H87887</t>
  </si>
  <si>
    <t>EB-1334364</t>
  </si>
  <si>
    <t>6112D-057060</t>
  </si>
  <si>
    <t>50H87677</t>
  </si>
  <si>
    <t>EB-1334373</t>
  </si>
  <si>
    <t>6112D-057059</t>
  </si>
  <si>
    <t>50H87516</t>
  </si>
  <si>
    <t>EB-1334365</t>
  </si>
  <si>
    <t>6112D-057064</t>
  </si>
  <si>
    <t>50H71661</t>
  </si>
  <si>
    <t>EC-0257231</t>
  </si>
  <si>
    <t>6109D-030597</t>
  </si>
  <si>
    <t>50H80662</t>
  </si>
  <si>
    <t>EC-0257229</t>
  </si>
  <si>
    <t>6109D-030595</t>
  </si>
  <si>
    <t>50H80225</t>
  </si>
  <si>
    <t>EC-0257227</t>
  </si>
  <si>
    <t>6109D-030593</t>
  </si>
  <si>
    <t>50H80163</t>
  </si>
  <si>
    <t>EC-0257225</t>
  </si>
  <si>
    <t>6109D-030591</t>
  </si>
  <si>
    <t>50H80918</t>
  </si>
  <si>
    <t>EC-0257226</t>
  </si>
  <si>
    <t>6109D-030592</t>
  </si>
  <si>
    <t>50H79844</t>
  </si>
  <si>
    <t>EC-0257228</t>
  </si>
  <si>
    <t>6109D-030594</t>
  </si>
  <si>
    <t>50H79285</t>
  </si>
  <si>
    <t>EC-0257230</t>
  </si>
  <si>
    <t>6109D-030596</t>
  </si>
  <si>
    <t>50H89107</t>
  </si>
  <si>
    <t>00.Dưới 01 năm</t>
  </si>
  <si>
    <t>EB-1335042</t>
  </si>
  <si>
    <t>6112D-057789</t>
  </si>
  <si>
    <t>50H89332</t>
  </si>
  <si>
    <t>EB-1335048</t>
  </si>
  <si>
    <t>6112D-057794</t>
  </si>
  <si>
    <t>50H88480</t>
  </si>
  <si>
    <t>EB-1335047</t>
  </si>
  <si>
    <t>6112D-057793</t>
  </si>
  <si>
    <t>50H88155</t>
  </si>
  <si>
    <t>EB-1335040</t>
  </si>
  <si>
    <t>6112D-057788</t>
  </si>
  <si>
    <t>50H87695</t>
  </si>
  <si>
    <t>EB-1335043</t>
  </si>
  <si>
    <t>6112D-057790</t>
  </si>
  <si>
    <t>50H87147</t>
  </si>
  <si>
    <t>EB-1335046</t>
  </si>
  <si>
    <t>6112D-057792</t>
  </si>
  <si>
    <t>50H89800</t>
  </si>
  <si>
    <t>EB-1335044</t>
  </si>
  <si>
    <t>6112D-057791</t>
  </si>
  <si>
    <t>50H88749</t>
  </si>
  <si>
    <t>EB-1335245</t>
  </si>
  <si>
    <t>6112D-057995</t>
  </si>
  <si>
    <t>50H89034</t>
  </si>
  <si>
    <t>EB-1335242</t>
  </si>
  <si>
    <t>6112D-057993</t>
  </si>
  <si>
    <t>50H88172</t>
  </si>
  <si>
    <t>EB-1335250</t>
  </si>
  <si>
    <t>6112D-058000</t>
  </si>
  <si>
    <t>50H88552</t>
  </si>
  <si>
    <t>EB-1335243</t>
  </si>
  <si>
    <t>6112D-057994</t>
  </si>
  <si>
    <t>50H88778</t>
  </si>
  <si>
    <t>EB-1335241</t>
  </si>
  <si>
    <t>6112D-057992</t>
  </si>
  <si>
    <t>50H86903</t>
  </si>
  <si>
    <t>EB-1335248</t>
  </si>
  <si>
    <t>6112D-057998</t>
  </si>
  <si>
    <t>50H89883</t>
  </si>
  <si>
    <t>EB-1335249</t>
  </si>
  <si>
    <t>6112D-057999</t>
  </si>
  <si>
    <t>50H89348</t>
  </si>
  <si>
    <t>EB-1335247</t>
  </si>
  <si>
    <t>6112D-057997</t>
  </si>
  <si>
    <t>50H87502</t>
  </si>
  <si>
    <t>EB-1335246</t>
  </si>
  <si>
    <t>6112D-057996</t>
  </si>
  <si>
    <t>50H86933</t>
  </si>
  <si>
    <t>EB-1335520</t>
  </si>
  <si>
    <t>6112D-058243</t>
  </si>
  <si>
    <t>50H83782</t>
  </si>
  <si>
    <t>EB-1335509</t>
  </si>
  <si>
    <t>6112D-058240</t>
  </si>
  <si>
    <t>50H88758</t>
  </si>
  <si>
    <t>EB-1335519</t>
  </si>
  <si>
    <t>6112D-058242</t>
  </si>
  <si>
    <t>50H89535</t>
  </si>
  <si>
    <t>EB-1335506</t>
  </si>
  <si>
    <t>6112D-058235</t>
  </si>
  <si>
    <t>50H87206</t>
  </si>
  <si>
    <t>EB-1335518</t>
  </si>
  <si>
    <t>6112D-058241</t>
  </si>
  <si>
    <t>50H87425</t>
  </si>
  <si>
    <t>EB-1335507</t>
  </si>
  <si>
    <t>6112D-058238</t>
  </si>
  <si>
    <t>50H88052</t>
  </si>
  <si>
    <t>EB-1335511</t>
  </si>
  <si>
    <t>6112D-058244</t>
  </si>
  <si>
    <t>50H89512</t>
  </si>
  <si>
    <t>EB-1335508</t>
  </si>
  <si>
    <t>6112D-058239</t>
  </si>
  <si>
    <t>50H93902</t>
  </si>
  <si>
    <t>EC-0257836</t>
  </si>
  <si>
    <t>6109D-031124</t>
  </si>
  <si>
    <t>50H93292</t>
  </si>
  <si>
    <t>EC-0257830</t>
  </si>
  <si>
    <t>6109D-031130</t>
  </si>
  <si>
    <t>50H92863</t>
  </si>
  <si>
    <t>EC-0257829</t>
  </si>
  <si>
    <t>6109D-031131</t>
  </si>
  <si>
    <t>50H93585</t>
  </si>
  <si>
    <t>EC-0257833</t>
  </si>
  <si>
    <t>6109D-031127</t>
  </si>
  <si>
    <t>50H93136</t>
  </si>
  <si>
    <t>EC-0257832</t>
  </si>
  <si>
    <t>6109D-031128</t>
  </si>
  <si>
    <t>50H93542</t>
  </si>
  <si>
    <t>EC-0257827</t>
  </si>
  <si>
    <t>6109D-031133</t>
  </si>
  <si>
    <t>50H93190</t>
  </si>
  <si>
    <t>EC-0257831</t>
  </si>
  <si>
    <t>6109D-031129</t>
  </si>
  <si>
    <t>50H93574</t>
  </si>
  <si>
    <t>EC-0257835</t>
  </si>
  <si>
    <t>6109D-031125</t>
  </si>
  <si>
    <t>50H93783</t>
  </si>
  <si>
    <t>EC-0257834</t>
  </si>
  <si>
    <t>6109D-031126</t>
  </si>
  <si>
    <t>50H93243</t>
  </si>
  <si>
    <t>EC-0257828</t>
  </si>
  <si>
    <t>6109D-031132</t>
  </si>
  <si>
    <t>50H94013</t>
  </si>
  <si>
    <t>VA-0518707</t>
  </si>
  <si>
    <t>6109D-031867</t>
  </si>
  <si>
    <t>50H94212</t>
  </si>
  <si>
    <t>VA-0518708</t>
  </si>
  <si>
    <t>6109D-031866</t>
  </si>
  <si>
    <t>50H93337</t>
  </si>
  <si>
    <t>VA-0518709</t>
  </si>
  <si>
    <t>6109D-031865</t>
  </si>
  <si>
    <t>50H94048</t>
  </si>
  <si>
    <t>VA-0518710</t>
  </si>
  <si>
    <t>6109D-031864</t>
  </si>
  <si>
    <t>50H93629</t>
  </si>
  <si>
    <t>VA-0518701</t>
  </si>
  <si>
    <t>6109D-031863</t>
  </si>
  <si>
    <t>50H93394</t>
  </si>
  <si>
    <t>VA-0518702</t>
  </si>
  <si>
    <t>6109D-031862</t>
  </si>
  <si>
    <t>50H93701</t>
  </si>
  <si>
    <t>VA-0518703</t>
  </si>
  <si>
    <t>6109D-031861</t>
  </si>
  <si>
    <t>50H94603</t>
  </si>
  <si>
    <t>VA-0518704</t>
  </si>
  <si>
    <t>6109D-031860</t>
  </si>
  <si>
    <t>50H94184</t>
  </si>
  <si>
    <t>VA-0518706</t>
  </si>
  <si>
    <t>6109D-031868</t>
  </si>
  <si>
    <t>50H94497</t>
  </si>
  <si>
    <t>VA-0518705</t>
  </si>
  <si>
    <t>6109D-031859</t>
  </si>
  <si>
    <t>50H87040</t>
  </si>
  <si>
    <t>EB-1336052</t>
  </si>
  <si>
    <t>6112D-058781</t>
  </si>
  <si>
    <t>50H84096</t>
  </si>
  <si>
    <t>EB-1336054</t>
  </si>
  <si>
    <t>6112D-058780</t>
  </si>
  <si>
    <t>50H88876</t>
  </si>
  <si>
    <t>EB-1336055</t>
  </si>
  <si>
    <t>6112D-058776</t>
  </si>
  <si>
    <t>50H87355</t>
  </si>
  <si>
    <t>EB-1336050</t>
  </si>
  <si>
    <t>6112D-058783</t>
  </si>
  <si>
    <t>50H88241</t>
  </si>
  <si>
    <t>EB-1336051</t>
  </si>
  <si>
    <t>6112D-058784</t>
  </si>
  <si>
    <t>50H77096</t>
  </si>
  <si>
    <t>EB-1336057</t>
  </si>
  <si>
    <t>6112D-058779</t>
  </si>
  <si>
    <t>50H87183</t>
  </si>
  <si>
    <t>EB-1336049</t>
  </si>
  <si>
    <t>6112D-058782</t>
  </si>
  <si>
    <t>50H89693</t>
  </si>
  <si>
    <t>EB-1336056</t>
  </si>
  <si>
    <t>6112D-058778</t>
  </si>
  <si>
    <t>50H89178</t>
  </si>
  <si>
    <t>VA-1325707</t>
  </si>
  <si>
    <t>6112D-060213</t>
  </si>
  <si>
    <t>50H88807</t>
  </si>
  <si>
    <t>VA-1325705</t>
  </si>
  <si>
    <t>6112D-060215</t>
  </si>
  <si>
    <t>50H88070</t>
  </si>
  <si>
    <t>VA-1325706</t>
  </si>
  <si>
    <t>6112D-060214</t>
  </si>
  <si>
    <t>50H88072</t>
  </si>
  <si>
    <t>VA-1325713</t>
  </si>
  <si>
    <t>6112D-060222</t>
  </si>
  <si>
    <t>50H88000</t>
  </si>
  <si>
    <t>VA-1325708</t>
  </si>
  <si>
    <t>6112D-060212</t>
  </si>
  <si>
    <t>50H88707</t>
  </si>
  <si>
    <t>VA-1325714</t>
  </si>
  <si>
    <t>6112D-060221</t>
  </si>
  <si>
    <t>50E21024</t>
  </si>
  <si>
    <t>VA-1326222</t>
  </si>
  <si>
    <t>6112D-060472</t>
  </si>
  <si>
    <t>50H69038</t>
  </si>
  <si>
    <t>VA-1325694</t>
  </si>
  <si>
    <t>6112D-060211</t>
  </si>
  <si>
    <t>50H70038</t>
  </si>
  <si>
    <t>VA-1325712</t>
  </si>
  <si>
    <t>6112D-060223</t>
  </si>
  <si>
    <t>50H66196</t>
  </si>
  <si>
    <t>VA-1325704</t>
  </si>
  <si>
    <t>6112D-060216</t>
  </si>
  <si>
    <t>50E22329</t>
  </si>
  <si>
    <t>VA-1326169</t>
  </si>
  <si>
    <t>6112D-060442</t>
  </si>
  <si>
    <t>50E22067</t>
  </si>
  <si>
    <t>VA-1326170</t>
  </si>
  <si>
    <t>6112D-060441</t>
  </si>
  <si>
    <t>50E21344</t>
  </si>
  <si>
    <t>VA-1326226</t>
  </si>
  <si>
    <t>6112D-060473</t>
  </si>
  <si>
    <t>50E21627</t>
  </si>
  <si>
    <t>VA-1326180</t>
  </si>
  <si>
    <t>6112D-060443</t>
  </si>
  <si>
    <t>50H70198</t>
  </si>
  <si>
    <t>VA-1325711</t>
  </si>
  <si>
    <t>6112D-060224</t>
  </si>
  <si>
    <t>50H94453</t>
  </si>
  <si>
    <t>VA-1087976</t>
  </si>
  <si>
    <t>6109D-032553</t>
  </si>
  <si>
    <t>50E19509</t>
  </si>
  <si>
    <t>VA-1087960</t>
  </si>
  <si>
    <t>6109D-032552</t>
  </si>
  <si>
    <t>50E18805</t>
  </si>
  <si>
    <t>VA-1087965</t>
  </si>
  <si>
    <t>6109D-032551</t>
  </si>
  <si>
    <t>50E18532</t>
  </si>
  <si>
    <t>VA-1087967</t>
  </si>
  <si>
    <t>6109D-032550</t>
  </si>
  <si>
    <t>50E19675</t>
  </si>
  <si>
    <t>VA-1087968</t>
  </si>
  <si>
    <t>6109D-032549</t>
  </si>
  <si>
    <t>50H93901</t>
  </si>
  <si>
    <t>VA-1087969</t>
  </si>
  <si>
    <t>6109D-032548</t>
  </si>
  <si>
    <t>50E19240</t>
  </si>
  <si>
    <t>VA-1087970</t>
  </si>
  <si>
    <t>6109D-032547</t>
  </si>
  <si>
    <t>50E20329</t>
  </si>
  <si>
    <t>VA-1087973</t>
  </si>
  <si>
    <t>6109D-032544</t>
  </si>
  <si>
    <t>50E19042</t>
  </si>
  <si>
    <t>VA-1087972</t>
  </si>
  <si>
    <t>6109D-032545</t>
  </si>
  <si>
    <t>50E20314</t>
  </si>
  <si>
    <t>VA-1087971</t>
  </si>
  <si>
    <t>6109D-032546</t>
  </si>
  <si>
    <t>50E21342</t>
  </si>
  <si>
    <t>VA-1328426</t>
  </si>
  <si>
    <t>6112D-061487</t>
  </si>
  <si>
    <t>50E21103</t>
  </si>
  <si>
    <t>VA-1328423</t>
  </si>
  <si>
    <t>6112D-061485</t>
  </si>
  <si>
    <t>50E21445</t>
  </si>
  <si>
    <t>VA-1328425</t>
  </si>
  <si>
    <t>6112D-061486</t>
  </si>
  <si>
    <t>50E21224</t>
  </si>
  <si>
    <t>VA-1328419</t>
  </si>
  <si>
    <t>6112D-061481</t>
  </si>
  <si>
    <t>50E21901</t>
  </si>
  <si>
    <t>VA-1328433</t>
  </si>
  <si>
    <t>6112D-061491</t>
  </si>
  <si>
    <t>50E21887</t>
  </si>
  <si>
    <t>VA-1328429</t>
  </si>
  <si>
    <t>6112D-061490</t>
  </si>
  <si>
    <t>50E21504</t>
  </si>
  <si>
    <t>VA-1328420</t>
  </si>
  <si>
    <t>6112D-061482</t>
  </si>
  <si>
    <t>50E20825</t>
  </si>
  <si>
    <t>VA-1328422</t>
  </si>
  <si>
    <t>6112D-061484</t>
  </si>
  <si>
    <t>50E20897</t>
  </si>
  <si>
    <t>VA-1328432</t>
  </si>
  <si>
    <t>6112D-061492</t>
  </si>
  <si>
    <t>50E35210</t>
  </si>
  <si>
    <t>VA-2024100</t>
  </si>
  <si>
    <t>6112D-062929</t>
  </si>
  <si>
    <t>50E35672</t>
  </si>
  <si>
    <t>VA-2024108</t>
  </si>
  <si>
    <t>6112D-062933</t>
  </si>
  <si>
    <t>50E36216</t>
  </si>
  <si>
    <t>VA-2024095</t>
  </si>
  <si>
    <t>6112D-062923</t>
  </si>
  <si>
    <t>50E34667</t>
  </si>
  <si>
    <t>VA-2024101</t>
  </si>
  <si>
    <t>6112D-062930</t>
  </si>
  <si>
    <t>50E34861</t>
  </si>
  <si>
    <t>VA-2024119</t>
  </si>
  <si>
    <t>6112D-062935</t>
  </si>
  <si>
    <t>50E35891</t>
  </si>
  <si>
    <t>VA-2024117</t>
  </si>
  <si>
    <t>6112D-062928</t>
  </si>
  <si>
    <t>50E36415</t>
  </si>
  <si>
    <t>VA-2024103</t>
  </si>
  <si>
    <t>6112D-062932</t>
  </si>
  <si>
    <t>Tên tuyến</t>
  </si>
  <si>
    <t>Tên kho</t>
  </si>
  <si>
    <t>Loại hình</t>
  </si>
  <si>
    <t>Tới điểm</t>
  </si>
  <si>
    <t>Rời điểm</t>
  </si>
  <si>
    <t>Km</t>
  </si>
  <si>
    <t>Xe GHN/NCC</t>
  </si>
  <si>
    <t>SG_CK1_101</t>
  </si>
  <si>
    <t>Kho Trung Chuyển Hồ Chí Minh 01</t>
  </si>
  <si>
    <t>Phân loại</t>
  </si>
  <si>
    <t>Huy Bảo Phát</t>
  </si>
  <si>
    <t>41.97</t>
  </si>
  <si>
    <t>5.76</t>
  </si>
  <si>
    <t>Bưu Cục 165A Nguyễn Văn Tạo-Nhà Bè-HCM</t>
  </si>
  <si>
    <t>24/04/2026 vận hành</t>
  </si>
  <si>
    <t>7.1</t>
  </si>
  <si>
    <t>3.9</t>
  </si>
  <si>
    <t>SG_CK1_102</t>
  </si>
  <si>
    <t>Minh Đăng Khoa</t>
  </si>
  <si>
    <t>38.2</t>
  </si>
  <si>
    <t>7.03</t>
  </si>
  <si>
    <t>7.75</t>
  </si>
  <si>
    <t>SG_CK1_103</t>
  </si>
  <si>
    <t>An Hợp Tín</t>
  </si>
  <si>
    <t>37.43</t>
  </si>
  <si>
    <t>4.29</t>
  </si>
  <si>
    <t>2.32</t>
  </si>
  <si>
    <t>SG_CK1_104</t>
  </si>
  <si>
    <t>Việt Phong</t>
  </si>
  <si>
    <t>35.29</t>
  </si>
  <si>
    <t>5.04</t>
  </si>
  <si>
    <t>3.52</t>
  </si>
  <si>
    <t>SG_CK1_105</t>
  </si>
  <si>
    <t>Lượt 4</t>
  </si>
  <si>
    <t>GHN</t>
  </si>
  <si>
    <t>31.92</t>
  </si>
  <si>
    <t>2.18</t>
  </si>
  <si>
    <t>0.81</t>
  </si>
  <si>
    <t>SG_CK1_106</t>
  </si>
  <si>
    <t>Quân Khang Phát</t>
  </si>
  <si>
    <t>27.18</t>
  </si>
  <si>
    <t>0.71</t>
  </si>
  <si>
    <t>2.86</t>
  </si>
  <si>
    <t>1.53</t>
  </si>
  <si>
    <t>SG_CK1_107</t>
  </si>
  <si>
    <t>32.13</t>
  </si>
  <si>
    <t>1.07</t>
  </si>
  <si>
    <t>6.73</t>
  </si>
  <si>
    <t>SG_CK1_108</t>
  </si>
  <si>
    <t>24.12</t>
  </si>
  <si>
    <t>2.28</t>
  </si>
  <si>
    <t>2.52</t>
  </si>
  <si>
    <t>0.52</t>
  </si>
  <si>
    <t>SG_CK1_109</t>
  </si>
  <si>
    <t>Châu Khôi</t>
  </si>
  <si>
    <t>27.12</t>
  </si>
  <si>
    <t>2.08</t>
  </si>
  <si>
    <t>SG_CK1_110</t>
  </si>
  <si>
    <t>24.13</t>
  </si>
  <si>
    <t>0.03</t>
  </si>
  <si>
    <t>1.91</t>
  </si>
  <si>
    <t>1.82</t>
  </si>
  <si>
    <t>SG_CK1_111</t>
  </si>
  <si>
    <t>32.66</t>
  </si>
  <si>
    <t>2.57</t>
  </si>
  <si>
    <t>3.48</t>
  </si>
  <si>
    <t>SG_CK1_112</t>
  </si>
  <si>
    <t>30.13</t>
  </si>
  <si>
    <t>1.88</t>
  </si>
  <si>
    <t>6.0</t>
  </si>
  <si>
    <t>30.4</t>
  </si>
  <si>
    <t>SG_CK1_113</t>
  </si>
  <si>
    <t>Vạn Lợi</t>
  </si>
  <si>
    <t>24.83</t>
  </si>
  <si>
    <t>8.42</t>
  </si>
  <si>
    <t>Giao và Lấy</t>
  </si>
  <si>
    <t>4.33</t>
  </si>
  <si>
    <t>30.3</t>
  </si>
  <si>
    <t>SG_CK1_114</t>
  </si>
  <si>
    <t>27.19</t>
  </si>
  <si>
    <t>2.65</t>
  </si>
  <si>
    <t>1.49</t>
  </si>
  <si>
    <t>SG_CK1_115</t>
  </si>
  <si>
    <t>22.38</t>
  </si>
  <si>
    <t>2.09</t>
  </si>
  <si>
    <t>0.35</t>
  </si>
  <si>
    <t>2.79</t>
  </si>
  <si>
    <t>SG_CK1_116</t>
  </si>
  <si>
    <t>22.29</t>
  </si>
  <si>
    <t>2.34</t>
  </si>
  <si>
    <t>22.2</t>
  </si>
  <si>
    <t>4.6</t>
  </si>
  <si>
    <t>1.9</t>
  </si>
  <si>
    <t>20.5</t>
  </si>
  <si>
    <t>SG_CK1_117</t>
  </si>
  <si>
    <t>27.77</t>
  </si>
  <si>
    <t>3.26</t>
  </si>
  <si>
    <t>2.73</t>
  </si>
  <si>
    <t>SG_CK1_118</t>
  </si>
  <si>
    <t>16.79</t>
  </si>
  <si>
    <t>6.47</t>
  </si>
  <si>
    <t>Bưu Cục 235 Hồ Ngọc Lãm-Q.Bình Tân-HCM</t>
  </si>
  <si>
    <t>6.8</t>
  </si>
  <si>
    <t>22.3</t>
  </si>
  <si>
    <t>SG_CK1_119</t>
  </si>
  <si>
    <t>22.69</t>
  </si>
  <si>
    <t>1.85</t>
  </si>
  <si>
    <t>3.54</t>
  </si>
  <si>
    <t>SG_CK1_120</t>
  </si>
  <si>
    <t>18.01</t>
  </si>
  <si>
    <t>0.01</t>
  </si>
  <si>
    <t>4.1</t>
  </si>
  <si>
    <t>1.04</t>
  </si>
  <si>
    <t>SG_CK1_121</t>
  </si>
  <si>
    <t>11.25</t>
  </si>
  <si>
    <t>13.79</t>
  </si>
  <si>
    <t>11.53</t>
  </si>
  <si>
    <t>SG_CK1_122</t>
  </si>
  <si>
    <t>5.74</t>
  </si>
  <si>
    <t>SG_CK1_123</t>
  </si>
  <si>
    <t>24.24</t>
  </si>
  <si>
    <t>9.09</t>
  </si>
  <si>
    <t>SG_CK1_124</t>
  </si>
  <si>
    <t>20.82</t>
  </si>
  <si>
    <t>2.21</t>
  </si>
  <si>
    <t>1.37</t>
  </si>
  <si>
    <t>SG_CK1_125</t>
  </si>
  <si>
    <t>21.61</t>
  </si>
  <si>
    <t>1.17</t>
  </si>
  <si>
    <t>1.54</t>
  </si>
  <si>
    <t>SG_CK1_126</t>
  </si>
  <si>
    <t>11.85</t>
  </si>
  <si>
    <t>7.08</t>
  </si>
  <si>
    <t>4.08</t>
  </si>
  <si>
    <t>SG_CK1_127</t>
  </si>
  <si>
    <t>14.23</t>
  </si>
  <si>
    <t>3.98</t>
  </si>
  <si>
    <t>SG_CK1_128</t>
  </si>
  <si>
    <t>21.12</t>
  </si>
  <si>
    <t>2.46</t>
  </si>
  <si>
    <t>1.52</t>
  </si>
  <si>
    <t>SG_CK1_129</t>
  </si>
  <si>
    <t>17.43</t>
  </si>
  <si>
    <t>4.3</t>
  </si>
  <si>
    <t>SG_CK1_130</t>
  </si>
  <si>
    <t>13.37</t>
  </si>
  <si>
    <t>4.67</t>
  </si>
  <si>
    <t>5.68</t>
  </si>
  <si>
    <t>SG_CK1_131</t>
  </si>
  <si>
    <t>19.24</t>
  </si>
  <si>
    <t>13.06</t>
  </si>
  <si>
    <t>SG_CK1_132</t>
  </si>
  <si>
    <t>7.34</t>
  </si>
  <si>
    <t>7.48</t>
  </si>
  <si>
    <t>2.24</t>
  </si>
  <si>
    <t>SG_CK1_133</t>
  </si>
  <si>
    <t>21.88</t>
  </si>
  <si>
    <t>9.21</t>
  </si>
  <si>
    <t>SG_CK2_101</t>
  </si>
  <si>
    <t>Giao và lấy</t>
  </si>
  <si>
    <t>4.57</t>
  </si>
  <si>
    <t>Kho Trung Chuyển Hồ Chí Minh 20</t>
  </si>
  <si>
    <t>44.15</t>
  </si>
  <si>
    <t>SG_CK2_102</t>
  </si>
  <si>
    <t>24.33</t>
  </si>
  <si>
    <t>SG_CK2_103</t>
  </si>
  <si>
    <t>29.5</t>
  </si>
  <si>
    <t>SG_CK2_104</t>
  </si>
  <si>
    <t>8.27</t>
  </si>
  <si>
    <t>26.96</t>
  </si>
  <si>
    <t>SG_CK2_105</t>
  </si>
  <si>
    <t>SG_CK2_106</t>
  </si>
  <si>
    <t>17.75</t>
  </si>
  <si>
    <t>SG_CK2_107</t>
  </si>
  <si>
    <t>23.04</t>
  </si>
  <si>
    <t>SG_CK2_108</t>
  </si>
  <si>
    <t>14.53</t>
  </si>
  <si>
    <t>SG_CK2_109</t>
  </si>
  <si>
    <t>14.1</t>
  </si>
  <si>
    <t>SG_CK2_110</t>
  </si>
  <si>
    <t>11.71</t>
  </si>
  <si>
    <t>SG_CK2_111</t>
  </si>
  <si>
    <t>15.21</t>
  </si>
  <si>
    <t>SG_CK2_112</t>
  </si>
  <si>
    <t>9:40 - 09:55</t>
  </si>
  <si>
    <t>10:05 - 10:15</t>
  </si>
  <si>
    <t>10:25 - 10:40</t>
  </si>
  <si>
    <t>10:50 - 11:00</t>
  </si>
  <si>
    <t>2.3</t>
  </si>
  <si>
    <t>12:00 - 12:20</t>
  </si>
  <si>
    <t>21.54</t>
  </si>
  <si>
    <t>SG_CK2_113</t>
  </si>
  <si>
    <t>5.34</t>
  </si>
  <si>
    <t>SG_CK2_114</t>
  </si>
  <si>
    <t>15.03</t>
  </si>
  <si>
    <t>SG_CK2_115</t>
  </si>
  <si>
    <t>7.63</t>
  </si>
  <si>
    <t>SG_CK2_116</t>
  </si>
  <si>
    <t>5.71</t>
  </si>
  <si>
    <t>8.14</t>
  </si>
  <si>
    <t>3.75</t>
  </si>
  <si>
    <t>SG_CK2_117</t>
  </si>
  <si>
    <t>2.77</t>
  </si>
  <si>
    <t>10.61</t>
  </si>
  <si>
    <t>SG_CK2_118</t>
  </si>
  <si>
    <t>6.55</t>
  </si>
  <si>
    <t>7.73</t>
  </si>
  <si>
    <t>SG_CK2_119</t>
  </si>
  <si>
    <t>2.88</t>
  </si>
  <si>
    <t>10.06</t>
  </si>
  <si>
    <t>SG_CK2_120</t>
  </si>
  <si>
    <t>0.98</t>
  </si>
  <si>
    <t>5.66</t>
  </si>
  <si>
    <t>SG_CK2_121</t>
  </si>
  <si>
    <t>12.37</t>
  </si>
  <si>
    <t>10.4</t>
  </si>
  <si>
    <t>SG_CK2_122</t>
  </si>
  <si>
    <t>19.94</t>
  </si>
  <si>
    <t>SG_CK2_123</t>
  </si>
  <si>
    <t>21.99</t>
  </si>
  <si>
    <t>SG_CK2_124</t>
  </si>
  <si>
    <t>5.32</t>
  </si>
  <si>
    <t>SG_CK2_125</t>
  </si>
  <si>
    <t>10.72</t>
  </si>
  <si>
    <t>SG_CK2_126</t>
  </si>
  <si>
    <t>3.99</t>
  </si>
  <si>
    <t>8.55</t>
  </si>
  <si>
    <t>SG_CK2_127</t>
  </si>
  <si>
    <t>6.38</t>
  </si>
  <si>
    <t>10.92</t>
  </si>
  <si>
    <t>SG_CK2_128</t>
  </si>
  <si>
    <t>2.35</t>
  </si>
  <si>
    <t>10.02</t>
  </si>
  <si>
    <t>SG_CK2_129</t>
  </si>
  <si>
    <t>4.94</t>
  </si>
  <si>
    <t>2.33</t>
  </si>
  <si>
    <t>SG_CK2_130</t>
  </si>
  <si>
    <t>3.38</t>
  </si>
  <si>
    <t>3.43</t>
  </si>
  <si>
    <t>SG_CK2_131</t>
  </si>
  <si>
    <t>13.76</t>
  </si>
  <si>
    <t>SG_CK2_132</t>
  </si>
  <si>
    <t>4.73</t>
  </si>
  <si>
    <t>SG_CK2_133</t>
  </si>
  <si>
    <t>9.23</t>
  </si>
  <si>
    <t>21.1</t>
  </si>
  <si>
    <t>SG_CA1_001</t>
  </si>
  <si>
    <t>Tự bàn giao</t>
  </si>
  <si>
    <t>20.2</t>
  </si>
  <si>
    <t>SG_CA1_002</t>
  </si>
  <si>
    <t>12.57</t>
  </si>
  <si>
    <t>SG_CA1_003</t>
  </si>
  <si>
    <t>10.2</t>
  </si>
  <si>
    <t>SG_CA1_004</t>
  </si>
  <si>
    <t>11.41</t>
  </si>
  <si>
    <t>SG_CA1_005</t>
  </si>
  <si>
    <t>14.12</t>
  </si>
  <si>
    <t>0.04</t>
  </si>
  <si>
    <t>SG_CA1_101</t>
  </si>
  <si>
    <t>Van</t>
  </si>
  <si>
    <t>SG_CA1_102</t>
  </si>
  <si>
    <t>2.96</t>
  </si>
  <si>
    <t>SG_CA1_103</t>
  </si>
  <si>
    <t>5.16</t>
  </si>
  <si>
    <t>SG_CA1_104</t>
  </si>
  <si>
    <t>6.2</t>
  </si>
  <si>
    <t>SG_CA1_105</t>
  </si>
  <si>
    <t>4.84</t>
  </si>
  <si>
    <t>SG_CA1_106</t>
  </si>
  <si>
    <t>Tự bàn giao (Hủy tự bàn giao)</t>
  </si>
  <si>
    <t>7.68</t>
  </si>
  <si>
    <t>SG_CA1_107</t>
  </si>
  <si>
    <t>7.58</t>
  </si>
  <si>
    <t>SG_CA1_108</t>
  </si>
  <si>
    <t>7.71</t>
  </si>
  <si>
    <t>SG_CA1_109</t>
  </si>
  <si>
    <t>9.54</t>
  </si>
  <si>
    <t>SG_CA1_110</t>
  </si>
  <si>
    <t>9.22</t>
  </si>
  <si>
    <t>SG_CA1_111</t>
  </si>
  <si>
    <t>89.35</t>
  </si>
  <si>
    <t>SG_CA1_112</t>
  </si>
  <si>
    <t>61.48</t>
  </si>
  <si>
    <t>SG_CA1_113</t>
  </si>
  <si>
    <t>15.64</t>
  </si>
  <si>
    <t>9.65</t>
  </si>
  <si>
    <t>SG_CA1_114</t>
  </si>
  <si>
    <t>24.62</t>
  </si>
  <si>
    <t>SG_CA1_115</t>
  </si>
  <si>
    <t>25.14</t>
  </si>
  <si>
    <t>SG_CA1_116</t>
  </si>
  <si>
    <t>11.4</t>
  </si>
  <si>
    <t>SG_CA1_117</t>
  </si>
  <si>
    <t>20.21</t>
  </si>
  <si>
    <t>SG_CA1_118</t>
  </si>
  <si>
    <t>10.41</t>
  </si>
  <si>
    <t>23.47</t>
  </si>
  <si>
    <t>SG_CA1_119</t>
  </si>
  <si>
    <t>18.69</t>
  </si>
  <si>
    <t>4.89</t>
  </si>
  <si>
    <t>SG_CA1_120</t>
  </si>
  <si>
    <t>13.78</t>
  </si>
  <si>
    <t>2.23</t>
  </si>
  <si>
    <t>SG_CA1_121</t>
  </si>
  <si>
    <t>26.4</t>
  </si>
  <si>
    <t>SG_CA1_122</t>
  </si>
  <si>
    <t>17.99</t>
  </si>
  <si>
    <t>2.05</t>
  </si>
  <si>
    <t>SG_CA1_123</t>
  </si>
  <si>
    <t>19.58</t>
  </si>
  <si>
    <t>7.5</t>
  </si>
  <si>
    <t>SG_CA1_124</t>
  </si>
  <si>
    <t>29.14</t>
  </si>
  <si>
    <t>SG_CA1_125</t>
  </si>
  <si>
    <t>SG_CA1_126</t>
  </si>
  <si>
    <t>SG_CA1_127</t>
  </si>
  <si>
    <t>20.73</t>
  </si>
  <si>
    <t>1.63</t>
  </si>
  <si>
    <t>SG_CA1_128</t>
  </si>
  <si>
    <t>13.25</t>
  </si>
  <si>
    <t>SG_CA1_129</t>
  </si>
  <si>
    <t>11.22</t>
  </si>
  <si>
    <t>1.95</t>
  </si>
  <si>
    <t>2.74</t>
  </si>
  <si>
    <t>SG_CA1_130</t>
  </si>
  <si>
    <t>OE THANH LÝ</t>
  </si>
  <si>
    <t>10.22</t>
  </si>
  <si>
    <t>1.58</t>
  </si>
  <si>
    <t>SG_CA1_131</t>
  </si>
  <si>
    <t>18.64</t>
  </si>
  <si>
    <t>SG_CA1_132</t>
  </si>
  <si>
    <t>20.23</t>
  </si>
  <si>
    <t>SG_CA1_133</t>
  </si>
  <si>
    <t>19.46</t>
  </si>
  <si>
    <t>SG_CA1_134</t>
  </si>
  <si>
    <t>12.8</t>
  </si>
  <si>
    <t>SG_CA1_135</t>
  </si>
  <si>
    <t>SG_CA1_136</t>
  </si>
  <si>
    <t>0.44</t>
  </si>
  <si>
    <t>SG_CA1_137</t>
  </si>
  <si>
    <t>17.27</t>
  </si>
  <si>
    <t>SG_CA1_138</t>
  </si>
  <si>
    <t>13.86</t>
  </si>
  <si>
    <t>2.5</t>
  </si>
  <si>
    <t>SG_CA1_139</t>
  </si>
  <si>
    <t>10.95</t>
  </si>
  <si>
    <t>SG_CA1_140</t>
  </si>
  <si>
    <t>8.76</t>
  </si>
  <si>
    <t>SG_CA1_141</t>
  </si>
  <si>
    <t>20.89</t>
  </si>
  <si>
    <t>SG_CA1_142</t>
  </si>
  <si>
    <t>13.56</t>
  </si>
  <si>
    <t>6.25</t>
  </si>
  <si>
    <t>SG_CA1_143</t>
  </si>
  <si>
    <t>23.67</t>
  </si>
  <si>
    <t>SG_CA1_144</t>
  </si>
  <si>
    <t>SG_CA1_145</t>
  </si>
  <si>
    <t>21.2</t>
  </si>
  <si>
    <t>SG_CA1_146</t>
  </si>
  <si>
    <t>13.87</t>
  </si>
  <si>
    <t>SG_CA1_147</t>
  </si>
  <si>
    <t>9.34</t>
  </si>
  <si>
    <t>2.71</t>
  </si>
  <si>
    <t>SG_CA1_148</t>
  </si>
  <si>
    <t>9.47</t>
  </si>
  <si>
    <t>2.61</t>
  </si>
  <si>
    <t>SG_CA1_149</t>
  </si>
  <si>
    <t>9.87</t>
  </si>
  <si>
    <t>SG_CA1_150</t>
  </si>
  <si>
    <t>10.45</t>
  </si>
  <si>
    <t>3.63</t>
  </si>
  <si>
    <t>SG_CA1_151</t>
  </si>
  <si>
    <t>15.65</t>
  </si>
  <si>
    <t>SG_CA1_152</t>
  </si>
  <si>
    <t>SG_CA1_153</t>
  </si>
  <si>
    <t>7.12</t>
  </si>
  <si>
    <t>2.43</t>
  </si>
  <si>
    <t>SG_CA1_154</t>
  </si>
  <si>
    <t>2.94</t>
  </si>
  <si>
    <t>5.62</t>
  </si>
  <si>
    <t>SG_CA1_155</t>
  </si>
  <si>
    <t>6.89</t>
  </si>
  <si>
    <t>2.37</t>
  </si>
  <si>
    <t>SG_CA1_156</t>
  </si>
  <si>
    <t>9.24</t>
  </si>
  <si>
    <t>1.86</t>
  </si>
  <si>
    <t>SG_CA1_157</t>
  </si>
  <si>
    <t>SG_CA1_158</t>
  </si>
  <si>
    <t>8.53</t>
  </si>
  <si>
    <t>4.88</t>
  </si>
  <si>
    <t>SG_CA1_159</t>
  </si>
  <si>
    <t>SG_CA1_160</t>
  </si>
  <si>
    <t>SG_CA1_201</t>
  </si>
  <si>
    <t>Ghép SG_CA1_101</t>
  </si>
  <si>
    <t>SG_CA1_202</t>
  </si>
  <si>
    <t>Ghép SG_CA1_102</t>
  </si>
  <si>
    <t>11.02</t>
  </si>
  <si>
    <t>SG_CA1_203</t>
  </si>
  <si>
    <t>Ghép SG_CA1_103</t>
  </si>
  <si>
    <t>SG_CA1_204</t>
  </si>
  <si>
    <t>Ghép SG_CA1_104</t>
  </si>
  <si>
    <t>SG_CA1_205</t>
  </si>
  <si>
    <t>Ghép SG_CA1_105</t>
  </si>
  <si>
    <t>9.18</t>
  </si>
  <si>
    <t>SG_CA1_206</t>
  </si>
  <si>
    <t>Ghép SG_CA1_106</t>
  </si>
  <si>
    <t>5.07</t>
  </si>
  <si>
    <t>3.37</t>
  </si>
  <si>
    <t>SG_CA1_207</t>
  </si>
  <si>
    <t>Ghép SG_CA1_107</t>
  </si>
  <si>
    <t>10.51</t>
  </si>
  <si>
    <t>Bưu Cục Chuyên Lấy 1162/6A Tỉnh Lộ 10-BÌnh Tân-HCM</t>
  </si>
  <si>
    <t>24.5</t>
  </si>
  <si>
    <t>SG_CA1_208</t>
  </si>
  <si>
    <t>Ghép SG_CA1_108</t>
  </si>
  <si>
    <t>5.41</t>
  </si>
  <si>
    <t>SG_CA1_209</t>
  </si>
  <si>
    <t>Ghép SG_CA1_109</t>
  </si>
  <si>
    <t>5.73</t>
  </si>
  <si>
    <t>SG_CA1_210</t>
  </si>
  <si>
    <t>Ghép SG_CA1_10</t>
  </si>
  <si>
    <t>6.13</t>
  </si>
  <si>
    <t>SG_CA1_211</t>
  </si>
  <si>
    <t>NCC</t>
  </si>
  <si>
    <t>Bưu Cục Hàng Vừa Vĩnh Lộc B-Bình Chánh-HCM</t>
  </si>
  <si>
    <t>6.6</t>
  </si>
  <si>
    <t>SG_CA2_100</t>
  </si>
  <si>
    <t>33.96</t>
  </si>
  <si>
    <t>33.87</t>
  </si>
  <si>
    <t>23.8</t>
  </si>
  <si>
    <t>44.43</t>
  </si>
  <si>
    <t>SG_CA2_101</t>
  </si>
  <si>
    <t>2.9</t>
  </si>
  <si>
    <t>43.85</t>
  </si>
  <si>
    <t>SG_CA2_102</t>
  </si>
  <si>
    <t>38.87</t>
  </si>
  <si>
    <t>SG_CA2_103</t>
  </si>
  <si>
    <t>20.07</t>
  </si>
  <si>
    <t>6.18</t>
  </si>
  <si>
    <t>6.63</t>
  </si>
  <si>
    <t>SG_CA2_104</t>
  </si>
  <si>
    <t>6.29</t>
  </si>
  <si>
    <t>39.72</t>
  </si>
  <si>
    <t>SG_CA2_105</t>
  </si>
  <si>
    <t>6.51</t>
  </si>
  <si>
    <t>SG_CA2_106</t>
  </si>
  <si>
    <t>19.88</t>
  </si>
  <si>
    <t>SG_CA2_107</t>
  </si>
  <si>
    <t>34.69</t>
  </si>
  <si>
    <t>SG_CA2_108</t>
  </si>
  <si>
    <t>5.5</t>
  </si>
  <si>
    <t>32.96</t>
  </si>
  <si>
    <t>SG_CA2_109</t>
  </si>
  <si>
    <t>3.74</t>
  </si>
  <si>
    <t>40.36</t>
  </si>
  <si>
    <t>SG_CA2_110</t>
  </si>
  <si>
    <t>4.35</t>
  </si>
  <si>
    <t>26.42</t>
  </si>
  <si>
    <t>SG_CA2_111</t>
  </si>
  <si>
    <t>23.83</t>
  </si>
  <si>
    <t>SG_CA2_112</t>
  </si>
  <si>
    <t>45.3</t>
  </si>
  <si>
    <t>SG_CA2_113</t>
  </si>
  <si>
    <t>3.66</t>
  </si>
  <si>
    <t>33.9</t>
  </si>
  <si>
    <t>SG_CA2_114</t>
  </si>
  <si>
    <t>10.19</t>
  </si>
  <si>
    <t>3.12</t>
  </si>
  <si>
    <t>6.28</t>
  </si>
  <si>
    <t>21.11</t>
  </si>
  <si>
    <t>SG_CA2_115</t>
  </si>
  <si>
    <t>40.92</t>
  </si>
  <si>
    <t>SG_CA2_116</t>
  </si>
  <si>
    <t>29.8</t>
  </si>
  <si>
    <t>SG_CA2_117</t>
  </si>
  <si>
    <t>30.83</t>
  </si>
  <si>
    <t>SG_CA2_118</t>
  </si>
  <si>
    <t>2.81</t>
  </si>
  <si>
    <t>33.32</t>
  </si>
  <si>
    <t>SG_CA2_119</t>
  </si>
  <si>
    <t>12.11</t>
  </si>
  <si>
    <t>1.79</t>
  </si>
  <si>
    <t>3.22</t>
  </si>
  <si>
    <t>22.89</t>
  </si>
  <si>
    <t>SG_CA2_120</t>
  </si>
  <si>
    <t>SG_CA2_121</t>
  </si>
  <si>
    <t>40.32</t>
  </si>
  <si>
    <t>SG_CA2_122</t>
  </si>
  <si>
    <t>5.12</t>
  </si>
  <si>
    <t>34.43</t>
  </si>
  <si>
    <t>SG_CA2_123</t>
  </si>
  <si>
    <t>36.34</t>
  </si>
  <si>
    <t>SG_CA2_124</t>
  </si>
  <si>
    <t>11.95</t>
  </si>
  <si>
    <t>5.97</t>
  </si>
  <si>
    <t>36.73</t>
  </si>
  <si>
    <t>SG_CA2_125</t>
  </si>
  <si>
    <t>7.51</t>
  </si>
  <si>
    <t>33.45</t>
  </si>
  <si>
    <t>SG_CA2_126</t>
  </si>
  <si>
    <t>29.91</t>
  </si>
  <si>
    <t>SG_CA2_127</t>
  </si>
  <si>
    <t>14.15</t>
  </si>
  <si>
    <t>4.37</t>
  </si>
  <si>
    <t>20.44</t>
  </si>
  <si>
    <t>SG_CA2_128</t>
  </si>
  <si>
    <t>4.02</t>
  </si>
  <si>
    <t>15.51</t>
  </si>
  <si>
    <t>SG_CA2_129</t>
  </si>
  <si>
    <t>30.6</t>
  </si>
  <si>
    <t>SG_CA2_130</t>
  </si>
  <si>
    <t>10.15</t>
  </si>
  <si>
    <t>4.34</t>
  </si>
  <si>
    <t>27.3</t>
  </si>
  <si>
    <t>SG_CA2_131</t>
  </si>
  <si>
    <t>2.42</t>
  </si>
  <si>
    <t>22.48</t>
  </si>
  <si>
    <t>SG_CA2_132</t>
  </si>
  <si>
    <t>27.85</t>
  </si>
  <si>
    <t>SG_CA2_133</t>
  </si>
  <si>
    <t>13.35</t>
  </si>
  <si>
    <t>SG_CA2_134</t>
  </si>
  <si>
    <t>3.88</t>
  </si>
  <si>
    <t>23.54</t>
  </si>
  <si>
    <t>SG_CA2_135</t>
  </si>
  <si>
    <t>17.35</t>
  </si>
  <si>
    <t>SG_CA2_136</t>
  </si>
  <si>
    <t>5.35</t>
  </si>
  <si>
    <t>4.79</t>
  </si>
  <si>
    <t>20.52</t>
  </si>
  <si>
    <t>SG_CA2_137</t>
  </si>
  <si>
    <t>17.26</t>
  </si>
  <si>
    <t>SG_CA2_138</t>
  </si>
  <si>
    <t>1.55</t>
  </si>
  <si>
    <t>33.25</t>
  </si>
  <si>
    <t>SG_CA2_139</t>
  </si>
  <si>
    <t>SG_CA2_140</t>
  </si>
  <si>
    <t>26.52</t>
  </si>
  <si>
    <t>SG_CA2_141</t>
  </si>
  <si>
    <t>26.07</t>
  </si>
  <si>
    <t>SG_CA2_142</t>
  </si>
  <si>
    <t>20.46</t>
  </si>
  <si>
    <t>SG_CA2_143</t>
  </si>
  <si>
    <t>4.95</t>
  </si>
  <si>
    <t>SG_CA2_144</t>
  </si>
  <si>
    <t>3.58</t>
  </si>
  <si>
    <t>26.79</t>
  </si>
  <si>
    <t>SG_CA2_145</t>
  </si>
  <si>
    <t>8.47</t>
  </si>
  <si>
    <t>SG_CA2_146</t>
  </si>
  <si>
    <t>10.36</t>
  </si>
  <si>
    <t>20.1</t>
  </si>
  <si>
    <t>SG_CA2_147</t>
  </si>
  <si>
    <t>SG_CA2_148</t>
  </si>
  <si>
    <t>2.26</t>
  </si>
  <si>
    <t>27.01</t>
  </si>
  <si>
    <t>SG_CA2_149</t>
  </si>
  <si>
    <t>SG_CA2_150</t>
  </si>
  <si>
    <t>22.99</t>
  </si>
  <si>
    <t>SG_CA2_151</t>
  </si>
  <si>
    <t>2.22</t>
  </si>
  <si>
    <t>SG_CA2_152</t>
  </si>
  <si>
    <t>21.02</t>
  </si>
  <si>
    <t>SG_CA2_153</t>
  </si>
  <si>
    <t>7.35</t>
  </si>
  <si>
    <t>SG_CA2_154</t>
  </si>
  <si>
    <t>4.78</t>
  </si>
  <si>
    <t>2.17</t>
  </si>
  <si>
    <t>22.43</t>
  </si>
  <si>
    <t>SG_CA2_155</t>
  </si>
  <si>
    <t>Thêm BC hàng Vừa</t>
  </si>
  <si>
    <t>2.29</t>
  </si>
  <si>
    <t>15.49</t>
  </si>
  <si>
    <t>SG_CA2_156</t>
  </si>
  <si>
    <t>16.68</t>
  </si>
  <si>
    <t>SG_CA2_157</t>
  </si>
  <si>
    <t>17.98</t>
  </si>
  <si>
    <t>SG_CA2_158</t>
  </si>
  <si>
    <t>14.18</t>
  </si>
  <si>
    <t>SG_LAYT_2</t>
  </si>
  <si>
    <t>SG_LAYT_3</t>
  </si>
  <si>
    <t>SG_LAYT_5</t>
  </si>
  <si>
    <t>SG_LAY01_002</t>
  </si>
  <si>
    <t>SG_LAY01_003</t>
  </si>
  <si>
    <t>SG_LAY01_004</t>
  </si>
  <si>
    <t>SG_LAY01_005</t>
  </si>
  <si>
    <t>SG_LAY01_006</t>
  </si>
  <si>
    <t>SG_LAY01_007</t>
  </si>
  <si>
    <t>SG_LAY01_008</t>
  </si>
  <si>
    <t>SG_LAY01_009</t>
  </si>
  <si>
    <t>SG_LAY01_010</t>
  </si>
  <si>
    <t>SG_LAY01_011</t>
  </si>
  <si>
    <t>SG_LAY01_012</t>
  </si>
  <si>
    <t>SG_LAY01_012_1</t>
  </si>
  <si>
    <t>SG_LAY01_012_2</t>
  </si>
  <si>
    <t>Tải 1T9</t>
  </si>
  <si>
    <t>SG_LAY01_012_3</t>
  </si>
  <si>
    <t>SG_LAY01_013</t>
  </si>
  <si>
    <t>OFF</t>
  </si>
  <si>
    <t>SG_LAY01_013_1</t>
  </si>
  <si>
    <t>SG_LAY01_013_2</t>
  </si>
  <si>
    <t>SG_LAY01_014</t>
  </si>
  <si>
    <t>Điểm Lấy Hàng 109 Hà Duy Phiên-Củ Chi-HCM</t>
  </si>
  <si>
    <t>SG_LAY01_014_1</t>
  </si>
  <si>
    <t>SG_LAY01_014_2</t>
  </si>
  <si>
    <t>SG_LAY01_015</t>
  </si>
  <si>
    <t>Bưu cục Tân Kiên-Bình Chánh-HCM</t>
  </si>
  <si>
    <t>SG_LAY01_016</t>
  </si>
  <si>
    <t>Bưu cục 242 Tỉnh Lộ 2-Củ Chi-HCM</t>
  </si>
  <si>
    <t>SG_LAY01_017</t>
  </si>
  <si>
    <t>SG_LAY01_018</t>
  </si>
  <si>
    <t>22/04/2026 vận hành</t>
  </si>
  <si>
    <t>SG_LAY01_019</t>
  </si>
  <si>
    <t>SG_LAY01_020</t>
  </si>
  <si>
    <t>SG_LAY01_021</t>
  </si>
  <si>
    <t>Bưu Cục KD 804 Tân Kỳ Tân Quý-Q.Bình Tân-HCM</t>
  </si>
  <si>
    <t>SG_LAY01_022</t>
  </si>
  <si>
    <t>TẠM HỦY</t>
  </si>
  <si>
    <t>SG_LAY01_023</t>
  </si>
  <si>
    <t>SG_LAY01_024</t>
  </si>
  <si>
    <t>VAN</t>
  </si>
  <si>
    <t>SG_LAY01_025</t>
  </si>
  <si>
    <t>SG_LAY01_026</t>
  </si>
  <si>
    <t>SG_LAY01_027</t>
  </si>
  <si>
    <t>SG_LAY01_028</t>
  </si>
  <si>
    <t>SG_LAY01_029</t>
  </si>
  <si>
    <t>SG_LAY01_030</t>
  </si>
  <si>
    <t>SG_LAY01_031</t>
  </si>
  <si>
    <t>SG_LAY01_032</t>
  </si>
  <si>
    <t>SG_LAY01_033</t>
  </si>
  <si>
    <t>SG_LAY01_034</t>
  </si>
  <si>
    <t>SG_LAY01_035</t>
  </si>
  <si>
    <t>SG_LAY01_036</t>
  </si>
  <si>
    <t>SG_LAY01_037</t>
  </si>
  <si>
    <t>SG_LAY01_038</t>
  </si>
  <si>
    <t>SG_LAY01_039</t>
  </si>
  <si>
    <t>SG_LAY01_040</t>
  </si>
  <si>
    <t>SG_LAY01_041</t>
  </si>
  <si>
    <t>Bưu Cục KD 309B Tô Ký-Hóc Môn-HCM</t>
  </si>
  <si>
    <t>Bưu Cục KD 1196 Quang Trung-Q.Gò Vấp-HCM</t>
  </si>
  <si>
    <t>SG_LAY01_042</t>
  </si>
  <si>
    <t>SG_LAY01_043</t>
  </si>
  <si>
    <t>SG_LAY01_044</t>
  </si>
  <si>
    <t>SG_LAY01_045</t>
  </si>
  <si>
    <t>SG_LAY01_046</t>
  </si>
  <si>
    <t>Điểm Lấy Hàng Shop UNI VN-Hóc Môn-HCM</t>
  </si>
  <si>
    <t>SG_LAY01_047</t>
  </si>
  <si>
    <t>SG_LAY01_048</t>
  </si>
  <si>
    <t>SG_LAY01_049</t>
  </si>
  <si>
    <t>SG_LAY01_050</t>
  </si>
  <si>
    <t>SG_LAY01_051</t>
  </si>
  <si>
    <t>SG_LAY01_052</t>
  </si>
  <si>
    <t>SG_LAY01_053</t>
  </si>
  <si>
    <t>SG_LAY01_054</t>
  </si>
  <si>
    <t>SG_LAY01_055</t>
  </si>
  <si>
    <t>SG_LAY01_056</t>
  </si>
  <si>
    <t>SG_LAY01_057</t>
  </si>
  <si>
    <t>SG_LAY01_058</t>
  </si>
  <si>
    <t>SG_LAY01_059</t>
  </si>
  <si>
    <t>SG_LAY01_060</t>
  </si>
  <si>
    <t>SG_LAY01_061</t>
  </si>
  <si>
    <t>SG_LAY01_062</t>
  </si>
  <si>
    <t>SG_LAY01_063</t>
  </si>
  <si>
    <t>SG_LAY01_064</t>
  </si>
  <si>
    <t>SG_LAY01_065</t>
  </si>
  <si>
    <t>SG_LAY01_066</t>
  </si>
  <si>
    <t>SG_LAY01_067</t>
  </si>
  <si>
    <t>SG_LAY01_068</t>
  </si>
  <si>
    <t>SG_LAY01_069</t>
  </si>
  <si>
    <t>SG_LAY01_070</t>
  </si>
  <si>
    <t>SG_LAY01_071</t>
  </si>
  <si>
    <t>SG_LAY01_072</t>
  </si>
  <si>
    <t>Bưu Cục 16A Lê Hồng Phong-Q.10-HCM 04</t>
  </si>
  <si>
    <t>SG_LAY01_073</t>
  </si>
  <si>
    <t>SG_LAY01_074</t>
  </si>
  <si>
    <t>SG_LAY01_075</t>
  </si>
  <si>
    <t>SG_LAY01_076</t>
  </si>
  <si>
    <t>SG_LAY01_077</t>
  </si>
  <si>
    <t>SG_LAY01_078</t>
  </si>
  <si>
    <t>SG_LAY01_079</t>
  </si>
  <si>
    <t>SG_LAY01_080</t>
  </si>
  <si>
    <t>SG_LAY01_081</t>
  </si>
  <si>
    <t>SG_LAY01_082</t>
  </si>
  <si>
    <t>SG_LAY01_083</t>
  </si>
  <si>
    <t>SG_LAY01_084</t>
  </si>
  <si>
    <t>SG_LAY01_085</t>
  </si>
  <si>
    <t>SG_LAY01_086</t>
  </si>
  <si>
    <t>SG_LAY01_087</t>
  </si>
  <si>
    <t>SG_LAY01_088</t>
  </si>
  <si>
    <t>SG_LAY01_089</t>
  </si>
  <si>
    <t>SG_LAY01_090</t>
  </si>
  <si>
    <t>SG_LAY01_091</t>
  </si>
  <si>
    <t>SG_LAY01_092</t>
  </si>
  <si>
    <t>SG_LAY01_093</t>
  </si>
  <si>
    <t>SG_LAY01_094</t>
  </si>
  <si>
    <t>SG_LAY01_095</t>
  </si>
  <si>
    <t>SG_LAY01_096</t>
  </si>
  <si>
    <t>SG_LAY01_097</t>
  </si>
  <si>
    <t>SG_LAY01_098</t>
  </si>
  <si>
    <t>SG_LAY01_099</t>
  </si>
  <si>
    <t>SG_LAY01_100</t>
  </si>
  <si>
    <t>SG_LAY01_101</t>
  </si>
  <si>
    <t>SG_LAY01_102</t>
  </si>
  <si>
    <t>SG_LAY01_103</t>
  </si>
  <si>
    <t>SG_LAY01_104</t>
  </si>
  <si>
    <t>SG_LAY01_105</t>
  </si>
  <si>
    <t>Bưu Cục KD 93D Tân Thắng-Q.Tân Phú-HCM</t>
  </si>
  <si>
    <t>SG_LAY01_111</t>
  </si>
  <si>
    <t>Kho Giao Hàng Nặng Tân Tạo-HCM</t>
  </si>
  <si>
    <t>SG_LAY01_112</t>
  </si>
  <si>
    <t>SG_LAY01_113</t>
  </si>
  <si>
    <t>Kho Giao Hàng Nặng Tân Bình-HCM</t>
  </si>
  <si>
    <t>SG_LAY01_114</t>
  </si>
  <si>
    <t>Điểm Xử Lý Hàng Shop VIFON-Thủ Đức-HCM</t>
  </si>
  <si>
    <t>OFF CN</t>
  </si>
  <si>
    <t>SG_LAY20_001</t>
  </si>
  <si>
    <t>SG_LAY20_002</t>
  </si>
  <si>
    <t>SG_LAY20_003</t>
  </si>
  <si>
    <t>SG_LAY20_004</t>
  </si>
  <si>
    <t>SG_LAY20_005</t>
  </si>
  <si>
    <t>SG_LAY20_006</t>
  </si>
  <si>
    <t>SG_LAY20_007</t>
  </si>
  <si>
    <t>SG_LAY20_008</t>
  </si>
  <si>
    <t>SG_LAY20_009</t>
  </si>
  <si>
    <t>SG_LAY20_010</t>
  </si>
  <si>
    <t>SG_LAY20_011</t>
  </si>
  <si>
    <t>SG_LAY20_012</t>
  </si>
  <si>
    <t>SG_LAY20_013</t>
  </si>
  <si>
    <t>SG_LAY20_014</t>
  </si>
  <si>
    <t>SG_LAY20_015</t>
  </si>
  <si>
    <t>SG_LAY20_016</t>
  </si>
  <si>
    <t>SG_LAY20_017</t>
  </si>
  <si>
    <t>SG_LAY20_018</t>
  </si>
  <si>
    <t>SG_LAY20_019</t>
  </si>
  <si>
    <t>Kho Giao Hàng Nặng Nhà Bè-HCM</t>
  </si>
  <si>
    <t>SG_LAY20_020</t>
  </si>
  <si>
    <t>SG_LAY20_021</t>
  </si>
  <si>
    <t>SG_LAY20_022</t>
  </si>
  <si>
    <t>SG_LAY20_023</t>
  </si>
  <si>
    <t>SG_LAY20_024</t>
  </si>
  <si>
    <t>SG_LAY20_025</t>
  </si>
  <si>
    <t>SG_LAY20_026</t>
  </si>
  <si>
    <t>SG_LAY20_027</t>
  </si>
  <si>
    <t>SG_LAY20_028</t>
  </si>
  <si>
    <t>SG_LAY20_029</t>
  </si>
  <si>
    <t>SG_LAY20_030</t>
  </si>
  <si>
    <t>SG_LAY20_031</t>
  </si>
  <si>
    <t>SG_LAY20_032</t>
  </si>
  <si>
    <t>SG_LAY20_033</t>
  </si>
  <si>
    <t>SG_LAY20_034</t>
  </si>
  <si>
    <t>SG_LAY20_035</t>
  </si>
  <si>
    <t>SG_LAY20_036</t>
  </si>
  <si>
    <t>SG_LAY20_037</t>
  </si>
  <si>
    <t>SG_LAY20_038</t>
  </si>
  <si>
    <t>SG_LAY20_039</t>
  </si>
  <si>
    <t>SG_LAY20_040</t>
  </si>
  <si>
    <t>SG_LAY20_041</t>
  </si>
  <si>
    <t>SG_LAY20_042</t>
  </si>
  <si>
    <t>SG_LAY20_043</t>
  </si>
  <si>
    <t>SG_LAY20_044</t>
  </si>
  <si>
    <t>SG_LAY20_045</t>
  </si>
  <si>
    <t>SG_LAY20_046</t>
  </si>
  <si>
    <t>SG_LAY20_047</t>
  </si>
  <si>
    <t>SG_LAY20_050</t>
  </si>
  <si>
    <t>SG_LAY2KHO_001</t>
  </si>
  <si>
    <t>SG_LAY2KHO_002</t>
  </si>
  <si>
    <t>SG_LAY2KHO_003</t>
  </si>
  <si>
    <t>Hủy COT</t>
  </si>
  <si>
    <t>SG_LAY2KHO_004</t>
  </si>
  <si>
    <t>SG_LAY2KHO_005</t>
  </si>
  <si>
    <t>SG_LAY2KHO_006</t>
  </si>
  <si>
    <t>SG_LAY2KHO_007</t>
  </si>
  <si>
    <t>SG_LAY2KHO_008</t>
  </si>
  <si>
    <t>SG_LAY2KHO_009</t>
  </si>
  <si>
    <t>SG_LAY2KHO_010</t>
  </si>
  <si>
    <t>SG_LAY2KHO_011</t>
  </si>
  <si>
    <t>SG_LAY2KHO_012</t>
  </si>
  <si>
    <t>SG_LAY2KHO_013</t>
  </si>
  <si>
    <t>SG_LAY2KHO_014</t>
  </si>
  <si>
    <t>SG_LAY2KHO_015</t>
  </si>
  <si>
    <t>SG_LAY2KHO_017</t>
  </si>
  <si>
    <t>SG_LAY2KHO_018</t>
  </si>
  <si>
    <t>SG_LAYC_000</t>
  </si>
  <si>
    <t>SG_LAYC_001</t>
  </si>
  <si>
    <t>SG_LAYC_002</t>
  </si>
  <si>
    <t>SG_LAYC_003</t>
  </si>
  <si>
    <t>SG_LAYC_004</t>
  </si>
  <si>
    <t>SG_LAYC_005</t>
  </si>
  <si>
    <t>SG_LAYC_006</t>
  </si>
  <si>
    <t>SG_LAYC_007</t>
  </si>
  <si>
    <t>SG_LAYC_008</t>
  </si>
  <si>
    <t>SG_LAYC_009</t>
  </si>
  <si>
    <t>SG_LAYC_010</t>
  </si>
  <si>
    <t>SG_LAYC_011</t>
  </si>
  <si>
    <t>SG_LAYC_012</t>
  </si>
  <si>
    <t>SG_LAYC_013</t>
  </si>
  <si>
    <t>SG_LAYC_014</t>
  </si>
  <si>
    <t>SG_LAYC_015</t>
  </si>
  <si>
    <t>SG_LAYC_016</t>
  </si>
  <si>
    <t>SG_LAYC_017</t>
  </si>
  <si>
    <t>SG_LAYC_018</t>
  </si>
  <si>
    <t>SG_LAYC_019</t>
  </si>
  <si>
    <t>SG_LAYC_020</t>
  </si>
  <si>
    <t>SG_LAYC_021</t>
  </si>
  <si>
    <t>SG_LAYC_022</t>
  </si>
  <si>
    <t>SG_LAYC_023</t>
  </si>
  <si>
    <t>SG_LAYC_024</t>
  </si>
  <si>
    <t>SG_LAYC_025</t>
  </si>
  <si>
    <t>SG_LAYC_026</t>
  </si>
  <si>
    <t>SG_LAYC_027</t>
  </si>
  <si>
    <t>SG_LAYC_028</t>
  </si>
  <si>
    <t>SG_LAYC_029</t>
  </si>
  <si>
    <t>SG_LAYC_030</t>
  </si>
  <si>
    <t>SG_LAYC_031</t>
  </si>
  <si>
    <t>SG_LAYC_032</t>
  </si>
  <si>
    <t>SG_LAYC_033</t>
  </si>
  <si>
    <t>SG_LAYC_034</t>
  </si>
  <si>
    <t>SG_LAYC_035</t>
  </si>
  <si>
    <t>SG_LAYC_036</t>
  </si>
  <si>
    <t>SG_LAYC_037</t>
  </si>
  <si>
    <t>SG_LAYC_038</t>
  </si>
  <si>
    <t>SG_LAYC_039</t>
  </si>
  <si>
    <t>SG_LAYC_040</t>
  </si>
  <si>
    <t>SG_LAYC_041</t>
  </si>
  <si>
    <t>SG_LAYC_042</t>
  </si>
  <si>
    <t>SG_LAYC_043</t>
  </si>
  <si>
    <t>SG_LAYC_044</t>
  </si>
  <si>
    <t>SG_LAYC_045</t>
  </si>
  <si>
    <t>SG_LAYC_046</t>
  </si>
  <si>
    <t>SG_LAYC_047</t>
  </si>
  <si>
    <t>SG_LAYC_048</t>
  </si>
  <si>
    <t>SG_LAYC_049</t>
  </si>
  <si>
    <t>SG_LAYC_050</t>
  </si>
  <si>
    <t>SG_LAYC_051</t>
  </si>
  <si>
    <t>SG_LAYC_052</t>
  </si>
  <si>
    <t>SG_LAYC_053</t>
  </si>
  <si>
    <t>SG_LAYC_054</t>
  </si>
  <si>
    <t>SG_LAYC_055</t>
  </si>
  <si>
    <t>SG_LAYC_056</t>
  </si>
  <si>
    <t>SG_LAYC_057</t>
  </si>
  <si>
    <t>SG_LAYC_058</t>
  </si>
  <si>
    <t>SG_LAYC_059</t>
  </si>
  <si>
    <t>SG_LAYC_060</t>
  </si>
  <si>
    <t>SG_LAYC_061</t>
  </si>
  <si>
    <t>SG_LAYC_062</t>
  </si>
  <si>
    <t>SG_LAYC_063</t>
  </si>
  <si>
    <t>SG_LAYC_064</t>
  </si>
  <si>
    <t>SG_LAYC_065</t>
  </si>
  <si>
    <t>SG_LAYC_066</t>
  </si>
  <si>
    <t>SG_LAYC_067</t>
  </si>
  <si>
    <t>SG_LAYT_MH_1</t>
  </si>
  <si>
    <t>off t7-cn</t>
  </si>
  <si>
    <t>Mobile hub Vĩnh Lộc - HCM</t>
  </si>
  <si>
    <t>SG_LAYT_MH_2</t>
  </si>
  <si>
    <t>SG_LAYT_MH_3</t>
  </si>
  <si>
    <t>Ngưng</t>
  </si>
  <si>
    <t>SG_LAY_MH_1</t>
  </si>
  <si>
    <t>SG_LAY_MH_2</t>
  </si>
  <si>
    <t>Ngưng - off t7-cn</t>
  </si>
  <si>
    <t>SG_LAY_MH_3</t>
  </si>
  <si>
    <t>SG_LAY_MH_4</t>
  </si>
  <si>
    <t>Bưu Cục 20/48A Bờ Bao Tân Thắng-Q. Tân Phú-HCM</t>
  </si>
  <si>
    <t>SG_LAY_MH_5</t>
  </si>
  <si>
    <t>SG_LAY_MH_6</t>
  </si>
  <si>
    <t>Ngày SUP cập nhật vi phạm</t>
  </si>
  <si>
    <t>plate_color</t>
  </si>
  <si>
    <t>Loại xe</t>
  </si>
  <si>
    <t>BKS</t>
  </si>
  <si>
    <t>Kho Quản Lý</t>
  </si>
  <si>
    <t>Thời gian vi phạm</t>
  </si>
  <si>
    <t>Nơi vi phạm</t>
  </si>
  <si>
    <t>Lỗi vi phạm</t>
  </si>
  <si>
    <t>Chi phí dự kiến</t>
  </si>
  <si>
    <t>SUP phụ trách</t>
  </si>
  <si>
    <t>MSNV</t>
  </si>
  <si>
    <t>Tài Xế</t>
  </si>
  <si>
    <t>Tình Trạng</t>
  </si>
  <si>
    <t>Ngày dự kiến xử lý xong
(15 ngày)</t>
  </si>
  <si>
    <t>Ngày Dự Kiến Đóng Phạt</t>
  </si>
  <si>
    <t>Tiến Độ</t>
  </si>
  <si>
    <t>Nền màu vàng, chữ và số màu đen</t>
  </si>
  <si>
    <t>Ô tô</t>
  </si>
  <si>
    <t>68 Lê Thánh Tôn, Phường Sài Gòn, Thành phố Hồ Chí Minh</t>
  </si>
  <si>
    <t>16824.6.2.đ.21.Dừng xe nơi có biển “Cấm dừng xe và đỗ xe”</t>
  </si>
  <si>
    <t>Phạm Ngọc Huy</t>
  </si>
  <si>
    <t>Lưu Viễn Khánh</t>
  </si>
  <si>
    <t>Đã nghỉ việc</t>
  </si>
  <si>
    <t>Pending</t>
  </si>
  <si>
    <t>A1 Bạch Đằng, Phường 2, Quận Tân Bình, Thành phố Hồ Chí Minh</t>
  </si>
  <si>
    <t>16824.6.3.e.12.Đỗ xe nơi có biển “Cấm đỗ xe”</t>
  </si>
  <si>
    <t>Hồ Ngọc Cường</t>
  </si>
  <si>
    <t>Tạo eform hoàn ứng</t>
  </si>
  <si>
    <t>78 Yên Thế, Phường 2, Quận Tân Bình, Thành phố Hồ Chí Minh</t>
  </si>
  <si>
    <t>Trương Vĩnh Phú</t>
  </si>
  <si>
    <t>Cầu Phú Mỹ Q7 - TP. Thủ Đức, Thành phố Thủ Đức, Thành phố Hồ Chí Minh</t>
  </si>
  <si>
    <t>16824.6.3.a.01.Điều khiển xe chạy quá tốc độ quy định từ 05 km/h đến dưới 10 km/h</t>
  </si>
  <si>
    <t>Vũ Biển</t>
  </si>
  <si>
    <t>Đường Nguyễn Oanh, Phường Gò Vấp, Thành phố Hồ Chí Minh</t>
  </si>
  <si>
    <t>Huỳnh Lê Cẩm Tú</t>
  </si>
  <si>
    <t>Trần Ngọc Tân</t>
  </si>
  <si>
    <t>Đang Xử Lý Với Tài Xế</t>
  </si>
  <si>
    <t>1131 Nguyễn Thị Rành, Xã An Nhơn Tây, Thành phố Hồ Chí Minh</t>
  </si>
  <si>
    <t>Lê Trọng Nghĩa</t>
  </si>
  <si>
    <t>Còn làm việc</t>
  </si>
  <si>
    <t>TÔN ĐẢN, Phường Xóm Chiếu, Thành phố Hồ Chí Minh</t>
  </si>
  <si>
    <t>Đặng Văn Hoài</t>
  </si>
  <si>
    <t>Lê Đức Anh - Liên Khu 4-5, Phường Tân Tạo, Thành phố Hồ Chí Minh</t>
  </si>
  <si>
    <t>16824.6.9.b.01.Không chấp hành hiệu lệnh của đèn tín hiệu giao thông</t>
  </si>
  <si>
    <t>Nguyễn Thị Hà</t>
  </si>
  <si>
    <t>Nguyễn Thành Lập</t>
  </si>
  <si>
    <t>Chưa Làm Việc Với Tài Xế</t>
  </si>
  <si>
    <t>km 57+800, Cao tốc Thành phố Hồ Chí Minh - Trung Lương - Mỹ Thuận</t>
  </si>
  <si>
    <t>16824.6.6.a.01.Điều khiển xe chạy quá tốc độ quy định trên 20 km/h đến 35 km/h</t>
  </si>
  <si>
    <t>Phạm Văn Thương</t>
  </si>
  <si>
    <t>Lê Đức Anh KCN Tân Tạo,, Phường Bình Tân, Thành phố Hồ Chí Minh</t>
  </si>
  <si>
    <t>16824.6.5.đ.01.Điều khiển xe chạy quá tốc độ quy định từ 10 km/h đến 20 km/h</t>
  </si>
  <si>
    <t>Km30+600, đường ĐT741, Xã Phước Hòa, Thành phố Hồ Chí Minh</t>
  </si>
  <si>
    <t>289 Tỉnh Lộ 7, Xã Thái Mỹ, Thành phố Hồ Chí Minh</t>
  </si>
  <si>
    <t>289 Đường Tỉnh Lộ 7, Xã Thái Mỹ, Thành phố Hồ Chí Minh</t>
  </si>
  <si>
    <t>373 Hà Duy Phiên, Xã Bình Mỹ, Thành phố Hồ Chí Minh</t>
  </si>
  <si>
    <t>16824.6.1.a.05.Không chấp hành hiệu lệnh của vạch kẻ đường</t>
  </si>
  <si>
    <t>60 Nguyễn Thị Rành, Xã Tân An Hội, Thành phố Hồ Chí Minh</t>
  </si>
  <si>
    <t>Lê Đức Anh KCN Tân Tạo, Phường Bình Tân, Thành phố Hồ Chí Minh</t>
  </si>
  <si>
    <t>Cầu Phú Mỹ, Phường Cát Lái, Thành phố Hồ Chí Minh</t>
  </si>
  <si>
    <t>1006 Nguyễn Thị Rành, Xã An Nhơn Tây, Thành phố Hồ Chí Minh</t>
  </si>
  <si>
    <t>Xã An Nhơn Tây, Thành phố Hồ Chí Minh</t>
  </si>
  <si>
    <t>Saigon Center (đường Lê Lợi), Phường Sài Gòn, Thành phố Hồ Chí Minh</t>
  </si>
  <si>
    <t>Loại xe</t>
  </si>
  <si>
    <t>Hiệu suất sử dụng xe</t>
  </si>
  <si>
    <t>Tình trạng vận hành</t>
  </si>
  <si>
    <t>2/23/2021</t>
  </si>
  <si>
    <t>10/15/2016</t>
  </si>
  <si>
    <t>Đề xuất thanh lý</t>
  </si>
  <si>
    <t>11/16/2017</t>
  </si>
  <si>
    <t>8/18/2020</t>
  </si>
  <si>
    <t>1T9</t>
  </si>
  <si>
    <t>Đang vận hành</t>
  </si>
  <si>
    <t>9/19/2020</t>
  </si>
  <si>
    <t>Xe bị tai nạn</t>
  </si>
  <si>
    <t>BTBD nặng</t>
  </si>
  <si>
    <t>Xe hết hạn giấy thế chấp</t>
  </si>
  <si>
    <t>12/22/2020</t>
  </si>
  <si>
    <t>11/28/2020</t>
  </si>
  <si>
    <t>12/13/2020</t>
  </si>
  <si>
    <t>12/20/2020</t>
  </si>
  <si>
    <t>2/19/2021</t>
  </si>
  <si>
    <t>2/18/2021</t>
  </si>
  <si>
    <t>2/20/2021</t>
  </si>
  <si>
    <t>5/14/2022</t>
  </si>
  <si>
    <t>5/29/2022</t>
  </si>
  <si>
    <t>5/16/2022</t>
  </si>
  <si>
    <t>5/31/2022</t>
  </si>
  <si>
    <t>6/22/2022</t>
  </si>
  <si>
    <t>6/23/2022</t>
  </si>
  <si>
    <t>6/18/2022</t>
  </si>
  <si>
    <t>5/27/2022</t>
  </si>
  <si>
    <t>8/24/2022</t>
  </si>
  <si>
    <t>9/20/2023</t>
  </si>
  <si>
    <t>12/25/2023</t>
  </si>
  <si>
    <t>9/18/2023</t>
  </si>
  <si>
    <t>Xe tai nạn</t>
  </si>
  <si>
    <t>9/19/2023</t>
  </si>
  <si>
    <t>9/25/2023</t>
  </si>
  <si>
    <t>9/28/2024</t>
  </si>
  <si>
    <t>10/13/2024</t>
  </si>
  <si>
    <t>9/13/2024</t>
  </si>
  <si>
    <t>10/17/2024</t>
  </si>
  <si>
    <t>4/23/2025</t>
  </si>
  <si>
    <t>4/18/2025</t>
  </si>
  <si>
    <t>4/15/2025</t>
  </si>
  <si>
    <t>4/30/2025</t>
  </si>
  <si>
    <t>5/23/2025</t>
  </si>
  <si>
    <t>5/14/2025</t>
  </si>
  <si>
    <t>5/29/2025</t>
  </si>
  <si>
    <t>5/20/2025</t>
  </si>
  <si>
    <t>4/26/2025</t>
  </si>
  <si>
    <t>6/13/2025</t>
  </si>
  <si>
    <t>5/26/2025</t>
  </si>
  <si>
    <t>6/20/2025</t>
  </si>
  <si>
    <t>6/26/2025</t>
  </si>
  <si>
    <t>MSSV</t>
  </si>
  <si>
    <t>Thông tin nhân viên</t>
  </si>
  <si>
    <t>Số điện thoại</t>
  </si>
  <si>
    <t>Vị trí</t>
  </si>
  <si>
    <t>Đơn vị</t>
  </si>
  <si>
    <t>Quản lý trực tiếp</t>
  </si>
  <si>
    <t>Ca làm</t>
  </si>
  <si>
    <t>Tuyến chạy</t>
  </si>
  <si>
    <t>Ngày vào làm</t>
  </si>
  <si>
    <t>Ngày nghỉ việc</t>
  </si>
  <si>
    <t>Thâm niên</t>
  </si>
  <si>
    <t>Thâm niên 1</t>
  </si>
  <si>
    <t>Tháng</t>
  </si>
  <si>
    <t>Tuần vào làm</t>
  </si>
  <si>
    <t>Năm vào làm</t>
  </si>
  <si>
    <t>Tuần nghỉ</t>
  </si>
  <si>
    <t>Tháng nghỉ</t>
  </si>
  <si>
    <t>Năm nghỉ</t>
  </si>
  <si>
    <t>Trần Thanh Tùng</t>
  </si>
  <si>
    <t>Light Truck Driver</t>
  </si>
  <si>
    <t>M12 Linehaul Team</t>
  </si>
  <si>
    <t>Nguyễn Văn Làng</t>
  </si>
  <si>
    <t>Dự án</t>
  </si>
  <si>
    <t>0 năm 4 tháng 2 ngày</t>
  </si>
  <si>
    <t>4 tháng</t>
  </si>
  <si>
    <t>2025 - W30</t>
  </si>
  <si>
    <t>2025 - W48</t>
  </si>
  <si>
    <t>2025 - M11</t>
  </si>
  <si>
    <t>Nguyễn Văn Hòa Phước</t>
  </si>
  <si>
    <t>Đang làm việc</t>
  </si>
  <si>
    <t>0 năm 9 tháng 18 ngày</t>
  </si>
  <si>
    <t>9 tháng</t>
  </si>
  <si>
    <t>Ngô Minh Thiện</t>
  </si>
  <si>
    <t>0 năm 1 tháng 3 ngày</t>
  </si>
  <si>
    <t>1 tháng</t>
  </si>
  <si>
    <t>2025 - W35</t>
  </si>
  <si>
    <t>2025 - M08</t>
  </si>
  <si>
    <t>Hồ Văn Tâm</t>
  </si>
  <si>
    <t>0 năm 0 tháng 21 ngày</t>
  </si>
  <si>
    <t>0 tháng</t>
  </si>
  <si>
    <t>2025 - W33</t>
  </si>
  <si>
    <t>Nguyễn Huy Tài</t>
  </si>
  <si>
    <t>Nguyễn Khắc Huy</t>
  </si>
  <si>
    <t>0 năm 9 tháng 19 ngày</t>
  </si>
  <si>
    <t>Trần Vũ Thường</t>
  </si>
  <si>
    <t>0 năm 0 tháng 22 ngày</t>
  </si>
  <si>
    <t>Đào Minh Trí</t>
  </si>
  <si>
    <t>0 năm 3 tháng 23 ngày</t>
  </si>
  <si>
    <t>3 tháng</t>
  </si>
  <si>
    <t>2025 - W46</t>
  </si>
  <si>
    <t>Nguyễn Văn Trường</t>
  </si>
  <si>
    <t>0 năm 1 tháng 10 ngày</t>
  </si>
  <si>
    <t>2025 - W29</t>
  </si>
  <si>
    <t>Đặng Nhựt Trường</t>
  </si>
  <si>
    <t>0 năm 9 tháng 25 ngày</t>
  </si>
  <si>
    <t>Huỳnh Tuấn Khanh</t>
  </si>
  <si>
    <t>0 năm 4 tháng 9 ngày</t>
  </si>
  <si>
    <t>Nguyễn Văn Hiền Anh</t>
  </si>
  <si>
    <t>0 năm 0 tháng 14 ngày</t>
  </si>
  <si>
    <t>2025 - W31</t>
  </si>
  <si>
    <t>2025 - M07</t>
  </si>
  <si>
    <t>Nguyễn Chí Ngôn</t>
  </si>
  <si>
    <t>Trần Minh Thế</t>
  </si>
  <si>
    <t>2026 - W09</t>
  </si>
  <si>
    <t>2026 - M02</t>
  </si>
  <si>
    <t>Nguyễn Ngọc Giàu</t>
  </si>
  <si>
    <t>Lê Hoàng Ngọc My</t>
  </si>
  <si>
    <t>Linehaul Supervisor</t>
  </si>
  <si>
    <t>Quản lý</t>
  </si>
  <si>
    <t>0 năm 1 tháng 5 ngày</t>
  </si>
  <si>
    <t>2025 - W34</t>
  </si>
  <si>
    <t>Thái Hữu Thành</t>
  </si>
  <si>
    <t>0 năm 0 tháng 19 ngày</t>
  </si>
  <si>
    <t>2025 - W28</t>
  </si>
  <si>
    <t>Lục Chí Bình</t>
  </si>
  <si>
    <t>0 năm 1 tháng 16 ngày</t>
  </si>
  <si>
    <t>Trần Huỳnh Gia Huy</t>
  </si>
  <si>
    <t>Ngô Hồng Hà</t>
  </si>
  <si>
    <t>0 năm 10 tháng 4 ngày</t>
  </si>
  <si>
    <t>10 tháng</t>
  </si>
  <si>
    <t>Đinh Văn Vũ</t>
  </si>
  <si>
    <t>2025 - W44</t>
  </si>
  <si>
    <t>2025 - M10</t>
  </si>
  <si>
    <t>Ngô Lâm Giang</t>
  </si>
  <si>
    <t>0 năm 10 tháng 9 ngày</t>
  </si>
  <si>
    <t>2025 - W27</t>
  </si>
  <si>
    <t>Trần Khắc Duy</t>
  </si>
  <si>
    <t>0 năm 3 tháng 6 ngày</t>
  </si>
  <si>
    <t>2025 - W41</t>
  </si>
  <si>
    <t>Phan Văn Tủm</t>
  </si>
  <si>
    <t>0 năm 1 tháng 24 ngày</t>
  </si>
  <si>
    <t>Lương Thế Dinh</t>
  </si>
  <si>
    <t>Nguyễn Hữu Nhật</t>
  </si>
  <si>
    <t>2026 - W11</t>
  </si>
  <si>
    <t>2026 - M03</t>
  </si>
  <si>
    <t>Nguyễn Duy Vũ</t>
  </si>
  <si>
    <t>0 năm 4 tháng 24 ngày</t>
  </si>
  <si>
    <t>Ngô Gia Huy</t>
  </si>
  <si>
    <t>0 năm 10 tháng 10 ngày</t>
  </si>
  <si>
    <t>Nguyễn Văn Lợi</t>
  </si>
  <si>
    <t>0 năm 1 tháng 14 ngày</t>
  </si>
  <si>
    <t>0 năm 2 tháng 6 ngày</t>
  </si>
  <si>
    <t>2 tháng</t>
  </si>
  <si>
    <t>2025 - W36</t>
  </si>
  <si>
    <t>2025 - M09</t>
  </si>
  <si>
    <t>Bùi Quang Tùng</t>
  </si>
  <si>
    <t>0 năm 2 tháng 27 ngày</t>
  </si>
  <si>
    <t>2025 - W39</t>
  </si>
  <si>
    <t>Lương Ngọc Tân</t>
  </si>
  <si>
    <t>0 năm 1 tháng 27 ngày</t>
  </si>
  <si>
    <t>Huỳnh Văn Kim</t>
  </si>
  <si>
    <t>0 năm 10 tháng 11 ngày</t>
  </si>
  <si>
    <t>2026 - W03</t>
  </si>
  <si>
    <t>2026 - M01</t>
  </si>
  <si>
    <t>Trần Đăng Khoa</t>
  </si>
  <si>
    <t>0 năm 1 tháng 4 ngày</t>
  </si>
  <si>
    <t>2025 - W26</t>
  </si>
  <si>
    <t>Quách Duy Khánh</t>
  </si>
  <si>
    <t>0 năm 0 tháng 29 ngày</t>
  </si>
  <si>
    <t>Nguyễn Văn Cường</t>
  </si>
  <si>
    <t>0 năm 3 tháng 4 ngày</t>
  </si>
  <si>
    <t>2025 - W40</t>
  </si>
  <si>
    <t>Nguyễn Tuấn Anh</t>
  </si>
  <si>
    <t>0 năm 4 tháng 30 ngày</t>
  </si>
  <si>
    <t>Võ Lâm Hoàng Duy</t>
  </si>
  <si>
    <t>0 năm 2 tháng 1 ngày</t>
  </si>
  <si>
    <t>Nguyễn Như Em</t>
  </si>
  <si>
    <t>0 năm 1 tháng 19 ngày</t>
  </si>
  <si>
    <t>Lê Văn Hải</t>
  </si>
  <si>
    <t>0 năm 3 tháng 1 ngày</t>
  </si>
  <si>
    <t>Trần Phạm Gia Hoàng</t>
  </si>
  <si>
    <t>0 năm 5 tháng 0 ngày</t>
  </si>
  <si>
    <t>5 tháng</t>
  </si>
  <si>
    <t>Thái Hoàng Long</t>
  </si>
  <si>
    <t>Trần Đình Khang</t>
  </si>
  <si>
    <t>0 năm 3 tháng 14 ngày</t>
  </si>
  <si>
    <t>Hà Quang Định</t>
  </si>
  <si>
    <t>0 năm 4 tháng 10 ngày</t>
  </si>
  <si>
    <t>2025 - W45</t>
  </si>
  <si>
    <t>Nguyễn Hoàng Phương</t>
  </si>
  <si>
    <t>0 năm 10 tháng 17 ngày</t>
  </si>
  <si>
    <t>Nguyễn Hải Long</t>
  </si>
  <si>
    <t>2026 - W12</t>
  </si>
  <si>
    <t>Ôn Chí Quang</t>
  </si>
  <si>
    <t>0 năm 1 tháng 7 ngày</t>
  </si>
  <si>
    <t>Trần Mạnh Quân</t>
  </si>
  <si>
    <t>0 năm 10 tháng 18 ngày</t>
  </si>
  <si>
    <t>Trần Anh Tuấn</t>
  </si>
  <si>
    <t>0 năm 3 tháng 15 ngày</t>
  </si>
  <si>
    <t>Võ Đỗ Tường</t>
  </si>
  <si>
    <t>0 năm 4 tháng 11 ngày</t>
  </si>
  <si>
    <t>Đinh Nguyễn Minh Nhiên</t>
  </si>
  <si>
    <t>0 năm 3 tháng 3 ngày</t>
  </si>
  <si>
    <t>Phạm Thái Duy</t>
  </si>
  <si>
    <t>0 năm 4 tháng 3 ngày</t>
  </si>
  <si>
    <t>2025 - W25</t>
  </si>
  <si>
    <t>2025 - W43</t>
  </si>
  <si>
    <t>Huỳnh Ngọc Hậu</t>
  </si>
  <si>
    <t>0 năm 10 tháng 23 ngày</t>
  </si>
  <si>
    <t>2026 - W07</t>
  </si>
  <si>
    <t>Nguyễn Thế Phong Lưu</t>
  </si>
  <si>
    <t>Nguyễn Nhựt Trường</t>
  </si>
  <si>
    <t>0 năm 3 tháng 20 ngày</t>
  </si>
  <si>
    <t>Nguyễn Hoàng Đức</t>
  </si>
  <si>
    <t>Huỳnh Nguyễn Mạnh Toàn</t>
  </si>
  <si>
    <t>0 năm 3 tháng 22 ngày</t>
  </si>
  <si>
    <t>Hồ Văn Qúy</t>
  </si>
  <si>
    <t>0 năm 10 tháng 25 ngày</t>
  </si>
  <si>
    <t>Quách Toàn Phát</t>
  </si>
  <si>
    <t>0 năm 2 tháng 30 ngày</t>
  </si>
  <si>
    <t>2025 - W38</t>
  </si>
  <si>
    <t>Phạm Văn Thuận</t>
  </si>
  <si>
    <t>0 năm 3 tháng 10 ngày</t>
  </si>
  <si>
    <t>Phạm Ngọc Pháp</t>
  </si>
  <si>
    <t>Võ Văn Linh</t>
  </si>
  <si>
    <t>0 năm 1 tháng 18 ngày</t>
  </si>
  <si>
    <t>2025 - W24</t>
  </si>
  <si>
    <t>Thái Tiến Minh</t>
  </si>
  <si>
    <t>0 năm 11 tháng 0 ngày</t>
  </si>
  <si>
    <t>11 tháng</t>
  </si>
  <si>
    <t>Đinh Văn Tới</t>
  </si>
  <si>
    <t>0 năm 11 tháng 1 ngày</t>
  </si>
  <si>
    <t>Nguyễn Thành Hưng</t>
  </si>
  <si>
    <t>0 năm 6 tháng 1 ngày</t>
  </si>
  <si>
    <t>6 tháng</t>
  </si>
  <si>
    <t>2025 - W50</t>
  </si>
  <si>
    <t>2025 - M12</t>
  </si>
  <si>
    <t>Nguyễn Thành Danh</t>
  </si>
  <si>
    <t>Hoàng Duy Khang</t>
  </si>
  <si>
    <t>2025 - W23</t>
  </si>
  <si>
    <t>Phạm Hữu Trung</t>
  </si>
  <si>
    <t>Nguyễn Văn Hoàng</t>
  </si>
  <si>
    <t>Trần Dương Khương</t>
  </si>
  <si>
    <t>Mai Chí Tạo</t>
  </si>
  <si>
    <t>0 năm 3 tháng 11 ngày</t>
  </si>
  <si>
    <t>Nguyễn Nhựt Tân</t>
  </si>
  <si>
    <t>Nguyễn Trung Tá</t>
  </si>
  <si>
    <t>0 năm 11 tháng 9 ngày</t>
  </si>
  <si>
    <t>Phạm Quốc Hưng</t>
  </si>
  <si>
    <t>0 năm 1 tháng 28 ngày</t>
  </si>
  <si>
    <t>Nguyễn Văn Thọ</t>
  </si>
  <si>
    <t>0 năm 2 tháng 29 ngày</t>
  </si>
  <si>
    <t>2025 - W22</t>
  </si>
  <si>
    <t>Nguyễn Hoàng Anh</t>
  </si>
  <si>
    <t>0 năm 2 tháng 11 ngày</t>
  </si>
  <si>
    <t>2025 - W32</t>
  </si>
  <si>
    <t>0 năm 11 tháng 15 ngày</t>
  </si>
  <si>
    <t>0 năm 4 tháng 4 ngày</t>
  </si>
  <si>
    <t>2025 - W21</t>
  </si>
  <si>
    <t>Bùi Thanh Tuyền</t>
  </si>
  <si>
    <t>0 năm 11 tháng 20 ngày</t>
  </si>
  <si>
    <t>Nguyễn Văn Sáng</t>
  </si>
  <si>
    <t>Nguyễn Thanh Tú</t>
  </si>
  <si>
    <t>0 năm 2 tháng 28 ngày</t>
  </si>
  <si>
    <t>2025 - W20</t>
  </si>
  <si>
    <t>Trần Việt Hùng</t>
  </si>
  <si>
    <t>0 năm 11 tháng 27 ngày</t>
  </si>
  <si>
    <t>2025 - W53</t>
  </si>
  <si>
    <t>Dương Hồng Hải</t>
  </si>
  <si>
    <t>0 năm 5 tháng 20 ngày</t>
  </si>
  <si>
    <t>Trần Quốc Tú</t>
  </si>
  <si>
    <t>0 năm 3 tháng 13 ngày</t>
  </si>
  <si>
    <t>Đỗ Văn Vinh</t>
  </si>
  <si>
    <t>Cao Quang Trí</t>
  </si>
  <si>
    <t>0 năm 6 tháng 7 ngày</t>
  </si>
  <si>
    <t>2025 - W47</t>
  </si>
  <si>
    <t>Trương Quốc Toàn</t>
  </si>
  <si>
    <t>0 năm 4 tháng 17 ngày</t>
  </si>
  <si>
    <t>2025 - W19</t>
  </si>
  <si>
    <t>Lê Thanh Tuấn</t>
  </si>
  <si>
    <t>0 năm 4 tháng 18 ngày</t>
  </si>
  <si>
    <t>Trần Đăng Thân</t>
  </si>
  <si>
    <t>01 - Năm</t>
  </si>
  <si>
    <t>1 năm 0 tháng 5 ngày</t>
  </si>
  <si>
    <t>12 tháng</t>
  </si>
  <si>
    <t>Huỳnh Thanh Ngọc</t>
  </si>
  <si>
    <t>1 năm 0 tháng 6 ngày</t>
  </si>
  <si>
    <t>Lê Việt Thắng</t>
  </si>
  <si>
    <t>Acting Linehaul Supervisor</t>
  </si>
  <si>
    <t>1 năm 0 tháng 15 ngày</t>
  </si>
  <si>
    <t>2025 - W17</t>
  </si>
  <si>
    <t>Trần Văn Quang</t>
  </si>
  <si>
    <t>1 năm 0 tháng 23 ngày</t>
  </si>
  <si>
    <t>2025 - W16</t>
  </si>
  <si>
    <t>0 năm 5 tháng 10 ngày</t>
  </si>
  <si>
    <t>Võ Ngọc Nam</t>
  </si>
  <si>
    <t>1 năm 0 tháng 26 ngày</t>
  </si>
  <si>
    <t>Thái Thanh Anh Tài</t>
  </si>
  <si>
    <t>Vũ Minh Quang</t>
  </si>
  <si>
    <t>Nguyễn Tuấn Đạt</t>
  </si>
  <si>
    <t>1 năm 0 tháng 27 ngày</t>
  </si>
  <si>
    <t>Võ Nam Thanh</t>
  </si>
  <si>
    <t>1 năm 1 tháng 0 ngày</t>
  </si>
  <si>
    <t>13 tháng</t>
  </si>
  <si>
    <t>2025 - W15</t>
  </si>
  <si>
    <t>Phạm Hoàng Nam</t>
  </si>
  <si>
    <t>2026 - W14</t>
  </si>
  <si>
    <t>2026 - M04</t>
  </si>
  <si>
    <t>Lê Quốc Việt</t>
  </si>
  <si>
    <t>1 năm 1 tháng 1 ngày</t>
  </si>
  <si>
    <t>Trịnh Búp</t>
  </si>
  <si>
    <t>Trần Minh Đạt</t>
  </si>
  <si>
    <t>Nguyễn Trọng Nghĩa</t>
  </si>
  <si>
    <t>Nguyễn Thành Đông</t>
  </si>
  <si>
    <t>1 năm 1 tháng 3 ngày</t>
  </si>
  <si>
    <t>Nguyễn Trung Hiếu</t>
  </si>
  <si>
    <t>Nguyễn Văn Điểm</t>
  </si>
  <si>
    <t>0 năm 7 tháng 10 ngày</t>
  </si>
  <si>
    <t>7 tháng</t>
  </si>
  <si>
    <t>2025 - W14</t>
  </si>
  <si>
    <t>Phạm Anh Vinh</t>
  </si>
  <si>
    <t>0 năm 7 tháng 26 ngày</t>
  </si>
  <si>
    <t>Phạm Tuấn Duy</t>
  </si>
  <si>
    <t>1 năm 1 tháng 14 ngày</t>
  </si>
  <si>
    <t>2025 - W13</t>
  </si>
  <si>
    <t>Nguyễn Đình Nam</t>
  </si>
  <si>
    <t>1 năm 1 tháng 18 ngày</t>
  </si>
  <si>
    <t>Nguyễn Minh Trung</t>
  </si>
  <si>
    <t>0 năm 6 tháng 6 ngày</t>
  </si>
  <si>
    <t>2025 - W12</t>
  </si>
  <si>
    <t>1 năm 1 tháng 24 ngày</t>
  </si>
  <si>
    <t>Trần Quang Huy</t>
  </si>
  <si>
    <t>1 năm 1 tháng 29 ngày</t>
  </si>
  <si>
    <t>2025 - W11</t>
  </si>
  <si>
    <t>Phạm Chí Trung</t>
  </si>
  <si>
    <t>0 năm 6 tháng 27 ngày</t>
  </si>
  <si>
    <t>Nguyễn Quốc Duy</t>
  </si>
  <si>
    <t>0 năm 8 tháng 10 ngày</t>
  </si>
  <si>
    <t>8 tháng</t>
  </si>
  <si>
    <t>2025 - W10</t>
  </si>
  <si>
    <t>Lê Văn Sang</t>
  </si>
  <si>
    <t>1 năm 2 tháng 4 ngày</t>
  </si>
  <si>
    <t>14 tháng</t>
  </si>
  <si>
    <t>Hồ Thanh Hậu</t>
  </si>
  <si>
    <t>1 năm 2 tháng 6 ngày</t>
  </si>
  <si>
    <t>Nguyễn Thanh Trường Hận</t>
  </si>
  <si>
    <t>Lê Tuấn Em</t>
  </si>
  <si>
    <t>1 năm 2 tháng 7 ngày</t>
  </si>
  <si>
    <t>Trần Vạn Phát</t>
  </si>
  <si>
    <t>1 năm 2 tháng 20 ngày</t>
  </si>
  <si>
    <t>2025 - W08</t>
  </si>
  <si>
    <t>Trần Võ Hải Duyên</t>
  </si>
  <si>
    <t>0 năm 9 tháng 6 ngày</t>
  </si>
  <si>
    <t>Ngô Đình Tuấn</t>
  </si>
  <si>
    <t>1 năm 2 tháng 24 ngày</t>
  </si>
  <si>
    <t>Vũ Đức Thịnh</t>
  </si>
  <si>
    <t>Nguyễn Hữu Thọ</t>
  </si>
  <si>
    <t>0 năm 8 tháng 19 ngày</t>
  </si>
  <si>
    <t>2025 - W07</t>
  </si>
  <si>
    <t>Lê Văn Lộc</t>
  </si>
  <si>
    <t>0 năm 7 tháng 13 ngày</t>
  </si>
  <si>
    <t>Đỗ Duy Linh</t>
  </si>
  <si>
    <t>1 năm 3 tháng 4 ngày</t>
  </si>
  <si>
    <t>15 tháng</t>
  </si>
  <si>
    <t>2025 - W06</t>
  </si>
  <si>
    <t>Lâm Hoàng Nhật</t>
  </si>
  <si>
    <t>1 năm 4 tháng 2 ngày</t>
  </si>
  <si>
    <t>16 tháng</t>
  </si>
  <si>
    <t>2025 - W02</t>
  </si>
  <si>
    <t>Lê Thanh Sang</t>
  </si>
  <si>
    <t>1 năm 4 tháng 8 ngày</t>
  </si>
  <si>
    <t>2025 - W01</t>
  </si>
  <si>
    <t>Vũ Trần Minh Quý</t>
  </si>
  <si>
    <t>0 năm 10 tháng 14 ngày</t>
  </si>
  <si>
    <t>2024 - W51</t>
  </si>
  <si>
    <t>Nguyễn Văn Nam</t>
  </si>
  <si>
    <t>1 năm 5 tháng 2 ngày</t>
  </si>
  <si>
    <t>17 tháng</t>
  </si>
  <si>
    <t>2024 - W50</t>
  </si>
  <si>
    <t>Nguyễn Khải</t>
  </si>
  <si>
    <t>1 năm 5 tháng 5 ngày</t>
  </si>
  <si>
    <t>2024 - W49</t>
  </si>
  <si>
    <t>Lê Công Bằng</t>
  </si>
  <si>
    <t>1 năm 6 tháng 0 ngày</t>
  </si>
  <si>
    <t>18 tháng</t>
  </si>
  <si>
    <t>2024 - W46</t>
  </si>
  <si>
    <t>Nguyễn Quốc Thu</t>
  </si>
  <si>
    <t>1 năm 6 tháng 10 ngày</t>
  </si>
  <si>
    <t>2024 - W44</t>
  </si>
  <si>
    <t>Nguyễn Văn Phương</t>
  </si>
  <si>
    <t>Trần Minh Luân</t>
  </si>
  <si>
    <t>1 năm 6 tháng 25 ngày</t>
  </si>
  <si>
    <t>2024 - W42</t>
  </si>
  <si>
    <t>Lê Văn Sữa</t>
  </si>
  <si>
    <t>1 năm 6 tháng 26 ngày</t>
  </si>
  <si>
    <t>Tô Thanh Phong</t>
  </si>
  <si>
    <t>1 năm 0 tháng 20 ngày</t>
  </si>
  <si>
    <t>2024 - W41</t>
  </si>
  <si>
    <t>Nguyễn Văn Trị</t>
  </si>
  <si>
    <t>1 năm 1 tháng 16 ngày</t>
  </si>
  <si>
    <t>Nguyễn Văn Hậu</t>
  </si>
  <si>
    <t>1 năm 7 tháng 2 ngày</t>
  </si>
  <si>
    <t>19 tháng</t>
  </si>
  <si>
    <t>Châu Kim Thành</t>
  </si>
  <si>
    <t>1 năm 7 tháng 4 ngày</t>
  </si>
  <si>
    <t>Phạm Thọ</t>
  </si>
  <si>
    <t>1 năm 0 tháng 8 ngày</t>
  </si>
  <si>
    <t>2024 - W40</t>
  </si>
  <si>
    <t>1 năm 7 tháng 17 ngày</t>
  </si>
  <si>
    <t>2024 - W39</t>
  </si>
  <si>
    <t>Lê Châu Minh Tuấn</t>
  </si>
  <si>
    <t>1 năm 8 tháng 2 ngày</t>
  </si>
  <si>
    <t>20 tháng</t>
  </si>
  <si>
    <t>2024 - W37</t>
  </si>
  <si>
    <t>Đinh Kim Hùng</t>
  </si>
  <si>
    <t>1 năm 8 tháng 20 ngày</t>
  </si>
  <si>
    <t>2024 - W34</t>
  </si>
  <si>
    <t>Lê Thanh Bình</t>
  </si>
  <si>
    <t>1 năm 9 tháng 3 ngày</t>
  </si>
  <si>
    <t>21 tháng</t>
  </si>
  <si>
    <t>2024 - W32</t>
  </si>
  <si>
    <t>Huỳnh Quang Đại</t>
  </si>
  <si>
    <t>1 năm 9 tháng 4 ngày</t>
  </si>
  <si>
    <t>Ngô Văn Vũ</t>
  </si>
  <si>
    <t>1 năm 9 tháng 9 ngày</t>
  </si>
  <si>
    <t>2024 - W31</t>
  </si>
  <si>
    <t>Hoàng Công Phu</t>
  </si>
  <si>
    <t>1 năm 9 tháng 15 ngày</t>
  </si>
  <si>
    <t>2024 - W30</t>
  </si>
  <si>
    <t>Hà Văn Minh</t>
  </si>
  <si>
    <t>1 năm 9 tháng 22 ngày</t>
  </si>
  <si>
    <t>2024 - W29</t>
  </si>
  <si>
    <t>1 năm 10 tháng 1 ngày</t>
  </si>
  <si>
    <t>22 tháng</t>
  </si>
  <si>
    <t>2024 - W28</t>
  </si>
  <si>
    <t>Dương Văn Đức</t>
  </si>
  <si>
    <t>1 năm 10 tháng 9 ngày</t>
  </si>
  <si>
    <t>2024 - W27</t>
  </si>
  <si>
    <t>Nguyễn Đình Nhật</t>
  </si>
  <si>
    <t>1 năm 4 tháng 15 ngày</t>
  </si>
  <si>
    <t>2024 - W25</t>
  </si>
  <si>
    <t>Phan Tấn Thành</t>
  </si>
  <si>
    <t>1 năm 11 tháng 0 ngày</t>
  </si>
  <si>
    <t>23 tháng</t>
  </si>
  <si>
    <t>2024 - W24</t>
  </si>
  <si>
    <t>Phạm Ngọc Hải</t>
  </si>
  <si>
    <t>1 năm 11 tháng 12 ngày</t>
  </si>
  <si>
    <t>2024 - W22</t>
  </si>
  <si>
    <t>Trần Hữu Vinh</t>
  </si>
  <si>
    <t>02 - Năm</t>
  </si>
  <si>
    <t>2 năm 0 tháng 5 ngày</t>
  </si>
  <si>
    <t>24 tháng</t>
  </si>
  <si>
    <t>2024 - W19</t>
  </si>
  <si>
    <t>Nguyễn Trung Nam</t>
  </si>
  <si>
    <t>1 năm 6 tháng 7 ngày</t>
  </si>
  <si>
    <t>2024 - W17</t>
  </si>
  <si>
    <t>Trần Thế Hải</t>
  </si>
  <si>
    <t>1 năm 6 tháng 15 ngày</t>
  </si>
  <si>
    <t>2024 - W16</t>
  </si>
  <si>
    <t>Nguyễn Kim Thuận</t>
  </si>
  <si>
    <t>2 năm 1 tháng 3 ngày</t>
  </si>
  <si>
    <t>25 tháng</t>
  </si>
  <si>
    <t>2024 - W15</t>
  </si>
  <si>
    <t>Đoàn Văn Tiền</t>
  </si>
  <si>
    <t>1 năm 7 tháng 22 ngày</t>
  </si>
  <si>
    <t>2024 - W14</t>
  </si>
  <si>
    <t>Nguyễn Duy Bảo</t>
  </si>
  <si>
    <t>2024 - W13</t>
  </si>
  <si>
    <t>Nguyễn Hữu Phấn</t>
  </si>
  <si>
    <t>1 năm 7 tháng 16 ngày</t>
  </si>
  <si>
    <t>2024 - W10</t>
  </si>
  <si>
    <t>Lại Minh Trọng</t>
  </si>
  <si>
    <t>2 năm 2 tháng 4 ngày</t>
  </si>
  <si>
    <t>26 tháng</t>
  </si>
  <si>
    <t>Bùi Văn Đây</t>
  </si>
  <si>
    <t>2 năm 2 tháng 5 ngày</t>
  </si>
  <si>
    <t>Vũ Đức Tài</t>
  </si>
  <si>
    <t>1 năm 8 tháng 3 ngày</t>
  </si>
  <si>
    <t>2024 - W09</t>
  </si>
  <si>
    <t>Trương Hồng Kha</t>
  </si>
  <si>
    <t>2 năm 2 tháng 13 ngày</t>
  </si>
  <si>
    <t>Nguyễn Ngọc Nguyên</t>
  </si>
  <si>
    <t>Võ Thành Vinh</t>
  </si>
  <si>
    <t>2 năm 2 tháng 15 ngày</t>
  </si>
  <si>
    <t>Bùi Trọng Thắng</t>
  </si>
  <si>
    <t>2 năm 3 tháng 26 ngày</t>
  </si>
  <si>
    <t>27 tháng</t>
  </si>
  <si>
    <t>2024 - W03</t>
  </si>
  <si>
    <t>Đặng Hoàng Long</t>
  </si>
  <si>
    <t>2 năm 4 tháng 7 ngày</t>
  </si>
  <si>
    <t>28 tháng</t>
  </si>
  <si>
    <t>2024 - W01</t>
  </si>
  <si>
    <t>Trần Thanh Liêm</t>
  </si>
  <si>
    <t>2 năm 5 tháng 10 ngày</t>
  </si>
  <si>
    <t>29 tháng</t>
  </si>
  <si>
    <t>2023 - W48</t>
  </si>
  <si>
    <t>Đặng Thế Tài</t>
  </si>
  <si>
    <t>1 năm 10 tháng 17 ngày</t>
  </si>
  <si>
    <t>2023 - W47</t>
  </si>
  <si>
    <t>Nguyễn Chí Bằng</t>
  </si>
  <si>
    <t>2 năm 6 tháng 2 ngày</t>
  </si>
  <si>
    <t>30 tháng</t>
  </si>
  <si>
    <t>2023 - W45</t>
  </si>
  <si>
    <t>Phan Thanh Tùng</t>
  </si>
  <si>
    <t>2 năm 7 tháng 6 ngày</t>
  </si>
  <si>
    <t>31 tháng</t>
  </si>
  <si>
    <t>2023 - W40</t>
  </si>
  <si>
    <t>Phan Thiện Chí</t>
  </si>
  <si>
    <t>2 năm 7 tháng 20 ngày</t>
  </si>
  <si>
    <t>2023 - W38</t>
  </si>
  <si>
    <t>Huỳnh Văn Bằng</t>
  </si>
  <si>
    <t>Nguyễn Việt Anh</t>
  </si>
  <si>
    <t>Huỳnh Văn Dư</t>
  </si>
  <si>
    <t>Lê Văn Xin</t>
  </si>
  <si>
    <t>2 năm 7 tháng 28 ngày</t>
  </si>
  <si>
    <t>2023 - W37</t>
  </si>
  <si>
    <t>Trần Thanh Tịnh</t>
  </si>
  <si>
    <t>2 năm 2 tháng 16 ngày</t>
  </si>
  <si>
    <t>2023 - W33</t>
  </si>
  <si>
    <t>Lê Trung Hiếu</t>
  </si>
  <si>
    <t>2 năm 8 tháng 27 ngày</t>
  </si>
  <si>
    <t>32 tháng</t>
  </si>
  <si>
    <t>Nguyễn Hà Phước Hậu</t>
  </si>
  <si>
    <t>2 năm 10 tháng 4 ngày</t>
  </si>
  <si>
    <t>34 tháng</t>
  </si>
  <si>
    <t>2023 - W27</t>
  </si>
  <si>
    <t>Kha Minh Vũ</t>
  </si>
  <si>
    <t>2 năm 11 tháng 3 ngày</t>
  </si>
  <si>
    <t>35 tháng</t>
  </si>
  <si>
    <t>2023 - W23</t>
  </si>
  <si>
    <t>Kim Nhựt</t>
  </si>
  <si>
    <t>2 năm 11 tháng 6 ngày</t>
  </si>
  <si>
    <t>Phạm Lộc Thọ</t>
  </si>
  <si>
    <t>2 năm 11 tháng 15 ngày</t>
  </si>
  <si>
    <t>2023 - W21</t>
  </si>
  <si>
    <t>Nguyễn Minh Thế</t>
  </si>
  <si>
    <t>03 - Năm</t>
  </si>
  <si>
    <t>3 năm 0 tháng 24 ngày</t>
  </si>
  <si>
    <t>36 tháng</t>
  </si>
  <si>
    <t>2023 - W16</t>
  </si>
  <si>
    <t>Phạm Nguyễn Minh Mạnh</t>
  </si>
  <si>
    <t>3 năm 1 tháng 2 ngày</t>
  </si>
  <si>
    <t>37 tháng</t>
  </si>
  <si>
    <t>2023 - W15</t>
  </si>
  <si>
    <t>Nguyễn Dương Hoàng Sơn</t>
  </si>
  <si>
    <t>3 năm 1 tháng 23 ngày</t>
  </si>
  <si>
    <t>2023 - W11</t>
  </si>
  <si>
    <t>Phạm Hoài Thương</t>
  </si>
  <si>
    <t>2 năm 7 tháng 22 ngày</t>
  </si>
  <si>
    <t>2023 - W10</t>
  </si>
  <si>
    <t>Hà Thanh Sơn</t>
  </si>
  <si>
    <t>3 năm 2 tháng 28 ngày</t>
  </si>
  <si>
    <t>38 tháng</t>
  </si>
  <si>
    <t>2023 - W07</t>
  </si>
  <si>
    <t>Nguyễn Thanh Cường</t>
  </si>
  <si>
    <t>Nguyễn Quốc Cường</t>
  </si>
  <si>
    <t>3 năm 3 tháng 4 ngày</t>
  </si>
  <si>
    <t>39 tháng</t>
  </si>
  <si>
    <t>2023 - W06</t>
  </si>
  <si>
    <t>Nguyễn Thế Doanh</t>
  </si>
  <si>
    <t>2 năm 8 tháng 26 ngày</t>
  </si>
  <si>
    <t>Nguyễn Văn Tuấn</t>
  </si>
  <si>
    <t>3 năm 3 tháng 8 ngày</t>
  </si>
  <si>
    <t>2023 - W05</t>
  </si>
  <si>
    <t>Phan Phú Hòa</t>
  </si>
  <si>
    <t>3 năm 5 tháng 5 ngày</t>
  </si>
  <si>
    <t>41 tháng</t>
  </si>
  <si>
    <t>2022 - W50</t>
  </si>
  <si>
    <t>Lê Thanh Trâm</t>
  </si>
  <si>
    <t>3 năm 5 tháng 9 ngày</t>
  </si>
  <si>
    <t>2022 - W49</t>
  </si>
  <si>
    <t>2 năm 11 tháng 17 ngày</t>
  </si>
  <si>
    <t>2022 - W47</t>
  </si>
  <si>
    <t>Nguyễn Hoàng Vũ</t>
  </si>
  <si>
    <t>2 năm 11 tháng 19 ngày</t>
  </si>
  <si>
    <t>Phạm Duy Hùng</t>
  </si>
  <si>
    <t>3 năm 1 tháng 26 ngày</t>
  </si>
  <si>
    <t>2022 - W37</t>
  </si>
  <si>
    <t>Ngô Huỳnh Khắc Huy</t>
  </si>
  <si>
    <t>Truck Maintenance Specialist</t>
  </si>
  <si>
    <t>3 năm 1 tháng 5 ngày</t>
  </si>
  <si>
    <t>Đặng Trung Hiếu</t>
  </si>
  <si>
    <t>3 năm 1 tháng 14 ngày</t>
  </si>
  <si>
    <t>2022 - W35</t>
  </si>
  <si>
    <t>Trần Lê Hoàng Tâm</t>
  </si>
  <si>
    <t>3 năm 8 tháng 17 ngày</t>
  </si>
  <si>
    <t>44 tháng</t>
  </si>
  <si>
    <t>Lê Hữu Đức</t>
  </si>
  <si>
    <t>3 năm 2 tháng 14 ngày</t>
  </si>
  <si>
    <t>2022 - W34</t>
  </si>
  <si>
    <t>Đạo Ngọc Hạnh</t>
  </si>
  <si>
    <t>3 năm 2 tháng 27 ngày</t>
  </si>
  <si>
    <t>2022 - W32</t>
  </si>
  <si>
    <t>Phạm Đức Thiện</t>
  </si>
  <si>
    <t>Nguyễn Văn Chung</t>
  </si>
  <si>
    <t>3 năm 1 tháng 29 ngày</t>
  </si>
  <si>
    <t>2022 - W23</t>
  </si>
  <si>
    <t>Nguyễn Ngọc Tân</t>
  </si>
  <si>
    <t>3 năm 11 tháng 10 ngày</t>
  </si>
  <si>
    <t>47 tháng</t>
  </si>
  <si>
    <t>Huỳnh Hồng Huy</t>
  </si>
  <si>
    <t>04 - Năm</t>
  </si>
  <si>
    <t>4 năm 0 tháng 23 ngày</t>
  </si>
  <si>
    <t>48 tháng</t>
  </si>
  <si>
    <t>2022 - W17</t>
  </si>
  <si>
    <t>Lê Quang Thuận</t>
  </si>
  <si>
    <t>4 năm 2 tháng 25 ngày</t>
  </si>
  <si>
    <t>50 tháng</t>
  </si>
  <si>
    <t>2022 - W08</t>
  </si>
  <si>
    <t>Trần Ngọc Quyết</t>
  </si>
  <si>
    <t>4 năm 2 tháng 28 ngày</t>
  </si>
  <si>
    <t>Nguyễn Thị Diễm My</t>
  </si>
  <si>
    <t>Truck Administration Executive</t>
  </si>
  <si>
    <t>4 năm 5 tháng 17 ngày</t>
  </si>
  <si>
    <t>53 tháng</t>
  </si>
  <si>
    <t>2021 - W48</t>
  </si>
  <si>
    <t>Trần Xuân Trường</t>
  </si>
  <si>
    <t>4 năm 0 tháng 21 ngày</t>
  </si>
  <si>
    <t>2021 - W46</t>
  </si>
  <si>
    <t>2025 - W49</t>
  </si>
  <si>
    <t>Nguyễn Văn Tiến</t>
  </si>
  <si>
    <t>4 năm 6 tháng 9 ngày</t>
  </si>
  <si>
    <t>54 tháng</t>
  </si>
  <si>
    <t>2021 - W45</t>
  </si>
  <si>
    <t>Deputy Sorting Centers Manager</t>
  </si>
  <si>
    <t>Nguyễn Tấn Tài</t>
  </si>
  <si>
    <t>4 năm 7 tháng 3 ngày</t>
  </si>
  <si>
    <t>55 tháng</t>
  </si>
  <si>
    <t>2021 - W41</t>
  </si>
  <si>
    <t>Nguyễn Nhân Tài</t>
  </si>
  <si>
    <t>4 năm 11 tháng 15 ngày</t>
  </si>
  <si>
    <t>59 tháng</t>
  </si>
  <si>
    <t>2021 - W22</t>
  </si>
  <si>
    <t>Nguyễn Văn Vũ Phương</t>
  </si>
  <si>
    <t>05 - Năm</t>
  </si>
  <si>
    <t>5 năm 0 tháng 10 ngày</t>
  </si>
  <si>
    <t>60 tháng</t>
  </si>
  <si>
    <t>2021 - W18</t>
  </si>
  <si>
    <t>Lê Minh Đức</t>
  </si>
  <si>
    <t>4 năm 7 tháng 18 ngày</t>
  </si>
  <si>
    <t>2021 - W15</t>
  </si>
  <si>
    <t>Dương Văn Tiến</t>
  </si>
  <si>
    <t>4 năm 8 tháng 24 ngày</t>
  </si>
  <si>
    <t>56 tháng</t>
  </si>
  <si>
    <t>2021 - W10</t>
  </si>
  <si>
    <t>Trương Văn Tâm</t>
  </si>
  <si>
    <t>5 năm 2 tháng 24 ngày</t>
  </si>
  <si>
    <t>62 tháng</t>
  </si>
  <si>
    <t>2021 - W08</t>
  </si>
  <si>
    <t>Dương Kiến Phong</t>
  </si>
  <si>
    <t>5 năm 3 tháng 22 ngày</t>
  </si>
  <si>
    <t>63 tháng</t>
  </si>
  <si>
    <t>2021 - W04</t>
  </si>
  <si>
    <t>Nguyễn Hữu Trường</t>
  </si>
  <si>
    <t>5 năm 3 tháng 12 ngày</t>
  </si>
  <si>
    <t>2021 - W05</t>
  </si>
  <si>
    <t>Nguyễn Huy Hoàng</t>
  </si>
  <si>
    <t>5 năm 8 tháng 10 ngày</t>
  </si>
  <si>
    <t>68 tháng</t>
  </si>
  <si>
    <t>2020 - W36</t>
  </si>
  <si>
    <t>Trần Hy Vinh</t>
  </si>
  <si>
    <t>Nguyễn Hoàng Chánh</t>
  </si>
  <si>
    <t>4 năm 9 tháng 25 ngày</t>
  </si>
  <si>
    <t>57 tháng</t>
  </si>
  <si>
    <t>2020 - W50</t>
  </si>
  <si>
    <t>Lê Văn Minh</t>
  </si>
  <si>
    <t>5 năm 5 tháng 4 ngày</t>
  </si>
  <si>
    <t>65 tháng</t>
  </si>
  <si>
    <t>Hồ Văn Suốt</t>
  </si>
  <si>
    <t>06 - Năm</t>
  </si>
  <si>
    <t>6 năm 2 tháng 1 ngày</t>
  </si>
  <si>
    <t>74 tháng</t>
  </si>
  <si>
    <t>2020 - W11</t>
  </si>
  <si>
    <t>Nguyễn Hoàng Sơn</t>
  </si>
  <si>
    <t>5 năm 9 tháng 6 ngày</t>
  </si>
  <si>
    <t>69 tháng</t>
  </si>
  <si>
    <t>2020 - W32</t>
  </si>
  <si>
    <t>Trần Đình Đức</t>
  </si>
  <si>
    <t>6 năm 8 tháng 5 ngày</t>
  </si>
  <si>
    <t>80 tháng</t>
  </si>
  <si>
    <t>2019 - W36</t>
  </si>
  <si>
    <t>07 - Năm</t>
  </si>
  <si>
    <t>7 năm 5 tháng 18 ngày</t>
  </si>
  <si>
    <t>89 tháng</t>
  </si>
  <si>
    <t>2018 - W47</t>
  </si>
  <si>
    <t>09 - Năm</t>
  </si>
  <si>
    <t>9 năm 1 tháng 28 ngày</t>
  </si>
  <si>
    <t>109 tháng</t>
  </si>
  <si>
    <t>2017 - W11</t>
  </si>
  <si>
    <t>Huỳnh Quốc Việt</t>
  </si>
  <si>
    <t>11 - Năm</t>
  </si>
  <si>
    <t>11 năm 3 tháng 26 ngày</t>
  </si>
  <si>
    <t>135 tháng</t>
  </si>
  <si>
    <t>2015 - W03</t>
  </si>
  <si>
    <t>Nguyễn Thanh Phúc</t>
  </si>
  <si>
    <t>11 năm 4 tháng 22 ngày</t>
  </si>
  <si>
    <t>136 tháng</t>
  </si>
  <si>
    <t>2014 - W51</t>
  </si>
  <si>
    <t>Lê Hoàng Vũ</t>
  </si>
  <si>
    <t>0 năm 0 tháng 4 ngày</t>
  </si>
  <si>
    <t>Huỳnh Minh Sang</t>
  </si>
  <si>
    <t>0 năm 9 tháng 16 ngày</t>
  </si>
  <si>
    <t>Trịnh Ngọc Thuận</t>
  </si>
  <si>
    <t>Đào Hiếu</t>
  </si>
  <si>
    <t>Trần Huy Nghiêm</t>
  </si>
  <si>
    <t>0 năm 4 tháng 0 ngày</t>
  </si>
  <si>
    <t>Phạm Quang Huy</t>
  </si>
  <si>
    <t>0 năm 9 tháng 13 ngày</t>
  </si>
  <si>
    <t>Trần Văn Cảnh</t>
  </si>
  <si>
    <t>Lâm Vĩnh Hào</t>
  </si>
  <si>
    <t>0 năm 9 tháng 11 ngày</t>
  </si>
  <si>
    <t>Nguyễn Khôi Nguyên</t>
  </si>
  <si>
    <t>0 năm 2 tháng 8 ngày</t>
  </si>
  <si>
    <t>Nguyễn Xuân Lợi</t>
  </si>
  <si>
    <t>2026 - W04</t>
  </si>
  <si>
    <t>Ừng Chánh Sang</t>
  </si>
  <si>
    <t>Nguyễn Hoàng Phi</t>
  </si>
  <si>
    <t>Đồng Xuân Hiếu</t>
  </si>
  <si>
    <t>0 năm 3 tháng 27 ngày</t>
  </si>
  <si>
    <t>Nguyễn Trần Tường Khanh</t>
  </si>
  <si>
    <t>Trần Phước Khánh</t>
  </si>
  <si>
    <t>0 năm 2 tháng 13 ngày</t>
  </si>
  <si>
    <t>2025 - W42</t>
  </si>
  <si>
    <t>Nguyễn Vũ Linh</t>
  </si>
  <si>
    <t>0 năm 0 tháng 26 ngày</t>
  </si>
  <si>
    <t>Phạm Văn Tuấn</t>
  </si>
  <si>
    <t>Trần Chí Tâm</t>
  </si>
  <si>
    <t>0 năm 9 tháng 5 ngày</t>
  </si>
  <si>
    <t>Nguyễn Linh Cảnh</t>
  </si>
  <si>
    <t>Võ Thanh Sang</t>
  </si>
  <si>
    <t>Nguyễn Quang Huy</t>
  </si>
  <si>
    <t>0 năm 9 tháng 4 ngày</t>
  </si>
  <si>
    <t>2026 - W13</t>
  </si>
  <si>
    <t>Thái Văn Lỏn</t>
  </si>
  <si>
    <t>0 năm 3 tháng 19 ngày</t>
  </si>
  <si>
    <t>Lại Văn Giàu</t>
  </si>
  <si>
    <t>0 năm 3 tháng 17 ngày</t>
  </si>
  <si>
    <t>Trương Tấn Thành</t>
  </si>
  <si>
    <t>0 năm 2 tháng 0 ngày</t>
  </si>
  <si>
    <t>Nguyễn Nhật Trường</t>
  </si>
  <si>
    <t>0 năm 0 tháng 16 ngày</t>
  </si>
  <si>
    <t>Mai Văn Rỏ</t>
  </si>
  <si>
    <t>Thạch Thảo</t>
  </si>
  <si>
    <t>0 năm 3 tháng 0 ngày</t>
  </si>
  <si>
    <t>Trần Minh Tân</t>
  </si>
  <si>
    <t>0 năm 8 tháng 28 ngày</t>
  </si>
  <si>
    <t>2026 - W05</t>
  </si>
  <si>
    <t>Nguyễn Đình Khôi</t>
  </si>
  <si>
    <t>Ngô Thanh Toàn</t>
  </si>
  <si>
    <t>0 năm 8 tháng 23 ngày</t>
  </si>
  <si>
    <t>0 năm 8 tháng 16 ngày</t>
  </si>
  <si>
    <t>Nguyễn Thanh Phong</t>
  </si>
  <si>
    <t>Nguyễn Ngọc Vũ</t>
  </si>
  <si>
    <t>Trần Duy Khang</t>
  </si>
  <si>
    <t>Nguyễn Văn Sang</t>
  </si>
  <si>
    <t>Huỳnh Tấn Sang</t>
  </si>
  <si>
    <t>Trần Quang Tùng</t>
  </si>
  <si>
    <t>0 năm 1 tháng 9 ngày</t>
  </si>
  <si>
    <t>Nguyễn Viết Tiên</t>
  </si>
  <si>
    <t>0 năm 2 tháng 22 ngày</t>
  </si>
  <si>
    <t>Nguyễn Trần Sang</t>
  </si>
  <si>
    <t>0 năm 8 tháng 21 ngày</t>
  </si>
  <si>
    <t>Đinh Văn Tường</t>
  </si>
  <si>
    <t>0 năm 2 tháng 24 ngày</t>
  </si>
  <si>
    <t>Đinh Công Trường</t>
  </si>
  <si>
    <t>0 năm 2 tháng 25 ngày</t>
  </si>
  <si>
    <t>Nguyễn Thanh Hiếu</t>
  </si>
  <si>
    <t>0 năm 3 tháng 7 ngày</t>
  </si>
  <si>
    <t>Huỳnh Lê Vũ</t>
  </si>
  <si>
    <t>Ngô Văn Trung</t>
  </si>
  <si>
    <t>Lã Hoàng Sang</t>
  </si>
  <si>
    <t>Phạm Tùng Anh</t>
  </si>
  <si>
    <t>0 năm 2 tháng 14 ngày</t>
  </si>
  <si>
    <t>Phan Việt Hùng</t>
  </si>
  <si>
    <t>0 năm 8 tháng 14 ngày</t>
  </si>
  <si>
    <t>Văn Thanh Tiến</t>
  </si>
  <si>
    <t>Đỗ Thành Thịnh</t>
  </si>
  <si>
    <t>Trà Văn Linh</t>
  </si>
  <si>
    <t>0 năm 8 tháng 12 ngày</t>
  </si>
  <si>
    <t>Tạ Nguyễn Nhật Long</t>
  </si>
  <si>
    <t>Lê Tấn Tài</t>
  </si>
  <si>
    <t>0 năm 8 tháng 8 ngày</t>
  </si>
  <si>
    <t>Huỳnh Tấn Nam</t>
  </si>
  <si>
    <t>0 năm 8 tháng 7 ngày</t>
  </si>
  <si>
    <t>Hoàng Vĩnh Thái</t>
  </si>
  <si>
    <t>Lương Hà Minh Trí</t>
  </si>
  <si>
    <t>0 năm 8 tháng 6 ngày</t>
  </si>
  <si>
    <t>Trần Thế Dương</t>
  </si>
  <si>
    <t>Huỳnh Tấn Vũ</t>
  </si>
  <si>
    <t>Phan Quốc Thịnh</t>
  </si>
  <si>
    <t>Trần Đình Lượng</t>
  </si>
  <si>
    <t>0 năm 2 tháng 15 ngày</t>
  </si>
  <si>
    <t>2025 - W37</t>
  </si>
  <si>
    <t>Phạm Trọng Tín</t>
  </si>
  <si>
    <t>0 năm 8 tháng 0 ngày</t>
  </si>
  <si>
    <t>Trần Quốc Thịnh</t>
  </si>
  <si>
    <t>Phạm Minh Hiếu</t>
  </si>
  <si>
    <t>Đỗ Việt Phúc</t>
  </si>
  <si>
    <t>0 năm 7 tháng 29 ngày</t>
  </si>
  <si>
    <t>Mai Văn Xin</t>
  </si>
  <si>
    <t>Nguyễn Thanh Lập</t>
  </si>
  <si>
    <t>0 năm 7 tháng 25 ngày</t>
  </si>
  <si>
    <t>2026 - W10</t>
  </si>
  <si>
    <t>Nguyễn Hồng Ngọc</t>
  </si>
  <si>
    <t>0 năm 2 tháng 9 ngày</t>
  </si>
  <si>
    <t>Nguyễn Xuân Thường</t>
  </si>
  <si>
    <t>Kiều Tuấn Hưng</t>
  </si>
  <si>
    <t>0 năm 0 tháng 20 ngày</t>
  </si>
  <si>
    <t>Nguyễn Phước Thọ</t>
  </si>
  <si>
    <t>Nguyễn Trí Tín</t>
  </si>
  <si>
    <t>Lâm Quốc Nam</t>
  </si>
  <si>
    <t>0 năm 2 tháng 7 ngày</t>
  </si>
  <si>
    <t>Nguyễn Khánh Băng</t>
  </si>
  <si>
    <t>0 năm 7 tháng 23 ngày</t>
  </si>
  <si>
    <t>Phạm Minh Vủ</t>
  </si>
  <si>
    <t>0 năm 1 tháng 20 ngày</t>
  </si>
  <si>
    <t>Lê Văn Thành</t>
  </si>
  <si>
    <t>Nguyễn Thảo Khánh Duy</t>
  </si>
  <si>
    <t>0 năm 7 tháng 22 ngày</t>
  </si>
  <si>
    <t>Nguyễn Chí Thân</t>
  </si>
  <si>
    <t>0 năm 7 tháng 19 ngày</t>
  </si>
  <si>
    <t>Ngô Linh Vương</t>
  </si>
  <si>
    <t>0 năm 7 tháng 18 ngày</t>
  </si>
  <si>
    <t>Đào Thanh Gian</t>
  </si>
  <si>
    <t>Mai Thành Công</t>
  </si>
  <si>
    <t>0 năm 7 tháng 12 ngày</t>
  </si>
  <si>
    <t>Bùi Chí Bảo</t>
  </si>
  <si>
    <t>Ngô Minh Tân</t>
  </si>
  <si>
    <t>0 năm 1 tháng 26 ngày</t>
  </si>
  <si>
    <t>Đoàn Trần Hữu Nhân</t>
  </si>
  <si>
    <t>0 năm 1 tháng 23 ngày</t>
  </si>
  <si>
    <t>Phan Văn Phương</t>
  </si>
  <si>
    <t>0 năm 1 tháng 11 ngày</t>
  </si>
  <si>
    <t>Châu Ngọc Sang</t>
  </si>
  <si>
    <t>0 năm 7 tháng 8 ngày</t>
  </si>
  <si>
    <t>Lê Hữu Khoa</t>
  </si>
  <si>
    <t>Võ Minh Sơn</t>
  </si>
  <si>
    <t>Lê Hoàng Kha</t>
  </si>
  <si>
    <t>Nguyễn Mạnh Thọ</t>
  </si>
  <si>
    <t>Ngô Phước Thuận</t>
  </si>
  <si>
    <t>0 năm 1 tháng 17 ngày</t>
  </si>
  <si>
    <t>Trần Ngọc Huỳnh</t>
  </si>
  <si>
    <t>0 năm 7 tháng 1 ngày</t>
  </si>
  <si>
    <t>0 năm 6 tháng 28 ngày</t>
  </si>
  <si>
    <t>2026 - W02</t>
  </si>
  <si>
    <t>Đỗ Văn Tuyền</t>
  </si>
  <si>
    <t>0 năm 1 tháng 13 ngày</t>
  </si>
  <si>
    <t>Huỳnh Văn Tân</t>
  </si>
  <si>
    <t>Trần Văn Vũ</t>
  </si>
  <si>
    <t>Lê Hữu Tư</t>
  </si>
  <si>
    <t>0 năm 6 tháng 26 ngày</t>
  </si>
  <si>
    <t>Nguyễn Trọng Anh</t>
  </si>
  <si>
    <t>0 năm 6 tháng 21 ngày</t>
  </si>
  <si>
    <t>Liêu Ngọc Châu</t>
  </si>
  <si>
    <t>0 năm 6 tháng 20 ngày</t>
  </si>
  <si>
    <t>2026 - W01</t>
  </si>
  <si>
    <t>Đinh Ngọc Tiến</t>
  </si>
  <si>
    <t>0 năm 1 tháng 2 ngày</t>
  </si>
  <si>
    <t>Nguyễn Văn Khánh</t>
  </si>
  <si>
    <t>Nguyễn Tấn Phúc</t>
  </si>
  <si>
    <t>0 năm 6 tháng 14 ngày</t>
  </si>
  <si>
    <t>Lê Minh Tân</t>
  </si>
  <si>
    <t>Phan Văn Sự</t>
  </si>
  <si>
    <t>0 năm 6 tháng 13 ngày</t>
  </si>
  <si>
    <t>Nguyễn Anh Quân</t>
  </si>
  <si>
    <t>0 năm 6 tháng 12 ngày</t>
  </si>
  <si>
    <t>Trần Ngọc Minh Nhật</t>
  </si>
  <si>
    <t>0 năm 6 tháng 11 ngày</t>
  </si>
  <si>
    <t>Trần Danh Hưng</t>
  </si>
  <si>
    <t>Danh Thái Hưởng</t>
  </si>
  <si>
    <t>0 năm 6 tháng 8 ngày</t>
  </si>
  <si>
    <t>Đoàn Công Thắng</t>
  </si>
  <si>
    <t>0 năm 0 tháng 9 ngày</t>
  </si>
  <si>
    <t>Nguyễn Văn Toàn</t>
  </si>
  <si>
    <t>Bạch Lê Nguyên Vũ</t>
  </si>
  <si>
    <t>Hồ Tấn Lộc</t>
  </si>
  <si>
    <t>Lê Quang Phát</t>
  </si>
  <si>
    <t>Danh Hà</t>
  </si>
  <si>
    <t>Lương Đống Chiêu Anh</t>
  </si>
  <si>
    <t>Nguyễn Văn Thanh</t>
  </si>
  <si>
    <t>0 năm 5 tháng 28 ngày</t>
  </si>
  <si>
    <t>Võ Văn Nhựt</t>
  </si>
  <si>
    <t>0 năm 0 tháng 12 ngày</t>
  </si>
  <si>
    <t>Nguyễn Huỳnh Đình Cương</t>
  </si>
  <si>
    <t>0 năm 6 tháng 0 ngày</t>
  </si>
  <si>
    <t>Mai Quốc Hãi</t>
  </si>
  <si>
    <t>Lê Trung Nhân</t>
  </si>
  <si>
    <t>0 năm 5 tháng 2 ngày</t>
  </si>
  <si>
    <t>Nguyễn Thanh Hải</t>
  </si>
  <si>
    <t>0 năm 5 tháng 6 ngày</t>
  </si>
  <si>
    <t>Ngô Trường Thịnh</t>
  </si>
  <si>
    <t>0 năm 5 tháng 7 ngày</t>
  </si>
  <si>
    <t>Triệu Khánh Lượng</t>
  </si>
  <si>
    <t>Nhan Bảo Linh</t>
  </si>
  <si>
    <t>0 năm 5 tháng 8 ngày</t>
  </si>
  <si>
    <t>Trần Minh Hoàng</t>
  </si>
  <si>
    <t>Phan Huỳnh Gia Bảo</t>
  </si>
  <si>
    <t>Nguyễn Thanh Long</t>
  </si>
  <si>
    <t>Phạm Hoàng Minh Trí</t>
  </si>
  <si>
    <t>0 năm 5 tháng 17 ngày</t>
  </si>
  <si>
    <t>2025 - W51</t>
  </si>
  <si>
    <t>Trần Quốc Bửu</t>
  </si>
  <si>
    <t>Dương Khắc Tài</t>
  </si>
  <si>
    <t>Nguyễn Thị Hồng Duyên</t>
  </si>
  <si>
    <t>Nguyễn Trí Trung</t>
  </si>
  <si>
    <t>0 năm 5 tháng 21 ngày</t>
  </si>
  <si>
    <t>0 năm 5 tháng 22 ngày</t>
  </si>
  <si>
    <t>Huỳnh Quốc Huy</t>
  </si>
  <si>
    <t>0 năm 0 tháng 8 ngày</t>
  </si>
  <si>
    <t>Ngô Công Nhã</t>
  </si>
  <si>
    <t>Phạm Ngô Tấn Huy</t>
  </si>
  <si>
    <t>Nguyễn Thanh Tồng</t>
  </si>
  <si>
    <t>Tăng Công Kính</t>
  </si>
  <si>
    <t>Nguyễn Hữu Tài</t>
  </si>
  <si>
    <t>Hồ Thanh Phương</t>
  </si>
  <si>
    <t>Ca 1</t>
  </si>
  <si>
    <t>Lê Duy Ngọc</t>
  </si>
  <si>
    <t>0 năm 1 tháng 1 ngày</t>
  </si>
  <si>
    <t>2026 - W15</t>
  </si>
  <si>
    <t>Lê Anh Vũ</t>
  </si>
  <si>
    <t>Trần Thái Sơn</t>
  </si>
  <si>
    <t>Lê Văn Tiến</t>
  </si>
  <si>
    <t>Trương Hoàng Vũ</t>
  </si>
  <si>
    <t>Bùi Thanh Huy</t>
  </si>
  <si>
    <t>0 năm 1 tháng 8 ngày</t>
  </si>
  <si>
    <t>Hoàng Tuấn Anh</t>
  </si>
  <si>
    <t>Nguyễn Văn Thái</t>
  </si>
  <si>
    <t>Ngô Trường Vũ</t>
  </si>
  <si>
    <t>Lê Văn Cường</t>
  </si>
  <si>
    <t>Huỳnh Chí Tâm</t>
  </si>
  <si>
    <t>Nguyễn Tuấn Kha</t>
  </si>
  <si>
    <t>Nguyễn Hoàng Tuấn</t>
  </si>
  <si>
    <t>Nguyễn Duy Linh</t>
  </si>
  <si>
    <t>Đào Công Vinh</t>
  </si>
  <si>
    <t>Kha Khải Trung</t>
  </si>
  <si>
    <t>Trịnh Thế Hiệp</t>
  </si>
  <si>
    <t>Nguyễn Hoàng Ân</t>
  </si>
  <si>
    <t>Dương Văn Sỹ</t>
  </si>
  <si>
    <t>0 năm 1 tháng 15 ngày</t>
  </si>
  <si>
    <t>Đỗ Quang Lĩnh</t>
  </si>
  <si>
    <t>Lý Huỳnh Khang</t>
  </si>
  <si>
    <t>Trần Ngọc Lợi</t>
  </si>
  <si>
    <t>0 năm 1 tháng 22 ngày</t>
  </si>
  <si>
    <t>Sỳ Chấn Bảo</t>
  </si>
  <si>
    <t>Nguyễn Văn Quốc Tấn</t>
  </si>
  <si>
    <t>Nguyễn Nam Sơn</t>
  </si>
  <si>
    <t>Phạm Gia Khiêm</t>
  </si>
  <si>
    <t>0 năm 1 tháng 25 ngày</t>
  </si>
  <si>
    <t>Nguyễn Duy Tân</t>
  </si>
  <si>
    <t>Đào Hải Dương</t>
  </si>
  <si>
    <t>Hoàng Minh Bảo</t>
  </si>
  <si>
    <t>Đỗ Minh Phát</t>
  </si>
  <si>
    <t>Lê Ngô Bảo Anh</t>
  </si>
  <si>
    <t>Trần Văn Thanh Thái</t>
  </si>
  <si>
    <t>Nguyễn Thành Trung</t>
  </si>
  <si>
    <t>Phạm Nhật Tân</t>
  </si>
  <si>
    <t>Lê Quốc Hưng</t>
  </si>
  <si>
    <t>0 năm 1 tháng 29 ngày</t>
  </si>
  <si>
    <t>Huỳnh Quốc Bôn</t>
  </si>
  <si>
    <t>Huỳnh Văn Tuấn</t>
  </si>
  <si>
    <t>Trần Trí Đức Nam</t>
  </si>
  <si>
    <t>Nguyễn Quốc Nam</t>
  </si>
  <si>
    <t>Châu Thanh Tuấn Kiệt</t>
  </si>
  <si>
    <t>Huỳnh Minh Phú</t>
  </si>
  <si>
    <t>Đặng Nguyễn Quang Huỳnh</t>
  </si>
  <si>
    <t>0 năm 2 tháng 2 ngày</t>
  </si>
  <si>
    <t>Phan Bảo Long</t>
  </si>
  <si>
    <t>0 năm 2 tháng 5 ngày</t>
  </si>
  <si>
    <t>Đoàn Ngọc Anh</t>
  </si>
  <si>
    <t>Thạch Minh Thành</t>
  </si>
  <si>
    <t>Bùi Đình Danh</t>
  </si>
  <si>
    <t>Võ Văn Nghĩa</t>
  </si>
  <si>
    <t>Nguyễn Văn Bi</t>
  </si>
  <si>
    <t>Mai Văn Bắc</t>
  </si>
  <si>
    <t>Đỗ Hoàng Huy</t>
  </si>
  <si>
    <t>Trịnh Phúc Thịnh</t>
  </si>
  <si>
    <t>0 năm 2 tháng 16 ngày</t>
  </si>
  <si>
    <t>Nguyễn Tấn Đạt</t>
  </si>
  <si>
    <t>0 năm 2 tháng 17 ngày</t>
  </si>
  <si>
    <t>Châu Thanh Sang</t>
  </si>
  <si>
    <t>Lương Minh Tuấn</t>
  </si>
  <si>
    <t>2026 - W06</t>
  </si>
  <si>
    <t>Cấn Duy Cường</t>
  </si>
  <si>
    <t>0 năm 3 tháng 8 ngày</t>
  </si>
  <si>
    <t>Nguyễn Quang Duy</t>
  </si>
  <si>
    <t>0 năm 3 tháng 12 ngày</t>
  </si>
  <si>
    <t>Huỳnh Tấn Ngọc</t>
  </si>
  <si>
    <t>Phan Lâm Sơn Đảo</t>
  </si>
  <si>
    <t>Ngô Hoàng Vũ</t>
  </si>
  <si>
    <t>Phạm Văn Sương</t>
  </si>
  <si>
    <t>Phan Nhật Nam</t>
  </si>
  <si>
    <t>0 năm 3 tháng 21 ngày</t>
  </si>
  <si>
    <t>Nguyễn Minh Cường</t>
  </si>
  <si>
    <t>Hồ Huỳnh Huy Hưng</t>
  </si>
  <si>
    <t>Nguyễn Cao Trí</t>
  </si>
  <si>
    <t>0 năm 3 tháng 25 ngày</t>
  </si>
  <si>
    <t>Châu Bảo Hoàng</t>
  </si>
  <si>
    <t>Nguyễn Lê Minh Nhật</t>
  </si>
  <si>
    <t>0 năm 4 tháng 1 ngày</t>
  </si>
  <si>
    <t>Trần Trọng Nghĩa</t>
  </si>
  <si>
    <t>Nguyễn Minh Nhất</t>
  </si>
  <si>
    <t>Nguyễn Duy Phát</t>
  </si>
  <si>
    <t>Võ Văn Hạnh</t>
  </si>
  <si>
    <t>0 năm 4 tháng 6 ngày</t>
  </si>
  <si>
    <t>Lê Pháp</t>
  </si>
  <si>
    <t>Lê Gia Bảo</t>
  </si>
  <si>
    <t>Lê Thanh Phong</t>
  </si>
  <si>
    <t>2025 - W52</t>
  </si>
  <si>
    <t>Trương Hiếu Nghĩa</t>
  </si>
  <si>
    <t>Nguyễn Chí Hào</t>
  </si>
  <si>
    <t>0 năm 5 tháng 15 ngày</t>
  </si>
  <si>
    <t>Hồ Văn Lập</t>
  </si>
  <si>
    <t>Nguyễn Dũ Hưng</t>
  </si>
  <si>
    <t>0 năm 7 tháng 9 ngày</t>
  </si>
  <si>
    <t>Huỳnh Văn Cường</t>
  </si>
  <si>
    <t>Hồ Văn Khỏe</t>
  </si>
  <si>
    <t>0 năm 11 tháng 29 ngày</t>
  </si>
  <si>
    <t>Trần Gia Khiêm</t>
  </si>
  <si>
    <t>1 năm 1 tháng 27 ngày</t>
  </si>
  <si>
    <t>Đào Nguyên Khải</t>
  </si>
  <si>
    <t>4 năm 6 tháng 25 ngày</t>
  </si>
  <si>
    <t>2021 - W42</t>
  </si>
  <si>
    <t>Nguyễn Trọng Mải</t>
  </si>
  <si>
    <t>Phạm Minh Đăng</t>
  </si>
  <si>
    <t>0 năm 0 tháng 24 ngày</t>
  </si>
  <si>
    <t>2026 - W16</t>
  </si>
  <si>
    <t>Nguyễn Hữu Hậu</t>
  </si>
  <si>
    <t>Ticket_id</t>
  </si>
  <si>
    <t>Vùng</t>
  </si>
  <si>
    <t>warehouse</t>
  </si>
  <si>
    <t>Nhập tên BC (Nếu bạn chọn mục 'Khác' ở trên)</t>
  </si>
  <si>
    <t>Lộ trình</t>
  </si>
  <si>
    <t>Tài khoản telegram</t>
  </si>
  <si>
    <t>Số lượng kiện</t>
  </si>
  <si>
    <t>Thể tích cần</t>
  </si>
  <si>
    <t>Ngày mong muốn</t>
  </si>
  <si>
    <t>Trạng thái</t>
  </si>
  <si>
    <t>Giờ tới</t>
  </si>
  <si>
    <t>Mã chuyến đi</t>
  </si>
  <si>
    <t>Tên NCC</t>
  </si>
  <si>
    <t>Thông tin tx</t>
  </si>
  <si>
    <t>Về KTC ?</t>
  </si>
  <si>
    <t>Giờ về đén KTC đầu</t>
  </si>
  <si>
    <t>Đã thông báo tele</t>
  </si>
  <si>
    <t>TTC-34</t>
  </si>
  <si>
    <t>2453 - 291A Nguyễn Duy-Q.8-HCM</t>
  </si>
  <si>
    <t>Lấy hàng về HCM20</t>
  </si>
  <si>
    <t>Có xe</t>
  </si>
  <si>
    <t>E260330NX7WUFU2</t>
  </si>
  <si>
    <t>51D-23467</t>
  </si>
  <si>
    <t>Trần Anh Huy</t>
  </si>
  <si>
    <t>Y</t>
  </si>
  <si>
    <t>TTC-35</t>
  </si>
  <si>
    <t>22311000 - 155 Quốc lộ 1A-Bình Chiểu-Thủ Đức-HCM</t>
  </si>
  <si>
    <t>Lấy hàng về 2 Kho</t>
  </si>
  <si>
    <t>3122693 - Văn Trí - NVXL</t>
  </si>
  <si>
    <t>&gt;100%</t>
  </si>
  <si>
    <t>E260330RAWQSLVC</t>
  </si>
  <si>
    <t>51D-19263</t>
  </si>
  <si>
    <t>Hà Thanh Sơn AHT: 0948387200</t>
  </si>
  <si>
    <t>TTC-37</t>
  </si>
  <si>
    <t>22409000 - 85 Cao Văn Ngọc-Phường Tân Phú-HCM</t>
  </si>
  <si>
    <t>E260330VHACICA6</t>
  </si>
  <si>
    <t>50H-52870</t>
  </si>
  <si>
    <t>Nguyễn Tuấn Kiệt</t>
  </si>
  <si>
    <t>TTC-38</t>
  </si>
  <si>
    <t>22729000 - KD 309B Tô Ký-Hóc Môn-HCM</t>
  </si>
  <si>
    <t>Lấy hàng về HCM01</t>
  </si>
  <si>
    <t>E260330Y8YT31X1</t>
  </si>
  <si>
    <t>50H-26261</t>
  </si>
  <si>
    <t>VÕ NAM THANH</t>
  </si>
  <si>
    <t>TTC-39</t>
  </si>
  <si>
    <t>20585000 - 59 Trương Phước Phan-Q.Bình Tân-HCM</t>
  </si>
  <si>
    <t>E260331YSLDLNPC</t>
  </si>
  <si>
    <t>50H-93901</t>
  </si>
  <si>
    <t>TTC-40</t>
  </si>
  <si>
    <t>22214000 - 197 Lê Cao Lãng-Phú Thạnh-Tân Phú-HCM</t>
  </si>
  <si>
    <t>E2603317DN1HZSL</t>
  </si>
  <si>
    <t>50H-16649</t>
  </si>
  <si>
    <t>TTC-43</t>
  </si>
  <si>
    <t>22820000 - KD 93D Tân Thắng-Q.Tân Phú-HCM</t>
  </si>
  <si>
    <t>E260331S4PDPVIC</t>
  </si>
  <si>
    <t>50H-04795</t>
  </si>
  <si>
    <t>3160460 Đoàn Ngọc Anh</t>
  </si>
  <si>
    <t>HCM01 + HCM20</t>
  </si>
  <si>
    <t>TTC-50</t>
  </si>
  <si>
    <t>22473000 - 13 Đường Số 8-Hiệp Bình Phước-Q.Thủ Đức-HCM</t>
  </si>
  <si>
    <t>E260331W6ROF9BC</t>
  </si>
  <si>
    <t>54X-2041</t>
  </si>
  <si>
    <t>Nguyễn Hữu Luân: 0335338521</t>
  </si>
  <si>
    <t>TTC-54</t>
  </si>
  <si>
    <t>20027000 - 117 Hùng Vương-Q.5-HCM</t>
  </si>
  <si>
    <t>Hủy - Nhập sai</t>
  </si>
  <si>
    <t>TTC-56</t>
  </si>
  <si>
    <t>20944000 - 309 Nguyễn Thị Ngâu-Hóc Môn-HCM</t>
  </si>
  <si>
    <t>E260331PTP029HH</t>
  </si>
  <si>
    <t>50H-00795</t>
  </si>
  <si>
    <t>TRẦN NGỌC HUỲNH</t>
  </si>
  <si>
    <t>TTC-58</t>
  </si>
  <si>
    <t>E260331MYG5BNRU</t>
  </si>
  <si>
    <t>51D-11134</t>
  </si>
  <si>
    <t>TRỊNH MINH TÂM</t>
  </si>
  <si>
    <t>HCM01</t>
  </si>
  <si>
    <t>TTC-60</t>
  </si>
  <si>
    <t>22205000 - 8F Gò Xoài-Bình Hưng Hòa A-Bình Tân-HCM</t>
  </si>
  <si>
    <t>TTC-65</t>
  </si>
  <si>
    <t>22531000 - Chuyên Lấy 1162/6A Tỉnh Lộ 10-Q.Bình Tân-HCM</t>
  </si>
  <si>
    <t>TTC-67</t>
  </si>
  <si>
    <t>22586000 - 6 Phạm Văn Hai-Q.Tân Bình-HCM</t>
  </si>
  <si>
    <t>E2603312IQYK1UJ</t>
  </si>
  <si>
    <t>50H-04768</t>
  </si>
  <si>
    <t>TRẦN NGỌC LỢI</t>
  </si>
  <si>
    <t>TTC-68</t>
  </si>
  <si>
    <t>21640000 - C1/7 Lại Hùng Cường-Vĩnh Lộc B-Bình Chánh-HCM</t>
  </si>
  <si>
    <t>E26033191BE4NPS</t>
  </si>
  <si>
    <t>50H-26552</t>
  </si>
  <si>
    <t>ĐÀO NGUYÊN KHẢI</t>
  </si>
  <si>
    <t>TTC-77</t>
  </si>
  <si>
    <t>Nhờ team hỗ trợ bưu cục xe 5 tấn về 2 kho. thank team</t>
  </si>
  <si>
    <t>E26040169LPMVLH</t>
  </si>
  <si>
    <t>50H-06985</t>
  </si>
  <si>
    <t>Trần Hoài Thanh AHT: 0911956408</t>
  </si>
  <si>
    <t>TTC-79</t>
  </si>
  <si>
    <t>22492000 - 88 Võ Thị Liễu-Q.12-HCM</t>
  </si>
  <si>
    <t>E2604018IZXVVPQ</t>
  </si>
  <si>
    <t>50H-04769</t>
  </si>
  <si>
    <t>LÊ CÔNG BẰNG</t>
  </si>
  <si>
    <t>TTC-80</t>
  </si>
  <si>
    <t>Hủy - Bưu cục Dự án để hàng cho LCS của team Network</t>
  </si>
  <si>
    <t>huy phan hủy tay do thuộc blacklist</t>
  </si>
  <si>
    <t>TTC-83</t>
  </si>
  <si>
    <t>22076000 - 92 Tân Chánh Hiệp 03-Tân Chánh Hiệp-Quận 12-HCM</t>
  </si>
  <si>
    <t>E260401E03G5A11</t>
  </si>
  <si>
    <t>50H-94497</t>
  </si>
  <si>
    <t>PHAN PHÚ HÒA</t>
  </si>
  <si>
    <t>TTC-84</t>
  </si>
  <si>
    <t>Khác: 155 Quốc Lộ 1a Bình Chiểu Thủ Đức HCM</t>
  </si>
  <si>
    <t>155 Quốc Lộ 1a Bình Chiểu Thủ Đức HCM</t>
  </si>
  <si>
    <t>E260401NZWOIC22</t>
  </si>
  <si>
    <t>50H-67027</t>
  </si>
  <si>
    <t>Nguyễn Trung Hiếu AHT: 0937822322</t>
  </si>
  <si>
    <t>TTC-85</t>
  </si>
  <si>
    <t>21574000 - 47 Đường 882-Phú Hữu-Q.9-HCM</t>
  </si>
  <si>
    <t>E26040193H8BWQ4</t>
  </si>
  <si>
    <t>50h-81137</t>
  </si>
  <si>
    <t>Trịnh Đức Đạt AHT: 0342513427</t>
  </si>
  <si>
    <t>HCM20 + HCM01</t>
  </si>
  <si>
    <t>TTC-86</t>
  </si>
  <si>
    <t>22472000 - 38 Đường Số 3-Q.Bình Tân-HCM</t>
  </si>
  <si>
    <t>E26040174UJ1NS9</t>
  </si>
  <si>
    <t>50h-04768</t>
  </si>
  <si>
    <t>TTC-87</t>
  </si>
  <si>
    <t>E2604010J21RYHR</t>
  </si>
  <si>
    <t>50H-80662</t>
  </si>
  <si>
    <t>CẤN DUY CƯỜNG</t>
  </si>
  <si>
    <t>TTC-88</t>
  </si>
  <si>
    <t>E260401LBV1E6LP</t>
  </si>
  <si>
    <t>50H-80918</t>
  </si>
  <si>
    <t>TTC-89</t>
  </si>
  <si>
    <t>22546000 - 692 An Phú Tây-Bình Chánh-HCM</t>
  </si>
  <si>
    <t>cod đầu full tải bỏ điểm</t>
  </si>
  <si>
    <t>E2604017LUJ952B</t>
  </si>
  <si>
    <t>50h-16700</t>
  </si>
  <si>
    <t>TRẦN HỮU VINH</t>
  </si>
  <si>
    <t>TTC-90</t>
  </si>
  <si>
    <t>21309000 - Phước Kiển-Nhà Bè-HCM</t>
  </si>
  <si>
    <t>Không có xe</t>
  </si>
  <si>
    <t>TTC-92</t>
  </si>
  <si>
    <t>22498000 - 47/2 Lê Văn Khương-Q.12-HCM</t>
  </si>
  <si>
    <t>E260401S4SHSDLN</t>
  </si>
  <si>
    <t>50H-88749</t>
  </si>
  <si>
    <t>PHẠM KHÁNH DUY</t>
  </si>
  <si>
    <t>TTC-93</t>
  </si>
  <si>
    <t>21486000 - 320 Nguyễn Thị Kiểu-Hiệp Thành-Quận 12-HCM</t>
  </si>
  <si>
    <t>E260401PTVNC367</t>
  </si>
  <si>
    <t>50H-71661</t>
  </si>
  <si>
    <t>TRỊNH PHÚC THỊNH</t>
  </si>
  <si>
    <t>TTC-95</t>
  </si>
  <si>
    <t>21001000 - 20 Đường số 81-Q.7-HCM</t>
  </si>
  <si>
    <t>@zhwgnh02</t>
  </si>
  <si>
    <t>nhờ team hỗ trợ tải tăng cường giúp bc, thanks all !</t>
  </si>
  <si>
    <t>TTC-96</t>
  </si>
  <si>
    <t>E260401OV83KLXX</t>
  </si>
  <si>
    <t>TTC-97</t>
  </si>
  <si>
    <t>22033000 - Phan Huy Ích-Gò Vấp-HCM</t>
  </si>
  <si>
    <t>TTC-99</t>
  </si>
  <si>
    <t>21520000 - 78 Nguyễn Minh Hoàng-Phường 12-Q.Tân Bình-HCM</t>
  </si>
  <si>
    <t>TẢI ĐẦY</t>
  </si>
  <si>
    <t>E260401K1GOIS6M</t>
  </si>
  <si>
    <t>50h-10638</t>
  </si>
  <si>
    <t>Hà Đại Dương: 0967611150,</t>
  </si>
  <si>
    <t>TTC-100</t>
  </si>
  <si>
    <t>22668000 - KD 804 Tân Kỳ Tân Quý-Q.Bình Tân-HCM</t>
  </si>
  <si>
    <t>TTC-101</t>
  </si>
  <si>
    <t>E26040155D5TOBE</t>
  </si>
  <si>
    <t>50H-93136</t>
  </si>
  <si>
    <t>ĐINH VĂN TỚI</t>
  </si>
  <si>
    <t>TTC-102</t>
  </si>
  <si>
    <t>E260401RAV6AAJJ</t>
  </si>
  <si>
    <t>50h-94453</t>
  </si>
  <si>
    <t>LÂM HOÀNG NHẬT</t>
  </si>
  <si>
    <t>TTC-104</t>
  </si>
  <si>
    <t>TTC-106</t>
  </si>
  <si>
    <t>21099000 - 02 Đường Số 28 - Củ Chi - HCM</t>
  </si>
  <si>
    <t>E260401XOJ5PV5Y</t>
  </si>
  <si>
    <t>50H-86933</t>
  </si>
  <si>
    <t>Nguyễn Tuấn Đạt-0967780714</t>
  </si>
  <si>
    <t>TTC-118</t>
  </si>
  <si>
    <t>TTC-119</t>
  </si>
  <si>
    <t>E2604029Z5C32TB</t>
  </si>
  <si>
    <t>50h-94497</t>
  </si>
  <si>
    <t>TTC-124</t>
  </si>
  <si>
    <t>E2604020333OJQR</t>
  </si>
  <si>
    <t>51D-62358</t>
  </si>
  <si>
    <t>Trịnh Văn Đại: 0795929428</t>
  </si>
  <si>
    <t>TTC-125</t>
  </si>
  <si>
    <t>E260402ZB52URBC</t>
  </si>
  <si>
    <t>TTC-126</t>
  </si>
  <si>
    <t>COT ĐẦU FULL TẢI BỎ ĐIỂM</t>
  </si>
  <si>
    <t>E260402T98DTJOM</t>
  </si>
  <si>
    <t>TTC-132</t>
  </si>
  <si>
    <t>Tải đầy bỏ diểm</t>
  </si>
  <si>
    <t>E2604024TPZ83J3</t>
  </si>
  <si>
    <t>50h-88749</t>
  </si>
  <si>
    <t>PHẠM TUẤN DUY</t>
  </si>
  <si>
    <t>TTC-133</t>
  </si>
  <si>
    <t>E260403GC30IW28</t>
  </si>
  <si>
    <t>50H-89535</t>
  </si>
  <si>
    <t>NGUYỄN CAO TRÍ</t>
  </si>
  <si>
    <t>TTC-134</t>
  </si>
  <si>
    <t>22257000 - 31-31A Lý Phục Man-Bình Thuận-Quận 7-HCM</t>
  </si>
  <si>
    <t>tải 5T</t>
  </si>
  <si>
    <t>50H-87684</t>
  </si>
  <si>
    <t>5T</t>
  </si>
  <si>
    <t>Nguyễn Hồng Vinh 708671655</t>
  </si>
  <si>
    <t>TTC-135</t>
  </si>
  <si>
    <t>Hàng CK tăng mạnh thềm event, nhờ team hỗ trợ xe lớn hoặc 2 xe TC giúp ạ</t>
  </si>
  <si>
    <t>TTC-137</t>
  </si>
  <si>
    <t>22367000 - Đường 268 Đỗ Xuân Hợp-Phường Phước Long-HCM</t>
  </si>
  <si>
    <t>E2604032CM1OGDU</t>
  </si>
  <si>
    <t>50h-14137</t>
  </si>
  <si>
    <t>NGUYỄN ANH TÚ 0708 939 658</t>
  </si>
  <si>
    <t>TTC-138</t>
  </si>
  <si>
    <t>TTC-149</t>
  </si>
  <si>
    <t>Nhờ team hỗ trợ 2 kho giúp bưu cục</t>
  </si>
  <si>
    <t>E2604039MY41UP6</t>
  </si>
  <si>
    <t>TTC-152</t>
  </si>
  <si>
    <t>21::45</t>
  </si>
  <si>
    <t>E2604030W5MFL9W</t>
  </si>
  <si>
    <t>50H-89693</t>
  </si>
  <si>
    <t>LÂM VĨNH HÀO</t>
  </si>
  <si>
    <t>TTC-154</t>
  </si>
  <si>
    <t>TTC-155</t>
  </si>
  <si>
    <t>E260403K8T76GXL</t>
  </si>
  <si>
    <t>võ nam thanh</t>
  </si>
  <si>
    <t>TTC-157</t>
  </si>
  <si>
    <t>E260404W9ZYMR7C</t>
  </si>
  <si>
    <t>50H-88552</t>
  </si>
  <si>
    <t>3128181 Nguyễn Đình Nam 896594532</t>
  </si>
  <si>
    <t>TTC-158</t>
  </si>
  <si>
    <t>E260404BH46DSNG</t>
  </si>
  <si>
    <t>50H-00769</t>
  </si>
  <si>
    <t>TTC-162</t>
  </si>
  <si>
    <t>21485000 - A5 KDC Tân Thuận Nam-Phú Thuận-Quận 7-HCM</t>
  </si>
  <si>
    <t>TTC-166</t>
  </si>
  <si>
    <t>TTC-168</t>
  </si>
  <si>
    <t>21432001 - Điểm Lấy Hàng 109 Hà Duy Phiên-Củ Chi-HCM</t>
  </si>
  <si>
    <t>hàng CK nặng nhờ team hỗ trợ tải 5 tấn</t>
  </si>
  <si>
    <t>51D-60081</t>
  </si>
  <si>
    <t>Bùi Ngọc Hải 819685446</t>
  </si>
  <si>
    <t>TTC-169</t>
  </si>
  <si>
    <t>Do hàng CK event tăng, BC xin thêm 1 tải 1T9 để đảm bảo LC</t>
  </si>
  <si>
    <t>SG_TCEV_57</t>
  </si>
  <si>
    <t>xe tăng cường theo file có sẵn</t>
  </si>
  <si>
    <t>TTC-171</t>
  </si>
  <si>
    <t>sản lượng hàng hóa tăng đột biến, nhờ team hỗ trợ tải giúp bc. em cảm ơn ạ !</t>
  </si>
  <si>
    <t>TTC-178</t>
  </si>
  <si>
    <t>SG_TCEV_62</t>
  </si>
  <si>
    <t>TTC-179</t>
  </si>
  <si>
    <t>22799000 - 593A Tỉnh Lộ 15-Củ Chi-HCM</t>
  </si>
  <si>
    <t>@huynhanphu</t>
  </si>
  <si>
    <t>E260404CAAC00ZO</t>
  </si>
  <si>
    <t>TTC-182</t>
  </si>
  <si>
    <t>E260404PJ0L6GG0</t>
  </si>
  <si>
    <t>TTC-184</t>
  </si>
  <si>
    <t>E260404W5M8073U</t>
  </si>
  <si>
    <t>50h-71661</t>
  </si>
  <si>
    <t>TTC-185</t>
  </si>
  <si>
    <t>SG_TCEV_33</t>
  </si>
  <si>
    <t>HCM03</t>
  </si>
  <si>
    <t>TTC-188</t>
  </si>
  <si>
    <t>21471000 - 602/26 Điện Biên Phủ-Phường 12-Bình Thạnh-HCM</t>
  </si>
  <si>
    <t>E260404T3LHZGK2</t>
  </si>
  <si>
    <t>TTC-190</t>
  </si>
  <si>
    <t>22437000 - 147E Đội Cung-Q.11-HCM</t>
  </si>
  <si>
    <t>TTC-191</t>
  </si>
  <si>
    <t>21::00</t>
  </si>
  <si>
    <t>SG_TCEV_72</t>
  </si>
  <si>
    <t>TTC-193</t>
  </si>
  <si>
    <t>E2604049PT4ZMLV</t>
  </si>
  <si>
    <t>TTC-195</t>
  </si>
  <si>
    <t>21066000 - 106/3A Tây Lân-Hóc Môn-HCM</t>
  </si>
  <si>
    <t>VÕ TRƯỜNG THỊNH</t>
  </si>
  <si>
    <t>SG_TCEV_38</t>
  </si>
  <si>
    <t>TTC-197</t>
  </si>
  <si>
    <t>E260404MHY7KT3G</t>
  </si>
  <si>
    <t>TTC-198</t>
  </si>
  <si>
    <t>SG_TCEV_65</t>
  </si>
  <si>
    <t>TTC-199</t>
  </si>
  <si>
    <t>E260404HQPYN120</t>
  </si>
  <si>
    <t>50H-93394</t>
  </si>
  <si>
    <t>TTC-200</t>
  </si>
  <si>
    <t>DAT NVXL</t>
  </si>
  <si>
    <t>Cot đầu full tải</t>
  </si>
  <si>
    <t>SG_TCEV_44</t>
  </si>
  <si>
    <t>TTC-202</t>
  </si>
  <si>
    <t>21606000 - Kho Giao Hàng Nặng - Tân Tạo - HCM</t>
  </si>
  <si>
    <t>@TamBi2697</t>
  </si>
  <si>
    <t>E260404C751ZODK</t>
  </si>
  <si>
    <t>50H--94497</t>
  </si>
  <si>
    <t>TTC-203</t>
  </si>
  <si>
    <t>E2604040166ZOSF</t>
  </si>
  <si>
    <t>TTC-205</t>
  </si>
  <si>
    <t>ThangGHN</t>
  </si>
  <si>
    <t>Hàng tăng cao, Cot 20 chính đi bưu cục 78 Q7 báo full tải</t>
  </si>
  <si>
    <t>TTC-207</t>
  </si>
  <si>
    <t>E2604045CC0DTCO</t>
  </si>
  <si>
    <t>50H-16700</t>
  </si>
  <si>
    <t>TTC-210</t>
  </si>
  <si>
    <t>Xin 2 xe 1t9, xe 5t không vào được bc</t>
  </si>
  <si>
    <t>E260404PATMF0DC</t>
  </si>
  <si>
    <t>TTC-211</t>
  </si>
  <si>
    <t>Hỗ trợ giúp em 2 kho. thank team</t>
  </si>
  <si>
    <t>E2604041YBKQ4FJ</t>
  </si>
  <si>
    <t>TTC-212</t>
  </si>
  <si>
    <t>TTC-213</t>
  </si>
  <si>
    <t>21311000 - Tăng Nhơn Phú B-Q.9-HCM</t>
  </si>
  <si>
    <t>TTC-214</t>
  </si>
  <si>
    <t>E260404D2FUP2CC</t>
  </si>
  <si>
    <t>50h-19733</t>
  </si>
  <si>
    <t>NGUYỄN MINH HIẾU</t>
  </si>
  <si>
    <t>TTC-215</t>
  </si>
  <si>
    <t>TTC-216</t>
  </si>
  <si>
    <t>Hủy - BC không đợi tải</t>
  </si>
  <si>
    <t>TTC-217</t>
  </si>
  <si>
    <t>2451 - 1130 Đông Hưng Thuận 05-Q.12-HCM</t>
  </si>
  <si>
    <t>E260404K9NBK7FO</t>
  </si>
  <si>
    <t>50H-94453</t>
  </si>
  <si>
    <t>TTC-218</t>
  </si>
  <si>
    <t>TTC-219</t>
  </si>
  <si>
    <t>2276 - 1135 Phan Văn Trị-Q.Gò Vấp-HCM</t>
  </si>
  <si>
    <t>E260404Z7GOQ8YP</t>
  </si>
  <si>
    <t>đinh văn tới</t>
  </si>
  <si>
    <t>TTC-220</t>
  </si>
  <si>
    <t>21018000 - 88/21 Phan Sào Nam-Q.Tân Bình-HCM</t>
  </si>
  <si>
    <t>TTC-221</t>
  </si>
  <si>
    <t>E2604040E6MK6SE</t>
  </si>
  <si>
    <t>TTC-222</t>
  </si>
  <si>
    <t>21677000 - 26 Bùi Thanh Khiết-Tân Túc-Bình Chánh</t>
  </si>
  <si>
    <t>hàng lấy về trễ không đóng kịp hàng</t>
  </si>
  <si>
    <t>E260405D5JZ1MDY</t>
  </si>
  <si>
    <t>50H-89883</t>
  </si>
  <si>
    <t>3153353 Nguyễn Thanh Hải 934035299</t>
  </si>
  <si>
    <t>TTC-224</t>
  </si>
  <si>
    <t>duyen</t>
  </si>
  <si>
    <t>E260404R639VF1P</t>
  </si>
  <si>
    <t>50h-26552</t>
  </si>
  <si>
    <t>đào nguyên khải</t>
  </si>
  <si>
    <t>TTC-225</t>
  </si>
  <si>
    <t>22408000 - 185 Tân Thới Nhất 8-Phường Đông Hưng Thuận-HCM</t>
  </si>
  <si>
    <t>3022462-HCM-NVXL-NGUYEN HOANG - 0938415590 1130 DHT</t>
  </si>
  <si>
    <t>tải đầy</t>
  </si>
  <si>
    <t>22:;00</t>
  </si>
  <si>
    <t>TTC-227</t>
  </si>
  <si>
    <t>Do lượng hàng tăng đột biến, bc đã xuất full 2 xe cố định và TC 01. Nhờ team hỗ trợ tải lấy hàng giúp BC. Em cảm ơn ạ !</t>
  </si>
  <si>
    <t>E260404W3RL7RED</t>
  </si>
  <si>
    <t>50H-88387</t>
  </si>
  <si>
    <t>3163609 Trần Ngọc Tân 362424117</t>
  </si>
  <si>
    <t>TTC-229</t>
  </si>
  <si>
    <t>20750000 - F5/9A Trần Văn Giàu-Bình Chánh-HCM</t>
  </si>
  <si>
    <t>E260404ORX0J73H</t>
  </si>
  <si>
    <t>50H-22329</t>
  </si>
  <si>
    <t>NGUYỄN THẢO KHÁNH DUY</t>
  </si>
  <si>
    <t>TTC-230</t>
  </si>
  <si>
    <t>2452 - 198 Thạnh Lộc 15-Q.12-HCM</t>
  </si>
  <si>
    <t>E260404T3KPZ0N3</t>
  </si>
  <si>
    <t>50H-00630</t>
  </si>
  <si>
    <t>Hà Văn Minh 0911917784</t>
  </si>
  <si>
    <t>TTC-231</t>
  </si>
  <si>
    <t>TTC-232</t>
  </si>
  <si>
    <t>TTC-233</t>
  </si>
  <si>
    <t>E260404BCWXLZNI</t>
  </si>
  <si>
    <t>50H-89800</t>
  </si>
  <si>
    <t>Kim Nhựt 0366794880</t>
  </si>
  <si>
    <t>TTC-235</t>
  </si>
  <si>
    <t>21424000 - 1440/1 Tỉnh Lộ 10-Tân Tạo-Bình Tân-HCM</t>
  </si>
  <si>
    <t>E2604050N4208XQ</t>
  </si>
  <si>
    <t>3159021 Trịnh Phúc Thịnh 356995722</t>
  </si>
  <si>
    <t>TTC-236</t>
  </si>
  <si>
    <t>E260405ZO40AWS5</t>
  </si>
  <si>
    <t>3146964 Trần Ngọc Huỳnh 972233011</t>
  </si>
  <si>
    <t>TTC-237</t>
  </si>
  <si>
    <t>E260405O0QLUB9X</t>
  </si>
  <si>
    <t>0.00E+00</t>
  </si>
  <si>
    <t>3143720 Phạm Trọng Tín 937346340</t>
  </si>
  <si>
    <t>TTC-238</t>
  </si>
  <si>
    <t>E260405AN75T4GB</t>
  </si>
  <si>
    <t>3128588 Phạm Tuấn Duy</t>
  </si>
  <si>
    <t>TTC-241</t>
  </si>
  <si>
    <t>E260405RWW5PJ54</t>
  </si>
  <si>
    <t>50H-85503</t>
  </si>
  <si>
    <t>Nguyễn Tấn Thành</t>
  </si>
  <si>
    <t>TTC-245</t>
  </si>
  <si>
    <t>E260405V60WRIMD</t>
  </si>
  <si>
    <t>TTC-247</t>
  </si>
  <si>
    <t>2488 - 480F Cao Thắng - Trường Sa-Q.3-HCM</t>
  </si>
  <si>
    <t>@trungtinvo79</t>
  </si>
  <si>
    <t>E260405MZE0TU0P</t>
  </si>
  <si>
    <t>50H-81137</t>
  </si>
  <si>
    <t>TTC-248</t>
  </si>
  <si>
    <t>E26040520IOO1EA</t>
  </si>
  <si>
    <t>TTC-251</t>
  </si>
  <si>
    <t>TTC-252</t>
  </si>
  <si>
    <t>Hàng CK event tăng từ giờ đến tối, BC nhờ team sắp xếp thêm vài xe 1T9 nữa ạ (chiều tối nay sẽ điền file tiếp)</t>
  </si>
  <si>
    <t>TTC-253</t>
  </si>
  <si>
    <t>hàng CK nặng nhờ team hỗ trợ cấp xe lớn, trên 10 tấn thàng thank team</t>
  </si>
  <si>
    <t>50h-60218</t>
  </si>
  <si>
    <t>Bùi Chí Thành</t>
  </si>
  <si>
    <t>50H-00238</t>
  </si>
  <si>
    <t>Phan Văn Giàu 918789375</t>
  </si>
  <si>
    <t>TTC-257</t>
  </si>
  <si>
    <t>TRẦN CÔNG HẬU</t>
  </si>
  <si>
    <t>TTC-260</t>
  </si>
  <si>
    <t>BC tăng mạnh hàng CK event, xe tải chính và xe TC theo file không đủ sản xuất hàng. BC nhờ xin thêm 2 xe 1T9 tối nay</t>
  </si>
  <si>
    <t>có xe TC theo file</t>
  </si>
  <si>
    <t>TTC-261</t>
  </si>
  <si>
    <t>Do lượng hàng tăng đột biến sau event, nhờ team hỗ trợ tải giúp bc, e cảm ơn !</t>
  </si>
  <si>
    <t>TTC-267</t>
  </si>
  <si>
    <t>TTC-269</t>
  </si>
  <si>
    <t>@Myan</t>
  </si>
  <si>
    <t>E2604069PPI7BFD</t>
  </si>
  <si>
    <t>50h-04769</t>
  </si>
  <si>
    <t>lê công bằng</t>
  </si>
  <si>
    <t>TTC-270</t>
  </si>
  <si>
    <t>Xin 3 Tải 1t9, xin duyệt giúp vì tải TC theo lịch ngày 6/4 không đủ chở hàng</t>
  </si>
  <si>
    <t>E260406OSYAQUM7</t>
  </si>
  <si>
    <t>trần ngọc lợi</t>
  </si>
  <si>
    <t>TTC-274</t>
  </si>
  <si>
    <t>20102000 - 58 Vũ Tông Phan-Q.2-HCM</t>
  </si>
  <si>
    <t>@Tiennguyen19</t>
  </si>
  <si>
    <t>TTC-275</t>
  </si>
  <si>
    <t>Khác: 22205000 BC Kế 8F Gò Xoài ( BHH A )</t>
  </si>
  <si>
    <t>22205000 BC Kế 8F Gò Xoài ( BHH A )</t>
  </si>
  <si>
    <t>SG_TCEV_41</t>
  </si>
  <si>
    <t>đổi từ KTC03=&gt;&gt;KTC01</t>
  </si>
  <si>
    <t>TTC-276</t>
  </si>
  <si>
    <t>E260406P11A3VG9</t>
  </si>
  <si>
    <t xml:space="preserve">50H-93901 
</t>
  </si>
  <si>
    <t>TTC-277</t>
  </si>
  <si>
    <t>hàng nhiều</t>
  </si>
  <si>
    <t>TTC-278</t>
  </si>
  <si>
    <t>SG_TCEV_55</t>
  </si>
  <si>
    <t>TTC-279</t>
  </si>
  <si>
    <t>E260406T4B6HH4R</t>
  </si>
  <si>
    <t>CẦN DUY CƯỜNG</t>
  </si>
  <si>
    <t>TTC-281</t>
  </si>
  <si>
    <t>TTC-282</t>
  </si>
  <si>
    <t>E260406MH28B92B</t>
  </si>
  <si>
    <t>50H-935.75</t>
  </si>
  <si>
    <t>TTC-284</t>
  </si>
  <si>
    <t>SG_TCEV_66</t>
  </si>
  <si>
    <t>TTC-285</t>
  </si>
  <si>
    <t>3001336 NVXL 147E Đội Cung 22437000</t>
  </si>
  <si>
    <t>TTC-288</t>
  </si>
  <si>
    <t>Nhờ team hỗ trợ bưu cục xe 5 tấn về 2 kho</t>
  </si>
  <si>
    <t>TD 51D-60473 Lương Ngọc Tân 0939941161</t>
  </si>
  <si>
    <t>8T</t>
  </si>
  <si>
    <t>TTC-289</t>
  </si>
  <si>
    <t>E260406118O06VV</t>
  </si>
  <si>
    <t>63H-001.08</t>
  </si>
  <si>
    <t>NGUYỄN BÁ DUY</t>
  </si>
  <si>
    <t>TTC-290</t>
  </si>
  <si>
    <t>cot đầu full tải</t>
  </si>
  <si>
    <t>TTC-291</t>
  </si>
  <si>
    <t>E260406QULWKSQ2</t>
  </si>
  <si>
    <t>TTC-293</t>
  </si>
  <si>
    <t>hàng về nhiều tăng cường không chở hết xin thêm tăng cường về 2 kho</t>
  </si>
  <si>
    <t>E2604052OQWC01K</t>
  </si>
  <si>
    <t>50H-55477</t>
  </si>
  <si>
    <t>NGUYỄN HỮU VINH</t>
  </si>
  <si>
    <t>TTC-294</t>
  </si>
  <si>
    <t>E260406XYTHQF95</t>
  </si>
  <si>
    <t>51D-545.01</t>
  </si>
  <si>
    <t>NGUYỄN VĂN BỀN 0347852825</t>
  </si>
  <si>
    <t>TTC-295</t>
  </si>
  <si>
    <t>SG_TCEV_51</t>
  </si>
  <si>
    <t>TTC-298</t>
  </si>
  <si>
    <t>E260406QFX9S2YK</t>
  </si>
  <si>
    <t>50h-167700</t>
  </si>
  <si>
    <t>TTC-299</t>
  </si>
  <si>
    <t>E260406YRGGFBVR</t>
  </si>
  <si>
    <t>MĐK</t>
  </si>
  <si>
    <t>51D - 23467</t>
  </si>
  <si>
    <t>Trần Anh Huy: 0969227344</t>
  </si>
  <si>
    <t>TTC-301</t>
  </si>
  <si>
    <t>E260406ER1MDYB9</t>
  </si>
  <si>
    <t>50H-21901</t>
  </si>
  <si>
    <t>nguyễn khánh băng</t>
  </si>
  <si>
    <t>TTC-302</t>
  </si>
  <si>
    <t>1333 - Tân Kiên-Bình Chánh-HCM</t>
  </si>
  <si>
    <t>SG_TCEV_63</t>
  </si>
  <si>
    <t>TTC-303</t>
  </si>
  <si>
    <t>Tải chính đầy</t>
  </si>
  <si>
    <t>E260406W2NMKD4Q</t>
  </si>
  <si>
    <t>50H-20314</t>
  </si>
  <si>
    <t>đặng văn hoài</t>
  </si>
  <si>
    <t>TTC-304</t>
  </si>
  <si>
    <t>22370000 - 7A/3 Thành Thái-Phường Diên Hồng-HCM</t>
  </si>
  <si>
    <t>SG_TCEV_27</t>
  </si>
  <si>
    <t>TTC-305</t>
  </si>
  <si>
    <t>E2604069R7D0GT4</t>
  </si>
  <si>
    <t>50h-91316</t>
  </si>
  <si>
    <t>TTC-306</t>
  </si>
  <si>
    <t>E260406J2BKZF1Y</t>
  </si>
  <si>
    <t>50h-94603</t>
  </si>
  <si>
    <t>HUỲNH VĂN TUẤN</t>
  </si>
  <si>
    <t>TTC-307</t>
  </si>
  <si>
    <t>TTC-308</t>
  </si>
  <si>
    <t>TTC-309</t>
  </si>
  <si>
    <t>E260406K9APJJ8L</t>
  </si>
  <si>
    <t>TTC-311</t>
  </si>
  <si>
    <t>E260406JMPR98IK</t>
  </si>
  <si>
    <t>50h-80662</t>
  </si>
  <si>
    <t>TTC-312</t>
  </si>
  <si>
    <t>E260406J6MIZ0LX</t>
  </si>
  <si>
    <t>51D-42282</t>
  </si>
  <si>
    <t>Nguyễn Minh Tấn: 0909125565</t>
  </si>
  <si>
    <t>TTC-313</t>
  </si>
  <si>
    <t>Do lượng hàng tồn nhiều sau event nhờ team hỗ trợ tạo phiên lấy hàng giúp BC.Em cảm ơn</t>
  </si>
  <si>
    <t>E260406F2U6HZ2Y</t>
  </si>
  <si>
    <t>51D - 24446</t>
  </si>
  <si>
    <t>Nguyễn Hoàng Khánh: 0345812817</t>
  </si>
  <si>
    <t>TTC-315</t>
  </si>
  <si>
    <t>E260406QYFWWNS3</t>
  </si>
  <si>
    <t>50H-26517</t>
  </si>
  <si>
    <t>Nguyễn Duy Linh 0788417171</t>
  </si>
  <si>
    <t>TTC-316</t>
  </si>
  <si>
    <t>do hàng gạo để qua đem chuột ăn , nhờ teams hỗ trợ tải giúp bưu cục.</t>
  </si>
  <si>
    <t>TTC-317</t>
  </si>
  <si>
    <t>E260406CC0AKWZ7</t>
  </si>
  <si>
    <t>51D 27047</t>
  </si>
  <si>
    <t>Nguyễn Trường Hân 919775737</t>
  </si>
  <si>
    <t>TTC-318</t>
  </si>
  <si>
    <t>E2604062JRBB4ME</t>
  </si>
  <si>
    <t>AHT</t>
  </si>
  <si>
    <t>Nguyễn Trung Hiếu 937822322</t>
  </si>
  <si>
    <t>TTC-319</t>
  </si>
  <si>
    <t>TTC-320</t>
  </si>
  <si>
    <t>Tâm</t>
  </si>
  <si>
    <t>E260406U38GRG94</t>
  </si>
  <si>
    <t>51D-21802</t>
  </si>
  <si>
    <t>Trần Thái Tâm 0774135403,</t>
  </si>
  <si>
    <t>TTC-321</t>
  </si>
  <si>
    <t>hàng về kho 20</t>
  </si>
  <si>
    <t>E260406CARBE5ZR</t>
  </si>
  <si>
    <t>TTC-322</t>
  </si>
  <si>
    <t>TTC-323</t>
  </si>
  <si>
    <t>E260407P6GG8V73</t>
  </si>
  <si>
    <t>Nhựt 0366794880</t>
  </si>
  <si>
    <t>TTC-324</t>
  </si>
  <si>
    <t>E2604073UIOB7YT</t>
  </si>
  <si>
    <t>50E-21887</t>
  </si>
  <si>
    <t>3133965 Nguyễn Trung Tá 396715787</t>
  </si>
  <si>
    <t>TTC-325</t>
  </si>
  <si>
    <t>E260407Z5ID5WZ7</t>
  </si>
  <si>
    <t>trần ngọc lợi-0989640068</t>
  </si>
  <si>
    <t>TTC-326</t>
  </si>
  <si>
    <t>@VuhdGHN</t>
  </si>
  <si>
    <t>E260407XGCN5UZ3</t>
  </si>
  <si>
    <t>50H-04880</t>
  </si>
  <si>
    <t>TTC-327</t>
  </si>
  <si>
    <t>E260407HO21TSS7</t>
  </si>
  <si>
    <t>50H-79285</t>
  </si>
  <si>
    <t>TTC-330</t>
  </si>
  <si>
    <t>E260407LMCPW0UY</t>
  </si>
  <si>
    <t>50H-00268</t>
  </si>
  <si>
    <t>TTC-333</t>
  </si>
  <si>
    <t>Do lượng hàng event tăng cao BC xin thêm tải tăng cường ạ. Nhờ KTC Vận tải HCM hổ trợ giúp BC.</t>
  </si>
  <si>
    <t>E260407RBYA6Q0T</t>
  </si>
  <si>
    <t>50H-70402</t>
  </si>
  <si>
    <t>ĐOÀN CHÍ LINH QKP</t>
  </si>
  <si>
    <t>TTC-342</t>
  </si>
  <si>
    <t>nhờ team hỗ trợ 1 xe về 2 kho giúp bưu cục</t>
  </si>
  <si>
    <t>E2604077Q5IXJGO</t>
  </si>
  <si>
    <t>TTC-343</t>
  </si>
  <si>
    <t>E2604072WMDC7B3</t>
  </si>
  <si>
    <t>TTC-344</t>
  </si>
  <si>
    <t>E260407QQ24NXUZ</t>
  </si>
  <si>
    <t>trần ngọc huỳnh</t>
  </si>
  <si>
    <t>TTC-345</t>
  </si>
  <si>
    <t>@KieuMy_22076000</t>
  </si>
  <si>
    <t>E260407KTL67RXP</t>
  </si>
  <si>
    <t>50H-944977</t>
  </si>
  <si>
    <t>TTC-347</t>
  </si>
  <si>
    <t>E2604073X5QK3BZ</t>
  </si>
  <si>
    <t>50h-21901</t>
  </si>
  <si>
    <t>NGUYỄN KHÁNH BĂNG</t>
  </si>
  <si>
    <t>TTC-348</t>
  </si>
  <si>
    <t>E260407NZPZUAFE</t>
  </si>
  <si>
    <t>TTC-351</t>
  </si>
  <si>
    <t>TTC-352</t>
  </si>
  <si>
    <t>22;00</t>
  </si>
  <si>
    <t>E260407SSFZDS5H</t>
  </si>
  <si>
    <t>TTC-353</t>
  </si>
  <si>
    <t>E260407BTAQT7TI</t>
  </si>
  <si>
    <t>50H-92863</t>
  </si>
  <si>
    <t>TTC-354</t>
  </si>
  <si>
    <t>TTC-355</t>
  </si>
  <si>
    <t>Event lượng hàng tăng đột biến KTC vận tải cho BC xin thêm tải TC hổ trợ BC với ạ. Tks team.</t>
  </si>
  <si>
    <t>E260408UAK7HZPF</t>
  </si>
  <si>
    <t>TTC-356</t>
  </si>
  <si>
    <t>E260407QVEAIT4X</t>
  </si>
  <si>
    <t>TTC-357</t>
  </si>
  <si>
    <t>không có tải về 01</t>
  </si>
  <si>
    <t>TTC-358</t>
  </si>
  <si>
    <t>E260407I0KLU6KO</t>
  </si>
  <si>
    <t>hà văn minh</t>
  </si>
  <si>
    <t>TTC-359</t>
  </si>
  <si>
    <t>Sau khi lên tải chính BC vẫn còn rớt hàng. Hàng BC có sẵn nhờ team hỗ trợ giúp BC.</t>
  </si>
  <si>
    <t>E260407ZTUCK6EL</t>
  </si>
  <si>
    <t>trần hữu vinh</t>
  </si>
  <si>
    <t>TTC-360</t>
  </si>
  <si>
    <t>E260408TEY6EUEI</t>
  </si>
  <si>
    <t>TTC-361</t>
  </si>
  <si>
    <t>E2604082VWJH3G7</t>
  </si>
  <si>
    <t>TTC-363</t>
  </si>
  <si>
    <t>TTC-370</t>
  </si>
  <si>
    <t>Lượng hàng tăng đột biến, nhò team hỗ trợ điều tải lấy hàng giúp BC. Thanks team !</t>
  </si>
  <si>
    <t>TTC-373</t>
  </si>
  <si>
    <t>E260408HOHJLBCU</t>
  </si>
  <si>
    <t>TTC-374</t>
  </si>
  <si>
    <t>E260408HV8ADU95</t>
  </si>
  <si>
    <t>TTC-376</t>
  </si>
  <si>
    <t>nhờ team hỗ trợ xe giúp bưu cục ạ</t>
  </si>
  <si>
    <t>E260408NZ9XOQI4</t>
  </si>
  <si>
    <t>TTC-378</t>
  </si>
  <si>
    <t>E260408WKBBHGRJ</t>
  </si>
  <si>
    <t>TTC-380</t>
  </si>
  <si>
    <t>E260408OV0WIE94</t>
  </si>
  <si>
    <t>TTC-381</t>
  </si>
  <si>
    <t>E260408J7Q53JD7</t>
  </si>
  <si>
    <t>TTC-384</t>
  </si>
  <si>
    <t>E260408NWRNQ9VI</t>
  </si>
  <si>
    <t>TTC-385</t>
  </si>
  <si>
    <t>E260408F6ZL9MBL</t>
  </si>
  <si>
    <t>TTC-386</t>
  </si>
  <si>
    <t>TTC-388</t>
  </si>
  <si>
    <t>21295000 - Xuân Thới Thượng-Hóc Môn-HCM</t>
  </si>
  <si>
    <t>E260408SOERA45L</t>
  </si>
  <si>
    <t>TTC-389</t>
  </si>
  <si>
    <t>E26040831O0ORLJ</t>
  </si>
  <si>
    <t>DANH THÁI HƯƠNG</t>
  </si>
  <si>
    <t>TTC-390</t>
  </si>
  <si>
    <t>do lượng hàng tăng đột biến nhờ team hỗ trợ tải lấy hàng sáng giúp BC. Thanks all !</t>
  </si>
  <si>
    <t>E2604094PILUTI7</t>
  </si>
  <si>
    <t>TTC-391</t>
  </si>
  <si>
    <t>50h-26517</t>
  </si>
  <si>
    <t>NGUYỄN DUY LINH</t>
  </si>
  <si>
    <t>TTC-393</t>
  </si>
  <si>
    <t>TTC-394</t>
  </si>
  <si>
    <t>E260409U3JQO7ZO</t>
  </si>
  <si>
    <t>50h-16663</t>
  </si>
  <si>
    <t>TTC-400</t>
  </si>
  <si>
    <t>TTC-401</t>
  </si>
  <si>
    <t>E2604098TLYKX4H</t>
  </si>
  <si>
    <t>tài xế Nguyễn Hữu Luân: 0335338521</t>
  </si>
  <si>
    <t>TTC-405</t>
  </si>
  <si>
    <t>E260409CG2F9LOT</t>
  </si>
  <si>
    <t>50H-89107</t>
  </si>
  <si>
    <t>ĐỖ QUANG LĨNH</t>
  </si>
  <si>
    <t>TTC-406</t>
  </si>
  <si>
    <t>2441 - 16A Lê Hồng Phong-Q.10-HCM</t>
  </si>
  <si>
    <t>E260409VCRLJZI7</t>
  </si>
  <si>
    <t>TTC-407</t>
  </si>
  <si>
    <t>Khác: Bưu Cục 13 Đường Số 8-Hiệp Bình Phước-Q.Thủ Đức-HCM</t>
  </si>
  <si>
    <t>Tải Chính Full bỏ điểm lấy</t>
  </si>
  <si>
    <t>E260409AZZBZAJ0</t>
  </si>
  <si>
    <t>tài xế Nguyễn Trung Hiếu AHT: 0937822322</t>
  </si>
  <si>
    <t>TTC-408</t>
  </si>
  <si>
    <t>1334 - 785C Nguyễn Bình-Nhà Bè-HCM</t>
  </si>
  <si>
    <t>TTC-409</t>
  </si>
  <si>
    <t>E26040974376VMZ</t>
  </si>
  <si>
    <t>TTC-411</t>
  </si>
  <si>
    <t>E260409DE4SV9A1</t>
  </si>
  <si>
    <t>TTC-414</t>
  </si>
  <si>
    <t>E260410V7LE8D4G</t>
  </si>
  <si>
    <t>TTC-415</t>
  </si>
  <si>
    <t>E260409ATP1T8OE</t>
  </si>
  <si>
    <t>TTC-416</t>
  </si>
  <si>
    <t>E260409UXBPCJI4</t>
  </si>
  <si>
    <t>nguyễn khánh băn</t>
  </si>
  <si>
    <t>TTC-417</t>
  </si>
  <si>
    <t>E260409SY5PZDPI</t>
  </si>
  <si>
    <t>lâm hoàng nhật</t>
  </si>
  <si>
    <t>TTC-418</t>
  </si>
  <si>
    <t>QKP</t>
  </si>
  <si>
    <t>50E-15676</t>
  </si>
  <si>
    <t>Võ Văn Giang QKP 964987114</t>
  </si>
  <si>
    <t>TTC-419</t>
  </si>
  <si>
    <t>E260410VICA990M</t>
  </si>
  <si>
    <t>TTC-420</t>
  </si>
  <si>
    <t>E260409QC3WDWD0</t>
  </si>
  <si>
    <t>50h-26261</t>
  </si>
  <si>
    <t>TTC-421</t>
  </si>
  <si>
    <t>E260409NFGVGPBC</t>
  </si>
  <si>
    <t>51D-60173</t>
  </si>
  <si>
    <t>TTC-424</t>
  </si>
  <si>
    <t>E260410UJEBF25O</t>
  </si>
  <si>
    <t>Minh 0911917784</t>
  </si>
  <si>
    <t>TTC-426</t>
  </si>
  <si>
    <t>TTC-429</t>
  </si>
  <si>
    <t>Do lượng hàng tăng đột biến BC bị mất 1 tải về KTC 20 . BC xin KTC vận tải hổ trợ BC 1 tải về KTC 01 + 20 với ạ. Tks team.</t>
  </si>
  <si>
    <t>E260410LXNHCGSV</t>
  </si>
  <si>
    <t>TTC-433</t>
  </si>
  <si>
    <t>E260410WDCDDK9N</t>
  </si>
  <si>
    <t>50h-20314</t>
  </si>
  <si>
    <t>dặng văn hoài</t>
  </si>
  <si>
    <t>TTC-439</t>
  </si>
  <si>
    <t>E260410XIJQTNPE</t>
  </si>
  <si>
    <t>phan phú hòa</t>
  </si>
  <si>
    <t>TTC-440</t>
  </si>
  <si>
    <t>HÀNG CỒNG KỀNH NHIỀU NHỜ KHO HỔ TRỢ XE 5TẤN GIÚP KHO</t>
  </si>
  <si>
    <t>E260410LANIVSOD</t>
  </si>
  <si>
    <t>nguyễn trung hiếu</t>
  </si>
  <si>
    <t>TTC-441</t>
  </si>
  <si>
    <t>NGUYỄN THỊ TUYẾT NHUNG</t>
  </si>
  <si>
    <t>E260410UWL5ZVND</t>
  </si>
  <si>
    <t>TTC-442</t>
  </si>
  <si>
    <t>21432000 - 390 Nguyễn Kim Cương-Tân Thạnh Đông-Củ Chi</t>
  </si>
  <si>
    <t>hàng ck</t>
  </si>
  <si>
    <t>E260410SMUG6V2H</t>
  </si>
  <si>
    <t>TTC-443</t>
  </si>
  <si>
    <t>E260410IUGPJORM</t>
  </si>
  <si>
    <t>50H-94603</t>
  </si>
  <si>
    <t>TTC-444</t>
  </si>
  <si>
    <t>E2604106ZELFMY4</t>
  </si>
  <si>
    <t>50h-055250</t>
  </si>
  <si>
    <t>Đoàn Văn Băng: 0901440408</t>
  </si>
  <si>
    <t>TTC-445</t>
  </si>
  <si>
    <t>Do lượng hàng tăng đột biến. KTC vận tải HCM cho BC xin tải TC về KTC 01 với ạ. Tks team.</t>
  </si>
  <si>
    <t>E260410PY3PRU7Q</t>
  </si>
  <si>
    <t>3117285 Nguyễn Khải 902849167</t>
  </si>
  <si>
    <t>TTC-446</t>
  </si>
  <si>
    <t>NHỜ TEAM HỖ TRỢ XE TC GIÚP BƯU CỤC</t>
  </si>
  <si>
    <t>E260410KZO4072Q</t>
  </si>
  <si>
    <t>51A-79600</t>
  </si>
  <si>
    <t>tài xế Lê Trịnh Quân Nhân AHT: 0909327996</t>
  </si>
  <si>
    <t>TTC-447</t>
  </si>
  <si>
    <t>E2604104T19XDOY</t>
  </si>
  <si>
    <t>50H-79720</t>
  </si>
  <si>
    <t>3161956 Lê Quốc Hưng 908948683</t>
  </si>
  <si>
    <t>TTC-448</t>
  </si>
  <si>
    <t>E2604109BZPAC4I</t>
  </si>
  <si>
    <t>TTC-449</t>
  </si>
  <si>
    <t>E260410YD2Q09U5</t>
  </si>
  <si>
    <t>51d-19263</t>
  </si>
  <si>
    <t>TTC-450</t>
  </si>
  <si>
    <t>E2604100SXQR818</t>
  </si>
  <si>
    <t>TTC-451</t>
  </si>
  <si>
    <t>22307000 - 256/59 Đường Thạnh Xuân 25-Quận 12-HCM</t>
  </si>
  <si>
    <t>E260410LRQDKITX</t>
  </si>
  <si>
    <t>TRẦN HOÀI THANH</t>
  </si>
  <si>
    <t>TTC-456</t>
  </si>
  <si>
    <t>E2604103VQK2GQL</t>
  </si>
  <si>
    <t>50H-25993</t>
  </si>
  <si>
    <t>Nguyễn Hữu Trường 0783983409</t>
  </si>
  <si>
    <t>TTC-458</t>
  </si>
  <si>
    <t>22:;30</t>
  </si>
  <si>
    <t>E260411Y2Y9EO61</t>
  </si>
  <si>
    <t>VÕ NAM Thanh</t>
  </si>
  <si>
    <t>TTC-460</t>
  </si>
  <si>
    <t>TTC-461</t>
  </si>
  <si>
    <t>E260411N7YSMW2O</t>
  </si>
  <si>
    <t>TTC-467</t>
  </si>
  <si>
    <t>22::15</t>
  </si>
  <si>
    <t>TTC-469</t>
  </si>
  <si>
    <t>E260411NY8PHWSW</t>
  </si>
  <si>
    <t>TTC-470</t>
  </si>
  <si>
    <t>DUY</t>
  </si>
  <si>
    <t>E2604114M8GKKHV</t>
  </si>
  <si>
    <t>TTC-472</t>
  </si>
  <si>
    <t>E260411PDJBW66D</t>
  </si>
  <si>
    <t>tài xế Trịnh Văn Đại: 0795929428</t>
  </si>
  <si>
    <t>TTC-473</t>
  </si>
  <si>
    <t>TTC-474</t>
  </si>
  <si>
    <t>E260411VQ1L7JHV</t>
  </si>
  <si>
    <t>TTC-475</t>
  </si>
  <si>
    <t>E260411H0FDGE50</t>
  </si>
  <si>
    <t>TTC-476</t>
  </si>
  <si>
    <t>xe trước đầy tải</t>
  </si>
  <si>
    <t>E260411HD0QH2XE</t>
  </si>
  <si>
    <t>TTC-477</t>
  </si>
  <si>
    <t>E260412U2ZIET2V</t>
  </si>
  <si>
    <t>Khải 902849167</t>
  </si>
  <si>
    <t>TTC-478</t>
  </si>
  <si>
    <t>22::45</t>
  </si>
  <si>
    <t>E260411X4837RB6</t>
  </si>
  <si>
    <t>50H-88778</t>
  </si>
  <si>
    <t>CHÂU THANH SANG</t>
  </si>
  <si>
    <t>TTC-482</t>
  </si>
  <si>
    <t>TTC-489</t>
  </si>
  <si>
    <t>20555000 - 58 Trương Quốc Dung-Q.Phú Nhuận-HCM</t>
  </si>
  <si>
    <t>E260413FB3WCMW0</t>
  </si>
  <si>
    <t>TTC-490</t>
  </si>
  <si>
    <t>E260413KZAQNK4X</t>
  </si>
  <si>
    <t>TTC-492</t>
  </si>
  <si>
    <t>TTC-494</t>
  </si>
  <si>
    <t>E260413GT5FH50E</t>
  </si>
  <si>
    <t>TTC-496</t>
  </si>
  <si>
    <t>E260413XY9QZGK2</t>
  </si>
  <si>
    <t>TTC-498</t>
  </si>
  <si>
    <t>hậu</t>
  </si>
  <si>
    <t>xe 8 tấn</t>
  </si>
  <si>
    <t>E260413HRY8ZEVY</t>
  </si>
  <si>
    <t>50E-38650</t>
  </si>
  <si>
    <t>8t</t>
  </si>
  <si>
    <t>Nguyễn Duy Quang 0908969675</t>
  </si>
  <si>
    <t>TTC-501</t>
  </si>
  <si>
    <t>Dũng</t>
  </si>
  <si>
    <t>E2604130NFWE21I</t>
  </si>
  <si>
    <t>50H-88290,</t>
  </si>
  <si>
    <t>Đào Khắc Hoàng: 0795971268,</t>
  </si>
  <si>
    <t>TTC-502</t>
  </si>
  <si>
    <t>TTC-503</t>
  </si>
  <si>
    <t>hàng nhiều không đủ tải</t>
  </si>
  <si>
    <t>E260413W6VIBV28</t>
  </si>
  <si>
    <t>50H-108.79</t>
  </si>
  <si>
    <t>HUỲNH TRƯƠNG NHẬT TRƯỜNG 0373824432</t>
  </si>
  <si>
    <t>TTC-504</t>
  </si>
  <si>
    <t>BC XIN ĐƯỢC CẤP XE 5T</t>
  </si>
  <si>
    <t>51D-60109</t>
  </si>
  <si>
    <t>5t</t>
  </si>
  <si>
    <t>Le Van O Em 372721222</t>
  </si>
  <si>
    <t>TTC-506</t>
  </si>
  <si>
    <t>Do hàng Cồng Kềnh to tăng mạnh, BC nhờ team sắp xếp thêm 3 xe 1T9 giúp ạ. Do khu vực BC không thuận tiện cho xe 5T vào.</t>
  </si>
  <si>
    <t>E2604136PYT4IBY</t>
  </si>
  <si>
    <t>TTC-511</t>
  </si>
  <si>
    <t>E260413QRCVCTJ0</t>
  </si>
  <si>
    <t>50h-93901</t>
  </si>
  <si>
    <t>TTC-512</t>
  </si>
  <si>
    <t>E260413T3HCDVW3</t>
  </si>
  <si>
    <t>TTC-513</t>
  </si>
  <si>
    <t>E260413PQYAZSIZ</t>
  </si>
  <si>
    <t>TTC-514</t>
  </si>
  <si>
    <t>E2604138X6LFZOU</t>
  </si>
  <si>
    <t>TTC-515</t>
  </si>
  <si>
    <t>22695000 - 82 Nguyễn Sỹ Sách-Q.Tân Bình-HCM</t>
  </si>
  <si>
    <t>@chuantq</t>
  </si>
  <si>
    <t>E260413557ET3GH</t>
  </si>
  <si>
    <t>50H-15630</t>
  </si>
  <si>
    <t>HÀ CHUNG NHẬT NAM 0901095017</t>
  </si>
  <si>
    <t>TTC-517</t>
  </si>
  <si>
    <t>E2604135KWKS42H</t>
  </si>
  <si>
    <t>TRỊNH ĐỨC ĐẠT</t>
  </si>
  <si>
    <t>TTC-518</t>
  </si>
  <si>
    <t>Đăng</t>
  </si>
  <si>
    <t>TTC-519</t>
  </si>
  <si>
    <t>E260413RVQB24YR</t>
  </si>
  <si>
    <t>50H34775</t>
  </si>
  <si>
    <t>TTC-520</t>
  </si>
  <si>
    <t>@Nhan_GHN</t>
  </si>
  <si>
    <t>E2604132AI57YJS</t>
  </si>
  <si>
    <t>TRẦM Hoài thanh</t>
  </si>
  <si>
    <t>TTC-521</t>
  </si>
  <si>
    <t>E260413LMCR9SPU</t>
  </si>
  <si>
    <t>TTC-522</t>
  </si>
  <si>
    <t>E26041393A89CL8</t>
  </si>
  <si>
    <t>50h-18228</t>
  </si>
  <si>
    <t>Nguyễn Thành Lộc</t>
  </si>
  <si>
    <t>TTC-523</t>
  </si>
  <si>
    <t>E260413G768UERC</t>
  </si>
  <si>
    <t>TTC-524</t>
  </si>
  <si>
    <t>DAT</t>
  </si>
  <si>
    <t>COT ĐẦU FULL TẢI</t>
  </si>
  <si>
    <t>E2604137271EDZA</t>
  </si>
  <si>
    <t>TTC-526</t>
  </si>
  <si>
    <t>TTC-527</t>
  </si>
  <si>
    <t>E2604138Y7331W6</t>
  </si>
  <si>
    <t>51D - 14498</t>
  </si>
  <si>
    <t>, Lê Văn Lợi: 0942568603</t>
  </si>
  <si>
    <t>TTC-528</t>
  </si>
  <si>
    <t>E260413XDF21TU0</t>
  </si>
  <si>
    <t>TTC-530</t>
  </si>
  <si>
    <t>E260413FXLY985P</t>
  </si>
  <si>
    <t>TTC-531</t>
  </si>
  <si>
    <t>E26041361HWW595</t>
  </si>
  <si>
    <t>51D-55250,</t>
  </si>
  <si>
    <t>TTC-532</t>
  </si>
  <si>
    <t>E260413VPU3KZND</t>
  </si>
  <si>
    <t>50h-34570-</t>
  </si>
  <si>
    <t>nguyễn kim long</t>
  </si>
  <si>
    <t>TTC-533</t>
  </si>
  <si>
    <t>Khác: 21428000 - Bưu Cục Hương Lộ 2-Bình Tân</t>
  </si>
  <si>
    <t>21428000 - Bưu Cục Hương Lộ 2-Bình Tân</t>
  </si>
  <si>
    <t>@TongVM_2045807</t>
  </si>
  <si>
    <t>E260413P8JUQ07Q</t>
  </si>
  <si>
    <t>50H34570</t>
  </si>
  <si>
    <t>Nguyễn Kim Long</t>
  </si>
  <si>
    <t>TTC-534</t>
  </si>
  <si>
    <t>Tải đầy bỏ điểm</t>
  </si>
  <si>
    <t>E260413VXCQ7F13</t>
  </si>
  <si>
    <t>50H018416</t>
  </si>
  <si>
    <t>TRẦN VẠN PHÁT</t>
  </si>
  <si>
    <t>TTC-535</t>
  </si>
  <si>
    <t>TTC-536</t>
  </si>
  <si>
    <t>Bưu cục có bảo vệ khóa cổng sớm, nhờ team ưu tiên cho tải</t>
  </si>
  <si>
    <t>TTC-537</t>
  </si>
  <si>
    <t>E2604139MJJV2XN</t>
  </si>
  <si>
    <t>50H - 10638,</t>
  </si>
  <si>
    <t>Hà Đại Dương: 0967611150</t>
  </si>
  <si>
    <t>TTC-538</t>
  </si>
  <si>
    <t>E2604130TQNHXNQ</t>
  </si>
  <si>
    <t>51D-55250</t>
  </si>
  <si>
    <t>, Đoàn Văn Băng: 0901440408</t>
  </si>
  <si>
    <t>TTC-539</t>
  </si>
  <si>
    <t>TTC-540</t>
  </si>
  <si>
    <t>E260413QHRXMY76</t>
  </si>
  <si>
    <t>TTC-541</t>
  </si>
  <si>
    <t>TTC-543</t>
  </si>
  <si>
    <t>Ý</t>
  </si>
  <si>
    <t>E2604141JVTSOJH</t>
  </si>
  <si>
    <t>Trần Anh Huy 969227344</t>
  </si>
  <si>
    <t>TTC-544</t>
  </si>
  <si>
    <t>E26041396PYU9Q1</t>
  </si>
  <si>
    <t>TTC-545</t>
  </si>
  <si>
    <t>E260413O30R9T1X</t>
  </si>
  <si>
    <t>Tuấn Đạt-0967780714</t>
  </si>
  <si>
    <t>TTC-546</t>
  </si>
  <si>
    <t>E260413TPO1F5F6</t>
  </si>
  <si>
    <t>Lâm Vĩnh Hào - 0379815501</t>
  </si>
  <si>
    <t>TTC-548</t>
  </si>
  <si>
    <t>E2604146P3Y50EZ</t>
  </si>
  <si>
    <t>TTC-549</t>
  </si>
  <si>
    <t>E26041333N8VNZW</t>
  </si>
  <si>
    <t>Nguyễn Thanh Hải 0934035299</t>
  </si>
  <si>
    <t>TTC-550</t>
  </si>
  <si>
    <t>22654000 - KD 1196 Quang Trung-Q.Gò Vấp-HCM</t>
  </si>
  <si>
    <t>E260414NGDSK90F</t>
  </si>
  <si>
    <t>TTC-551</t>
  </si>
  <si>
    <t>E2604149FTKHXQU</t>
  </si>
  <si>
    <t>50H-93190</t>
  </si>
  <si>
    <t>3136860 Ngô Lâm Giang 902368514</t>
  </si>
  <si>
    <t>TTC-552</t>
  </si>
  <si>
    <t>TTC-553</t>
  </si>
  <si>
    <t>TTC-554</t>
  </si>
  <si>
    <t>TTC-557</t>
  </si>
  <si>
    <t>BC xin được cấp xe 5t</t>
  </si>
  <si>
    <t>TTC-559</t>
  </si>
  <si>
    <t>E260414YRC0RB91</t>
  </si>
  <si>
    <t>TTC-560</t>
  </si>
  <si>
    <t>E2604142G8A0UHW</t>
  </si>
  <si>
    <t>50h-87355</t>
  </si>
  <si>
    <t>nguyễn lê minh nhật</t>
  </si>
  <si>
    <t>TTC-562</t>
  </si>
  <si>
    <t>E260414RKFP01N9</t>
  </si>
  <si>
    <t>TTC-563</t>
  </si>
  <si>
    <t>BC xin phép xin thêm 2 xe TC 1T9 tối nay</t>
  </si>
  <si>
    <t>E260414GF91MJZT</t>
  </si>
  <si>
    <t>TTC-566</t>
  </si>
  <si>
    <t>E260414OW8T8MP5</t>
  </si>
  <si>
    <t>TTC-568</t>
  </si>
  <si>
    <t>E2604144DXRXLM7</t>
  </si>
  <si>
    <t>TTC-569</t>
  </si>
  <si>
    <t>Nhung nguyễn</t>
  </si>
  <si>
    <t>TTC-571</t>
  </si>
  <si>
    <t>E2604146KTMSAYD</t>
  </si>
  <si>
    <t>TTC-573</t>
  </si>
  <si>
    <t>Bc lên full tải chính còn rớt hàng, nhờ chị hỗ trợ tải giúp em. Hàng có sẵn ạ.</t>
  </si>
  <si>
    <t>E2604143MOCCB5X</t>
  </si>
  <si>
    <t>TTC-575</t>
  </si>
  <si>
    <t>E2604147ZKTJBZX</t>
  </si>
  <si>
    <t>TTC-576</t>
  </si>
  <si>
    <t>E260414QEXSXGZI</t>
  </si>
  <si>
    <t>TTC-582</t>
  </si>
  <si>
    <t xml:space="preserve">BC điền link tăng cường vì sản lượng tăng ngoai cot chính , BC cần thêm xe 5 Tấn vào khung giờ 21h-21h30 tối nay
Nhờ KTC hỗ trợ giúp BC
</t>
  </si>
  <si>
    <t>50h-87287</t>
  </si>
  <si>
    <t>Nguyễn Khang Duy 343486524</t>
  </si>
  <si>
    <t>TTC-583</t>
  </si>
  <si>
    <t>hàng CK nặng số lượng nhiều nhờ team hỗ trợ xs tải 5t giúp bưu cục</t>
  </si>
  <si>
    <t>E2604157L4L9KDN</t>
  </si>
  <si>
    <t>TTC-584</t>
  </si>
  <si>
    <t>TTC-585</t>
  </si>
  <si>
    <t>Shop CK tăng mạnh event, BC xin phép xin tổng tối nay thêm 3 xe TC 1T9 giúp ạ</t>
  </si>
  <si>
    <t>TTC-586</t>
  </si>
  <si>
    <t>E260415376RMJ4F</t>
  </si>
  <si>
    <t>TTC-587</t>
  </si>
  <si>
    <t>Do lượng hàng đột biến KTC vận tải cho BC xin thêm xe tăng cường về KTC 20 vơi ạ. Tks team.</t>
  </si>
  <si>
    <t>TTC-589</t>
  </si>
  <si>
    <t>22795000 - Chuyên Lấy 01 Đường Số 6-Long Bình-Q.9-HCM</t>
  </si>
  <si>
    <t>@GHN_HuyenHuyen</t>
  </si>
  <si>
    <t>TTC-590</t>
  </si>
  <si>
    <t xml:space="preserve">BC điền link tăng cường vì sản lượng tăng ( ngoai cot chính BC cần thêm xe 1tấn9 vào khung giờ 21h30đến 22h 
Nhờ KTC hỗ trợ giúp BC
</t>
  </si>
  <si>
    <t>ĐA CÓ XE 5T</t>
  </si>
  <si>
    <t>TTC-593</t>
  </si>
  <si>
    <t>E2604154EO3XBFM</t>
  </si>
  <si>
    <t>TTC-594</t>
  </si>
  <si>
    <t>TTC-596</t>
  </si>
  <si>
    <t>TTC-598</t>
  </si>
  <si>
    <t>E260415UMU5741B</t>
  </si>
  <si>
    <t>TTC-600</t>
  </si>
  <si>
    <t>TTC-601</t>
  </si>
  <si>
    <t>TTC-602</t>
  </si>
  <si>
    <t>E260415SHQ9UKZM</t>
  </si>
  <si>
    <t>TTC-604</t>
  </si>
  <si>
    <t>E260415O20ITOIH</t>
  </si>
  <si>
    <t>TTC-605</t>
  </si>
  <si>
    <t>E260415P2HKNEZ9</t>
  </si>
  <si>
    <t>50H-04676</t>
  </si>
  <si>
    <t>TTC-606</t>
  </si>
  <si>
    <t>E260415397SSNSP</t>
  </si>
  <si>
    <t>50h-00429</t>
  </si>
  <si>
    <t>LÊ VĂN TIẾN</t>
  </si>
  <si>
    <t>TTC-607</t>
  </si>
  <si>
    <t>SG_TCEV_26</t>
  </si>
  <si>
    <t>TTC-608</t>
  </si>
  <si>
    <t>Do lượng hàng tăng đột biến. BC xin thêm Tải TC về KTC 20 vào buổi sáng ạ. Tks team.</t>
  </si>
  <si>
    <t>E260415Z53ZE2MO</t>
  </si>
  <si>
    <t>TTC-609</t>
  </si>
  <si>
    <t>SG_TCEV_37</t>
  </si>
  <si>
    <t>TTC-610</t>
  </si>
  <si>
    <t>22077000 - Phường Tây Thạnh-Tân Phú-HCM</t>
  </si>
  <si>
    <t>@nguoichoihetramcam</t>
  </si>
  <si>
    <t>SG_TCEV_58</t>
  </si>
  <si>
    <t>TTC-613</t>
  </si>
  <si>
    <t>TTC-615</t>
  </si>
  <si>
    <t>E2604169YRZET0Z</t>
  </si>
  <si>
    <t>TTC-616</t>
  </si>
  <si>
    <t xml:space="preserve">BC điền link tăng cường vì sản lượng tăng tớt tải lên không hết hàng BC cần 1 xe 1 tấn 9 khung giờ 10h đến 10h30 
Nhờ KTC hỗ trợ giúp BC
</t>
  </si>
  <si>
    <t>TTC-617</t>
  </si>
  <si>
    <t>BC điền link tăng cường vì sản lượng tăng BC cần thêm xe 5 Tấn vào khung giờ 21h30 đến 22h
Nhờ KTC hỗ trợ giúp BC</t>
  </si>
  <si>
    <t>E260416V7S75ZFD</t>
  </si>
  <si>
    <t>TTC-622</t>
  </si>
  <si>
    <t>E260416K4S6B9RA</t>
  </si>
  <si>
    <t>NGUYỄN KHẢI</t>
  </si>
  <si>
    <t>TTC-625</t>
  </si>
  <si>
    <t>E260416LUYRLFU5</t>
  </si>
  <si>
    <t>TTC-626</t>
  </si>
  <si>
    <t>TTC-628</t>
  </si>
  <si>
    <t>2439 - 04 Nhất Chi Mai-Q.Tân Bình-HCM</t>
  </si>
  <si>
    <t>E26041688SLCXTF</t>
  </si>
  <si>
    <t>50H-030.58</t>
  </si>
  <si>
    <t>TRẦN VĂN TÂY 0907567116</t>
  </si>
  <si>
    <t>TTC-630</t>
  </si>
  <si>
    <t>E260416U64HPA4P</t>
  </si>
  <si>
    <t>TTC-632</t>
  </si>
  <si>
    <t>E260416UOXXW4HR</t>
  </si>
  <si>
    <t>TTC-633</t>
  </si>
  <si>
    <t>NHUNG</t>
  </si>
  <si>
    <t>E260416H59SQMAI</t>
  </si>
  <si>
    <t>TTC-634</t>
  </si>
  <si>
    <t>TTC-635</t>
  </si>
  <si>
    <t>TTC-636</t>
  </si>
  <si>
    <t>E2604169VFJP1AL</t>
  </si>
  <si>
    <t>TTC-637</t>
  </si>
  <si>
    <t>E260416DFO63IPC</t>
  </si>
  <si>
    <t>TTC-638</t>
  </si>
  <si>
    <t>E260416PGH3T90G</t>
  </si>
  <si>
    <t>TTC-639</t>
  </si>
  <si>
    <t>E260416RP8W4ZOR</t>
  </si>
  <si>
    <t>TTC-640</t>
  </si>
  <si>
    <t>TTC-641</t>
  </si>
  <si>
    <t>E2604164XV47ESI</t>
  </si>
  <si>
    <t>TTC-643</t>
  </si>
  <si>
    <t>E260416GLJWIWIG</t>
  </si>
  <si>
    <t>TTC-644</t>
  </si>
  <si>
    <t>E260416CHF4SFL1</t>
  </si>
  <si>
    <t>TTC-645</t>
  </si>
  <si>
    <t>xe 4h tới, BC lên hàng đúng giờ giúp</t>
  </si>
  <si>
    <t>E260416WM054XRZ</t>
  </si>
  <si>
    <t>TTC-646</t>
  </si>
  <si>
    <t>E260416S4QFXPVW</t>
  </si>
  <si>
    <t>TTC-649</t>
  </si>
  <si>
    <t>E260417EKCDEAQL</t>
  </si>
  <si>
    <t>TTC-652</t>
  </si>
  <si>
    <t>TTC-654</t>
  </si>
  <si>
    <t>E260417DFHJ09YZ</t>
  </si>
  <si>
    <t>50H-16700-</t>
  </si>
  <si>
    <t>TTC-655</t>
  </si>
  <si>
    <t>TTC-657</t>
  </si>
  <si>
    <t>TTC-659</t>
  </si>
  <si>
    <t>E2604178TIXNT8I</t>
  </si>
  <si>
    <t>TTC-661</t>
  </si>
  <si>
    <t>E2604177VEVSUXV</t>
  </si>
  <si>
    <t>Nguyễn Khải 0902849167</t>
  </si>
  <si>
    <t>TTC-667</t>
  </si>
  <si>
    <t>2376 - 2999 Phạm Thế Hiển-Q.8-HCM</t>
  </si>
  <si>
    <t>@Vutraxanh</t>
  </si>
  <si>
    <t>cot van 19h không quay đầu kịp, 1 xe cot chính không chở hết hàng của bưu cục</t>
  </si>
  <si>
    <t>TTC-668</t>
  </si>
  <si>
    <t>y</t>
  </si>
  <si>
    <t>TTC-670</t>
  </si>
  <si>
    <t>E260418O7VUTMTH</t>
  </si>
  <si>
    <t>TTC-671</t>
  </si>
  <si>
    <t>E260418U1XMASJF</t>
  </si>
  <si>
    <t>TTC-674</t>
  </si>
  <si>
    <t>E260418YEICFSAZ</t>
  </si>
  <si>
    <t>TTC-675</t>
  </si>
  <si>
    <t>vận tải chưa phản hồi có xe tăng cường tối, bưu cục hủy phiếu yêu cầu cũ, nhờ Team xếp xe tăng cường rạng sáng giúp bưu cục.
Thanks.</t>
  </si>
  <si>
    <t>TTC-677</t>
  </si>
  <si>
    <t>@ThanBDM</t>
  </si>
  <si>
    <t>E260418WG5N385A</t>
  </si>
  <si>
    <t>TTC-680</t>
  </si>
  <si>
    <t>E260419PKF83APM</t>
  </si>
  <si>
    <t>TTC-685</t>
  </si>
  <si>
    <t>Tải bỏ điểm</t>
  </si>
  <si>
    <t>TTC-688</t>
  </si>
  <si>
    <t>TTC-690</t>
  </si>
  <si>
    <t>BC điền link tăng cường vì sản lượng tăng BC cần thêm xe 5 Tấn vào khung giờ 21h đến 21h30
Nhờ KTC hỗ trợ giúp BC</t>
  </si>
  <si>
    <t>E260420DFP7F8FQ</t>
  </si>
  <si>
    <t>51D-60227</t>
  </si>
  <si>
    <t>Nguyễn Xuân Phúc 889999162</t>
  </si>
  <si>
    <t>TTC-692</t>
  </si>
  <si>
    <t>TTC-693</t>
  </si>
  <si>
    <t>Nhung</t>
  </si>
  <si>
    <t>E260420584SQ1TR</t>
  </si>
  <si>
    <t>HÀ VĂN MINH</t>
  </si>
  <si>
    <t>TTC-694</t>
  </si>
  <si>
    <t>E260420ZSHNUCCS</t>
  </si>
  <si>
    <t>50H34555</t>
  </si>
  <si>
    <t>Nguyễn Hoàng Pha.</t>
  </si>
  <si>
    <t>TTC-695</t>
  </si>
  <si>
    <t>Lượng hàng cồng kềnh BC tăng cao, nhờ anh/chị sắp xếp giúp BC con TC, em cảm ơn.</t>
  </si>
  <si>
    <t>E260420H2ZA3E9P</t>
  </si>
  <si>
    <t>TTC-697</t>
  </si>
  <si>
    <t>hàng ck nặng nhờ team xs tải lớn</t>
  </si>
  <si>
    <t>E2604206LNUFLJP</t>
  </si>
  <si>
    <t>tài xế Hồ Minh Tiến AHT: 0902991599</t>
  </si>
  <si>
    <t>TTC-698</t>
  </si>
  <si>
    <t>E2604200XYL3XEI</t>
  </si>
  <si>
    <t>51D11134</t>
  </si>
  <si>
    <t>Trịnh minh Tâm '0933912150</t>
  </si>
  <si>
    <t>TTC-701</t>
  </si>
  <si>
    <t>E260420XDUV94C4</t>
  </si>
  <si>
    <t>xe 51D-62358</t>
  </si>
  <si>
    <t>TTC-704</t>
  </si>
  <si>
    <t>E260420644XAA3D</t>
  </si>
  <si>
    <t>50H - 52870</t>
  </si>
  <si>
    <t>, Nguyễn Tuấn Kiệt: 0896912250</t>
  </si>
  <si>
    <t>TTC-706</t>
  </si>
  <si>
    <t>E26042023IVFRWY</t>
  </si>
  <si>
    <t>TTC-707</t>
  </si>
  <si>
    <t>2534 - 903B Tạ Quang Bửu-Q.8-HCM</t>
  </si>
  <si>
    <t>lượng hàng lấy kho t2 tăng cao , tải van 19h quay đầu không kịp</t>
  </si>
  <si>
    <t>E260420Y6QULBA8</t>
  </si>
  <si>
    <t>TTC-708</t>
  </si>
  <si>
    <t>E260420Q4G2GZTU</t>
  </si>
  <si>
    <t>50H-00429</t>
  </si>
  <si>
    <t>lê văn tiến</t>
  </si>
  <si>
    <t>TTC-709</t>
  </si>
  <si>
    <t>E26042059SX16DK</t>
  </si>
  <si>
    <t>TTC-710</t>
  </si>
  <si>
    <t>Khác: BC 125A Lê Lợi - Hóc Môn</t>
  </si>
  <si>
    <t>BC 125A Lê Lợi - Hóc Môn</t>
  </si>
  <si>
    <t>TTC-711</t>
  </si>
  <si>
    <t>E260420RNXSDJZL</t>
  </si>
  <si>
    <t>TTC-712</t>
  </si>
  <si>
    <t>E260420RL7M8HEF</t>
  </si>
  <si>
    <t>TTC-713</t>
  </si>
  <si>
    <t>Do lượng hàng tăng đột biến, nhờ team sắp xếp tải TC giúp ạ</t>
  </si>
  <si>
    <t>E260420TU2TOLP9</t>
  </si>
  <si>
    <t>, Đoàn Văn Băng: 0901440408,</t>
  </si>
  <si>
    <t>TTC-717</t>
  </si>
  <si>
    <t>Do lượng hàng tăng đột biến BC xin được cấp thêm tải tăng cường về KTC 01 .</t>
  </si>
  <si>
    <t>TTC-718</t>
  </si>
  <si>
    <t>Tải đầy</t>
  </si>
  <si>
    <t>E260420XSI86QT1</t>
  </si>
  <si>
    <t>50H-88290</t>
  </si>
  <si>
    <t>, Đào Khắc Hoàng: 0795971268</t>
  </si>
  <si>
    <t>TTC-719</t>
  </si>
  <si>
    <t>E260420R8WJXJ3X</t>
  </si>
  <si>
    <t>50H-81137 tài xế</t>
  </si>
  <si>
    <t>TTC-720</t>
  </si>
  <si>
    <t>TTC-721</t>
  </si>
  <si>
    <t>E260420DD7KRCB2</t>
  </si>
  <si>
    <t>51C85503</t>
  </si>
  <si>
    <t>Nguyễn Tấn Phương 0974216390</t>
  </si>
  <si>
    <t>TTC-722</t>
  </si>
  <si>
    <t>E260420PTMT0SG4</t>
  </si>
  <si>
    <t>51D - 14498,</t>
  </si>
  <si>
    <t>Lê Văn Lợi: 0942568603</t>
  </si>
  <si>
    <t>TTC-723</t>
  </si>
  <si>
    <t>E260420D8CKADR4</t>
  </si>
  <si>
    <t>TTC-724</t>
  </si>
  <si>
    <t>E260420C07C5JNW</t>
  </si>
  <si>
    <t>TTC-725</t>
  </si>
  <si>
    <t>TAI DAY</t>
  </si>
  <si>
    <t>E260420ZNIPPFVK</t>
  </si>
  <si>
    <t>Nguyễn Tấn Thành 0366789631</t>
  </si>
  <si>
    <t>TTC-726</t>
  </si>
  <si>
    <t>20519000 - 10 Đường số 8-Linh Xuân-Q.Thủ Đức-HCM</t>
  </si>
  <si>
    <t>TTC-727</t>
  </si>
  <si>
    <t>@Binhtaylan</t>
  </si>
  <si>
    <t>E260420ODSCZN77</t>
  </si>
  <si>
    <t>TTC-728</t>
  </si>
  <si>
    <t>TTC-730</t>
  </si>
  <si>
    <t>TTC-731</t>
  </si>
  <si>
    <t>cot đầu full tải bỏ điểm</t>
  </si>
  <si>
    <t>TTC-732</t>
  </si>
  <si>
    <t>E260420E200KGLJ</t>
  </si>
  <si>
    <t>50E16034</t>
  </si>
  <si>
    <t>Đào Duy Khang</t>
  </si>
  <si>
    <t>TTC-733</t>
  </si>
  <si>
    <t>E2604206VEE0PDU</t>
  </si>
  <si>
    <t>51D-74389</t>
  </si>
  <si>
    <t>NGUYỄN HOÀNG PHI HÙNG QKP 0939561718</t>
  </si>
  <si>
    <t>TTC-734</t>
  </si>
  <si>
    <t>22H15 MỚI ĐONG XONG HÀNG</t>
  </si>
  <si>
    <t>E2604205UF355ZL</t>
  </si>
  <si>
    <t>TTC-736</t>
  </si>
  <si>
    <t>E2604205ELM2MJP</t>
  </si>
  <si>
    <t>51D-47778,</t>
  </si>
  <si>
    <t>Trần Duy Hoài: 0962243135,</t>
  </si>
  <si>
    <t>TTC-737</t>
  </si>
  <si>
    <t>TTC-738</t>
  </si>
  <si>
    <t>E260420SOGKGY6I</t>
  </si>
  <si>
    <t>PHAN PHÚ Hòa</t>
  </si>
  <si>
    <t>TTC-739</t>
  </si>
  <si>
    <t>E2604203JUEH74A</t>
  </si>
  <si>
    <t>TTC-740</t>
  </si>
  <si>
    <t>BC xin được cấp xe 5 t</t>
  </si>
  <si>
    <t>TTC-741</t>
  </si>
  <si>
    <t>E260420CUSN7L4X</t>
  </si>
  <si>
    <t>50H18228</t>
  </si>
  <si>
    <t>Nguyễn Thành Lộc</t>
  </si>
  <si>
    <t>TTC-742</t>
  </si>
  <si>
    <t>TTC-744</t>
  </si>
  <si>
    <t>E260420PFSKBA9B</t>
  </si>
  <si>
    <t>50E13081</t>
  </si>
  <si>
    <t>Nguyễn Minh Hiếu</t>
  </si>
  <si>
    <t>TTC-745</t>
  </si>
  <si>
    <t>TTC-746</t>
  </si>
  <si>
    <t>TTC-747</t>
  </si>
  <si>
    <t>E260420FDM4M8UL</t>
  </si>
  <si>
    <t>Nguyễn Kim Long</t>
  </si>
  <si>
    <t>TTC-748</t>
  </si>
  <si>
    <t>@KhiemT</t>
  </si>
  <si>
    <t>TTC-749</t>
  </si>
  <si>
    <t>E260420067125KT</t>
  </si>
  <si>
    <t>51C-96659</t>
  </si>
  <si>
    <t>TTC-750</t>
  </si>
  <si>
    <t>E260420N7Z7J8KN</t>
  </si>
  <si>
    <t>TTC-751</t>
  </si>
  <si>
    <t>E2604206CBMLYH5</t>
  </si>
  <si>
    <t>ĐOÀN CHÍ LINH QKP 0773600165</t>
  </si>
  <si>
    <t>TTC-752</t>
  </si>
  <si>
    <t>Do lượng hàng tăng đột biến BC xin tải TC về KTC 01 Nhờ team hổ trợ BC.</t>
  </si>
  <si>
    <t>E260420AB9CQJHD</t>
  </si>
  <si>
    <t>TTC-753</t>
  </si>
  <si>
    <t>TTC-754</t>
  </si>
  <si>
    <t>TTC-755</t>
  </si>
  <si>
    <t>@NVXL390NKC</t>
  </si>
  <si>
    <t>E260420X99A8O4X</t>
  </si>
  <si>
    <t>nguyễn duy linh</t>
  </si>
  <si>
    <t>TTC-756</t>
  </si>
  <si>
    <t>BƯU CỤC TẠM THỜI DỜI VỀ ĐỊA CHỈ 2/5 ĐƯỜNG 84, CAO LỖ</t>
  </si>
  <si>
    <t>TTC-759</t>
  </si>
  <si>
    <t>E260420Z4P0WQF8</t>
  </si>
  <si>
    <t>VP</t>
  </si>
  <si>
    <t>TTC-760</t>
  </si>
  <si>
    <t>TTC-761</t>
  </si>
  <si>
    <t>Thứ 2 hàng nhiều xin tăng cường nhưng tải tăng cường cũng full xe, cần xin tăng cường trưa mai để clear hàng.</t>
  </si>
  <si>
    <t>E260421K6SHUJ11</t>
  </si>
  <si>
    <t>N</t>
  </si>
  <si>
    <t>TTC-762</t>
  </si>
  <si>
    <t>TTC-763</t>
  </si>
  <si>
    <t>E260420P0RRG29C</t>
  </si>
  <si>
    <t>TTC-764</t>
  </si>
  <si>
    <t>hàng nhiều quá tải</t>
  </si>
  <si>
    <t>TTC-765</t>
  </si>
  <si>
    <t>lượng hàng lấy tăng cao , xe van 19h quay đầu không kịp , bc xin tc xe tc chỉ lấy hàng về 20</t>
  </si>
  <si>
    <t>E26042167PUBX1U</t>
  </si>
  <si>
    <t>TTC-766</t>
  </si>
  <si>
    <t>hàng lấy còn rớt lại nhiều ,nhờ teem sắp xếp xe tc rạng sáng mai giúp bc</t>
  </si>
  <si>
    <t>E260420CWRD0US7</t>
  </si>
  <si>
    <t>TTC-767</t>
  </si>
  <si>
    <t>E260420YNX49N3Y</t>
  </si>
  <si>
    <t>TTC-768</t>
  </si>
  <si>
    <t>TTC-770</t>
  </si>
  <si>
    <t>E2604209IZCHKXX</t>
  </si>
  <si>
    <t>TTC-771</t>
  </si>
  <si>
    <t>TTC-772</t>
  </si>
  <si>
    <t>TTC-773</t>
  </si>
  <si>
    <t>E2604212DLH5BK8</t>
  </si>
  <si>
    <t>TTC-774</t>
  </si>
  <si>
    <t>E260421SIYJUVJU</t>
  </si>
  <si>
    <t>TTC-776</t>
  </si>
  <si>
    <t>TTC-777</t>
  </si>
  <si>
    <t>E260421JGRRGNGV</t>
  </si>
  <si>
    <t>50h-21445</t>
  </si>
  <si>
    <t>LƯƠNG HÀ MINH TRÍ</t>
  </si>
  <si>
    <t>TTC-778</t>
  </si>
  <si>
    <t>TTC-782</t>
  </si>
  <si>
    <t>E260421PUKPC6X6</t>
  </si>
  <si>
    <t>txe Trần Hoài Thanh AHT: 0911956408</t>
  </si>
  <si>
    <t>TTC-785</t>
  </si>
  <si>
    <t>E2604214XO2Z7U0</t>
  </si>
  <si>
    <t>59H-94497</t>
  </si>
  <si>
    <t>TTC-788</t>
  </si>
  <si>
    <t>Khác: Điểm xử lý hàng shop Vifon</t>
  </si>
  <si>
    <t>Điểm xử lý hàng shop Vifon</t>
  </si>
  <si>
    <t>E2604215FQT7LAC</t>
  </si>
  <si>
    <t>TTC-789</t>
  </si>
  <si>
    <t>TTC-790</t>
  </si>
  <si>
    <t>E260421JFQAH0LO</t>
  </si>
  <si>
    <t>TTC-792</t>
  </si>
  <si>
    <t>Duy</t>
  </si>
  <si>
    <t>TTC-794</t>
  </si>
  <si>
    <t>E26042115I10LE3</t>
  </si>
  <si>
    <t>TTC-795</t>
  </si>
  <si>
    <t>Khác: 22473000</t>
  </si>
  <si>
    <t>TTC-796</t>
  </si>
  <si>
    <t>E260421C5S5AA10</t>
  </si>
  <si>
    <t>TTC-797</t>
  </si>
  <si>
    <t>E2604215W84FW49</t>
  </si>
  <si>
    <t>TTC-798</t>
  </si>
  <si>
    <t>Khác: 22473000 - Bưu Cục 13 Đường Số 8-Hiệp Bình Phước-Q.Thủ Đức-HCM</t>
  </si>
  <si>
    <t>22473000 - Bưu Cục 13 Đường Số 8-Hiệp Bình Phước-Q.Thủ Đức-HCM</t>
  </si>
  <si>
    <t>E2604216J1DI4VV</t>
  </si>
  <si>
    <t>TTC-799</t>
  </si>
  <si>
    <t>E260421C4G90JDB</t>
  </si>
  <si>
    <t>Xe 50H-92081</t>
  </si>
  <si>
    <t>tài xế Trần Hữu Việt AHT: 0909269205</t>
  </si>
  <si>
    <t>TTC-800</t>
  </si>
  <si>
    <t>Nhờ BC lên hàng 4h giúp</t>
  </si>
  <si>
    <t>E2604219XZAV6EH</t>
  </si>
  <si>
    <t>Khải 0902849167</t>
  </si>
  <si>
    <t>TTC-801</t>
  </si>
  <si>
    <t>E260421JX2WYLJZ</t>
  </si>
  <si>
    <t>TTC-802</t>
  </si>
  <si>
    <t>E260421HS2CC472</t>
  </si>
  <si>
    <t>51C-79654</t>
  </si>
  <si>
    <t>tài xế Nguyễn Văn Sâm: 0368982473</t>
  </si>
  <si>
    <t>TTC-803</t>
  </si>
  <si>
    <t>E260421TO1E5UI7</t>
  </si>
  <si>
    <t>TTC-805</t>
  </si>
  <si>
    <t>TTC-808</t>
  </si>
  <si>
    <t>Do shop tiktok hàng nhỏ của BC chiều nay vừa nổ sale livestream 1500 đơn tiktok, BC không kịp đóng kiện bao bố xong trước 20g và 20g30 khi xe tải chính đến. Nhờ team sắp xếp giúp 1 hoặc 2 xe TC lấy hàng về 2 KTC khoảng 10g tối giúp ạ ToT Hàng không to nhưng nặng và do chính yếu do BC không đóng kịp, nhờ team giúp giùm</t>
  </si>
  <si>
    <t>E26042288LK8OZP</t>
  </si>
  <si>
    <t>TTC-809</t>
  </si>
  <si>
    <t>@Thien_PH</t>
  </si>
  <si>
    <t>TTC-811</t>
  </si>
  <si>
    <t>E260422MYZAFRBP</t>
  </si>
  <si>
    <t>TTC-813</t>
  </si>
  <si>
    <t>E260422TXU96GHU</t>
  </si>
  <si>
    <t>TTC-815</t>
  </si>
  <si>
    <t>E2604224RY8Z0RI</t>
  </si>
  <si>
    <t>50h-04771</t>
  </si>
  <si>
    <t>TRẦN HỮU VỊNH</t>
  </si>
  <si>
    <t>TTC-819</t>
  </si>
  <si>
    <t>E260422T3NQ9NDY</t>
  </si>
  <si>
    <t>TTC-820</t>
  </si>
  <si>
    <t>E260422BICRUXM6</t>
  </si>
  <si>
    <t>TTC-821</t>
  </si>
  <si>
    <t>E260422DUVXF5HX</t>
  </si>
  <si>
    <t>TTC-823</t>
  </si>
  <si>
    <t>E260422QQ2TZZPK</t>
  </si>
  <si>
    <t>đầo nguyên khải</t>
  </si>
  <si>
    <t>TTC-824</t>
  </si>
  <si>
    <t>E260422Z383BKOR</t>
  </si>
  <si>
    <t>50h-06985</t>
  </si>
  <si>
    <t>TTC-825</t>
  </si>
  <si>
    <t>@Nvxl21432000</t>
  </si>
  <si>
    <t>E26042270F43I50</t>
  </si>
  <si>
    <t>TTC-826</t>
  </si>
  <si>
    <t>E2604226CXC9DGV</t>
  </si>
  <si>
    <t>TTC-835</t>
  </si>
  <si>
    <t>E260423IRSJ653E</t>
  </si>
  <si>
    <t>TTC-836</t>
  </si>
  <si>
    <t>E260423Z76J4TP3</t>
  </si>
  <si>
    <t>50h29081</t>
  </si>
  <si>
    <t>Trần Hữu Việt</t>
  </si>
  <si>
    <t>TTC-837</t>
  </si>
  <si>
    <t>E260423GGGLXJDD</t>
  </si>
  <si>
    <t>Trịnh Văn Đại</t>
  </si>
  <si>
    <t>TTC-838</t>
  </si>
  <si>
    <t>E260423WWLUN12T</t>
  </si>
  <si>
    <t>TTC-840</t>
  </si>
  <si>
    <t>E260423HRII54E1</t>
  </si>
  <si>
    <t>TTC-841</t>
  </si>
  <si>
    <t>LỘC</t>
  </si>
  <si>
    <t>E260424S40JH7V3</t>
  </si>
  <si>
    <t>TTC-844</t>
  </si>
  <si>
    <t>TTC-848</t>
  </si>
  <si>
    <t>E260424HRM6KDT7</t>
  </si>
  <si>
    <t>TTC-849</t>
  </si>
  <si>
    <t>E26042432DNPOXC</t>
  </si>
  <si>
    <t>TTC-853</t>
  </si>
  <si>
    <t>Thians_NA</t>
  </si>
  <si>
    <t>E260424ORHZSGR6</t>
  </si>
  <si>
    <t>TTC-854</t>
  </si>
  <si>
    <t>E260424YQK4QGMU</t>
  </si>
  <si>
    <t>TTC-855</t>
  </si>
  <si>
    <t>E2604244U7U34ZU</t>
  </si>
  <si>
    <t>TTC-856</t>
  </si>
  <si>
    <t>E260424KXONHMKB</t>
  </si>
  <si>
    <t>TTC-858</t>
  </si>
  <si>
    <t>E260424MVX9DWF3</t>
  </si>
  <si>
    <t>TTC-859</t>
  </si>
  <si>
    <t>20914000 - 374 Xô Viết Nghệ Tĩnh-Q.Bình Thạnh-HCM</t>
  </si>
  <si>
    <t>TTC-860</t>
  </si>
  <si>
    <t>TTC-861</t>
  </si>
  <si>
    <t>E2604257J55PAYY</t>
  </si>
  <si>
    <t>SG_TCEV_36</t>
  </si>
  <si>
    <t>TTC-862</t>
  </si>
  <si>
    <t>E260424E6EBG8NN</t>
  </si>
  <si>
    <t>TTC-863</t>
  </si>
  <si>
    <t>E260424XPX0KDU4</t>
  </si>
  <si>
    <t>Lợi 0989640068</t>
  </si>
  <si>
    <t>TTC-865</t>
  </si>
  <si>
    <t>100 kiện hàng điện lạnh (Máy lạnh, tivi, tủ lạnh, máy giặt)</t>
  </si>
  <si>
    <t>TTC-866</t>
  </si>
  <si>
    <t>Event hàng nhiều. BC xin TC</t>
  </si>
  <si>
    <t>E260425NG4GDUFZ</t>
  </si>
  <si>
    <t>TTC-867</t>
  </si>
  <si>
    <t>E260425W1HJSXIY</t>
  </si>
  <si>
    <t>TTC-871</t>
  </si>
  <si>
    <t>E2604252DFG86H5</t>
  </si>
  <si>
    <t>TTC-872</t>
  </si>
  <si>
    <t>E260425SFOVQV2N</t>
  </si>
  <si>
    <t>1t9</t>
  </si>
  <si>
    <t>TTC-876</t>
  </si>
  <si>
    <t>E260425LRD4XHVE</t>
  </si>
  <si>
    <t>TTC-877</t>
  </si>
  <si>
    <t>E260425NIR8F4LQ</t>
  </si>
  <si>
    <t>SG_TCEV_24</t>
  </si>
  <si>
    <t>TTC-878</t>
  </si>
  <si>
    <t>Do event lượng hàng tăng đột xuất BC xin thêm tải TC về HCM 01. Nhờ KTC vận tải hổ trợ BC với ạ. Tks team.</t>
  </si>
  <si>
    <t>TTC-880</t>
  </si>
  <si>
    <t>E260426E9O9QU7W</t>
  </si>
  <si>
    <t>TTC-881</t>
  </si>
  <si>
    <t>E260425Y8Q5J3ZZ</t>
  </si>
  <si>
    <t>50H-047769</t>
  </si>
  <si>
    <t>TTC-882</t>
  </si>
  <si>
    <t>E260425DDWBCID7</t>
  </si>
  <si>
    <t>50H--94603</t>
  </si>
  <si>
    <t>TTC-883</t>
  </si>
  <si>
    <t>bc đã lên full 2 cot tải chính , tải van 19h quay đầu không kịp bỏ điểm bc</t>
  </si>
  <si>
    <t>E260425SS5FBPJJ</t>
  </si>
  <si>
    <t>TTC-884</t>
  </si>
  <si>
    <t>Do lượng hàng tăng đột biến BC xin tải TC không có. Nhờ KTC hổ trợ BC tải TC sáng về HCM với ạ. Tks team.</t>
  </si>
  <si>
    <t>TTC-887</t>
  </si>
  <si>
    <t>E260426MBXALEP1</t>
  </si>
  <si>
    <t>TTC-892</t>
  </si>
  <si>
    <t>E260426IXDB5RK3</t>
  </si>
  <si>
    <t>ĐẶNG VĂN HOÀI</t>
  </si>
  <si>
    <t>TTC-898</t>
  </si>
  <si>
    <t>Xin 2 xe 1T9</t>
  </si>
  <si>
    <t>22::30</t>
  </si>
  <si>
    <t>E2604277KX1420J</t>
  </si>
  <si>
    <t>TTC-899</t>
  </si>
  <si>
    <t>E260427XPKRJW73</t>
  </si>
  <si>
    <t>TTC-900</t>
  </si>
  <si>
    <t>2489 - 456 Nguyễn Kiệm-Q.Phú Nhuận-HCM</t>
  </si>
  <si>
    <t>E260427F83LGKZJ</t>
  </si>
  <si>
    <t>50H-93902</t>
  </si>
  <si>
    <t>TRẦN VĂN CẢNH</t>
  </si>
  <si>
    <t>TTC-903</t>
  </si>
  <si>
    <t>E260427ANM6XD9G</t>
  </si>
  <si>
    <t>50H-92081</t>
  </si>
  <si>
    <t>TTC-905</t>
  </si>
  <si>
    <t>TTC-906</t>
  </si>
  <si>
    <t>E260427XHAW6WDG</t>
  </si>
  <si>
    <t>LẦM HOÀNG NHẬT</t>
  </si>
  <si>
    <t>TTC-907</t>
  </si>
  <si>
    <t>TTC-910</t>
  </si>
  <si>
    <t>E2604272OCBDNV9</t>
  </si>
  <si>
    <t>TTC-911</t>
  </si>
  <si>
    <t xml:space="preserve">hàng tăng đột biến nhờ team hỗ trợ giúp bc
</t>
  </si>
  <si>
    <t>E260427RKC65PVC</t>
  </si>
  <si>
    <t>TTC-912</t>
  </si>
  <si>
    <t>TTC-914</t>
  </si>
  <si>
    <t>E2604271HSCXN30</t>
  </si>
  <si>
    <t>TTC-915</t>
  </si>
  <si>
    <t>E2604275S3SCW1M</t>
  </si>
  <si>
    <t>TTC-917</t>
  </si>
  <si>
    <t>E260427D2E449A4</t>
  </si>
  <si>
    <t>50H--944977</t>
  </si>
  <si>
    <t>TTC-919</t>
  </si>
  <si>
    <t>E260427QWFRDB8K</t>
  </si>
  <si>
    <t>nnguễnduy linh</t>
  </si>
  <si>
    <t>TTC-920</t>
  </si>
  <si>
    <t>E260427QYJ8D2SX</t>
  </si>
  <si>
    <t>50H--06985</t>
  </si>
  <si>
    <t>TTC-921</t>
  </si>
  <si>
    <t>E260427C8ASG61H</t>
  </si>
  <si>
    <t>TTC-923</t>
  </si>
  <si>
    <t>E260427D4NTPQIA</t>
  </si>
  <si>
    <t>TTC-924</t>
  </si>
  <si>
    <t>E2604288SL5724H</t>
  </si>
  <si>
    <t>TTC-929</t>
  </si>
  <si>
    <t>E260428YLE83ORH</t>
  </si>
  <si>
    <t>TTC-931</t>
  </si>
  <si>
    <t>E2604284PC8KY7R</t>
  </si>
  <si>
    <t>50H-81287</t>
  </si>
  <si>
    <t>PHAN MINH THẢO</t>
  </si>
  <si>
    <t>TTC-932</t>
  </si>
  <si>
    <t>E260428WQ6OAB07</t>
  </si>
  <si>
    <t>TTC-934</t>
  </si>
  <si>
    <t>E260428254BLAYG</t>
  </si>
  <si>
    <t>50H-18416</t>
  </si>
  <si>
    <t>TTC-935</t>
  </si>
  <si>
    <t>E260428ZXHNFG4W</t>
  </si>
  <si>
    <t>trịnh phúc thịnh</t>
  </si>
  <si>
    <t>TTC-936</t>
  </si>
  <si>
    <t>E260428I76ZHER0</t>
  </si>
  <si>
    <t>TTC-937</t>
  </si>
  <si>
    <t>E260428BMFTUCW4</t>
  </si>
  <si>
    <t>TTC-938</t>
  </si>
  <si>
    <t>TTC-939</t>
  </si>
  <si>
    <t>cot đầu full bỏ điểm</t>
  </si>
  <si>
    <t>E260428J0E5MZQ4</t>
  </si>
  <si>
    <t>TTC-940</t>
  </si>
  <si>
    <t>E26042850QYY5UK</t>
  </si>
  <si>
    <t>TTC-941</t>
  </si>
  <si>
    <t>E260428XPTX4MFZ</t>
  </si>
  <si>
    <t>509h-16700</t>
  </si>
  <si>
    <t>TRẦN HỮU VINh</t>
  </si>
  <si>
    <t>TTC-943</t>
  </si>
  <si>
    <t>TTC-945</t>
  </si>
  <si>
    <t>lấy hàng về 2 kho</t>
  </si>
  <si>
    <t>E26042989NX5ZA1</t>
  </si>
  <si>
    <t>50H-04525</t>
  </si>
  <si>
    <t>Lại Gia Hiếu</t>
  </si>
  <si>
    <t>TTC-949</t>
  </si>
  <si>
    <t>E260429XQUGJULV</t>
  </si>
  <si>
    <t>TTC-950</t>
  </si>
  <si>
    <t>E260429D6GXJU1A</t>
  </si>
  <si>
    <t>TTC-951</t>
  </si>
  <si>
    <t>COT ĐẦU BÁO FULL</t>
  </si>
  <si>
    <t>E2604290DFXHV0W</t>
  </si>
  <si>
    <t>TTC-953</t>
  </si>
  <si>
    <t>E260429PUNHZ2DW</t>
  </si>
  <si>
    <t>TTC-956</t>
  </si>
  <si>
    <t>E260430LLGO1J9Z</t>
  </si>
  <si>
    <t>TTC-958</t>
  </si>
  <si>
    <t>Do hàng tiktok CK của Bưu cục tăng mạnh do sale lễ 30/4, BC xin phép xin 2 tải 1T9 vào tối nay</t>
  </si>
  <si>
    <t>E260430JXX009ES</t>
  </si>
  <si>
    <t>TTC-959</t>
  </si>
  <si>
    <t>E260430PTU65BQ7</t>
  </si>
  <si>
    <t>50H-11873</t>
  </si>
  <si>
    <t>Thạch Vinh QKP</t>
  </si>
  <si>
    <t>TTC-962</t>
  </si>
  <si>
    <t>E260501FSIQQQMS</t>
  </si>
  <si>
    <t>TTC-966</t>
  </si>
  <si>
    <t>22388000 - 215 Bình Thới-Q.11-HCM</t>
  </si>
  <si>
    <t>TTC-967</t>
  </si>
  <si>
    <t>E2605016DUWB9Y1</t>
  </si>
  <si>
    <t>50h--04508</t>
  </si>
  <si>
    <t>thái tiến minh</t>
  </si>
  <si>
    <t>TTC-972</t>
  </si>
  <si>
    <t>TTC-978</t>
  </si>
  <si>
    <t>hàng nặng nhờ team hỗ trợ cho xe 2 tấn, xe van ko đủ tải lấy</t>
  </si>
  <si>
    <t>E260502VTYIM9BN</t>
  </si>
  <si>
    <t>TTC-980</t>
  </si>
  <si>
    <t>E260502I37CRVCH</t>
  </si>
  <si>
    <t>50H-67027 t</t>
  </si>
  <si>
    <t>ài xế Nguyễn Trung Hiếu AHT: 0937822322</t>
  </si>
  <si>
    <t>TTC-981</t>
  </si>
  <si>
    <t>20052000 - 295F Lý Thường Kiệt-Quận 11-HCM</t>
  </si>
  <si>
    <t>Van 19h không quay đầu kịp, hỗ trợ BC 1 tải TC thay thế Van 19h</t>
  </si>
  <si>
    <t>E260502PID0XAU0</t>
  </si>
  <si>
    <t>50h--71661</t>
  </si>
  <si>
    <t>TTC-982</t>
  </si>
  <si>
    <t>TTC-983</t>
  </si>
  <si>
    <t>NHỜ TEAM HỖ TRỢ 2 KHO GIÚP BƯU CỤC</t>
  </si>
  <si>
    <t>E260502DI0KVEUR</t>
  </si>
  <si>
    <t>54X-204</t>
  </si>
  <si>
    <t>1 tài xế Nguyễn Hữu Luân: 0335338521</t>
  </si>
  <si>
    <t>TTC-985</t>
  </si>
  <si>
    <t>E260502VTXNGQ6X</t>
  </si>
  <si>
    <t>TTC-986</t>
  </si>
  <si>
    <t>E260502F2E6GHVP</t>
  </si>
  <si>
    <t>TTC-987</t>
  </si>
  <si>
    <t>E260502WB17SBV3</t>
  </si>
  <si>
    <t>NNGUYỄN DUY LINH</t>
  </si>
  <si>
    <t>TTC-990</t>
  </si>
  <si>
    <t>TTC-991</t>
  </si>
  <si>
    <t>22H00 NHO TEAM HO TRO</t>
  </si>
  <si>
    <t>MDK</t>
  </si>
  <si>
    <t>E260502G6STCAH6</t>
  </si>
  <si>
    <t>TTC-992</t>
  </si>
  <si>
    <t>21667000 - 107 Đường 3D-Bình Hưng Hòa B-Bình Tân-HCM</t>
  </si>
  <si>
    <t>TTC-994</t>
  </si>
  <si>
    <t>@Thians_NA</t>
  </si>
  <si>
    <t>Xe lấy HCM01 full</t>
  </si>
  <si>
    <t>TTC-995</t>
  </si>
  <si>
    <t>E2605021NNLWWGF</t>
  </si>
  <si>
    <t>PHẠM MINH ĐĂNG</t>
  </si>
  <si>
    <t>TTC-996</t>
  </si>
  <si>
    <t>E260502ANQY4DK2</t>
  </si>
  <si>
    <t>TTC-997</t>
  </si>
  <si>
    <t>E260502MS35IR6X</t>
  </si>
  <si>
    <t>ĐÌNH VĂN TỚI</t>
  </si>
  <si>
    <t>TTC-998</t>
  </si>
  <si>
    <t>E260503OT847126</t>
  </si>
  <si>
    <t>TTC-999</t>
  </si>
  <si>
    <t>E2605033RZ5EW3B</t>
  </si>
  <si>
    <t>TTC-1006</t>
  </si>
  <si>
    <t>E260504SJH71M8U</t>
  </si>
  <si>
    <t>TTC-1007</t>
  </si>
  <si>
    <t>TTC-1010</t>
  </si>
  <si>
    <t>TTC-1012</t>
  </si>
  <si>
    <t>SG_TCEV_71</t>
  </si>
  <si>
    <t>TTC-1016</t>
  </si>
  <si>
    <t>E260504GME5NUG7</t>
  </si>
  <si>
    <t>50E-93178</t>
  </si>
  <si>
    <t>tài xế Nguyễn Tấn Nhật: 0908120012</t>
  </si>
  <si>
    <t>TTC-1018</t>
  </si>
  <si>
    <t>TTC-1019</t>
  </si>
  <si>
    <t>E2605041CDGPFMG</t>
  </si>
  <si>
    <t>50H-00427</t>
  </si>
  <si>
    <t>TTC-1021</t>
  </si>
  <si>
    <t>TTC-1022</t>
  </si>
  <si>
    <t>22305000 - 53 Đường 22-Linh Đông-Thủ Đức-HCM</t>
  </si>
  <si>
    <t>SG_TCEV_43</t>
  </si>
  <si>
    <t>TTC-1023</t>
  </si>
  <si>
    <t>TTC-1024</t>
  </si>
  <si>
    <t>E260504A9CMLJ0F</t>
  </si>
  <si>
    <t>TTC-1026</t>
  </si>
  <si>
    <t>E2605043X56RWE0</t>
  </si>
  <si>
    <t>TTC-1027</t>
  </si>
  <si>
    <t>SG_TCEV_39</t>
  </si>
  <si>
    <t>TTC-1028</t>
  </si>
  <si>
    <t>SG_TCEV_42</t>
  </si>
  <si>
    <t>,</t>
  </si>
  <si>
    <t>TTC-1029</t>
  </si>
  <si>
    <t>E260504SSPKPXDT</t>
  </si>
  <si>
    <t>TTC-1030</t>
  </si>
  <si>
    <t>SG_TCEV_60</t>
  </si>
  <si>
    <t>TTC-1031</t>
  </si>
  <si>
    <t>Khác: 21428000</t>
  </si>
  <si>
    <t>TTC-1032</t>
  </si>
  <si>
    <t>E260504LUNCOSB3</t>
  </si>
  <si>
    <t>TTC-1033</t>
  </si>
  <si>
    <t>E260504FS01B20Z</t>
  </si>
  <si>
    <t>TTC-1034</t>
  </si>
  <si>
    <t>SG_TCEV_47</t>
  </si>
  <si>
    <t>TTC-1035</t>
  </si>
  <si>
    <t>SG_TCEV_28</t>
  </si>
  <si>
    <t>TTC-1036</t>
  </si>
  <si>
    <t>full tải</t>
  </si>
  <si>
    <t>TTC-1037</t>
  </si>
  <si>
    <t>E260504Z3N6ZN2L</t>
  </si>
  <si>
    <t>TTC-1038</t>
  </si>
  <si>
    <t>Khác: 21428000 - Bưu Cục Hương Lộ 2-Bình Trị Đông A-Bình Tân</t>
  </si>
  <si>
    <t>21428000 - Bưu Cục Hương Lộ 2-Bình Trị Đông A-Bình Tân</t>
  </si>
  <si>
    <t>SG_TCEV_22</t>
  </si>
  <si>
    <t>TTC-1039</t>
  </si>
  <si>
    <t>có nhân viên ngủ bên trong bưu cục</t>
  </si>
  <si>
    <t>E260505XAGHVH21</t>
  </si>
  <si>
    <t>TTC-1040</t>
  </si>
  <si>
    <t>TTC-1041</t>
  </si>
  <si>
    <t>E260504UI9PDJW8</t>
  </si>
  <si>
    <t>51D-27047</t>
  </si>
  <si>
    <t>Nguyễn Trường Hân VP 919775737</t>
  </si>
  <si>
    <t>TTC-1042</t>
  </si>
  <si>
    <t>E2605044OM1PN7J</t>
  </si>
  <si>
    <t>TTC-1044</t>
  </si>
  <si>
    <t>@Hung_VMT</t>
  </si>
  <si>
    <t>TTC-1046</t>
  </si>
  <si>
    <t>TTC-1049</t>
  </si>
  <si>
    <t>TTC-1050</t>
  </si>
  <si>
    <t>Full tải ở buu cục 198 thạnh lộc , bỏ điểm lấy của buu cục, hàng rớt nhiều nhờ tean hổ trợ sắp xếp xe tăng cường giúp buu cục xuất có chỗ vận hành hàng tôi ,thank's all.</t>
  </si>
  <si>
    <t>TTC-1052</t>
  </si>
  <si>
    <t xml:space="preserve">BC điền link tăng cường vì sản lượng tăng ( ngoai cot chính &amp; Cot Tăng cường) BC cần thêm xe 5 Tấn vào khung giờ 21h đến 21h30
Nhờ KTC hỗ trợ giúp BC
</t>
  </si>
  <si>
    <t>TTC-1053</t>
  </si>
  <si>
    <t>nhờ team xs giúp tải lớn</t>
  </si>
  <si>
    <t>E2605052EG19IWI</t>
  </si>
  <si>
    <t>51D-60463</t>
  </si>
  <si>
    <t>Đinh Văn Doanh 983715964</t>
  </si>
  <si>
    <t>TTC-1054</t>
  </si>
  <si>
    <t>E260505ZMLZOU0I</t>
  </si>
  <si>
    <t>TTC-1055</t>
  </si>
  <si>
    <t>Xe tăng cường theo file không đủ cho lượng hàng event của BC. BC xin phép xin thêm 2 xe TC 1T9 vào tối nay ạ</t>
  </si>
  <si>
    <t>E2605056R1W9QIA</t>
  </si>
  <si>
    <t>TTC-1056</t>
  </si>
  <si>
    <t>TTC-1057</t>
  </si>
  <si>
    <t>TTC-1058</t>
  </si>
  <si>
    <t>E2605057QKB3RK1</t>
  </si>
  <si>
    <t>60H-359.64</t>
  </si>
  <si>
    <t>ĐOÀN CÔNG TÌNH 359474454</t>
  </si>
  <si>
    <t>TTC-1062</t>
  </si>
  <si>
    <t>SG_TCEV_70</t>
  </si>
  <si>
    <t>TTC-1063</t>
  </si>
  <si>
    <t>E2605056SR149CP</t>
  </si>
  <si>
    <t>TTC-1064</t>
  </si>
  <si>
    <t>@Dangnhu_456NK</t>
  </si>
  <si>
    <t>E260505NTCCFGLH</t>
  </si>
  <si>
    <t>TTC-1065</t>
  </si>
  <si>
    <t>Do tải chính của BC đã được BC trước đó (78 đường số 4 - Q7) báo sẽ xuất full tải, BC xin nhờ team xếp giúp 1 xe thay thế về KTC20 (hoặc về 2 KTC càng tốt ạ)</t>
  </si>
  <si>
    <t>E2605058AJ3NRIL</t>
  </si>
  <si>
    <t>TTC-1066</t>
  </si>
  <si>
    <t>BC điền link tăng cường vì sản lượng tăng ( ngoai cot chính &amp; Cot Tăng cường) BC cần thêm xe 5 Tấn vào khung giờ 21h30 đến 22h
Nhờ KTC hỗ trợ giúp BC</t>
  </si>
  <si>
    <t>TTC-1069</t>
  </si>
  <si>
    <t>hàng CK nặng nhờ team hỗ trợ xe lớn</t>
  </si>
  <si>
    <t>E260505BZ4S5XZ4</t>
  </si>
  <si>
    <t>TTC-1072</t>
  </si>
  <si>
    <t>TTC-1073</t>
  </si>
  <si>
    <t>cot đầu bc 26 btk báo xuất full tải</t>
  </si>
  <si>
    <t>TTC-1075</t>
  </si>
  <si>
    <t>E260505I3XZSL7W</t>
  </si>
  <si>
    <t>50H-18597</t>
  </si>
  <si>
    <t>TTC-1076</t>
  </si>
  <si>
    <t>Khác: 22205000</t>
  </si>
  <si>
    <t>TTC-1077</t>
  </si>
  <si>
    <t>Khác: 22205000 BC KE 8F GO XOAI (BHHA)</t>
  </si>
  <si>
    <t>22205000 BC KE 8F GO XOAI (BHHA)</t>
  </si>
  <si>
    <t>TTC-1078</t>
  </si>
  <si>
    <t>Võ Cường Nhựt - NVXL</t>
  </si>
  <si>
    <t>hàng cồng kềnh nhiều, nên e cần 2 xe ạ</t>
  </si>
  <si>
    <t>E260505W6BYGQ6S</t>
  </si>
  <si>
    <t>TTC-1083</t>
  </si>
  <si>
    <t>E260505RJXL9Q9Y</t>
  </si>
  <si>
    <t>TTC-1084</t>
  </si>
  <si>
    <t>TTC-1085</t>
  </si>
  <si>
    <t>TTC-1086</t>
  </si>
  <si>
    <t>TTC-1087</t>
  </si>
  <si>
    <t>hàng đóng bao nhiều bị rớt tải</t>
  </si>
  <si>
    <t>TTC-1089</t>
  </si>
  <si>
    <t>TTC-1090</t>
  </si>
  <si>
    <t>E2605052AAUXCWM</t>
  </si>
  <si>
    <t>TTC-1091</t>
  </si>
  <si>
    <t>22H15</t>
  </si>
  <si>
    <t>E2605057GZN0KIC</t>
  </si>
  <si>
    <t>TTC-1092</t>
  </si>
  <si>
    <t>TTC-1093</t>
  </si>
  <si>
    <t>TTC-1095</t>
  </si>
  <si>
    <t>SG_TCEV_73</t>
  </si>
  <si>
    <t>TTC-1096</t>
  </si>
  <si>
    <t>E260505DXGEUKFW</t>
  </si>
  <si>
    <t>TTC-1097</t>
  </si>
  <si>
    <t>E260505JGSPZ9YJ</t>
  </si>
  <si>
    <t>50h-04765</t>
  </si>
  <si>
    <t>trần vạn phát</t>
  </si>
  <si>
    <t>TTC-1098</t>
  </si>
  <si>
    <t>TTC-1099</t>
  </si>
  <si>
    <t>TTC-1100</t>
  </si>
  <si>
    <t>RỚT HÀNG BAO VỀ KTC 01 VÀ 20 NHỜ TEAM HỖ TRỢ .</t>
  </si>
  <si>
    <t>E260505URB2GC7Q</t>
  </si>
  <si>
    <t>TTC-1101</t>
  </si>
  <si>
    <t>Bc xin được cấp tải 5t</t>
  </si>
  <si>
    <t>E260505EQPBFL7G</t>
  </si>
  <si>
    <t>TTC-1102</t>
  </si>
  <si>
    <t>E260505N46JBQRK</t>
  </si>
  <si>
    <t>TTC-1103</t>
  </si>
  <si>
    <t>TTC-1104</t>
  </si>
  <si>
    <t>TTC-1105</t>
  </si>
  <si>
    <t>SG_TCEV_50</t>
  </si>
  <si>
    <t>TTC-1106</t>
  </si>
  <si>
    <t>THANH</t>
  </si>
  <si>
    <t>E260505FEQJ0V16</t>
  </si>
  <si>
    <t>TTC-1107</t>
  </si>
  <si>
    <t>TTC-1108</t>
  </si>
  <si>
    <t>SG_TCEV_45</t>
  </si>
  <si>
    <t>TTC-1109</t>
  </si>
  <si>
    <t>TTC-1110</t>
  </si>
  <si>
    <t>22520000 - 248A Nơ Trang Long-Q.Bình Thạnh-HCM</t>
  </si>
  <si>
    <t>Do sale 5/5 hub có nhiều hàng công kềnh và trọng lượng nặng lên không hết hàng. còn rớt lạ khoảng 70 kiện. Nhờ team hỗ trợ giúp</t>
  </si>
  <si>
    <t>TTC-1111</t>
  </si>
  <si>
    <t>HÀNG BAO</t>
  </si>
  <si>
    <t>TTC-1112</t>
  </si>
  <si>
    <t>SG_TCEV_40</t>
  </si>
  <si>
    <t>TTC-1113</t>
  </si>
  <si>
    <t>TẢI COT CHÍNH BỎ ĐIỂM KHÔNG ĐẾN BC</t>
  </si>
  <si>
    <t>TTC-1114</t>
  </si>
  <si>
    <t>KTC_20 tải đầy, ktc_01 rớt bao (tc cố định của bưu cục là vè 03)</t>
  </si>
  <si>
    <t>TTC-1115</t>
  </si>
  <si>
    <t>E26050550K9BGYR</t>
  </si>
  <si>
    <t>TTC-1117</t>
  </si>
  <si>
    <t>1479 - 104 Lương Ngọc Quyến-Q.Bình Thạnh-HCM</t>
  </si>
  <si>
    <t>TTC-1118</t>
  </si>
  <si>
    <t>Khác: 22205000 - Bưu Cục 8F Gò Xoài-Bình Hưng Hòa A-Bình Tân-HCM</t>
  </si>
  <si>
    <t>22205000 - Bưu Cục 8F Gò Xoài-Bình Hưng Hòa A-Bình Tân-HCM</t>
  </si>
  <si>
    <t>E260505FQ3VDCSO</t>
  </si>
  <si>
    <t>TRỊNH PHÚC THỊNh</t>
  </si>
  <si>
    <t>TTC-1119</t>
  </si>
  <si>
    <t>Khác: 2205000 KE 8F GO XOAI (BHHA)</t>
  </si>
  <si>
    <t>2205000 KE 8F GO XOAI (BHHA)</t>
  </si>
  <si>
    <t>TTC-1120</t>
  </si>
  <si>
    <t>Khác: 22205000 KE 8F GO XOAI (BHHA)</t>
  </si>
  <si>
    <t>22205000 KE 8F GO XOAI (BHHA)</t>
  </si>
  <si>
    <t>TTC-1121</t>
  </si>
  <si>
    <t>Hàng tồn BC nhiều quá tải diện tích để xử lý
Nhờ Team xuất xe LC bớt</t>
  </si>
  <si>
    <t>TTC-1122</t>
  </si>
  <si>
    <t>21627000 - 116A Bà Hom-Phường 13-Quận 6-HCM</t>
  </si>
  <si>
    <t>E260505ICY5O7GU</t>
  </si>
  <si>
    <t>TTC-1124</t>
  </si>
  <si>
    <t>Khánh Kim</t>
  </si>
  <si>
    <t>Do sale 5/5 lượng hàng của hub tăng đột biến nên full 2 tải còn rớt lại nhiều. Nhờ team sắp giúp hub xe gom hàng lấy lúc 4h 30</t>
  </si>
  <si>
    <t>E260505JXRALAA8</t>
  </si>
  <si>
    <t>TTC-1125</t>
  </si>
  <si>
    <t>E260505T6ISRE62</t>
  </si>
  <si>
    <t>TTC-1126</t>
  </si>
  <si>
    <t>TTC-1128</t>
  </si>
  <si>
    <t>E260505GNHBIYFP</t>
  </si>
  <si>
    <t>TTC-1129</t>
  </si>
  <si>
    <t>E260506T4DTBP0G
E260506DJ9NM1UZ</t>
  </si>
  <si>
    <t>TTC-1130</t>
  </si>
  <si>
    <t>E2605068N5R3U7K</t>
  </si>
  <si>
    <t>TTC-1131</t>
  </si>
  <si>
    <t>E260506JBJD8FCL</t>
  </si>
  <si>
    <t>TTC-1132</t>
  </si>
  <si>
    <t>E260506ZS6XMXJO</t>
  </si>
  <si>
    <t>TTC-1133</t>
  </si>
  <si>
    <t>E260506LO34VCD9</t>
  </si>
  <si>
    <t>TTC-1134</t>
  </si>
  <si>
    <t>E260505SG1CTZRG</t>
  </si>
  <si>
    <t>TTC-1135</t>
  </si>
  <si>
    <t>E260506EJD2QFY5</t>
  </si>
  <si>
    <t>TTC-1136</t>
  </si>
  <si>
    <t>E260506GBIL2949</t>
  </si>
  <si>
    <t>50H-00434</t>
  </si>
  <si>
    <t>Đặng Quang Sơn</t>
  </si>
  <si>
    <t>TTC-1137</t>
  </si>
  <si>
    <t>E2605067N3CUDN6</t>
  </si>
  <si>
    <t>TTC-1138</t>
  </si>
  <si>
    <t>TTC-1139</t>
  </si>
  <si>
    <t>rớt hàng 01 hôm qua không có xe tăng cường, 50 kiện cồng kềnh to nên sắp xếp giúp BC xe trống ạ
BC xin cảm ơn</t>
  </si>
  <si>
    <t>TTC-1140</t>
  </si>
  <si>
    <t>E260506HXSH6QK9</t>
  </si>
  <si>
    <t>50E38693</t>
  </si>
  <si>
    <t>Nguyễn Minh Siêng</t>
  </si>
  <si>
    <t>TTC-1141</t>
  </si>
  <si>
    <t>Giải phóng mặt bằng để vận hành</t>
  </si>
  <si>
    <t>TTC-1142</t>
  </si>
  <si>
    <t>TTC-1144</t>
  </si>
  <si>
    <t>Hàng tăng đột biến</t>
  </si>
  <si>
    <t>TTC-1148</t>
  </si>
  <si>
    <t>E260506C0N9YR2I</t>
  </si>
  <si>
    <t>TTC-1149</t>
  </si>
  <si>
    <t>E2605063UJ32IIJ</t>
  </si>
  <si>
    <t>TTC-1150</t>
  </si>
  <si>
    <t>E260506KIEICFLV</t>
  </si>
  <si>
    <t>Xe 50E-93178</t>
  </si>
  <si>
    <t>TTC-1152</t>
  </si>
  <si>
    <t>Hàng tăng đột biến, cần giải phóng MB</t>
  </si>
  <si>
    <t>TTC-1153</t>
  </si>
  <si>
    <t>BC xin thêm 1 tải ngoài xe được cấp theo file do lượng hàng CK event vẫn còn nhiều trong hôm nay</t>
  </si>
  <si>
    <t>E260506ZMYE6GK6</t>
  </si>
  <si>
    <t>1T0</t>
  </si>
  <si>
    <t>TTC-1155</t>
  </si>
  <si>
    <t>E260506CYURZWED</t>
  </si>
  <si>
    <t>50h-04790</t>
  </si>
  <si>
    <t>TTC-1156</t>
  </si>
  <si>
    <t>TTC-1158</t>
  </si>
  <si>
    <t>TTC-1160</t>
  </si>
  <si>
    <t>TTC-1161</t>
  </si>
  <si>
    <t>hàng CK nặng nhờ team hỗ trợ tải lớn giúp BC</t>
  </si>
  <si>
    <t>E260506NRUY5YWU</t>
  </si>
  <si>
    <t>TTC-1163</t>
  </si>
  <si>
    <t>Giải Phóng Mặt Bằng</t>
  </si>
  <si>
    <t>tải ghép chung 10 đs8</t>
  </si>
  <si>
    <t>TTC-1164</t>
  </si>
  <si>
    <t>TTC-1166</t>
  </si>
  <si>
    <t>TTC-1167</t>
  </si>
  <si>
    <t>E260506QA1MBRJ6</t>
  </si>
  <si>
    <t>TTC-1168</t>
  </si>
  <si>
    <t>E2605061DSJPDXP</t>
  </si>
  <si>
    <t>TTC-1171</t>
  </si>
  <si>
    <t>TTC-1172</t>
  </si>
  <si>
    <t>BC hàng nhiều</t>
  </si>
  <si>
    <t>TTC-1174</t>
  </si>
  <si>
    <t>E260506BDKJ4T1K</t>
  </si>
  <si>
    <t>50H-139.95</t>
  </si>
  <si>
    <t>TRẦN VÕ ĐỨC 368181435</t>
  </si>
  <si>
    <t>TTC-1175</t>
  </si>
  <si>
    <t>E260506AN7AHLEP</t>
  </si>
  <si>
    <t>TTC-1176</t>
  </si>
  <si>
    <t>HÀNG BAO BỐ</t>
  </si>
  <si>
    <t>TTC-1179</t>
  </si>
  <si>
    <t>E260506CJ88T25R</t>
  </si>
  <si>
    <t>TTC-1180</t>
  </si>
  <si>
    <t>E260506SCDFENWW</t>
  </si>
  <si>
    <t>50H-34775</t>
  </si>
  <si>
    <t>Nguyễn Tấn Phương 974216390</t>
  </si>
  <si>
    <t>TTC-1181</t>
  </si>
  <si>
    <t>E2605069GZO0F2W</t>
  </si>
  <si>
    <t>TTC-1182</t>
  </si>
  <si>
    <t>E260506B0A08T3T</t>
  </si>
  <si>
    <t>TTC-1183</t>
  </si>
  <si>
    <t>22477000 - 371 Nguyễn Kiệm-Q.Gò Vấp-HCM</t>
  </si>
  <si>
    <t>E2605069PAVVA4V</t>
  </si>
  <si>
    <t>TTC-1184</t>
  </si>
  <si>
    <t>bc hàng nhiều</t>
  </si>
  <si>
    <t>E260506D52MN4SA</t>
  </si>
  <si>
    <t>50H-13914</t>
  </si>
  <si>
    <t>Nguyễn Tấn Thành 366789631</t>
  </si>
  <si>
    <t>TTC-1185</t>
  </si>
  <si>
    <t>Tải 20 full khi qua BC, nhờ anh/chị sắp xếp giúp BC con TC về kho 20 ạ, em cảm ơn!!</t>
  </si>
  <si>
    <t>E260506XMGIRRGR</t>
  </si>
  <si>
    <t>50h-931336</t>
  </si>
  <si>
    <t>TTC-1186</t>
  </si>
  <si>
    <t>TTC-1188</t>
  </si>
  <si>
    <t>TRẦN HY VINH</t>
  </si>
  <si>
    <t>TTC-1189</t>
  </si>
  <si>
    <t>E26050620GKX67I</t>
  </si>
  <si>
    <t>50h-20329</t>
  </si>
  <si>
    <t>NGUYỄN TRẦN SANG</t>
  </si>
  <si>
    <t>TTC-1190</t>
  </si>
  <si>
    <t>thanh</t>
  </si>
  <si>
    <t>E260506KNFYX5Y0</t>
  </si>
  <si>
    <t>TTC-1191</t>
  </si>
  <si>
    <t>@268Cuong</t>
  </si>
  <si>
    <t>E260506RUH5CP9G</t>
  </si>
  <si>
    <t>50H-65020</t>
  </si>
  <si>
    <t>Nguyễn Minh Hiếu 969673732</t>
  </si>
  <si>
    <t>TTC-1192</t>
  </si>
  <si>
    <t>TTC-1193</t>
  </si>
  <si>
    <t>TTC-1194</t>
  </si>
  <si>
    <t>Tin</t>
  </si>
  <si>
    <t>TTC-1195</t>
  </si>
  <si>
    <t>TTC-1196</t>
  </si>
  <si>
    <t>E260506WHBX7UGR</t>
  </si>
  <si>
    <t>nnguyễn duy linh</t>
  </si>
  <si>
    <t>TTC-1197</t>
  </si>
  <si>
    <t>TTC-1199</t>
  </si>
  <si>
    <t>E260506FSVPQV8Q</t>
  </si>
  <si>
    <t>TTC-1200</t>
  </si>
  <si>
    <t>E2605071ZWKZDV1</t>
  </si>
  <si>
    <t>TTC-1202</t>
  </si>
  <si>
    <t>E260506BNU9H2MT</t>
  </si>
  <si>
    <t>TTC-1203</t>
  </si>
  <si>
    <t>E260507W93IY0G4</t>
  </si>
  <si>
    <t>TTC-1204</t>
  </si>
  <si>
    <t>1394 - 29A Đường Số 5-Q.2-HCM</t>
  </si>
  <si>
    <t>@ndtoan09</t>
  </si>
  <si>
    <t>E260505GWF7DSM5</t>
  </si>
  <si>
    <t>50H-90923</t>
  </si>
  <si>
    <t>Hùng 0967897980</t>
  </si>
  <si>
    <t>TTC-1206</t>
  </si>
  <si>
    <t>Khác: điểm xử lý hàng shop VIFON - Thủ Đức - HCM</t>
  </si>
  <si>
    <t>điểm xử lý hàng shop VIFON - Thủ Đức - HCM</t>
  </si>
  <si>
    <t>đã có hàng sẵn ở kho nhờ team hỗ trợ</t>
  </si>
  <si>
    <t>E260507HXJJRW9K</t>
  </si>
  <si>
    <t>50H-88072</t>
  </si>
  <si>
    <t>TTC-1207</t>
  </si>
  <si>
    <t>E2605071U8NPXJR</t>
  </si>
  <si>
    <t>TTC-1210</t>
  </si>
  <si>
    <t>E260507C0O9CYRX</t>
  </si>
  <si>
    <t>TTC-1212</t>
  </si>
  <si>
    <t>E260507B7YTPVPA</t>
  </si>
  <si>
    <t>;50E-33520</t>
  </si>
  <si>
    <t>TRẦN MINH THẾ 0386452068</t>
  </si>
  <si>
    <t>TTC-1214</t>
  </si>
  <si>
    <t>E26050704OFXLDG</t>
  </si>
  <si>
    <t>TTC-1216</t>
  </si>
  <si>
    <t>E260507U4UCSDJ0</t>
  </si>
  <si>
    <t>51D-60819</t>
  </si>
  <si>
    <t>Nguyễn Xuân Hoàng 0'932676956</t>
  </si>
  <si>
    <t>TTC-1217</t>
  </si>
  <si>
    <t>TTC-1218</t>
  </si>
  <si>
    <t>E260507DADF3DDZ</t>
  </si>
  <si>
    <t>TTC-1221</t>
  </si>
  <si>
    <t>E260507G1ZVP119</t>
  </si>
  <si>
    <t>TTC-1222</t>
  </si>
  <si>
    <t>E2605075RE0HKG8</t>
  </si>
  <si>
    <t>TTC-1224</t>
  </si>
  <si>
    <t>E260507TZ18OMK8</t>
  </si>
  <si>
    <t>TTC-1225</t>
  </si>
  <si>
    <t>E2605079QN365OS</t>
  </si>
  <si>
    <t>50h-93136</t>
  </si>
  <si>
    <t>TTC-1227</t>
  </si>
  <si>
    <t>E260507LWJBTCD6</t>
  </si>
  <si>
    <t>TTC-1228</t>
  </si>
  <si>
    <t>E260507266UJ1RL</t>
  </si>
  <si>
    <t>tài xế Trần Hữu Việt AHT: 090926920</t>
  </si>
  <si>
    <t>TTC-1229</t>
  </si>
  <si>
    <t>E2605079LP07NTM</t>
  </si>
  <si>
    <t>TTC-1230</t>
  </si>
  <si>
    <t>E2605075NV8O69Q</t>
  </si>
  <si>
    <t>TTC-1231</t>
  </si>
  <si>
    <t>TTC-1232</t>
  </si>
  <si>
    <t>E26050707F1CH0D</t>
  </si>
  <si>
    <t>TTC-1233</t>
  </si>
  <si>
    <t>E2605072MNL2IW0</t>
  </si>
  <si>
    <t>PHẠM TUẤN DỤY</t>
  </si>
  <si>
    <t>TTC-1234</t>
  </si>
  <si>
    <t>E2605071JZRRHSV</t>
  </si>
  <si>
    <t>50H-20329</t>
  </si>
  <si>
    <t>TTC-1242</t>
  </si>
  <si>
    <t>E260508JZNONQTW</t>
  </si>
  <si>
    <t>TTC-1243</t>
  </si>
  <si>
    <t>BC có hàng CK tăng mạnh dịp event, bc xin thêm 4 xe TC 1T9</t>
  </si>
  <si>
    <t>TTC-1244</t>
  </si>
  <si>
    <t>TTC-1245</t>
  </si>
  <si>
    <t>E260508FIITAU6Z</t>
  </si>
  <si>
    <t>64H-04846</t>
  </si>
  <si>
    <t>TRƯƠNG TẤN QUÍ</t>
  </si>
  <si>
    <t>TTC-1246</t>
  </si>
  <si>
    <t>E260508Q1HQB3U2</t>
  </si>
  <si>
    <t>50H-82332</t>
  </si>
  <si>
    <t>LÝ HỒNG PHÁT</t>
  </si>
  <si>
    <t>TTC-1248</t>
  </si>
  <si>
    <t>E260508IHTGPBIR</t>
  </si>
  <si>
    <t>TTC-1249</t>
  </si>
  <si>
    <t>E26050834LJS228</t>
  </si>
  <si>
    <t>;50E-37302</t>
  </si>
  <si>
    <t>THANH HUNG 0382199219</t>
  </si>
  <si>
    <t>có ghép LPM</t>
  </si>
  <si>
    <t>TTC-1251</t>
  </si>
  <si>
    <t>TTC-1253</t>
  </si>
  <si>
    <t>Vũ Long Nhật</t>
  </si>
  <si>
    <t>TTC-1257</t>
  </si>
  <si>
    <t>E2605086O0A4VSH</t>
  </si>
  <si>
    <t>TTC-1261</t>
  </si>
  <si>
    <t>E2605080F2059CW</t>
  </si>
  <si>
    <t>DANH THÁI HƯỞNG</t>
  </si>
  <si>
    <t>TTC-1262</t>
  </si>
  <si>
    <t>E260508V60PYCRB</t>
  </si>
  <si>
    <t>TTC-1264</t>
  </si>
  <si>
    <t>Ca2207</t>
  </si>
  <si>
    <t>E260508H40DO0UN</t>
  </si>
  <si>
    <t>TTC-1265</t>
  </si>
  <si>
    <t>E26050814F2UIFF</t>
  </si>
  <si>
    <t>TTC-1266</t>
  </si>
  <si>
    <t>E260508V0YZ94N6</t>
  </si>
  <si>
    <t>TTC-1267</t>
  </si>
  <si>
    <t>E260508G2YZMAXS</t>
  </si>
  <si>
    <t>TTC-1268</t>
  </si>
  <si>
    <t>E260508HBU3RLFC</t>
  </si>
  <si>
    <t>TTC-1269</t>
  </si>
  <si>
    <t>TTC-1270</t>
  </si>
  <si>
    <t>E2605099V74P3P8</t>
  </si>
  <si>
    <t>TTC-1271</t>
  </si>
  <si>
    <t>TTC-1273</t>
  </si>
  <si>
    <t>BC còn rớt nhiều hàng CK ngày hôm qua, ngoài xe chính và xe TC đi chung với A5 KDC Tân Thuận Nam, nhờ team sắp xếp giúp BC 1 xe tối nay nữa ạ</t>
  </si>
  <si>
    <t>E260509GRTPEIVW</t>
  </si>
  <si>
    <t>50E-33520</t>
  </si>
  <si>
    <t>TRẦN MINH THẾ</t>
  </si>
  <si>
    <t>TTC-1276</t>
  </si>
  <si>
    <t>E260509ZSFEI37E</t>
  </si>
  <si>
    <t>TTC-1279</t>
  </si>
  <si>
    <t>E260509L7DDE8PL</t>
  </si>
  <si>
    <t>TTC-1282</t>
  </si>
  <si>
    <t>Khác: 22205000 8F GO XOAI (BHHA)</t>
  </si>
  <si>
    <t>22205000 8F GO XOAI (BHHA)</t>
  </si>
  <si>
    <t>E260509Y93Q0GJD</t>
  </si>
  <si>
    <t>TTC-1283</t>
  </si>
  <si>
    <t>E2605093TNKAEMT</t>
  </si>
  <si>
    <t>Trần Hữu Việt AHT: 0909269205</t>
  </si>
  <si>
    <t>TTC-1284</t>
  </si>
  <si>
    <t>E260509F03IL6V7</t>
  </si>
  <si>
    <t>TTC-1285</t>
  </si>
  <si>
    <t>E2605096L2I45IP</t>
  </si>
  <si>
    <t>TTC-1286</t>
  </si>
  <si>
    <t>E260510Q81I7RSR</t>
  </si>
  <si>
    <t>TTC-1290</t>
  </si>
  <si>
    <t>TTC-1296</t>
  </si>
  <si>
    <t>TTC-1300</t>
  </si>
  <si>
    <t>TTC-1303</t>
  </si>
  <si>
    <t>Do lượng hàng nhiều buổi sáng kho xin tăng cường về 2 kho 01 và 20 ạ</t>
  </si>
  <si>
    <t>TTC-1304</t>
  </si>
  <si>
    <t>TTC-1305</t>
  </si>
  <si>
    <t>Hàng CK nặng nhờ team hỗ trợ xe 5t giúp</t>
  </si>
  <si>
    <t>E260511JEIPEEEP</t>
  </si>
  <si>
    <t>51D-60473</t>
  </si>
  <si>
    <t>Lương Ngọc Tân 0939941161</t>
  </si>
  <si>
    <t>TTC-1310</t>
  </si>
  <si>
    <t>hàng hóa đột biến</t>
  </si>
  <si>
    <t>E2605115PCGFAVM</t>
  </si>
  <si>
    <t>TTC-1311</t>
  </si>
  <si>
    <t>E26051133QQ24KV</t>
  </si>
  <si>
    <t>TTC-1312</t>
  </si>
  <si>
    <t>E260511IT458M9T</t>
  </si>
  <si>
    <t>51D-14753</t>
  </si>
  <si>
    <t>, Lê Hoàng Vũ: 0777874572,</t>
  </si>
  <si>
    <t>TTC-1313</t>
  </si>
  <si>
    <t>TTC-1314</t>
  </si>
  <si>
    <t>cot đầu bc 26 bùi thanh khiết báo xuất full tải</t>
  </si>
  <si>
    <t>E2605112D3WL07J</t>
  </si>
  <si>
    <t>50H - 10638</t>
  </si>
  <si>
    <t>, Hà Đại Dương: 0967611150,</t>
  </si>
  <si>
    <t>TTC-1317</t>
  </si>
  <si>
    <t>TTC-1319</t>
  </si>
  <si>
    <t>BC hàng cồng kềnh nhiều, COT chính về 01 sẽ không đủ, em điền link xin 1 con TC về kho 01, nhờ anh/chị sắp xếp giúp BC con TC ạ. Em cảm ơn!!</t>
  </si>
  <si>
    <t>E260511KHHA3GEH</t>
  </si>
  <si>
    <t>50H - 52870,</t>
  </si>
  <si>
    <t>Nguyễn Tuấn Kiệt: 0896912250</t>
  </si>
  <si>
    <t>TTC-1322</t>
  </si>
  <si>
    <t>@3133755</t>
  </si>
  <si>
    <t>TTC-1323</t>
  </si>
  <si>
    <t>E260511SFHL51S4</t>
  </si>
  <si>
    <t>TTC-1324</t>
  </si>
  <si>
    <t>E260511U9M1323L</t>
  </si>
  <si>
    <t>TTC-1326</t>
  </si>
  <si>
    <t>E260511CF6SESEI</t>
  </si>
  <si>
    <t>tài xế Hà Thanh Sơn AHT: 0948387200</t>
  </si>
  <si>
    <t>TTC-1327</t>
  </si>
  <si>
    <t>E260511EF97XZ69</t>
  </si>
  <si>
    <t>TTC-1328</t>
  </si>
  <si>
    <t>Mỹ Ý</t>
  </si>
  <si>
    <t>TTC-1329</t>
  </si>
  <si>
    <t>BC bị bỏ điểm 1 tải cấm cộng lượng hàng BC tăng đột biến, nhờ tem hỗ trợ xe TC.</t>
  </si>
  <si>
    <t>TTC-1330</t>
  </si>
  <si>
    <t>TTC-1332</t>
  </si>
  <si>
    <t>E26051122P6RZHW</t>
  </si>
  <si>
    <t>Xe 51C-79654</t>
  </si>
  <si>
    <t>TTC-1333</t>
  </si>
  <si>
    <t>Khác: 22205000 bc ke 8f go xoai (bhha)</t>
  </si>
  <si>
    <t>22205000 bc ke 8f go xoai (bhha)</t>
  </si>
  <si>
    <t>TTC-1334</t>
  </si>
  <si>
    <t>TTC-1335</t>
  </si>
  <si>
    <t>E26051138S6UDCI</t>
  </si>
  <si>
    <t>51C-62053</t>
  </si>
  <si>
    <t>ĐỖ CÔNG NGHIỆP QKP</t>
  </si>
  <si>
    <t>TTC-1336</t>
  </si>
  <si>
    <t>đã có xe TC 21h30</t>
  </si>
  <si>
    <t>TTC-1337</t>
  </si>
  <si>
    <t>TTC-1339</t>
  </si>
  <si>
    <t>TTC-1340</t>
  </si>
  <si>
    <t>TTC-1341</t>
  </si>
  <si>
    <t>TTC-1342</t>
  </si>
  <si>
    <t>TTC-1343</t>
  </si>
  <si>
    <t>TTC-1344</t>
  </si>
  <si>
    <t>TTC-1345</t>
  </si>
  <si>
    <t>TTC-1346</t>
  </si>
  <si>
    <t>TTC-1347</t>
  </si>
  <si>
    <t>TTC-1348</t>
  </si>
  <si>
    <t>TTC-1349</t>
  </si>
  <si>
    <t>E260511I2FM7UJO</t>
  </si>
  <si>
    <t>TTC-1350</t>
  </si>
  <si>
    <t>ĐÃ CÓ XE TC</t>
  </si>
  <si>
    <t>TTC-1351</t>
  </si>
  <si>
    <t>TTC-1352</t>
  </si>
  <si>
    <t>CHO EM XIN XE TC BIEN SO 50H79285 XE ANH HUONG</t>
  </si>
  <si>
    <t>E260511MEGR6KSY</t>
  </si>
  <si>
    <t>50h-79285</t>
  </si>
  <si>
    <t>TTC-1353</t>
  </si>
  <si>
    <t>TTC-1354</t>
  </si>
  <si>
    <t>TTC-1355</t>
  </si>
  <si>
    <t>TTC-1356</t>
  </si>
  <si>
    <t>E2605118BGZIAB1</t>
  </si>
  <si>
    <t>50h-00630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</si>
</sst>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quot;/&quot;mm&quot;/&quot;yyyy"/>
  </numFmts>
  <fonts count="21" x14ac:knownFonts="1">
    <font>
      <sz val="10"/>
      <color rgb="FF000000"/>
      <name val="Arial"/>
      <scheme val="minor"/>
    </font>
    <font>
      <sz val="10"/>
      <color theme="1"/>
      <name val="Arial"/>
      <scheme val="minor"/>
    </font>
    <font>
      <b/>
      <sz val="10"/>
      <color theme="1"/>
      <name val="Arial"/>
    </font>
    <font>
      <sz val="10"/>
      <color theme="1"/>
      <name val="Arial"/>
    </font>
    <font>
      <b/>
      <sz val="10"/>
      <color theme="1"/>
      <name val="Arial"/>
      <scheme val="minor"/>
    </font>
    <font>
      <b/>
      <sz val="10"/>
      <color theme="1"/>
      <name val="Arial"/>
      <scheme val="minor"/>
    </font>
    <font>
      <sz val="10"/>
      <color rgb="FF000000"/>
      <name val="Arial"/>
      <scheme val="minor"/>
    </font>
    <font>
      <b/>
      <i/>
      <sz val="10"/>
      <color rgb="FFFF0000"/>
      <name val="Arial"/>
      <scheme val="minor"/>
    </font>
    <font>
      <sz val="10"/>
      <color rgb="FFFFFFFF"/>
      <name val="Arial"/>
      <scheme val="minor"/>
    </font>
    <font>
      <b/>
      <sz val="10"/>
      <color rgb="FF000000"/>
      <name val="Arial"/>
      <scheme val="minor"/>
    </font>
    <font>
      <b/>
      <sz val="10"/>
      <color rgb="FFFFFFFF"/>
      <name val="Arial"/>
      <scheme val="minor"/>
    </font>
    <font>
      <b/>
      <sz val="10"/>
      <color rgb="FFFFFFFF"/>
      <name val="Arial"/>
    </font>
    <font>
      <sz val="10"/>
      <name val="Arial"/>
    </font>
    <font>
      <b/>
      <sz val="11"/>
      <color theme="1"/>
      <name val="Arial"/>
      <scheme val="minor"/>
    </font>
    <font>
      <i/>
      <sz val="10"/>
      <color rgb="FF000000"/>
      <name val="Arial"/>
      <scheme val="minor"/>
    </font>
    <font>
      <sz val="10"/>
      <color rgb="FF000000"/>
      <name val="Arial"/>
      <family val="2"/>
      <scheme val="minor"/>
    </font>
    <font>
      <b/>
      <sz val="10"/>
      <color rgb="FF000000"/>
      <name val="Arial"/>
      <family val="2"/>
    </font>
    <font>
      <b/>
      <sz val="10"/>
      <color rgb="FF000000"/>
      <name val="Aptos Narrow"/>
      <family val="2"/>
    </font>
    <font>
      <sz val="10"/>
      <color rgb="FF000000"/>
      <name val="Arial"/>
      <family val="2"/>
    </font>
    <font>
      <sz val="10"/>
      <color rgb="FF000000"/>
      <name val="Aptos Narrow"/>
      <family val="2"/>
    </font>
    <font>
      <sz val="10"/>
      <color rgb="FF000000"/>
      <name val="Cambria"/>
      <family val="1"/>
    </font>
  </fonts>
  <fills count="13">
    <fill>
      <patternFill patternType="none"/>
    </fill>
    <fill>
      <patternFill patternType="gray125"/>
    </fill>
    <fill>
      <patternFill patternType="solid">
        <fgColor rgb="FFFFFFFF"/>
        <bgColor rgb="FFFFFFFF"/>
      </patternFill>
    </fill>
    <fill>
      <patternFill patternType="solid">
        <fgColor rgb="FFC9DAF8"/>
        <bgColor rgb="FFC9DAF8"/>
      </patternFill>
    </fill>
    <fill>
      <patternFill patternType="solid">
        <fgColor rgb="FFD9EAD3"/>
        <bgColor rgb="FFD9EAD3"/>
      </patternFill>
    </fill>
    <fill>
      <patternFill patternType="solid">
        <fgColor rgb="FFFF9900"/>
        <bgColor rgb="FFFF9900"/>
      </patternFill>
    </fill>
    <fill>
      <patternFill patternType="solid">
        <fgColor rgb="FF073763"/>
        <bgColor rgb="FF073763"/>
      </patternFill>
    </fill>
    <fill>
      <patternFill patternType="solid">
        <fgColor rgb="FF274E13"/>
        <bgColor rgb="FF274E13"/>
      </patternFill>
    </fill>
    <fill>
      <patternFill patternType="solid">
        <fgColor rgb="FFF4CCCC"/>
        <bgColor rgb="FFF4CCCC"/>
      </patternFill>
    </fill>
    <fill>
      <patternFill patternType="solid">
        <fgColor rgb="FFCFE2F3"/>
        <bgColor rgb="FFCFE2F3"/>
      </patternFill>
    </fill>
    <fill>
      <patternFill patternType="solid">
        <fgColor rgb="FFFCE5CD"/>
        <bgColor rgb="FFFCE5CD"/>
      </patternFill>
    </fill>
    <fill>
      <patternFill patternType="solid">
        <fgColor rgb="FF93C47D"/>
        <bgColor indexed="64"/>
      </patternFill>
    </fill>
    <fill>
      <patternFill patternType="solid">
        <fgColor rgb="FFFF9900"/>
        <bgColor indexed="64"/>
      </patternFill>
    </fill>
  </fills>
  <borders count="19">
    <border>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style="thin">
        <color rgb="FFABABAB"/>
      </right>
      <top style="thin">
        <color rgb="FFABABAB"/>
      </top>
      <bottom/>
      <diagonal/>
    </border>
  </borders>
  <cellStyleXfs count="1">
    <xf numFmtId="0" fontId="0" fillId="0" borderId="0"/>
  </cellStyleXfs>
  <cellXfs count="111">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3" fillId="0" borderId="0" xfId="0" applyFont="1" applyAlignment="1">
      <alignment horizontal="right"/>
    </xf>
    <xf numFmtId="0" fontId="5" fillId="2" borderId="0" xfId="0" applyFont="1" applyFill="1" applyAlignment="1">
      <alignment vertical="center"/>
    </xf>
    <xf numFmtId="0" fontId="1" fillId="0" borderId="0" xfId="0" applyFont="1" applyAlignment="1">
      <alignment vertical="center"/>
    </xf>
    <xf numFmtId="0" fontId="6" fillId="0" borderId="0" xfId="0" applyFont="1" applyAlignment="1">
      <alignment vertical="center"/>
    </xf>
    <xf numFmtId="3" fontId="1" fillId="0" borderId="0" xfId="0" applyNumberFormat="1" applyFont="1" applyAlignment="1">
      <alignment vertical="center"/>
    </xf>
    <xf numFmtId="0" fontId="5" fillId="0" borderId="0" xfId="0" applyFont="1" applyAlignment="1">
      <alignment vertical="center"/>
    </xf>
    <xf numFmtId="0" fontId="1" fillId="2" borderId="0" xfId="0" applyFont="1" applyFill="1" applyAlignment="1">
      <alignment vertical="center"/>
    </xf>
    <xf numFmtId="0" fontId="6" fillId="2" borderId="0" xfId="0" applyFont="1" applyFill="1" applyAlignment="1">
      <alignment vertical="center"/>
    </xf>
    <xf numFmtId="3" fontId="1" fillId="2" borderId="0" xfId="0" applyNumberFormat="1" applyFont="1" applyFill="1" applyAlignment="1">
      <alignment vertical="center"/>
    </xf>
    <xf numFmtId="164" fontId="4" fillId="2" borderId="0" xfId="0" applyNumberFormat="1" applyFont="1" applyFill="1" applyAlignment="1">
      <alignment horizontal="center" vertical="center"/>
    </xf>
    <xf numFmtId="0" fontId="2" fillId="2" borderId="0" xfId="0" applyFont="1" applyFill="1" applyAlignment="1">
      <alignment horizontal="center" vertical="center"/>
    </xf>
    <xf numFmtId="3" fontId="7" fillId="2" borderId="0" xfId="0" applyNumberFormat="1" applyFont="1" applyFill="1" applyAlignment="1">
      <alignment horizontal="center" vertical="center"/>
    </xf>
    <xf numFmtId="0" fontId="8" fillId="2" borderId="0" xfId="0" applyFont="1" applyFill="1" applyAlignment="1">
      <alignment vertical="center"/>
    </xf>
    <xf numFmtId="0" fontId="8" fillId="0" borderId="0" xfId="0" applyFont="1" applyAlignment="1">
      <alignment vertical="center"/>
    </xf>
    <xf numFmtId="0" fontId="9" fillId="5" borderId="3" xfId="0" applyFont="1" applyFill="1" applyBorder="1" applyAlignment="1">
      <alignment horizontal="center" vertical="center" wrapText="1"/>
    </xf>
    <xf numFmtId="3" fontId="9" fillId="5" borderId="3" xfId="0" applyNumberFormat="1" applyFont="1" applyFill="1" applyBorder="1" applyAlignment="1">
      <alignment horizontal="center" vertical="center" wrapText="1"/>
    </xf>
    <xf numFmtId="3" fontId="10" fillId="6" borderId="3" xfId="0" applyNumberFormat="1" applyFont="1" applyFill="1" applyBorder="1" applyAlignment="1">
      <alignment horizontal="center" vertical="center" wrapText="1"/>
    </xf>
    <xf numFmtId="3" fontId="10" fillId="6" borderId="4" xfId="0" applyNumberFormat="1" applyFont="1" applyFill="1" applyBorder="1" applyAlignment="1">
      <alignment horizontal="center" vertical="center" wrapText="1"/>
    </xf>
    <xf numFmtId="0" fontId="10" fillId="6" borderId="4" xfId="0" applyFont="1" applyFill="1" applyBorder="1" applyAlignment="1">
      <alignment horizontal="center" vertical="center" wrapText="1"/>
    </xf>
    <xf numFmtId="3" fontId="11" fillId="7" borderId="3" xfId="0" applyNumberFormat="1" applyFont="1" applyFill="1" applyBorder="1" applyAlignment="1">
      <alignment horizontal="center" vertical="center" wrapText="1"/>
    </xf>
    <xf numFmtId="0" fontId="11" fillId="7" borderId="3" xfId="0" applyFont="1" applyFill="1" applyBorder="1" applyAlignment="1">
      <alignment horizontal="center" vertical="center" wrapText="1"/>
    </xf>
    <xf numFmtId="0" fontId="9" fillId="8" borderId="0" xfId="0" applyFont="1" applyFill="1" applyAlignment="1">
      <alignment horizontal="center" vertical="center" wrapText="1"/>
    </xf>
    <xf numFmtId="3" fontId="9" fillId="8" borderId="0" xfId="0" applyNumberFormat="1" applyFont="1" applyFill="1" applyAlignment="1">
      <alignment horizontal="center" vertical="center" wrapText="1"/>
    </xf>
    <xf numFmtId="0" fontId="1" fillId="0" borderId="0" xfId="0" applyFont="1" applyAlignment="1">
      <alignment horizontal="center" vertical="center"/>
    </xf>
    <xf numFmtId="3" fontId="6" fillId="2" borderId="0" xfId="0" applyNumberFormat="1" applyFont="1" applyFill="1" applyAlignment="1">
      <alignment vertical="center"/>
    </xf>
    <xf numFmtId="3" fontId="6" fillId="0" borderId="0" xfId="0" applyNumberFormat="1" applyFont="1" applyAlignment="1">
      <alignment vertical="center"/>
    </xf>
    <xf numFmtId="3" fontId="4" fillId="0" borderId="0" xfId="0" applyNumberFormat="1" applyFont="1" applyAlignment="1">
      <alignment vertical="center"/>
    </xf>
    <xf numFmtId="0" fontId="9" fillId="5" borderId="3" xfId="0" applyFont="1" applyFill="1" applyBorder="1" applyAlignment="1">
      <alignment horizontal="center" vertical="center"/>
    </xf>
    <xf numFmtId="3" fontId="10" fillId="6" borderId="3" xfId="0" applyNumberFormat="1" applyFont="1" applyFill="1" applyBorder="1" applyAlignment="1">
      <alignment horizontal="center" vertical="center"/>
    </xf>
    <xf numFmtId="0" fontId="10" fillId="6" borderId="3" xfId="0" applyFont="1" applyFill="1" applyBorder="1" applyAlignment="1">
      <alignment horizontal="center" vertical="center"/>
    </xf>
    <xf numFmtId="0" fontId="4" fillId="0" borderId="0" xfId="0" applyFont="1" applyAlignment="1">
      <alignment horizontal="center" vertical="center"/>
    </xf>
    <xf numFmtId="3" fontId="1" fillId="0" borderId="0" xfId="0" applyNumberFormat="1" applyFont="1"/>
    <xf numFmtId="0" fontId="7" fillId="0" borderId="0" xfId="0" applyFont="1" applyAlignment="1">
      <alignment vertical="center"/>
    </xf>
    <xf numFmtId="164" fontId="7" fillId="0" borderId="0" xfId="0" applyNumberFormat="1" applyFont="1" applyAlignment="1">
      <alignment vertical="center"/>
    </xf>
    <xf numFmtId="164" fontId="1" fillId="0" borderId="0" xfId="0" applyNumberFormat="1" applyFont="1" applyAlignment="1">
      <alignment vertical="center"/>
    </xf>
    <xf numFmtId="164" fontId="1" fillId="2" borderId="0" xfId="0" applyNumberFormat="1" applyFont="1" applyFill="1" applyAlignment="1">
      <alignment vertical="center"/>
    </xf>
    <xf numFmtId="164" fontId="1" fillId="0" borderId="3" xfId="0" applyNumberFormat="1" applyFont="1" applyBorder="1" applyAlignment="1">
      <alignment vertical="center"/>
    </xf>
    <xf numFmtId="0" fontId="6" fillId="2" borderId="3" xfId="0" applyFont="1" applyFill="1" applyBorder="1" applyAlignment="1">
      <alignment horizontal="center" vertical="center"/>
    </xf>
    <xf numFmtId="3" fontId="6" fillId="2" borderId="3" xfId="0" applyNumberFormat="1" applyFont="1" applyFill="1" applyBorder="1" applyAlignment="1">
      <alignment vertical="center"/>
    </xf>
    <xf numFmtId="0" fontId="6" fillId="2" borderId="3" xfId="0" applyFont="1" applyFill="1" applyBorder="1" applyAlignment="1">
      <alignment vertical="center"/>
    </xf>
    <xf numFmtId="0" fontId="1" fillId="0" borderId="3" xfId="0" applyFont="1" applyBorder="1" applyAlignment="1">
      <alignment vertical="center"/>
    </xf>
    <xf numFmtId="3" fontId="10" fillId="7" borderId="3" xfId="0" applyNumberFormat="1" applyFont="1" applyFill="1" applyBorder="1" applyAlignment="1">
      <alignment horizontal="center" vertical="center"/>
    </xf>
    <xf numFmtId="0" fontId="10" fillId="7" borderId="3" xfId="0" applyFont="1" applyFill="1" applyBorder="1" applyAlignment="1">
      <alignment horizontal="center" vertical="center"/>
    </xf>
    <xf numFmtId="0" fontId="13" fillId="0" borderId="3" xfId="0" applyFont="1" applyBorder="1" applyAlignment="1">
      <alignment vertical="center"/>
    </xf>
    <xf numFmtId="0" fontId="14" fillId="10" borderId="3" xfId="0" applyFont="1" applyFill="1" applyBorder="1" applyAlignment="1">
      <alignment vertical="center"/>
    </xf>
    <xf numFmtId="3" fontId="14" fillId="10" borderId="3" xfId="0" applyNumberFormat="1" applyFont="1" applyFill="1" applyBorder="1" applyAlignment="1">
      <alignment vertical="center"/>
    </xf>
    <xf numFmtId="0" fontId="0" fillId="0" borderId="7" xfId="0" pivotButton="1" applyBorder="1"/>
    <xf numFmtId="0" fontId="0" fillId="0" borderId="8" xfId="0" applyBorder="1"/>
    <xf numFmtId="0" fontId="0" fillId="0" borderId="9" xfId="0" applyBorder="1"/>
    <xf numFmtId="0" fontId="0" fillId="0" borderId="7" xfId="0" applyBorder="1"/>
    <xf numFmtId="0" fontId="0" fillId="0" borderId="10" xfId="0" applyBorder="1"/>
    <xf numFmtId="0" fontId="0" fillId="0" borderId="11" xfId="0" applyBorder="1"/>
    <xf numFmtId="0" fontId="0" fillId="0" borderId="12" xfId="0" applyBorder="1"/>
    <xf numFmtId="0" fontId="0" fillId="0" borderId="13" xfId="0" pivotButton="1" applyBorder="1"/>
    <xf numFmtId="0" fontId="0" fillId="0" borderId="13" xfId="0" applyBorder="1"/>
    <xf numFmtId="0" fontId="0" fillId="0" borderId="9" xfId="0" pivotButton="1" applyBorder="1"/>
    <xf numFmtId="0" fontId="0" fillId="0" borderId="14" xfId="0" applyBorder="1"/>
    <xf numFmtId="0" fontId="0" fillId="0" borderId="15" xfId="0" applyBorder="1"/>
    <xf numFmtId="0" fontId="0" fillId="0" borderId="16" xfId="0" applyBorder="1"/>
    <xf numFmtId="3" fontId="0" fillId="0" borderId="11" xfId="0" applyNumberFormat="1" applyBorder="1"/>
    <xf numFmtId="0" fontId="0" fillId="0" borderId="17" xfId="0" applyBorder="1"/>
    <xf numFmtId="3" fontId="0" fillId="0" borderId="13" xfId="0" applyNumberFormat="1" applyBorder="1"/>
    <xf numFmtId="0" fontId="0" fillId="0" borderId="18" xfId="0" applyBorder="1"/>
    <xf numFmtId="3" fontId="0" fillId="0" borderId="7" xfId="0" applyNumberFormat="1" applyBorder="1"/>
    <xf numFmtId="14" fontId="0" fillId="0" borderId="0" xfId="0" applyNumberFormat="1"/>
    <xf numFmtId="14" fontId="2" fillId="0" borderId="0" xfId="0" applyNumberFormat="1" applyFont="1" applyAlignment="1">
      <alignment horizontal="right"/>
    </xf>
    <xf numFmtId="14" fontId="3" fillId="0" borderId="0" xfId="0" applyNumberFormat="1" applyFont="1" applyAlignment="1">
      <alignment horizontal="right"/>
    </xf>
    <xf numFmtId="14" fontId="3" fillId="0" borderId="0" xfId="0" applyNumberFormat="1" applyFont="1"/>
    <xf numFmtId="11" fontId="0" fillId="0" borderId="0" xfId="0" applyNumberFormat="1"/>
    <xf numFmtId="0" fontId="0" fillId="0" borderId="0" xfId="0" applyAlignment="1">
      <alignment wrapText="1"/>
    </xf>
    <xf numFmtId="20" fontId="0" fillId="0" borderId="0" xfId="0" applyNumberFormat="1"/>
    <xf numFmtId="0" fontId="0" fillId="0" borderId="0" xfId="0" applyAlignment="1">
      <alignment horizontal="center"/>
    </xf>
    <xf numFmtId="47" fontId="0" fillId="0" borderId="0" xfId="0" applyNumberFormat="1"/>
    <xf numFmtId="3" fontId="0" fillId="0" borderId="0" xfId="0" applyNumberFormat="1"/>
    <xf numFmtId="22" fontId="0" fillId="0" borderId="0" xfId="0" applyNumberFormat="1"/>
    <xf numFmtId="10" fontId="0" fillId="0" borderId="0" xfId="0" applyNumberFormat="1"/>
    <xf numFmtId="14" fontId="0" fillId="0" borderId="0" xfId="0" applyNumberFormat="1" applyAlignment="1">
      <alignment horizontal="center"/>
    </xf>
    <xf numFmtId="0" fontId="16" fillId="11" borderId="0" xfId="0" applyFont="1" applyFill="1" applyAlignment="1">
      <alignment horizontal="center" wrapText="1"/>
    </xf>
    <xf numFmtId="0" fontId="17" fillId="11" borderId="0" xfId="0" applyFont="1" applyFill="1" applyAlignment="1">
      <alignment horizontal="center" wrapText="1"/>
    </xf>
    <xf numFmtId="0" fontId="15" fillId="0" borderId="0" xfId="0" applyFont="1"/>
    <xf numFmtId="0" fontId="18" fillId="0" borderId="0" xfId="0" applyFont="1" applyAlignment="1">
      <alignment horizontal="center" wrapText="1"/>
    </xf>
    <xf numFmtId="0" fontId="19" fillId="0" borderId="0" xfId="0" applyFont="1" applyAlignment="1">
      <alignment horizontal="center" wrapText="1"/>
    </xf>
    <xf numFmtId="0" fontId="19" fillId="0" borderId="0" xfId="0" applyFont="1" applyAlignment="1">
      <alignment wrapText="1"/>
    </xf>
    <xf numFmtId="0" fontId="18" fillId="0" borderId="0" xfId="0" applyFont="1" applyAlignment="1">
      <alignment wrapText="1"/>
    </xf>
    <xf numFmtId="14" fontId="19" fillId="0" borderId="0" xfId="0" applyNumberFormat="1" applyFont="1" applyAlignment="1">
      <alignment horizontal="right" wrapText="1"/>
    </xf>
    <xf numFmtId="0" fontId="18" fillId="0" borderId="0" xfId="0" applyFont="1" applyAlignment="1">
      <alignment vertical="top" wrapText="1"/>
    </xf>
    <xf numFmtId="0" fontId="20" fillId="0" borderId="0" xfId="0" applyFont="1" applyAlignment="1">
      <alignment horizontal="center" vertical="top" wrapText="1"/>
    </xf>
    <xf numFmtId="0" fontId="19" fillId="0" borderId="0" xfId="0" applyFont="1" applyAlignment="1">
      <alignment horizontal="right" wrapText="1"/>
    </xf>
    <xf numFmtId="0" fontId="20" fillId="0" borderId="0" xfId="0" applyFont="1" applyAlignment="1">
      <alignment wrapText="1"/>
    </xf>
    <xf numFmtId="14" fontId="18" fillId="0" borderId="0" xfId="0" applyNumberFormat="1" applyFont="1" applyAlignment="1">
      <alignment horizontal="right" wrapText="1"/>
    </xf>
    <xf numFmtId="0" fontId="18" fillId="0" borderId="0" xfId="0" applyFont="1" applyAlignment="1">
      <alignment horizontal="right" wrapText="1"/>
    </xf>
    <xf numFmtId="0" fontId="19" fillId="12" borderId="0" xfId="0" applyFont="1" applyFill="1" applyAlignment="1">
      <alignment horizontal="center" wrapText="1"/>
    </xf>
    <xf numFmtId="0" fontId="19" fillId="12" borderId="0" xfId="0" applyFont="1" applyFill="1" applyAlignment="1">
      <alignment wrapText="1"/>
    </xf>
    <xf numFmtId="9" fontId="0" fillId="0" borderId="0" xfId="0" applyNumberFormat="1"/>
    <xf numFmtId="16" fontId="0" fillId="0" borderId="0" xfId="0" applyNumberFormat="1"/>
    <xf numFmtId="21" fontId="0" fillId="0" borderId="0" xfId="0" applyNumberFormat="1"/>
    <xf numFmtId="17" fontId="0" fillId="0" borderId="0" xfId="0" applyNumberFormat="1"/>
    <xf numFmtId="0" fontId="2" fillId="4" borderId="1" xfId="0" applyFont="1" applyFill="1" applyBorder="1" applyAlignment="1">
      <alignment horizontal="center" vertical="center"/>
    </xf>
    <xf numFmtId="0" fontId="12" fillId="0" borderId="2" xfId="0" applyFont="1" applyBorder="1"/>
    <xf numFmtId="0" fontId="4" fillId="2" borderId="0" xfId="0" applyFont="1" applyFill="1" applyAlignment="1">
      <alignment vertical="center"/>
    </xf>
    <xf numFmtId="0" fontId="0" fillId="0" borderId="0" xfId="0"/>
    <xf numFmtId="0" fontId="4" fillId="0" borderId="0" xfId="0" applyFont="1" applyAlignment="1">
      <alignment vertical="center"/>
    </xf>
    <xf numFmtId="164" fontId="4" fillId="3" borderId="1" xfId="0" applyNumberFormat="1" applyFont="1" applyFill="1" applyBorder="1" applyAlignment="1">
      <alignment horizontal="center" vertical="center"/>
    </xf>
    <xf numFmtId="164" fontId="4" fillId="9" borderId="5" xfId="0" applyNumberFormat="1" applyFont="1" applyFill="1" applyBorder="1" applyAlignment="1">
      <alignment horizontal="center" vertical="center"/>
    </xf>
    <xf numFmtId="0" fontId="12" fillId="0" borderId="6" xfId="0" applyFont="1" applyBorder="1"/>
    <xf numFmtId="0" fontId="4" fillId="4" borderId="5" xfId="0" applyFont="1" applyFill="1" applyBorder="1" applyAlignment="1">
      <alignment horizontal="center" vertical="center"/>
    </xf>
  </cellXfs>
  <cellStyles count="1">
    <cellStyle name="Normal" xfId="0" builtinId="0"/>
  </cellStyles>
  <dxfs count="6">
    <dxf>
      <font>
        <b/>
      </font>
      <fill>
        <patternFill patternType="solid">
          <fgColor rgb="FFF4CCCC"/>
          <bgColor rgb="FFF4CCCC"/>
        </patternFill>
      </fill>
    </dxf>
    <dxf>
      <font>
        <b/>
      </font>
      <fill>
        <patternFill patternType="solid">
          <fgColor rgb="FFF4CCCC"/>
          <bgColor rgb="FFF4CCCC"/>
        </patternFill>
      </fill>
    </dxf>
    <dxf>
      <font>
        <b/>
      </font>
      <fill>
        <patternFill patternType="solid">
          <fgColor rgb="FFF4CCCC"/>
          <bgColor rgb="FFF4CCCC"/>
        </patternFill>
      </fill>
    </dxf>
    <dxf>
      <font>
        <b/>
      </font>
      <fill>
        <patternFill patternType="solid">
          <fgColor rgb="FFF4CCCC"/>
          <bgColor rgb="FFF4CCCC"/>
        </patternFill>
      </fill>
    </dxf>
    <dxf>
      <font>
        <b/>
      </font>
      <fill>
        <patternFill patternType="solid">
          <fgColor rgb="FFF4CCCC"/>
          <bgColor rgb="FFF4CCCC"/>
        </patternFill>
      </fill>
    </dxf>
    <dxf>
      <font>
        <b/>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X1 Yoga" refreshedDate="46153.819504513885" refreshedVersion="8" recordCount="266" xr:uid="{00000000-000A-0000-FFFF-FFFF02000000}">
  <cacheSource type="worksheet">
    <worksheetSource ref="A1:L267" sheet="Data gốc Giao"/>
  </cacheSource>
  <cacheFields count="12">
    <cacheField name="Ngày" numFmtId="0">
      <sharedItems containsDate="1" containsMixedTypes="1" minDate="2026-04-22T00:00:00" maxDate="2026-04-23T00:00:00" count="2">
        <s v="Ngày"/>
        <d v="2026-04-22T00:00:00"/>
      </sharedItems>
    </cacheField>
    <cacheField name="vung" numFmtId="0">
      <sharedItems/>
    </cacheField>
    <cacheField name="tinh" numFmtId="0">
      <sharedItems/>
    </cacheField>
    <cacheField name="Quận / Huyện" numFmtId="0">
      <sharedItems/>
    </cacheField>
    <cacheField name="Phường / Xã" numFmtId="0">
      <sharedItems/>
    </cacheField>
    <cacheField name="Bưu Cục" numFmtId="0">
      <sharedItems count="19">
        <s v="Bưu Cục"/>
        <s v="Bưu Cục Ấp Phước Sơn-Phú Mỹ-Bà Rịa Vũng Tàu"/>
        <s v="Bưu Cục 87 Nguyễn An Ninh-Tp.Vũng Tàu-Bà Rịa-Vũng Tàu"/>
        <s v="Bưu Cục 41 Nguyễn Tất Thành-Long Điền-Bà Rịa Vũng Tàu"/>
        <s v="Bưu Cục 1459 Đường 30/4-Vũng Tàu-Bà Rịa Vũng Tàu"/>
        <s v="Bưu Cục 57A Hùng Vương-Xã Ngãi Giao-Bà Rịa Vũng Tàu"/>
        <s v="Bưu Cục 473A Bình Giã-TP.Vũng Tàu"/>
        <s v="Bưu Cục Thôn Thành Long-Châu Đức-Bà Rịa Vũng Tàu"/>
        <s v="Bưu Cục KP Thanh Long -Đất Đỏ-Bà Rịa Vũng Tàu"/>
        <s v="Bưu Cục Xuyên Mộc-Bà Rịa Vũng Tàu"/>
        <s v="Bưu Cục 1855 Võ Văn Kiệt-Hoà Long-Bà Rịa Vũng Tàu"/>
        <s v="Bưu Cục KP Trảng Lớn-Phú Mỹ-Hắc Dịch-Bà Rịa Vũng Tàu"/>
        <s v="Bưu Cục 24B Nguyễn Du-Phường 1-TP.Vũng Tàu-Bà Rịa Vũng Tàu"/>
        <s v="Bưu Cục Ấp Phú Thọ-Xuyên Mộc-Bà Rịa Vũng Tàu"/>
        <s v="Bưu Cục 39 Tôn Đức Thắng-TP.Bà Rịa"/>
        <s v="Bưu Cục An Phước- An Ngãi - Bà Rịa Vũng Tàu"/>
        <s v="Bưu Cục Côn Đảo-Bà Rịa Vũng Tàu"/>
        <s v="Bưu Cục Khu Phố Vạn Hạnh-Phú Mỹ-Bà Rịa Vũng Tàu"/>
        <s v="Bưu Cục Đường Trần Tự Khánh-Mỹ Lộc-Nam Định"/>
      </sharedItems>
    </cacheField>
    <cacheField name="Khách hàng" numFmtId="0">
      <sharedItems count="6">
        <s v="Khách hàng"/>
        <s v="Shopee-Bulky"/>
        <s v="SME"/>
        <s v="TTS-nhỏ"/>
        <s v="Khác"/>
        <s v="Shopee-nhỏ"/>
      </sharedItems>
    </cacheField>
    <cacheField name="vol" numFmtId="3">
      <sharedItems containsMixedTypes="1" containsNumber="1" containsInteger="1" minValue="1" maxValue="653"/>
    </cacheField>
    <cacheField name="khoi_luong" numFmtId="3">
      <sharedItems containsMixedTypes="1" containsNumber="1" minValue="0" maxValue="994"/>
    </cacheField>
    <cacheField name="AM" numFmtId="3">
      <sharedItems containsBlank="1"/>
    </cacheField>
    <cacheField name="Quận/Huyện" numFmtId="3">
      <sharedItems containsBlank="1" count="10">
        <s v="Quận/Huyện"/>
        <s v="Thị Xã Phú Mỹ"/>
        <s v="Thành phố Vũng Tàu"/>
        <s v="Huyện Long Điền"/>
        <s v="Huyện Châu Đức"/>
        <s v="Huyện Đất Đỏ"/>
        <s v="Huyện Xuyên Mộc"/>
        <s v="Thành phố Bà Rịa"/>
        <s v="Huyện đảo Côn Đảo"/>
        <m/>
      </sharedItems>
    </cacheField>
    <cacheField name="Thành Phố" numFmtId="3">
      <sharedItems containsBlank="1" count="3">
        <s v="Thành Phố"/>
        <s v="Bà Rịa - Vũng Tàu"/>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6">
  <r>
    <x v="0"/>
    <s v="vung"/>
    <s v="tinh"/>
    <s v="Quận / Huyện"/>
    <s v="Phường / Xã"/>
    <x v="0"/>
    <x v="0"/>
    <s v="vol"/>
    <s v="khoi_luong"/>
    <s v="AM"/>
    <x v="0"/>
    <x v="0"/>
  </r>
  <r>
    <x v="1"/>
    <s v="HCM"/>
    <s v="Bà Rịa - Vũng Tàu"/>
    <s v="Thị Xã Phú Mỹ"/>
    <s v="Xã Tân Hải"/>
    <x v="1"/>
    <x v="1"/>
    <n v="8"/>
    <n v="89.3"/>
    <s v="Phạm Văn Tùng"/>
    <x v="1"/>
    <x v="1"/>
  </r>
  <r>
    <x v="1"/>
    <s v="HCM"/>
    <s v="Bà Rịa - Vũng Tàu"/>
    <s v="Thành phố Vũng Tàu"/>
    <s v="Phường 5"/>
    <x v="2"/>
    <x v="2"/>
    <n v="83"/>
    <n v="186"/>
    <s v="Nguyễn Thanh Bình"/>
    <x v="2"/>
    <x v="1"/>
  </r>
  <r>
    <x v="1"/>
    <s v="HCM"/>
    <s v="Bà Rịa - Vũng Tàu"/>
    <s v="Huyện Long Đất"/>
    <s v="Xã Phước Tỉnh"/>
    <x v="3"/>
    <x v="3"/>
    <n v="14"/>
    <n v="11"/>
    <s v="Phạm Văn Tùng"/>
    <x v="3"/>
    <x v="1"/>
  </r>
  <r>
    <x v="1"/>
    <s v="HCM"/>
    <s v="Bà Rịa - Vũng Tàu"/>
    <s v="Thành phố Vũng Tàu"/>
    <s v="Phường 11"/>
    <x v="4"/>
    <x v="4"/>
    <n v="4"/>
    <n v="2"/>
    <s v="Phạm Văn Tùng"/>
    <x v="2"/>
    <x v="1"/>
  </r>
  <r>
    <x v="1"/>
    <s v="HCM"/>
    <s v="Bà Rịa - Vũng Tàu"/>
    <s v="Huyện Châu Đức"/>
    <s v="Thị trấn Ngãi Giao"/>
    <x v="5"/>
    <x v="3"/>
    <n v="73"/>
    <n v="68"/>
    <s v="Nguyễn Thanh Bình"/>
    <x v="4"/>
    <x v="1"/>
  </r>
  <r>
    <x v="1"/>
    <s v="HCM"/>
    <s v="Bà Rịa - Vũng Tàu"/>
    <s v="Thành phố Vũng Tàu"/>
    <s v="Phường Rạch Dừa"/>
    <x v="4"/>
    <x v="2"/>
    <n v="185"/>
    <n v="260"/>
    <s v="Phạm Văn Tùng"/>
    <x v="2"/>
    <x v="1"/>
  </r>
  <r>
    <x v="1"/>
    <s v="HCM"/>
    <s v="Bà Rịa - Vũng Tàu"/>
    <s v="Huyện Châu Đức"/>
    <s v="Xã Nghĩa Thành"/>
    <x v="5"/>
    <x v="2"/>
    <n v="62"/>
    <n v="101"/>
    <s v="Nguyễn Thanh Bình"/>
    <x v="4"/>
    <x v="1"/>
  </r>
  <r>
    <x v="1"/>
    <s v="HCM"/>
    <s v="Bà Rịa - Vũng Tàu"/>
    <s v="Huyện Long Điền"/>
    <s v="Thị trấn Long Hải"/>
    <x v="3"/>
    <x v="5"/>
    <n v="32"/>
    <n v="101"/>
    <s v="Phạm Văn Tùng"/>
    <x v="3"/>
    <x v="1"/>
  </r>
  <r>
    <x v="1"/>
    <s v="HCM"/>
    <s v="Bà Rịa - Vũng Tàu"/>
    <s v="Thành phố Vũng Tàu"/>
    <s v="Phường Rạch Dừa"/>
    <x v="4"/>
    <x v="4"/>
    <n v="2"/>
    <n v="2"/>
    <s v="Phạm Văn Tùng"/>
    <x v="2"/>
    <x v="1"/>
  </r>
  <r>
    <x v="1"/>
    <s v="HCM"/>
    <s v="Bà Rịa - Vũng Tàu"/>
    <s v="Thành phố Vũng Tàu"/>
    <s v="Phường Thắng Nhất"/>
    <x v="6"/>
    <x v="5"/>
    <n v="62"/>
    <n v="119"/>
    <s v="Phạm Văn Tùng"/>
    <x v="2"/>
    <x v="1"/>
  </r>
  <r>
    <x v="1"/>
    <s v="HCM"/>
    <s v="Bà Rịa - Vũng Tàu"/>
    <s v="Thành phố Vũng Tàu"/>
    <s v="Phường 7"/>
    <x v="2"/>
    <x v="1"/>
    <n v="14"/>
    <n v="166"/>
    <s v="Nguyễn Thanh Bình"/>
    <x v="2"/>
    <x v="1"/>
  </r>
  <r>
    <x v="1"/>
    <s v="HCM"/>
    <s v="Bà Rịa - Vũng Tàu"/>
    <s v="Thành phố Vũng Tàu"/>
    <s v="Phường 4"/>
    <x v="2"/>
    <x v="5"/>
    <n v="44"/>
    <n v="143"/>
    <s v="Nguyễn Thanh Bình"/>
    <x v="2"/>
    <x v="1"/>
  </r>
  <r>
    <x v="1"/>
    <s v="HCM"/>
    <s v="Bà Rịa - Vũng Tàu"/>
    <s v="Huyện Châu Đức"/>
    <s v="Xã Sơn Bình"/>
    <x v="7"/>
    <x v="5"/>
    <n v="6"/>
    <n v="11"/>
    <s v="Lê Trọng Hậu"/>
    <x v="4"/>
    <x v="1"/>
  </r>
  <r>
    <x v="1"/>
    <s v="HCM"/>
    <s v="Bà Rịa - Vũng Tàu"/>
    <s v="Huyện Đất Đỏ"/>
    <s v="Xã Phước Long Thọ"/>
    <x v="8"/>
    <x v="5"/>
    <n v="3"/>
    <n v="17"/>
    <s v="Nguyễn Văn Tân"/>
    <x v="5"/>
    <x v="1"/>
  </r>
  <r>
    <x v="1"/>
    <s v="HCM"/>
    <s v="Bà Rịa - Vũng Tàu"/>
    <s v="Huyện Xuyên Mộc"/>
    <s v="Xã Bình Châu"/>
    <x v="9"/>
    <x v="4"/>
    <n v="1"/>
    <n v="0"/>
    <s v="Lê Trọng Hậu"/>
    <x v="6"/>
    <x v="1"/>
  </r>
  <r>
    <x v="1"/>
    <s v="HCM"/>
    <s v="Bà Rịa - Vũng Tàu"/>
    <s v="Huyện Long Đất"/>
    <s v="Xã Phước Hội"/>
    <x v="8"/>
    <x v="5"/>
    <n v="7"/>
    <n v="14"/>
    <s v="Nguyễn Văn Tân"/>
    <x v="5"/>
    <x v="1"/>
  </r>
  <r>
    <x v="1"/>
    <s v="HCM"/>
    <s v="Bà Rịa - Vũng Tàu"/>
    <s v="Huyện Long Đất"/>
    <s v="Xã Long Tân"/>
    <x v="8"/>
    <x v="3"/>
    <n v="3"/>
    <n v="1"/>
    <s v="Nguyễn Văn Tân"/>
    <x v="5"/>
    <x v="1"/>
  </r>
  <r>
    <x v="1"/>
    <s v="HCM"/>
    <s v="Bà Rịa - Vũng Tàu"/>
    <s v="Thành phố Bà Rịa"/>
    <s v="Phường Long Toàn"/>
    <x v="10"/>
    <x v="2"/>
    <n v="74"/>
    <n v="77"/>
    <s v="Nguyễn Văn Tân"/>
    <x v="7"/>
    <x v="1"/>
  </r>
  <r>
    <x v="1"/>
    <s v="HCM"/>
    <s v="Bà Rịa - Vũng Tàu"/>
    <s v="Huyện Xuyên Mộc"/>
    <s v="Xã Phước Tân"/>
    <x v="9"/>
    <x v="2"/>
    <n v="70"/>
    <n v="76"/>
    <s v="Lê Trọng Hậu"/>
    <x v="6"/>
    <x v="1"/>
  </r>
  <r>
    <x v="1"/>
    <s v="HCM"/>
    <s v="Bà Rịa - Vũng Tàu"/>
    <s v="Thị Xã Phú Mỹ"/>
    <s v="Xã Sông Xoài"/>
    <x v="11"/>
    <x v="3"/>
    <n v="18"/>
    <n v="29"/>
    <s v="Nguyễn Thanh Bình"/>
    <x v="1"/>
    <x v="1"/>
  </r>
  <r>
    <x v="1"/>
    <s v="HCM"/>
    <s v="Bà Rịa - Vũng Tàu"/>
    <s v="Thành phố Vũng Tàu"/>
    <s v="Phường 1"/>
    <x v="12"/>
    <x v="4"/>
    <n v="3"/>
    <n v="8"/>
    <s v="Phạm Văn Tùng"/>
    <x v="2"/>
    <x v="1"/>
  </r>
  <r>
    <x v="1"/>
    <s v="HCM"/>
    <s v="Bà Rịa - Vũng Tàu"/>
    <s v="Huyện Đất Đỏ"/>
    <s v="Xã Láng Dài"/>
    <x v="8"/>
    <x v="3"/>
    <n v="21"/>
    <n v="22"/>
    <s v="Nguyễn Văn Tân"/>
    <x v="5"/>
    <x v="1"/>
  </r>
  <r>
    <x v="1"/>
    <s v="HCM"/>
    <s v="Bà Rịa - Vũng Tàu"/>
    <s v="Huyện Long Đất"/>
    <s v="Xã Láng Dài"/>
    <x v="8"/>
    <x v="3"/>
    <n v="2"/>
    <n v="1"/>
    <s v="Nguyễn Văn Tân"/>
    <x v="5"/>
    <x v="1"/>
  </r>
  <r>
    <x v="1"/>
    <s v="HCM"/>
    <s v="Bà Rịa - Vũng Tàu"/>
    <s v="Huyện Long Điền"/>
    <s v="Xã Phước Tỉnh"/>
    <x v="3"/>
    <x v="3"/>
    <n v="45"/>
    <n v="42"/>
    <s v="Phạm Văn Tùng"/>
    <x v="3"/>
    <x v="1"/>
  </r>
  <r>
    <x v="1"/>
    <s v="HCM"/>
    <s v="Bà Rịa - Vũng Tàu"/>
    <s v="Huyện Châu Đức"/>
    <s v="Xã Suối Nghệ"/>
    <x v="5"/>
    <x v="3"/>
    <n v="36"/>
    <n v="31"/>
    <s v="Nguyễn Thanh Bình"/>
    <x v="4"/>
    <x v="1"/>
  </r>
  <r>
    <x v="1"/>
    <s v="HCM"/>
    <s v="Bà Rịa - Vũng Tàu"/>
    <s v="Thành phố Vũng Tàu"/>
    <s v="Phường 3"/>
    <x v="12"/>
    <x v="2"/>
    <n v="120"/>
    <n v="189"/>
    <s v="Phạm Văn Tùng"/>
    <x v="2"/>
    <x v="1"/>
  </r>
  <r>
    <x v="1"/>
    <s v="HCM"/>
    <s v="Bà Rịa - Vũng Tàu"/>
    <s v="Huyện Châu Đức"/>
    <s v="Xã Bình Ba"/>
    <x v="5"/>
    <x v="3"/>
    <n v="24"/>
    <n v="34"/>
    <s v="Nguyễn Thanh Bình"/>
    <x v="4"/>
    <x v="1"/>
  </r>
  <r>
    <x v="1"/>
    <s v="HCM"/>
    <s v="Bà Rịa - Vũng Tàu"/>
    <s v="Huyện Xuyên Mộc"/>
    <s v="Xã Tân Lâm"/>
    <x v="13"/>
    <x v="3"/>
    <n v="29"/>
    <n v="23"/>
    <s v="Lê Trọng Hậu"/>
    <x v="6"/>
    <x v="1"/>
  </r>
  <r>
    <x v="1"/>
    <s v="HCM"/>
    <s v="Bà Rịa - Vũng Tàu"/>
    <s v="Thành phố Bà Rịa"/>
    <s v="Phường Kim Dinh"/>
    <x v="14"/>
    <x v="3"/>
    <n v="24"/>
    <n v="30"/>
    <s v="Nguyễn Văn Tân"/>
    <x v="7"/>
    <x v="1"/>
  </r>
  <r>
    <x v="1"/>
    <s v="HCM"/>
    <s v="Bà Rịa - Vũng Tàu"/>
    <s v="Huyện Long Điền"/>
    <s v="Xã Phước Tỉnh"/>
    <x v="15"/>
    <x v="3"/>
    <n v="1"/>
    <n v="0"/>
    <s v="Nguyễn Văn Tân"/>
    <x v="3"/>
    <x v="1"/>
  </r>
  <r>
    <x v="1"/>
    <s v="HCM"/>
    <s v="Bà Rịa - Vũng Tàu"/>
    <s v="Thành phố Bà Rịa"/>
    <s v="Xã Long Phước"/>
    <x v="10"/>
    <x v="3"/>
    <n v="34"/>
    <n v="41"/>
    <s v="Nguyễn Văn Tân"/>
    <x v="7"/>
    <x v="1"/>
  </r>
  <r>
    <x v="1"/>
    <s v="HCM"/>
    <s v="Bà Rịa - Vũng Tàu"/>
    <s v="Huyện Xuyên Mộc"/>
    <s v="Xã Hòa Hiệp"/>
    <x v="13"/>
    <x v="2"/>
    <n v="93"/>
    <n v="174"/>
    <s v="Lê Trọng Hậu"/>
    <x v="6"/>
    <x v="1"/>
  </r>
  <r>
    <x v="1"/>
    <s v="HCM"/>
    <s v="Bà Rịa - Vũng Tàu"/>
    <s v="Thành phố Vũng Tàu"/>
    <s v="Phường 7"/>
    <x v="2"/>
    <x v="5"/>
    <n v="58"/>
    <n v="179"/>
    <s v="Nguyễn Thanh Bình"/>
    <x v="2"/>
    <x v="1"/>
  </r>
  <r>
    <x v="1"/>
    <s v="HCM"/>
    <s v="Bà Rịa - Vũng Tàu"/>
    <s v="Huyện Châu Đức"/>
    <s v="Xã Bình Giã"/>
    <x v="5"/>
    <x v="1"/>
    <n v="4"/>
    <n v="48"/>
    <s v="Nguyễn Thanh Bình"/>
    <x v="4"/>
    <x v="1"/>
  </r>
  <r>
    <x v="1"/>
    <s v="HCM"/>
    <s v="Bà Rịa - Vũng Tàu"/>
    <s v="Huyện Châu Đức"/>
    <s v="Xã Bình Giã"/>
    <x v="5"/>
    <x v="5"/>
    <n v="9"/>
    <n v="24"/>
    <s v="Nguyễn Thanh Bình"/>
    <x v="4"/>
    <x v="1"/>
  </r>
  <r>
    <x v="1"/>
    <s v="HCM"/>
    <s v="Bà Rịa - Vũng Tàu"/>
    <s v="Huyện Châu Đức"/>
    <s v="Xã Cù Bị"/>
    <x v="7"/>
    <x v="2"/>
    <n v="41"/>
    <n v="96"/>
    <s v="Lê Trọng Hậu"/>
    <x v="4"/>
    <x v="1"/>
  </r>
  <r>
    <x v="1"/>
    <s v="HCM"/>
    <s v="Bà Rịa - Vũng Tàu"/>
    <s v="Huyện Long Điền"/>
    <s v="Xã An Ngãi"/>
    <x v="15"/>
    <x v="5"/>
    <n v="9"/>
    <n v="27"/>
    <s v="Nguyễn Văn Tân"/>
    <x v="3"/>
    <x v="1"/>
  </r>
  <r>
    <x v="1"/>
    <s v="HCM"/>
    <s v="Bà Rịa - Vũng Tàu"/>
    <s v="Thành phố Bà Rịa"/>
    <s v="Xã Hoà Long"/>
    <x v="10"/>
    <x v="3"/>
    <n v="67"/>
    <n v="79"/>
    <s v="Nguyễn Văn Tân"/>
    <x v="7"/>
    <x v="1"/>
  </r>
  <r>
    <x v="1"/>
    <s v="HCM"/>
    <s v="Bà Rịa - Vũng Tàu"/>
    <s v="Huyện đảo Côn Đảo"/>
    <s v="Côn Đảo"/>
    <x v="16"/>
    <x v="4"/>
    <n v="101"/>
    <n v="207"/>
    <s v="Phạm Văn Tùng"/>
    <x v="8"/>
    <x v="1"/>
  </r>
  <r>
    <x v="1"/>
    <s v="HCM"/>
    <s v="Bà Rịa - Vũng Tàu"/>
    <s v="Huyện Châu Đức"/>
    <s v="Xã Bình Trung"/>
    <x v="5"/>
    <x v="2"/>
    <n v="34"/>
    <n v="43"/>
    <s v="Nguyễn Thanh Bình"/>
    <x v="4"/>
    <x v="1"/>
  </r>
  <r>
    <x v="1"/>
    <s v="HCM"/>
    <s v="Bà Rịa - Vũng Tàu"/>
    <s v="Thị Xã Phú Mỹ"/>
    <s v="Phường Mỹ Xuân"/>
    <x v="11"/>
    <x v="3"/>
    <n v="189"/>
    <n v="147"/>
    <s v="Nguyễn Thanh Bình"/>
    <x v="1"/>
    <x v="1"/>
  </r>
  <r>
    <x v="1"/>
    <s v="HCM"/>
    <s v="Bà Rịa - Vũng Tàu"/>
    <s v="Huyện Long Điền"/>
    <s v="Xã Tam Phước"/>
    <x v="15"/>
    <x v="3"/>
    <n v="15"/>
    <n v="10"/>
    <s v="Nguyễn Văn Tân"/>
    <x v="3"/>
    <x v="1"/>
  </r>
  <r>
    <x v="1"/>
    <s v="HCM"/>
    <s v="Bà Rịa - Vũng Tàu"/>
    <s v="Huyện Xuyên Mộc"/>
    <s v="Xã Bàu Lâm"/>
    <x v="13"/>
    <x v="4"/>
    <n v="1"/>
    <n v="21"/>
    <s v="Lê Trọng Hậu"/>
    <x v="6"/>
    <x v="1"/>
  </r>
  <r>
    <x v="1"/>
    <s v="HCM"/>
    <s v="Bà Rịa - Vũng Tàu"/>
    <s v="Thị Xã Phú Mỹ"/>
    <s v="Phường Phú Mỹ"/>
    <x v="17"/>
    <x v="3"/>
    <n v="157"/>
    <n v="129"/>
    <s v="Nguyễn Thanh Bình"/>
    <x v="1"/>
    <x v="1"/>
  </r>
  <r>
    <x v="1"/>
    <s v="HCM"/>
    <s v="Bà Rịa - Vũng Tàu"/>
    <s v="Huyện Châu Đức"/>
    <s v="Xã Quảng Thành"/>
    <x v="7"/>
    <x v="3"/>
    <n v="21"/>
    <n v="22"/>
    <s v="Lê Trọng Hậu"/>
    <x v="4"/>
    <x v="1"/>
  </r>
  <r>
    <x v="1"/>
    <s v="HCM"/>
    <s v="Bà Rịa - Vũng Tàu"/>
    <s v="Huyện Xuyên Mộc"/>
    <s v="Xã Bàu Lâm"/>
    <x v="13"/>
    <x v="2"/>
    <n v="50"/>
    <n v="91"/>
    <s v="Lê Trọng Hậu"/>
    <x v="6"/>
    <x v="1"/>
  </r>
  <r>
    <x v="1"/>
    <s v="HCM"/>
    <s v="Bà Rịa - Vũng Tàu"/>
    <s v="Huyện Xuyên Mộc"/>
    <s v="Thị trấn Phước Bửu"/>
    <x v="9"/>
    <x v="4"/>
    <n v="2"/>
    <n v="18"/>
    <s v="Lê Trọng Hậu"/>
    <x v="6"/>
    <x v="1"/>
  </r>
  <r>
    <x v="1"/>
    <s v="HCM"/>
    <s v="Bà Rịa - Vũng Tàu"/>
    <s v="Huyện Long Đất"/>
    <s v="Thị trấn Long Điền"/>
    <x v="15"/>
    <x v="3"/>
    <n v="12"/>
    <n v="5"/>
    <s v="Nguyễn Văn Tân"/>
    <x v="3"/>
    <x v="1"/>
  </r>
  <r>
    <x v="1"/>
    <s v="HCM"/>
    <s v="Bà Rịa - Vũng Tàu"/>
    <s v="Thành phố Vũng Tàu"/>
    <s v="Phường 3"/>
    <x v="12"/>
    <x v="5"/>
    <n v="62"/>
    <n v="174"/>
    <s v="Phạm Văn Tùng"/>
    <x v="2"/>
    <x v="1"/>
  </r>
  <r>
    <x v="1"/>
    <s v="HCM"/>
    <s v="Bà Rịa - Vũng Tàu"/>
    <s v="Thị Xã Phú Mỹ"/>
    <s v="Phường Tân Phước"/>
    <x v="17"/>
    <x v="1"/>
    <n v="5"/>
    <n v="51"/>
    <s v="Nguyễn Thanh Bình"/>
    <x v="1"/>
    <x v="1"/>
  </r>
  <r>
    <x v="1"/>
    <s v="HCM"/>
    <s v="Bà Rịa - Vũng Tàu"/>
    <s v="Thành phố Bà Rịa"/>
    <s v="Phường Phước Hiệp"/>
    <x v="14"/>
    <x v="3"/>
    <n v="11"/>
    <n v="8"/>
    <s v="Nguyễn Văn Tân"/>
    <x v="7"/>
    <x v="1"/>
  </r>
  <r>
    <x v="1"/>
    <s v="HCM"/>
    <s v="Bà Rịa - Vũng Tàu"/>
    <s v="Huyện Châu Đức"/>
    <s v="Xã Nghĩa Thành"/>
    <x v="5"/>
    <x v="4"/>
    <n v="1"/>
    <n v="1"/>
    <s v="Nguyễn Thanh Bình"/>
    <x v="4"/>
    <x v="1"/>
  </r>
  <r>
    <x v="1"/>
    <s v="HCM"/>
    <s v="Bà Rịa - Vũng Tàu"/>
    <s v="Huyện Đất Đỏ"/>
    <s v="Thị trấn Đất Đỏ"/>
    <x v="8"/>
    <x v="1"/>
    <n v="7"/>
    <n v="87"/>
    <s v="Nguyễn Văn Tân"/>
    <x v="5"/>
    <x v="1"/>
  </r>
  <r>
    <x v="1"/>
    <s v="HCM"/>
    <s v="Bà Rịa - Vũng Tàu"/>
    <s v="Huyện Châu Đức"/>
    <s v="Xã Suối Rao"/>
    <x v="5"/>
    <x v="3"/>
    <n v="8"/>
    <n v="4"/>
    <s v="Nguyễn Thanh Bình"/>
    <x v="4"/>
    <x v="1"/>
  </r>
  <r>
    <x v="1"/>
    <s v="HCM"/>
    <s v="Bà Rịa - Vũng Tàu"/>
    <s v="Thành phố Vũng Tàu"/>
    <s v="Phường 4"/>
    <x v="2"/>
    <x v="1"/>
    <n v="6"/>
    <n v="68"/>
    <s v="Nguyễn Thanh Bình"/>
    <x v="2"/>
    <x v="1"/>
  </r>
  <r>
    <x v="1"/>
    <s v="HCM"/>
    <s v="Bà Rịa - Vũng Tàu"/>
    <s v="Thành phố Bà Rịa"/>
    <s v="Phường Long Tâm"/>
    <x v="10"/>
    <x v="1"/>
    <n v="3"/>
    <n v="35"/>
    <s v="Nguyễn Văn Tân"/>
    <x v="7"/>
    <x v="1"/>
  </r>
  <r>
    <x v="1"/>
    <s v="HCM"/>
    <s v="Bà Rịa - Vũng Tàu"/>
    <s v="Huyện Châu Đức"/>
    <s v="Xã Kim Long"/>
    <x v="7"/>
    <x v="4"/>
    <n v="1"/>
    <n v="1"/>
    <s v="Lê Trọng Hậu"/>
    <x v="4"/>
    <x v="1"/>
  </r>
  <r>
    <x v="1"/>
    <s v="HCM"/>
    <s v="Bà Rịa - Vũng Tàu"/>
    <s v="Thành phố Vũng Tàu"/>
    <s v="Phường Nguyễn An Ninh"/>
    <x v="6"/>
    <x v="3"/>
    <n v="59"/>
    <n v="37"/>
    <s v="Phạm Văn Tùng"/>
    <x v="2"/>
    <x v="1"/>
  </r>
  <r>
    <x v="1"/>
    <s v="HCM"/>
    <s v="Bà Rịa - Vũng Tàu"/>
    <s v="Thị Xã Phú Mỹ"/>
    <s v="Xã Tóc Tiên"/>
    <x v="17"/>
    <x v="3"/>
    <n v="29"/>
    <n v="36"/>
    <s v="Nguyễn Thanh Bình"/>
    <x v="1"/>
    <x v="1"/>
  </r>
  <r>
    <x v="1"/>
    <s v="HCM"/>
    <s v="Bà Rịa - Vũng Tàu"/>
    <s v="Huyện Đất Đỏ"/>
    <s v="Xã Long Tân"/>
    <x v="8"/>
    <x v="3"/>
    <n v="31"/>
    <n v="22"/>
    <s v="Nguyễn Văn Tân"/>
    <x v="5"/>
    <x v="1"/>
  </r>
  <r>
    <x v="1"/>
    <s v="HCM"/>
    <s v="Bà Rịa - Vũng Tàu"/>
    <s v="Thị Xã Phú Mỹ"/>
    <s v="Phường Mỹ Xuân"/>
    <x v="1"/>
    <x v="2"/>
    <n v="1"/>
    <n v="1"/>
    <s v="Phạm Văn Tùng"/>
    <x v="1"/>
    <x v="1"/>
  </r>
  <r>
    <x v="1"/>
    <s v="HCM"/>
    <s v="Bà Rịa - Vũng Tàu"/>
    <s v="Thành phố Vũng Tàu"/>
    <s v="Phường Thắng Nhất"/>
    <x v="2"/>
    <x v="3"/>
    <n v="1"/>
    <n v="1"/>
    <s v="Nguyễn Thanh Bình"/>
    <x v="2"/>
    <x v="1"/>
  </r>
  <r>
    <x v="1"/>
    <s v="HCM"/>
    <s v="Bà Rịa - Vũng Tàu"/>
    <s v="Thị Xã Phú Mỹ"/>
    <s v="Xã Tân Hoà"/>
    <x v="1"/>
    <x v="4"/>
    <n v="1"/>
    <n v="1"/>
    <s v="Phạm Văn Tùng"/>
    <x v="1"/>
    <x v="1"/>
  </r>
  <r>
    <x v="1"/>
    <s v="HCM"/>
    <s v="Bà Rịa - Vũng Tàu"/>
    <s v="Huyện đảo Côn Đảo"/>
    <s v="Côn Đảo"/>
    <x v="16"/>
    <x v="2"/>
    <n v="124"/>
    <n v="502"/>
    <s v="Phạm Văn Tùng"/>
    <x v="8"/>
    <x v="1"/>
  </r>
  <r>
    <x v="1"/>
    <s v="HCM"/>
    <s v="Bà Rịa - Vũng Tàu"/>
    <s v="Huyện Long Điền"/>
    <s v="Thị trấn Long Hải"/>
    <x v="15"/>
    <x v="2"/>
    <n v="1"/>
    <n v="1"/>
    <s v="Nguyễn Văn Tân"/>
    <x v="3"/>
    <x v="1"/>
  </r>
  <r>
    <x v="1"/>
    <s v="HCM"/>
    <s v="Bà Rịa - Vũng Tàu"/>
    <s v="Thành phố Vũng Tàu"/>
    <s v="Phường Nguyễn An Ninh"/>
    <x v="6"/>
    <x v="1"/>
    <n v="4"/>
    <n v="46"/>
    <s v="Phạm Văn Tùng"/>
    <x v="2"/>
    <x v="1"/>
  </r>
  <r>
    <x v="1"/>
    <s v="HCM"/>
    <s v="Bà Rịa - Vũng Tàu"/>
    <s v="Huyện Châu Đức"/>
    <s v="Xã Đá Bạc"/>
    <x v="5"/>
    <x v="3"/>
    <n v="17"/>
    <n v="9"/>
    <s v="Nguyễn Thanh Bình"/>
    <x v="4"/>
    <x v="1"/>
  </r>
  <r>
    <x v="1"/>
    <s v="HCM"/>
    <s v="Bà Rịa - Vũng Tàu"/>
    <s v="Huyện Long Điền"/>
    <s v="Xã Tam Phước"/>
    <x v="3"/>
    <x v="3"/>
    <n v="1"/>
    <n v="0"/>
    <s v="Phạm Văn Tùng"/>
    <x v="3"/>
    <x v="1"/>
  </r>
  <r>
    <x v="1"/>
    <s v="HCM"/>
    <s v="Bà Rịa - Vũng Tàu"/>
    <s v="Huyện Xuyên Mộc"/>
    <s v="Xã Phước Thuận"/>
    <x v="9"/>
    <x v="2"/>
    <n v="72"/>
    <n v="169"/>
    <s v="Lê Trọng Hậu"/>
    <x v="6"/>
    <x v="1"/>
  </r>
  <r>
    <x v="1"/>
    <s v="HCM"/>
    <s v="Bà Rịa - Vũng Tàu"/>
    <s v="Thành phố Vũng Tàu"/>
    <s v="Phường 8"/>
    <x v="2"/>
    <x v="3"/>
    <n v="1"/>
    <n v="2"/>
    <s v="Nguyễn Thanh Bình"/>
    <x v="2"/>
    <x v="1"/>
  </r>
  <r>
    <x v="1"/>
    <s v="HCM"/>
    <s v="Bà Rịa - Vũng Tàu"/>
    <s v="Thị Xã Phú Mỹ"/>
    <s v="Xã Tân Hải"/>
    <x v="1"/>
    <x v="5"/>
    <n v="21"/>
    <n v="66"/>
    <s v="Phạm Văn Tùng"/>
    <x v="1"/>
    <x v="1"/>
  </r>
  <r>
    <x v="1"/>
    <s v="HCM"/>
    <s v="Bà Rịa - Vũng Tàu"/>
    <s v="Huyện Đất Đỏ"/>
    <s v="Xã Long Mỹ"/>
    <x v="8"/>
    <x v="3"/>
    <n v="2"/>
    <n v="1"/>
    <s v="Nguyễn Văn Tân"/>
    <x v="5"/>
    <x v="1"/>
  </r>
  <r>
    <x v="1"/>
    <s v="HCM"/>
    <s v="Bà Rịa - Vũng Tàu"/>
    <s v="Huyện Châu Đức"/>
    <s v="Xã Xuân Sơn"/>
    <x v="7"/>
    <x v="3"/>
    <n v="13"/>
    <n v="11"/>
    <s v="Lê Trọng Hậu"/>
    <x v="4"/>
    <x v="1"/>
  </r>
  <r>
    <x v="1"/>
    <s v="HCM"/>
    <s v="Bà Rịa - Vũng Tàu"/>
    <s v="Huyện Long Đất"/>
    <s v="Xã Phước Long Thọ"/>
    <x v="8"/>
    <x v="5"/>
    <n v="5"/>
    <n v="13"/>
    <s v="Nguyễn Văn Tân"/>
    <x v="5"/>
    <x v="1"/>
  </r>
  <r>
    <x v="1"/>
    <s v="HCM"/>
    <s v="Bà Rịa - Vũng Tàu"/>
    <s v="Huyện Long Điền"/>
    <s v="Xã An Ngãi"/>
    <x v="15"/>
    <x v="1"/>
    <n v="2"/>
    <n v="28"/>
    <s v="Nguyễn Văn Tân"/>
    <x v="3"/>
    <x v="1"/>
  </r>
  <r>
    <x v="1"/>
    <s v="HCM"/>
    <s v="Bà Rịa - Vũng Tàu"/>
    <s v="Thị Xã Phú Mỹ"/>
    <s v="Phường Hắc Dịch"/>
    <x v="11"/>
    <x v="3"/>
    <n v="81"/>
    <n v="66"/>
    <s v="Nguyễn Thanh Bình"/>
    <x v="1"/>
    <x v="1"/>
  </r>
  <r>
    <x v="1"/>
    <s v="HCM"/>
    <s v="Bà Rịa - Vũng Tàu"/>
    <s v="Huyện Long Điền"/>
    <s v="Xã An Nhứt"/>
    <x v="15"/>
    <x v="2"/>
    <n v="11"/>
    <n v="12"/>
    <s v="Nguyễn Văn Tân"/>
    <x v="3"/>
    <x v="1"/>
  </r>
  <r>
    <x v="1"/>
    <s v="HCM"/>
    <s v="Bà Rịa - Vũng Tàu"/>
    <s v="Thị Xã Phú Mỹ"/>
    <s v="Phường Phước Hoà"/>
    <x v="1"/>
    <x v="5"/>
    <n v="28"/>
    <n v="98"/>
    <s v="Phạm Văn Tùng"/>
    <x v="1"/>
    <x v="1"/>
  </r>
  <r>
    <x v="1"/>
    <s v="HCM"/>
    <s v="Bà Rịa - Vũng Tàu"/>
    <s v="Huyện Xuyên Mộc"/>
    <s v="Xã Hòa Hưng"/>
    <x v="9"/>
    <x v="5"/>
    <n v="4"/>
    <n v="7"/>
    <s v="Lê Trọng Hậu"/>
    <x v="6"/>
    <x v="1"/>
  </r>
  <r>
    <x v="1"/>
    <s v="HCM"/>
    <s v="Bà Rịa - Vũng Tàu"/>
    <s v="Huyện Xuyên Mộc"/>
    <s v="Xã Hòa Hội"/>
    <x v="13"/>
    <x v="1"/>
    <n v="9"/>
    <n v="146"/>
    <s v="Lê Trọng Hậu"/>
    <x v="6"/>
    <x v="1"/>
  </r>
  <r>
    <x v="1"/>
    <s v="HCM"/>
    <s v="Bà Rịa - Vũng Tàu"/>
    <s v="Thành phố Vũng Tàu"/>
    <s v="Phường 5"/>
    <x v="2"/>
    <x v="4"/>
    <n v="1"/>
    <n v="14"/>
    <s v="Nguyễn Thanh Bình"/>
    <x v="2"/>
    <x v="1"/>
  </r>
  <r>
    <x v="1"/>
    <s v="HCM"/>
    <s v="Bà Rịa - Vũng Tàu"/>
    <s v="Huyện Châu Đức"/>
    <s v="Xã Sơn Bình"/>
    <x v="7"/>
    <x v="1"/>
    <n v="6"/>
    <n v="81"/>
    <s v="Lê Trọng Hậu"/>
    <x v="4"/>
    <x v="1"/>
  </r>
  <r>
    <x v="1"/>
    <s v="HCM"/>
    <s v="Bà Rịa - Vũng Tàu"/>
    <s v="Huyện Xuyên Mộc"/>
    <s v="Xã Bình Châu"/>
    <x v="9"/>
    <x v="2"/>
    <n v="98"/>
    <n v="107"/>
    <s v="Lê Trọng Hậu"/>
    <x v="6"/>
    <x v="1"/>
  </r>
  <r>
    <x v="1"/>
    <s v="HCM"/>
    <s v="Bà Rịa - Vũng Tàu"/>
    <s v="Huyện Xuyên Mộc"/>
    <s v="Xã Bông Trang"/>
    <x v="9"/>
    <x v="5"/>
    <n v="10"/>
    <n v="6"/>
    <s v="Lê Trọng Hậu"/>
    <x v="6"/>
    <x v="1"/>
  </r>
  <r>
    <x v="1"/>
    <s v="HCM"/>
    <s v="Bà Rịa - Vũng Tàu"/>
    <s v="Huyện Đất Đỏ"/>
    <s v="Thị trấn Phước Hải"/>
    <x v="8"/>
    <x v="5"/>
    <n v="22"/>
    <n v="63"/>
    <s v="Nguyễn Văn Tân"/>
    <x v="5"/>
    <x v="1"/>
  </r>
  <r>
    <x v="1"/>
    <s v="HCM"/>
    <s v="Bà Rịa - Vũng Tàu"/>
    <s v="Huyện Xuyên Mộc"/>
    <s v="Xã Hòa Hội"/>
    <x v="13"/>
    <x v="5"/>
    <n v="21"/>
    <n v="47"/>
    <s v="Lê Trọng Hậu"/>
    <x v="6"/>
    <x v="1"/>
  </r>
  <r>
    <x v="1"/>
    <s v="HCM"/>
    <s v="Bà Rịa - Vũng Tàu"/>
    <s v="Thành phố Vũng Tàu"/>
    <s v="Phường 10"/>
    <x v="4"/>
    <x v="3"/>
    <n v="1"/>
    <n v="1"/>
    <s v="Phạm Văn Tùng"/>
    <x v="2"/>
    <x v="1"/>
  </r>
  <r>
    <x v="1"/>
    <s v="HCM"/>
    <s v="Bà Rịa - Vũng Tàu"/>
    <s v="Huyện Long Điền"/>
    <s v="Xã Phước Hưng"/>
    <x v="3"/>
    <x v="2"/>
    <n v="91"/>
    <n v="171"/>
    <s v="Phạm Văn Tùng"/>
    <x v="3"/>
    <x v="1"/>
  </r>
  <r>
    <x v="1"/>
    <s v="HCM"/>
    <s v="Bà Rịa - Vũng Tàu"/>
    <s v="Thành phố Vũng Tàu"/>
    <s v="Phường 8"/>
    <x v="6"/>
    <x v="2"/>
    <n v="139"/>
    <n v="206"/>
    <s v="Phạm Văn Tùng"/>
    <x v="2"/>
    <x v="1"/>
  </r>
  <r>
    <x v="1"/>
    <s v="HCM"/>
    <s v="Bà Rịa - Vũng Tàu"/>
    <s v="Huyện Xuyên Mộc"/>
    <s v="Xã Xuyên Mộc"/>
    <x v="9"/>
    <x v="3"/>
    <n v="40"/>
    <n v="55"/>
    <s v="Lê Trọng Hậu"/>
    <x v="6"/>
    <x v="1"/>
  </r>
  <r>
    <x v="1"/>
    <s v="HCM"/>
    <s v="Bà Rịa - Vũng Tàu"/>
    <s v="Huyện Xuyên Mộc"/>
    <s v="Thị trấn Phước Bửu"/>
    <x v="9"/>
    <x v="2"/>
    <n v="108"/>
    <n v="214"/>
    <s v="Lê Trọng Hậu"/>
    <x v="6"/>
    <x v="1"/>
  </r>
  <r>
    <x v="1"/>
    <s v="HCM"/>
    <s v="Bà Rịa - Vũng Tàu"/>
    <s v="Thành phố Vũng Tàu"/>
    <s v="Phường 2"/>
    <x v="12"/>
    <x v="1"/>
    <n v="9"/>
    <n v="98"/>
    <s v="Phạm Văn Tùng"/>
    <x v="2"/>
    <x v="1"/>
  </r>
  <r>
    <x v="1"/>
    <s v="HCM"/>
    <s v="Bà Rịa - Vũng Tàu"/>
    <s v="Huyện Long Điền"/>
    <s v="Thị trấn Long Điền"/>
    <x v="15"/>
    <x v="3"/>
    <n v="57"/>
    <n v="65"/>
    <s v="Nguyễn Văn Tân"/>
    <x v="3"/>
    <x v="1"/>
  </r>
  <r>
    <x v="1"/>
    <s v="HCM"/>
    <s v="Bà Rịa - Vũng Tàu"/>
    <s v="Thị Xã Phú Mỹ"/>
    <s v="Phường Tân Phước"/>
    <x v="11"/>
    <x v="3"/>
    <n v="1"/>
    <n v="1"/>
    <s v="Nguyễn Thanh Bình"/>
    <x v="1"/>
    <x v="1"/>
  </r>
  <r>
    <x v="1"/>
    <s v="HCM"/>
    <s v="Bà Rịa - Vũng Tàu"/>
    <s v="Huyện Đất Đỏ"/>
    <s v="Thị trấn Phước Hải"/>
    <x v="8"/>
    <x v="1"/>
    <n v="9"/>
    <n v="234"/>
    <s v="Nguyễn Văn Tân"/>
    <x v="5"/>
    <x v="1"/>
  </r>
  <r>
    <x v="1"/>
    <s v="HCM"/>
    <s v="Bà Rịa - Vũng Tàu"/>
    <s v="Huyện Long Điền"/>
    <s v="Thị trấn Long Hải"/>
    <x v="3"/>
    <x v="2"/>
    <n v="145"/>
    <n v="132"/>
    <s v="Phạm Văn Tùng"/>
    <x v="3"/>
    <x v="1"/>
  </r>
  <r>
    <x v="1"/>
    <s v="HCM"/>
    <s v="Bà Rịa - Vũng Tàu"/>
    <s v="Thành phố Vũng Tàu"/>
    <s v="Phường Nguyễn An Ninh"/>
    <x v="2"/>
    <x v="2"/>
    <n v="2"/>
    <n v="1"/>
    <s v="Nguyễn Thanh Bình"/>
    <x v="2"/>
    <x v="1"/>
  </r>
  <r>
    <x v="1"/>
    <s v="HCM"/>
    <s v="Bà Rịa - Vũng Tàu"/>
    <s v="Thành phố Vũng Tàu"/>
    <s v="Phường Thắng Nhất"/>
    <x v="6"/>
    <x v="1"/>
    <n v="13"/>
    <n v="155"/>
    <s v="Phạm Văn Tùng"/>
    <x v="2"/>
    <x v="1"/>
  </r>
  <r>
    <x v="1"/>
    <s v="HCM"/>
    <s v="Bà Rịa - Vũng Tàu"/>
    <s v="Huyện Châu Đức"/>
    <s v="Xã Bình Trung"/>
    <x v="5"/>
    <x v="4"/>
    <n v="1"/>
    <n v="3"/>
    <s v="Nguyễn Thanh Bình"/>
    <x v="4"/>
    <x v="1"/>
  </r>
  <r>
    <x v="1"/>
    <s v="HCM"/>
    <s v="Bà Rịa - Vũng Tàu"/>
    <s v="Huyện Đất Đỏ"/>
    <s v="Thị trấn Đất Đỏ"/>
    <x v="8"/>
    <x v="5"/>
    <n v="23"/>
    <n v="53"/>
    <s v="Nguyễn Văn Tân"/>
    <x v="5"/>
    <x v="1"/>
  </r>
  <r>
    <x v="1"/>
    <s v="HCM"/>
    <s v="Bà Rịa - Vũng Tàu"/>
    <s v="Huyện Châu Đức"/>
    <s v="Xã Xà Bang"/>
    <x v="7"/>
    <x v="3"/>
    <n v="33"/>
    <n v="39"/>
    <s v="Lê Trọng Hậu"/>
    <x v="4"/>
    <x v="1"/>
  </r>
  <r>
    <x v="1"/>
    <s v="HCM"/>
    <s v="Bà Rịa - Vũng Tàu"/>
    <s v="Thành phố Vũng Tàu"/>
    <s v="Phường 11"/>
    <x v="4"/>
    <x v="2"/>
    <n v="182"/>
    <n v="320"/>
    <s v="Phạm Văn Tùng"/>
    <x v="2"/>
    <x v="1"/>
  </r>
  <r>
    <x v="1"/>
    <s v="HCM"/>
    <s v="Bà Rịa - Vũng Tàu"/>
    <s v="Thành phố Vũng Tàu"/>
    <s v="Phường 3"/>
    <x v="12"/>
    <x v="1"/>
    <n v="11"/>
    <n v="127"/>
    <s v="Phạm Văn Tùng"/>
    <x v="2"/>
    <x v="1"/>
  </r>
  <r>
    <x v="1"/>
    <s v="HCM"/>
    <s v="Bà Rịa - Vũng Tàu"/>
    <s v="Thành phố Bà Rịa"/>
    <s v="Xã Tân Hưng"/>
    <x v="10"/>
    <x v="1"/>
    <n v="4"/>
    <n v="48"/>
    <s v="Nguyễn Văn Tân"/>
    <x v="7"/>
    <x v="1"/>
  </r>
  <r>
    <x v="1"/>
    <s v="HCM"/>
    <s v="Bà Rịa - Vũng Tàu"/>
    <s v="Thành phố Bà Rịa"/>
    <s v="Phường Long Tâm"/>
    <x v="10"/>
    <x v="5"/>
    <n v="12"/>
    <n v="19"/>
    <s v="Nguyễn Văn Tân"/>
    <x v="7"/>
    <x v="1"/>
  </r>
  <r>
    <x v="1"/>
    <s v="HCM"/>
    <s v="Bà Rịa - Vũng Tàu"/>
    <s v="Huyện Xuyên Mộc"/>
    <s v="Xã Hòa Hiệp"/>
    <x v="13"/>
    <x v="4"/>
    <n v="2"/>
    <n v="2"/>
    <s v="Lê Trọng Hậu"/>
    <x v="6"/>
    <x v="1"/>
  </r>
  <r>
    <x v="1"/>
    <s v="HCM"/>
    <s v="Bà Rịa - Vũng Tàu"/>
    <s v="Thành phố Vũng Tàu"/>
    <s v="Phường 10"/>
    <x v="6"/>
    <x v="5"/>
    <n v="58"/>
    <n v="97"/>
    <s v="Phạm Văn Tùng"/>
    <x v="2"/>
    <x v="1"/>
  </r>
  <r>
    <x v="1"/>
    <s v="HCM"/>
    <s v="Bà Rịa - Vũng Tàu"/>
    <s v="Thành phố Vũng Tàu"/>
    <s v="Phường 10"/>
    <x v="6"/>
    <x v="1"/>
    <n v="14"/>
    <n v="177"/>
    <s v="Phạm Văn Tùng"/>
    <x v="2"/>
    <x v="1"/>
  </r>
  <r>
    <x v="1"/>
    <s v="HCM"/>
    <s v="Bà Rịa - Vũng Tàu"/>
    <s v="Huyện Long Đất"/>
    <s v="Thị trấn Phước Hải"/>
    <x v="8"/>
    <x v="2"/>
    <n v="15"/>
    <n v="14"/>
    <s v="Nguyễn Văn Tân"/>
    <x v="5"/>
    <x v="1"/>
  </r>
  <r>
    <x v="1"/>
    <s v="HCM"/>
    <s v="Bà Rịa - Vũng Tàu"/>
    <s v="Thành phố Vũng Tàu"/>
    <s v="Phường 11"/>
    <x v="6"/>
    <x v="3"/>
    <n v="1"/>
    <n v="0"/>
    <s v="Phạm Văn Tùng"/>
    <x v="2"/>
    <x v="1"/>
  </r>
  <r>
    <x v="1"/>
    <s v="HCM"/>
    <s v="Bà Rịa - Vũng Tàu"/>
    <s v="Thành phố Vũng Tàu"/>
    <s v="Phường 12"/>
    <x v="4"/>
    <x v="4"/>
    <n v="3"/>
    <n v="4"/>
    <s v="Phạm Văn Tùng"/>
    <x v="2"/>
    <x v="1"/>
  </r>
  <r>
    <x v="1"/>
    <s v="HCM"/>
    <s v="Bà Rịa - Vũng Tàu"/>
    <s v="Huyện Long Đất"/>
    <s v="Thị trấn Đất Đỏ"/>
    <x v="8"/>
    <x v="2"/>
    <n v="15"/>
    <n v="22"/>
    <s v="Nguyễn Văn Tân"/>
    <x v="5"/>
    <x v="1"/>
  </r>
  <r>
    <x v="1"/>
    <s v="HCM"/>
    <s v="Bà Rịa - Vũng Tàu"/>
    <s v="Huyện Đất Đỏ"/>
    <s v="Xã Phước Long Thọ"/>
    <x v="8"/>
    <x v="2"/>
    <n v="36"/>
    <n v="26"/>
    <s v="Nguyễn Văn Tân"/>
    <x v="5"/>
    <x v="1"/>
  </r>
  <r>
    <x v="1"/>
    <s v="HCM"/>
    <s v="Bà Rịa - Vũng Tàu"/>
    <s v="Thị Xã Phú Mỹ"/>
    <s v="Phường Phú Mỹ"/>
    <x v="11"/>
    <x v="4"/>
    <n v="1"/>
    <n v="5"/>
    <s v="Nguyễn Thanh Bình"/>
    <x v="1"/>
    <x v="1"/>
  </r>
  <r>
    <x v="1"/>
    <s v="HCM"/>
    <s v="Bà Rịa - Vũng Tàu"/>
    <s v="Thành phố Bà Rịa"/>
    <s v="Phường Phước Nguyên"/>
    <x v="14"/>
    <x v="3"/>
    <n v="43"/>
    <n v="40"/>
    <s v="Nguyễn Văn Tân"/>
    <x v="7"/>
    <x v="1"/>
  </r>
  <r>
    <x v="1"/>
    <s v="HCM"/>
    <s v="Bà Rịa - Vũng Tàu"/>
    <s v="Huyện Châu Đức"/>
    <s v="Xã Xà Bang"/>
    <x v="7"/>
    <x v="4"/>
    <n v="1"/>
    <n v="1"/>
    <s v="Lê Trọng Hậu"/>
    <x v="4"/>
    <x v="1"/>
  </r>
  <r>
    <x v="1"/>
    <s v="HCM"/>
    <s v="Bà Rịa - Vũng Tàu"/>
    <s v="Huyện Châu Đức"/>
    <s v="Xã Bình Giã"/>
    <x v="5"/>
    <x v="2"/>
    <n v="32"/>
    <n v="26"/>
    <s v="Nguyễn Thanh Bình"/>
    <x v="4"/>
    <x v="1"/>
  </r>
  <r>
    <x v="1"/>
    <s v="HCM"/>
    <s v="Bà Rịa - Vũng Tàu"/>
    <s v="Thành phố Vũng Tàu"/>
    <s v="Phường Nguyễn An Ninh"/>
    <x v="2"/>
    <x v="1"/>
    <n v="1"/>
    <n v="10"/>
    <s v="Nguyễn Thanh Bình"/>
    <x v="2"/>
    <x v="1"/>
  </r>
  <r>
    <x v="1"/>
    <s v="HCM"/>
    <s v="Bà Rịa - Vũng Tàu"/>
    <s v="Thị Xã Phú Mỹ"/>
    <s v="Phường Mỹ Xuân"/>
    <x v="11"/>
    <x v="1"/>
    <n v="23"/>
    <n v="256"/>
    <s v="Nguyễn Thanh Bình"/>
    <x v="1"/>
    <x v="1"/>
  </r>
  <r>
    <x v="1"/>
    <s v="HCM"/>
    <s v="Bà Rịa - Vũng Tàu"/>
    <s v="Thành phố Bà Rịa"/>
    <s v="Xã Hoà Long"/>
    <x v="10"/>
    <x v="2"/>
    <n v="100"/>
    <n v="126"/>
    <s v="Nguyễn Văn Tân"/>
    <x v="7"/>
    <x v="1"/>
  </r>
  <r>
    <x v="1"/>
    <s v="HCM"/>
    <s v="Bà Rịa - Vũng Tàu"/>
    <s v="Huyện Châu Đức"/>
    <s v="Xã Cù Bị"/>
    <x v="7"/>
    <x v="5"/>
    <n v="10"/>
    <n v="21"/>
    <s v="Lê Trọng Hậu"/>
    <x v="4"/>
    <x v="1"/>
  </r>
  <r>
    <x v="1"/>
    <s v="HCM"/>
    <s v="Bà Rịa - Vũng Tàu"/>
    <s v="Thị Xã Phú Mỹ"/>
    <s v="Phường Phước Hoà"/>
    <x v="1"/>
    <x v="1"/>
    <n v="6"/>
    <n v="68"/>
    <s v="Phạm Văn Tùng"/>
    <x v="1"/>
    <x v="1"/>
  </r>
  <r>
    <x v="1"/>
    <s v="HCM"/>
    <s v="Bà Rịa - Vũng Tàu"/>
    <s v="Thành phố Vũng Tàu"/>
    <s v="Phường 8"/>
    <x v="6"/>
    <x v="5"/>
    <n v="69"/>
    <n v="109"/>
    <s v="Phạm Văn Tùng"/>
    <x v="2"/>
    <x v="1"/>
  </r>
  <r>
    <x v="1"/>
    <s v="HCM"/>
    <s v="Bà Rịa - Vũng Tàu"/>
    <s v="Thành phố Vũng Tàu"/>
    <s v="Phường Thắng Nhì"/>
    <x v="2"/>
    <x v="4"/>
    <n v="2"/>
    <n v="4"/>
    <s v="Nguyễn Thanh Bình"/>
    <x v="2"/>
    <x v="1"/>
  </r>
  <r>
    <x v="1"/>
    <s v="HCM"/>
    <s v="Bà Rịa - Vũng Tàu"/>
    <s v="Huyện Long Đất"/>
    <s v="Thị trấn Long Hải"/>
    <x v="3"/>
    <x v="2"/>
    <n v="20"/>
    <n v="34"/>
    <s v="Phạm Văn Tùng"/>
    <x v="3"/>
    <x v="1"/>
  </r>
  <r>
    <x v="1"/>
    <s v="HCM"/>
    <s v="Bà Rịa - Vũng Tàu"/>
    <s v="Huyện Châu Đức"/>
    <s v="Xã Láng Lớn"/>
    <x v="5"/>
    <x v="5"/>
    <n v="4"/>
    <n v="5"/>
    <s v="Nguyễn Thanh Bình"/>
    <x v="4"/>
    <x v="1"/>
  </r>
  <r>
    <x v="1"/>
    <s v="HCM"/>
    <s v="Bà Rịa - Vũng Tàu"/>
    <s v="Huyện Đất Đỏ"/>
    <s v="Xã Long Tân"/>
    <x v="8"/>
    <x v="2"/>
    <n v="28"/>
    <n v="55"/>
    <s v="Nguyễn Văn Tân"/>
    <x v="5"/>
    <x v="1"/>
  </r>
  <r>
    <x v="1"/>
    <s v="HCM"/>
    <s v="Bà Rịa - Vũng Tàu"/>
    <s v="Huyện Xuyên Mộc"/>
    <s v="Xã Tân Lâm"/>
    <x v="13"/>
    <x v="1"/>
    <n v="2"/>
    <n v="48"/>
    <s v="Lê Trọng Hậu"/>
    <x v="6"/>
    <x v="1"/>
  </r>
  <r>
    <x v="1"/>
    <s v="HCM"/>
    <s v="Bà Rịa - Vũng Tàu"/>
    <s v="Huyện Châu Đức"/>
    <s v="Xã Xuân Sơn"/>
    <x v="7"/>
    <x v="2"/>
    <n v="32"/>
    <n v="85"/>
    <s v="Lê Trọng Hậu"/>
    <x v="4"/>
    <x v="1"/>
  </r>
  <r>
    <x v="1"/>
    <s v="HCM"/>
    <s v="Bà Rịa - Vũng Tàu"/>
    <s v="Thị Xã Phú Mỹ"/>
    <s v="Phường Hắc Dịch"/>
    <x v="11"/>
    <x v="5"/>
    <n v="36"/>
    <n v="111"/>
    <s v="Nguyễn Thanh Bình"/>
    <x v="1"/>
    <x v="1"/>
  </r>
  <r>
    <x v="1"/>
    <s v="HCM"/>
    <s v="Bà Rịa - Vũng Tàu"/>
    <s v="Huyện Long Đất"/>
    <s v="Xã Láng Dài"/>
    <x v="8"/>
    <x v="1"/>
    <n v="3"/>
    <n v="154"/>
    <s v="Nguyễn Văn Tân"/>
    <x v="5"/>
    <x v="1"/>
  </r>
  <r>
    <x v="1"/>
    <s v="HCM"/>
    <s v="Bà Rịa - Vũng Tàu"/>
    <s v="Thành phố Bà Rịa"/>
    <s v="Phường Phước Hưng"/>
    <x v="10"/>
    <x v="2"/>
    <n v="49"/>
    <n v="56"/>
    <s v="Nguyễn Văn Tân"/>
    <x v="7"/>
    <x v="1"/>
  </r>
  <r>
    <x v="1"/>
    <s v="HCM"/>
    <s v="Bà Rịa - Vũng Tàu"/>
    <s v="Huyện Xuyên Mộc"/>
    <s v="Xã Bưng Riềng"/>
    <x v="9"/>
    <x v="1"/>
    <n v="4"/>
    <n v="45"/>
    <s v="Lê Trọng Hậu"/>
    <x v="6"/>
    <x v="1"/>
  </r>
  <r>
    <x v="1"/>
    <s v="HCM"/>
    <s v="Bà Rịa - Vũng Tàu"/>
    <s v="Thành phố Vũng Tàu"/>
    <s v="Phường Thắng Nhất"/>
    <x v="18"/>
    <x v="5"/>
    <n v="1"/>
    <n v="0"/>
    <m/>
    <x v="9"/>
    <x v="2"/>
  </r>
  <r>
    <x v="1"/>
    <s v="HCM"/>
    <s v="Bà Rịa - Vũng Tàu"/>
    <s v="Thị Xã Phú Mỹ"/>
    <s v="Xã Châu Pha"/>
    <x v="1"/>
    <x v="1"/>
    <n v="6"/>
    <n v="70"/>
    <s v="Phạm Văn Tùng"/>
    <x v="1"/>
    <x v="1"/>
  </r>
  <r>
    <x v="1"/>
    <s v="HCM"/>
    <s v="Bà Rịa - Vũng Tàu"/>
    <s v="Huyện Châu Đức"/>
    <s v="Xã Bình Trung"/>
    <x v="5"/>
    <x v="5"/>
    <n v="7"/>
    <n v="18"/>
    <s v="Nguyễn Thanh Bình"/>
    <x v="4"/>
    <x v="1"/>
  </r>
  <r>
    <x v="1"/>
    <s v="HCM"/>
    <s v="Bà Rịa - Vũng Tàu"/>
    <s v="Thành phố Vũng Tàu"/>
    <s v="Phường 1"/>
    <x v="12"/>
    <x v="5"/>
    <n v="17"/>
    <n v="36"/>
    <s v="Phạm Văn Tùng"/>
    <x v="2"/>
    <x v="1"/>
  </r>
  <r>
    <x v="1"/>
    <s v="HCM"/>
    <s v="Bà Rịa - Vũng Tàu"/>
    <s v="Thành phố Vũng Tàu"/>
    <s v="Phường 5"/>
    <x v="2"/>
    <x v="1"/>
    <n v="2"/>
    <n v="27"/>
    <s v="Nguyễn Thanh Bình"/>
    <x v="2"/>
    <x v="1"/>
  </r>
  <r>
    <x v="1"/>
    <s v="HCM"/>
    <s v="Bà Rịa - Vũng Tàu"/>
    <s v="Thành phố Vũng Tàu"/>
    <s v="Phường 10"/>
    <x v="6"/>
    <x v="4"/>
    <n v="4"/>
    <n v="30"/>
    <s v="Phạm Văn Tùng"/>
    <x v="2"/>
    <x v="1"/>
  </r>
  <r>
    <x v="1"/>
    <s v="HCM"/>
    <s v="Bà Rịa - Vũng Tàu"/>
    <s v="Thành phố Vũng Tàu"/>
    <s v="Phường Nguyễn An Ninh"/>
    <x v="6"/>
    <x v="5"/>
    <n v="63"/>
    <n v="102"/>
    <s v="Phạm Văn Tùng"/>
    <x v="2"/>
    <x v="1"/>
  </r>
  <r>
    <x v="1"/>
    <s v="HCM"/>
    <s v="Bà Rịa - Vũng Tàu"/>
    <s v="Thành phố Vũng Tàu"/>
    <s v="Phường 12"/>
    <x v="4"/>
    <x v="2"/>
    <n v="148"/>
    <n v="246"/>
    <s v="Phạm Văn Tùng"/>
    <x v="2"/>
    <x v="1"/>
  </r>
  <r>
    <x v="1"/>
    <s v="HCM"/>
    <s v="Bà Rịa - Vũng Tàu"/>
    <s v="Huyện Châu Đức"/>
    <s v="Xã Bàu Chinh"/>
    <x v="7"/>
    <x v="2"/>
    <n v="31"/>
    <n v="27"/>
    <s v="Lê Trọng Hậu"/>
    <x v="4"/>
    <x v="1"/>
  </r>
  <r>
    <x v="1"/>
    <s v="HCM"/>
    <s v="Bà Rịa - Vũng Tàu"/>
    <s v="Thành phố Vũng Tàu"/>
    <s v="Phường Thắng Nhất"/>
    <x v="17"/>
    <x v="2"/>
    <n v="1"/>
    <n v="0"/>
    <s v="Nguyễn Thanh Bình"/>
    <x v="1"/>
    <x v="1"/>
  </r>
  <r>
    <x v="1"/>
    <s v="HCM"/>
    <s v="Bà Rịa - Vũng Tàu"/>
    <s v="Huyện Châu Đức"/>
    <s v="Xã Láng Lớn"/>
    <x v="5"/>
    <x v="3"/>
    <n v="15"/>
    <n v="12"/>
    <s v="Nguyễn Thanh Bình"/>
    <x v="4"/>
    <x v="1"/>
  </r>
  <r>
    <x v="1"/>
    <s v="HCM"/>
    <s v="Bà Rịa - Vũng Tàu"/>
    <s v="Huyện Xuyên Mộc"/>
    <s v="Xã Xuyên Mộc"/>
    <x v="13"/>
    <x v="3"/>
    <n v="1"/>
    <n v="0"/>
    <s v="Lê Trọng Hậu"/>
    <x v="6"/>
    <x v="1"/>
  </r>
  <r>
    <x v="1"/>
    <s v="HCM"/>
    <s v="Bà Rịa - Vũng Tàu"/>
    <s v="Huyện Long Đất"/>
    <s v="Xã Phước Hưng"/>
    <x v="3"/>
    <x v="2"/>
    <n v="14"/>
    <n v="40"/>
    <s v="Phạm Văn Tùng"/>
    <x v="3"/>
    <x v="1"/>
  </r>
  <r>
    <x v="1"/>
    <s v="HCM"/>
    <s v="Bà Rịa - Vũng Tàu"/>
    <s v="Huyện Đất Đỏ"/>
    <s v="Xã Láng Dài"/>
    <x v="8"/>
    <x v="2"/>
    <n v="20"/>
    <n v="23"/>
    <s v="Nguyễn Văn Tân"/>
    <x v="5"/>
    <x v="1"/>
  </r>
  <r>
    <x v="1"/>
    <s v="HCM"/>
    <s v="Bà Rịa - Vũng Tàu"/>
    <s v="Thành phố Vũng Tàu"/>
    <s v="Phường 9"/>
    <x v="2"/>
    <x v="2"/>
    <n v="114"/>
    <n v="125"/>
    <s v="Nguyễn Thanh Bình"/>
    <x v="2"/>
    <x v="1"/>
  </r>
  <r>
    <x v="1"/>
    <s v="HCM"/>
    <s v="Bà Rịa - Vũng Tàu"/>
    <s v="Thành phố Bà Rịa"/>
    <s v="Phường Phước Nguyên"/>
    <x v="14"/>
    <x v="2"/>
    <n v="80"/>
    <n v="96"/>
    <s v="Nguyễn Văn Tân"/>
    <x v="7"/>
    <x v="1"/>
  </r>
  <r>
    <x v="1"/>
    <s v="HCM"/>
    <s v="Bà Rịa - Vũng Tàu"/>
    <s v="Thị Xã Phú Mỹ"/>
    <s v="Xã Châu Pha"/>
    <x v="1"/>
    <x v="5"/>
    <n v="22"/>
    <n v="67"/>
    <s v="Phạm Văn Tùng"/>
    <x v="1"/>
    <x v="1"/>
  </r>
  <r>
    <x v="1"/>
    <s v="HCM"/>
    <s v="Bà Rịa - Vũng Tàu"/>
    <s v="Huyện Long Điền"/>
    <s v="Thị trấn Long Điền"/>
    <x v="3"/>
    <x v="3"/>
    <n v="1"/>
    <n v="0"/>
    <s v="Phạm Văn Tùng"/>
    <x v="3"/>
    <x v="1"/>
  </r>
  <r>
    <x v="1"/>
    <s v="HCM"/>
    <s v="Bà Rịa - Vũng Tàu"/>
    <s v="Thành phố Vũng Tàu"/>
    <s v="Phường 8"/>
    <x v="6"/>
    <x v="3"/>
    <n v="67"/>
    <n v="50"/>
    <s v="Phạm Văn Tùng"/>
    <x v="2"/>
    <x v="1"/>
  </r>
  <r>
    <x v="1"/>
    <s v="HCM"/>
    <s v="Bà Rịa - Vũng Tàu"/>
    <s v="Huyện Đất Đỏ"/>
    <s v="Xã Phước Hội"/>
    <x v="8"/>
    <x v="3"/>
    <n v="11"/>
    <n v="6"/>
    <s v="Nguyễn Văn Tân"/>
    <x v="5"/>
    <x v="1"/>
  </r>
  <r>
    <x v="1"/>
    <s v="HCM"/>
    <s v="Bà Rịa - Vũng Tàu"/>
    <s v="Huyện Châu Đức"/>
    <s v="Xã Quảng Thành"/>
    <x v="7"/>
    <x v="4"/>
    <n v="1"/>
    <n v="1"/>
    <s v="Lê Trọng Hậu"/>
    <x v="4"/>
    <x v="1"/>
  </r>
  <r>
    <x v="1"/>
    <s v="HCM"/>
    <s v="Bà Rịa - Vũng Tàu"/>
    <s v="Huyện Châu Đức"/>
    <s v="Xã Kim Long"/>
    <x v="7"/>
    <x v="2"/>
    <n v="50"/>
    <n v="105"/>
    <s v="Lê Trọng Hậu"/>
    <x v="4"/>
    <x v="1"/>
  </r>
  <r>
    <x v="1"/>
    <s v="HCM"/>
    <s v="Bà Rịa - Vũng Tàu"/>
    <s v="Thị Xã Phú Mỹ"/>
    <s v="Xã Tân Hoà"/>
    <x v="1"/>
    <x v="5"/>
    <n v="13"/>
    <n v="13"/>
    <s v="Phạm Văn Tùng"/>
    <x v="1"/>
    <x v="1"/>
  </r>
  <r>
    <x v="1"/>
    <s v="HCM"/>
    <s v="Bà Rịa - Vũng Tàu"/>
    <s v="Huyện Long Đất"/>
    <s v="Xã Tam An"/>
    <x v="15"/>
    <x v="3"/>
    <n v="15"/>
    <n v="9"/>
    <s v="Nguyễn Văn Tân"/>
    <x v="3"/>
    <x v="1"/>
  </r>
  <r>
    <x v="1"/>
    <s v="HCM"/>
    <s v="Bà Rịa - Vũng Tàu"/>
    <s v="Huyện Xuyên Mộc"/>
    <s v="Xã Hòa Hiệp"/>
    <x v="13"/>
    <x v="5"/>
    <n v="12"/>
    <n v="34"/>
    <s v="Lê Trọng Hậu"/>
    <x v="6"/>
    <x v="1"/>
  </r>
  <r>
    <x v="1"/>
    <s v="HCM"/>
    <s v="Bà Rịa - Vũng Tàu"/>
    <s v="Thị Xã Phú Mỹ"/>
    <s v="Xã Tóc Tiên"/>
    <x v="1"/>
    <x v="3"/>
    <n v="1"/>
    <n v="0"/>
    <s v="Phạm Văn Tùng"/>
    <x v="1"/>
    <x v="1"/>
  </r>
  <r>
    <x v="1"/>
    <s v="HCM"/>
    <s v="Bà Rịa - Vũng Tàu"/>
    <s v="Huyện Long Điền"/>
    <s v="Xã Tam Phước"/>
    <x v="15"/>
    <x v="4"/>
    <n v="1"/>
    <n v="1"/>
    <s v="Nguyễn Văn Tân"/>
    <x v="3"/>
    <x v="1"/>
  </r>
  <r>
    <x v="1"/>
    <s v="HCM"/>
    <s v="Bà Rịa - Vũng Tàu"/>
    <s v="Thị Xã Phú Mỹ"/>
    <s v="Phường Tân Phước"/>
    <x v="17"/>
    <x v="5"/>
    <n v="35"/>
    <n v="76"/>
    <s v="Nguyễn Thanh Bình"/>
    <x v="1"/>
    <x v="1"/>
  </r>
  <r>
    <x v="1"/>
    <s v="HCM"/>
    <s v="Bà Rịa - Vũng Tàu"/>
    <s v="Huyện Xuyên Mộc"/>
    <s v="Xã Hòa Hiệp"/>
    <x v="13"/>
    <x v="1"/>
    <n v="7"/>
    <n v="95"/>
    <s v="Lê Trọng Hậu"/>
    <x v="6"/>
    <x v="1"/>
  </r>
  <r>
    <x v="1"/>
    <s v="HCM"/>
    <s v="Bà Rịa - Vũng Tàu"/>
    <s v="Huyện Châu Đức"/>
    <s v="Xã Suối Rao"/>
    <x v="5"/>
    <x v="5"/>
    <n v="6"/>
    <n v="23"/>
    <s v="Nguyễn Thanh Bình"/>
    <x v="4"/>
    <x v="1"/>
  </r>
  <r>
    <x v="1"/>
    <s v="HCM"/>
    <s v="Bà Rịa - Vũng Tàu"/>
    <s v="Huyện Đất Đỏ"/>
    <s v="Thị trấn Phước Hải"/>
    <x v="8"/>
    <x v="2"/>
    <n v="78"/>
    <n v="117"/>
    <s v="Nguyễn Văn Tân"/>
    <x v="5"/>
    <x v="1"/>
  </r>
  <r>
    <x v="1"/>
    <s v="HCM"/>
    <s v="Bà Rịa - Vũng Tàu"/>
    <s v="Thị Xã Phú Mỹ"/>
    <s v="Phường Phú Mỹ"/>
    <x v="17"/>
    <x v="4"/>
    <n v="5"/>
    <n v="3"/>
    <s v="Nguyễn Thanh Bình"/>
    <x v="1"/>
    <x v="1"/>
  </r>
  <r>
    <x v="1"/>
    <s v="HCM"/>
    <s v="Bà Rịa - Vũng Tàu"/>
    <s v="Huyện Châu Đức"/>
    <s v="Xã Suối Rao"/>
    <x v="5"/>
    <x v="1"/>
    <n v="2"/>
    <n v="26"/>
    <s v="Nguyễn Thanh Bình"/>
    <x v="4"/>
    <x v="1"/>
  </r>
  <r>
    <x v="1"/>
    <s v="HCM"/>
    <s v="Bà Rịa - Vũng Tàu"/>
    <s v="Thành phố Bà Rịa"/>
    <s v="Xã Hoà Long"/>
    <x v="10"/>
    <x v="4"/>
    <n v="1"/>
    <n v="1"/>
    <s v="Nguyễn Văn Tân"/>
    <x v="7"/>
    <x v="1"/>
  </r>
  <r>
    <x v="1"/>
    <s v="HCM"/>
    <s v="Bà Rịa - Vũng Tàu"/>
    <s v="Huyện đảo Côn Đảo"/>
    <s v="Côn Đảo"/>
    <x v="16"/>
    <x v="3"/>
    <n v="101"/>
    <n v="95"/>
    <s v="Phạm Văn Tùng"/>
    <x v="8"/>
    <x v="1"/>
  </r>
  <r>
    <x v="1"/>
    <s v="HCM"/>
    <s v="Bà Rịa - Vũng Tàu"/>
    <s v="Huyện Châu Đức"/>
    <s v="Xã Bàu Chinh"/>
    <x v="7"/>
    <x v="3"/>
    <n v="20"/>
    <n v="13"/>
    <s v="Lê Trọng Hậu"/>
    <x v="4"/>
    <x v="1"/>
  </r>
  <r>
    <x v="1"/>
    <s v="HCM"/>
    <s v="Bà Rịa - Vũng Tàu"/>
    <s v="Thị Xã Phú Mỹ"/>
    <s v="Xã Châu Pha"/>
    <x v="1"/>
    <x v="3"/>
    <n v="61"/>
    <n v="43"/>
    <s v="Phạm Văn Tùng"/>
    <x v="1"/>
    <x v="1"/>
  </r>
  <r>
    <x v="1"/>
    <s v="HCM"/>
    <s v="Bà Rịa - Vũng Tàu"/>
    <s v="Huyện Long Đất"/>
    <s v="Xã Tam An"/>
    <x v="15"/>
    <x v="4"/>
    <n v="1"/>
    <n v="1"/>
    <s v="Nguyễn Văn Tân"/>
    <x v="3"/>
    <x v="1"/>
  </r>
  <r>
    <x v="1"/>
    <s v="HCM"/>
    <s v="Bà Rịa - Vũng Tàu"/>
    <s v="Huyện Châu Đức"/>
    <s v="Xã Xà Bang"/>
    <x v="7"/>
    <x v="5"/>
    <n v="12"/>
    <n v="49"/>
    <s v="Lê Trọng Hậu"/>
    <x v="4"/>
    <x v="1"/>
  </r>
  <r>
    <x v="1"/>
    <s v="HCM"/>
    <s v="Bà Rịa - Vũng Tàu"/>
    <s v="Thành phố Bà Rịa"/>
    <s v="Phường Phước Hưng"/>
    <x v="10"/>
    <x v="3"/>
    <n v="28"/>
    <n v="23"/>
    <s v="Nguyễn Văn Tân"/>
    <x v="7"/>
    <x v="1"/>
  </r>
  <r>
    <x v="1"/>
    <s v="HCM"/>
    <s v="Bà Rịa - Vũng Tàu"/>
    <s v="Thành phố Vũng Tàu"/>
    <s v="Phường 11"/>
    <x v="6"/>
    <x v="2"/>
    <n v="2"/>
    <n v="4"/>
    <s v="Phạm Văn Tùng"/>
    <x v="2"/>
    <x v="1"/>
  </r>
  <r>
    <x v="1"/>
    <s v="HCM"/>
    <s v="Bà Rịa - Vũng Tàu"/>
    <s v="Thị Xã Phú Mỹ"/>
    <s v="Phường Phú Mỹ"/>
    <x v="17"/>
    <x v="2"/>
    <n v="288"/>
    <n v="331"/>
    <s v="Nguyễn Thanh Bình"/>
    <x v="1"/>
    <x v="1"/>
  </r>
  <r>
    <x v="1"/>
    <s v="HCM"/>
    <s v="Bà Rịa - Vũng Tàu"/>
    <s v="Thị Xã Phú Mỹ"/>
    <s v="Phường Hắc Dịch"/>
    <x v="11"/>
    <x v="1"/>
    <n v="3"/>
    <n v="36"/>
    <s v="Nguyễn Thanh Bình"/>
    <x v="1"/>
    <x v="1"/>
  </r>
  <r>
    <x v="1"/>
    <s v="HCM"/>
    <s v="Bà Rịa - Vũng Tàu"/>
    <s v="Huyện Châu Đức"/>
    <s v="Xã Bình Ba"/>
    <x v="5"/>
    <x v="5"/>
    <n v="5"/>
    <n v="12"/>
    <s v="Nguyễn Thanh Bình"/>
    <x v="4"/>
    <x v="1"/>
  </r>
  <r>
    <x v="1"/>
    <s v="HCM"/>
    <s v="Bà Rịa - Vũng Tàu"/>
    <s v="Thành phố Vũng Tàu"/>
    <s v="Phường 8"/>
    <x v="6"/>
    <x v="1"/>
    <n v="9"/>
    <n v="110"/>
    <s v="Phạm Văn Tùng"/>
    <x v="2"/>
    <x v="1"/>
  </r>
  <r>
    <x v="1"/>
    <s v="HCM"/>
    <s v="Bà Rịa - Vũng Tàu"/>
    <s v="Huyện Long Đất"/>
    <s v="Xã Tam An"/>
    <x v="15"/>
    <x v="2"/>
    <n v="18"/>
    <n v="39"/>
    <s v="Nguyễn Văn Tân"/>
    <x v="3"/>
    <x v="1"/>
  </r>
  <r>
    <x v="1"/>
    <s v="HCM"/>
    <s v="Bà Rịa - Vũng Tàu"/>
    <s v="Thành phố Vũng Tàu"/>
    <s v="Phường Rạch Dừa"/>
    <x v="6"/>
    <x v="2"/>
    <n v="5"/>
    <n v="7"/>
    <s v="Phạm Văn Tùng"/>
    <x v="2"/>
    <x v="1"/>
  </r>
  <r>
    <x v="1"/>
    <s v="HCM"/>
    <s v="Bà Rịa - Vũng Tàu"/>
    <s v="Huyện Châu Đức"/>
    <s v="Xã Cù Bị"/>
    <x v="7"/>
    <x v="1"/>
    <n v="1"/>
    <n v="21"/>
    <s v="Lê Trọng Hậu"/>
    <x v="4"/>
    <x v="1"/>
  </r>
  <r>
    <x v="1"/>
    <s v="HCM"/>
    <s v="Bà Rịa - Vũng Tàu"/>
    <s v="Huyện Xuyên Mộc"/>
    <s v="Xã Bưng Riềng"/>
    <x v="9"/>
    <x v="3"/>
    <n v="9"/>
    <n v="6"/>
    <s v="Lê Trọng Hậu"/>
    <x v="6"/>
    <x v="1"/>
  </r>
  <r>
    <x v="1"/>
    <s v="HCM"/>
    <s v="Bà Rịa - Vũng Tàu"/>
    <s v="Huyện Châu Đức"/>
    <s v="Xã Láng Lớn"/>
    <x v="5"/>
    <x v="1"/>
    <n v="1"/>
    <n v="15"/>
    <s v="Nguyễn Thanh Bình"/>
    <x v="4"/>
    <x v="1"/>
  </r>
  <r>
    <x v="1"/>
    <s v="HCM"/>
    <s v="Bà Rịa - Vũng Tàu"/>
    <s v="Thành phố Vũng Tàu"/>
    <s v="Phường 12"/>
    <x v="4"/>
    <x v="3"/>
    <n v="91"/>
    <n v="81"/>
    <s v="Phạm Văn Tùng"/>
    <x v="2"/>
    <x v="1"/>
  </r>
  <r>
    <x v="1"/>
    <s v="HCM"/>
    <s v="Bà Rịa - Vũng Tàu"/>
    <s v="Thành phố Vũng Tàu"/>
    <s v="Phường Nguyễn An Ninh"/>
    <x v="2"/>
    <x v="3"/>
    <n v="1"/>
    <n v="5"/>
    <s v="Nguyễn Thanh Bình"/>
    <x v="2"/>
    <x v="1"/>
  </r>
  <r>
    <x v="1"/>
    <s v="HCM"/>
    <s v="Bà Rịa - Vũng Tàu"/>
    <s v="Thành phố Vũng Tàu"/>
    <s v="Phường 10"/>
    <x v="6"/>
    <x v="2"/>
    <n v="132"/>
    <n v="168"/>
    <s v="Phạm Văn Tùng"/>
    <x v="2"/>
    <x v="1"/>
  </r>
  <r>
    <x v="1"/>
    <s v="HCM"/>
    <s v="Bà Rịa - Vũng Tàu"/>
    <s v="Thành phố Vũng Tàu"/>
    <s v="Phường Thắng Nhì"/>
    <x v="2"/>
    <x v="1"/>
    <n v="5"/>
    <n v="58"/>
    <s v="Nguyễn Thanh Bình"/>
    <x v="2"/>
    <x v="1"/>
  </r>
  <r>
    <x v="1"/>
    <s v="HCM"/>
    <s v="Bà Rịa - Vũng Tàu"/>
    <s v="Thị Xã Phú Mỹ"/>
    <s v="Phường Tân Phước"/>
    <x v="17"/>
    <x v="3"/>
    <n v="56"/>
    <n v="41"/>
    <s v="Nguyễn Thanh Bình"/>
    <x v="1"/>
    <x v="1"/>
  </r>
  <r>
    <x v="1"/>
    <s v="HCM"/>
    <s v="Bà Rịa - Vũng Tàu"/>
    <s v="Thành phố Vũng Tàu"/>
    <s v="Phường 9"/>
    <x v="2"/>
    <x v="3"/>
    <n v="30"/>
    <n v="17"/>
    <s v="Nguyễn Thanh Bình"/>
    <x v="2"/>
    <x v="1"/>
  </r>
  <r>
    <x v="1"/>
    <s v="HCM"/>
    <s v="Bà Rịa - Vũng Tàu"/>
    <s v="Thị Xã Phú Mỹ"/>
    <s v="Xã Tóc Tiên"/>
    <x v="17"/>
    <x v="5"/>
    <n v="8"/>
    <n v="12"/>
    <s v="Nguyễn Thanh Bình"/>
    <x v="1"/>
    <x v="1"/>
  </r>
  <r>
    <x v="1"/>
    <s v="HCM"/>
    <s v="Bà Rịa - Vũng Tàu"/>
    <s v="Huyện Xuyên Mộc"/>
    <s v="Xã Hòa Hiệp"/>
    <x v="18"/>
    <x v="5"/>
    <n v="1"/>
    <n v="1"/>
    <m/>
    <x v="9"/>
    <x v="2"/>
  </r>
  <r>
    <x v="1"/>
    <s v="HCM"/>
    <s v="Bà Rịa - Vũng Tàu"/>
    <s v="Huyện Châu Đức"/>
    <s v="Xã Quảng Thành"/>
    <x v="7"/>
    <x v="5"/>
    <n v="18"/>
    <n v="45"/>
    <s v="Lê Trọng Hậu"/>
    <x v="4"/>
    <x v="1"/>
  </r>
  <r>
    <x v="1"/>
    <s v="HCM"/>
    <s v="Bà Rịa - Vũng Tàu"/>
    <s v="Huyện Châu Đức"/>
    <s v="Xã Bàu Chinh"/>
    <x v="7"/>
    <x v="4"/>
    <n v="1"/>
    <n v="1"/>
    <s v="Lê Trọng Hậu"/>
    <x v="4"/>
    <x v="1"/>
  </r>
  <r>
    <x v="1"/>
    <s v="HCM"/>
    <s v="Bà Rịa - Vũng Tàu"/>
    <s v="Thành phố Vũng Tàu"/>
    <s v="Phường 5"/>
    <x v="2"/>
    <x v="5"/>
    <n v="31"/>
    <n v="53"/>
    <s v="Nguyễn Thanh Bình"/>
    <x v="2"/>
    <x v="1"/>
  </r>
  <r>
    <x v="1"/>
    <s v="HCM"/>
    <s v="Bà Rịa - Vũng Tàu"/>
    <s v="Thị Xã Phú Mỹ"/>
    <s v="Phường Phú Mỹ"/>
    <x v="11"/>
    <x v="3"/>
    <n v="1"/>
    <n v="1"/>
    <s v="Nguyễn Thanh Bình"/>
    <x v="1"/>
    <x v="1"/>
  </r>
  <r>
    <x v="1"/>
    <s v="HCM"/>
    <s v="Bà Rịa - Vũng Tàu"/>
    <s v="Huyện Long Điền"/>
    <s v="Xã Tam Phước"/>
    <x v="15"/>
    <x v="2"/>
    <n v="27"/>
    <n v="49"/>
    <s v="Nguyễn Văn Tân"/>
    <x v="3"/>
    <x v="1"/>
  </r>
  <r>
    <x v="1"/>
    <s v="HCM"/>
    <s v="Bà Rịa - Vũng Tàu"/>
    <s v="Thị Xã Phú Mỹ"/>
    <s v="Phường Tân Phước"/>
    <x v="17"/>
    <x v="4"/>
    <n v="1"/>
    <n v="1"/>
    <s v="Nguyễn Thanh Bình"/>
    <x v="1"/>
    <x v="1"/>
  </r>
  <r>
    <x v="1"/>
    <s v="HCM"/>
    <s v="Bà Rịa - Vũng Tàu"/>
    <s v="Huyện Đất Đỏ"/>
    <s v="Thị trấn Đất Đỏ"/>
    <x v="8"/>
    <x v="2"/>
    <n v="87"/>
    <n v="151"/>
    <s v="Nguyễn Văn Tân"/>
    <x v="5"/>
    <x v="1"/>
  </r>
  <r>
    <x v="1"/>
    <s v="HCM"/>
    <s v="Bà Rịa - Vũng Tàu"/>
    <s v="Huyện đảo Côn Đảo"/>
    <s v="Côn Đảo"/>
    <x v="16"/>
    <x v="1"/>
    <n v="44"/>
    <n v="994"/>
    <s v="Phạm Văn Tùng"/>
    <x v="8"/>
    <x v="1"/>
  </r>
  <r>
    <x v="1"/>
    <s v="HCM"/>
    <s v="Bà Rịa - Vũng Tàu"/>
    <s v="Thị Xã Phú Mỹ"/>
    <s v="Phường Mỹ Xuân"/>
    <x v="11"/>
    <x v="5"/>
    <n v="83"/>
    <n v="203"/>
    <s v="Nguyễn Thanh Bình"/>
    <x v="1"/>
    <x v="1"/>
  </r>
  <r>
    <x v="1"/>
    <s v="HCM"/>
    <s v="Bà Rịa - Vũng Tàu"/>
    <s v="Thị Xã Phú Mỹ"/>
    <s v="Xã Tân Hải"/>
    <x v="1"/>
    <x v="2"/>
    <n v="73"/>
    <n v="129"/>
    <s v="Phạm Văn Tùng"/>
    <x v="1"/>
    <x v="1"/>
  </r>
  <r>
    <x v="1"/>
    <s v="HCM"/>
    <s v="Bà Rịa - Vũng Tàu"/>
    <s v="Huyện Châu Đức"/>
    <s v="Xã Quảng Thành"/>
    <x v="7"/>
    <x v="1"/>
    <n v="3"/>
    <n v="44"/>
    <s v="Lê Trọng Hậu"/>
    <x v="4"/>
    <x v="1"/>
  </r>
  <r>
    <x v="1"/>
    <s v="HCM"/>
    <s v="Bà Rịa - Vũng Tàu"/>
    <s v="Huyện Đất Đỏ"/>
    <s v="Xã Phước Hội"/>
    <x v="8"/>
    <x v="5"/>
    <n v="2"/>
    <n v="2"/>
    <s v="Nguyễn Văn Tân"/>
    <x v="5"/>
    <x v="1"/>
  </r>
  <r>
    <x v="1"/>
    <s v="HCM"/>
    <s v="Bà Rịa - Vũng Tàu"/>
    <s v="Huyện Long Đất"/>
    <s v="Xã Phước Long Thọ"/>
    <x v="8"/>
    <x v="2"/>
    <n v="4"/>
    <n v="5"/>
    <s v="Nguyễn Văn Tân"/>
    <x v="5"/>
    <x v="1"/>
  </r>
  <r>
    <x v="1"/>
    <s v="HCM"/>
    <s v="Bà Rịa - Vũng Tàu"/>
    <s v="Huyện Châu Đức"/>
    <s v="Xã Quảng Thành"/>
    <x v="5"/>
    <x v="3"/>
    <n v="1"/>
    <n v="0"/>
    <s v="Nguyễn Thanh Bình"/>
    <x v="4"/>
    <x v="1"/>
  </r>
  <r>
    <x v="1"/>
    <s v="HCM"/>
    <s v="Bà Rịa - Vũng Tàu"/>
    <s v="Thị Xã Phú Mỹ"/>
    <s v="Xã Tóc Tiên"/>
    <x v="17"/>
    <x v="1"/>
    <n v="2"/>
    <n v="58"/>
    <s v="Nguyễn Thanh Bình"/>
    <x v="1"/>
    <x v="1"/>
  </r>
  <r>
    <x v="1"/>
    <s v="HCM"/>
    <s v="Bà Rịa - Vũng Tàu"/>
    <s v="Huyện đảo Côn Đảo"/>
    <s v="Côn Đảo"/>
    <x v="16"/>
    <x v="5"/>
    <n v="653"/>
    <n v="836"/>
    <s v="Phạm Văn Tùng"/>
    <x v="8"/>
    <x v="1"/>
  </r>
  <r>
    <x v="1"/>
    <s v="HCM"/>
    <s v="Bà Rịa - Vũng Tàu"/>
    <s v="Huyện Đất Đỏ"/>
    <s v="Xã Phước Hội"/>
    <x v="8"/>
    <x v="1"/>
    <n v="3"/>
    <n v="28"/>
    <s v="Nguyễn Văn Tân"/>
    <x v="5"/>
    <x v="1"/>
  </r>
  <r>
    <x v="1"/>
    <s v="HCM"/>
    <s v="Bà Rịa - Vũng Tàu"/>
    <s v="Thành phố Bà Rịa"/>
    <s v="Phường Phước Hiệp"/>
    <x v="1"/>
    <x v="3"/>
    <n v="1"/>
    <n v="2"/>
    <s v="Phạm Văn Tùng"/>
    <x v="1"/>
    <x v="1"/>
  </r>
  <r>
    <x v="1"/>
    <s v="HCM"/>
    <s v="Bà Rịa - Vũng Tàu"/>
    <s v="Thành phố Vũng Tàu"/>
    <s v="Phường Thắng Nhì"/>
    <x v="2"/>
    <x v="5"/>
    <n v="45"/>
    <n v="112"/>
    <s v="Nguyễn Thanh Bình"/>
    <x v="2"/>
    <x v="1"/>
  </r>
  <r>
    <x v="1"/>
    <s v="HCM"/>
    <s v="Bà Rịa - Vũng Tàu"/>
    <s v="Huyện Long Đất"/>
    <s v="Xã Phước Hội"/>
    <x v="8"/>
    <x v="2"/>
    <n v="8"/>
    <n v="13"/>
    <s v="Nguyễn Văn Tân"/>
    <x v="5"/>
    <x v="1"/>
  </r>
  <r>
    <x v="1"/>
    <s v="HCM"/>
    <s v="Bà Rịa - Vũng Tàu"/>
    <s v="Thành phố Vũng Tàu"/>
    <s v="Phường 8"/>
    <x v="2"/>
    <x v="2"/>
    <n v="1"/>
    <n v="2"/>
    <s v="Nguyễn Thanh Bình"/>
    <x v="2"/>
    <x v="1"/>
  </r>
  <r>
    <x v="1"/>
    <s v="HCM"/>
    <s v="Bà Rịa - Vũng Tàu"/>
    <s v="Huyện Xuyên Mộc"/>
    <s v="Xã Bông Trang"/>
    <x v="9"/>
    <x v="3"/>
    <n v="9"/>
    <n v="5"/>
    <s v="Lê Trọng Hậu"/>
    <x v="6"/>
    <x v="1"/>
  </r>
  <r>
    <x v="1"/>
    <s v="HCM"/>
    <s v="Bà Rịa - Vũng Tàu"/>
    <s v="Thành phố Bà Rịa"/>
    <s v="Xã Tân Hưng"/>
    <x v="10"/>
    <x v="4"/>
    <n v="1"/>
    <n v="5"/>
    <s v="Nguyễn Văn Tân"/>
    <x v="7"/>
    <x v="1"/>
  </r>
  <r>
    <x v="1"/>
    <s v="HCM"/>
    <s v="Bà Rịa - Vũng Tàu"/>
    <s v="Thị Xã Phú Mỹ"/>
    <s v="Xã Châu Pha"/>
    <x v="1"/>
    <x v="2"/>
    <n v="71"/>
    <n v="99"/>
    <s v="Phạm Văn Tùng"/>
    <x v="1"/>
    <x v="1"/>
  </r>
  <r>
    <x v="1"/>
    <s v="HCM"/>
    <s v="Bà Rịa - Vũng Tàu"/>
    <s v="Huyện Đất Đỏ"/>
    <s v="Xã Láng Dài"/>
    <x v="8"/>
    <x v="5"/>
    <n v="7"/>
    <n v="16"/>
    <s v="Nguyễn Văn Tân"/>
    <x v="5"/>
    <x v="1"/>
  </r>
  <r>
    <x v="1"/>
    <s v="HCM"/>
    <s v="Bà Rịa - Vũng Tàu"/>
    <s v="Huyện Châu Đức"/>
    <s v="Xã Xà Bang"/>
    <x v="7"/>
    <x v="1"/>
    <n v="2"/>
    <n v="26"/>
    <s v="Lê Trọng Hậu"/>
    <x v="4"/>
    <x v="1"/>
  </r>
  <r>
    <x v="1"/>
    <s v="HCM"/>
    <s v="Bà Rịa - Vũng Tàu"/>
    <s v="Huyện Long Đất"/>
    <s v="Thị trấn Long Điền"/>
    <x v="15"/>
    <x v="2"/>
    <n v="10"/>
    <n v="33"/>
    <s v="Nguyễn Văn Tân"/>
    <x v="3"/>
    <x v="1"/>
  </r>
  <r>
    <x v="1"/>
    <s v="HCM"/>
    <s v="Bà Rịa - Vũng Tàu"/>
    <s v="Thành phố Vũng Tàu"/>
    <s v="Phường 9"/>
    <x v="2"/>
    <x v="1"/>
    <n v="4"/>
    <n v="53"/>
    <s v="Nguyễn Thanh Bình"/>
    <x v="2"/>
    <x v="1"/>
  </r>
  <r>
    <x v="1"/>
    <s v="HCM"/>
    <s v="Bà Rịa - Vũng Tàu"/>
    <s v="Thành phố Bà Rịa"/>
    <s v="Phường Phước Trung"/>
    <x v="14"/>
    <x v="4"/>
    <n v="2"/>
    <n v="11"/>
    <s v="Nguyễn Văn Tân"/>
    <x v="7"/>
    <x v="1"/>
  </r>
  <r>
    <x v="1"/>
    <s v="HCM"/>
    <s v="Bà Rịa - Vũng Tàu"/>
    <s v="Huyện Đất Đỏ"/>
    <s v="Xã Long Mỹ"/>
    <x v="8"/>
    <x v="1"/>
    <n v="4"/>
    <n v="63"/>
    <s v="Nguyễn Văn Tân"/>
    <x v="5"/>
    <x v="1"/>
  </r>
  <r>
    <x v="1"/>
    <s v="HCM"/>
    <s v="Bà Rịa - Vũng Tàu"/>
    <s v="Huyện Xuyên Mộc"/>
    <s v="Xã Bưng Riềng"/>
    <x v="9"/>
    <x v="2"/>
    <n v="27"/>
    <n v="45"/>
    <s v="Lê Trọng Hậu"/>
    <x v="6"/>
    <x v="1"/>
  </r>
  <r>
    <x v="1"/>
    <s v="HCM"/>
    <s v="Bà Rịa - Vũng Tàu"/>
    <s v="Thành phố Bà Rịa"/>
    <s v="Phường Long Hương"/>
    <x v="14"/>
    <x v="1"/>
    <n v="4"/>
    <n v="48"/>
    <s v="Nguyễn Văn Tân"/>
    <x v="7"/>
    <x v="1"/>
  </r>
  <r>
    <x v="1"/>
    <s v="HCM"/>
    <s v="Bà Rịa - Vũng Tàu"/>
    <s v="Thành phố Vũng Tàu"/>
    <s v="Xã Long Sơn"/>
    <x v="4"/>
    <x v="4"/>
    <n v="1"/>
    <n v="1"/>
    <s v="Phạm Văn Tùng"/>
    <x v="2"/>
    <x v="1"/>
  </r>
  <r>
    <x v="1"/>
    <s v="HCM"/>
    <s v="Bà Rịa - Vũng Tàu"/>
    <s v="Huyện Long Điền"/>
    <s v="Xã Tam Phước"/>
    <x v="15"/>
    <x v="5"/>
    <n v="7"/>
    <n v="8"/>
    <s v="Nguyễn Văn Tân"/>
    <x v="3"/>
    <x v="1"/>
  </r>
  <r>
    <x v="1"/>
    <s v="HCM"/>
    <s v="Bà Rịa - Vũng Tàu"/>
    <s v="Thành phố Vũng Tàu"/>
    <s v="Phường Thắng Tam"/>
    <x v="12"/>
    <x v="1"/>
    <n v="8"/>
    <n v="93"/>
    <s v="Phạm Văn Tùng"/>
    <x v="2"/>
    <x v="1"/>
  </r>
  <r>
    <x v="1"/>
    <s v="HCM"/>
    <s v="Bà Rịa - Vũng Tàu"/>
    <s v="Thành phố Vũng Tàu"/>
    <s v="Phường Nguyễn An Ninh"/>
    <x v="6"/>
    <x v="4"/>
    <n v="2"/>
    <n v="2"/>
    <s v="Phạm Văn Tùng"/>
    <x v="2"/>
    <x v="1"/>
  </r>
  <r>
    <x v="1"/>
    <s v="HCM"/>
    <s v="Bà Rịa - Vũng Tàu"/>
    <s v="Thị Xã Phú Mỹ"/>
    <s v="Phường Tân Phước"/>
    <x v="1"/>
    <x v="3"/>
    <n v="1"/>
    <n v="0"/>
    <s v="Phạm Văn Tùng"/>
    <x v="1"/>
    <x v="1"/>
  </r>
  <r>
    <x v="1"/>
    <s v="HCM"/>
    <s v="Bà Rịa - Vũng Tàu"/>
    <s v="Thị Xã Phú Mỹ"/>
    <s v="Phường Mỹ Xuân"/>
    <x v="11"/>
    <x v="2"/>
    <n v="254"/>
    <n v="460"/>
    <s v="Nguyễn Thanh Bình"/>
    <x v="1"/>
    <x v="1"/>
  </r>
  <r>
    <x v="1"/>
    <s v="HCM"/>
    <s v="Bà Rịa - Vũng Tàu"/>
    <s v="Huyện Châu Đức"/>
    <s v="Xã Xuân Sơn"/>
    <x v="7"/>
    <x v="1"/>
    <n v="9"/>
    <n v="304"/>
    <s v="Lê Trọng Hậu"/>
    <x v="4"/>
    <x v="1"/>
  </r>
  <r>
    <x v="1"/>
    <s v="HCM"/>
    <s v="Bà Rịa - Vũng Tàu"/>
    <s v="Huyện Châu Đức"/>
    <s v="Xã Suối Rao"/>
    <x v="5"/>
    <x v="2"/>
    <n v="11"/>
    <n v="6"/>
    <s v="Nguyễn Thanh Bình"/>
    <x v="4"/>
    <x v="1"/>
  </r>
  <r>
    <x v="1"/>
    <s v="HCM"/>
    <s v="Bà Rịa - Vũng Tàu"/>
    <s v="Thị Xã Phú Mỹ"/>
    <s v="Phường Phú Mỹ"/>
    <x v="11"/>
    <x v="5"/>
    <n v="1"/>
    <n v="1"/>
    <s v="Nguyễn Thanh Bình"/>
    <x v="1"/>
    <x v="1"/>
  </r>
  <r>
    <x v="1"/>
    <s v="HCM"/>
    <s v="Bà Rịa - Vũng Tàu"/>
    <s v="Thị Xã Phú Mỹ"/>
    <s v="Phường Hắc Dịch"/>
    <x v="11"/>
    <x v="4"/>
    <n v="1"/>
    <n v="1"/>
    <s v="Nguyễn Thanh Bình"/>
    <x v="1"/>
    <x v="1"/>
  </r>
  <r>
    <x v="1"/>
    <s v="HCM"/>
    <s v="Bà Rịa - Vũng Tàu"/>
    <s v="Huyện Xuyên Mộc"/>
    <s v="Xã Hòa Bình"/>
    <x v="13"/>
    <x v="3"/>
    <n v="1"/>
    <n v="1"/>
    <s v="Lê Trọng Hậu"/>
    <x v="6"/>
    <x v="1"/>
  </r>
  <r>
    <x v="1"/>
    <s v="HCM"/>
    <s v="Bà Rịa - Vũng Tàu"/>
    <s v="Huyện Châu Đức"/>
    <s v="Xã Láng Lớn"/>
    <x v="5"/>
    <x v="4"/>
    <n v="1"/>
    <n v="48"/>
    <s v="Nguyễn Thanh Bình"/>
    <x v="4"/>
    <x v="1"/>
  </r>
  <r>
    <x v="1"/>
    <s v="HCM"/>
    <s v="Bà Rịa - Vũng Tàu"/>
    <s v="Huyện Châu Đức"/>
    <s v="Xã Kim Long"/>
    <x v="7"/>
    <x v="1"/>
    <n v="6"/>
    <n v="196"/>
    <s v="Lê Trọng Hậu"/>
    <x v="4"/>
    <x v="1"/>
  </r>
  <r>
    <x v="1"/>
    <s v="HCM"/>
    <s v="Bà Rịa - Vũng Tàu"/>
    <s v="Thành phố Vũng Tàu"/>
    <s v="Phường 2"/>
    <x v="12"/>
    <x v="4"/>
    <n v="2"/>
    <n v="1"/>
    <s v="Phạm Văn Tùng"/>
    <x v="2"/>
    <x v="1"/>
  </r>
  <r>
    <x v="1"/>
    <s v="HCM"/>
    <s v="Bà Rịa - Vũng Tàu"/>
    <s v="Huyện Đất Đỏ"/>
    <s v="Xã Long Tân"/>
    <x v="8"/>
    <x v="5"/>
    <n v="4"/>
    <n v="7"/>
    <s v="Nguyễn Văn Tân"/>
    <x v="5"/>
    <x v="1"/>
  </r>
  <r>
    <x v="1"/>
    <s v="HCM"/>
    <s v="Bà Rịa - Vũng Tàu"/>
    <s v="Thành phố Bà Rịa"/>
    <s v="Xã Tân Hưng"/>
    <x v="10"/>
    <x v="2"/>
    <n v="37"/>
    <n v="50"/>
    <s v="Nguyễn Văn Tân"/>
    <x v="7"/>
    <x v="1"/>
  </r>
  <r>
    <x v="1"/>
    <s v="HCM"/>
    <s v="Bà Rịa - Vũng Tàu"/>
    <s v="Thành phố Bà Rịa"/>
    <s v="Phường Phước Hưng"/>
    <x v="3"/>
    <x v="3"/>
    <n v="1"/>
    <n v="1"/>
    <s v="Phạm Văn Tùng"/>
    <x v="3"/>
    <x v="1"/>
  </r>
  <r>
    <x v="1"/>
    <s v="HCM"/>
    <s v="Bà Rịa - Vũng Tàu"/>
    <s v="Huyện Long Điền"/>
    <s v="Thị trấn Long Hải"/>
    <x v="15"/>
    <x v="3"/>
    <n v="1"/>
    <n v="1"/>
    <s v="Nguyễn Văn Tân"/>
    <x v="3"/>
    <x v="1"/>
  </r>
  <r>
    <x v="1"/>
    <s v="HCM"/>
    <s v="Bà Rịa - Vũng Tàu"/>
    <s v="Huyện Xuyên Mộc"/>
    <s v="Xã Hòa Bình"/>
    <x v="9"/>
    <x v="5"/>
    <n v="8"/>
    <n v="9"/>
    <s v="Lê Trọng Hậu"/>
    <x v="6"/>
    <x v="1"/>
  </r>
  <r>
    <x v="1"/>
    <s v="HCM"/>
    <s v="Bà Rịa - Vũng Tàu"/>
    <s v="Thị Xã Phú Mỹ"/>
    <s v="Phường Tân Phước"/>
    <x v="17"/>
    <x v="2"/>
    <n v="103"/>
    <n v="144"/>
    <s v="Nguyễn Thanh Bình"/>
    <x v="1"/>
    <x v="1"/>
  </r>
  <r>
    <x v="1"/>
    <s v="HCM"/>
    <s v="Bà Rịa - Vũng Tàu"/>
    <s v="Thành phố Vũng Tàu"/>
    <s v="Xã Long Sơn"/>
    <x v="4"/>
    <x v="2"/>
    <n v="84"/>
    <n v="117"/>
    <s v="Phạm Văn Tùng"/>
    <x v="2"/>
    <x v="1"/>
  </r>
  <r>
    <x v="1"/>
    <s v="HCM"/>
    <s v="Bà Rịa - Vũng Tàu"/>
    <s v="Thị Xã Phú Mỹ"/>
    <s v="Xã Châu Pha"/>
    <x v="1"/>
    <x v="4"/>
    <n v="1"/>
    <n v="1"/>
    <s v="Phạm Văn Tùng"/>
    <x v="1"/>
    <x v="1"/>
  </r>
  <r>
    <x v="1"/>
    <s v="HCM"/>
    <s v="Bà Rịa - Vũng Tàu"/>
    <s v="Thành phố Bà Rịa"/>
    <s v="Phường Phước Trung"/>
    <x v="14"/>
    <x v="2"/>
    <n v="80"/>
    <n v="139"/>
    <s v="Nguyễn Văn Tân"/>
    <x v="7"/>
    <x v="1"/>
  </r>
  <r>
    <x v="1"/>
    <s v="HCM"/>
    <s v="Bà Rịa - Vũng Tàu"/>
    <s v="Thành phố Vũng Tàu"/>
    <s v="Phường 3"/>
    <x v="12"/>
    <x v="3"/>
    <n v="43"/>
    <n v="29"/>
    <s v="Phạm Văn Tùng"/>
    <x v="2"/>
    <x v="1"/>
  </r>
  <r>
    <x v="1"/>
    <s v="HCM"/>
    <s v="Bà Rịa - Vũng Tàu"/>
    <s v="Huyện Long Điền"/>
    <s v="Thị trấn Long Điền"/>
    <x v="3"/>
    <x v="2"/>
    <n v="1"/>
    <n v="1"/>
    <s v="Phạm Văn Tùng"/>
    <x v="3"/>
    <x v="1"/>
  </r>
  <r>
    <x v="1"/>
    <s v="HCM"/>
    <s v="Bà Rịa - Vũng Tàu"/>
    <s v="Huyện Châu Đức"/>
    <s v="Xã Xuân Sơn"/>
    <x v="7"/>
    <x v="5"/>
    <n v="3"/>
    <n v="13"/>
    <s v="Lê Trọng Hậu"/>
    <x v="4"/>
    <x v="1"/>
  </r>
  <r>
    <x v="1"/>
    <s v="HCM"/>
    <s v="Bà Rịa - Vũng Tàu"/>
    <s v="Huyện Xuyên Mộc"/>
    <s v="Xã Hòa Bình"/>
    <x v="9"/>
    <x v="1"/>
    <n v="3"/>
    <n v="39"/>
    <s v="Lê Trọng Hậu"/>
    <x v="6"/>
    <x v="1"/>
  </r>
  <r>
    <x v="1"/>
    <s v="HCM"/>
    <s v="Bà Rịa - Vũng Tàu"/>
    <s v="Thị Xã Phú Mỹ"/>
    <s v="Phường Mỹ Xuân"/>
    <x v="11"/>
    <x v="4"/>
    <n v="10"/>
    <n v="7"/>
    <s v="Nguyễn Thanh Bình"/>
    <x v="1"/>
    <x v="1"/>
  </r>
  <r>
    <x v="1"/>
    <s v="HCM"/>
    <s v="Bà Rịa - Vũng Tàu"/>
    <s v="Huyện Xuyên Mộc"/>
    <s v="Xã Hòa Hội"/>
    <x v="13"/>
    <x v="4"/>
    <n v="1"/>
    <n v="1"/>
    <s v="Lê Trọng Hậu"/>
    <x v="6"/>
    <x v="1"/>
  </r>
  <r>
    <x v="1"/>
    <s v="HCM"/>
    <s v="Bà Rịa - Vũng Tàu"/>
    <s v="Huyện Xuyên Mộc"/>
    <s v="Xã Xuyên Mộc"/>
    <x v="9"/>
    <x v="2"/>
    <n v="61"/>
    <n v="64"/>
    <s v="Lê Trọng Hậu"/>
    <x v="6"/>
    <x v="1"/>
  </r>
  <r>
    <x v="1"/>
    <s v="HCM"/>
    <s v="Bà Rịa - Vũng Tàu"/>
    <s v="Huyện Châu Đức"/>
    <s v="Xã Láng Lớn"/>
    <x v="5"/>
    <x v="2"/>
    <n v="29"/>
    <n v="66"/>
    <s v="Nguyễn Thanh Bình"/>
    <x v="4"/>
    <x v="1"/>
  </r>
  <r>
    <x v="1"/>
    <s v="HCM"/>
    <s v="Bà Rịa - Vũng Tàu"/>
    <s v="Thị Xã Phú Mỹ"/>
    <s v="Xã Sông Xoài"/>
    <x v="11"/>
    <x v="4"/>
    <n v="1"/>
    <n v="1"/>
    <s v="Nguyễn Thanh Bình"/>
    <x v="1"/>
    <x v="1"/>
  </r>
  <r>
    <x v="1"/>
    <s v="HCM"/>
    <s v="Bà Rịa - Vũng Tàu"/>
    <s v="Thị Xã Phú Mỹ"/>
    <s v="Phường Hắc Dịch"/>
    <x v="11"/>
    <x v="2"/>
    <n v="86"/>
    <n v="98"/>
    <s v="Nguyễn Thanh Bình"/>
    <x v="1"/>
    <x v="1"/>
  </r>
  <r>
    <x v="1"/>
    <s v="HCM"/>
    <s v="Bà Rịa - Vũng Tàu"/>
    <s v="Huyện Long Đất"/>
    <s v="Xã Phước Hội"/>
    <x v="8"/>
    <x v="3"/>
    <n v="12"/>
    <n v="7"/>
    <s v="Nguyễn Văn Tân"/>
    <x v="5"/>
    <x v="1"/>
  </r>
  <r>
    <x v="1"/>
    <s v="HCM"/>
    <s v="Bà Rịa - Vũng Tàu"/>
    <s v="Huyện Đất Đỏ"/>
    <s v="Xã Phước Long Thọ"/>
    <x v="8"/>
    <x v="3"/>
    <n v="14"/>
    <n v="7"/>
    <s v="Nguyễn Văn Tân"/>
    <x v="5"/>
    <x v="1"/>
  </r>
  <r>
    <x v="1"/>
    <s v="HCM"/>
    <s v="Bà Rịa - Vũng Tàu"/>
    <s v="Huyện Long Điền"/>
    <s v="Xã An Nhứt"/>
    <x v="15"/>
    <x v="3"/>
    <n v="5"/>
    <n v="3"/>
    <s v="Nguyễn Văn Tân"/>
    <x v="3"/>
    <x v="1"/>
  </r>
  <r>
    <x v="1"/>
    <s v="HCM"/>
    <s v="Bà Rịa - Vũng Tàu"/>
    <s v="Huyện Long Điền"/>
    <s v="Xã Phước Hưng"/>
    <x v="3"/>
    <x v="3"/>
    <n v="55"/>
    <n v="74"/>
    <s v="Phạm Văn Tùng"/>
    <x v="3"/>
    <x v="1"/>
  </r>
  <r>
    <x v="1"/>
    <s v="HCM"/>
    <s v="Bà Rịa - Vũng Tàu"/>
    <s v="Huyện Long Đất"/>
    <s v="Thị trấn Đất Đỏ"/>
    <x v="8"/>
    <x v="3"/>
    <n v="16"/>
    <n v="15"/>
    <s v="Nguyễn Văn Tân"/>
    <x v="5"/>
    <x v="1"/>
  </r>
  <r>
    <x v="1"/>
    <s v="HCM"/>
    <s v="Bà Rịa - Vũng Tàu"/>
    <s v="Thành phố Bà Rịa"/>
    <s v="Phường Kim Dinh"/>
    <x v="14"/>
    <x v="5"/>
    <n v="18"/>
    <n v="25"/>
    <s v="Nguyễn Văn Tân"/>
    <x v="7"/>
    <x v="1"/>
  </r>
  <r>
    <x v="1"/>
    <s v="HCM"/>
    <s v="Bà Rịa - Vũng Tàu"/>
    <s v="Thành phố Vũng Tàu"/>
    <s v="Phường 10"/>
    <x v="6"/>
    <x v="3"/>
    <n v="59"/>
    <n v="48"/>
    <s v="Phạm Văn Tùng"/>
    <x v="2"/>
    <x v="1"/>
  </r>
  <r>
    <x v="1"/>
    <s v="HCM"/>
    <s v="Bà Rịa - Vũng Tàu"/>
    <s v="Huyện Long Điền"/>
    <s v="Thị trấn Long Hải"/>
    <x v="3"/>
    <x v="3"/>
    <n v="101"/>
    <n v="81"/>
    <s v="Phạm Văn Tùng"/>
    <x v="3"/>
    <x v="1"/>
  </r>
  <r>
    <x v="1"/>
    <s v="HCM"/>
    <s v="Bà Rịa - Vũng Tàu"/>
    <s v="Huyện Châu Đức"/>
    <s v="Xã Bàu Chinh"/>
    <x v="7"/>
    <x v="5"/>
    <n v="15"/>
    <n v="32"/>
    <s v="Lê Trọng Hậu"/>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200-000005000000}" name="TP. HCM" cacheId="0" applyNumberFormats="0" applyBorderFormats="0" applyFontFormats="0" applyPatternFormats="0" applyAlignmentFormats="0" applyWidthHeightFormats="0" dataCaption="" updatedVersion="8" colGrandTotals="0" compact="0" compactData="0">
  <location ref="B4:E8" firstHeaderRow="1" firstDataRow="3" firstDataCol="2" rowPageCount="1" colPageCount="1"/>
  <pivotFields count="12">
    <pivotField name="Ngày" axis="axisCol" compact="0" outline="0" multipleItemSelectionAllowed="1" showAll="0" sortType="ascending">
      <items count="3">
        <item x="0"/>
        <item x="1"/>
        <item t="default"/>
      </items>
    </pivotField>
    <pivotField name="vung" compact="0" outline="0" multipleItemSelectionAllowed="1" showAll="0"/>
    <pivotField name="tinh" compact="0" outline="0" multipleItemSelectionAllowed="1" showAll="0"/>
    <pivotField name="Quận / Huyện" compact="0" outline="0" multipleItemSelectionAllowed="1" showAll="0"/>
    <pivotField name="Phường / Xã" compact="0" outline="0" multipleItemSelectionAllowed="1" showAll="0"/>
    <pivotField name="Bưu Cục" axis="axisRow" compact="0" outline="0" multipleItemSelectionAllowed="1" showAll="0" sortType="ascending">
      <items count="20">
        <item x="0"/>
        <item x="4"/>
        <item x="10"/>
        <item x="12"/>
        <item x="14"/>
        <item x="3"/>
        <item x="6"/>
        <item x="5"/>
        <item x="2"/>
        <item x="15"/>
        <item x="13"/>
        <item x="1"/>
        <item x="16"/>
        <item x="18"/>
        <item x="8"/>
        <item x="11"/>
        <item x="17"/>
        <item x="7"/>
        <item x="9"/>
        <item t="default"/>
      </items>
    </pivotField>
    <pivotField name="Khách hàng" compact="0" outline="0" multipleItemSelectionAllowed="1" showAll="0"/>
    <pivotField name="vol" dataField="1" compact="0" outline="0" multipleItemSelectionAllowed="1" showAll="0"/>
    <pivotField name="khoi_luong" dataField="1" compact="0" outline="0" multipleItemSelectionAllowed="1" showAll="0"/>
    <pivotField name="AM" compact="0" numFmtId="3" outline="0" multipleItemSelectionAllowed="1" showAll="0"/>
    <pivotField name="Quận/Huyện" axis="axisRow" compact="0" numFmtId="3" outline="0" multipleItemSelectionAllowed="1" showAll="0" sortType="ascending" defaultSubtotal="0">
      <items count="10">
        <item x="4"/>
        <item x="8"/>
        <item x="5"/>
        <item x="3"/>
        <item x="6"/>
        <item x="0"/>
        <item x="7"/>
        <item x="2"/>
        <item x="1"/>
        <item x="9"/>
      </items>
    </pivotField>
    <pivotField name="Thành Phố" axis="axisPage" compact="0" numFmtId="3" outline="0" multipleItemSelectionAllowed="1" showAll="0">
      <items count="4">
        <item x="0"/>
        <item h="1" x="1"/>
        <item h="1" x="2"/>
        <item t="default"/>
      </items>
    </pivotField>
  </pivotFields>
  <rowFields count="2">
    <field x="10"/>
    <field x="5"/>
  </rowFields>
  <rowItems count="2">
    <i>
      <x v="5"/>
      <x/>
    </i>
    <i t="grand">
      <x/>
    </i>
  </rowItems>
  <colFields count="2">
    <field x="0"/>
    <field x="-2"/>
  </colFields>
  <colItems count="2">
    <i>
      <x/>
      <x/>
    </i>
    <i r="1" i="1">
      <x v="1"/>
    </i>
  </colItems>
  <pageFields count="1">
    <pageField fld="11" hier="0"/>
  </pageFields>
  <dataFields count="2">
    <dataField name="Sản lượng" fld="7" baseField="0"/>
    <dataField name="Khối lượng"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200-000006000000}" name="TP. HCM 2" cacheId="0" applyNumberFormats="0" applyBorderFormats="0" applyFontFormats="0" applyPatternFormats="0" applyAlignmentFormats="0" applyWidthHeightFormats="0" dataCaption="" updatedVersion="8" colGrandTotals="0" compact="0" compactData="0">
  <location ref="B130:E133" firstHeaderRow="1" firstDataRow="3" firstDataCol="2" rowPageCount="2" colPageCount="1"/>
  <pivotFields count="12">
    <pivotField name="Ngày" axis="axisCol" compact="0" outline="0" multipleItemSelectionAllowed="1" showAll="0" sortType="ascending">
      <items count="3">
        <item x="0"/>
        <item x="1"/>
        <item t="default"/>
      </items>
    </pivotField>
    <pivotField name="vung" compact="0" outline="0" multipleItemSelectionAllowed="1" showAll="0"/>
    <pivotField name="tinh" compact="0" outline="0" multipleItemSelectionAllowed="1" showAll="0"/>
    <pivotField name="Quận / Huyện" compact="0" outline="0" multipleItemSelectionAllowed="1" showAll="0"/>
    <pivotField name="Phường / Xã" compact="0" outline="0" multipleItemSelectionAllowed="1" showAll="0"/>
    <pivotField name="Bưu Cục" axis="axisRow" compact="0" outline="0" multipleItemSelectionAllowed="1" showAll="0" sortType="ascending">
      <items count="20">
        <item x="0"/>
        <item x="4"/>
        <item x="10"/>
        <item x="12"/>
        <item x="14"/>
        <item x="3"/>
        <item x="6"/>
        <item x="5"/>
        <item x="2"/>
        <item x="15"/>
        <item x="13"/>
        <item x="1"/>
        <item x="16"/>
        <item x="18"/>
        <item x="8"/>
        <item x="11"/>
        <item x="17"/>
        <item x="7"/>
        <item x="9"/>
        <item t="default"/>
      </items>
    </pivotField>
    <pivotField name="Khách hàng" axis="axisPage" compact="0" outline="0" multipleItemSelectionAllowed="1" showAll="0">
      <items count="7">
        <item h="1" x="0"/>
        <item x="1"/>
        <item h="1" x="2"/>
        <item h="1" x="3"/>
        <item h="1" x="4"/>
        <item x="5"/>
        <item t="default"/>
      </items>
    </pivotField>
    <pivotField name="vol" dataField="1" compact="0" outline="0" multipleItemSelectionAllowed="1" showAll="0"/>
    <pivotField name="khoi_luong" dataField="1" compact="0" outline="0" multipleItemSelectionAllowed="1" showAll="0"/>
    <pivotField name="AM" compact="0" numFmtId="3" outline="0" multipleItemSelectionAllowed="1" showAll="0"/>
    <pivotField name="Quận/Huyện" axis="axisRow" compact="0" numFmtId="3" outline="0" multipleItemSelectionAllowed="1" showAll="0" sortType="ascending" defaultSubtotal="0">
      <items count="10">
        <item x="4"/>
        <item x="8"/>
        <item x="5"/>
        <item x="3"/>
        <item x="6"/>
        <item x="0"/>
        <item x="7"/>
        <item x="2"/>
        <item x="1"/>
        <item x="9"/>
      </items>
    </pivotField>
    <pivotField name="Thành Phố" axis="axisPage" compact="0" numFmtId="3" outline="0" multipleItemSelectionAllowed="1" showAll="0">
      <items count="4">
        <item x="0"/>
        <item h="1" x="1"/>
        <item h="1" x="2"/>
        <item t="default"/>
      </items>
    </pivotField>
  </pivotFields>
  <rowFields count="2">
    <field x="10"/>
    <field x="5"/>
  </rowFields>
  <rowItems count="1">
    <i t="grand">
      <x/>
    </i>
  </rowItems>
  <colFields count="2">
    <field x="0"/>
    <field x="-2"/>
  </colFields>
  <pageFields count="2">
    <pageField fld="11" hier="0"/>
    <pageField fld="6" hier="0"/>
  </pageFields>
  <dataFields count="2">
    <dataField name="Sản lượng" fld="7" baseField="0"/>
    <dataField name="Khối lượng" fld="8"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256"/>
  <sheetViews>
    <sheetView topLeftCell="M1" zoomScale="80" zoomScaleNormal="80" workbookViewId="0">
      <selection activeCell="Q18" sqref="Q18"/>
    </sheetView>
  </sheetViews>
  <sheetFormatPr defaultColWidth="12.6328125" defaultRowHeight="15.75" customHeight="1" x14ac:dyDescent="0.6"/>
  <cols>
    <col min="27" max="27" width="36.04296875" bestFit="1" customWidth="1"/>
  </cols>
  <sheetData>
    <row r="1" spans="1:28" ht="15.75" customHeight="1" x14ac:dyDescent="0.6">
      <c r="A1" s="1" t="s">
        <v>8</v>
      </c>
      <c r="B1" t="s">
        <v>151</v>
      </c>
      <c r="C1" t="s">
        <v>152</v>
      </c>
      <c r="D1" t="s">
        <v>153</v>
      </c>
      <c r="E1" t="s">
        <v>154</v>
      </c>
      <c r="F1" t="s">
        <v>155</v>
      </c>
      <c r="G1" t="s">
        <v>156</v>
      </c>
      <c r="H1" t="s">
        <v>157</v>
      </c>
      <c r="I1" t="s">
        <v>158</v>
      </c>
      <c r="J1" t="s">
        <v>159</v>
      </c>
      <c r="K1" t="s">
        <v>160</v>
      </c>
      <c r="L1" t="s">
        <v>161</v>
      </c>
      <c r="M1" t="s">
        <v>162</v>
      </c>
      <c r="N1" t="s">
        <v>163</v>
      </c>
      <c r="O1" t="s">
        <v>164</v>
      </c>
      <c r="P1" t="s">
        <v>165</v>
      </c>
      <c r="Q1" t="s">
        <v>166</v>
      </c>
      <c r="R1" s="2" t="s">
        <v>167</v>
      </c>
      <c r="S1" s="2" t="s">
        <v>168</v>
      </c>
      <c r="T1" s="3" t="s">
        <v>169</v>
      </c>
      <c r="U1" s="2" t="s">
        <v>170</v>
      </c>
      <c r="V1" s="2" t="s">
        <v>171</v>
      </c>
      <c r="W1" s="2" t="s">
        <v>172</v>
      </c>
      <c r="X1" s="2" t="s">
        <v>173</v>
      </c>
      <c r="Y1" s="2" t="s">
        <v>174</v>
      </c>
      <c r="Z1" s="2" t="s">
        <v>175</v>
      </c>
      <c r="AA1" t="s">
        <v>176</v>
      </c>
      <c r="AB1" t="s">
        <v>177</v>
      </c>
    </row>
    <row r="2" spans="1:28" ht="15.75" customHeight="1" x14ac:dyDescent="0.6">
      <c r="A2">
        <v>1</v>
      </c>
      <c r="B2" t="s">
        <v>178</v>
      </c>
      <c r="C2">
        <v>1100</v>
      </c>
      <c r="D2" t="s">
        <v>179</v>
      </c>
      <c r="E2">
        <v>2016</v>
      </c>
      <c r="F2" t="s">
        <v>180</v>
      </c>
      <c r="G2" t="s">
        <v>180</v>
      </c>
      <c r="H2">
        <v>11</v>
      </c>
      <c r="I2" s="69">
        <v>44250</v>
      </c>
      <c r="J2">
        <v>2016</v>
      </c>
      <c r="K2" s="69">
        <v>42658</v>
      </c>
      <c r="L2" t="s">
        <v>181</v>
      </c>
      <c r="M2" t="s">
        <v>182</v>
      </c>
      <c r="N2" t="s">
        <v>183</v>
      </c>
      <c r="O2" s="69">
        <v>46295</v>
      </c>
      <c r="P2" t="s">
        <v>184</v>
      </c>
      <c r="Q2" t="s">
        <v>185</v>
      </c>
      <c r="R2" s="70">
        <v>46295</v>
      </c>
      <c r="S2" s="4" t="s">
        <v>185</v>
      </c>
      <c r="T2" s="71">
        <v>47942</v>
      </c>
      <c r="U2" s="72">
        <v>46293</v>
      </c>
      <c r="V2" s="5">
        <v>50019171</v>
      </c>
      <c r="W2" s="4"/>
      <c r="X2" s="5">
        <v>422020</v>
      </c>
      <c r="Y2" s="4" t="s">
        <v>186</v>
      </c>
      <c r="Z2" s="4" t="e">
        <v>#VALUE!</v>
      </c>
      <c r="AA2" t="s">
        <v>187</v>
      </c>
      <c r="AB2" t="s">
        <v>188</v>
      </c>
    </row>
    <row r="3" spans="1:28" ht="15.75" customHeight="1" x14ac:dyDescent="0.6">
      <c r="A3">
        <v>2</v>
      </c>
      <c r="B3" t="s">
        <v>189</v>
      </c>
      <c r="C3">
        <v>1100</v>
      </c>
      <c r="D3" t="s">
        <v>179</v>
      </c>
      <c r="E3">
        <v>2016</v>
      </c>
      <c r="F3" t="s">
        <v>180</v>
      </c>
      <c r="G3" t="s">
        <v>180</v>
      </c>
      <c r="H3">
        <v>11</v>
      </c>
      <c r="I3" s="69">
        <v>44250</v>
      </c>
      <c r="J3">
        <v>2016</v>
      </c>
      <c r="K3" s="69">
        <v>42658</v>
      </c>
      <c r="L3" t="s">
        <v>181</v>
      </c>
      <c r="M3" t="s">
        <v>182</v>
      </c>
      <c r="N3" t="s">
        <v>183</v>
      </c>
      <c r="O3" s="69">
        <v>46295</v>
      </c>
      <c r="P3" t="s">
        <v>190</v>
      </c>
      <c r="Q3" t="s">
        <v>185</v>
      </c>
      <c r="R3" s="69">
        <v>46295</v>
      </c>
      <c r="S3" t="s">
        <v>185</v>
      </c>
      <c r="T3" s="69">
        <v>47942</v>
      </c>
      <c r="U3" s="69">
        <v>46293</v>
      </c>
      <c r="V3">
        <v>50019182</v>
      </c>
      <c r="X3">
        <v>362962</v>
      </c>
      <c r="Y3" t="s">
        <v>186</v>
      </c>
      <c r="Z3" t="e">
        <v>#VALUE!</v>
      </c>
      <c r="AA3" t="s">
        <v>187</v>
      </c>
      <c r="AB3" t="s">
        <v>188</v>
      </c>
    </row>
    <row r="4" spans="1:28" ht="15.75" customHeight="1" x14ac:dyDescent="0.6">
      <c r="A4">
        <v>3</v>
      </c>
      <c r="B4" t="s">
        <v>191</v>
      </c>
      <c r="C4">
        <v>1100</v>
      </c>
      <c r="D4" t="s">
        <v>179</v>
      </c>
      <c r="E4">
        <v>2016</v>
      </c>
      <c r="F4" t="s">
        <v>180</v>
      </c>
      <c r="G4" t="s">
        <v>180</v>
      </c>
      <c r="H4">
        <v>11</v>
      </c>
      <c r="I4" s="69">
        <v>44250</v>
      </c>
      <c r="J4">
        <v>2016</v>
      </c>
      <c r="K4" s="69">
        <v>42658</v>
      </c>
      <c r="L4" t="s">
        <v>181</v>
      </c>
      <c r="M4" t="s">
        <v>182</v>
      </c>
      <c r="N4" t="s">
        <v>183</v>
      </c>
      <c r="O4" s="69">
        <v>46295</v>
      </c>
      <c r="P4" t="s">
        <v>192</v>
      </c>
      <c r="Q4" t="s">
        <v>185</v>
      </c>
      <c r="R4" s="69">
        <v>46295</v>
      </c>
      <c r="S4" t="s">
        <v>185</v>
      </c>
      <c r="T4" s="69">
        <v>47942</v>
      </c>
      <c r="U4" s="69">
        <v>46293</v>
      </c>
      <c r="V4">
        <v>50019183</v>
      </c>
      <c r="X4">
        <v>452046</v>
      </c>
      <c r="Y4" t="s">
        <v>186</v>
      </c>
      <c r="Z4" t="e">
        <v>#VALUE!</v>
      </c>
      <c r="AA4" t="s">
        <v>187</v>
      </c>
      <c r="AB4" t="s">
        <v>188</v>
      </c>
    </row>
    <row r="5" spans="1:28" ht="15.75" customHeight="1" x14ac:dyDescent="0.6">
      <c r="A5">
        <v>4</v>
      </c>
      <c r="B5" t="s">
        <v>193</v>
      </c>
      <c r="C5">
        <v>1100</v>
      </c>
      <c r="D5" t="s">
        <v>179</v>
      </c>
      <c r="E5">
        <v>2017</v>
      </c>
      <c r="F5" t="s">
        <v>180</v>
      </c>
      <c r="G5" t="s">
        <v>180</v>
      </c>
      <c r="H5">
        <v>11</v>
      </c>
      <c r="I5" s="69">
        <v>44250</v>
      </c>
      <c r="J5">
        <v>2017</v>
      </c>
      <c r="K5" s="69">
        <v>43055</v>
      </c>
      <c r="L5" t="s">
        <v>194</v>
      </c>
      <c r="M5" t="s">
        <v>182</v>
      </c>
      <c r="N5" t="s">
        <v>183</v>
      </c>
      <c r="O5" s="69">
        <v>46295</v>
      </c>
      <c r="P5" t="s">
        <v>195</v>
      </c>
      <c r="Q5" t="s">
        <v>185</v>
      </c>
      <c r="R5" s="69">
        <v>46295</v>
      </c>
      <c r="S5" t="s">
        <v>185</v>
      </c>
      <c r="T5" s="69">
        <v>48291</v>
      </c>
      <c r="U5" s="69">
        <v>46293</v>
      </c>
      <c r="V5">
        <v>50019183</v>
      </c>
      <c r="X5">
        <v>439721</v>
      </c>
      <c r="Y5" t="s">
        <v>186</v>
      </c>
      <c r="Z5" t="e">
        <v>#VALUE!</v>
      </c>
      <c r="AA5" t="s">
        <v>187</v>
      </c>
      <c r="AB5" t="s">
        <v>188</v>
      </c>
    </row>
    <row r="6" spans="1:28" ht="15.75" customHeight="1" x14ac:dyDescent="0.6">
      <c r="A6">
        <v>5</v>
      </c>
      <c r="B6" t="s">
        <v>196</v>
      </c>
      <c r="C6">
        <v>1100</v>
      </c>
      <c r="D6" t="s">
        <v>179</v>
      </c>
      <c r="E6">
        <v>2017</v>
      </c>
      <c r="F6" t="s">
        <v>180</v>
      </c>
      <c r="G6" t="s">
        <v>180</v>
      </c>
      <c r="H6">
        <v>11</v>
      </c>
      <c r="I6" s="69">
        <v>44250</v>
      </c>
      <c r="J6">
        <v>2017</v>
      </c>
      <c r="K6" s="69">
        <v>43055</v>
      </c>
      <c r="L6" t="s">
        <v>194</v>
      </c>
      <c r="M6" t="s">
        <v>182</v>
      </c>
      <c r="N6" t="s">
        <v>183</v>
      </c>
      <c r="O6" s="69">
        <v>46295</v>
      </c>
      <c r="P6" t="s">
        <v>197</v>
      </c>
      <c r="Q6" t="s">
        <v>185</v>
      </c>
      <c r="R6" s="69">
        <v>46295</v>
      </c>
      <c r="S6" t="s">
        <v>185</v>
      </c>
      <c r="T6" s="69">
        <v>47942</v>
      </c>
      <c r="U6" s="69">
        <v>46293</v>
      </c>
      <c r="V6">
        <v>50019186</v>
      </c>
      <c r="X6">
        <v>486792</v>
      </c>
      <c r="Y6" t="s">
        <v>186</v>
      </c>
      <c r="Z6" t="e">
        <v>#VALUE!</v>
      </c>
      <c r="AA6" t="s">
        <v>187</v>
      </c>
      <c r="AB6" t="s">
        <v>188</v>
      </c>
    </row>
    <row r="7" spans="1:28" ht="15.75" customHeight="1" x14ac:dyDescent="0.6">
      <c r="A7">
        <v>6</v>
      </c>
      <c r="B7" t="s">
        <v>198</v>
      </c>
      <c r="C7">
        <v>1100</v>
      </c>
      <c r="D7" t="s">
        <v>179</v>
      </c>
      <c r="E7">
        <v>2017</v>
      </c>
      <c r="F7" t="s">
        <v>180</v>
      </c>
      <c r="G7" t="s">
        <v>180</v>
      </c>
      <c r="H7">
        <v>11</v>
      </c>
      <c r="I7" s="69">
        <v>44250</v>
      </c>
      <c r="J7">
        <v>2017</v>
      </c>
      <c r="K7" s="69">
        <v>43055</v>
      </c>
      <c r="L7" t="s">
        <v>194</v>
      </c>
      <c r="M7" t="s">
        <v>182</v>
      </c>
      <c r="N7" t="s">
        <v>183</v>
      </c>
      <c r="O7" s="69">
        <v>46295</v>
      </c>
      <c r="Q7" t="s">
        <v>185</v>
      </c>
      <c r="R7" s="69">
        <v>46295</v>
      </c>
      <c r="S7" t="s">
        <v>185</v>
      </c>
      <c r="T7" s="69">
        <v>47942</v>
      </c>
      <c r="U7" s="69">
        <v>46293</v>
      </c>
      <c r="V7">
        <v>50019069</v>
      </c>
      <c r="X7">
        <v>424182</v>
      </c>
      <c r="Y7" t="s">
        <v>186</v>
      </c>
      <c r="Z7" t="e">
        <v>#VALUE!</v>
      </c>
      <c r="AA7" t="s">
        <v>199</v>
      </c>
      <c r="AB7" t="s">
        <v>188</v>
      </c>
    </row>
    <row r="8" spans="1:28" ht="15.75" customHeight="1" x14ac:dyDescent="0.6">
      <c r="A8">
        <v>7</v>
      </c>
      <c r="B8" t="s">
        <v>200</v>
      </c>
      <c r="C8">
        <v>1900</v>
      </c>
      <c r="D8" t="s">
        <v>179</v>
      </c>
      <c r="E8">
        <v>2020</v>
      </c>
      <c r="F8" t="s">
        <v>201</v>
      </c>
      <c r="G8" t="s">
        <v>202</v>
      </c>
      <c r="H8">
        <v>14</v>
      </c>
      <c r="I8" s="69">
        <v>44046</v>
      </c>
      <c r="J8">
        <v>2020</v>
      </c>
      <c r="K8" s="69">
        <v>44061</v>
      </c>
      <c r="L8" t="s">
        <v>203</v>
      </c>
      <c r="M8" t="s">
        <v>182</v>
      </c>
      <c r="N8" t="s">
        <v>204</v>
      </c>
      <c r="O8" s="69">
        <v>46295</v>
      </c>
      <c r="P8" t="s">
        <v>205</v>
      </c>
      <c r="Q8" s="69">
        <v>46252</v>
      </c>
      <c r="R8" s="69">
        <v>46295</v>
      </c>
      <c r="S8" s="69">
        <v>46252</v>
      </c>
      <c r="T8" s="69">
        <v>48339</v>
      </c>
      <c r="U8" s="69">
        <v>46293</v>
      </c>
      <c r="W8" t="s">
        <v>206</v>
      </c>
      <c r="X8">
        <v>412775</v>
      </c>
      <c r="Y8" s="69">
        <v>46252</v>
      </c>
      <c r="Z8" t="s">
        <v>207</v>
      </c>
      <c r="AB8" t="s">
        <v>208</v>
      </c>
    </row>
    <row r="9" spans="1:28" ht="15.75" customHeight="1" x14ac:dyDescent="0.6">
      <c r="A9">
        <v>8</v>
      </c>
      <c r="B9" t="s">
        <v>209</v>
      </c>
      <c r="C9">
        <v>1900</v>
      </c>
      <c r="D9" t="s">
        <v>179</v>
      </c>
      <c r="E9">
        <v>2020</v>
      </c>
      <c r="F9" t="s">
        <v>201</v>
      </c>
      <c r="G9" t="s">
        <v>202</v>
      </c>
      <c r="H9">
        <v>14</v>
      </c>
      <c r="I9" s="69">
        <v>44046</v>
      </c>
      <c r="J9">
        <v>2020</v>
      </c>
      <c r="K9" s="69">
        <v>44061</v>
      </c>
      <c r="L9" t="s">
        <v>203</v>
      </c>
      <c r="M9" t="s">
        <v>182</v>
      </c>
      <c r="N9" t="s">
        <v>204</v>
      </c>
      <c r="O9" s="69">
        <v>46295</v>
      </c>
      <c r="P9" t="s">
        <v>210</v>
      </c>
      <c r="Q9" s="69">
        <v>46237</v>
      </c>
      <c r="R9" s="69">
        <v>46295</v>
      </c>
      <c r="S9" s="69">
        <v>46237</v>
      </c>
      <c r="T9" s="69">
        <v>48147</v>
      </c>
      <c r="U9" s="69">
        <v>46293</v>
      </c>
      <c r="W9" t="s">
        <v>211</v>
      </c>
      <c r="X9">
        <v>422593</v>
      </c>
      <c r="Y9" s="69">
        <v>45896</v>
      </c>
      <c r="Z9" t="s">
        <v>207</v>
      </c>
      <c r="AB9" t="s">
        <v>208</v>
      </c>
    </row>
    <row r="10" spans="1:28" ht="15.75" customHeight="1" x14ac:dyDescent="0.6">
      <c r="A10">
        <v>9</v>
      </c>
      <c r="B10" t="s">
        <v>212</v>
      </c>
      <c r="C10">
        <v>1900</v>
      </c>
      <c r="D10" t="s">
        <v>179</v>
      </c>
      <c r="E10">
        <v>2020</v>
      </c>
      <c r="F10" t="s">
        <v>201</v>
      </c>
      <c r="G10" t="s">
        <v>202</v>
      </c>
      <c r="H10">
        <v>14</v>
      </c>
      <c r="I10" s="69">
        <v>44046</v>
      </c>
      <c r="J10">
        <v>2020</v>
      </c>
      <c r="K10" s="69">
        <v>44061</v>
      </c>
      <c r="L10" t="s">
        <v>203</v>
      </c>
      <c r="M10" t="s">
        <v>182</v>
      </c>
      <c r="N10" t="s">
        <v>204</v>
      </c>
      <c r="O10" s="69">
        <v>46295</v>
      </c>
      <c r="P10" t="s">
        <v>213</v>
      </c>
      <c r="Q10" s="69">
        <v>46220</v>
      </c>
      <c r="R10" s="69">
        <v>46295</v>
      </c>
      <c r="S10" s="69">
        <v>46220</v>
      </c>
      <c r="T10" s="69">
        <v>48339</v>
      </c>
      <c r="U10" s="69">
        <v>46293</v>
      </c>
      <c r="V10">
        <v>586340</v>
      </c>
      <c r="W10" t="s">
        <v>214</v>
      </c>
      <c r="X10">
        <v>446470</v>
      </c>
      <c r="Y10" s="69">
        <v>46220</v>
      </c>
      <c r="Z10" t="s">
        <v>207</v>
      </c>
      <c r="AB10" t="s">
        <v>215</v>
      </c>
    </row>
    <row r="11" spans="1:28" ht="15.75" customHeight="1" x14ac:dyDescent="0.6">
      <c r="A11">
        <v>10</v>
      </c>
      <c r="B11" t="s">
        <v>216</v>
      </c>
      <c r="C11">
        <v>1900</v>
      </c>
      <c r="D11" t="s">
        <v>179</v>
      </c>
      <c r="E11">
        <v>2020</v>
      </c>
      <c r="F11" t="s">
        <v>201</v>
      </c>
      <c r="G11" t="s">
        <v>202</v>
      </c>
      <c r="H11">
        <v>14</v>
      </c>
      <c r="I11" s="69">
        <v>44046</v>
      </c>
      <c r="J11">
        <v>2020</v>
      </c>
      <c r="K11" s="69">
        <v>44061</v>
      </c>
      <c r="L11" t="s">
        <v>203</v>
      </c>
      <c r="M11" t="s">
        <v>182</v>
      </c>
      <c r="N11" t="s">
        <v>204</v>
      </c>
      <c r="O11" s="69">
        <v>46295</v>
      </c>
      <c r="P11" t="s">
        <v>217</v>
      </c>
      <c r="Q11" s="69">
        <v>46288</v>
      </c>
      <c r="R11" s="69">
        <v>46295</v>
      </c>
      <c r="S11" s="69">
        <v>46288</v>
      </c>
      <c r="T11" s="69">
        <v>47976</v>
      </c>
      <c r="U11" s="69">
        <v>46293</v>
      </c>
      <c r="V11">
        <v>586339</v>
      </c>
      <c r="W11" t="s">
        <v>218</v>
      </c>
      <c r="X11">
        <v>471630</v>
      </c>
      <c r="Y11" t="s">
        <v>219</v>
      </c>
      <c r="Z11" t="s">
        <v>207</v>
      </c>
      <c r="AB11" t="s">
        <v>208</v>
      </c>
    </row>
    <row r="12" spans="1:28" ht="15.75" customHeight="1" x14ac:dyDescent="0.6">
      <c r="A12">
        <v>11</v>
      </c>
      <c r="B12" t="s">
        <v>220</v>
      </c>
      <c r="C12">
        <v>1900</v>
      </c>
      <c r="D12" t="s">
        <v>179</v>
      </c>
      <c r="E12">
        <v>2020</v>
      </c>
      <c r="F12" t="s">
        <v>201</v>
      </c>
      <c r="G12" t="s">
        <v>202</v>
      </c>
      <c r="H12">
        <v>14</v>
      </c>
      <c r="I12" s="69">
        <v>44046</v>
      </c>
      <c r="J12">
        <v>2020</v>
      </c>
      <c r="K12" s="69">
        <v>44061</v>
      </c>
      <c r="L12" t="s">
        <v>203</v>
      </c>
      <c r="M12" t="s">
        <v>182</v>
      </c>
      <c r="N12" t="s">
        <v>204</v>
      </c>
      <c r="O12" s="69">
        <v>46295</v>
      </c>
      <c r="Q12" s="69">
        <v>46276</v>
      </c>
      <c r="R12" s="69">
        <v>46295</v>
      </c>
      <c r="S12" s="69">
        <v>46276</v>
      </c>
      <c r="T12" s="69">
        <v>48339</v>
      </c>
      <c r="U12" s="69">
        <v>46293</v>
      </c>
      <c r="V12">
        <v>586342</v>
      </c>
      <c r="W12" t="s">
        <v>221</v>
      </c>
      <c r="X12">
        <v>513009</v>
      </c>
      <c r="Y12" s="69">
        <v>45912</v>
      </c>
      <c r="Z12" t="s">
        <v>207</v>
      </c>
      <c r="AB12" t="s">
        <v>215</v>
      </c>
    </row>
    <row r="13" spans="1:28" ht="15.75" customHeight="1" x14ac:dyDescent="0.6">
      <c r="A13">
        <v>12</v>
      </c>
      <c r="B13" t="s">
        <v>222</v>
      </c>
      <c r="C13">
        <v>1900</v>
      </c>
      <c r="D13" t="s">
        <v>179</v>
      </c>
      <c r="E13">
        <v>2020</v>
      </c>
      <c r="F13" t="s">
        <v>201</v>
      </c>
      <c r="G13" t="s">
        <v>202</v>
      </c>
      <c r="H13">
        <v>14</v>
      </c>
      <c r="I13" s="69">
        <v>44046</v>
      </c>
      <c r="J13">
        <v>2020</v>
      </c>
      <c r="K13" s="69">
        <v>44061</v>
      </c>
      <c r="L13" t="s">
        <v>203</v>
      </c>
      <c r="M13" t="s">
        <v>182</v>
      </c>
      <c r="N13" t="s">
        <v>204</v>
      </c>
      <c r="O13" s="69">
        <v>46295</v>
      </c>
      <c r="P13" t="s">
        <v>223</v>
      </c>
      <c r="Q13" s="69">
        <v>46234</v>
      </c>
      <c r="R13" s="69">
        <v>46295</v>
      </c>
      <c r="S13" s="69">
        <v>46234</v>
      </c>
      <c r="T13" s="69">
        <v>48339</v>
      </c>
      <c r="U13" s="69">
        <v>46293</v>
      </c>
      <c r="W13" t="s">
        <v>224</v>
      </c>
      <c r="X13">
        <v>489138</v>
      </c>
      <c r="Y13" s="69">
        <v>46234</v>
      </c>
      <c r="Z13" t="s">
        <v>207</v>
      </c>
      <c r="AB13" t="s">
        <v>208</v>
      </c>
    </row>
    <row r="14" spans="1:28" ht="15.75" customHeight="1" x14ac:dyDescent="0.6">
      <c r="A14">
        <v>13</v>
      </c>
      <c r="B14" t="s">
        <v>225</v>
      </c>
      <c r="C14">
        <v>1900</v>
      </c>
      <c r="D14" t="s">
        <v>179</v>
      </c>
      <c r="E14">
        <v>2020</v>
      </c>
      <c r="F14" t="s">
        <v>201</v>
      </c>
      <c r="G14" t="s">
        <v>226</v>
      </c>
      <c r="H14">
        <v>14</v>
      </c>
      <c r="I14" s="69">
        <v>44046</v>
      </c>
      <c r="J14">
        <v>2020</v>
      </c>
      <c r="K14" s="69">
        <v>44061</v>
      </c>
      <c r="L14" t="s">
        <v>203</v>
      </c>
      <c r="M14" t="s">
        <v>182</v>
      </c>
      <c r="N14" t="s">
        <v>204</v>
      </c>
      <c r="O14" s="69">
        <v>46295</v>
      </c>
      <c r="Q14" s="69">
        <v>46206</v>
      </c>
      <c r="R14" s="69">
        <v>46295</v>
      </c>
      <c r="S14" s="69">
        <v>46206</v>
      </c>
      <c r="T14" s="69">
        <v>48339</v>
      </c>
      <c r="U14" s="69">
        <v>46293</v>
      </c>
      <c r="V14">
        <v>586344</v>
      </c>
      <c r="W14" t="s">
        <v>227</v>
      </c>
      <c r="X14">
        <v>428867</v>
      </c>
      <c r="Y14" t="s">
        <v>219</v>
      </c>
      <c r="Z14" t="s">
        <v>207</v>
      </c>
      <c r="AB14" t="s">
        <v>226</v>
      </c>
    </row>
    <row r="15" spans="1:28" ht="15.75" customHeight="1" x14ac:dyDescent="0.6">
      <c r="A15">
        <v>14</v>
      </c>
      <c r="B15" t="s">
        <v>228</v>
      </c>
      <c r="C15">
        <v>1900</v>
      </c>
      <c r="D15" t="s">
        <v>179</v>
      </c>
      <c r="E15">
        <v>2020</v>
      </c>
      <c r="F15" t="s">
        <v>201</v>
      </c>
      <c r="G15" t="s">
        <v>226</v>
      </c>
      <c r="H15">
        <v>14</v>
      </c>
      <c r="I15" s="69">
        <v>44046</v>
      </c>
      <c r="J15">
        <v>2020</v>
      </c>
      <c r="K15" s="69">
        <v>44061</v>
      </c>
      <c r="L15" t="s">
        <v>203</v>
      </c>
      <c r="M15" t="s">
        <v>182</v>
      </c>
      <c r="N15" t="s">
        <v>204</v>
      </c>
      <c r="O15" s="69">
        <v>46295</v>
      </c>
      <c r="Q15" s="69">
        <v>46217</v>
      </c>
      <c r="R15" s="69">
        <v>46295</v>
      </c>
      <c r="S15" s="69">
        <v>46217</v>
      </c>
      <c r="T15" s="69">
        <v>48339</v>
      </c>
      <c r="U15" s="69">
        <v>46293</v>
      </c>
      <c r="W15" t="s">
        <v>229</v>
      </c>
      <c r="X15">
        <v>500717</v>
      </c>
      <c r="Y15" t="s">
        <v>219</v>
      </c>
      <c r="Z15" t="s">
        <v>207</v>
      </c>
      <c r="AB15" t="s">
        <v>226</v>
      </c>
    </row>
    <row r="16" spans="1:28" ht="15.75" customHeight="1" x14ac:dyDescent="0.6">
      <c r="A16">
        <v>15</v>
      </c>
      <c r="B16" t="s">
        <v>230</v>
      </c>
      <c r="C16">
        <v>1900</v>
      </c>
      <c r="D16" t="s">
        <v>179</v>
      </c>
      <c r="E16">
        <v>2020</v>
      </c>
      <c r="F16" t="s">
        <v>201</v>
      </c>
      <c r="G16" t="s">
        <v>202</v>
      </c>
      <c r="H16">
        <v>14</v>
      </c>
      <c r="I16" s="69">
        <v>44046</v>
      </c>
      <c r="J16">
        <v>2020</v>
      </c>
      <c r="K16" s="69">
        <v>44061</v>
      </c>
      <c r="L16" t="s">
        <v>203</v>
      </c>
      <c r="M16" t="s">
        <v>182</v>
      </c>
      <c r="N16" t="s">
        <v>204</v>
      </c>
      <c r="O16" s="69">
        <v>46295</v>
      </c>
      <c r="P16" t="s">
        <v>231</v>
      </c>
      <c r="Q16" s="69">
        <v>46224</v>
      </c>
      <c r="R16" s="69">
        <v>46295</v>
      </c>
      <c r="S16" s="69">
        <v>46224</v>
      </c>
      <c r="T16" s="69">
        <v>47976</v>
      </c>
      <c r="U16" s="69">
        <v>46293</v>
      </c>
      <c r="V16">
        <v>586346</v>
      </c>
      <c r="W16" t="s">
        <v>232</v>
      </c>
      <c r="X16">
        <v>430564</v>
      </c>
      <c r="Y16" s="69">
        <v>46224</v>
      </c>
      <c r="Z16" t="s">
        <v>207</v>
      </c>
      <c r="AB16" t="s">
        <v>208</v>
      </c>
    </row>
    <row r="17" spans="1:28" ht="15.75" customHeight="1" x14ac:dyDescent="0.6">
      <c r="A17">
        <v>16</v>
      </c>
      <c r="B17" t="s">
        <v>233</v>
      </c>
      <c r="C17">
        <v>1900</v>
      </c>
      <c r="D17" t="s">
        <v>179</v>
      </c>
      <c r="E17">
        <v>2020</v>
      </c>
      <c r="F17" t="s">
        <v>201</v>
      </c>
      <c r="G17" t="s">
        <v>202</v>
      </c>
      <c r="H17">
        <v>14</v>
      </c>
      <c r="I17" s="69">
        <v>44046</v>
      </c>
      <c r="J17">
        <v>2020</v>
      </c>
      <c r="K17" s="69">
        <v>44061</v>
      </c>
      <c r="L17" t="s">
        <v>203</v>
      </c>
      <c r="M17" t="s">
        <v>182</v>
      </c>
      <c r="N17" t="s">
        <v>204</v>
      </c>
      <c r="O17" s="69">
        <v>46295</v>
      </c>
      <c r="P17" t="s">
        <v>234</v>
      </c>
      <c r="Q17" s="69">
        <v>46232</v>
      </c>
      <c r="R17" s="69">
        <v>46295</v>
      </c>
      <c r="S17" s="69">
        <v>46232</v>
      </c>
      <c r="T17" s="69">
        <v>48339</v>
      </c>
      <c r="U17" s="69">
        <v>46293</v>
      </c>
      <c r="V17">
        <v>586345</v>
      </c>
      <c r="W17" t="s">
        <v>235</v>
      </c>
      <c r="X17">
        <v>428350</v>
      </c>
      <c r="Y17" s="69">
        <v>46232</v>
      </c>
      <c r="Z17" t="s">
        <v>207</v>
      </c>
      <c r="AB17" t="s">
        <v>208</v>
      </c>
    </row>
    <row r="18" spans="1:28" ht="15.75" customHeight="1" x14ac:dyDescent="0.6">
      <c r="A18">
        <v>17</v>
      </c>
      <c r="B18" t="s">
        <v>236</v>
      </c>
      <c r="C18">
        <v>1900</v>
      </c>
      <c r="D18" t="s">
        <v>179</v>
      </c>
      <c r="E18">
        <v>2020</v>
      </c>
      <c r="F18" t="s">
        <v>201</v>
      </c>
      <c r="G18" t="s">
        <v>202</v>
      </c>
      <c r="H18">
        <v>14</v>
      </c>
      <c r="I18" s="69">
        <v>44046</v>
      </c>
      <c r="J18">
        <v>2020</v>
      </c>
      <c r="K18" s="69">
        <v>44061</v>
      </c>
      <c r="L18" t="s">
        <v>203</v>
      </c>
      <c r="M18" t="s">
        <v>182</v>
      </c>
      <c r="N18" t="s">
        <v>204</v>
      </c>
      <c r="O18" s="69">
        <v>46295</v>
      </c>
      <c r="P18" t="s">
        <v>237</v>
      </c>
      <c r="Q18" s="69">
        <v>46251</v>
      </c>
      <c r="R18" s="69">
        <v>46295</v>
      </c>
      <c r="S18" s="69">
        <v>46251</v>
      </c>
      <c r="T18" s="69">
        <v>48330</v>
      </c>
      <c r="U18" s="69">
        <v>46293</v>
      </c>
      <c r="V18">
        <v>586348</v>
      </c>
      <c r="W18" t="s">
        <v>238</v>
      </c>
      <c r="X18">
        <v>511612</v>
      </c>
      <c r="Y18" s="69">
        <v>46251</v>
      </c>
      <c r="Z18" t="s">
        <v>207</v>
      </c>
      <c r="AA18" t="b">
        <v>0</v>
      </c>
      <c r="AB18" t="s">
        <v>208</v>
      </c>
    </row>
    <row r="19" spans="1:28" ht="15.75" customHeight="1" x14ac:dyDescent="0.6">
      <c r="A19">
        <v>18</v>
      </c>
      <c r="B19" t="s">
        <v>239</v>
      </c>
      <c r="C19">
        <v>1900</v>
      </c>
      <c r="D19" t="s">
        <v>179</v>
      </c>
      <c r="E19">
        <v>2020</v>
      </c>
      <c r="F19" t="s">
        <v>201</v>
      </c>
      <c r="G19" t="s">
        <v>226</v>
      </c>
      <c r="H19">
        <v>14</v>
      </c>
      <c r="I19" s="69">
        <v>44046</v>
      </c>
      <c r="J19">
        <v>2020</v>
      </c>
      <c r="K19" s="69">
        <v>44061</v>
      </c>
      <c r="L19" t="s">
        <v>203</v>
      </c>
      <c r="M19" t="s">
        <v>182</v>
      </c>
      <c r="N19" t="s">
        <v>204</v>
      </c>
      <c r="O19" s="69">
        <v>46295</v>
      </c>
      <c r="Q19" s="69">
        <v>46217</v>
      </c>
      <c r="R19" s="69">
        <v>46295</v>
      </c>
      <c r="S19" s="69">
        <v>46217</v>
      </c>
      <c r="T19" s="69">
        <v>48339</v>
      </c>
      <c r="U19" s="69">
        <v>46293</v>
      </c>
      <c r="V19">
        <v>586347</v>
      </c>
      <c r="W19" t="s">
        <v>240</v>
      </c>
      <c r="X19">
        <v>463297</v>
      </c>
      <c r="Y19" t="s">
        <v>219</v>
      </c>
      <c r="Z19" t="s">
        <v>207</v>
      </c>
      <c r="AB19" t="s">
        <v>226</v>
      </c>
    </row>
    <row r="20" spans="1:28" ht="15.75" customHeight="1" x14ac:dyDescent="0.6">
      <c r="A20">
        <v>19</v>
      </c>
      <c r="B20" t="s">
        <v>241</v>
      </c>
      <c r="C20">
        <v>1900</v>
      </c>
      <c r="D20" t="s">
        <v>179</v>
      </c>
      <c r="E20">
        <v>2020</v>
      </c>
      <c r="F20" t="s">
        <v>180</v>
      </c>
      <c r="G20" t="s">
        <v>180</v>
      </c>
      <c r="H20">
        <v>14</v>
      </c>
      <c r="I20" s="69">
        <v>44046</v>
      </c>
      <c r="J20">
        <v>2020</v>
      </c>
      <c r="K20" s="69">
        <v>44061</v>
      </c>
      <c r="L20" t="s">
        <v>203</v>
      </c>
      <c r="M20" t="s">
        <v>182</v>
      </c>
      <c r="N20" t="s">
        <v>204</v>
      </c>
      <c r="O20" s="69">
        <v>46295</v>
      </c>
      <c r="P20" t="s">
        <v>242</v>
      </c>
      <c r="Q20" s="69">
        <v>46221</v>
      </c>
      <c r="R20" s="69">
        <v>46295</v>
      </c>
      <c r="S20" s="69">
        <v>46221</v>
      </c>
      <c r="T20" s="69">
        <v>48339</v>
      </c>
      <c r="U20" s="69">
        <v>46293</v>
      </c>
      <c r="V20">
        <v>586350</v>
      </c>
      <c r="W20" t="s">
        <v>243</v>
      </c>
      <c r="X20">
        <v>426082</v>
      </c>
      <c r="Y20" t="s">
        <v>219</v>
      </c>
      <c r="Z20" t="s">
        <v>207</v>
      </c>
      <c r="AB20" t="s">
        <v>188</v>
      </c>
    </row>
    <row r="21" spans="1:28" ht="15.75" customHeight="1" x14ac:dyDescent="0.6">
      <c r="A21">
        <v>20</v>
      </c>
      <c r="B21" t="s">
        <v>244</v>
      </c>
      <c r="C21">
        <v>1900</v>
      </c>
      <c r="D21" t="s">
        <v>179</v>
      </c>
      <c r="E21">
        <v>2020</v>
      </c>
      <c r="F21" t="s">
        <v>201</v>
      </c>
      <c r="G21" t="s">
        <v>202</v>
      </c>
      <c r="H21">
        <v>14</v>
      </c>
      <c r="I21" s="69">
        <v>44046</v>
      </c>
      <c r="J21">
        <v>2020</v>
      </c>
      <c r="K21" s="69">
        <v>44061</v>
      </c>
      <c r="L21" t="s">
        <v>203</v>
      </c>
      <c r="M21" t="s">
        <v>182</v>
      </c>
      <c r="N21" t="s">
        <v>204</v>
      </c>
      <c r="O21" s="69">
        <v>46295</v>
      </c>
      <c r="P21" t="s">
        <v>245</v>
      </c>
      <c r="Q21" s="69">
        <v>46238</v>
      </c>
      <c r="R21" s="69">
        <v>46295</v>
      </c>
      <c r="S21" s="69">
        <v>46238</v>
      </c>
      <c r="T21" s="69">
        <v>48339</v>
      </c>
      <c r="U21" s="69">
        <v>46293</v>
      </c>
      <c r="W21" t="s">
        <v>246</v>
      </c>
      <c r="X21">
        <v>597259</v>
      </c>
      <c r="Y21" t="s">
        <v>219</v>
      </c>
      <c r="Z21" t="s">
        <v>207</v>
      </c>
      <c r="AB21" t="s">
        <v>208</v>
      </c>
    </row>
    <row r="22" spans="1:28" ht="15.75" customHeight="1" x14ac:dyDescent="0.6">
      <c r="A22">
        <v>21</v>
      </c>
      <c r="B22" t="s">
        <v>247</v>
      </c>
      <c r="C22">
        <v>1900</v>
      </c>
      <c r="D22" t="s">
        <v>179</v>
      </c>
      <c r="E22">
        <v>2020</v>
      </c>
      <c r="F22" t="s">
        <v>201</v>
      </c>
      <c r="G22" t="s">
        <v>226</v>
      </c>
      <c r="H22">
        <v>14</v>
      </c>
      <c r="I22" s="69">
        <v>44046</v>
      </c>
      <c r="J22">
        <v>2020</v>
      </c>
      <c r="K22" s="69">
        <v>44061</v>
      </c>
      <c r="L22" t="s">
        <v>203</v>
      </c>
      <c r="M22" t="s">
        <v>182</v>
      </c>
      <c r="N22" t="s">
        <v>204</v>
      </c>
      <c r="O22" s="69">
        <v>46295</v>
      </c>
      <c r="Q22" s="69">
        <v>46209</v>
      </c>
      <c r="R22" s="69">
        <v>46295</v>
      </c>
      <c r="S22" s="69">
        <v>46209</v>
      </c>
      <c r="T22" s="69">
        <v>48339</v>
      </c>
      <c r="U22" s="69">
        <v>46293</v>
      </c>
      <c r="V22">
        <v>586351</v>
      </c>
      <c r="W22" t="s">
        <v>248</v>
      </c>
      <c r="X22">
        <v>470343</v>
      </c>
      <c r="Y22" t="s">
        <v>219</v>
      </c>
      <c r="Z22" t="s">
        <v>207</v>
      </c>
      <c r="AB22" t="s">
        <v>226</v>
      </c>
    </row>
    <row r="23" spans="1:28" ht="15.75" customHeight="1" x14ac:dyDescent="0.6">
      <c r="A23">
        <v>22</v>
      </c>
      <c r="B23" t="s">
        <v>249</v>
      </c>
      <c r="C23">
        <v>1900</v>
      </c>
      <c r="D23" t="s">
        <v>179</v>
      </c>
      <c r="E23">
        <v>2020</v>
      </c>
      <c r="F23" t="s">
        <v>201</v>
      </c>
      <c r="G23" t="s">
        <v>202</v>
      </c>
      <c r="H23">
        <v>14</v>
      </c>
      <c r="I23" s="69">
        <v>44078</v>
      </c>
      <c r="J23">
        <v>2020</v>
      </c>
      <c r="K23" s="69">
        <v>44093</v>
      </c>
      <c r="L23" t="s">
        <v>203</v>
      </c>
      <c r="M23" t="s">
        <v>182</v>
      </c>
      <c r="N23" t="s">
        <v>204</v>
      </c>
      <c r="O23" s="69">
        <v>46295</v>
      </c>
      <c r="Q23" s="69">
        <v>46380</v>
      </c>
      <c r="R23" s="69">
        <v>46295</v>
      </c>
      <c r="S23" s="69">
        <v>46380</v>
      </c>
      <c r="T23" s="69">
        <v>48339</v>
      </c>
      <c r="U23" s="69">
        <v>46293</v>
      </c>
      <c r="V23">
        <v>595698</v>
      </c>
      <c r="W23" t="s">
        <v>250</v>
      </c>
      <c r="X23">
        <v>351095</v>
      </c>
      <c r="Y23" s="69">
        <v>46038</v>
      </c>
      <c r="Z23" t="s">
        <v>207</v>
      </c>
      <c r="AB23" t="s">
        <v>208</v>
      </c>
    </row>
    <row r="24" spans="1:28" ht="15.75" customHeight="1" x14ac:dyDescent="0.6">
      <c r="A24">
        <v>23</v>
      </c>
      <c r="B24" t="s">
        <v>251</v>
      </c>
      <c r="C24">
        <v>1900</v>
      </c>
      <c r="D24" t="s">
        <v>179</v>
      </c>
      <c r="E24">
        <v>2020</v>
      </c>
      <c r="F24" t="s">
        <v>201</v>
      </c>
      <c r="G24" t="s">
        <v>202</v>
      </c>
      <c r="H24">
        <v>14</v>
      </c>
      <c r="I24" s="69">
        <v>44078</v>
      </c>
      <c r="J24">
        <v>2020</v>
      </c>
      <c r="K24" s="69">
        <v>44093</v>
      </c>
      <c r="L24" t="s">
        <v>203</v>
      </c>
      <c r="M24" t="s">
        <v>182</v>
      </c>
      <c r="N24" t="s">
        <v>204</v>
      </c>
      <c r="O24" s="69">
        <v>46295</v>
      </c>
      <c r="Q24" s="69">
        <v>46259</v>
      </c>
      <c r="R24" s="69">
        <v>46295</v>
      </c>
      <c r="S24" s="69">
        <v>46259</v>
      </c>
      <c r="T24" s="69">
        <v>48339</v>
      </c>
      <c r="U24" s="69">
        <v>46293</v>
      </c>
      <c r="V24">
        <v>595697</v>
      </c>
      <c r="W24" t="s">
        <v>252</v>
      </c>
      <c r="X24">
        <v>325630</v>
      </c>
      <c r="Y24">
        <v>46259</v>
      </c>
      <c r="Z24" t="s">
        <v>207</v>
      </c>
      <c r="AB24" t="s">
        <v>208</v>
      </c>
    </row>
    <row r="25" spans="1:28" ht="15.75" customHeight="1" x14ac:dyDescent="0.6">
      <c r="A25">
        <v>24</v>
      </c>
      <c r="B25" t="s">
        <v>253</v>
      </c>
      <c r="C25">
        <v>1900</v>
      </c>
      <c r="D25" t="s">
        <v>179</v>
      </c>
      <c r="E25">
        <v>2020</v>
      </c>
      <c r="F25" t="s">
        <v>201</v>
      </c>
      <c r="G25" t="s">
        <v>202</v>
      </c>
      <c r="H25">
        <v>14</v>
      </c>
      <c r="I25" s="69">
        <v>44078</v>
      </c>
      <c r="J25">
        <v>2020</v>
      </c>
      <c r="K25" s="69">
        <v>44093</v>
      </c>
      <c r="L25" t="s">
        <v>203</v>
      </c>
      <c r="M25" t="s">
        <v>182</v>
      </c>
      <c r="N25" t="s">
        <v>204</v>
      </c>
      <c r="O25" s="69">
        <v>46295</v>
      </c>
      <c r="Q25" s="69">
        <v>46238</v>
      </c>
      <c r="R25" s="69">
        <v>46295</v>
      </c>
      <c r="S25" s="69">
        <v>46238</v>
      </c>
      <c r="T25" s="69">
        <v>48339</v>
      </c>
      <c r="U25" s="69">
        <v>46293</v>
      </c>
      <c r="V25">
        <v>595665</v>
      </c>
      <c r="W25" t="s">
        <v>254</v>
      </c>
      <c r="X25">
        <v>434234</v>
      </c>
      <c r="Y25" s="69">
        <v>46238</v>
      </c>
      <c r="Z25" t="s">
        <v>207</v>
      </c>
      <c r="AB25" t="s">
        <v>208</v>
      </c>
    </row>
    <row r="26" spans="1:28" ht="15.75" customHeight="1" x14ac:dyDescent="0.6">
      <c r="A26">
        <v>25</v>
      </c>
      <c r="B26" t="s">
        <v>255</v>
      </c>
      <c r="C26">
        <v>1900</v>
      </c>
      <c r="D26" t="s">
        <v>179</v>
      </c>
      <c r="E26">
        <v>2020</v>
      </c>
      <c r="F26" t="s">
        <v>201</v>
      </c>
      <c r="G26" t="s">
        <v>202</v>
      </c>
      <c r="H26">
        <v>14</v>
      </c>
      <c r="I26" s="69">
        <v>44078</v>
      </c>
      <c r="J26">
        <v>2020</v>
      </c>
      <c r="K26" s="69">
        <v>44093</v>
      </c>
      <c r="L26" t="s">
        <v>203</v>
      </c>
      <c r="M26" t="s">
        <v>182</v>
      </c>
      <c r="N26" t="s">
        <v>204</v>
      </c>
      <c r="O26" s="69">
        <v>46295</v>
      </c>
      <c r="P26" t="s">
        <v>256</v>
      </c>
      <c r="Q26" s="69">
        <v>46273</v>
      </c>
      <c r="R26" s="69">
        <v>46295</v>
      </c>
      <c r="S26" s="69">
        <v>46273</v>
      </c>
      <c r="T26" s="69">
        <v>48339</v>
      </c>
      <c r="U26" s="69">
        <v>46293</v>
      </c>
      <c r="V26">
        <v>595700</v>
      </c>
      <c r="W26" t="s">
        <v>257</v>
      </c>
      <c r="X26">
        <v>438365</v>
      </c>
      <c r="Y26" s="69">
        <v>45910</v>
      </c>
      <c r="Z26" t="s">
        <v>207</v>
      </c>
      <c r="AB26" t="s">
        <v>215</v>
      </c>
    </row>
    <row r="27" spans="1:28" ht="15.75" customHeight="1" x14ac:dyDescent="0.6">
      <c r="A27">
        <v>26</v>
      </c>
      <c r="B27" t="s">
        <v>258</v>
      </c>
      <c r="C27">
        <v>1900</v>
      </c>
      <c r="D27" t="s">
        <v>179</v>
      </c>
      <c r="E27">
        <v>2020</v>
      </c>
      <c r="F27" t="s">
        <v>180</v>
      </c>
      <c r="G27" t="s">
        <v>180</v>
      </c>
      <c r="H27">
        <v>14</v>
      </c>
      <c r="I27" s="69">
        <v>44078</v>
      </c>
      <c r="J27">
        <v>2020</v>
      </c>
      <c r="K27" s="69">
        <v>44093</v>
      </c>
      <c r="L27" t="s">
        <v>203</v>
      </c>
      <c r="M27" t="s">
        <v>182</v>
      </c>
      <c r="N27" t="s">
        <v>204</v>
      </c>
      <c r="O27" s="69">
        <v>46295</v>
      </c>
      <c r="Q27" s="69">
        <v>46276</v>
      </c>
      <c r="R27" s="69">
        <v>46295</v>
      </c>
      <c r="S27" s="69">
        <v>46276</v>
      </c>
      <c r="T27" s="69">
        <v>48330</v>
      </c>
      <c r="U27" s="69">
        <v>46293</v>
      </c>
      <c r="V27">
        <v>595699</v>
      </c>
      <c r="W27" t="s">
        <v>259</v>
      </c>
      <c r="X27">
        <v>441165</v>
      </c>
      <c r="Y27" t="s">
        <v>219</v>
      </c>
      <c r="Z27" t="s">
        <v>207</v>
      </c>
      <c r="AB27" t="s">
        <v>188</v>
      </c>
    </row>
    <row r="28" spans="1:28" ht="15.75" customHeight="1" x14ac:dyDescent="0.6">
      <c r="A28">
        <v>27</v>
      </c>
      <c r="B28" t="s">
        <v>260</v>
      </c>
      <c r="C28">
        <v>1900</v>
      </c>
      <c r="D28" t="s">
        <v>179</v>
      </c>
      <c r="E28">
        <v>2020</v>
      </c>
      <c r="F28" t="s">
        <v>180</v>
      </c>
      <c r="G28" t="s">
        <v>180</v>
      </c>
      <c r="H28">
        <v>14</v>
      </c>
      <c r="I28" s="69">
        <v>44078</v>
      </c>
      <c r="J28">
        <v>2020</v>
      </c>
      <c r="K28" s="69">
        <v>44093</v>
      </c>
      <c r="L28" t="s">
        <v>203</v>
      </c>
      <c r="M28" t="s">
        <v>182</v>
      </c>
      <c r="N28" t="s">
        <v>204</v>
      </c>
      <c r="O28" s="69">
        <v>46295</v>
      </c>
      <c r="Q28" s="69">
        <v>46293</v>
      </c>
      <c r="R28" s="69">
        <v>46295</v>
      </c>
      <c r="S28" s="69">
        <v>46293</v>
      </c>
      <c r="T28" s="69">
        <v>48147</v>
      </c>
      <c r="U28" s="69">
        <v>46293</v>
      </c>
      <c r="V28">
        <v>595702</v>
      </c>
      <c r="W28" t="s">
        <v>261</v>
      </c>
      <c r="X28">
        <v>388750</v>
      </c>
      <c r="Y28" s="69">
        <v>45888</v>
      </c>
      <c r="Z28" t="s">
        <v>207</v>
      </c>
      <c r="AB28" t="s">
        <v>188</v>
      </c>
    </row>
    <row r="29" spans="1:28" ht="15.75" customHeight="1" x14ac:dyDescent="0.6">
      <c r="A29">
        <v>28</v>
      </c>
      <c r="B29" t="s">
        <v>262</v>
      </c>
      <c r="C29">
        <v>1900</v>
      </c>
      <c r="D29" t="s">
        <v>179</v>
      </c>
      <c r="E29">
        <v>2020</v>
      </c>
      <c r="F29" t="s">
        <v>180</v>
      </c>
      <c r="G29" t="s">
        <v>180</v>
      </c>
      <c r="H29">
        <v>14</v>
      </c>
      <c r="I29" s="69">
        <v>44078</v>
      </c>
      <c r="J29">
        <v>2020</v>
      </c>
      <c r="K29" s="69">
        <v>44093</v>
      </c>
      <c r="L29" t="s">
        <v>203</v>
      </c>
      <c r="M29" t="s">
        <v>182</v>
      </c>
      <c r="N29" t="s">
        <v>204</v>
      </c>
      <c r="O29" s="69">
        <v>46295</v>
      </c>
      <c r="Q29" s="69">
        <v>46213</v>
      </c>
      <c r="R29" s="69">
        <v>46295</v>
      </c>
      <c r="S29" s="69">
        <v>46213</v>
      </c>
      <c r="T29" s="69">
        <v>48330</v>
      </c>
      <c r="U29" s="69">
        <v>46293</v>
      </c>
      <c r="V29">
        <v>595668</v>
      </c>
      <c r="W29" t="s">
        <v>263</v>
      </c>
      <c r="X29">
        <v>367230</v>
      </c>
      <c r="Y29" t="s">
        <v>219</v>
      </c>
      <c r="Z29" t="s">
        <v>207</v>
      </c>
      <c r="AB29" t="s">
        <v>188</v>
      </c>
    </row>
    <row r="30" spans="1:28" ht="15.75" customHeight="1" x14ac:dyDescent="0.6">
      <c r="A30">
        <v>29</v>
      </c>
      <c r="B30" t="s">
        <v>264</v>
      </c>
      <c r="C30">
        <v>1900</v>
      </c>
      <c r="D30" t="s">
        <v>179</v>
      </c>
      <c r="E30">
        <v>2020</v>
      </c>
      <c r="F30" t="s">
        <v>201</v>
      </c>
      <c r="G30" t="s">
        <v>202</v>
      </c>
      <c r="H30">
        <v>14</v>
      </c>
      <c r="I30" s="69">
        <v>44078</v>
      </c>
      <c r="J30">
        <v>2020</v>
      </c>
      <c r="K30" s="69">
        <v>44093</v>
      </c>
      <c r="L30" t="s">
        <v>203</v>
      </c>
      <c r="M30" t="s">
        <v>182</v>
      </c>
      <c r="N30" t="s">
        <v>204</v>
      </c>
      <c r="O30" s="69">
        <v>46295</v>
      </c>
      <c r="Q30" s="69">
        <v>46167</v>
      </c>
      <c r="R30" s="69">
        <v>46295</v>
      </c>
      <c r="S30" s="69">
        <v>46167</v>
      </c>
      <c r="T30" s="69">
        <v>48330</v>
      </c>
      <c r="U30" s="69">
        <v>46293</v>
      </c>
      <c r="V30">
        <v>595667</v>
      </c>
      <c r="W30" t="s">
        <v>265</v>
      </c>
      <c r="X30">
        <v>322152</v>
      </c>
      <c r="Y30" s="69">
        <v>46167</v>
      </c>
      <c r="Z30" t="s">
        <v>266</v>
      </c>
      <c r="AB30" t="s">
        <v>208</v>
      </c>
    </row>
    <row r="31" spans="1:28" ht="15.75" customHeight="1" x14ac:dyDescent="0.6">
      <c r="A31">
        <v>30</v>
      </c>
      <c r="B31" t="s">
        <v>267</v>
      </c>
      <c r="C31">
        <v>1900</v>
      </c>
      <c r="D31" t="s">
        <v>179</v>
      </c>
      <c r="E31">
        <v>2020</v>
      </c>
      <c r="F31" t="s">
        <v>201</v>
      </c>
      <c r="G31" t="s">
        <v>226</v>
      </c>
      <c r="H31">
        <v>14</v>
      </c>
      <c r="I31" s="69">
        <v>44078</v>
      </c>
      <c r="J31">
        <v>2020</v>
      </c>
      <c r="K31" s="69">
        <v>44093</v>
      </c>
      <c r="L31" t="s">
        <v>203</v>
      </c>
      <c r="M31" t="s">
        <v>182</v>
      </c>
      <c r="N31" t="s">
        <v>204</v>
      </c>
      <c r="O31" s="69">
        <v>46295</v>
      </c>
      <c r="Q31" s="69">
        <v>46241</v>
      </c>
      <c r="R31" s="69">
        <v>46295</v>
      </c>
      <c r="S31" s="69">
        <v>46241</v>
      </c>
      <c r="T31" s="69">
        <v>47976</v>
      </c>
      <c r="U31" s="69">
        <v>46293</v>
      </c>
      <c r="V31">
        <v>595670</v>
      </c>
      <c r="W31" t="s">
        <v>268</v>
      </c>
      <c r="X31">
        <v>509611</v>
      </c>
      <c r="Y31" t="s">
        <v>219</v>
      </c>
      <c r="Z31" t="s">
        <v>207</v>
      </c>
      <c r="AB31" t="s">
        <v>226</v>
      </c>
    </row>
    <row r="32" spans="1:28" ht="15.75" customHeight="1" x14ac:dyDescent="0.6">
      <c r="A32">
        <v>31</v>
      </c>
      <c r="B32" t="s">
        <v>269</v>
      </c>
      <c r="C32">
        <v>1900</v>
      </c>
      <c r="D32" t="s">
        <v>179</v>
      </c>
      <c r="E32">
        <v>2020</v>
      </c>
      <c r="F32" t="s">
        <v>201</v>
      </c>
      <c r="G32" t="s">
        <v>202</v>
      </c>
      <c r="H32">
        <v>14</v>
      </c>
      <c r="I32" s="69">
        <v>44078</v>
      </c>
      <c r="J32">
        <v>2020</v>
      </c>
      <c r="K32" s="69">
        <v>44093</v>
      </c>
      <c r="L32" t="s">
        <v>203</v>
      </c>
      <c r="M32" t="s">
        <v>182</v>
      </c>
      <c r="N32" t="s">
        <v>204</v>
      </c>
      <c r="O32" s="69">
        <v>46295</v>
      </c>
      <c r="Q32" s="69">
        <v>46239</v>
      </c>
      <c r="R32" s="69">
        <v>46295</v>
      </c>
      <c r="S32" s="69">
        <v>46239</v>
      </c>
      <c r="T32" s="69">
        <v>48339</v>
      </c>
      <c r="U32" s="69">
        <v>46293</v>
      </c>
      <c r="V32">
        <v>595701</v>
      </c>
      <c r="W32" t="s">
        <v>270</v>
      </c>
      <c r="X32">
        <v>349737</v>
      </c>
      <c r="Y32" s="69">
        <v>46239</v>
      </c>
      <c r="Z32" t="s">
        <v>207</v>
      </c>
      <c r="AB32" t="s">
        <v>208</v>
      </c>
    </row>
    <row r="33" spans="1:28" ht="15.75" customHeight="1" x14ac:dyDescent="0.6">
      <c r="A33">
        <v>32</v>
      </c>
      <c r="B33" t="s">
        <v>271</v>
      </c>
      <c r="C33">
        <v>1900</v>
      </c>
      <c r="D33" t="s">
        <v>179</v>
      </c>
      <c r="E33">
        <v>2020</v>
      </c>
      <c r="F33" t="s">
        <v>201</v>
      </c>
      <c r="G33" t="s">
        <v>202</v>
      </c>
      <c r="H33">
        <v>14</v>
      </c>
      <c r="I33" s="69">
        <v>44078</v>
      </c>
      <c r="J33">
        <v>2020</v>
      </c>
      <c r="K33" s="69">
        <v>44093</v>
      </c>
      <c r="L33" t="s">
        <v>203</v>
      </c>
      <c r="M33" t="s">
        <v>182</v>
      </c>
      <c r="N33" t="s">
        <v>204</v>
      </c>
      <c r="O33" s="69">
        <v>46295</v>
      </c>
      <c r="P33" t="s">
        <v>272</v>
      </c>
      <c r="Q33" s="69">
        <v>46430</v>
      </c>
      <c r="R33" s="69">
        <v>46295</v>
      </c>
      <c r="S33" s="69">
        <v>46430</v>
      </c>
      <c r="T33" s="69">
        <v>48339</v>
      </c>
      <c r="U33" s="69">
        <v>46293</v>
      </c>
      <c r="V33">
        <v>595703</v>
      </c>
      <c r="W33" t="s">
        <v>273</v>
      </c>
      <c r="X33">
        <v>364956</v>
      </c>
      <c r="Y33" t="s">
        <v>219</v>
      </c>
      <c r="Z33" t="s">
        <v>207</v>
      </c>
      <c r="AB33" t="s">
        <v>208</v>
      </c>
    </row>
    <row r="34" spans="1:28" ht="15.75" customHeight="1" x14ac:dyDescent="0.6">
      <c r="A34">
        <v>33</v>
      </c>
      <c r="B34" t="s">
        <v>274</v>
      </c>
      <c r="C34">
        <v>1900</v>
      </c>
      <c r="D34" t="s">
        <v>179</v>
      </c>
      <c r="E34">
        <v>2020</v>
      </c>
      <c r="F34" t="s">
        <v>201</v>
      </c>
      <c r="G34" t="s">
        <v>202</v>
      </c>
      <c r="H34">
        <v>14</v>
      </c>
      <c r="I34" s="69">
        <v>44078</v>
      </c>
      <c r="J34">
        <v>2020</v>
      </c>
      <c r="K34" s="69">
        <v>44093</v>
      </c>
      <c r="L34" t="s">
        <v>203</v>
      </c>
      <c r="M34" t="s">
        <v>182</v>
      </c>
      <c r="N34" t="s">
        <v>204</v>
      </c>
      <c r="O34" s="69">
        <v>46295</v>
      </c>
      <c r="Q34" s="69">
        <v>46248</v>
      </c>
      <c r="R34" s="69">
        <v>46295</v>
      </c>
      <c r="S34" s="69">
        <v>46248</v>
      </c>
      <c r="T34" s="69">
        <v>48094</v>
      </c>
      <c r="U34" s="69">
        <v>46293</v>
      </c>
      <c r="V34">
        <v>595669</v>
      </c>
      <c r="W34" t="s">
        <v>275</v>
      </c>
      <c r="X34">
        <v>179477</v>
      </c>
      <c r="Y34" s="69">
        <v>46248</v>
      </c>
      <c r="Z34" t="s">
        <v>207</v>
      </c>
      <c r="AB34" t="s">
        <v>208</v>
      </c>
    </row>
    <row r="35" spans="1:28" ht="15.75" customHeight="1" x14ac:dyDescent="0.6">
      <c r="A35">
        <v>34</v>
      </c>
      <c r="B35" t="s">
        <v>276</v>
      </c>
      <c r="C35">
        <v>1900</v>
      </c>
      <c r="D35" t="s">
        <v>179</v>
      </c>
      <c r="E35">
        <v>2020</v>
      </c>
      <c r="F35" t="s">
        <v>201</v>
      </c>
      <c r="G35" t="s">
        <v>202</v>
      </c>
      <c r="H35">
        <v>14</v>
      </c>
      <c r="I35" s="69">
        <v>44078</v>
      </c>
      <c r="J35">
        <v>2020</v>
      </c>
      <c r="K35" s="69">
        <v>44093</v>
      </c>
      <c r="L35" t="s">
        <v>203</v>
      </c>
      <c r="M35" t="s">
        <v>182</v>
      </c>
      <c r="N35" t="s">
        <v>204</v>
      </c>
      <c r="O35" s="69">
        <v>46295</v>
      </c>
      <c r="P35" t="s">
        <v>277</v>
      </c>
      <c r="Q35" s="69">
        <v>46514</v>
      </c>
      <c r="R35" s="69">
        <v>46295</v>
      </c>
      <c r="S35" s="69">
        <v>46514</v>
      </c>
      <c r="T35" s="69">
        <v>47922</v>
      </c>
      <c r="U35" s="69">
        <v>46293</v>
      </c>
      <c r="V35">
        <v>595672</v>
      </c>
      <c r="W35" t="s">
        <v>278</v>
      </c>
      <c r="X35">
        <v>309910</v>
      </c>
      <c r="Y35">
        <v>46162</v>
      </c>
      <c r="Z35" t="s">
        <v>207</v>
      </c>
      <c r="AB35" t="s">
        <v>208</v>
      </c>
    </row>
    <row r="36" spans="1:28" ht="15.75" customHeight="1" x14ac:dyDescent="0.6">
      <c r="A36">
        <v>35</v>
      </c>
      <c r="B36" t="s">
        <v>279</v>
      </c>
      <c r="C36">
        <v>1900</v>
      </c>
      <c r="D36" t="s">
        <v>179</v>
      </c>
      <c r="E36">
        <v>2020</v>
      </c>
      <c r="F36" t="s">
        <v>201</v>
      </c>
      <c r="G36" t="s">
        <v>202</v>
      </c>
      <c r="H36">
        <v>14</v>
      </c>
      <c r="I36" s="69">
        <v>44078</v>
      </c>
      <c r="J36">
        <v>2020</v>
      </c>
      <c r="K36" s="69">
        <v>44093</v>
      </c>
      <c r="L36" t="s">
        <v>203</v>
      </c>
      <c r="M36" t="s">
        <v>182</v>
      </c>
      <c r="N36" t="s">
        <v>204</v>
      </c>
      <c r="O36" s="69">
        <v>46295</v>
      </c>
      <c r="P36" t="s">
        <v>280</v>
      </c>
      <c r="Q36" s="69">
        <v>46269</v>
      </c>
      <c r="R36" s="69">
        <v>46295</v>
      </c>
      <c r="S36" s="69">
        <v>46269</v>
      </c>
      <c r="T36" s="69">
        <v>47976</v>
      </c>
      <c r="U36" s="69">
        <v>46293</v>
      </c>
      <c r="V36">
        <v>595706</v>
      </c>
      <c r="W36" t="s">
        <v>281</v>
      </c>
      <c r="X36">
        <v>446758</v>
      </c>
      <c r="Y36" s="69">
        <v>45892</v>
      </c>
      <c r="Z36" t="s">
        <v>207</v>
      </c>
      <c r="AB36" t="s">
        <v>215</v>
      </c>
    </row>
    <row r="37" spans="1:28" ht="15.75" customHeight="1" x14ac:dyDescent="0.6">
      <c r="A37">
        <v>36</v>
      </c>
      <c r="B37" t="s">
        <v>282</v>
      </c>
      <c r="C37">
        <v>1900</v>
      </c>
      <c r="D37" t="s">
        <v>179</v>
      </c>
      <c r="E37">
        <v>2020</v>
      </c>
      <c r="F37" t="s">
        <v>201</v>
      </c>
      <c r="G37" t="s">
        <v>202</v>
      </c>
      <c r="H37">
        <v>14</v>
      </c>
      <c r="I37" s="69">
        <v>44078</v>
      </c>
      <c r="J37">
        <v>2020</v>
      </c>
      <c r="K37" s="69">
        <v>44093</v>
      </c>
      <c r="L37" t="s">
        <v>203</v>
      </c>
      <c r="M37" t="s">
        <v>182</v>
      </c>
      <c r="N37" t="s">
        <v>204</v>
      </c>
      <c r="O37" s="69">
        <v>46295</v>
      </c>
      <c r="P37" t="s">
        <v>283</v>
      </c>
      <c r="Q37" s="69">
        <v>46303</v>
      </c>
      <c r="R37" s="69">
        <v>46295</v>
      </c>
      <c r="S37" s="69">
        <v>46303</v>
      </c>
      <c r="T37" s="69">
        <v>48339</v>
      </c>
      <c r="U37" s="69">
        <v>46293</v>
      </c>
      <c r="V37">
        <v>595674</v>
      </c>
      <c r="W37" t="s">
        <v>284</v>
      </c>
      <c r="X37">
        <v>393014</v>
      </c>
      <c r="Y37" t="s">
        <v>219</v>
      </c>
      <c r="Z37" t="s">
        <v>207</v>
      </c>
      <c r="AB37" t="s">
        <v>215</v>
      </c>
    </row>
    <row r="38" spans="1:28" ht="15.75" customHeight="1" x14ac:dyDescent="0.6">
      <c r="A38">
        <v>37</v>
      </c>
      <c r="B38" t="s">
        <v>285</v>
      </c>
      <c r="C38">
        <v>1900</v>
      </c>
      <c r="D38" t="s">
        <v>179</v>
      </c>
      <c r="E38">
        <v>2020</v>
      </c>
      <c r="F38" t="s">
        <v>201</v>
      </c>
      <c r="G38" t="s">
        <v>202</v>
      </c>
      <c r="H38">
        <v>14</v>
      </c>
      <c r="I38" s="69">
        <v>44078</v>
      </c>
      <c r="J38">
        <v>2020</v>
      </c>
      <c r="K38" s="69">
        <v>44093</v>
      </c>
      <c r="L38" t="s">
        <v>203</v>
      </c>
      <c r="M38" t="s">
        <v>182</v>
      </c>
      <c r="N38" t="s">
        <v>204</v>
      </c>
      <c r="O38" s="69">
        <v>46295</v>
      </c>
      <c r="Q38" s="69">
        <v>46254</v>
      </c>
      <c r="R38" s="69">
        <v>46295</v>
      </c>
      <c r="S38" s="69">
        <v>46254</v>
      </c>
      <c r="T38" s="69">
        <v>47976</v>
      </c>
      <c r="U38" s="69">
        <v>46293</v>
      </c>
      <c r="V38">
        <v>595705</v>
      </c>
      <c r="W38" t="s">
        <v>286</v>
      </c>
      <c r="X38">
        <v>430066</v>
      </c>
      <c r="Y38" s="69">
        <v>46262</v>
      </c>
      <c r="Z38" t="s">
        <v>207</v>
      </c>
      <c r="AB38" t="s">
        <v>208</v>
      </c>
    </row>
    <row r="39" spans="1:28" ht="15.75" customHeight="1" x14ac:dyDescent="0.6">
      <c r="A39">
        <v>38</v>
      </c>
      <c r="B39" t="s">
        <v>287</v>
      </c>
      <c r="C39">
        <v>1900</v>
      </c>
      <c r="D39" t="s">
        <v>179</v>
      </c>
      <c r="E39">
        <v>2020</v>
      </c>
      <c r="F39" t="s">
        <v>201</v>
      </c>
      <c r="G39" t="s">
        <v>226</v>
      </c>
      <c r="H39">
        <v>14</v>
      </c>
      <c r="I39" s="69">
        <v>44078</v>
      </c>
      <c r="J39">
        <v>2020</v>
      </c>
      <c r="K39" s="69">
        <v>44093</v>
      </c>
      <c r="L39" t="s">
        <v>203</v>
      </c>
      <c r="M39" t="s">
        <v>182</v>
      </c>
      <c r="N39" t="s">
        <v>204</v>
      </c>
      <c r="O39" s="69">
        <v>46295</v>
      </c>
      <c r="P39" t="s">
        <v>288</v>
      </c>
      <c r="Q39" s="69">
        <v>46302</v>
      </c>
      <c r="R39" s="69">
        <v>46295</v>
      </c>
      <c r="S39" s="69">
        <v>46302</v>
      </c>
      <c r="T39" s="69">
        <v>47976</v>
      </c>
      <c r="U39" s="69">
        <v>46293</v>
      </c>
      <c r="V39">
        <v>595673</v>
      </c>
      <c r="W39" t="s">
        <v>289</v>
      </c>
      <c r="X39">
        <v>379650</v>
      </c>
      <c r="Y39" t="s">
        <v>219</v>
      </c>
      <c r="Z39" t="s">
        <v>207</v>
      </c>
      <c r="AB39" t="s">
        <v>226</v>
      </c>
    </row>
    <row r="40" spans="1:28" ht="15.75" customHeight="1" x14ac:dyDescent="0.6">
      <c r="A40">
        <v>39</v>
      </c>
      <c r="B40" t="s">
        <v>290</v>
      </c>
      <c r="C40">
        <v>1900</v>
      </c>
      <c r="D40" t="s">
        <v>179</v>
      </c>
      <c r="E40">
        <v>2020</v>
      </c>
      <c r="F40" t="s">
        <v>201</v>
      </c>
      <c r="G40" t="s">
        <v>202</v>
      </c>
      <c r="H40">
        <v>14</v>
      </c>
      <c r="I40" s="69">
        <v>44078</v>
      </c>
      <c r="J40">
        <v>2020</v>
      </c>
      <c r="K40" s="69">
        <v>44093</v>
      </c>
      <c r="L40" t="s">
        <v>203</v>
      </c>
      <c r="M40" t="s">
        <v>182</v>
      </c>
      <c r="N40" t="s">
        <v>204</v>
      </c>
      <c r="O40" s="69">
        <v>46295</v>
      </c>
      <c r="P40" t="s">
        <v>291</v>
      </c>
      <c r="Q40" s="69">
        <v>46442</v>
      </c>
      <c r="R40" s="69">
        <v>46295</v>
      </c>
      <c r="S40" s="69">
        <v>46442</v>
      </c>
      <c r="T40" s="69">
        <v>48339</v>
      </c>
      <c r="U40" s="69">
        <v>46293</v>
      </c>
      <c r="V40">
        <v>595708</v>
      </c>
      <c r="W40" t="s">
        <v>292</v>
      </c>
      <c r="X40">
        <v>261390</v>
      </c>
      <c r="Y40" s="69">
        <v>46078</v>
      </c>
      <c r="Z40" t="s">
        <v>207</v>
      </c>
      <c r="AB40" t="s">
        <v>208</v>
      </c>
    </row>
    <row r="41" spans="1:28" ht="15.75" customHeight="1" x14ac:dyDescent="0.6">
      <c r="A41">
        <v>40</v>
      </c>
      <c r="B41" t="s">
        <v>293</v>
      </c>
      <c r="C41">
        <v>1900</v>
      </c>
      <c r="D41" t="s">
        <v>179</v>
      </c>
      <c r="E41">
        <v>2020</v>
      </c>
      <c r="F41" t="s">
        <v>201</v>
      </c>
      <c r="G41" t="s">
        <v>202</v>
      </c>
      <c r="H41">
        <v>14</v>
      </c>
      <c r="I41" s="69">
        <v>44172</v>
      </c>
      <c r="J41">
        <v>2020</v>
      </c>
      <c r="K41" s="69">
        <v>44187</v>
      </c>
      <c r="L41" t="s">
        <v>203</v>
      </c>
      <c r="M41" t="s">
        <v>182</v>
      </c>
      <c r="N41" t="s">
        <v>204</v>
      </c>
      <c r="O41" s="69">
        <v>46381</v>
      </c>
      <c r="P41" t="s">
        <v>294</v>
      </c>
      <c r="Q41" s="69">
        <v>46343</v>
      </c>
      <c r="R41" s="69">
        <v>46381</v>
      </c>
      <c r="S41" s="69">
        <v>46343</v>
      </c>
      <c r="T41" s="69">
        <v>48339</v>
      </c>
      <c r="U41" s="69">
        <v>46380</v>
      </c>
      <c r="W41" t="s">
        <v>295</v>
      </c>
      <c r="X41">
        <v>385829</v>
      </c>
      <c r="Y41" s="69">
        <v>45988</v>
      </c>
      <c r="Z41" t="s">
        <v>207</v>
      </c>
      <c r="AB41" t="s">
        <v>208</v>
      </c>
    </row>
    <row r="42" spans="1:28" ht="15.75" customHeight="1" x14ac:dyDescent="0.6">
      <c r="A42">
        <v>41</v>
      </c>
      <c r="B42" t="s">
        <v>296</v>
      </c>
      <c r="C42">
        <v>1900</v>
      </c>
      <c r="D42" t="s">
        <v>179</v>
      </c>
      <c r="E42">
        <v>2020</v>
      </c>
      <c r="F42" t="s">
        <v>201</v>
      </c>
      <c r="G42" t="s">
        <v>202</v>
      </c>
      <c r="H42">
        <v>14</v>
      </c>
      <c r="I42" s="69">
        <v>44172</v>
      </c>
      <c r="J42">
        <v>2020</v>
      </c>
      <c r="K42" s="69">
        <v>44187</v>
      </c>
      <c r="L42" t="s">
        <v>203</v>
      </c>
      <c r="M42" t="s">
        <v>182</v>
      </c>
      <c r="N42" t="s">
        <v>204</v>
      </c>
      <c r="O42" s="69">
        <v>46381</v>
      </c>
      <c r="P42" t="s">
        <v>297</v>
      </c>
      <c r="Q42" s="69">
        <v>46350</v>
      </c>
      <c r="R42" s="69">
        <v>46381</v>
      </c>
      <c r="S42" s="69">
        <v>46350</v>
      </c>
      <c r="T42" s="69">
        <v>48339</v>
      </c>
      <c r="U42" s="69">
        <v>46380</v>
      </c>
      <c r="W42" t="s">
        <v>298</v>
      </c>
      <c r="X42">
        <v>497428</v>
      </c>
      <c r="Y42" s="69">
        <v>45789</v>
      </c>
      <c r="Z42" t="s">
        <v>207</v>
      </c>
      <c r="AB42" t="s">
        <v>208</v>
      </c>
    </row>
    <row r="43" spans="1:28" ht="15.75" customHeight="1" x14ac:dyDescent="0.6">
      <c r="A43">
        <v>42</v>
      </c>
      <c r="B43" t="s">
        <v>299</v>
      </c>
      <c r="C43">
        <v>1900</v>
      </c>
      <c r="D43" t="s">
        <v>179</v>
      </c>
      <c r="E43">
        <v>2020</v>
      </c>
      <c r="F43" t="s">
        <v>201</v>
      </c>
      <c r="G43" t="s">
        <v>202</v>
      </c>
      <c r="H43">
        <v>14</v>
      </c>
      <c r="I43" s="69">
        <v>44163</v>
      </c>
      <c r="J43">
        <v>2020</v>
      </c>
      <c r="K43" s="69">
        <v>44178</v>
      </c>
      <c r="L43" t="s">
        <v>203</v>
      </c>
      <c r="M43" t="s">
        <v>182</v>
      </c>
      <c r="N43" t="s">
        <v>204</v>
      </c>
      <c r="O43" s="69">
        <v>46381</v>
      </c>
      <c r="P43" t="s">
        <v>300</v>
      </c>
      <c r="Q43" s="69">
        <v>46451</v>
      </c>
      <c r="R43" s="69">
        <v>46381</v>
      </c>
      <c r="S43" s="69">
        <v>46451</v>
      </c>
      <c r="T43" s="69">
        <v>48339</v>
      </c>
      <c r="U43" s="69">
        <v>46380</v>
      </c>
      <c r="V43">
        <v>624641</v>
      </c>
      <c r="W43" t="s">
        <v>301</v>
      </c>
      <c r="X43">
        <v>303276</v>
      </c>
      <c r="Y43" s="69">
        <v>46094</v>
      </c>
      <c r="Z43" t="s">
        <v>207</v>
      </c>
      <c r="AB43" t="s">
        <v>208</v>
      </c>
    </row>
    <row r="44" spans="1:28" ht="15.75" customHeight="1" x14ac:dyDescent="0.6">
      <c r="A44">
        <v>43</v>
      </c>
      <c r="B44" t="s">
        <v>302</v>
      </c>
      <c r="C44">
        <v>1900</v>
      </c>
      <c r="D44" t="s">
        <v>179</v>
      </c>
      <c r="E44">
        <v>2020</v>
      </c>
      <c r="F44" t="s">
        <v>201</v>
      </c>
      <c r="G44" t="s">
        <v>202</v>
      </c>
      <c r="H44">
        <v>14</v>
      </c>
      <c r="I44" s="69">
        <v>44163</v>
      </c>
      <c r="J44">
        <v>2020</v>
      </c>
      <c r="K44" s="69">
        <v>44178</v>
      </c>
      <c r="L44" t="s">
        <v>203</v>
      </c>
      <c r="M44" t="s">
        <v>182</v>
      </c>
      <c r="N44" t="s">
        <v>204</v>
      </c>
      <c r="O44" s="69">
        <v>46381</v>
      </c>
      <c r="P44" t="s">
        <v>303</v>
      </c>
      <c r="Q44" s="69">
        <v>46358</v>
      </c>
      <c r="R44" s="69">
        <v>46381</v>
      </c>
      <c r="S44" s="69">
        <v>46358</v>
      </c>
      <c r="T44" s="69">
        <v>48339</v>
      </c>
      <c r="U44" s="69">
        <v>46380</v>
      </c>
      <c r="V44">
        <v>624652</v>
      </c>
      <c r="W44" t="s">
        <v>304</v>
      </c>
      <c r="X44">
        <v>264823</v>
      </c>
      <c r="Y44" t="s">
        <v>219</v>
      </c>
      <c r="Z44" t="s">
        <v>207</v>
      </c>
      <c r="AB44" t="s">
        <v>215</v>
      </c>
    </row>
    <row r="45" spans="1:28" ht="15.75" customHeight="1" x14ac:dyDescent="0.6">
      <c r="A45">
        <v>44</v>
      </c>
      <c r="B45" t="s">
        <v>305</v>
      </c>
      <c r="C45">
        <v>1900</v>
      </c>
      <c r="D45" t="s">
        <v>179</v>
      </c>
      <c r="E45">
        <v>2020</v>
      </c>
      <c r="F45" t="s">
        <v>201</v>
      </c>
      <c r="G45" t="s">
        <v>202</v>
      </c>
      <c r="H45">
        <v>14</v>
      </c>
      <c r="I45" s="69">
        <v>44163</v>
      </c>
      <c r="J45">
        <v>2020</v>
      </c>
      <c r="K45" s="69">
        <v>44178</v>
      </c>
      <c r="L45" t="s">
        <v>203</v>
      </c>
      <c r="M45" t="s">
        <v>182</v>
      </c>
      <c r="N45" t="s">
        <v>204</v>
      </c>
      <c r="O45" s="69">
        <v>46381</v>
      </c>
      <c r="P45" t="s">
        <v>306</v>
      </c>
      <c r="Q45" s="69">
        <v>46353</v>
      </c>
      <c r="R45" s="69">
        <v>46381</v>
      </c>
      <c r="S45" s="69">
        <v>46353</v>
      </c>
      <c r="T45" s="69">
        <v>48339</v>
      </c>
      <c r="U45" s="69">
        <v>46380</v>
      </c>
      <c r="V45">
        <v>624651</v>
      </c>
      <c r="W45" t="s">
        <v>307</v>
      </c>
      <c r="X45">
        <v>395761</v>
      </c>
      <c r="Y45" s="69">
        <v>45992</v>
      </c>
      <c r="Z45" t="s">
        <v>207</v>
      </c>
      <c r="AB45" t="s">
        <v>208</v>
      </c>
    </row>
    <row r="46" spans="1:28" ht="15.75" customHeight="1" x14ac:dyDescent="0.6">
      <c r="A46">
        <v>45</v>
      </c>
      <c r="B46" t="s">
        <v>308</v>
      </c>
      <c r="C46">
        <v>1900</v>
      </c>
      <c r="D46" t="s">
        <v>179</v>
      </c>
      <c r="E46">
        <v>2020</v>
      </c>
      <c r="F46" t="s">
        <v>201</v>
      </c>
      <c r="G46" t="s">
        <v>202</v>
      </c>
      <c r="H46">
        <v>14</v>
      </c>
      <c r="I46" s="69">
        <v>44163</v>
      </c>
      <c r="J46">
        <v>2020</v>
      </c>
      <c r="K46" s="69">
        <v>44178</v>
      </c>
      <c r="L46" t="s">
        <v>203</v>
      </c>
      <c r="M46" t="s">
        <v>182</v>
      </c>
      <c r="N46" t="s">
        <v>204</v>
      </c>
      <c r="O46" s="69">
        <v>46381</v>
      </c>
      <c r="P46" t="s">
        <v>309</v>
      </c>
      <c r="Q46" s="69">
        <v>46343</v>
      </c>
      <c r="R46" s="69">
        <v>46381</v>
      </c>
      <c r="S46" s="69">
        <v>46343</v>
      </c>
      <c r="T46" s="69">
        <v>48339</v>
      </c>
      <c r="U46" s="69">
        <v>46380</v>
      </c>
      <c r="V46">
        <v>624644</v>
      </c>
      <c r="W46" t="s">
        <v>310</v>
      </c>
      <c r="X46">
        <v>414710</v>
      </c>
      <c r="Y46" t="s">
        <v>219</v>
      </c>
      <c r="Z46" t="s">
        <v>207</v>
      </c>
      <c r="AB46" t="s">
        <v>208</v>
      </c>
    </row>
    <row r="47" spans="1:28" ht="15.75" customHeight="1" x14ac:dyDescent="0.6">
      <c r="A47">
        <v>46</v>
      </c>
      <c r="B47" t="s">
        <v>311</v>
      </c>
      <c r="C47">
        <v>1900</v>
      </c>
      <c r="D47" t="s">
        <v>179</v>
      </c>
      <c r="E47">
        <v>2020</v>
      </c>
      <c r="F47" t="s">
        <v>201</v>
      </c>
      <c r="G47" t="s">
        <v>202</v>
      </c>
      <c r="H47">
        <v>14</v>
      </c>
      <c r="I47" s="69">
        <v>44163</v>
      </c>
      <c r="J47">
        <v>2020</v>
      </c>
      <c r="K47" s="69">
        <v>44178</v>
      </c>
      <c r="L47" t="s">
        <v>203</v>
      </c>
      <c r="M47" t="s">
        <v>182</v>
      </c>
      <c r="N47" t="s">
        <v>204</v>
      </c>
      <c r="O47" s="69">
        <v>46381</v>
      </c>
      <c r="P47" t="s">
        <v>312</v>
      </c>
      <c r="Q47" s="69">
        <v>46335</v>
      </c>
      <c r="R47" s="69">
        <v>46381</v>
      </c>
      <c r="S47" s="69">
        <v>46335</v>
      </c>
      <c r="T47" s="69">
        <v>48339</v>
      </c>
      <c r="U47" s="69">
        <v>46380</v>
      </c>
      <c r="V47">
        <v>624643</v>
      </c>
      <c r="W47" t="s">
        <v>313</v>
      </c>
      <c r="X47">
        <v>469588</v>
      </c>
      <c r="Y47" s="69">
        <v>45982</v>
      </c>
      <c r="Z47" t="s">
        <v>207</v>
      </c>
      <c r="AB47" t="s">
        <v>208</v>
      </c>
    </row>
    <row r="48" spans="1:28" ht="15.75" customHeight="1" x14ac:dyDescent="0.6">
      <c r="A48">
        <v>47</v>
      </c>
      <c r="B48" t="s">
        <v>314</v>
      </c>
      <c r="C48">
        <v>1900</v>
      </c>
      <c r="D48" t="s">
        <v>179</v>
      </c>
      <c r="E48">
        <v>2020</v>
      </c>
      <c r="F48" t="s">
        <v>201</v>
      </c>
      <c r="G48" t="s">
        <v>202</v>
      </c>
      <c r="H48">
        <v>14</v>
      </c>
      <c r="I48" s="69">
        <v>44172</v>
      </c>
      <c r="J48">
        <v>2020</v>
      </c>
      <c r="K48" s="69">
        <v>44187</v>
      </c>
      <c r="L48" t="s">
        <v>203</v>
      </c>
      <c r="M48" t="s">
        <v>182</v>
      </c>
      <c r="N48" t="s">
        <v>204</v>
      </c>
      <c r="O48" s="69">
        <v>46381</v>
      </c>
      <c r="P48" t="s">
        <v>315</v>
      </c>
      <c r="Q48" s="69">
        <v>46345</v>
      </c>
      <c r="R48" s="69">
        <v>46381</v>
      </c>
      <c r="S48" s="69">
        <v>46345</v>
      </c>
      <c r="T48" s="69">
        <v>48339</v>
      </c>
      <c r="U48" s="69">
        <v>46380</v>
      </c>
      <c r="W48" t="s">
        <v>316</v>
      </c>
      <c r="X48">
        <v>412280</v>
      </c>
      <c r="Y48" t="s">
        <v>219</v>
      </c>
      <c r="Z48" t="s">
        <v>207</v>
      </c>
      <c r="AB48" t="s">
        <v>208</v>
      </c>
    </row>
    <row r="49" spans="1:28" ht="15.75" customHeight="1" x14ac:dyDescent="0.6">
      <c r="A49">
        <v>48</v>
      </c>
      <c r="B49" t="s">
        <v>317</v>
      </c>
      <c r="C49">
        <v>1900</v>
      </c>
      <c r="D49" t="s">
        <v>179</v>
      </c>
      <c r="E49">
        <v>2020</v>
      </c>
      <c r="F49" t="s">
        <v>201</v>
      </c>
      <c r="G49" t="s">
        <v>226</v>
      </c>
      <c r="H49">
        <v>14</v>
      </c>
      <c r="I49" s="69">
        <v>44163</v>
      </c>
      <c r="J49">
        <v>2020</v>
      </c>
      <c r="K49" s="69">
        <v>44178</v>
      </c>
      <c r="L49" t="s">
        <v>203</v>
      </c>
      <c r="M49" t="s">
        <v>182</v>
      </c>
      <c r="N49" t="s">
        <v>204</v>
      </c>
      <c r="O49" s="69">
        <v>46381</v>
      </c>
      <c r="P49" t="s">
        <v>318</v>
      </c>
      <c r="Q49" s="69">
        <v>46340</v>
      </c>
      <c r="R49" s="69">
        <v>46381</v>
      </c>
      <c r="S49" s="69">
        <v>46340</v>
      </c>
      <c r="T49" s="69">
        <v>48339</v>
      </c>
      <c r="U49" s="69">
        <v>46380</v>
      </c>
      <c r="V49">
        <v>624646</v>
      </c>
      <c r="W49" t="s">
        <v>319</v>
      </c>
      <c r="X49">
        <v>469708</v>
      </c>
      <c r="Y49" t="s">
        <v>219</v>
      </c>
      <c r="Z49" t="s">
        <v>207</v>
      </c>
      <c r="AB49" t="s">
        <v>226</v>
      </c>
    </row>
    <row r="50" spans="1:28" ht="15.75" customHeight="1" x14ac:dyDescent="0.6">
      <c r="A50">
        <v>49</v>
      </c>
      <c r="B50" t="s">
        <v>320</v>
      </c>
      <c r="C50">
        <v>1900</v>
      </c>
      <c r="D50" t="s">
        <v>179</v>
      </c>
      <c r="E50">
        <v>2020</v>
      </c>
      <c r="F50" t="s">
        <v>201</v>
      </c>
      <c r="G50" t="s">
        <v>202</v>
      </c>
      <c r="H50">
        <v>14</v>
      </c>
      <c r="I50" s="69">
        <v>44172</v>
      </c>
      <c r="J50">
        <v>2020</v>
      </c>
      <c r="K50" s="69">
        <v>44187</v>
      </c>
      <c r="L50" t="s">
        <v>203</v>
      </c>
      <c r="M50" t="s">
        <v>182</v>
      </c>
      <c r="N50" t="s">
        <v>204</v>
      </c>
      <c r="O50" s="69">
        <v>46381</v>
      </c>
      <c r="P50" t="s">
        <v>321</v>
      </c>
      <c r="Q50" s="69">
        <v>46345</v>
      </c>
      <c r="R50" s="69">
        <v>46381</v>
      </c>
      <c r="S50" s="69">
        <v>46345</v>
      </c>
      <c r="T50" s="69">
        <v>48339</v>
      </c>
      <c r="U50" s="69">
        <v>46380</v>
      </c>
      <c r="V50">
        <v>622826</v>
      </c>
      <c r="W50" t="s">
        <v>322</v>
      </c>
      <c r="X50">
        <v>320969</v>
      </c>
      <c r="Y50" t="s">
        <v>219</v>
      </c>
      <c r="Z50" t="s">
        <v>207</v>
      </c>
      <c r="AA50" t="s">
        <v>323</v>
      </c>
      <c r="AB50" t="s">
        <v>208</v>
      </c>
    </row>
    <row r="51" spans="1:28" ht="15.75" customHeight="1" x14ac:dyDescent="0.6">
      <c r="A51">
        <v>50</v>
      </c>
      <c r="B51" t="s">
        <v>324</v>
      </c>
      <c r="C51">
        <v>1900</v>
      </c>
      <c r="D51" t="s">
        <v>179</v>
      </c>
      <c r="E51">
        <v>2020</v>
      </c>
      <c r="F51" t="s">
        <v>201</v>
      </c>
      <c r="G51" t="s">
        <v>226</v>
      </c>
      <c r="H51">
        <v>14</v>
      </c>
      <c r="I51" s="69">
        <v>44172</v>
      </c>
      <c r="J51">
        <v>2020</v>
      </c>
      <c r="K51" s="69">
        <v>44187</v>
      </c>
      <c r="L51" t="s">
        <v>203</v>
      </c>
      <c r="M51" t="s">
        <v>182</v>
      </c>
      <c r="N51" t="s">
        <v>204</v>
      </c>
      <c r="O51" s="69">
        <v>46381</v>
      </c>
      <c r="P51" t="s">
        <v>325</v>
      </c>
      <c r="Q51" s="69">
        <v>46336</v>
      </c>
      <c r="R51" s="69">
        <v>46381</v>
      </c>
      <c r="S51" s="69">
        <v>46336</v>
      </c>
      <c r="T51" s="69">
        <v>48339</v>
      </c>
      <c r="U51" s="69">
        <v>46380</v>
      </c>
      <c r="V51">
        <v>622836</v>
      </c>
      <c r="W51" t="s">
        <v>326</v>
      </c>
      <c r="X51">
        <v>432088</v>
      </c>
      <c r="Y51" t="s">
        <v>219</v>
      </c>
      <c r="Z51" t="s">
        <v>207</v>
      </c>
      <c r="AB51" t="s">
        <v>226</v>
      </c>
    </row>
    <row r="52" spans="1:28" ht="15.75" customHeight="1" x14ac:dyDescent="0.6">
      <c r="A52">
        <v>51</v>
      </c>
      <c r="B52" t="s">
        <v>327</v>
      </c>
      <c r="C52">
        <v>1900</v>
      </c>
      <c r="D52" t="s">
        <v>179</v>
      </c>
      <c r="E52">
        <v>2020</v>
      </c>
      <c r="F52" t="s">
        <v>201</v>
      </c>
      <c r="G52" t="s">
        <v>202</v>
      </c>
      <c r="H52">
        <v>14</v>
      </c>
      <c r="I52" s="69">
        <v>44163</v>
      </c>
      <c r="J52">
        <v>2020</v>
      </c>
      <c r="K52" s="69">
        <v>44178</v>
      </c>
      <c r="L52" t="s">
        <v>203</v>
      </c>
      <c r="M52" t="s">
        <v>182</v>
      </c>
      <c r="N52" t="s">
        <v>204</v>
      </c>
      <c r="O52" s="69">
        <v>46381</v>
      </c>
      <c r="P52" t="s">
        <v>328</v>
      </c>
      <c r="Q52" s="69">
        <v>46491</v>
      </c>
      <c r="R52" s="69">
        <v>46381</v>
      </c>
      <c r="S52" s="69">
        <v>46491</v>
      </c>
      <c r="T52" s="69">
        <v>48339</v>
      </c>
      <c r="U52" s="69">
        <v>46380</v>
      </c>
      <c r="W52" t="s">
        <v>329</v>
      </c>
      <c r="X52">
        <v>410605</v>
      </c>
      <c r="Y52" t="s">
        <v>219</v>
      </c>
      <c r="Z52" t="s">
        <v>207</v>
      </c>
      <c r="AB52" t="s">
        <v>215</v>
      </c>
    </row>
    <row r="53" spans="1:28" ht="15.75" customHeight="1" x14ac:dyDescent="0.6">
      <c r="A53">
        <v>52</v>
      </c>
      <c r="B53" t="s">
        <v>330</v>
      </c>
      <c r="C53">
        <v>1900</v>
      </c>
      <c r="D53" t="s">
        <v>179</v>
      </c>
      <c r="E53">
        <v>2020</v>
      </c>
      <c r="F53" t="s">
        <v>201</v>
      </c>
      <c r="G53" t="s">
        <v>202</v>
      </c>
      <c r="H53">
        <v>14</v>
      </c>
      <c r="I53" s="69">
        <v>44163</v>
      </c>
      <c r="J53">
        <v>2020</v>
      </c>
      <c r="K53" s="69">
        <v>44178</v>
      </c>
      <c r="L53" t="s">
        <v>203</v>
      </c>
      <c r="M53" t="s">
        <v>182</v>
      </c>
      <c r="N53" t="s">
        <v>204</v>
      </c>
      <c r="O53" s="69">
        <v>46381</v>
      </c>
      <c r="P53" t="s">
        <v>331</v>
      </c>
      <c r="Q53" s="69">
        <v>46339</v>
      </c>
      <c r="R53" s="69">
        <v>46381</v>
      </c>
      <c r="S53" s="69">
        <v>46339</v>
      </c>
      <c r="T53" s="69">
        <v>48339</v>
      </c>
      <c r="U53" s="69">
        <v>46380</v>
      </c>
      <c r="V53">
        <v>624654</v>
      </c>
      <c r="W53" t="s">
        <v>332</v>
      </c>
      <c r="X53">
        <v>446293</v>
      </c>
      <c r="Y53" s="69">
        <v>45975</v>
      </c>
      <c r="Z53" t="s">
        <v>207</v>
      </c>
      <c r="AB53" t="s">
        <v>208</v>
      </c>
    </row>
    <row r="54" spans="1:28" ht="15.75" customHeight="1" x14ac:dyDescent="0.6">
      <c r="A54">
        <v>53</v>
      </c>
      <c r="B54" t="s">
        <v>333</v>
      </c>
      <c r="C54">
        <v>1900</v>
      </c>
      <c r="D54" t="s">
        <v>179</v>
      </c>
      <c r="E54">
        <v>2020</v>
      </c>
      <c r="F54" t="s">
        <v>201</v>
      </c>
      <c r="G54" t="s">
        <v>202</v>
      </c>
      <c r="H54">
        <v>14</v>
      </c>
      <c r="I54" s="69">
        <v>44163</v>
      </c>
      <c r="J54">
        <v>2020</v>
      </c>
      <c r="K54" s="69">
        <v>44178</v>
      </c>
      <c r="L54" t="s">
        <v>203</v>
      </c>
      <c r="M54" t="s">
        <v>182</v>
      </c>
      <c r="N54" t="s">
        <v>204</v>
      </c>
      <c r="O54" s="69">
        <v>46381</v>
      </c>
      <c r="P54" t="s">
        <v>334</v>
      </c>
      <c r="Q54" s="69">
        <v>46353</v>
      </c>
      <c r="R54" s="69">
        <v>46381</v>
      </c>
      <c r="S54" s="69">
        <v>46353</v>
      </c>
      <c r="T54" s="69">
        <v>48339</v>
      </c>
      <c r="U54" s="69">
        <v>46380</v>
      </c>
      <c r="W54" t="s">
        <v>335</v>
      </c>
      <c r="X54">
        <v>379365</v>
      </c>
      <c r="Y54" s="69">
        <v>46000</v>
      </c>
      <c r="Z54" t="s">
        <v>207</v>
      </c>
      <c r="AB54" t="s">
        <v>208</v>
      </c>
    </row>
    <row r="55" spans="1:28" ht="15.75" customHeight="1" x14ac:dyDescent="0.6">
      <c r="A55">
        <v>54</v>
      </c>
      <c r="B55" t="s">
        <v>336</v>
      </c>
      <c r="C55">
        <v>1900</v>
      </c>
      <c r="D55" t="s">
        <v>179</v>
      </c>
      <c r="E55">
        <v>2020</v>
      </c>
      <c r="F55" t="s">
        <v>201</v>
      </c>
      <c r="G55" t="s">
        <v>202</v>
      </c>
      <c r="H55">
        <v>14</v>
      </c>
      <c r="I55" s="69">
        <v>44163</v>
      </c>
      <c r="J55">
        <v>2020</v>
      </c>
      <c r="K55" s="69">
        <v>44178</v>
      </c>
      <c r="L55" t="s">
        <v>203</v>
      </c>
      <c r="M55" t="s">
        <v>182</v>
      </c>
      <c r="N55" t="s">
        <v>204</v>
      </c>
      <c r="O55" s="69">
        <v>46381</v>
      </c>
      <c r="P55" t="s">
        <v>337</v>
      </c>
      <c r="Q55" s="69">
        <v>46351</v>
      </c>
      <c r="R55" s="69">
        <v>46381</v>
      </c>
      <c r="S55" s="69">
        <v>46351</v>
      </c>
      <c r="T55" s="69">
        <v>48339</v>
      </c>
      <c r="U55" s="69">
        <v>46380</v>
      </c>
      <c r="V55">
        <v>624656</v>
      </c>
      <c r="W55" t="s">
        <v>338</v>
      </c>
      <c r="X55">
        <v>386886</v>
      </c>
      <c r="Y55" t="s">
        <v>219</v>
      </c>
      <c r="Z55" t="s">
        <v>207</v>
      </c>
      <c r="AB55" t="s">
        <v>208</v>
      </c>
    </row>
    <row r="56" spans="1:28" ht="15.75" customHeight="1" x14ac:dyDescent="0.6">
      <c r="A56">
        <v>55</v>
      </c>
      <c r="B56" t="s">
        <v>339</v>
      </c>
      <c r="C56">
        <v>1900</v>
      </c>
      <c r="D56" t="s">
        <v>179</v>
      </c>
      <c r="E56">
        <v>2020</v>
      </c>
      <c r="F56" t="s">
        <v>201</v>
      </c>
      <c r="G56" t="s">
        <v>202</v>
      </c>
      <c r="H56">
        <v>14</v>
      </c>
      <c r="I56" s="69">
        <v>44172</v>
      </c>
      <c r="J56">
        <v>2020</v>
      </c>
      <c r="K56" s="69">
        <v>44187</v>
      </c>
      <c r="L56" t="s">
        <v>203</v>
      </c>
      <c r="M56" t="s">
        <v>182</v>
      </c>
      <c r="N56" t="s">
        <v>204</v>
      </c>
      <c r="O56" s="69">
        <v>46381</v>
      </c>
      <c r="P56" t="s">
        <v>340</v>
      </c>
      <c r="Q56" s="69">
        <v>46328</v>
      </c>
      <c r="R56" s="69">
        <v>46381</v>
      </c>
      <c r="S56" s="69">
        <v>46328</v>
      </c>
      <c r="T56" s="69">
        <v>48339</v>
      </c>
      <c r="U56" s="69">
        <v>46380</v>
      </c>
      <c r="V56">
        <v>622830</v>
      </c>
      <c r="W56" t="s">
        <v>341</v>
      </c>
      <c r="X56">
        <v>350174</v>
      </c>
      <c r="Y56" s="69">
        <v>45974</v>
      </c>
      <c r="Z56" t="s">
        <v>207</v>
      </c>
      <c r="AB56" t="s">
        <v>208</v>
      </c>
    </row>
    <row r="57" spans="1:28" ht="15.75" customHeight="1" x14ac:dyDescent="0.6">
      <c r="A57">
        <v>56</v>
      </c>
      <c r="B57" t="s">
        <v>342</v>
      </c>
      <c r="C57">
        <v>1900</v>
      </c>
      <c r="D57" t="s">
        <v>179</v>
      </c>
      <c r="E57">
        <v>2020</v>
      </c>
      <c r="F57" t="s">
        <v>201</v>
      </c>
      <c r="G57" t="s">
        <v>202</v>
      </c>
      <c r="H57">
        <v>14</v>
      </c>
      <c r="I57" s="69">
        <v>44172</v>
      </c>
      <c r="J57">
        <v>2020</v>
      </c>
      <c r="K57" s="69">
        <v>44187</v>
      </c>
      <c r="L57" t="s">
        <v>203</v>
      </c>
      <c r="M57" t="s">
        <v>182</v>
      </c>
      <c r="N57" t="s">
        <v>204</v>
      </c>
      <c r="O57" s="69">
        <v>46381</v>
      </c>
      <c r="P57" t="s">
        <v>343</v>
      </c>
      <c r="Q57" s="69">
        <v>46336</v>
      </c>
      <c r="R57" s="69">
        <v>46381</v>
      </c>
      <c r="S57" s="69">
        <v>46336</v>
      </c>
      <c r="T57" s="69">
        <v>48339</v>
      </c>
      <c r="U57" s="69">
        <v>46380</v>
      </c>
      <c r="V57">
        <v>622835</v>
      </c>
      <c r="W57" t="s">
        <v>344</v>
      </c>
      <c r="X57">
        <v>392908</v>
      </c>
      <c r="Y57" t="s">
        <v>219</v>
      </c>
      <c r="Z57" t="s">
        <v>207</v>
      </c>
      <c r="AB57" t="s">
        <v>215</v>
      </c>
    </row>
    <row r="58" spans="1:28" ht="15.75" customHeight="1" x14ac:dyDescent="0.6">
      <c r="A58">
        <v>57</v>
      </c>
      <c r="B58" t="s">
        <v>345</v>
      </c>
      <c r="C58">
        <v>1900</v>
      </c>
      <c r="D58" t="s">
        <v>179</v>
      </c>
      <c r="E58">
        <v>2020</v>
      </c>
      <c r="F58" t="s">
        <v>201</v>
      </c>
      <c r="G58" t="s">
        <v>202</v>
      </c>
      <c r="H58">
        <v>14</v>
      </c>
      <c r="I58" s="69">
        <v>44172</v>
      </c>
      <c r="J58">
        <v>2020</v>
      </c>
      <c r="K58" s="69">
        <v>44187</v>
      </c>
      <c r="L58" t="s">
        <v>203</v>
      </c>
      <c r="M58" t="s">
        <v>182</v>
      </c>
      <c r="N58" t="s">
        <v>204</v>
      </c>
      <c r="O58" s="69">
        <v>46381</v>
      </c>
      <c r="Q58" s="69">
        <v>46329</v>
      </c>
      <c r="R58" s="69">
        <v>46381</v>
      </c>
      <c r="S58" s="69">
        <v>46329</v>
      </c>
      <c r="T58" s="69">
        <v>48339</v>
      </c>
      <c r="U58" s="69">
        <v>46380</v>
      </c>
      <c r="V58">
        <v>522838</v>
      </c>
      <c r="W58" t="s">
        <v>346</v>
      </c>
      <c r="X58">
        <v>526751</v>
      </c>
      <c r="Y58" s="69">
        <v>45981</v>
      </c>
      <c r="Z58" t="s">
        <v>207</v>
      </c>
      <c r="AB58" t="s">
        <v>208</v>
      </c>
    </row>
    <row r="59" spans="1:28" ht="15.75" customHeight="1" x14ac:dyDescent="0.6">
      <c r="A59">
        <v>58</v>
      </c>
      <c r="B59" t="s">
        <v>347</v>
      </c>
      <c r="C59">
        <v>1900</v>
      </c>
      <c r="D59" t="s">
        <v>179</v>
      </c>
      <c r="E59">
        <v>2020</v>
      </c>
      <c r="F59" t="s">
        <v>201</v>
      </c>
      <c r="G59" t="s">
        <v>202</v>
      </c>
      <c r="H59">
        <v>14</v>
      </c>
      <c r="I59" s="69">
        <v>44172</v>
      </c>
      <c r="J59">
        <v>2020</v>
      </c>
      <c r="K59" s="69">
        <v>44187</v>
      </c>
      <c r="L59" t="s">
        <v>203</v>
      </c>
      <c r="M59" t="s">
        <v>182</v>
      </c>
      <c r="N59" t="s">
        <v>204</v>
      </c>
      <c r="O59" s="69">
        <v>46381</v>
      </c>
      <c r="P59" t="s">
        <v>348</v>
      </c>
      <c r="Q59" s="69">
        <v>46330</v>
      </c>
      <c r="R59" s="69">
        <v>46381</v>
      </c>
      <c r="S59" s="69">
        <v>46330</v>
      </c>
      <c r="T59" s="69">
        <v>48339</v>
      </c>
      <c r="U59" s="69">
        <v>46380</v>
      </c>
      <c r="V59">
        <v>622829</v>
      </c>
      <c r="W59" t="s">
        <v>349</v>
      </c>
      <c r="X59">
        <v>423412</v>
      </c>
      <c r="Y59" s="69">
        <v>45985</v>
      </c>
      <c r="Z59" t="s">
        <v>207</v>
      </c>
      <c r="AB59" t="s">
        <v>208</v>
      </c>
    </row>
    <row r="60" spans="1:28" ht="15.75" customHeight="1" x14ac:dyDescent="0.6">
      <c r="A60">
        <v>59</v>
      </c>
      <c r="B60" t="s">
        <v>350</v>
      </c>
      <c r="C60">
        <v>1900</v>
      </c>
      <c r="D60" t="s">
        <v>179</v>
      </c>
      <c r="E60">
        <v>2020</v>
      </c>
      <c r="F60" t="s">
        <v>201</v>
      </c>
      <c r="G60" t="s">
        <v>202</v>
      </c>
      <c r="H60">
        <v>14</v>
      </c>
      <c r="I60" s="69">
        <v>44172</v>
      </c>
      <c r="J60">
        <v>2020</v>
      </c>
      <c r="K60" s="69">
        <v>44187</v>
      </c>
      <c r="L60" t="s">
        <v>203</v>
      </c>
      <c r="M60" t="s">
        <v>182</v>
      </c>
      <c r="N60" t="s">
        <v>204</v>
      </c>
      <c r="O60" s="69">
        <v>46381</v>
      </c>
      <c r="P60" t="s">
        <v>351</v>
      </c>
      <c r="Q60" s="69">
        <v>46491</v>
      </c>
      <c r="R60" s="69">
        <v>46381</v>
      </c>
      <c r="S60" s="69">
        <v>46491</v>
      </c>
      <c r="T60" s="69">
        <v>48339</v>
      </c>
      <c r="U60" s="69">
        <v>46380</v>
      </c>
      <c r="V60">
        <v>622832</v>
      </c>
      <c r="W60" t="s">
        <v>352</v>
      </c>
      <c r="X60">
        <v>369998</v>
      </c>
      <c r="Y60" s="69">
        <v>46133</v>
      </c>
      <c r="Z60" t="s">
        <v>207</v>
      </c>
      <c r="AB60" t="s">
        <v>208</v>
      </c>
    </row>
    <row r="61" spans="1:28" ht="15.75" customHeight="1" x14ac:dyDescent="0.6">
      <c r="A61">
        <v>60</v>
      </c>
      <c r="B61" t="s">
        <v>353</v>
      </c>
      <c r="C61">
        <v>1900</v>
      </c>
      <c r="D61" t="s">
        <v>179</v>
      </c>
      <c r="E61">
        <v>2020</v>
      </c>
      <c r="F61" t="s">
        <v>201</v>
      </c>
      <c r="G61" t="s">
        <v>202</v>
      </c>
      <c r="H61">
        <v>14</v>
      </c>
      <c r="I61" s="69">
        <v>44170</v>
      </c>
      <c r="J61">
        <v>2020</v>
      </c>
      <c r="K61" s="69">
        <v>44185</v>
      </c>
      <c r="L61" t="s">
        <v>203</v>
      </c>
      <c r="M61" t="s">
        <v>182</v>
      </c>
      <c r="N61" t="s">
        <v>204</v>
      </c>
      <c r="O61" s="69">
        <v>46381</v>
      </c>
      <c r="P61" t="s">
        <v>354</v>
      </c>
      <c r="Q61" s="69">
        <v>46345</v>
      </c>
      <c r="R61" s="69">
        <v>46381</v>
      </c>
      <c r="S61" s="69">
        <v>46345</v>
      </c>
      <c r="T61" s="69">
        <v>48339</v>
      </c>
      <c r="U61" s="69">
        <v>46380</v>
      </c>
      <c r="W61" t="s">
        <v>355</v>
      </c>
      <c r="X61">
        <v>402664</v>
      </c>
      <c r="Y61" t="s">
        <v>219</v>
      </c>
      <c r="Z61" t="s">
        <v>207</v>
      </c>
      <c r="AB61" t="s">
        <v>215</v>
      </c>
    </row>
    <row r="62" spans="1:28" ht="15.75" customHeight="1" x14ac:dyDescent="0.6">
      <c r="A62">
        <v>61</v>
      </c>
      <c r="B62" t="s">
        <v>356</v>
      </c>
      <c r="C62">
        <v>1900</v>
      </c>
      <c r="D62" t="s">
        <v>179</v>
      </c>
      <c r="E62">
        <v>2020</v>
      </c>
      <c r="F62" t="s">
        <v>201</v>
      </c>
      <c r="G62" t="s">
        <v>226</v>
      </c>
      <c r="H62">
        <v>14</v>
      </c>
      <c r="I62" s="69">
        <v>44172</v>
      </c>
      <c r="J62">
        <v>2020</v>
      </c>
      <c r="K62" s="69">
        <v>44187</v>
      </c>
      <c r="L62" t="s">
        <v>203</v>
      </c>
      <c r="M62" t="s">
        <v>182</v>
      </c>
      <c r="N62" t="s">
        <v>204</v>
      </c>
      <c r="O62" s="69">
        <v>46381</v>
      </c>
      <c r="Q62" s="69">
        <v>46462</v>
      </c>
      <c r="R62" s="69">
        <v>46381</v>
      </c>
      <c r="S62" s="69">
        <v>46462</v>
      </c>
      <c r="T62" s="69">
        <v>48339</v>
      </c>
      <c r="U62" s="69">
        <v>46380</v>
      </c>
      <c r="V62">
        <v>622814</v>
      </c>
      <c r="W62" t="s">
        <v>357</v>
      </c>
      <c r="X62">
        <v>405646</v>
      </c>
      <c r="Y62" t="s">
        <v>219</v>
      </c>
      <c r="Z62" t="s">
        <v>207</v>
      </c>
      <c r="AB62" t="s">
        <v>226</v>
      </c>
    </row>
    <row r="63" spans="1:28" ht="15.75" customHeight="1" x14ac:dyDescent="0.6">
      <c r="A63">
        <v>62</v>
      </c>
      <c r="B63" t="s">
        <v>358</v>
      </c>
      <c r="C63">
        <v>1900</v>
      </c>
      <c r="D63" t="s">
        <v>179</v>
      </c>
      <c r="E63">
        <v>2020</v>
      </c>
      <c r="F63" t="s">
        <v>201</v>
      </c>
      <c r="G63" t="s">
        <v>202</v>
      </c>
      <c r="H63">
        <v>14</v>
      </c>
      <c r="I63" s="69">
        <v>44170</v>
      </c>
      <c r="J63">
        <v>2020</v>
      </c>
      <c r="K63" s="69">
        <v>44185</v>
      </c>
      <c r="L63" t="s">
        <v>203</v>
      </c>
      <c r="M63" t="s">
        <v>182</v>
      </c>
      <c r="N63" t="s">
        <v>204</v>
      </c>
      <c r="O63" s="69">
        <v>46381</v>
      </c>
      <c r="P63" t="s">
        <v>359</v>
      </c>
      <c r="Q63" s="69">
        <v>46343</v>
      </c>
      <c r="R63" s="69">
        <v>46381</v>
      </c>
      <c r="S63" s="69">
        <v>46343</v>
      </c>
      <c r="T63" s="69">
        <v>48339</v>
      </c>
      <c r="U63" s="69">
        <v>46380</v>
      </c>
      <c r="V63">
        <v>625118</v>
      </c>
      <c r="W63" t="s">
        <v>360</v>
      </c>
      <c r="X63">
        <v>394154</v>
      </c>
      <c r="Y63" t="s">
        <v>219</v>
      </c>
      <c r="Z63" t="s">
        <v>207</v>
      </c>
      <c r="AB63" t="s">
        <v>208</v>
      </c>
    </row>
    <row r="64" spans="1:28" ht="15.75" customHeight="1" x14ac:dyDescent="0.6">
      <c r="A64">
        <v>63</v>
      </c>
      <c r="B64" t="s">
        <v>361</v>
      </c>
      <c r="C64">
        <v>1900</v>
      </c>
      <c r="D64" t="s">
        <v>179</v>
      </c>
      <c r="E64">
        <v>2020</v>
      </c>
      <c r="F64" t="s">
        <v>201</v>
      </c>
      <c r="G64" t="s">
        <v>202</v>
      </c>
      <c r="H64">
        <v>14</v>
      </c>
      <c r="I64" s="69">
        <v>44172</v>
      </c>
      <c r="J64">
        <v>2020</v>
      </c>
      <c r="K64" s="69">
        <v>44187</v>
      </c>
      <c r="L64" t="s">
        <v>203</v>
      </c>
      <c r="M64" t="s">
        <v>182</v>
      </c>
      <c r="N64" t="s">
        <v>204</v>
      </c>
      <c r="O64" s="69">
        <v>46381</v>
      </c>
      <c r="P64" t="s">
        <v>362</v>
      </c>
      <c r="Q64" s="69">
        <v>46352</v>
      </c>
      <c r="R64" s="69">
        <v>46381</v>
      </c>
      <c r="S64" s="69">
        <v>46352</v>
      </c>
      <c r="T64" s="69">
        <v>48339</v>
      </c>
      <c r="U64" s="69">
        <v>46380</v>
      </c>
      <c r="V64">
        <v>622813</v>
      </c>
      <c r="W64" t="s">
        <v>363</v>
      </c>
      <c r="X64">
        <v>382394</v>
      </c>
      <c r="Y64" s="69">
        <v>45992</v>
      </c>
      <c r="Z64" t="s">
        <v>207</v>
      </c>
      <c r="AB64" t="s">
        <v>208</v>
      </c>
    </row>
    <row r="65" spans="1:28" ht="15.75" customHeight="1" x14ac:dyDescent="0.6">
      <c r="A65">
        <v>64</v>
      </c>
      <c r="B65" t="s">
        <v>364</v>
      </c>
      <c r="C65">
        <v>1900</v>
      </c>
      <c r="D65" t="s">
        <v>179</v>
      </c>
      <c r="E65">
        <v>2020</v>
      </c>
      <c r="F65" t="s">
        <v>201</v>
      </c>
      <c r="G65" t="s">
        <v>226</v>
      </c>
      <c r="H65">
        <v>14</v>
      </c>
      <c r="I65" s="69">
        <v>44170</v>
      </c>
      <c r="J65">
        <v>2020</v>
      </c>
      <c r="K65" s="69">
        <v>44185</v>
      </c>
      <c r="L65" t="s">
        <v>203</v>
      </c>
      <c r="M65" t="s">
        <v>182</v>
      </c>
      <c r="N65" t="s">
        <v>204</v>
      </c>
      <c r="O65" s="69">
        <v>46381</v>
      </c>
      <c r="P65" t="s">
        <v>365</v>
      </c>
      <c r="Q65" s="69">
        <v>46188</v>
      </c>
      <c r="R65" s="69">
        <v>46381</v>
      </c>
      <c r="S65" s="69">
        <v>46188</v>
      </c>
      <c r="T65" s="69">
        <v>48339</v>
      </c>
      <c r="U65" s="69">
        <v>46380</v>
      </c>
      <c r="V65">
        <v>625120</v>
      </c>
      <c r="W65" t="s">
        <v>366</v>
      </c>
      <c r="X65">
        <v>414427</v>
      </c>
      <c r="Y65" s="69">
        <v>46188</v>
      </c>
      <c r="Z65" t="s">
        <v>207</v>
      </c>
      <c r="AB65" t="s">
        <v>226</v>
      </c>
    </row>
    <row r="66" spans="1:28" ht="15.75" customHeight="1" x14ac:dyDescent="0.6">
      <c r="A66">
        <v>65</v>
      </c>
      <c r="B66" t="s">
        <v>367</v>
      </c>
      <c r="C66">
        <v>1900</v>
      </c>
      <c r="D66" t="s">
        <v>179</v>
      </c>
      <c r="E66">
        <v>2020</v>
      </c>
      <c r="F66" t="s">
        <v>180</v>
      </c>
      <c r="G66" t="s">
        <v>180</v>
      </c>
      <c r="H66">
        <v>14</v>
      </c>
      <c r="I66" s="69">
        <v>44170</v>
      </c>
      <c r="J66">
        <v>2020</v>
      </c>
      <c r="K66" s="69">
        <v>44185</v>
      </c>
      <c r="L66" t="s">
        <v>203</v>
      </c>
      <c r="M66" t="s">
        <v>182</v>
      </c>
      <c r="N66" t="s">
        <v>204</v>
      </c>
      <c r="O66" s="69">
        <v>46295</v>
      </c>
      <c r="P66" t="s">
        <v>368</v>
      </c>
      <c r="Q66" s="69">
        <v>46218</v>
      </c>
      <c r="R66" s="69">
        <v>46295</v>
      </c>
      <c r="S66" s="69">
        <v>46218</v>
      </c>
      <c r="T66" s="69">
        <v>48339</v>
      </c>
      <c r="U66" s="69">
        <v>46380</v>
      </c>
      <c r="V66">
        <v>625119</v>
      </c>
      <c r="W66" t="s">
        <v>369</v>
      </c>
      <c r="X66">
        <v>420626</v>
      </c>
      <c r="Y66" t="s">
        <v>219</v>
      </c>
      <c r="Z66" t="s">
        <v>207</v>
      </c>
      <c r="AB66" t="s">
        <v>188</v>
      </c>
    </row>
    <row r="67" spans="1:28" ht="15.75" customHeight="1" x14ac:dyDescent="0.6">
      <c r="A67">
        <v>66</v>
      </c>
      <c r="B67" t="s">
        <v>370</v>
      </c>
      <c r="C67">
        <v>1900</v>
      </c>
      <c r="D67" t="s">
        <v>179</v>
      </c>
      <c r="E67">
        <v>2020</v>
      </c>
      <c r="F67" t="s">
        <v>201</v>
      </c>
      <c r="G67" t="s">
        <v>226</v>
      </c>
      <c r="H67">
        <v>14</v>
      </c>
      <c r="I67" s="69">
        <v>44172</v>
      </c>
      <c r="J67">
        <v>2020</v>
      </c>
      <c r="K67" s="69">
        <v>44187</v>
      </c>
      <c r="L67" t="s">
        <v>203</v>
      </c>
      <c r="M67" t="s">
        <v>182</v>
      </c>
      <c r="N67" t="s">
        <v>204</v>
      </c>
      <c r="O67" s="69">
        <v>46381</v>
      </c>
      <c r="P67" t="s">
        <v>371</v>
      </c>
      <c r="Q67" s="69">
        <v>46193</v>
      </c>
      <c r="R67" s="69">
        <v>46381</v>
      </c>
      <c r="S67" s="69">
        <v>46193</v>
      </c>
      <c r="T67" s="69">
        <v>48339</v>
      </c>
      <c r="U67" s="69">
        <v>46380</v>
      </c>
      <c r="V67">
        <v>622816</v>
      </c>
      <c r="W67" t="s">
        <v>372</v>
      </c>
      <c r="X67">
        <v>509254</v>
      </c>
      <c r="Y67" s="69">
        <v>46193</v>
      </c>
      <c r="Z67" t="s">
        <v>207</v>
      </c>
      <c r="AB67" t="s">
        <v>226</v>
      </c>
    </row>
    <row r="68" spans="1:28" ht="15.75" customHeight="1" x14ac:dyDescent="0.6">
      <c r="A68">
        <v>67</v>
      </c>
      <c r="B68" t="s">
        <v>373</v>
      </c>
      <c r="C68">
        <v>1900</v>
      </c>
      <c r="D68" t="s">
        <v>179</v>
      </c>
      <c r="E68">
        <v>2020</v>
      </c>
      <c r="F68" t="s">
        <v>201</v>
      </c>
      <c r="G68" t="s">
        <v>202</v>
      </c>
      <c r="H68">
        <v>14</v>
      </c>
      <c r="I68" s="69">
        <v>44172</v>
      </c>
      <c r="J68">
        <v>2020</v>
      </c>
      <c r="K68" s="69">
        <v>44187</v>
      </c>
      <c r="L68" t="s">
        <v>203</v>
      </c>
      <c r="M68" t="s">
        <v>182</v>
      </c>
      <c r="N68" t="s">
        <v>204</v>
      </c>
      <c r="O68" s="69">
        <v>46381</v>
      </c>
      <c r="Q68" s="69">
        <v>46328</v>
      </c>
      <c r="R68" s="69">
        <v>46381</v>
      </c>
      <c r="S68" s="69">
        <v>46328</v>
      </c>
      <c r="T68" s="69">
        <v>48339</v>
      </c>
      <c r="U68" s="69">
        <v>46380</v>
      </c>
      <c r="V68">
        <v>622441</v>
      </c>
      <c r="W68" t="s">
        <v>374</v>
      </c>
      <c r="X68">
        <v>467733</v>
      </c>
      <c r="Y68">
        <v>45967</v>
      </c>
      <c r="Z68" t="s">
        <v>207</v>
      </c>
      <c r="AB68" t="s">
        <v>208</v>
      </c>
    </row>
    <row r="69" spans="1:28" ht="15.75" customHeight="1" x14ac:dyDescent="0.6">
      <c r="A69">
        <v>68</v>
      </c>
      <c r="B69" t="s">
        <v>375</v>
      </c>
      <c r="C69">
        <v>1900</v>
      </c>
      <c r="D69" t="s">
        <v>179</v>
      </c>
      <c r="E69">
        <v>2021</v>
      </c>
      <c r="F69" t="s">
        <v>180</v>
      </c>
      <c r="G69" t="s">
        <v>180</v>
      </c>
      <c r="H69">
        <v>14</v>
      </c>
      <c r="I69" s="69">
        <v>44246</v>
      </c>
      <c r="J69">
        <v>2021</v>
      </c>
      <c r="K69" s="69">
        <v>44261</v>
      </c>
      <c r="L69" t="s">
        <v>376</v>
      </c>
      <c r="M69" t="s">
        <v>182</v>
      </c>
      <c r="N69" t="s">
        <v>204</v>
      </c>
      <c r="O69" s="69">
        <v>46295</v>
      </c>
      <c r="P69" t="s">
        <v>377</v>
      </c>
      <c r="Q69" s="69">
        <v>46204</v>
      </c>
      <c r="R69" s="69">
        <v>46295</v>
      </c>
      <c r="S69" s="69">
        <v>46204</v>
      </c>
      <c r="T69" s="69">
        <v>47942</v>
      </c>
      <c r="U69" s="69">
        <v>46293</v>
      </c>
      <c r="V69">
        <v>487393</v>
      </c>
      <c r="W69" t="s">
        <v>378</v>
      </c>
      <c r="X69">
        <v>454722</v>
      </c>
      <c r="Y69" t="s">
        <v>219</v>
      </c>
      <c r="Z69" t="s">
        <v>207</v>
      </c>
      <c r="AB69" t="s">
        <v>188</v>
      </c>
    </row>
    <row r="70" spans="1:28" ht="15.75" customHeight="1" x14ac:dyDescent="0.6">
      <c r="A70">
        <v>69</v>
      </c>
      <c r="B70" t="s">
        <v>379</v>
      </c>
      <c r="C70">
        <v>1900</v>
      </c>
      <c r="D70" t="s">
        <v>179</v>
      </c>
      <c r="E70">
        <v>2021</v>
      </c>
      <c r="F70" t="s">
        <v>201</v>
      </c>
      <c r="G70" t="s">
        <v>202</v>
      </c>
      <c r="H70">
        <v>14</v>
      </c>
      <c r="I70" s="69">
        <v>44245</v>
      </c>
      <c r="J70">
        <v>2021</v>
      </c>
      <c r="K70" s="69">
        <v>44260</v>
      </c>
      <c r="L70" t="s">
        <v>203</v>
      </c>
      <c r="M70" t="s">
        <v>182</v>
      </c>
      <c r="N70" t="s">
        <v>204</v>
      </c>
      <c r="O70" s="69">
        <v>46295</v>
      </c>
      <c r="P70" t="s">
        <v>380</v>
      </c>
      <c r="Q70" s="69">
        <v>46247</v>
      </c>
      <c r="R70" s="69">
        <v>46295</v>
      </c>
      <c r="S70" s="69">
        <v>46247</v>
      </c>
      <c r="T70" s="69">
        <v>47942</v>
      </c>
      <c r="U70" s="69">
        <v>46293</v>
      </c>
      <c r="V70">
        <v>500282</v>
      </c>
      <c r="W70" t="s">
        <v>381</v>
      </c>
      <c r="X70">
        <v>439033</v>
      </c>
      <c r="Y70" s="69">
        <v>46247</v>
      </c>
      <c r="Z70" t="s">
        <v>207</v>
      </c>
      <c r="AB70" t="s">
        <v>208</v>
      </c>
    </row>
    <row r="71" spans="1:28" ht="15.75" customHeight="1" x14ac:dyDescent="0.6">
      <c r="A71">
        <v>70</v>
      </c>
      <c r="B71" t="s">
        <v>382</v>
      </c>
      <c r="C71">
        <v>1900</v>
      </c>
      <c r="D71" t="s">
        <v>179</v>
      </c>
      <c r="E71">
        <v>2021</v>
      </c>
      <c r="F71" t="s">
        <v>201</v>
      </c>
      <c r="G71" t="s">
        <v>202</v>
      </c>
      <c r="H71">
        <v>14</v>
      </c>
      <c r="I71" s="69">
        <v>44245</v>
      </c>
      <c r="J71">
        <v>2021</v>
      </c>
      <c r="K71" s="69">
        <v>44260</v>
      </c>
      <c r="L71" t="s">
        <v>203</v>
      </c>
      <c r="M71" t="s">
        <v>182</v>
      </c>
      <c r="N71" t="s">
        <v>204</v>
      </c>
      <c r="O71" s="69">
        <v>46295</v>
      </c>
      <c r="P71" t="s">
        <v>383</v>
      </c>
      <c r="Q71" s="69">
        <v>46260</v>
      </c>
      <c r="R71" s="69">
        <v>46295</v>
      </c>
      <c r="S71" s="69">
        <v>46260</v>
      </c>
      <c r="T71" s="69">
        <v>47942</v>
      </c>
      <c r="U71" s="69">
        <v>46293</v>
      </c>
      <c r="V71">
        <v>500288</v>
      </c>
      <c r="W71" t="s">
        <v>384</v>
      </c>
      <c r="X71">
        <v>466325</v>
      </c>
      <c r="Y71" s="69">
        <v>46260</v>
      </c>
      <c r="Z71" t="s">
        <v>207</v>
      </c>
      <c r="AB71" t="s">
        <v>208</v>
      </c>
    </row>
    <row r="72" spans="1:28" ht="15.75" customHeight="1" x14ac:dyDescent="0.6">
      <c r="A72">
        <v>71</v>
      </c>
      <c r="B72" t="s">
        <v>385</v>
      </c>
      <c r="C72">
        <v>1900</v>
      </c>
      <c r="D72" t="s">
        <v>179</v>
      </c>
      <c r="E72">
        <v>2021</v>
      </c>
      <c r="F72" t="s">
        <v>201</v>
      </c>
      <c r="G72" t="s">
        <v>202</v>
      </c>
      <c r="H72">
        <v>14</v>
      </c>
      <c r="I72" s="69">
        <v>44245</v>
      </c>
      <c r="J72">
        <v>2021</v>
      </c>
      <c r="K72" s="69">
        <v>44260</v>
      </c>
      <c r="L72" t="s">
        <v>203</v>
      </c>
      <c r="M72" t="s">
        <v>182</v>
      </c>
      <c r="N72" t="s">
        <v>204</v>
      </c>
      <c r="O72" s="69">
        <v>46295</v>
      </c>
      <c r="Q72" s="69">
        <v>46230</v>
      </c>
      <c r="R72" s="69">
        <v>46295</v>
      </c>
      <c r="S72" s="69">
        <v>46230</v>
      </c>
      <c r="T72" s="69">
        <v>47943</v>
      </c>
      <c r="U72" s="69">
        <v>46293</v>
      </c>
      <c r="V72">
        <v>500290</v>
      </c>
      <c r="W72" t="s">
        <v>386</v>
      </c>
      <c r="X72">
        <v>529497</v>
      </c>
      <c r="Y72" s="69">
        <v>46230</v>
      </c>
      <c r="Z72" t="s">
        <v>207</v>
      </c>
      <c r="AB72" t="s">
        <v>208</v>
      </c>
    </row>
    <row r="73" spans="1:28" ht="15.75" customHeight="1" x14ac:dyDescent="0.6">
      <c r="A73">
        <v>72</v>
      </c>
      <c r="B73" t="s">
        <v>387</v>
      </c>
      <c r="C73">
        <v>1900</v>
      </c>
      <c r="D73" t="s">
        <v>179</v>
      </c>
      <c r="E73">
        <v>2021</v>
      </c>
      <c r="F73" t="s">
        <v>180</v>
      </c>
      <c r="G73" t="s">
        <v>180</v>
      </c>
      <c r="H73">
        <v>14</v>
      </c>
      <c r="I73" s="69">
        <v>44245</v>
      </c>
      <c r="J73">
        <v>2021</v>
      </c>
      <c r="K73" s="69">
        <v>44260</v>
      </c>
      <c r="L73" t="s">
        <v>376</v>
      </c>
      <c r="M73" t="s">
        <v>182</v>
      </c>
      <c r="N73" t="s">
        <v>204</v>
      </c>
      <c r="O73" s="69">
        <v>46295</v>
      </c>
      <c r="Q73" s="69">
        <v>46190</v>
      </c>
      <c r="R73" s="69">
        <v>46295</v>
      </c>
      <c r="S73" s="69">
        <v>46190</v>
      </c>
      <c r="T73" s="69">
        <v>47942</v>
      </c>
      <c r="U73" s="69">
        <v>46293</v>
      </c>
      <c r="X73">
        <v>444617</v>
      </c>
      <c r="Y73" t="s">
        <v>186</v>
      </c>
      <c r="Z73" t="s">
        <v>207</v>
      </c>
      <c r="AB73" t="s">
        <v>188</v>
      </c>
    </row>
    <row r="74" spans="1:28" ht="15.75" customHeight="1" x14ac:dyDescent="0.6">
      <c r="A74">
        <v>73</v>
      </c>
      <c r="B74" t="s">
        <v>388</v>
      </c>
      <c r="C74">
        <v>1900</v>
      </c>
      <c r="D74" t="s">
        <v>179</v>
      </c>
      <c r="E74">
        <v>2021</v>
      </c>
      <c r="F74" t="s">
        <v>180</v>
      </c>
      <c r="G74" t="s">
        <v>180</v>
      </c>
      <c r="H74">
        <v>14</v>
      </c>
      <c r="I74" s="69">
        <v>44245</v>
      </c>
      <c r="J74">
        <v>2021</v>
      </c>
      <c r="K74" s="69">
        <v>44260</v>
      </c>
      <c r="L74" t="s">
        <v>376</v>
      </c>
      <c r="M74" t="s">
        <v>182</v>
      </c>
      <c r="N74" t="s">
        <v>204</v>
      </c>
      <c r="O74" s="69">
        <v>46295</v>
      </c>
      <c r="P74" t="s">
        <v>389</v>
      </c>
      <c r="Q74" s="69">
        <v>46188</v>
      </c>
      <c r="R74" s="69">
        <v>46295</v>
      </c>
      <c r="S74" s="69">
        <v>46188</v>
      </c>
      <c r="T74" s="69">
        <v>47942</v>
      </c>
      <c r="U74" s="69">
        <v>46293</v>
      </c>
      <c r="V74">
        <v>50019081</v>
      </c>
      <c r="X74">
        <v>491486</v>
      </c>
      <c r="Y74" t="s">
        <v>186</v>
      </c>
      <c r="Z74" t="s">
        <v>207</v>
      </c>
      <c r="AB74" t="s">
        <v>188</v>
      </c>
    </row>
    <row r="75" spans="1:28" ht="15.75" customHeight="1" x14ac:dyDescent="0.6">
      <c r="A75">
        <v>74</v>
      </c>
      <c r="B75" t="s">
        <v>390</v>
      </c>
      <c r="C75">
        <v>1900</v>
      </c>
      <c r="D75" t="s">
        <v>179</v>
      </c>
      <c r="E75">
        <v>2021</v>
      </c>
      <c r="F75" t="s">
        <v>180</v>
      </c>
      <c r="G75" t="s">
        <v>180</v>
      </c>
      <c r="H75">
        <v>14</v>
      </c>
      <c r="I75" s="69">
        <v>44246</v>
      </c>
      <c r="J75">
        <v>2021</v>
      </c>
      <c r="K75" s="69">
        <v>44261</v>
      </c>
      <c r="L75" t="s">
        <v>376</v>
      </c>
      <c r="M75" t="s">
        <v>182</v>
      </c>
      <c r="N75" t="s">
        <v>204</v>
      </c>
      <c r="O75" s="69">
        <v>46295</v>
      </c>
      <c r="P75" t="s">
        <v>391</v>
      </c>
      <c r="Q75" s="69">
        <v>46189</v>
      </c>
      <c r="R75" s="69">
        <v>46295</v>
      </c>
      <c r="S75" s="69">
        <v>46189</v>
      </c>
      <c r="T75" s="69">
        <v>47942</v>
      </c>
      <c r="U75" s="69">
        <v>46293</v>
      </c>
      <c r="V75">
        <v>50019084</v>
      </c>
      <c r="X75">
        <v>427662</v>
      </c>
      <c r="Y75" t="s">
        <v>186</v>
      </c>
      <c r="Z75" t="s">
        <v>207</v>
      </c>
      <c r="AB75" t="s">
        <v>188</v>
      </c>
    </row>
    <row r="76" spans="1:28" ht="15.75" customHeight="1" x14ac:dyDescent="0.6">
      <c r="A76">
        <v>75</v>
      </c>
      <c r="B76" t="s">
        <v>392</v>
      </c>
      <c r="C76">
        <v>1900</v>
      </c>
      <c r="D76" t="s">
        <v>179</v>
      </c>
      <c r="E76">
        <v>2021</v>
      </c>
      <c r="F76" t="s">
        <v>180</v>
      </c>
      <c r="G76" t="s">
        <v>180</v>
      </c>
      <c r="H76">
        <v>14</v>
      </c>
      <c r="I76" s="69">
        <v>44246</v>
      </c>
      <c r="J76">
        <v>2021</v>
      </c>
      <c r="K76" s="69">
        <v>44261</v>
      </c>
      <c r="L76" t="s">
        <v>376</v>
      </c>
      <c r="M76" t="s">
        <v>182</v>
      </c>
      <c r="N76" t="s">
        <v>204</v>
      </c>
      <c r="O76" s="69">
        <v>46295</v>
      </c>
      <c r="Q76" s="69">
        <v>46195</v>
      </c>
      <c r="R76" s="69">
        <v>46295</v>
      </c>
      <c r="S76" s="69">
        <v>46195</v>
      </c>
      <c r="T76" s="69">
        <v>47942</v>
      </c>
      <c r="U76" s="69">
        <v>46293</v>
      </c>
      <c r="X76">
        <v>465247</v>
      </c>
      <c r="Y76" t="s">
        <v>186</v>
      </c>
      <c r="Z76" t="s">
        <v>207</v>
      </c>
      <c r="AB76" t="s">
        <v>188</v>
      </c>
    </row>
    <row r="77" spans="1:28" ht="15.75" customHeight="1" x14ac:dyDescent="0.6">
      <c r="A77">
        <v>76</v>
      </c>
      <c r="B77" t="s">
        <v>393</v>
      </c>
      <c r="C77">
        <v>1900</v>
      </c>
      <c r="D77" t="s">
        <v>179</v>
      </c>
      <c r="E77">
        <v>2021</v>
      </c>
      <c r="F77" t="s">
        <v>180</v>
      </c>
      <c r="G77" t="s">
        <v>180</v>
      </c>
      <c r="H77">
        <v>14</v>
      </c>
      <c r="I77" s="69">
        <v>44246</v>
      </c>
      <c r="J77">
        <v>2021</v>
      </c>
      <c r="K77" s="69">
        <v>44261</v>
      </c>
      <c r="L77" t="s">
        <v>376</v>
      </c>
      <c r="M77" t="s">
        <v>182</v>
      </c>
      <c r="N77" t="s">
        <v>204</v>
      </c>
      <c r="O77" s="69">
        <v>46295</v>
      </c>
      <c r="Q77" s="69">
        <v>46186</v>
      </c>
      <c r="R77" s="69">
        <v>46295</v>
      </c>
      <c r="S77" s="69">
        <v>46186</v>
      </c>
      <c r="T77" s="69">
        <v>47942</v>
      </c>
      <c r="U77" s="69">
        <v>46293</v>
      </c>
      <c r="X77">
        <v>440974</v>
      </c>
      <c r="Y77" t="s">
        <v>186</v>
      </c>
      <c r="Z77" t="s">
        <v>207</v>
      </c>
      <c r="AB77" t="s">
        <v>188</v>
      </c>
    </row>
    <row r="78" spans="1:28" ht="15.75" customHeight="1" x14ac:dyDescent="0.6">
      <c r="A78">
        <v>77</v>
      </c>
      <c r="B78" t="s">
        <v>394</v>
      </c>
      <c r="C78">
        <v>1900</v>
      </c>
      <c r="D78" t="s">
        <v>179</v>
      </c>
      <c r="E78">
        <v>2021</v>
      </c>
      <c r="F78" t="s">
        <v>180</v>
      </c>
      <c r="G78" t="s">
        <v>180</v>
      </c>
      <c r="H78">
        <v>14</v>
      </c>
      <c r="I78" s="69">
        <v>44246</v>
      </c>
      <c r="J78">
        <v>2021</v>
      </c>
      <c r="K78" s="69">
        <v>44261</v>
      </c>
      <c r="L78" t="s">
        <v>376</v>
      </c>
      <c r="M78" t="s">
        <v>182</v>
      </c>
      <c r="N78" t="s">
        <v>204</v>
      </c>
      <c r="O78" s="69">
        <v>46295</v>
      </c>
      <c r="P78" t="s">
        <v>395</v>
      </c>
      <c r="Q78" s="69">
        <v>46197</v>
      </c>
      <c r="R78" s="69">
        <v>46295</v>
      </c>
      <c r="S78" s="69">
        <v>46197</v>
      </c>
      <c r="T78" s="69">
        <v>47942</v>
      </c>
      <c r="U78" s="69">
        <v>46293</v>
      </c>
      <c r="V78">
        <v>50019118</v>
      </c>
      <c r="X78">
        <v>406761</v>
      </c>
      <c r="Y78" t="s">
        <v>186</v>
      </c>
      <c r="Z78" t="s">
        <v>207</v>
      </c>
      <c r="AB78" t="s">
        <v>188</v>
      </c>
    </row>
    <row r="79" spans="1:28" ht="15.75" customHeight="1" x14ac:dyDescent="0.6">
      <c r="A79">
        <v>78</v>
      </c>
      <c r="B79" t="s">
        <v>396</v>
      </c>
      <c r="C79">
        <v>1900</v>
      </c>
      <c r="D79" t="s">
        <v>179</v>
      </c>
      <c r="E79">
        <v>2021</v>
      </c>
      <c r="F79" t="s">
        <v>180</v>
      </c>
      <c r="G79" t="s">
        <v>180</v>
      </c>
      <c r="H79">
        <v>14</v>
      </c>
      <c r="I79" s="69">
        <v>44246</v>
      </c>
      <c r="J79">
        <v>2021</v>
      </c>
      <c r="K79" s="69">
        <v>44261</v>
      </c>
      <c r="L79" t="s">
        <v>376</v>
      </c>
      <c r="M79" t="s">
        <v>182</v>
      </c>
      <c r="N79" t="s">
        <v>204</v>
      </c>
      <c r="O79" s="69">
        <v>46295</v>
      </c>
      <c r="P79" t="s">
        <v>397</v>
      </c>
      <c r="Q79" s="69">
        <v>46328</v>
      </c>
      <c r="R79" s="69">
        <v>46295</v>
      </c>
      <c r="S79" s="69">
        <v>46328</v>
      </c>
      <c r="T79" s="69">
        <v>47942</v>
      </c>
      <c r="U79" s="69">
        <v>46293</v>
      </c>
      <c r="V79">
        <v>50018882</v>
      </c>
      <c r="X79">
        <v>429074</v>
      </c>
      <c r="Y79" t="s">
        <v>186</v>
      </c>
      <c r="Z79" t="s">
        <v>207</v>
      </c>
      <c r="AB79" t="s">
        <v>188</v>
      </c>
    </row>
    <row r="80" spans="1:28" ht="15.75" customHeight="1" x14ac:dyDescent="0.6">
      <c r="A80">
        <v>79</v>
      </c>
      <c r="B80" t="s">
        <v>398</v>
      </c>
      <c r="C80">
        <v>1900</v>
      </c>
      <c r="D80" t="s">
        <v>179</v>
      </c>
      <c r="E80">
        <v>2021</v>
      </c>
      <c r="F80" t="s">
        <v>180</v>
      </c>
      <c r="G80" t="s">
        <v>180</v>
      </c>
      <c r="H80">
        <v>14</v>
      </c>
      <c r="I80" s="69">
        <v>44247</v>
      </c>
      <c r="J80">
        <v>2021</v>
      </c>
      <c r="K80" s="69">
        <v>44262</v>
      </c>
      <c r="L80" t="s">
        <v>376</v>
      </c>
      <c r="M80" t="s">
        <v>182</v>
      </c>
      <c r="N80" t="s">
        <v>204</v>
      </c>
      <c r="O80" s="69">
        <v>46295</v>
      </c>
      <c r="Q80" s="69">
        <v>46199</v>
      </c>
      <c r="R80" s="69">
        <v>46295</v>
      </c>
      <c r="S80" s="69">
        <v>46199</v>
      </c>
      <c r="T80" s="69">
        <v>47942</v>
      </c>
      <c r="U80" s="69">
        <v>46293</v>
      </c>
      <c r="X80">
        <v>393466</v>
      </c>
      <c r="Y80" t="s">
        <v>186</v>
      </c>
      <c r="Z80" t="s">
        <v>207</v>
      </c>
      <c r="AB80" t="s">
        <v>188</v>
      </c>
    </row>
    <row r="81" spans="1:28" ht="15.75" customHeight="1" x14ac:dyDescent="0.6">
      <c r="A81">
        <v>80</v>
      </c>
      <c r="B81" t="s">
        <v>399</v>
      </c>
      <c r="C81">
        <v>1900</v>
      </c>
      <c r="D81" t="s">
        <v>179</v>
      </c>
      <c r="E81">
        <v>2021</v>
      </c>
      <c r="F81" t="s">
        <v>180</v>
      </c>
      <c r="G81" t="s">
        <v>180</v>
      </c>
      <c r="H81">
        <v>14</v>
      </c>
      <c r="I81" s="69">
        <v>44246</v>
      </c>
      <c r="J81">
        <v>2021</v>
      </c>
      <c r="K81" s="69">
        <v>44261</v>
      </c>
      <c r="L81" t="s">
        <v>376</v>
      </c>
      <c r="M81" t="s">
        <v>182</v>
      </c>
      <c r="N81" t="s">
        <v>204</v>
      </c>
      <c r="O81" s="69">
        <v>46295</v>
      </c>
      <c r="P81" t="s">
        <v>400</v>
      </c>
      <c r="Q81" s="69">
        <v>46192</v>
      </c>
      <c r="R81" s="69">
        <v>46295</v>
      </c>
      <c r="S81" s="69">
        <v>46192</v>
      </c>
      <c r="T81" s="69">
        <v>47942</v>
      </c>
      <c r="U81" s="69">
        <v>46293</v>
      </c>
      <c r="V81">
        <v>50019117</v>
      </c>
      <c r="X81">
        <v>414113</v>
      </c>
      <c r="Y81" t="s">
        <v>186</v>
      </c>
      <c r="Z81" t="s">
        <v>207</v>
      </c>
      <c r="AB81" t="s">
        <v>188</v>
      </c>
    </row>
    <row r="82" spans="1:28" ht="15.75" customHeight="1" x14ac:dyDescent="0.6">
      <c r="A82">
        <v>81</v>
      </c>
      <c r="B82" t="s">
        <v>401</v>
      </c>
      <c r="C82">
        <v>1900</v>
      </c>
      <c r="D82" t="s">
        <v>179</v>
      </c>
      <c r="E82">
        <v>2021</v>
      </c>
      <c r="F82" t="s">
        <v>180</v>
      </c>
      <c r="G82" t="s">
        <v>180</v>
      </c>
      <c r="H82">
        <v>14</v>
      </c>
      <c r="I82" s="69">
        <v>44246</v>
      </c>
      <c r="J82">
        <v>2021</v>
      </c>
      <c r="K82" s="69">
        <v>44261</v>
      </c>
      <c r="L82" t="s">
        <v>376</v>
      </c>
      <c r="M82" t="s">
        <v>182</v>
      </c>
      <c r="N82" t="s">
        <v>204</v>
      </c>
      <c r="O82" s="69">
        <v>46295</v>
      </c>
      <c r="P82" t="s">
        <v>402</v>
      </c>
      <c r="Q82" s="69">
        <v>46199</v>
      </c>
      <c r="R82" s="69">
        <v>46295</v>
      </c>
      <c r="S82" s="69">
        <v>46199</v>
      </c>
      <c r="T82" s="69">
        <v>47942</v>
      </c>
      <c r="U82" s="69">
        <v>46293</v>
      </c>
      <c r="V82">
        <v>50019074</v>
      </c>
      <c r="X82">
        <v>348910</v>
      </c>
      <c r="Y82" t="s">
        <v>186</v>
      </c>
      <c r="Z82" t="s">
        <v>207</v>
      </c>
      <c r="AB82" t="s">
        <v>188</v>
      </c>
    </row>
    <row r="83" spans="1:28" ht="15.75" customHeight="1" x14ac:dyDescent="0.6">
      <c r="A83">
        <v>82</v>
      </c>
      <c r="B83" t="s">
        <v>403</v>
      </c>
      <c r="C83">
        <v>1900</v>
      </c>
      <c r="D83" t="s">
        <v>179</v>
      </c>
      <c r="E83">
        <v>2021</v>
      </c>
      <c r="F83" t="s">
        <v>180</v>
      </c>
      <c r="G83" t="s">
        <v>180</v>
      </c>
      <c r="H83">
        <v>14</v>
      </c>
      <c r="I83" s="69">
        <v>44245</v>
      </c>
      <c r="J83">
        <v>2021</v>
      </c>
      <c r="K83" s="69">
        <v>44260</v>
      </c>
      <c r="L83" t="s">
        <v>376</v>
      </c>
      <c r="M83" t="s">
        <v>182</v>
      </c>
      <c r="N83" t="s">
        <v>204</v>
      </c>
      <c r="O83" s="69">
        <v>46295</v>
      </c>
      <c r="P83" t="s">
        <v>404</v>
      </c>
      <c r="Q83" s="69">
        <v>46303</v>
      </c>
      <c r="R83" s="69">
        <v>46295</v>
      </c>
      <c r="S83" s="69">
        <v>46303</v>
      </c>
      <c r="T83" s="69">
        <v>47942</v>
      </c>
      <c r="U83" s="69">
        <v>46293</v>
      </c>
      <c r="V83">
        <v>50019120</v>
      </c>
      <c r="W83" t="s">
        <v>405</v>
      </c>
      <c r="X83">
        <v>403394</v>
      </c>
      <c r="Y83" t="s">
        <v>186</v>
      </c>
      <c r="Z83" t="s">
        <v>207</v>
      </c>
      <c r="AB83" t="s">
        <v>188</v>
      </c>
    </row>
    <row r="84" spans="1:28" ht="15.75" customHeight="1" x14ac:dyDescent="0.6">
      <c r="A84">
        <v>83</v>
      </c>
      <c r="B84" t="s">
        <v>406</v>
      </c>
      <c r="C84">
        <v>1900</v>
      </c>
      <c r="D84" t="s">
        <v>179</v>
      </c>
      <c r="E84">
        <v>2021</v>
      </c>
      <c r="F84" t="s">
        <v>180</v>
      </c>
      <c r="G84" t="s">
        <v>180</v>
      </c>
      <c r="H84">
        <v>14</v>
      </c>
      <c r="I84" s="69">
        <v>44246</v>
      </c>
      <c r="J84">
        <v>2021</v>
      </c>
      <c r="K84" s="69">
        <v>44261</v>
      </c>
      <c r="L84" t="s">
        <v>376</v>
      </c>
      <c r="M84" t="s">
        <v>182</v>
      </c>
      <c r="N84" t="s">
        <v>204</v>
      </c>
      <c r="O84" s="69">
        <v>46295</v>
      </c>
      <c r="P84" t="s">
        <v>407</v>
      </c>
      <c r="Q84" s="69">
        <v>46256</v>
      </c>
      <c r="R84" s="69">
        <v>46295</v>
      </c>
      <c r="S84" s="69">
        <v>46256</v>
      </c>
      <c r="T84" s="69">
        <v>47942</v>
      </c>
      <c r="U84" s="69">
        <v>46293</v>
      </c>
      <c r="X84">
        <v>391196</v>
      </c>
      <c r="Y84" t="s">
        <v>186</v>
      </c>
      <c r="Z84" t="s">
        <v>207</v>
      </c>
      <c r="AB84" t="s">
        <v>188</v>
      </c>
    </row>
    <row r="85" spans="1:28" ht="15.75" customHeight="1" x14ac:dyDescent="0.6">
      <c r="A85">
        <v>84</v>
      </c>
      <c r="B85" t="s">
        <v>408</v>
      </c>
      <c r="C85">
        <v>1900</v>
      </c>
      <c r="D85" t="s">
        <v>179</v>
      </c>
      <c r="E85" s="69">
        <v>44700</v>
      </c>
      <c r="F85" t="s">
        <v>201</v>
      </c>
      <c r="G85" t="s">
        <v>202</v>
      </c>
      <c r="H85">
        <v>14</v>
      </c>
      <c r="I85" s="69">
        <v>44695</v>
      </c>
      <c r="J85">
        <v>2022</v>
      </c>
      <c r="K85" s="69">
        <v>44710</v>
      </c>
      <c r="L85" t="s">
        <v>409</v>
      </c>
      <c r="M85" t="s">
        <v>182</v>
      </c>
      <c r="N85" t="s">
        <v>204</v>
      </c>
      <c r="O85" s="69">
        <v>46200</v>
      </c>
      <c r="P85" t="s">
        <v>410</v>
      </c>
      <c r="Q85" s="69">
        <v>46500</v>
      </c>
      <c r="R85" s="69">
        <v>46200</v>
      </c>
      <c r="S85" s="69">
        <v>46500</v>
      </c>
      <c r="T85" s="69">
        <v>47256</v>
      </c>
      <c r="U85" s="69">
        <v>46200</v>
      </c>
      <c r="V85">
        <v>129027</v>
      </c>
      <c r="W85" t="s">
        <v>411</v>
      </c>
      <c r="X85">
        <v>365693</v>
      </c>
      <c r="Y85" s="69">
        <v>46154</v>
      </c>
      <c r="Z85" t="s">
        <v>207</v>
      </c>
      <c r="AB85" t="s">
        <v>208</v>
      </c>
    </row>
    <row r="86" spans="1:28" ht="15.75" customHeight="1" x14ac:dyDescent="0.6">
      <c r="A86">
        <v>85</v>
      </c>
      <c r="B86" t="s">
        <v>412</v>
      </c>
      <c r="C86">
        <v>1900</v>
      </c>
      <c r="D86" t="s">
        <v>179</v>
      </c>
      <c r="E86" s="69">
        <v>44700</v>
      </c>
      <c r="F86" t="s">
        <v>201</v>
      </c>
      <c r="G86" t="s">
        <v>202</v>
      </c>
      <c r="H86">
        <v>14</v>
      </c>
      <c r="I86" s="69">
        <v>44697</v>
      </c>
      <c r="J86">
        <v>2022</v>
      </c>
      <c r="K86" s="69">
        <v>44712</v>
      </c>
      <c r="L86" t="s">
        <v>409</v>
      </c>
      <c r="M86" t="s">
        <v>182</v>
      </c>
      <c r="N86" t="s">
        <v>204</v>
      </c>
      <c r="O86" s="69">
        <v>46200</v>
      </c>
      <c r="P86" t="s">
        <v>413</v>
      </c>
      <c r="Q86" s="69">
        <v>46172</v>
      </c>
      <c r="R86" s="69">
        <v>46200</v>
      </c>
      <c r="S86" s="69">
        <v>46172</v>
      </c>
      <c r="T86" s="69">
        <v>47256</v>
      </c>
      <c r="U86" s="69">
        <v>46200</v>
      </c>
      <c r="W86" t="s">
        <v>414</v>
      </c>
      <c r="X86">
        <v>392770</v>
      </c>
      <c r="Y86" t="s">
        <v>219</v>
      </c>
      <c r="Z86" t="s">
        <v>266</v>
      </c>
      <c r="AB86" t="s">
        <v>208</v>
      </c>
    </row>
    <row r="87" spans="1:28" ht="15.75" customHeight="1" x14ac:dyDescent="0.6">
      <c r="A87">
        <v>86</v>
      </c>
      <c r="B87" t="s">
        <v>415</v>
      </c>
      <c r="C87">
        <v>1900</v>
      </c>
      <c r="D87" t="s">
        <v>179</v>
      </c>
      <c r="E87" s="69">
        <v>44700</v>
      </c>
      <c r="F87" t="s">
        <v>201</v>
      </c>
      <c r="G87" t="s">
        <v>226</v>
      </c>
      <c r="H87">
        <v>14</v>
      </c>
      <c r="I87" s="69">
        <v>44695</v>
      </c>
      <c r="J87">
        <v>2022</v>
      </c>
      <c r="K87" s="69">
        <v>44710</v>
      </c>
      <c r="L87" t="s">
        <v>409</v>
      </c>
      <c r="M87" t="s">
        <v>182</v>
      </c>
      <c r="N87" t="s">
        <v>204</v>
      </c>
      <c r="O87" s="69">
        <v>46200</v>
      </c>
      <c r="P87" t="s">
        <v>416</v>
      </c>
      <c r="Q87" s="69">
        <v>46510</v>
      </c>
      <c r="R87" s="69">
        <v>46200</v>
      </c>
      <c r="S87" s="69">
        <v>46510</v>
      </c>
      <c r="T87" s="69">
        <v>47256</v>
      </c>
      <c r="U87" s="69">
        <v>46200</v>
      </c>
      <c r="V87">
        <v>129017</v>
      </c>
      <c r="W87" t="s">
        <v>417</v>
      </c>
      <c r="X87">
        <v>374528</v>
      </c>
      <c r="Y87" t="s">
        <v>219</v>
      </c>
      <c r="Z87" t="s">
        <v>207</v>
      </c>
      <c r="AB87" t="s">
        <v>226</v>
      </c>
    </row>
    <row r="88" spans="1:28" ht="15.75" customHeight="1" x14ac:dyDescent="0.6">
      <c r="A88">
        <v>87</v>
      </c>
      <c r="B88" t="s">
        <v>418</v>
      </c>
      <c r="C88">
        <v>1900</v>
      </c>
      <c r="D88" t="s">
        <v>179</v>
      </c>
      <c r="E88" s="69">
        <v>44700</v>
      </c>
      <c r="F88" t="s">
        <v>201</v>
      </c>
      <c r="G88" t="s">
        <v>202</v>
      </c>
      <c r="H88">
        <v>14</v>
      </c>
      <c r="I88" s="69">
        <v>44695</v>
      </c>
      <c r="J88">
        <v>2022</v>
      </c>
      <c r="K88" s="69">
        <v>44710</v>
      </c>
      <c r="L88" t="s">
        <v>409</v>
      </c>
      <c r="M88" t="s">
        <v>182</v>
      </c>
      <c r="N88" t="s">
        <v>204</v>
      </c>
      <c r="O88" s="69">
        <v>46200</v>
      </c>
      <c r="P88" t="s">
        <v>419</v>
      </c>
      <c r="Q88" s="69">
        <v>46505</v>
      </c>
      <c r="R88" s="69">
        <v>46200</v>
      </c>
      <c r="S88" s="69">
        <v>46505</v>
      </c>
      <c r="T88" s="69">
        <v>47256</v>
      </c>
      <c r="U88" s="69">
        <v>46200</v>
      </c>
      <c r="V88">
        <v>129018</v>
      </c>
      <c r="W88" t="s">
        <v>420</v>
      </c>
      <c r="X88">
        <v>410001</v>
      </c>
      <c r="Y88" s="69">
        <v>46151</v>
      </c>
      <c r="Z88" t="s">
        <v>207</v>
      </c>
      <c r="AB88" t="s">
        <v>208</v>
      </c>
    </row>
    <row r="89" spans="1:28" ht="15.75" customHeight="1" x14ac:dyDescent="0.6">
      <c r="A89">
        <v>88</v>
      </c>
      <c r="B89" t="s">
        <v>421</v>
      </c>
      <c r="C89">
        <v>1900</v>
      </c>
      <c r="D89" t="s">
        <v>179</v>
      </c>
      <c r="E89" s="69">
        <v>44700</v>
      </c>
      <c r="F89" t="s">
        <v>201</v>
      </c>
      <c r="G89" t="s">
        <v>202</v>
      </c>
      <c r="H89">
        <v>14</v>
      </c>
      <c r="I89" s="69">
        <v>44695</v>
      </c>
      <c r="J89">
        <v>2022</v>
      </c>
      <c r="K89" s="69">
        <v>44710</v>
      </c>
      <c r="L89" t="s">
        <v>409</v>
      </c>
      <c r="M89" t="s">
        <v>182</v>
      </c>
      <c r="N89" t="s">
        <v>204</v>
      </c>
      <c r="O89" s="69">
        <v>46200</v>
      </c>
      <c r="P89" t="s">
        <v>422</v>
      </c>
      <c r="Q89" s="69">
        <v>46500</v>
      </c>
      <c r="R89" s="69">
        <v>46200</v>
      </c>
      <c r="S89" s="69">
        <v>46500</v>
      </c>
      <c r="T89" s="69">
        <v>47256</v>
      </c>
      <c r="U89" s="69">
        <v>46200</v>
      </c>
      <c r="V89">
        <v>129025</v>
      </c>
      <c r="W89" t="s">
        <v>423</v>
      </c>
      <c r="X89">
        <v>349134</v>
      </c>
      <c r="Y89" s="69">
        <v>46151</v>
      </c>
      <c r="Z89" t="s">
        <v>207</v>
      </c>
      <c r="AB89" t="s">
        <v>208</v>
      </c>
    </row>
    <row r="90" spans="1:28" ht="15.75" customHeight="1" x14ac:dyDescent="0.6">
      <c r="A90">
        <v>89</v>
      </c>
      <c r="B90" t="s">
        <v>424</v>
      </c>
      <c r="C90">
        <v>1900</v>
      </c>
      <c r="D90" t="s">
        <v>179</v>
      </c>
      <c r="E90" s="69">
        <v>44700</v>
      </c>
      <c r="F90" t="s">
        <v>201</v>
      </c>
      <c r="G90" t="s">
        <v>202</v>
      </c>
      <c r="H90">
        <v>14</v>
      </c>
      <c r="I90" s="69">
        <v>44697</v>
      </c>
      <c r="J90">
        <v>2022</v>
      </c>
      <c r="K90" s="69">
        <v>44712</v>
      </c>
      <c r="L90" t="s">
        <v>409</v>
      </c>
      <c r="M90" t="s">
        <v>182</v>
      </c>
      <c r="N90" t="s">
        <v>204</v>
      </c>
      <c r="O90" s="69">
        <v>46200</v>
      </c>
      <c r="P90" t="s">
        <v>425</v>
      </c>
      <c r="Q90" s="69">
        <v>46514</v>
      </c>
      <c r="R90" s="69">
        <v>46200</v>
      </c>
      <c r="S90" s="69">
        <v>46514</v>
      </c>
      <c r="T90" s="69">
        <v>47256</v>
      </c>
      <c r="U90" s="69">
        <v>46200</v>
      </c>
      <c r="V90">
        <v>129124</v>
      </c>
      <c r="W90" t="s">
        <v>426</v>
      </c>
      <c r="X90">
        <v>329417</v>
      </c>
      <c r="Y90" s="69">
        <v>46151</v>
      </c>
      <c r="Z90" t="s">
        <v>207</v>
      </c>
      <c r="AB90" t="s">
        <v>208</v>
      </c>
    </row>
    <row r="91" spans="1:28" ht="15.75" customHeight="1" x14ac:dyDescent="0.6">
      <c r="A91">
        <v>90</v>
      </c>
      <c r="B91" t="s">
        <v>427</v>
      </c>
      <c r="C91">
        <v>1900</v>
      </c>
      <c r="D91" t="s">
        <v>179</v>
      </c>
      <c r="E91" s="69">
        <v>44700</v>
      </c>
      <c r="F91" t="s">
        <v>201</v>
      </c>
      <c r="G91" t="s">
        <v>202</v>
      </c>
      <c r="H91">
        <v>14</v>
      </c>
      <c r="I91" s="69">
        <v>44697</v>
      </c>
      <c r="J91">
        <v>2022</v>
      </c>
      <c r="K91" s="69">
        <v>44712</v>
      </c>
      <c r="L91" t="s">
        <v>409</v>
      </c>
      <c r="M91" t="s">
        <v>182</v>
      </c>
      <c r="N91" t="s">
        <v>204</v>
      </c>
      <c r="O91" s="69">
        <v>46200</v>
      </c>
      <c r="P91" t="s">
        <v>428</v>
      </c>
      <c r="Q91" s="69">
        <v>46154</v>
      </c>
      <c r="R91" s="69">
        <v>46200</v>
      </c>
      <c r="S91" s="69">
        <v>46154</v>
      </c>
      <c r="T91" s="69">
        <v>47256</v>
      </c>
      <c r="U91" s="69">
        <v>46200</v>
      </c>
      <c r="W91" t="s">
        <v>429</v>
      </c>
      <c r="X91">
        <v>353115</v>
      </c>
      <c r="Y91" t="s">
        <v>219</v>
      </c>
      <c r="Z91" t="s">
        <v>266</v>
      </c>
      <c r="AB91" t="s">
        <v>208</v>
      </c>
    </row>
    <row r="92" spans="1:28" ht="15.75" customHeight="1" x14ac:dyDescent="0.6">
      <c r="A92">
        <v>91</v>
      </c>
      <c r="B92" t="s">
        <v>430</v>
      </c>
      <c r="C92">
        <v>1900</v>
      </c>
      <c r="D92" t="s">
        <v>179</v>
      </c>
      <c r="E92" s="69">
        <v>44700</v>
      </c>
      <c r="F92" t="s">
        <v>201</v>
      </c>
      <c r="G92" t="s">
        <v>202</v>
      </c>
      <c r="H92">
        <v>14</v>
      </c>
      <c r="I92" s="69">
        <v>44697</v>
      </c>
      <c r="J92">
        <v>2022</v>
      </c>
      <c r="K92" s="69">
        <v>44712</v>
      </c>
      <c r="L92" t="s">
        <v>409</v>
      </c>
      <c r="M92" t="s">
        <v>182</v>
      </c>
      <c r="N92" t="s">
        <v>204</v>
      </c>
      <c r="O92" s="69">
        <v>46200</v>
      </c>
      <c r="P92" t="s">
        <v>431</v>
      </c>
      <c r="Q92" s="69">
        <v>46505</v>
      </c>
      <c r="R92" s="69">
        <v>46200</v>
      </c>
      <c r="S92" s="69">
        <v>46505</v>
      </c>
      <c r="T92" s="69">
        <v>47256</v>
      </c>
      <c r="U92" s="69">
        <v>46200</v>
      </c>
      <c r="V92">
        <v>129097</v>
      </c>
      <c r="W92" t="s">
        <v>432</v>
      </c>
      <c r="X92">
        <v>408875</v>
      </c>
      <c r="Y92" t="s">
        <v>219</v>
      </c>
      <c r="Z92" t="s">
        <v>207</v>
      </c>
      <c r="AB92" t="s">
        <v>208</v>
      </c>
    </row>
    <row r="93" spans="1:28" ht="15.75" customHeight="1" x14ac:dyDescent="0.6">
      <c r="A93">
        <v>92</v>
      </c>
      <c r="B93" t="s">
        <v>433</v>
      </c>
      <c r="C93">
        <v>1900</v>
      </c>
      <c r="D93" t="s">
        <v>179</v>
      </c>
      <c r="E93" s="69">
        <v>44700</v>
      </c>
      <c r="F93" t="s">
        <v>201</v>
      </c>
      <c r="G93" t="s">
        <v>202</v>
      </c>
      <c r="H93">
        <v>14</v>
      </c>
      <c r="I93" s="69">
        <v>44697</v>
      </c>
      <c r="J93">
        <v>2022</v>
      </c>
      <c r="K93" s="69">
        <v>44712</v>
      </c>
      <c r="L93" t="s">
        <v>409</v>
      </c>
      <c r="M93" t="s">
        <v>182</v>
      </c>
      <c r="N93" t="s">
        <v>204</v>
      </c>
      <c r="O93" s="69">
        <v>46200</v>
      </c>
      <c r="P93" t="s">
        <v>434</v>
      </c>
      <c r="Q93" s="69">
        <v>46240</v>
      </c>
      <c r="R93" s="69">
        <v>46200</v>
      </c>
      <c r="S93" s="69">
        <v>46240</v>
      </c>
      <c r="T93" s="69">
        <v>47256</v>
      </c>
      <c r="U93" s="69">
        <v>46200</v>
      </c>
      <c r="W93" t="s">
        <v>435</v>
      </c>
      <c r="X93">
        <v>291750</v>
      </c>
      <c r="Y93" s="69">
        <v>46240</v>
      </c>
      <c r="Z93" t="s">
        <v>207</v>
      </c>
      <c r="AB93" t="s">
        <v>208</v>
      </c>
    </row>
    <row r="94" spans="1:28" ht="15.75" customHeight="1" x14ac:dyDescent="0.6">
      <c r="A94">
        <v>93</v>
      </c>
      <c r="B94" t="s">
        <v>436</v>
      </c>
      <c r="C94">
        <v>1900</v>
      </c>
      <c r="D94" t="s">
        <v>179</v>
      </c>
      <c r="E94" s="69">
        <v>44700</v>
      </c>
      <c r="F94" t="s">
        <v>201</v>
      </c>
      <c r="G94" t="s">
        <v>202</v>
      </c>
      <c r="H94">
        <v>14</v>
      </c>
      <c r="I94" s="69">
        <v>44697</v>
      </c>
      <c r="J94">
        <v>2022</v>
      </c>
      <c r="K94" s="69">
        <v>44712</v>
      </c>
      <c r="L94" t="s">
        <v>409</v>
      </c>
      <c r="M94" t="s">
        <v>182</v>
      </c>
      <c r="N94" t="s">
        <v>204</v>
      </c>
      <c r="O94" s="69">
        <v>46200</v>
      </c>
      <c r="P94" t="s">
        <v>437</v>
      </c>
      <c r="Q94" s="69">
        <v>46505</v>
      </c>
      <c r="R94" s="69">
        <v>46200</v>
      </c>
      <c r="S94" s="69">
        <v>46505</v>
      </c>
      <c r="T94" s="69">
        <v>47256</v>
      </c>
      <c r="U94" s="69">
        <v>46200</v>
      </c>
      <c r="V94">
        <v>129102</v>
      </c>
      <c r="W94" t="s">
        <v>438</v>
      </c>
      <c r="X94">
        <v>317939</v>
      </c>
      <c r="Y94" s="69">
        <v>46154</v>
      </c>
      <c r="Z94" t="s">
        <v>207</v>
      </c>
      <c r="AB94" t="s">
        <v>208</v>
      </c>
    </row>
    <row r="95" spans="1:28" ht="15.75" customHeight="1" x14ac:dyDescent="0.6">
      <c r="A95">
        <v>94</v>
      </c>
      <c r="B95" t="s">
        <v>439</v>
      </c>
      <c r="C95">
        <v>1900</v>
      </c>
      <c r="D95" t="s">
        <v>179</v>
      </c>
      <c r="E95" s="69">
        <v>44700</v>
      </c>
      <c r="F95" t="s">
        <v>201</v>
      </c>
      <c r="G95" t="s">
        <v>202</v>
      </c>
      <c r="H95">
        <v>14</v>
      </c>
      <c r="I95" s="69">
        <v>44697</v>
      </c>
      <c r="J95">
        <v>2022</v>
      </c>
      <c r="K95" s="69">
        <v>44712</v>
      </c>
      <c r="L95" t="s">
        <v>409</v>
      </c>
      <c r="M95" t="s">
        <v>182</v>
      </c>
      <c r="N95" t="s">
        <v>204</v>
      </c>
      <c r="O95" s="69">
        <v>46200</v>
      </c>
      <c r="P95" t="s">
        <v>440</v>
      </c>
      <c r="Q95" s="69">
        <v>46231</v>
      </c>
      <c r="R95" s="69">
        <v>46200</v>
      </c>
      <c r="S95" s="69">
        <v>46231</v>
      </c>
      <c r="T95" s="69">
        <v>47256</v>
      </c>
      <c r="U95" s="69">
        <v>46200</v>
      </c>
      <c r="W95" t="s">
        <v>441</v>
      </c>
      <c r="X95">
        <v>298116</v>
      </c>
      <c r="Y95" t="s">
        <v>219</v>
      </c>
      <c r="Z95" t="s">
        <v>207</v>
      </c>
      <c r="AB95" t="s">
        <v>208</v>
      </c>
    </row>
    <row r="96" spans="1:28" ht="15.75" customHeight="1" x14ac:dyDescent="0.6">
      <c r="A96">
        <v>95</v>
      </c>
      <c r="B96" t="s">
        <v>442</v>
      </c>
      <c r="C96">
        <v>1900</v>
      </c>
      <c r="D96" t="s">
        <v>179</v>
      </c>
      <c r="E96" s="69">
        <v>44700</v>
      </c>
      <c r="F96" t="s">
        <v>201</v>
      </c>
      <c r="G96" t="s">
        <v>202</v>
      </c>
      <c r="H96">
        <v>14</v>
      </c>
      <c r="I96" s="69">
        <v>44719</v>
      </c>
      <c r="J96">
        <v>2022</v>
      </c>
      <c r="K96" s="69">
        <v>44734</v>
      </c>
      <c r="L96" t="s">
        <v>409</v>
      </c>
      <c r="M96" t="s">
        <v>182</v>
      </c>
      <c r="N96" t="s">
        <v>204</v>
      </c>
      <c r="O96" s="69">
        <v>46200</v>
      </c>
      <c r="P96" t="s">
        <v>443</v>
      </c>
      <c r="Q96" s="69">
        <v>46470</v>
      </c>
      <c r="R96" s="69">
        <v>46200</v>
      </c>
      <c r="S96" s="69">
        <v>46470</v>
      </c>
      <c r="T96" s="69">
        <v>47256</v>
      </c>
      <c r="U96" s="69">
        <v>46200</v>
      </c>
      <c r="W96" t="s">
        <v>444</v>
      </c>
      <c r="X96">
        <v>451093</v>
      </c>
      <c r="Y96" s="69">
        <v>46133</v>
      </c>
      <c r="Z96" t="s">
        <v>207</v>
      </c>
      <c r="AB96" t="s">
        <v>208</v>
      </c>
    </row>
    <row r="97" spans="1:28" ht="15.75" customHeight="1" x14ac:dyDescent="0.6">
      <c r="A97">
        <v>96</v>
      </c>
      <c r="B97" t="s">
        <v>445</v>
      </c>
      <c r="C97">
        <v>1900</v>
      </c>
      <c r="D97" t="s">
        <v>179</v>
      </c>
      <c r="E97" s="69">
        <v>44700</v>
      </c>
      <c r="F97" t="s">
        <v>201</v>
      </c>
      <c r="G97" t="s">
        <v>202</v>
      </c>
      <c r="H97">
        <v>14</v>
      </c>
      <c r="I97" s="69">
        <v>44697</v>
      </c>
      <c r="J97">
        <v>2022</v>
      </c>
      <c r="K97" s="69">
        <v>44712</v>
      </c>
      <c r="L97" t="s">
        <v>409</v>
      </c>
      <c r="M97" t="s">
        <v>182</v>
      </c>
      <c r="N97" t="s">
        <v>204</v>
      </c>
      <c r="O97" s="69">
        <v>46200</v>
      </c>
      <c r="P97" t="s">
        <v>446</v>
      </c>
      <c r="Q97" s="69">
        <v>46500</v>
      </c>
      <c r="R97" s="69">
        <v>46200</v>
      </c>
      <c r="S97" s="69">
        <v>46500</v>
      </c>
      <c r="T97" s="69">
        <v>47256</v>
      </c>
      <c r="U97" s="69">
        <v>46200</v>
      </c>
      <c r="V97">
        <v>129100</v>
      </c>
      <c r="W97" t="s">
        <v>447</v>
      </c>
      <c r="X97">
        <v>413704</v>
      </c>
      <c r="Y97" s="69">
        <v>46153</v>
      </c>
      <c r="Z97" t="s">
        <v>207</v>
      </c>
      <c r="AB97" t="s">
        <v>208</v>
      </c>
    </row>
    <row r="98" spans="1:28" ht="15.75" customHeight="1" x14ac:dyDescent="0.6">
      <c r="A98">
        <v>97</v>
      </c>
      <c r="B98" t="s">
        <v>448</v>
      </c>
      <c r="C98">
        <v>1900</v>
      </c>
      <c r="D98" t="s">
        <v>179</v>
      </c>
      <c r="E98" s="69">
        <v>44700</v>
      </c>
      <c r="F98" t="s">
        <v>201</v>
      </c>
      <c r="G98" t="s">
        <v>449</v>
      </c>
      <c r="H98">
        <v>14</v>
      </c>
      <c r="I98" s="69">
        <v>44697</v>
      </c>
      <c r="J98">
        <v>2022</v>
      </c>
      <c r="K98" s="69">
        <v>44712</v>
      </c>
      <c r="L98" t="s">
        <v>409</v>
      </c>
      <c r="M98" t="s">
        <v>182</v>
      </c>
      <c r="N98" t="s">
        <v>204</v>
      </c>
      <c r="O98" s="69">
        <v>46200</v>
      </c>
      <c r="P98" t="s">
        <v>450</v>
      </c>
      <c r="Q98" s="69">
        <v>46505</v>
      </c>
      <c r="R98" s="69">
        <v>46200</v>
      </c>
      <c r="S98" s="69">
        <v>46505</v>
      </c>
      <c r="T98" s="69">
        <v>47256</v>
      </c>
      <c r="U98" s="69">
        <v>46200</v>
      </c>
      <c r="V98">
        <v>129098</v>
      </c>
      <c r="W98" t="s">
        <v>451</v>
      </c>
      <c r="X98">
        <v>544209</v>
      </c>
      <c r="Y98" t="s">
        <v>449</v>
      </c>
      <c r="Z98" t="s">
        <v>207</v>
      </c>
      <c r="AB98" t="s">
        <v>449</v>
      </c>
    </row>
    <row r="99" spans="1:28" ht="15.75" customHeight="1" x14ac:dyDescent="0.6">
      <c r="A99">
        <v>98</v>
      </c>
      <c r="B99" t="s">
        <v>452</v>
      </c>
      <c r="C99">
        <v>1900</v>
      </c>
      <c r="D99" t="s">
        <v>179</v>
      </c>
      <c r="E99" s="69">
        <v>44700</v>
      </c>
      <c r="F99" t="s">
        <v>201</v>
      </c>
      <c r="G99" t="s">
        <v>202</v>
      </c>
      <c r="H99">
        <v>14</v>
      </c>
      <c r="I99" s="69">
        <v>44695</v>
      </c>
      <c r="J99">
        <v>2022</v>
      </c>
      <c r="K99" s="69">
        <v>44710</v>
      </c>
      <c r="L99" t="s">
        <v>409</v>
      </c>
      <c r="M99" t="s">
        <v>182</v>
      </c>
      <c r="N99" t="s">
        <v>204</v>
      </c>
      <c r="O99" s="69">
        <v>46200</v>
      </c>
      <c r="P99" t="s">
        <v>453</v>
      </c>
      <c r="Q99" s="69">
        <v>46514</v>
      </c>
      <c r="R99" s="69">
        <v>46200</v>
      </c>
      <c r="S99" s="69">
        <v>46514</v>
      </c>
      <c r="T99" s="69">
        <v>47256</v>
      </c>
      <c r="U99" s="69">
        <v>46200</v>
      </c>
      <c r="V99">
        <v>129028</v>
      </c>
      <c r="W99" t="s">
        <v>454</v>
      </c>
      <c r="X99">
        <v>257471</v>
      </c>
      <c r="Y99" s="69">
        <v>46154</v>
      </c>
      <c r="Z99" t="s">
        <v>207</v>
      </c>
      <c r="AB99" t="s">
        <v>208</v>
      </c>
    </row>
    <row r="100" spans="1:28" ht="15.75" customHeight="1" x14ac:dyDescent="0.6">
      <c r="A100">
        <v>99</v>
      </c>
      <c r="B100" t="s">
        <v>455</v>
      </c>
      <c r="C100">
        <v>1900</v>
      </c>
      <c r="D100" t="s">
        <v>179</v>
      </c>
      <c r="E100" s="69">
        <v>44727</v>
      </c>
      <c r="F100" t="s">
        <v>201</v>
      </c>
      <c r="G100" t="s">
        <v>202</v>
      </c>
      <c r="H100">
        <v>14</v>
      </c>
      <c r="I100" s="69">
        <v>44720</v>
      </c>
      <c r="J100">
        <v>2022</v>
      </c>
      <c r="K100" s="69">
        <v>44735</v>
      </c>
      <c r="L100" t="s">
        <v>409</v>
      </c>
      <c r="M100" t="s">
        <v>182</v>
      </c>
      <c r="N100" t="s">
        <v>204</v>
      </c>
      <c r="O100" s="69">
        <v>46200</v>
      </c>
      <c r="P100" t="s">
        <v>456</v>
      </c>
      <c r="Q100" s="69">
        <v>46512</v>
      </c>
      <c r="R100" s="69">
        <v>46200</v>
      </c>
      <c r="S100" s="69">
        <v>46512</v>
      </c>
      <c r="T100" s="69">
        <v>47279</v>
      </c>
      <c r="U100" s="69">
        <v>46200</v>
      </c>
      <c r="V100">
        <v>138489</v>
      </c>
      <c r="W100" t="s">
        <v>457</v>
      </c>
      <c r="X100">
        <v>359737</v>
      </c>
      <c r="Y100" t="s">
        <v>219</v>
      </c>
      <c r="Z100" t="s">
        <v>207</v>
      </c>
      <c r="AB100" t="s">
        <v>208</v>
      </c>
    </row>
    <row r="101" spans="1:28" ht="15.75" customHeight="1" x14ac:dyDescent="0.6">
      <c r="A101">
        <v>100</v>
      </c>
      <c r="B101" t="s">
        <v>458</v>
      </c>
      <c r="C101">
        <v>1900</v>
      </c>
      <c r="D101" t="s">
        <v>179</v>
      </c>
      <c r="E101" s="69">
        <v>44727</v>
      </c>
      <c r="F101" t="s">
        <v>201</v>
      </c>
      <c r="G101" t="s">
        <v>202</v>
      </c>
      <c r="H101">
        <v>14</v>
      </c>
      <c r="I101" s="69">
        <v>44715</v>
      </c>
      <c r="J101">
        <v>2022</v>
      </c>
      <c r="K101" s="69">
        <v>44730</v>
      </c>
      <c r="L101" t="s">
        <v>409</v>
      </c>
      <c r="M101" t="s">
        <v>182</v>
      </c>
      <c r="N101" t="s">
        <v>204</v>
      </c>
      <c r="O101" s="69">
        <v>46200</v>
      </c>
      <c r="P101" t="s">
        <v>459</v>
      </c>
      <c r="Q101" s="69">
        <v>46504</v>
      </c>
      <c r="R101" s="69">
        <v>46200</v>
      </c>
      <c r="S101" s="69">
        <v>46504</v>
      </c>
      <c r="T101" s="69">
        <v>47279</v>
      </c>
      <c r="U101" s="69">
        <v>46200</v>
      </c>
      <c r="V101">
        <v>138078</v>
      </c>
      <c r="W101" t="s">
        <v>460</v>
      </c>
      <c r="X101">
        <v>308196</v>
      </c>
      <c r="Y101" s="69">
        <v>46154</v>
      </c>
      <c r="Z101" t="s">
        <v>207</v>
      </c>
      <c r="AB101" t="s">
        <v>215</v>
      </c>
    </row>
    <row r="102" spans="1:28" ht="15.75" customHeight="1" x14ac:dyDescent="0.6">
      <c r="A102">
        <v>101</v>
      </c>
      <c r="B102" t="s">
        <v>461</v>
      </c>
      <c r="C102">
        <v>1900</v>
      </c>
      <c r="D102" t="s">
        <v>179</v>
      </c>
      <c r="E102" s="69">
        <v>44727</v>
      </c>
      <c r="F102" t="s">
        <v>201</v>
      </c>
      <c r="G102" t="s">
        <v>226</v>
      </c>
      <c r="H102">
        <v>14</v>
      </c>
      <c r="I102" s="69">
        <v>44715</v>
      </c>
      <c r="J102">
        <v>2022</v>
      </c>
      <c r="K102" s="69">
        <v>44730</v>
      </c>
      <c r="L102" t="s">
        <v>409</v>
      </c>
      <c r="M102" t="s">
        <v>182</v>
      </c>
      <c r="N102" t="s">
        <v>204</v>
      </c>
      <c r="O102" s="69">
        <v>46200</v>
      </c>
      <c r="P102" t="s">
        <v>462</v>
      </c>
      <c r="Q102" s="69">
        <v>46512</v>
      </c>
      <c r="R102" s="69">
        <v>46201</v>
      </c>
      <c r="S102" s="69">
        <v>46512</v>
      </c>
      <c r="T102" s="69">
        <v>47279</v>
      </c>
      <c r="U102" s="69">
        <v>46200</v>
      </c>
      <c r="V102">
        <v>138077</v>
      </c>
      <c r="W102" t="s">
        <v>463</v>
      </c>
      <c r="X102">
        <v>361186</v>
      </c>
      <c r="Y102" t="s">
        <v>226</v>
      </c>
      <c r="Z102" t="s">
        <v>207</v>
      </c>
      <c r="AB102" t="s">
        <v>226</v>
      </c>
    </row>
    <row r="103" spans="1:28" ht="15.75" customHeight="1" x14ac:dyDescent="0.6">
      <c r="A103">
        <v>102</v>
      </c>
      <c r="B103" t="s">
        <v>464</v>
      </c>
      <c r="C103">
        <v>1900</v>
      </c>
      <c r="D103" t="s">
        <v>179</v>
      </c>
      <c r="E103" s="69">
        <v>44727</v>
      </c>
      <c r="F103" t="s">
        <v>201</v>
      </c>
      <c r="G103" t="s">
        <v>202</v>
      </c>
      <c r="H103">
        <v>14</v>
      </c>
      <c r="I103" s="69">
        <v>44708</v>
      </c>
      <c r="J103">
        <v>2022</v>
      </c>
      <c r="K103" s="69">
        <v>44723</v>
      </c>
      <c r="L103" t="s">
        <v>409</v>
      </c>
      <c r="M103" t="s">
        <v>182</v>
      </c>
      <c r="N103" t="s">
        <v>204</v>
      </c>
      <c r="O103" s="69">
        <v>46200</v>
      </c>
      <c r="P103" t="s">
        <v>465</v>
      </c>
      <c r="Q103" s="69">
        <v>46514</v>
      </c>
      <c r="R103" s="69">
        <v>46200</v>
      </c>
      <c r="S103" s="69">
        <v>46514</v>
      </c>
      <c r="T103" s="69">
        <v>47256</v>
      </c>
      <c r="U103" s="69">
        <v>46200</v>
      </c>
      <c r="V103" t="s">
        <v>466</v>
      </c>
      <c r="W103" t="s">
        <v>467</v>
      </c>
      <c r="X103">
        <v>350265</v>
      </c>
      <c r="Y103" s="69">
        <v>46156</v>
      </c>
      <c r="Z103" t="s">
        <v>207</v>
      </c>
      <c r="AB103" t="s">
        <v>208</v>
      </c>
    </row>
    <row r="104" spans="1:28" ht="15.75" customHeight="1" x14ac:dyDescent="0.6">
      <c r="A104">
        <v>103</v>
      </c>
      <c r="B104" t="s">
        <v>468</v>
      </c>
      <c r="C104">
        <v>1900</v>
      </c>
      <c r="D104" t="s">
        <v>179</v>
      </c>
      <c r="E104" s="69">
        <v>44790</v>
      </c>
      <c r="F104" t="s">
        <v>201</v>
      </c>
      <c r="G104" t="s">
        <v>202</v>
      </c>
      <c r="H104">
        <v>14</v>
      </c>
      <c r="I104" s="69">
        <v>44782</v>
      </c>
      <c r="J104">
        <v>2022</v>
      </c>
      <c r="K104" s="69">
        <v>44797</v>
      </c>
      <c r="L104" t="s">
        <v>409</v>
      </c>
      <c r="M104" t="s">
        <v>182</v>
      </c>
      <c r="N104" t="s">
        <v>204</v>
      </c>
      <c r="O104" s="69">
        <v>46295</v>
      </c>
      <c r="P104" t="s">
        <v>469</v>
      </c>
      <c r="Q104" s="69">
        <v>46289</v>
      </c>
      <c r="R104" s="69">
        <v>46295</v>
      </c>
      <c r="S104" s="69">
        <v>46289</v>
      </c>
      <c r="T104" s="69">
        <v>47346</v>
      </c>
      <c r="U104" s="69">
        <v>46293</v>
      </c>
      <c r="W104" t="s">
        <v>470</v>
      </c>
      <c r="X104">
        <v>243200</v>
      </c>
      <c r="Y104" t="s">
        <v>219</v>
      </c>
      <c r="Z104" t="s">
        <v>207</v>
      </c>
      <c r="AB104" t="s">
        <v>208</v>
      </c>
    </row>
    <row r="105" spans="1:28" ht="15.75" customHeight="1" x14ac:dyDescent="0.6">
      <c r="A105">
        <v>104</v>
      </c>
      <c r="B105" t="s">
        <v>471</v>
      </c>
      <c r="C105">
        <v>1900</v>
      </c>
      <c r="D105" t="s">
        <v>179</v>
      </c>
      <c r="E105" s="69">
        <v>44790</v>
      </c>
      <c r="F105" t="s">
        <v>201</v>
      </c>
      <c r="G105" t="s">
        <v>449</v>
      </c>
      <c r="H105">
        <v>14</v>
      </c>
      <c r="I105" s="69">
        <v>44782</v>
      </c>
      <c r="J105">
        <v>2022</v>
      </c>
      <c r="K105" s="69">
        <v>44797</v>
      </c>
      <c r="L105" t="s">
        <v>409</v>
      </c>
      <c r="M105" t="s">
        <v>182</v>
      </c>
      <c r="N105" t="s">
        <v>204</v>
      </c>
      <c r="O105" s="69">
        <v>46295</v>
      </c>
      <c r="P105" t="s">
        <v>472</v>
      </c>
      <c r="Q105" s="69">
        <v>46231</v>
      </c>
      <c r="R105" s="69">
        <v>46295</v>
      </c>
      <c r="S105" s="69">
        <v>46231</v>
      </c>
      <c r="T105" s="69">
        <v>47346</v>
      </c>
      <c r="U105" s="69">
        <v>46293</v>
      </c>
      <c r="V105">
        <v>160027</v>
      </c>
      <c r="W105" t="s">
        <v>473</v>
      </c>
      <c r="X105">
        <v>494334</v>
      </c>
      <c r="Y105" t="s">
        <v>449</v>
      </c>
      <c r="Z105" t="s">
        <v>207</v>
      </c>
      <c r="AB105" t="s">
        <v>449</v>
      </c>
    </row>
    <row r="106" spans="1:28" ht="15.75" customHeight="1" x14ac:dyDescent="0.6">
      <c r="A106">
        <v>105</v>
      </c>
      <c r="B106" t="s">
        <v>474</v>
      </c>
      <c r="C106">
        <v>1900</v>
      </c>
      <c r="D106" t="s">
        <v>179</v>
      </c>
      <c r="E106" s="69">
        <v>44790</v>
      </c>
      <c r="F106" t="s">
        <v>201</v>
      </c>
      <c r="G106" t="s">
        <v>202</v>
      </c>
      <c r="H106">
        <v>14</v>
      </c>
      <c r="I106" s="69">
        <v>44782</v>
      </c>
      <c r="J106">
        <v>2022</v>
      </c>
      <c r="K106" s="69">
        <v>44797</v>
      </c>
      <c r="L106" t="s">
        <v>409</v>
      </c>
      <c r="M106" t="s">
        <v>182</v>
      </c>
      <c r="N106" t="s">
        <v>204</v>
      </c>
      <c r="O106" s="69">
        <v>46295</v>
      </c>
      <c r="Q106" s="69">
        <v>46259</v>
      </c>
      <c r="R106" s="69">
        <v>46295</v>
      </c>
      <c r="S106" s="69">
        <v>46259</v>
      </c>
      <c r="T106" s="69">
        <v>47346</v>
      </c>
      <c r="U106" s="69">
        <v>46293</v>
      </c>
      <c r="W106" t="s">
        <v>475</v>
      </c>
      <c r="X106">
        <v>454210</v>
      </c>
      <c r="Y106" s="69">
        <v>46259</v>
      </c>
      <c r="Z106" t="s">
        <v>207</v>
      </c>
      <c r="AB106" t="s">
        <v>208</v>
      </c>
    </row>
    <row r="107" spans="1:28" ht="15.75" customHeight="1" x14ac:dyDescent="0.6">
      <c r="A107">
        <v>106</v>
      </c>
      <c r="B107" t="s">
        <v>476</v>
      </c>
      <c r="C107">
        <v>1900</v>
      </c>
      <c r="D107" t="s">
        <v>179</v>
      </c>
      <c r="E107" s="69">
        <v>44790</v>
      </c>
      <c r="F107" t="s">
        <v>201</v>
      </c>
      <c r="G107" t="s">
        <v>449</v>
      </c>
      <c r="H107">
        <v>14</v>
      </c>
      <c r="I107" s="69">
        <v>44782</v>
      </c>
      <c r="J107">
        <v>2022</v>
      </c>
      <c r="K107" s="69">
        <v>44797</v>
      </c>
      <c r="L107" t="s">
        <v>409</v>
      </c>
      <c r="M107" t="s">
        <v>182</v>
      </c>
      <c r="N107" t="s">
        <v>204</v>
      </c>
      <c r="O107" s="69">
        <v>46295</v>
      </c>
      <c r="P107" t="s">
        <v>477</v>
      </c>
      <c r="Q107" s="69">
        <v>46232</v>
      </c>
      <c r="R107" s="69">
        <v>46295</v>
      </c>
      <c r="S107" s="69">
        <v>46232</v>
      </c>
      <c r="T107" s="69">
        <v>47344</v>
      </c>
      <c r="U107" s="69">
        <v>46293</v>
      </c>
      <c r="V107">
        <v>159915</v>
      </c>
      <c r="W107" t="s">
        <v>478</v>
      </c>
      <c r="X107">
        <v>533414</v>
      </c>
      <c r="Y107" t="s">
        <v>449</v>
      </c>
      <c r="Z107" t="s">
        <v>207</v>
      </c>
      <c r="AB107" t="s">
        <v>449</v>
      </c>
    </row>
    <row r="108" spans="1:28" ht="15.75" customHeight="1" x14ac:dyDescent="0.6">
      <c r="A108">
        <v>107</v>
      </c>
      <c r="B108" t="s">
        <v>479</v>
      </c>
      <c r="C108">
        <v>1900</v>
      </c>
      <c r="D108" t="s">
        <v>179</v>
      </c>
      <c r="E108" s="69">
        <v>44790</v>
      </c>
      <c r="F108" t="s">
        <v>201</v>
      </c>
      <c r="G108" t="s">
        <v>226</v>
      </c>
      <c r="H108">
        <v>14</v>
      </c>
      <c r="I108" s="69">
        <v>44782</v>
      </c>
      <c r="J108">
        <v>2022</v>
      </c>
      <c r="K108" s="69">
        <v>44797</v>
      </c>
      <c r="L108" t="s">
        <v>409</v>
      </c>
      <c r="M108" t="s">
        <v>182</v>
      </c>
      <c r="N108" t="s">
        <v>204</v>
      </c>
      <c r="O108" s="69">
        <v>46295</v>
      </c>
      <c r="Q108" s="69">
        <v>46240</v>
      </c>
      <c r="R108" s="69">
        <v>46295</v>
      </c>
      <c r="S108" s="69">
        <v>46240</v>
      </c>
      <c r="T108" s="69">
        <v>47344</v>
      </c>
      <c r="U108" s="69">
        <v>46293</v>
      </c>
      <c r="W108" t="s">
        <v>480</v>
      </c>
      <c r="X108">
        <v>346215</v>
      </c>
      <c r="Y108" t="s">
        <v>226</v>
      </c>
      <c r="Z108" t="s">
        <v>207</v>
      </c>
      <c r="AB108" t="s">
        <v>226</v>
      </c>
    </row>
    <row r="109" spans="1:28" ht="15.75" customHeight="1" x14ac:dyDescent="0.6">
      <c r="A109">
        <v>108</v>
      </c>
      <c r="B109" t="s">
        <v>481</v>
      </c>
      <c r="C109">
        <v>1900</v>
      </c>
      <c r="D109" t="s">
        <v>179</v>
      </c>
      <c r="E109" s="69">
        <v>44790</v>
      </c>
      <c r="F109" t="s">
        <v>201</v>
      </c>
      <c r="G109" t="s">
        <v>202</v>
      </c>
      <c r="H109">
        <v>14</v>
      </c>
      <c r="I109" s="69">
        <v>44782</v>
      </c>
      <c r="J109">
        <v>2022</v>
      </c>
      <c r="K109" s="69">
        <v>44797</v>
      </c>
      <c r="L109" t="s">
        <v>409</v>
      </c>
      <c r="M109" t="s">
        <v>182</v>
      </c>
      <c r="N109" t="s">
        <v>204</v>
      </c>
      <c r="O109" s="69">
        <v>46295</v>
      </c>
      <c r="Q109" s="69">
        <v>46239</v>
      </c>
      <c r="R109" s="69">
        <v>46295</v>
      </c>
      <c r="S109" s="69">
        <v>46239</v>
      </c>
      <c r="T109" s="69">
        <v>47346</v>
      </c>
      <c r="U109" s="69">
        <v>46293</v>
      </c>
      <c r="W109" t="s">
        <v>482</v>
      </c>
      <c r="X109">
        <v>310305</v>
      </c>
      <c r="Y109" s="69">
        <v>46150</v>
      </c>
      <c r="Z109" t="s">
        <v>207</v>
      </c>
      <c r="AB109" t="s">
        <v>208</v>
      </c>
    </row>
    <row r="110" spans="1:28" ht="15.75" customHeight="1" x14ac:dyDescent="0.6">
      <c r="A110">
        <v>109</v>
      </c>
      <c r="B110" t="s">
        <v>483</v>
      </c>
      <c r="C110">
        <v>1900</v>
      </c>
      <c r="D110" t="s">
        <v>179</v>
      </c>
      <c r="E110" s="69">
        <v>44790</v>
      </c>
      <c r="F110" t="s">
        <v>201</v>
      </c>
      <c r="G110" t="s">
        <v>449</v>
      </c>
      <c r="H110">
        <v>14</v>
      </c>
      <c r="I110" s="69">
        <v>44782</v>
      </c>
      <c r="J110">
        <v>2022</v>
      </c>
      <c r="K110" s="69">
        <v>44797</v>
      </c>
      <c r="L110" t="s">
        <v>409</v>
      </c>
      <c r="M110" t="s">
        <v>182</v>
      </c>
      <c r="N110" t="s">
        <v>204</v>
      </c>
      <c r="O110" s="69">
        <v>46295</v>
      </c>
      <c r="P110" t="s">
        <v>484</v>
      </c>
      <c r="Q110" s="69">
        <v>46230</v>
      </c>
      <c r="R110" s="69">
        <v>46295</v>
      </c>
      <c r="S110" s="69">
        <v>46230</v>
      </c>
      <c r="T110" s="69">
        <v>47344</v>
      </c>
      <c r="U110" s="69">
        <v>46293</v>
      </c>
      <c r="V110">
        <v>159942</v>
      </c>
      <c r="W110" t="s">
        <v>485</v>
      </c>
      <c r="X110">
        <v>525303</v>
      </c>
      <c r="Y110" t="s">
        <v>449</v>
      </c>
      <c r="Z110" t="s">
        <v>207</v>
      </c>
      <c r="AB110" t="s">
        <v>449</v>
      </c>
    </row>
    <row r="111" spans="1:28" ht="15.75" customHeight="1" x14ac:dyDescent="0.6">
      <c r="A111">
        <v>110</v>
      </c>
      <c r="B111" t="s">
        <v>486</v>
      </c>
      <c r="C111">
        <v>1900</v>
      </c>
      <c r="D111" t="s">
        <v>179</v>
      </c>
      <c r="E111" s="69">
        <v>44790</v>
      </c>
      <c r="F111" t="s">
        <v>201</v>
      </c>
      <c r="G111" t="s">
        <v>202</v>
      </c>
      <c r="H111">
        <v>14</v>
      </c>
      <c r="I111" s="69">
        <v>44782</v>
      </c>
      <c r="J111">
        <v>2022</v>
      </c>
      <c r="K111" s="69">
        <v>44797</v>
      </c>
      <c r="L111" t="s">
        <v>409</v>
      </c>
      <c r="M111" t="s">
        <v>182</v>
      </c>
      <c r="N111" t="s">
        <v>204</v>
      </c>
      <c r="O111" s="69">
        <v>46295</v>
      </c>
      <c r="Q111" s="69">
        <v>46296</v>
      </c>
      <c r="R111" s="69">
        <v>46295</v>
      </c>
      <c r="S111" s="69">
        <v>46296</v>
      </c>
      <c r="T111" s="69">
        <v>47346</v>
      </c>
      <c r="U111" s="69">
        <v>46293</v>
      </c>
      <c r="W111" t="s">
        <v>487</v>
      </c>
      <c r="X111">
        <v>297400</v>
      </c>
      <c r="Y111" t="s">
        <v>219</v>
      </c>
      <c r="Z111" t="s">
        <v>207</v>
      </c>
      <c r="AB111" t="s">
        <v>208</v>
      </c>
    </row>
    <row r="112" spans="1:28" ht="15.75" customHeight="1" x14ac:dyDescent="0.6">
      <c r="A112">
        <v>111</v>
      </c>
      <c r="B112" t="s">
        <v>488</v>
      </c>
      <c r="C112">
        <v>1900</v>
      </c>
      <c r="D112" t="s">
        <v>179</v>
      </c>
      <c r="E112" s="69">
        <v>44790</v>
      </c>
      <c r="F112" t="s">
        <v>201</v>
      </c>
      <c r="G112" t="s">
        <v>202</v>
      </c>
      <c r="H112">
        <v>14</v>
      </c>
      <c r="I112" s="69">
        <v>44782</v>
      </c>
      <c r="J112">
        <v>2022</v>
      </c>
      <c r="K112" s="69">
        <v>44797</v>
      </c>
      <c r="L112" t="s">
        <v>409</v>
      </c>
      <c r="M112" t="s">
        <v>182</v>
      </c>
      <c r="N112" t="s">
        <v>204</v>
      </c>
      <c r="O112" s="69">
        <v>46295</v>
      </c>
      <c r="P112" t="s">
        <v>489</v>
      </c>
      <c r="Q112" s="69">
        <v>46255</v>
      </c>
      <c r="R112" s="69">
        <v>46295</v>
      </c>
      <c r="S112" s="69">
        <v>46255</v>
      </c>
      <c r="T112" s="69">
        <v>47346</v>
      </c>
      <c r="U112" s="69">
        <v>46293</v>
      </c>
      <c r="W112" t="s">
        <v>490</v>
      </c>
      <c r="X112">
        <v>362146</v>
      </c>
      <c r="Y112" s="69">
        <v>46255</v>
      </c>
      <c r="Z112" t="s">
        <v>207</v>
      </c>
      <c r="AB112" t="s">
        <v>208</v>
      </c>
    </row>
    <row r="113" spans="1:28" ht="15.75" customHeight="1" x14ac:dyDescent="0.6">
      <c r="A113">
        <v>112</v>
      </c>
      <c r="B113" t="s">
        <v>491</v>
      </c>
      <c r="C113">
        <v>1900</v>
      </c>
      <c r="D113" t="s">
        <v>179</v>
      </c>
      <c r="E113" s="69">
        <v>44790</v>
      </c>
      <c r="F113" t="s">
        <v>201</v>
      </c>
      <c r="G113" t="s">
        <v>449</v>
      </c>
      <c r="H113">
        <v>14</v>
      </c>
      <c r="I113" s="69">
        <v>44782</v>
      </c>
      <c r="J113">
        <v>2022</v>
      </c>
      <c r="K113" s="69">
        <v>44797</v>
      </c>
      <c r="L113" t="s">
        <v>409</v>
      </c>
      <c r="M113" t="s">
        <v>182</v>
      </c>
      <c r="N113" t="s">
        <v>204</v>
      </c>
      <c r="O113" s="69">
        <v>46295</v>
      </c>
      <c r="P113" t="s">
        <v>492</v>
      </c>
      <c r="Q113" s="69">
        <v>46237</v>
      </c>
      <c r="R113" s="69">
        <v>46295</v>
      </c>
      <c r="S113" s="69">
        <v>46237</v>
      </c>
      <c r="T113" s="69">
        <v>47344</v>
      </c>
      <c r="U113" s="69">
        <v>46293</v>
      </c>
      <c r="V113">
        <v>159943</v>
      </c>
      <c r="W113" t="s">
        <v>493</v>
      </c>
      <c r="X113">
        <v>531843</v>
      </c>
      <c r="Y113" t="s">
        <v>449</v>
      </c>
      <c r="Z113" t="s">
        <v>207</v>
      </c>
      <c r="AB113" t="s">
        <v>449</v>
      </c>
    </row>
    <row r="114" spans="1:28" ht="15.75" customHeight="1" x14ac:dyDescent="0.6">
      <c r="A114">
        <v>113</v>
      </c>
      <c r="B114" t="s">
        <v>494</v>
      </c>
      <c r="C114">
        <v>1900</v>
      </c>
      <c r="D114" t="s">
        <v>179</v>
      </c>
      <c r="E114" s="69">
        <v>44790</v>
      </c>
      <c r="F114" t="s">
        <v>201</v>
      </c>
      <c r="G114" t="s">
        <v>449</v>
      </c>
      <c r="H114">
        <v>14</v>
      </c>
      <c r="I114" s="69">
        <v>44782</v>
      </c>
      <c r="J114">
        <v>2022</v>
      </c>
      <c r="K114" s="69">
        <v>44797</v>
      </c>
      <c r="L114" t="s">
        <v>409</v>
      </c>
      <c r="M114" t="s">
        <v>182</v>
      </c>
      <c r="N114" t="s">
        <v>204</v>
      </c>
      <c r="O114" s="69">
        <v>46295</v>
      </c>
      <c r="P114" t="s">
        <v>495</v>
      </c>
      <c r="Q114" s="69">
        <v>46233</v>
      </c>
      <c r="R114" s="69">
        <v>46295</v>
      </c>
      <c r="S114" s="69">
        <v>46233</v>
      </c>
      <c r="T114" s="69">
        <v>47344</v>
      </c>
      <c r="U114" s="69">
        <v>46293</v>
      </c>
      <c r="V114">
        <v>159918</v>
      </c>
      <c r="W114" t="s">
        <v>496</v>
      </c>
      <c r="X114">
        <v>535781</v>
      </c>
      <c r="Y114" t="s">
        <v>449</v>
      </c>
      <c r="Z114" t="s">
        <v>207</v>
      </c>
      <c r="AB114" t="s">
        <v>449</v>
      </c>
    </row>
    <row r="115" spans="1:28" ht="15.75" customHeight="1" x14ac:dyDescent="0.6">
      <c r="A115">
        <v>114</v>
      </c>
      <c r="B115" t="s">
        <v>497</v>
      </c>
      <c r="C115">
        <v>1700</v>
      </c>
      <c r="D115" t="s">
        <v>498</v>
      </c>
      <c r="E115" s="69">
        <v>45211</v>
      </c>
      <c r="F115" t="s">
        <v>201</v>
      </c>
      <c r="G115" t="s">
        <v>226</v>
      </c>
      <c r="H115">
        <v>15</v>
      </c>
      <c r="I115" s="69">
        <v>45189</v>
      </c>
      <c r="J115">
        <v>2023</v>
      </c>
      <c r="K115" s="69">
        <v>45204</v>
      </c>
      <c r="L115" t="s">
        <v>499</v>
      </c>
      <c r="M115" t="s">
        <v>182</v>
      </c>
      <c r="N115" t="s">
        <v>204</v>
      </c>
      <c r="O115" s="69">
        <v>46295</v>
      </c>
      <c r="Q115" s="69">
        <v>46283</v>
      </c>
      <c r="R115" s="69">
        <v>46295</v>
      </c>
      <c r="S115" s="69">
        <v>46283</v>
      </c>
      <c r="T115" s="69">
        <v>47745</v>
      </c>
      <c r="U115" s="69">
        <v>46288</v>
      </c>
      <c r="V115" t="s">
        <v>500</v>
      </c>
      <c r="W115" t="s">
        <v>501</v>
      </c>
      <c r="X115">
        <v>249647</v>
      </c>
      <c r="Y115" t="s">
        <v>226</v>
      </c>
      <c r="Z115" t="s">
        <v>207</v>
      </c>
      <c r="AB115" t="s">
        <v>226</v>
      </c>
    </row>
    <row r="116" spans="1:28" ht="15.75" customHeight="1" x14ac:dyDescent="0.6">
      <c r="A116">
        <v>115</v>
      </c>
      <c r="B116" t="s">
        <v>502</v>
      </c>
      <c r="C116">
        <v>1700</v>
      </c>
      <c r="D116" t="s">
        <v>498</v>
      </c>
      <c r="E116" s="69">
        <v>45211</v>
      </c>
      <c r="F116" t="s">
        <v>201</v>
      </c>
      <c r="G116" t="s">
        <v>226</v>
      </c>
      <c r="H116">
        <v>15</v>
      </c>
      <c r="I116" s="69">
        <v>45270</v>
      </c>
      <c r="J116">
        <v>2023</v>
      </c>
      <c r="K116" s="69">
        <v>45285</v>
      </c>
      <c r="L116" t="s">
        <v>499</v>
      </c>
      <c r="M116" t="s">
        <v>182</v>
      </c>
      <c r="N116" t="s">
        <v>204</v>
      </c>
      <c r="O116" s="69">
        <v>46295</v>
      </c>
      <c r="Q116" s="69">
        <v>46280</v>
      </c>
      <c r="R116" s="69">
        <v>46295</v>
      </c>
      <c r="S116" s="69">
        <v>46280</v>
      </c>
      <c r="T116" s="69">
        <v>47745</v>
      </c>
      <c r="U116" s="69">
        <v>46288</v>
      </c>
      <c r="V116" t="s">
        <v>503</v>
      </c>
      <c r="W116" t="s">
        <v>504</v>
      </c>
      <c r="X116">
        <v>223566</v>
      </c>
      <c r="Y116" t="s">
        <v>226</v>
      </c>
      <c r="Z116" t="s">
        <v>207</v>
      </c>
      <c r="AB116" t="s">
        <v>226</v>
      </c>
    </row>
    <row r="117" spans="1:28" ht="15.75" customHeight="1" x14ac:dyDescent="0.6">
      <c r="A117">
        <v>116</v>
      </c>
      <c r="B117" t="s">
        <v>505</v>
      </c>
      <c r="C117">
        <v>1700</v>
      </c>
      <c r="D117" t="s">
        <v>498</v>
      </c>
      <c r="E117" s="69">
        <v>45211</v>
      </c>
      <c r="F117" t="s">
        <v>201</v>
      </c>
      <c r="G117" t="s">
        <v>202</v>
      </c>
      <c r="H117">
        <v>15</v>
      </c>
      <c r="I117" s="69">
        <v>45187</v>
      </c>
      <c r="J117">
        <v>2023</v>
      </c>
      <c r="K117" s="69">
        <v>45202</v>
      </c>
      <c r="L117" t="s">
        <v>499</v>
      </c>
      <c r="M117" t="s">
        <v>182</v>
      </c>
      <c r="N117" t="s">
        <v>506</v>
      </c>
      <c r="O117" s="69">
        <v>46295</v>
      </c>
      <c r="Q117" s="69">
        <v>46280</v>
      </c>
      <c r="R117" s="69">
        <v>46295</v>
      </c>
      <c r="S117" s="69">
        <v>46280</v>
      </c>
      <c r="T117" s="69">
        <v>47745</v>
      </c>
      <c r="U117" s="69">
        <v>46288</v>
      </c>
      <c r="V117" t="s">
        <v>507</v>
      </c>
      <c r="W117" t="s">
        <v>508</v>
      </c>
      <c r="X117">
        <v>234380</v>
      </c>
      <c r="Y117" s="69">
        <v>45917</v>
      </c>
      <c r="Z117" t="s">
        <v>207</v>
      </c>
      <c r="AA117" t="s">
        <v>509</v>
      </c>
      <c r="AB117" t="s">
        <v>208</v>
      </c>
    </row>
    <row r="118" spans="1:28" ht="15.75" customHeight="1" x14ac:dyDescent="0.6">
      <c r="A118">
        <v>117</v>
      </c>
      <c r="B118" t="s">
        <v>510</v>
      </c>
      <c r="C118">
        <v>1700</v>
      </c>
      <c r="D118" t="s">
        <v>498</v>
      </c>
      <c r="E118" s="69">
        <v>45211</v>
      </c>
      <c r="F118" t="s">
        <v>201</v>
      </c>
      <c r="G118" t="s">
        <v>202</v>
      </c>
      <c r="H118">
        <v>15</v>
      </c>
      <c r="I118" s="69">
        <v>45187</v>
      </c>
      <c r="J118">
        <v>2023</v>
      </c>
      <c r="K118" s="69">
        <v>45202</v>
      </c>
      <c r="L118" t="s">
        <v>499</v>
      </c>
      <c r="M118" t="s">
        <v>182</v>
      </c>
      <c r="N118" t="s">
        <v>204</v>
      </c>
      <c r="O118" s="69">
        <v>46295</v>
      </c>
      <c r="P118" t="s">
        <v>511</v>
      </c>
      <c r="Q118" s="69">
        <v>46279</v>
      </c>
      <c r="R118" s="69">
        <v>46295</v>
      </c>
      <c r="S118" s="69">
        <v>46279</v>
      </c>
      <c r="T118" s="69">
        <v>47745</v>
      </c>
      <c r="U118" s="69">
        <v>46288</v>
      </c>
      <c r="V118" t="s">
        <v>512</v>
      </c>
      <c r="W118" t="s">
        <v>513</v>
      </c>
      <c r="X118">
        <v>244558</v>
      </c>
      <c r="Y118" s="69">
        <v>45917</v>
      </c>
      <c r="Z118" t="s">
        <v>207</v>
      </c>
      <c r="AB118" t="s">
        <v>208</v>
      </c>
    </row>
    <row r="119" spans="1:28" ht="15.75" customHeight="1" x14ac:dyDescent="0.6">
      <c r="A119">
        <v>118</v>
      </c>
      <c r="B119" t="s">
        <v>514</v>
      </c>
      <c r="C119">
        <v>1700</v>
      </c>
      <c r="D119" t="s">
        <v>498</v>
      </c>
      <c r="E119" s="69">
        <v>45211</v>
      </c>
      <c r="F119" t="s">
        <v>201</v>
      </c>
      <c r="G119" t="s">
        <v>226</v>
      </c>
      <c r="H119">
        <v>15</v>
      </c>
      <c r="I119" s="69">
        <v>45187</v>
      </c>
      <c r="J119">
        <v>2023</v>
      </c>
      <c r="K119" s="69">
        <v>45202</v>
      </c>
      <c r="L119" t="s">
        <v>499</v>
      </c>
      <c r="M119" t="s">
        <v>182</v>
      </c>
      <c r="N119" t="s">
        <v>204</v>
      </c>
      <c r="O119" s="69">
        <v>46295</v>
      </c>
      <c r="P119" t="s">
        <v>515</v>
      </c>
      <c r="Q119" s="69">
        <v>46280</v>
      </c>
      <c r="R119" s="69">
        <v>46295</v>
      </c>
      <c r="S119" s="69">
        <v>46280</v>
      </c>
      <c r="T119" s="69">
        <v>47745</v>
      </c>
      <c r="U119" s="69">
        <v>46288</v>
      </c>
      <c r="V119">
        <v>11408</v>
      </c>
      <c r="W119" t="s">
        <v>516</v>
      </c>
      <c r="X119">
        <v>252143</v>
      </c>
      <c r="Y119" t="s">
        <v>226</v>
      </c>
      <c r="Z119" t="s">
        <v>207</v>
      </c>
      <c r="AB119" t="s">
        <v>226</v>
      </c>
    </row>
    <row r="120" spans="1:28" ht="15.75" customHeight="1" x14ac:dyDescent="0.6">
      <c r="A120">
        <v>119</v>
      </c>
      <c r="B120" t="s">
        <v>517</v>
      </c>
      <c r="C120">
        <v>1700</v>
      </c>
      <c r="D120" t="s">
        <v>498</v>
      </c>
      <c r="E120" s="69">
        <v>45211</v>
      </c>
      <c r="F120" t="s">
        <v>201</v>
      </c>
      <c r="G120" t="s">
        <v>226</v>
      </c>
      <c r="H120">
        <v>15</v>
      </c>
      <c r="I120" s="69">
        <v>45187</v>
      </c>
      <c r="J120">
        <v>2023</v>
      </c>
      <c r="K120" s="69">
        <v>45202</v>
      </c>
      <c r="L120" t="s">
        <v>499</v>
      </c>
      <c r="M120" t="s">
        <v>182</v>
      </c>
      <c r="N120" t="s">
        <v>204</v>
      </c>
      <c r="O120" s="69">
        <v>46295</v>
      </c>
      <c r="P120" t="s">
        <v>518</v>
      </c>
      <c r="Q120" s="69">
        <v>46280</v>
      </c>
      <c r="R120" s="69">
        <v>46295</v>
      </c>
      <c r="S120" s="69">
        <v>46280</v>
      </c>
      <c r="T120" s="69">
        <v>47745</v>
      </c>
      <c r="U120" s="69">
        <v>46288</v>
      </c>
      <c r="W120" t="s">
        <v>519</v>
      </c>
      <c r="X120">
        <v>238332</v>
      </c>
      <c r="Y120" t="s">
        <v>226</v>
      </c>
      <c r="Z120" t="s">
        <v>207</v>
      </c>
      <c r="AB120" t="s">
        <v>226</v>
      </c>
    </row>
    <row r="121" spans="1:28" ht="15.75" customHeight="1" x14ac:dyDescent="0.6">
      <c r="A121">
        <v>120</v>
      </c>
      <c r="B121" t="s">
        <v>520</v>
      </c>
      <c r="C121">
        <v>1700</v>
      </c>
      <c r="D121" t="s">
        <v>498</v>
      </c>
      <c r="E121" s="69">
        <v>45211</v>
      </c>
      <c r="F121" t="s">
        <v>201</v>
      </c>
      <c r="G121" t="s">
        <v>202</v>
      </c>
      <c r="H121">
        <v>15</v>
      </c>
      <c r="I121" s="69">
        <v>45187</v>
      </c>
      <c r="J121">
        <v>2023</v>
      </c>
      <c r="K121" s="69">
        <v>45202</v>
      </c>
      <c r="L121" t="s">
        <v>499</v>
      </c>
      <c r="M121" t="s">
        <v>182</v>
      </c>
      <c r="N121" t="s">
        <v>204</v>
      </c>
      <c r="O121" s="69">
        <v>46295</v>
      </c>
      <c r="Q121" s="69">
        <v>46279</v>
      </c>
      <c r="R121" s="69">
        <v>46295</v>
      </c>
      <c r="S121" s="69">
        <v>46279</v>
      </c>
      <c r="T121" s="69">
        <v>47745</v>
      </c>
      <c r="U121" s="69">
        <v>46288</v>
      </c>
      <c r="W121" t="s">
        <v>521</v>
      </c>
      <c r="X121">
        <v>266147</v>
      </c>
      <c r="Y121" t="s">
        <v>219</v>
      </c>
      <c r="Z121" t="s">
        <v>207</v>
      </c>
      <c r="AB121" t="s">
        <v>208</v>
      </c>
    </row>
    <row r="122" spans="1:28" ht="15.75" customHeight="1" x14ac:dyDescent="0.6">
      <c r="A122">
        <v>121</v>
      </c>
      <c r="B122" t="s">
        <v>522</v>
      </c>
      <c r="C122">
        <v>1700</v>
      </c>
      <c r="D122" t="s">
        <v>498</v>
      </c>
      <c r="E122" s="69">
        <v>45211</v>
      </c>
      <c r="F122" t="s">
        <v>201</v>
      </c>
      <c r="G122" t="s">
        <v>226</v>
      </c>
      <c r="H122">
        <v>15</v>
      </c>
      <c r="I122" s="69">
        <v>45189</v>
      </c>
      <c r="J122">
        <v>2023</v>
      </c>
      <c r="K122" s="69">
        <v>45204</v>
      </c>
      <c r="L122" t="s">
        <v>499</v>
      </c>
      <c r="M122" t="s">
        <v>182</v>
      </c>
      <c r="N122" t="s">
        <v>204</v>
      </c>
      <c r="O122" s="69">
        <v>46381</v>
      </c>
      <c r="P122" t="s">
        <v>523</v>
      </c>
      <c r="Q122" s="69">
        <v>46283</v>
      </c>
      <c r="R122" s="69">
        <v>46381</v>
      </c>
      <c r="S122" s="69">
        <v>46283</v>
      </c>
      <c r="T122" s="69">
        <v>47746</v>
      </c>
      <c r="U122" s="69">
        <v>46380</v>
      </c>
      <c r="W122" t="s">
        <v>524</v>
      </c>
      <c r="X122">
        <v>237238</v>
      </c>
      <c r="Y122" t="s">
        <v>226</v>
      </c>
      <c r="Z122" t="s">
        <v>207</v>
      </c>
      <c r="AB122" t="s">
        <v>226</v>
      </c>
    </row>
    <row r="123" spans="1:28" ht="15.75" customHeight="1" x14ac:dyDescent="0.6">
      <c r="A123">
        <v>122</v>
      </c>
      <c r="B123" t="s">
        <v>525</v>
      </c>
      <c r="C123">
        <v>1700</v>
      </c>
      <c r="D123" t="s">
        <v>498</v>
      </c>
      <c r="E123" s="69">
        <v>45211</v>
      </c>
      <c r="F123" t="s">
        <v>201</v>
      </c>
      <c r="G123" t="s">
        <v>202</v>
      </c>
      <c r="H123">
        <v>15</v>
      </c>
      <c r="I123" s="69">
        <v>45189</v>
      </c>
      <c r="J123">
        <v>2023</v>
      </c>
      <c r="K123" s="69">
        <v>45204</v>
      </c>
      <c r="L123" t="s">
        <v>499</v>
      </c>
      <c r="M123" t="s">
        <v>182</v>
      </c>
      <c r="N123" t="s">
        <v>204</v>
      </c>
      <c r="O123" s="69">
        <v>46381</v>
      </c>
      <c r="P123" t="s">
        <v>526</v>
      </c>
      <c r="Q123" s="69">
        <v>46280</v>
      </c>
      <c r="R123" s="69">
        <v>46381</v>
      </c>
      <c r="S123" s="69">
        <v>46280</v>
      </c>
      <c r="T123" s="69">
        <v>47746</v>
      </c>
      <c r="U123" s="69">
        <v>46380</v>
      </c>
      <c r="V123" t="s">
        <v>527</v>
      </c>
      <c r="W123" t="s">
        <v>528</v>
      </c>
      <c r="X123">
        <v>228450</v>
      </c>
      <c r="Y123" s="69">
        <v>45920</v>
      </c>
      <c r="Z123" t="s">
        <v>207</v>
      </c>
      <c r="AB123" t="s">
        <v>208</v>
      </c>
    </row>
    <row r="124" spans="1:28" ht="15.75" customHeight="1" x14ac:dyDescent="0.6">
      <c r="A124">
        <v>123</v>
      </c>
      <c r="B124" t="s">
        <v>529</v>
      </c>
      <c r="C124">
        <v>1700</v>
      </c>
      <c r="D124" t="s">
        <v>498</v>
      </c>
      <c r="E124" s="69">
        <v>45211</v>
      </c>
      <c r="F124" t="s">
        <v>201</v>
      </c>
      <c r="G124" t="s">
        <v>202</v>
      </c>
      <c r="H124">
        <v>15</v>
      </c>
      <c r="I124" s="69">
        <v>45188</v>
      </c>
      <c r="J124">
        <v>2023</v>
      </c>
      <c r="K124" s="69">
        <v>45203</v>
      </c>
      <c r="L124" t="s">
        <v>499</v>
      </c>
      <c r="M124" t="s">
        <v>182</v>
      </c>
      <c r="N124" t="s">
        <v>204</v>
      </c>
      <c r="O124" s="69">
        <v>46381</v>
      </c>
      <c r="P124" t="s">
        <v>530</v>
      </c>
      <c r="Q124" s="69">
        <v>46302</v>
      </c>
      <c r="R124" s="69">
        <v>46381</v>
      </c>
      <c r="S124" s="69">
        <v>46302</v>
      </c>
      <c r="T124" s="69">
        <v>47746</v>
      </c>
      <c r="U124" s="69">
        <v>46380</v>
      </c>
      <c r="V124" t="s">
        <v>531</v>
      </c>
      <c r="W124" t="s">
        <v>532</v>
      </c>
      <c r="X124">
        <v>267380</v>
      </c>
      <c r="Y124" s="69">
        <v>45920</v>
      </c>
      <c r="Z124" t="s">
        <v>207</v>
      </c>
      <c r="AB124" t="s">
        <v>208</v>
      </c>
    </row>
    <row r="125" spans="1:28" ht="15.75" customHeight="1" x14ac:dyDescent="0.6">
      <c r="A125">
        <v>124</v>
      </c>
      <c r="B125" t="s">
        <v>533</v>
      </c>
      <c r="C125">
        <v>1700</v>
      </c>
      <c r="D125" t="s">
        <v>498</v>
      </c>
      <c r="E125" s="69">
        <v>45211</v>
      </c>
      <c r="F125" t="s">
        <v>201</v>
      </c>
      <c r="G125" t="s">
        <v>202</v>
      </c>
      <c r="H125">
        <v>15</v>
      </c>
      <c r="I125" s="69">
        <v>45189</v>
      </c>
      <c r="J125">
        <v>2023</v>
      </c>
      <c r="K125" s="69">
        <v>45204</v>
      </c>
      <c r="L125" t="s">
        <v>499</v>
      </c>
      <c r="M125" t="s">
        <v>182</v>
      </c>
      <c r="N125" t="s">
        <v>204</v>
      </c>
      <c r="O125" s="69">
        <v>46381</v>
      </c>
      <c r="P125" t="s">
        <v>534</v>
      </c>
      <c r="Q125" s="69">
        <v>46283</v>
      </c>
      <c r="R125" s="69">
        <v>46381</v>
      </c>
      <c r="S125" s="69">
        <v>46283</v>
      </c>
      <c r="T125" s="69">
        <v>47746</v>
      </c>
      <c r="U125" s="69">
        <v>46380</v>
      </c>
      <c r="V125" t="s">
        <v>535</v>
      </c>
      <c r="W125" t="s">
        <v>536</v>
      </c>
      <c r="X125">
        <v>277582</v>
      </c>
      <c r="Y125" s="69">
        <v>45920</v>
      </c>
      <c r="Z125" t="s">
        <v>207</v>
      </c>
      <c r="AB125" t="s">
        <v>208</v>
      </c>
    </row>
    <row r="126" spans="1:28" ht="15.75" customHeight="1" x14ac:dyDescent="0.6">
      <c r="A126">
        <v>125</v>
      </c>
      <c r="B126" t="s">
        <v>537</v>
      </c>
      <c r="C126">
        <v>1700</v>
      </c>
      <c r="D126" t="s">
        <v>498</v>
      </c>
      <c r="E126" s="69">
        <v>45211</v>
      </c>
      <c r="F126" t="s">
        <v>201</v>
      </c>
      <c r="G126" t="s">
        <v>202</v>
      </c>
      <c r="H126">
        <v>15</v>
      </c>
      <c r="I126" s="69">
        <v>45189</v>
      </c>
      <c r="J126">
        <v>2023</v>
      </c>
      <c r="K126" s="69">
        <v>45204</v>
      </c>
      <c r="L126" t="s">
        <v>499</v>
      </c>
      <c r="M126" t="s">
        <v>182</v>
      </c>
      <c r="N126" t="s">
        <v>204</v>
      </c>
      <c r="O126" s="69">
        <v>46381</v>
      </c>
      <c r="P126" t="s">
        <v>538</v>
      </c>
      <c r="Q126" s="69">
        <v>46283</v>
      </c>
      <c r="R126" s="69">
        <v>46381</v>
      </c>
      <c r="S126" s="69">
        <v>46283</v>
      </c>
      <c r="T126" s="69">
        <v>47746</v>
      </c>
      <c r="U126" s="69">
        <v>46380</v>
      </c>
      <c r="V126" t="s">
        <v>539</v>
      </c>
      <c r="W126" t="s">
        <v>540</v>
      </c>
      <c r="X126">
        <v>331265</v>
      </c>
      <c r="Y126" s="69">
        <v>45920</v>
      </c>
      <c r="Z126" t="s">
        <v>207</v>
      </c>
      <c r="AB126" t="s">
        <v>208</v>
      </c>
    </row>
    <row r="127" spans="1:28" ht="15.75" customHeight="1" x14ac:dyDescent="0.6">
      <c r="A127">
        <v>126</v>
      </c>
      <c r="B127" t="s">
        <v>541</v>
      </c>
      <c r="C127">
        <v>1700</v>
      </c>
      <c r="D127" t="s">
        <v>498</v>
      </c>
      <c r="E127" s="69">
        <v>45211</v>
      </c>
      <c r="F127" t="s">
        <v>201</v>
      </c>
      <c r="G127" t="s">
        <v>226</v>
      </c>
      <c r="H127">
        <v>15</v>
      </c>
      <c r="I127" s="69">
        <v>45194</v>
      </c>
      <c r="J127">
        <v>2023</v>
      </c>
      <c r="K127" s="69">
        <v>45209</v>
      </c>
      <c r="L127" t="s">
        <v>499</v>
      </c>
      <c r="M127" t="s">
        <v>182</v>
      </c>
      <c r="N127" t="s">
        <v>204</v>
      </c>
      <c r="O127" s="69">
        <v>46381</v>
      </c>
      <c r="P127" t="s">
        <v>542</v>
      </c>
      <c r="Q127" s="69">
        <v>46286</v>
      </c>
      <c r="R127" s="69">
        <v>46381</v>
      </c>
      <c r="S127" s="69">
        <v>46286</v>
      </c>
      <c r="T127" s="69">
        <v>47746</v>
      </c>
      <c r="U127" s="69">
        <v>46380</v>
      </c>
      <c r="W127" t="s">
        <v>543</v>
      </c>
      <c r="X127">
        <v>228976</v>
      </c>
      <c r="Y127" t="s">
        <v>226</v>
      </c>
      <c r="Z127" t="s">
        <v>207</v>
      </c>
      <c r="AB127" t="s">
        <v>226</v>
      </c>
    </row>
    <row r="128" spans="1:28" ht="15.75" customHeight="1" x14ac:dyDescent="0.6">
      <c r="A128">
        <v>127</v>
      </c>
      <c r="B128" t="s">
        <v>544</v>
      </c>
      <c r="C128">
        <v>1700</v>
      </c>
      <c r="D128" t="s">
        <v>498</v>
      </c>
      <c r="E128" s="69">
        <v>45211</v>
      </c>
      <c r="F128" t="s">
        <v>201</v>
      </c>
      <c r="G128" t="s">
        <v>202</v>
      </c>
      <c r="H128">
        <v>15</v>
      </c>
      <c r="I128" s="69">
        <v>45270</v>
      </c>
      <c r="J128">
        <v>2023</v>
      </c>
      <c r="K128" s="69">
        <v>45285</v>
      </c>
      <c r="L128" t="s">
        <v>499</v>
      </c>
      <c r="M128" t="s">
        <v>182</v>
      </c>
      <c r="N128" t="s">
        <v>204</v>
      </c>
      <c r="O128" s="69">
        <v>46381</v>
      </c>
      <c r="P128" t="s">
        <v>545</v>
      </c>
      <c r="Q128" s="69">
        <v>46282</v>
      </c>
      <c r="R128" s="69">
        <v>46381</v>
      </c>
      <c r="S128" s="69">
        <v>46282</v>
      </c>
      <c r="T128" s="69">
        <v>47746</v>
      </c>
      <c r="U128" s="69">
        <v>46380</v>
      </c>
      <c r="V128" t="s">
        <v>546</v>
      </c>
      <c r="W128" t="s">
        <v>547</v>
      </c>
      <c r="X128">
        <v>227858</v>
      </c>
      <c r="Y128" s="69">
        <v>45920</v>
      </c>
      <c r="Z128" t="s">
        <v>207</v>
      </c>
      <c r="AB128" t="s">
        <v>208</v>
      </c>
    </row>
    <row r="129" spans="1:28" ht="15.75" customHeight="1" x14ac:dyDescent="0.6">
      <c r="A129">
        <v>128</v>
      </c>
      <c r="B129" t="s">
        <v>548</v>
      </c>
      <c r="C129">
        <v>1700</v>
      </c>
      <c r="D129" t="s">
        <v>498</v>
      </c>
      <c r="E129" s="69">
        <v>45211</v>
      </c>
      <c r="F129" t="s">
        <v>201</v>
      </c>
      <c r="G129" t="s">
        <v>202</v>
      </c>
      <c r="H129">
        <v>15</v>
      </c>
      <c r="I129" s="69">
        <v>45189</v>
      </c>
      <c r="J129">
        <v>2023</v>
      </c>
      <c r="K129" s="69">
        <v>45204</v>
      </c>
      <c r="L129" t="s">
        <v>499</v>
      </c>
      <c r="M129" t="s">
        <v>182</v>
      </c>
      <c r="N129" t="s">
        <v>204</v>
      </c>
      <c r="O129" s="69">
        <v>46381</v>
      </c>
      <c r="P129" t="s">
        <v>549</v>
      </c>
      <c r="Q129" s="69">
        <v>46282</v>
      </c>
      <c r="R129" s="69">
        <v>46381</v>
      </c>
      <c r="S129" s="69">
        <v>46282</v>
      </c>
      <c r="T129" s="69">
        <v>47746</v>
      </c>
      <c r="U129" s="69">
        <v>46380</v>
      </c>
      <c r="V129" t="s">
        <v>550</v>
      </c>
      <c r="W129" t="s">
        <v>543</v>
      </c>
      <c r="X129">
        <v>360024</v>
      </c>
      <c r="Y129" s="69">
        <v>45920</v>
      </c>
      <c r="Z129" t="s">
        <v>207</v>
      </c>
      <c r="AB129" t="s">
        <v>208</v>
      </c>
    </row>
    <row r="130" spans="1:28" ht="15.75" customHeight="1" x14ac:dyDescent="0.6">
      <c r="A130">
        <v>129</v>
      </c>
      <c r="B130" t="s">
        <v>551</v>
      </c>
      <c r="C130">
        <v>1700</v>
      </c>
      <c r="D130" t="s">
        <v>498</v>
      </c>
      <c r="E130" s="69">
        <v>45211</v>
      </c>
      <c r="F130" t="s">
        <v>201</v>
      </c>
      <c r="G130" t="s">
        <v>202</v>
      </c>
      <c r="H130">
        <v>15</v>
      </c>
      <c r="I130" s="69">
        <v>45189</v>
      </c>
      <c r="J130">
        <v>2023</v>
      </c>
      <c r="K130" s="69">
        <v>45204</v>
      </c>
      <c r="L130" t="s">
        <v>499</v>
      </c>
      <c r="M130" t="s">
        <v>182</v>
      </c>
      <c r="N130" t="s">
        <v>204</v>
      </c>
      <c r="O130" s="69">
        <v>46381</v>
      </c>
      <c r="P130" t="s">
        <v>552</v>
      </c>
      <c r="Q130" s="69">
        <v>46283</v>
      </c>
      <c r="R130" s="69">
        <v>46381</v>
      </c>
      <c r="S130" s="69">
        <v>46283</v>
      </c>
      <c r="T130" s="69">
        <v>47746</v>
      </c>
      <c r="U130" s="69">
        <v>46380</v>
      </c>
      <c r="W130" t="s">
        <v>553</v>
      </c>
      <c r="X130">
        <v>280311</v>
      </c>
      <c r="Y130" s="69">
        <v>45925</v>
      </c>
      <c r="Z130" t="s">
        <v>207</v>
      </c>
      <c r="AB130" t="s">
        <v>208</v>
      </c>
    </row>
    <row r="131" spans="1:28" ht="15.75" customHeight="1" x14ac:dyDescent="0.6">
      <c r="A131">
        <v>130</v>
      </c>
      <c r="B131" t="s">
        <v>554</v>
      </c>
      <c r="C131">
        <v>1700</v>
      </c>
      <c r="D131" t="s">
        <v>498</v>
      </c>
      <c r="E131" s="69">
        <v>45211</v>
      </c>
      <c r="F131" t="s">
        <v>201</v>
      </c>
      <c r="G131" t="s">
        <v>226</v>
      </c>
      <c r="H131">
        <v>15</v>
      </c>
      <c r="I131" s="69">
        <v>45189</v>
      </c>
      <c r="J131">
        <v>2023</v>
      </c>
      <c r="K131" s="69">
        <v>45204</v>
      </c>
      <c r="L131" t="s">
        <v>499</v>
      </c>
      <c r="M131" t="s">
        <v>182</v>
      </c>
      <c r="N131" t="s">
        <v>204</v>
      </c>
      <c r="O131" s="69">
        <v>46381</v>
      </c>
      <c r="Q131" s="69">
        <v>46283</v>
      </c>
      <c r="R131" s="69">
        <v>46381</v>
      </c>
      <c r="S131" s="69">
        <v>46283</v>
      </c>
      <c r="T131" s="69">
        <v>47748</v>
      </c>
      <c r="U131" s="69">
        <v>46380</v>
      </c>
      <c r="W131" t="s">
        <v>555</v>
      </c>
      <c r="X131">
        <v>248460</v>
      </c>
      <c r="Y131" t="s">
        <v>226</v>
      </c>
      <c r="Z131" t="s">
        <v>207</v>
      </c>
      <c r="AB131" t="s">
        <v>226</v>
      </c>
    </row>
    <row r="132" spans="1:28" ht="15.75" customHeight="1" x14ac:dyDescent="0.6">
      <c r="A132">
        <v>131</v>
      </c>
      <c r="B132" t="s">
        <v>556</v>
      </c>
      <c r="C132">
        <v>1700</v>
      </c>
      <c r="D132" t="s">
        <v>498</v>
      </c>
      <c r="E132" s="69">
        <v>45211</v>
      </c>
      <c r="F132" t="s">
        <v>201</v>
      </c>
      <c r="G132" t="s">
        <v>449</v>
      </c>
      <c r="H132">
        <v>15</v>
      </c>
      <c r="I132" s="69">
        <v>45187</v>
      </c>
      <c r="J132">
        <v>2023</v>
      </c>
      <c r="K132" s="69">
        <v>45202</v>
      </c>
      <c r="L132" t="s">
        <v>499</v>
      </c>
      <c r="M132" t="s">
        <v>182</v>
      </c>
      <c r="N132" t="s">
        <v>204</v>
      </c>
      <c r="O132" s="69">
        <v>46295</v>
      </c>
      <c r="P132" t="s">
        <v>557</v>
      </c>
      <c r="Q132" s="69">
        <v>46279</v>
      </c>
      <c r="R132" s="69">
        <v>46295</v>
      </c>
      <c r="S132" s="69">
        <v>46279</v>
      </c>
      <c r="T132" s="69">
        <v>47745</v>
      </c>
      <c r="U132" s="69">
        <v>46288</v>
      </c>
      <c r="V132" t="s">
        <v>558</v>
      </c>
      <c r="W132" t="s">
        <v>559</v>
      </c>
      <c r="X132">
        <v>423152</v>
      </c>
      <c r="Y132" t="s">
        <v>449</v>
      </c>
      <c r="Z132" t="s">
        <v>207</v>
      </c>
      <c r="AB132" t="s">
        <v>449</v>
      </c>
    </row>
    <row r="133" spans="1:28" ht="15.75" customHeight="1" x14ac:dyDescent="0.6">
      <c r="A133">
        <v>132</v>
      </c>
      <c r="B133" t="s">
        <v>560</v>
      </c>
      <c r="C133">
        <v>1700</v>
      </c>
      <c r="D133" t="s">
        <v>498</v>
      </c>
      <c r="E133" s="69">
        <v>45211</v>
      </c>
      <c r="F133" t="s">
        <v>201</v>
      </c>
      <c r="G133" t="s">
        <v>449</v>
      </c>
      <c r="H133">
        <v>15</v>
      </c>
      <c r="I133" s="69">
        <v>45187</v>
      </c>
      <c r="J133">
        <v>2023</v>
      </c>
      <c r="K133" s="69">
        <v>45202</v>
      </c>
      <c r="L133" t="s">
        <v>499</v>
      </c>
      <c r="M133" t="s">
        <v>182</v>
      </c>
      <c r="N133" t="s">
        <v>204</v>
      </c>
      <c r="O133" s="69">
        <v>46295</v>
      </c>
      <c r="P133" t="s">
        <v>561</v>
      </c>
      <c r="Q133" s="69">
        <v>46280</v>
      </c>
      <c r="R133" s="69">
        <v>46295</v>
      </c>
      <c r="S133" s="69">
        <v>46280</v>
      </c>
      <c r="T133" s="69">
        <v>47745</v>
      </c>
      <c r="U133" s="69">
        <v>46288</v>
      </c>
      <c r="V133" t="s">
        <v>562</v>
      </c>
      <c r="W133" t="s">
        <v>563</v>
      </c>
      <c r="X133">
        <v>428869</v>
      </c>
      <c r="Y133" t="s">
        <v>449</v>
      </c>
      <c r="Z133" t="s">
        <v>207</v>
      </c>
      <c r="AB133" t="s">
        <v>449</v>
      </c>
    </row>
    <row r="134" spans="1:28" ht="15.75" customHeight="1" x14ac:dyDescent="0.6">
      <c r="A134">
        <v>133</v>
      </c>
      <c r="B134" t="s">
        <v>564</v>
      </c>
      <c r="C134">
        <v>1700</v>
      </c>
      <c r="D134" t="s">
        <v>498</v>
      </c>
      <c r="E134" s="69">
        <v>45211</v>
      </c>
      <c r="F134" t="s">
        <v>201</v>
      </c>
      <c r="G134" t="s">
        <v>449</v>
      </c>
      <c r="H134">
        <v>15</v>
      </c>
      <c r="I134" s="69">
        <v>45187</v>
      </c>
      <c r="J134">
        <v>2023</v>
      </c>
      <c r="K134" s="69">
        <v>45202</v>
      </c>
      <c r="L134" t="s">
        <v>499</v>
      </c>
      <c r="M134" t="s">
        <v>182</v>
      </c>
      <c r="N134" t="s">
        <v>204</v>
      </c>
      <c r="O134" s="69">
        <v>46295</v>
      </c>
      <c r="P134" t="s">
        <v>565</v>
      </c>
      <c r="Q134" s="69">
        <v>46280</v>
      </c>
      <c r="R134" s="69">
        <v>46295</v>
      </c>
      <c r="S134" s="69">
        <v>46280</v>
      </c>
      <c r="T134" s="69">
        <v>47745</v>
      </c>
      <c r="U134" s="69">
        <v>46288</v>
      </c>
      <c r="V134" t="s">
        <v>566</v>
      </c>
      <c r="W134" t="s">
        <v>567</v>
      </c>
      <c r="X134">
        <v>427998</v>
      </c>
      <c r="Y134" t="s">
        <v>449</v>
      </c>
      <c r="Z134" t="s">
        <v>207</v>
      </c>
      <c r="AB134" t="s">
        <v>449</v>
      </c>
    </row>
    <row r="135" spans="1:28" ht="15.75" customHeight="1" x14ac:dyDescent="0.6">
      <c r="A135">
        <v>134</v>
      </c>
      <c r="B135" t="s">
        <v>568</v>
      </c>
      <c r="C135">
        <v>785</v>
      </c>
      <c r="D135" t="s">
        <v>569</v>
      </c>
      <c r="E135" s="69">
        <v>45586</v>
      </c>
      <c r="F135" t="s">
        <v>201</v>
      </c>
      <c r="G135" t="s">
        <v>202</v>
      </c>
      <c r="H135">
        <v>13</v>
      </c>
      <c r="I135" s="69">
        <v>45563</v>
      </c>
      <c r="J135">
        <v>2024</v>
      </c>
      <c r="K135" s="69">
        <v>45578</v>
      </c>
      <c r="L135" t="s">
        <v>570</v>
      </c>
      <c r="M135" t="s">
        <v>571</v>
      </c>
      <c r="N135" t="s">
        <v>204</v>
      </c>
      <c r="O135" s="69">
        <v>46381</v>
      </c>
      <c r="P135" t="s">
        <v>572</v>
      </c>
      <c r="Q135" s="69">
        <v>46291</v>
      </c>
      <c r="R135" s="69">
        <v>46381</v>
      </c>
      <c r="S135" s="69">
        <v>46291</v>
      </c>
      <c r="T135" s="69">
        <v>47745</v>
      </c>
      <c r="U135" s="69">
        <v>46464</v>
      </c>
      <c r="W135" t="s">
        <v>573</v>
      </c>
      <c r="X135">
        <v>61733</v>
      </c>
      <c r="Y135" s="69">
        <v>46291</v>
      </c>
      <c r="Z135" t="s">
        <v>207</v>
      </c>
      <c r="AB135" t="s">
        <v>208</v>
      </c>
    </row>
    <row r="136" spans="1:28" ht="15.75" customHeight="1" x14ac:dyDescent="0.6">
      <c r="A136">
        <v>135</v>
      </c>
      <c r="B136" t="s">
        <v>574</v>
      </c>
      <c r="C136">
        <v>785</v>
      </c>
      <c r="D136" t="s">
        <v>569</v>
      </c>
      <c r="E136" s="69">
        <v>45586</v>
      </c>
      <c r="F136" t="s">
        <v>201</v>
      </c>
      <c r="G136" t="s">
        <v>202</v>
      </c>
      <c r="H136">
        <v>13</v>
      </c>
      <c r="I136" s="69">
        <v>45563</v>
      </c>
      <c r="J136">
        <v>2024</v>
      </c>
      <c r="K136" s="69">
        <v>45578</v>
      </c>
      <c r="L136" t="s">
        <v>570</v>
      </c>
      <c r="M136" t="s">
        <v>571</v>
      </c>
      <c r="N136" t="s">
        <v>204</v>
      </c>
      <c r="O136" s="69">
        <v>46381</v>
      </c>
      <c r="P136" t="s">
        <v>575</v>
      </c>
      <c r="Q136" s="69">
        <v>46291</v>
      </c>
      <c r="R136" s="69">
        <v>46381</v>
      </c>
      <c r="S136" s="69">
        <v>46291</v>
      </c>
      <c r="T136" s="69">
        <v>47745</v>
      </c>
      <c r="U136" s="69">
        <v>46464</v>
      </c>
      <c r="V136" t="s">
        <v>576</v>
      </c>
      <c r="W136" t="s">
        <v>577</v>
      </c>
      <c r="X136">
        <v>77032</v>
      </c>
      <c r="Y136" s="69">
        <v>46291</v>
      </c>
      <c r="Z136" t="s">
        <v>207</v>
      </c>
      <c r="AB136" t="s">
        <v>208</v>
      </c>
    </row>
    <row r="137" spans="1:28" ht="15.75" customHeight="1" x14ac:dyDescent="0.6">
      <c r="A137">
        <v>136</v>
      </c>
      <c r="B137" t="s">
        <v>578</v>
      </c>
      <c r="C137">
        <v>785</v>
      </c>
      <c r="D137" t="s">
        <v>569</v>
      </c>
      <c r="E137" s="69">
        <v>45586</v>
      </c>
      <c r="F137" t="s">
        <v>201</v>
      </c>
      <c r="G137" t="s">
        <v>202</v>
      </c>
      <c r="H137">
        <v>13</v>
      </c>
      <c r="I137" s="69">
        <v>45563</v>
      </c>
      <c r="J137">
        <v>2024</v>
      </c>
      <c r="K137" s="69">
        <v>45578</v>
      </c>
      <c r="L137" t="s">
        <v>570</v>
      </c>
      <c r="M137" t="s">
        <v>571</v>
      </c>
      <c r="N137" t="s">
        <v>204</v>
      </c>
      <c r="O137" s="69">
        <v>46381</v>
      </c>
      <c r="P137" t="s">
        <v>579</v>
      </c>
      <c r="Q137" s="69">
        <v>46291</v>
      </c>
      <c r="R137" s="69">
        <v>46381</v>
      </c>
      <c r="S137" s="69">
        <v>46291</v>
      </c>
      <c r="T137" s="69">
        <v>47745</v>
      </c>
      <c r="U137" s="69">
        <v>46464</v>
      </c>
      <c r="V137">
        <v>1050273</v>
      </c>
      <c r="W137" t="s">
        <v>580</v>
      </c>
      <c r="X137">
        <v>58763</v>
      </c>
      <c r="Y137" s="69">
        <v>46292</v>
      </c>
      <c r="Z137" t="s">
        <v>207</v>
      </c>
      <c r="AB137" t="s">
        <v>208</v>
      </c>
    </row>
    <row r="138" spans="1:28" ht="15.75" customHeight="1" x14ac:dyDescent="0.6">
      <c r="A138">
        <v>137</v>
      </c>
      <c r="B138" t="s">
        <v>581</v>
      </c>
      <c r="C138">
        <v>1800</v>
      </c>
      <c r="D138" t="s">
        <v>582</v>
      </c>
      <c r="E138" s="69">
        <v>45597</v>
      </c>
      <c r="F138" t="s">
        <v>180</v>
      </c>
      <c r="G138" t="s">
        <v>180</v>
      </c>
      <c r="H138">
        <v>11</v>
      </c>
      <c r="I138" s="69">
        <v>45548</v>
      </c>
      <c r="J138">
        <v>2024</v>
      </c>
      <c r="K138" s="69">
        <v>45563</v>
      </c>
      <c r="L138" t="s">
        <v>570</v>
      </c>
      <c r="M138" t="s">
        <v>571</v>
      </c>
      <c r="N138" t="s">
        <v>204</v>
      </c>
      <c r="O138" s="69">
        <v>46381</v>
      </c>
      <c r="Q138" s="69">
        <v>46282</v>
      </c>
      <c r="R138" s="69">
        <v>46381</v>
      </c>
      <c r="S138" s="69">
        <v>46282</v>
      </c>
      <c r="T138" s="69">
        <v>48116</v>
      </c>
      <c r="U138" s="69">
        <v>46464</v>
      </c>
      <c r="X138">
        <v>117444</v>
      </c>
      <c r="Y138" s="69">
        <v>46506</v>
      </c>
      <c r="Z138" t="s">
        <v>207</v>
      </c>
      <c r="AB138" t="s">
        <v>188</v>
      </c>
    </row>
    <row r="139" spans="1:28" ht="15.75" customHeight="1" x14ac:dyDescent="0.6">
      <c r="A139">
        <v>138</v>
      </c>
      <c r="B139" t="s">
        <v>583</v>
      </c>
      <c r="C139">
        <v>1800</v>
      </c>
      <c r="D139" t="s">
        <v>582</v>
      </c>
      <c r="E139" s="69">
        <v>45597</v>
      </c>
      <c r="F139" t="s">
        <v>180</v>
      </c>
      <c r="G139" t="s">
        <v>180</v>
      </c>
      <c r="H139">
        <v>11</v>
      </c>
      <c r="I139" s="69">
        <v>45548</v>
      </c>
      <c r="J139">
        <v>2024</v>
      </c>
      <c r="K139" s="69">
        <v>45563</v>
      </c>
      <c r="L139" t="s">
        <v>570</v>
      </c>
      <c r="M139" t="s">
        <v>571</v>
      </c>
      <c r="N139" t="s">
        <v>204</v>
      </c>
      <c r="O139" s="69">
        <v>46381</v>
      </c>
      <c r="Q139" s="69">
        <v>46282</v>
      </c>
      <c r="R139" s="69">
        <v>46381</v>
      </c>
      <c r="S139" s="69">
        <v>46282</v>
      </c>
      <c r="T139" s="69">
        <v>48116</v>
      </c>
      <c r="U139" s="69">
        <v>46464</v>
      </c>
      <c r="X139">
        <v>113520</v>
      </c>
      <c r="Y139" s="69">
        <v>46538</v>
      </c>
      <c r="Z139" t="s">
        <v>207</v>
      </c>
      <c r="AB139" t="s">
        <v>188</v>
      </c>
    </row>
    <row r="140" spans="1:28" ht="15.75" customHeight="1" x14ac:dyDescent="0.6">
      <c r="A140">
        <v>139</v>
      </c>
      <c r="B140" t="s">
        <v>584</v>
      </c>
      <c r="C140">
        <v>1800</v>
      </c>
      <c r="D140" t="s">
        <v>582</v>
      </c>
      <c r="E140" s="69">
        <v>45597</v>
      </c>
      <c r="F140" t="s">
        <v>180</v>
      </c>
      <c r="G140" t="s">
        <v>180</v>
      </c>
      <c r="H140">
        <v>11</v>
      </c>
      <c r="I140" s="69">
        <v>45548</v>
      </c>
      <c r="J140">
        <v>2024</v>
      </c>
      <c r="K140" s="69">
        <v>45563</v>
      </c>
      <c r="L140" t="s">
        <v>570</v>
      </c>
      <c r="M140" t="s">
        <v>571</v>
      </c>
      <c r="N140" t="s">
        <v>204</v>
      </c>
      <c r="O140" s="69">
        <v>46381</v>
      </c>
      <c r="Q140" s="69">
        <v>46282</v>
      </c>
      <c r="R140" s="69">
        <v>46381</v>
      </c>
      <c r="S140" s="69">
        <v>46282</v>
      </c>
      <c r="T140" s="69">
        <v>48116</v>
      </c>
      <c r="U140" s="69">
        <v>46464</v>
      </c>
      <c r="X140">
        <v>101400</v>
      </c>
      <c r="Y140" s="69">
        <v>46477</v>
      </c>
      <c r="Z140" t="s">
        <v>207</v>
      </c>
      <c r="AB140" t="s">
        <v>188</v>
      </c>
    </row>
    <row r="141" spans="1:28" ht="15.75" customHeight="1" x14ac:dyDescent="0.6">
      <c r="A141">
        <v>140</v>
      </c>
      <c r="B141" t="s">
        <v>585</v>
      </c>
      <c r="C141">
        <v>1800</v>
      </c>
      <c r="D141" t="s">
        <v>582</v>
      </c>
      <c r="E141" s="69">
        <v>45597</v>
      </c>
      <c r="F141" t="s">
        <v>180</v>
      </c>
      <c r="G141" t="s">
        <v>180</v>
      </c>
      <c r="H141">
        <v>11</v>
      </c>
      <c r="I141" s="69">
        <v>45567</v>
      </c>
      <c r="J141">
        <v>2024</v>
      </c>
      <c r="K141" s="69">
        <v>45582</v>
      </c>
      <c r="L141" t="s">
        <v>570</v>
      </c>
      <c r="M141" t="s">
        <v>571</v>
      </c>
      <c r="N141" t="s">
        <v>204</v>
      </c>
      <c r="O141" s="69">
        <v>46381</v>
      </c>
      <c r="Q141" s="69">
        <v>46282</v>
      </c>
      <c r="R141" s="69">
        <v>46381</v>
      </c>
      <c r="S141" s="69">
        <v>46282</v>
      </c>
      <c r="T141" s="69">
        <v>48116</v>
      </c>
      <c r="U141" s="69">
        <v>46464</v>
      </c>
      <c r="X141">
        <v>105260</v>
      </c>
      <c r="Y141" s="69">
        <v>46506</v>
      </c>
      <c r="Z141" t="s">
        <v>207</v>
      </c>
      <c r="AB141" t="s">
        <v>188</v>
      </c>
    </row>
    <row r="142" spans="1:28" ht="15.75" customHeight="1" x14ac:dyDescent="0.6">
      <c r="A142">
        <v>141</v>
      </c>
      <c r="B142" t="s">
        <v>586</v>
      </c>
      <c r="C142">
        <v>1900</v>
      </c>
      <c r="D142" t="s">
        <v>179</v>
      </c>
      <c r="E142" s="69">
        <v>45758</v>
      </c>
      <c r="F142" t="s">
        <v>201</v>
      </c>
      <c r="G142" t="s">
        <v>202</v>
      </c>
      <c r="H142">
        <v>15.5</v>
      </c>
      <c r="I142" s="69">
        <v>45755</v>
      </c>
      <c r="J142">
        <v>2025</v>
      </c>
      <c r="K142" s="69">
        <v>45770</v>
      </c>
      <c r="L142" t="s">
        <v>570</v>
      </c>
      <c r="M142" t="s">
        <v>571</v>
      </c>
      <c r="N142" t="s">
        <v>204</v>
      </c>
      <c r="O142" s="69">
        <v>46507</v>
      </c>
      <c r="P142" t="s">
        <v>587</v>
      </c>
      <c r="Q142" s="69">
        <v>46485</v>
      </c>
      <c r="R142" s="69">
        <v>46507</v>
      </c>
      <c r="S142" s="69">
        <v>46120</v>
      </c>
      <c r="T142" s="69">
        <v>48315</v>
      </c>
      <c r="U142" s="69">
        <v>46200</v>
      </c>
      <c r="V142">
        <v>22366</v>
      </c>
      <c r="W142" t="s">
        <v>588</v>
      </c>
      <c r="X142">
        <v>58483</v>
      </c>
      <c r="Y142" s="69">
        <v>46485</v>
      </c>
      <c r="Z142" t="s">
        <v>207</v>
      </c>
      <c r="AB142" t="s">
        <v>215</v>
      </c>
    </row>
    <row r="143" spans="1:28" ht="15.75" customHeight="1" x14ac:dyDescent="0.6">
      <c r="A143">
        <v>142</v>
      </c>
      <c r="B143" t="s">
        <v>589</v>
      </c>
      <c r="C143">
        <v>1900</v>
      </c>
      <c r="D143" t="s">
        <v>179</v>
      </c>
      <c r="E143" s="69">
        <v>45758</v>
      </c>
      <c r="F143" t="s">
        <v>201</v>
      </c>
      <c r="G143" t="s">
        <v>202</v>
      </c>
      <c r="H143">
        <v>15.5</v>
      </c>
      <c r="I143" s="69">
        <v>45755</v>
      </c>
      <c r="J143">
        <v>2025</v>
      </c>
      <c r="K143" s="69">
        <v>45770</v>
      </c>
      <c r="L143" t="s">
        <v>570</v>
      </c>
      <c r="M143" t="s">
        <v>571</v>
      </c>
      <c r="N143" t="s">
        <v>204</v>
      </c>
      <c r="O143" s="69">
        <v>46507</v>
      </c>
      <c r="P143" t="s">
        <v>590</v>
      </c>
      <c r="Q143" s="69">
        <v>46485</v>
      </c>
      <c r="R143" s="69">
        <v>46507</v>
      </c>
      <c r="S143" s="69">
        <v>46120</v>
      </c>
      <c r="T143" s="69">
        <v>48315</v>
      </c>
      <c r="U143" s="69">
        <v>46200</v>
      </c>
      <c r="V143">
        <v>22271</v>
      </c>
      <c r="W143" t="s">
        <v>591</v>
      </c>
      <c r="X143">
        <v>60451</v>
      </c>
      <c r="Y143" s="69">
        <v>46485</v>
      </c>
      <c r="Z143" t="s">
        <v>207</v>
      </c>
      <c r="AB143" t="s">
        <v>215</v>
      </c>
    </row>
    <row r="144" spans="1:28" ht="15.75" customHeight="1" x14ac:dyDescent="0.6">
      <c r="A144">
        <v>143</v>
      </c>
      <c r="B144" t="s">
        <v>592</v>
      </c>
      <c r="C144">
        <v>1900</v>
      </c>
      <c r="D144" t="s">
        <v>179</v>
      </c>
      <c r="E144" s="69">
        <v>45758</v>
      </c>
      <c r="F144" t="s">
        <v>201</v>
      </c>
      <c r="G144" t="s">
        <v>202</v>
      </c>
      <c r="H144">
        <v>15.5</v>
      </c>
      <c r="I144" s="69">
        <v>45755</v>
      </c>
      <c r="J144">
        <v>2025</v>
      </c>
      <c r="K144" s="69">
        <v>45770</v>
      </c>
      <c r="L144" t="s">
        <v>570</v>
      </c>
      <c r="M144" t="s">
        <v>571</v>
      </c>
      <c r="N144" t="s">
        <v>204</v>
      </c>
      <c r="O144" s="69">
        <v>46507</v>
      </c>
      <c r="P144" t="s">
        <v>593</v>
      </c>
      <c r="Q144" s="69">
        <v>46485</v>
      </c>
      <c r="R144" s="69">
        <v>46507</v>
      </c>
      <c r="S144" s="69">
        <v>46120</v>
      </c>
      <c r="T144" s="69">
        <v>48315</v>
      </c>
      <c r="U144" s="69">
        <v>46200</v>
      </c>
      <c r="V144">
        <v>22370</v>
      </c>
      <c r="W144" t="s">
        <v>594</v>
      </c>
      <c r="X144">
        <v>59814</v>
      </c>
      <c r="Y144" s="69">
        <v>46485</v>
      </c>
      <c r="Z144" t="s">
        <v>207</v>
      </c>
      <c r="AB144" t="s">
        <v>595</v>
      </c>
    </row>
    <row r="145" spans="1:28" ht="15.75" customHeight="1" x14ac:dyDescent="0.6">
      <c r="A145">
        <v>144</v>
      </c>
      <c r="B145" t="s">
        <v>596</v>
      </c>
      <c r="C145">
        <v>1900</v>
      </c>
      <c r="D145" t="s">
        <v>179</v>
      </c>
      <c r="E145" s="69">
        <v>45758</v>
      </c>
      <c r="F145" t="s">
        <v>201</v>
      </c>
      <c r="G145" t="s">
        <v>202</v>
      </c>
      <c r="H145">
        <v>15.5</v>
      </c>
      <c r="I145" s="69">
        <v>45755</v>
      </c>
      <c r="J145">
        <v>2025</v>
      </c>
      <c r="K145" s="69">
        <v>45770</v>
      </c>
      <c r="L145" t="s">
        <v>570</v>
      </c>
      <c r="M145" t="s">
        <v>571</v>
      </c>
      <c r="N145" t="s">
        <v>204</v>
      </c>
      <c r="O145" s="69">
        <v>46507</v>
      </c>
      <c r="P145" t="s">
        <v>597</v>
      </c>
      <c r="Q145" s="69">
        <v>46485</v>
      </c>
      <c r="R145" s="69">
        <v>46507</v>
      </c>
      <c r="S145" s="69">
        <v>46120</v>
      </c>
      <c r="T145" s="69">
        <v>48315</v>
      </c>
      <c r="U145" s="69">
        <v>46200</v>
      </c>
      <c r="V145">
        <v>22272</v>
      </c>
      <c r="W145" t="s">
        <v>598</v>
      </c>
      <c r="X145">
        <v>65310</v>
      </c>
      <c r="Y145" s="69">
        <v>46485</v>
      </c>
      <c r="Z145" t="s">
        <v>207</v>
      </c>
      <c r="AB145" t="s">
        <v>215</v>
      </c>
    </row>
    <row r="146" spans="1:28" ht="15.75" customHeight="1" x14ac:dyDescent="0.6">
      <c r="A146">
        <v>145</v>
      </c>
      <c r="B146" t="s">
        <v>599</v>
      </c>
      <c r="C146">
        <v>1900</v>
      </c>
      <c r="D146" t="s">
        <v>179</v>
      </c>
      <c r="E146" s="69">
        <v>45758</v>
      </c>
      <c r="F146" t="s">
        <v>201</v>
      </c>
      <c r="G146" t="s">
        <v>202</v>
      </c>
      <c r="H146">
        <v>15.5</v>
      </c>
      <c r="I146" s="69">
        <v>45755</v>
      </c>
      <c r="J146">
        <v>2025</v>
      </c>
      <c r="K146" s="69">
        <v>45770</v>
      </c>
      <c r="L146" t="s">
        <v>570</v>
      </c>
      <c r="M146" t="s">
        <v>571</v>
      </c>
      <c r="N146" t="s">
        <v>204</v>
      </c>
      <c r="O146" s="69">
        <v>46507</v>
      </c>
      <c r="P146" t="s">
        <v>600</v>
      </c>
      <c r="Q146" s="69">
        <v>46485</v>
      </c>
      <c r="R146" s="69">
        <v>46507</v>
      </c>
      <c r="S146" s="69">
        <v>46120</v>
      </c>
      <c r="T146" s="69">
        <v>48315</v>
      </c>
      <c r="U146" s="69">
        <v>46200</v>
      </c>
      <c r="V146">
        <v>22375</v>
      </c>
      <c r="W146" t="s">
        <v>601</v>
      </c>
      <c r="X146">
        <v>55412</v>
      </c>
      <c r="Y146" s="69">
        <v>46485</v>
      </c>
      <c r="Z146" t="s">
        <v>207</v>
      </c>
      <c r="AB146" t="s">
        <v>215</v>
      </c>
    </row>
    <row r="147" spans="1:28" ht="15.75" customHeight="1" x14ac:dyDescent="0.6">
      <c r="A147">
        <v>146</v>
      </c>
      <c r="B147" t="s">
        <v>602</v>
      </c>
      <c r="C147">
        <v>1900</v>
      </c>
      <c r="D147" t="s">
        <v>179</v>
      </c>
      <c r="E147" s="69">
        <v>45758</v>
      </c>
      <c r="F147" t="s">
        <v>201</v>
      </c>
      <c r="G147" t="s">
        <v>202</v>
      </c>
      <c r="H147">
        <v>15.5</v>
      </c>
      <c r="I147" s="69">
        <v>45755</v>
      </c>
      <c r="J147">
        <v>2025</v>
      </c>
      <c r="K147" s="69">
        <v>45770</v>
      </c>
      <c r="L147" t="s">
        <v>570</v>
      </c>
      <c r="M147" t="s">
        <v>571</v>
      </c>
      <c r="N147" t="s">
        <v>204</v>
      </c>
      <c r="O147" s="69">
        <v>46507</v>
      </c>
      <c r="P147" t="s">
        <v>603</v>
      </c>
      <c r="Q147" s="69">
        <v>46485</v>
      </c>
      <c r="R147" s="69">
        <v>46507</v>
      </c>
      <c r="S147" s="69">
        <v>46120</v>
      </c>
      <c r="T147" s="69">
        <v>48315</v>
      </c>
      <c r="U147" s="69">
        <v>46200</v>
      </c>
      <c r="V147">
        <v>22267</v>
      </c>
      <c r="W147" t="s">
        <v>604</v>
      </c>
      <c r="X147">
        <v>90589</v>
      </c>
      <c r="Y147" s="69">
        <v>46485</v>
      </c>
      <c r="Z147" t="s">
        <v>207</v>
      </c>
      <c r="AB147" t="s">
        <v>215</v>
      </c>
    </row>
    <row r="148" spans="1:28" ht="15.75" customHeight="1" x14ac:dyDescent="0.6">
      <c r="A148">
        <v>147</v>
      </c>
      <c r="B148" t="s">
        <v>605</v>
      </c>
      <c r="C148">
        <v>1900</v>
      </c>
      <c r="D148" t="s">
        <v>179</v>
      </c>
      <c r="E148" s="69">
        <v>45758</v>
      </c>
      <c r="F148" t="s">
        <v>201</v>
      </c>
      <c r="G148" t="s">
        <v>202</v>
      </c>
      <c r="H148">
        <v>15.5</v>
      </c>
      <c r="I148" s="69">
        <v>45755</v>
      </c>
      <c r="J148">
        <v>2025</v>
      </c>
      <c r="K148" s="69">
        <v>45770</v>
      </c>
      <c r="L148" t="s">
        <v>570</v>
      </c>
      <c r="M148" t="s">
        <v>571</v>
      </c>
      <c r="N148" t="s">
        <v>204</v>
      </c>
      <c r="O148" s="69">
        <v>46507</v>
      </c>
      <c r="P148" t="s">
        <v>606</v>
      </c>
      <c r="Q148" s="69">
        <v>46485</v>
      </c>
      <c r="R148" s="69">
        <v>46507</v>
      </c>
      <c r="S148" s="69">
        <v>46120</v>
      </c>
      <c r="T148" s="69">
        <v>48315</v>
      </c>
      <c r="U148" s="69">
        <v>46200</v>
      </c>
      <c r="V148">
        <v>22367</v>
      </c>
      <c r="W148" t="s">
        <v>607</v>
      </c>
      <c r="X148">
        <v>49241</v>
      </c>
      <c r="Y148" s="69">
        <v>46485</v>
      </c>
      <c r="Z148" t="s">
        <v>207</v>
      </c>
      <c r="AB148" t="s">
        <v>215</v>
      </c>
    </row>
    <row r="149" spans="1:28" ht="15.75" customHeight="1" x14ac:dyDescent="0.6">
      <c r="A149">
        <v>148</v>
      </c>
      <c r="B149" t="s">
        <v>608</v>
      </c>
      <c r="C149">
        <v>1900</v>
      </c>
      <c r="D149" t="s">
        <v>179</v>
      </c>
      <c r="E149" s="69">
        <v>45758</v>
      </c>
      <c r="F149" t="s">
        <v>201</v>
      </c>
      <c r="G149" t="s">
        <v>202</v>
      </c>
      <c r="H149">
        <v>15.5</v>
      </c>
      <c r="I149" s="69">
        <v>45755</v>
      </c>
      <c r="J149">
        <v>2025</v>
      </c>
      <c r="K149" s="69">
        <v>45770</v>
      </c>
      <c r="L149" t="s">
        <v>570</v>
      </c>
      <c r="M149" t="s">
        <v>571</v>
      </c>
      <c r="N149" t="s">
        <v>204</v>
      </c>
      <c r="O149" s="69">
        <v>46507</v>
      </c>
      <c r="P149" t="s">
        <v>609</v>
      </c>
      <c r="Q149" s="69">
        <v>46485</v>
      </c>
      <c r="R149" s="69">
        <v>46507</v>
      </c>
      <c r="S149" s="69">
        <v>46120</v>
      </c>
      <c r="T149" s="69">
        <v>48315</v>
      </c>
      <c r="U149" s="69">
        <v>46200</v>
      </c>
      <c r="V149">
        <v>22376</v>
      </c>
      <c r="W149" t="s">
        <v>610</v>
      </c>
      <c r="X149">
        <v>67110</v>
      </c>
      <c r="Y149" s="69">
        <v>46485</v>
      </c>
      <c r="Z149" t="s">
        <v>207</v>
      </c>
      <c r="AB149" t="s">
        <v>215</v>
      </c>
    </row>
    <row r="150" spans="1:28" ht="15.75" customHeight="1" x14ac:dyDescent="0.6">
      <c r="A150">
        <v>149</v>
      </c>
      <c r="B150" t="s">
        <v>611</v>
      </c>
      <c r="C150">
        <v>1900</v>
      </c>
      <c r="D150" t="s">
        <v>179</v>
      </c>
      <c r="E150" s="69">
        <v>45758</v>
      </c>
      <c r="F150" t="s">
        <v>201</v>
      </c>
      <c r="G150" t="s">
        <v>202</v>
      </c>
      <c r="H150">
        <v>15.5</v>
      </c>
      <c r="I150" s="69">
        <v>45755</v>
      </c>
      <c r="J150">
        <v>2025</v>
      </c>
      <c r="K150" s="69">
        <v>45770</v>
      </c>
      <c r="L150" t="s">
        <v>570</v>
      </c>
      <c r="M150" t="s">
        <v>571</v>
      </c>
      <c r="N150" t="s">
        <v>204</v>
      </c>
      <c r="O150" s="69">
        <v>46507</v>
      </c>
      <c r="P150" t="s">
        <v>612</v>
      </c>
      <c r="Q150" s="69">
        <v>46485</v>
      </c>
      <c r="R150" s="69">
        <v>46507</v>
      </c>
      <c r="S150" s="69">
        <v>46120</v>
      </c>
      <c r="T150" s="69">
        <v>48315</v>
      </c>
      <c r="U150" s="69">
        <v>46316</v>
      </c>
      <c r="V150">
        <v>22268</v>
      </c>
      <c r="W150" t="s">
        <v>613</v>
      </c>
      <c r="X150">
        <v>72227</v>
      </c>
      <c r="Y150" s="69">
        <v>46485</v>
      </c>
      <c r="Z150" t="s">
        <v>207</v>
      </c>
      <c r="AB150" t="s">
        <v>215</v>
      </c>
    </row>
    <row r="151" spans="1:28" ht="15.75" customHeight="1" x14ac:dyDescent="0.6">
      <c r="A151">
        <v>150</v>
      </c>
      <c r="B151" t="s">
        <v>614</v>
      </c>
      <c r="C151">
        <v>1900</v>
      </c>
      <c r="D151" t="s">
        <v>179</v>
      </c>
      <c r="E151" s="69">
        <v>45758</v>
      </c>
      <c r="F151" t="s">
        <v>201</v>
      </c>
      <c r="G151" t="s">
        <v>202</v>
      </c>
      <c r="H151">
        <v>15.5</v>
      </c>
      <c r="I151" s="69">
        <v>45755</v>
      </c>
      <c r="J151">
        <v>2025</v>
      </c>
      <c r="K151" s="69">
        <v>45770</v>
      </c>
      <c r="L151" t="s">
        <v>570</v>
      </c>
      <c r="M151" t="s">
        <v>571</v>
      </c>
      <c r="N151" t="s">
        <v>204</v>
      </c>
      <c r="O151" s="69">
        <v>46507</v>
      </c>
      <c r="P151" t="s">
        <v>615</v>
      </c>
      <c r="Q151" s="69">
        <v>46485</v>
      </c>
      <c r="R151" s="69">
        <v>46507</v>
      </c>
      <c r="S151" s="69">
        <v>46120</v>
      </c>
      <c r="T151" s="69">
        <v>48315</v>
      </c>
      <c r="U151" s="69">
        <v>46200</v>
      </c>
      <c r="V151">
        <v>22373</v>
      </c>
      <c r="W151" t="s">
        <v>616</v>
      </c>
      <c r="X151">
        <v>61173</v>
      </c>
      <c r="Y151" s="69">
        <v>46485</v>
      </c>
      <c r="Z151" t="s">
        <v>207</v>
      </c>
      <c r="AB151" t="s">
        <v>595</v>
      </c>
    </row>
    <row r="152" spans="1:28" ht="15.75" customHeight="1" x14ac:dyDescent="0.6">
      <c r="A152">
        <v>151</v>
      </c>
      <c r="B152" t="s">
        <v>617</v>
      </c>
      <c r="C152">
        <v>1900</v>
      </c>
      <c r="D152" t="s">
        <v>179</v>
      </c>
      <c r="E152" s="69">
        <v>45772</v>
      </c>
      <c r="F152" t="s">
        <v>201</v>
      </c>
      <c r="G152" t="s">
        <v>202</v>
      </c>
      <c r="H152">
        <v>15.5</v>
      </c>
      <c r="I152" s="69">
        <v>45765</v>
      </c>
      <c r="J152">
        <v>2025</v>
      </c>
      <c r="K152" s="69">
        <v>45780</v>
      </c>
      <c r="L152" t="s">
        <v>570</v>
      </c>
      <c r="M152" t="s">
        <v>571</v>
      </c>
      <c r="N152" t="s">
        <v>204</v>
      </c>
      <c r="O152" s="69">
        <v>46568</v>
      </c>
      <c r="P152" t="s">
        <v>618</v>
      </c>
      <c r="Q152" s="69">
        <v>46495</v>
      </c>
      <c r="R152" s="69">
        <v>46568</v>
      </c>
      <c r="S152" s="69">
        <v>46130</v>
      </c>
      <c r="T152" s="69">
        <v>48327</v>
      </c>
      <c r="U152" s="69">
        <v>46200</v>
      </c>
      <c r="V152">
        <v>16876</v>
      </c>
      <c r="W152" t="s">
        <v>619</v>
      </c>
      <c r="X152">
        <v>53464</v>
      </c>
      <c r="Y152" s="69">
        <v>46485</v>
      </c>
      <c r="Z152" t="s">
        <v>207</v>
      </c>
      <c r="AB152" t="s">
        <v>595</v>
      </c>
    </row>
    <row r="153" spans="1:28" ht="15.75" customHeight="1" x14ac:dyDescent="0.6">
      <c r="A153">
        <v>152</v>
      </c>
      <c r="B153" t="s">
        <v>620</v>
      </c>
      <c r="C153">
        <v>1900</v>
      </c>
      <c r="D153" t="s">
        <v>179</v>
      </c>
      <c r="E153" s="69">
        <v>45772</v>
      </c>
      <c r="F153" t="s">
        <v>201</v>
      </c>
      <c r="G153" t="s">
        <v>202</v>
      </c>
      <c r="H153">
        <v>15.5</v>
      </c>
      <c r="I153" s="69">
        <v>45765</v>
      </c>
      <c r="J153">
        <v>2025</v>
      </c>
      <c r="K153" s="69">
        <v>45780</v>
      </c>
      <c r="L153" t="s">
        <v>570</v>
      </c>
      <c r="M153" t="s">
        <v>571</v>
      </c>
      <c r="N153" t="s">
        <v>204</v>
      </c>
      <c r="O153" s="69">
        <v>46568</v>
      </c>
      <c r="P153" t="s">
        <v>621</v>
      </c>
      <c r="Q153" s="69">
        <v>46495</v>
      </c>
      <c r="R153" s="69">
        <v>46568</v>
      </c>
      <c r="S153" s="69">
        <v>46130</v>
      </c>
      <c r="T153" s="69">
        <v>48327</v>
      </c>
      <c r="U153" s="69">
        <v>46200</v>
      </c>
      <c r="V153">
        <v>16877</v>
      </c>
      <c r="W153" t="s">
        <v>622</v>
      </c>
      <c r="X153">
        <v>41492</v>
      </c>
      <c r="Y153" s="69">
        <v>46495</v>
      </c>
      <c r="Z153" t="s">
        <v>207</v>
      </c>
      <c r="AB153" t="s">
        <v>215</v>
      </c>
    </row>
    <row r="154" spans="1:28" ht="15.75" customHeight="1" x14ac:dyDescent="0.6">
      <c r="A154">
        <v>153</v>
      </c>
      <c r="B154" t="s">
        <v>623</v>
      </c>
      <c r="C154">
        <v>1900</v>
      </c>
      <c r="D154" t="s">
        <v>179</v>
      </c>
      <c r="E154" s="69">
        <v>45772</v>
      </c>
      <c r="F154" t="s">
        <v>201</v>
      </c>
      <c r="G154" t="s">
        <v>202</v>
      </c>
      <c r="H154">
        <v>15.5</v>
      </c>
      <c r="I154" s="69">
        <v>45765</v>
      </c>
      <c r="J154">
        <v>2025</v>
      </c>
      <c r="K154" s="69">
        <v>45780</v>
      </c>
      <c r="L154" t="s">
        <v>570</v>
      </c>
      <c r="M154" t="s">
        <v>571</v>
      </c>
      <c r="N154" t="s">
        <v>204</v>
      </c>
      <c r="O154" s="69">
        <v>46568</v>
      </c>
      <c r="P154" t="s">
        <v>624</v>
      </c>
      <c r="Q154" s="69">
        <v>46495</v>
      </c>
      <c r="R154" s="69">
        <v>46568</v>
      </c>
      <c r="S154" s="69">
        <v>46130</v>
      </c>
      <c r="T154" s="69">
        <v>48327</v>
      </c>
      <c r="U154" s="69">
        <v>46200</v>
      </c>
      <c r="V154">
        <v>16895</v>
      </c>
      <c r="W154" t="s">
        <v>625</v>
      </c>
      <c r="X154">
        <v>48660</v>
      </c>
      <c r="Y154" s="69">
        <v>46485</v>
      </c>
      <c r="Z154" t="s">
        <v>207</v>
      </c>
      <c r="AB154" t="s">
        <v>595</v>
      </c>
    </row>
    <row r="155" spans="1:28" ht="15.75" customHeight="1" x14ac:dyDescent="0.6">
      <c r="A155">
        <v>154</v>
      </c>
      <c r="B155" t="s">
        <v>626</v>
      </c>
      <c r="C155">
        <v>1900</v>
      </c>
      <c r="D155" t="s">
        <v>179</v>
      </c>
      <c r="E155" s="69">
        <v>45772</v>
      </c>
      <c r="F155" t="s">
        <v>201</v>
      </c>
      <c r="G155" t="s">
        <v>202</v>
      </c>
      <c r="H155">
        <v>15.5</v>
      </c>
      <c r="I155" s="69">
        <v>45765</v>
      </c>
      <c r="J155">
        <v>2025</v>
      </c>
      <c r="K155" s="69">
        <v>45780</v>
      </c>
      <c r="L155" t="s">
        <v>570</v>
      </c>
      <c r="M155" t="s">
        <v>571</v>
      </c>
      <c r="N155" t="s">
        <v>506</v>
      </c>
      <c r="O155" s="69">
        <v>46568</v>
      </c>
      <c r="P155" t="s">
        <v>627</v>
      </c>
      <c r="Q155" s="69">
        <v>46495</v>
      </c>
      <c r="R155" s="69">
        <v>46568</v>
      </c>
      <c r="S155" s="69">
        <v>46130</v>
      </c>
      <c r="T155" s="69">
        <v>48327</v>
      </c>
      <c r="U155" s="69">
        <v>46200</v>
      </c>
      <c r="V155">
        <v>16890</v>
      </c>
      <c r="W155" t="s">
        <v>628</v>
      </c>
      <c r="X155">
        <v>50817</v>
      </c>
      <c r="Y155" s="69">
        <v>46485</v>
      </c>
      <c r="Z155" t="s">
        <v>207</v>
      </c>
      <c r="AA155" t="s">
        <v>509</v>
      </c>
      <c r="AB155" t="s">
        <v>595</v>
      </c>
    </row>
    <row r="156" spans="1:28" ht="15.75" customHeight="1" x14ac:dyDescent="0.6">
      <c r="A156">
        <v>155</v>
      </c>
      <c r="B156" t="s">
        <v>629</v>
      </c>
      <c r="C156">
        <v>1900</v>
      </c>
      <c r="D156" t="s">
        <v>179</v>
      </c>
      <c r="E156" s="69">
        <v>45772</v>
      </c>
      <c r="F156" t="s">
        <v>201</v>
      </c>
      <c r="G156" t="s">
        <v>202</v>
      </c>
      <c r="H156">
        <v>15.5</v>
      </c>
      <c r="I156" s="69">
        <v>45765</v>
      </c>
      <c r="J156">
        <v>2025</v>
      </c>
      <c r="K156" s="69">
        <v>45780</v>
      </c>
      <c r="L156" t="s">
        <v>570</v>
      </c>
      <c r="M156" t="s">
        <v>571</v>
      </c>
      <c r="N156" t="s">
        <v>204</v>
      </c>
      <c r="O156" s="69">
        <v>46568</v>
      </c>
      <c r="P156" t="s">
        <v>630</v>
      </c>
      <c r="Q156" s="69">
        <v>46495</v>
      </c>
      <c r="R156" s="69">
        <v>46568</v>
      </c>
      <c r="S156" s="69">
        <v>46130</v>
      </c>
      <c r="T156" s="69">
        <v>48327</v>
      </c>
      <c r="U156" s="69">
        <v>46200</v>
      </c>
      <c r="V156">
        <v>16892</v>
      </c>
      <c r="W156" t="s">
        <v>631</v>
      </c>
      <c r="X156">
        <v>64703</v>
      </c>
      <c r="Y156" s="69">
        <v>46485</v>
      </c>
      <c r="Z156" t="s">
        <v>207</v>
      </c>
      <c r="AB156" t="s">
        <v>595</v>
      </c>
    </row>
    <row r="157" spans="1:28" ht="15.75" customHeight="1" x14ac:dyDescent="0.6">
      <c r="A157">
        <v>156</v>
      </c>
      <c r="B157" t="s">
        <v>632</v>
      </c>
      <c r="C157">
        <v>785</v>
      </c>
      <c r="D157" t="s">
        <v>569</v>
      </c>
      <c r="E157" s="69">
        <v>45783</v>
      </c>
      <c r="F157" t="s">
        <v>201</v>
      </c>
      <c r="G157" t="s">
        <v>202</v>
      </c>
      <c r="H157">
        <v>13</v>
      </c>
      <c r="I157" s="69">
        <v>45762</v>
      </c>
      <c r="J157">
        <v>2025</v>
      </c>
      <c r="K157" s="69">
        <v>45777</v>
      </c>
      <c r="L157" t="s">
        <v>570</v>
      </c>
      <c r="M157" t="s">
        <v>571</v>
      </c>
      <c r="N157" t="s">
        <v>204</v>
      </c>
      <c r="O157" s="69">
        <v>46568</v>
      </c>
      <c r="P157" t="s">
        <v>633</v>
      </c>
      <c r="Q157" s="69">
        <v>46500</v>
      </c>
      <c r="R157" s="69">
        <v>46568</v>
      </c>
      <c r="S157" s="69">
        <v>46135</v>
      </c>
      <c r="T157" s="69">
        <v>48332</v>
      </c>
      <c r="U157" s="69">
        <v>46200</v>
      </c>
      <c r="V157">
        <v>27857</v>
      </c>
      <c r="W157" t="s">
        <v>634</v>
      </c>
      <c r="X157">
        <v>38318</v>
      </c>
      <c r="Y157" s="69">
        <v>46500</v>
      </c>
      <c r="Z157" t="s">
        <v>207</v>
      </c>
      <c r="AB157" t="s">
        <v>208</v>
      </c>
    </row>
    <row r="158" spans="1:28" ht="15.75" customHeight="1" x14ac:dyDescent="0.6">
      <c r="A158">
        <v>157</v>
      </c>
      <c r="B158" t="s">
        <v>635</v>
      </c>
      <c r="C158">
        <v>785</v>
      </c>
      <c r="D158" t="s">
        <v>569</v>
      </c>
      <c r="E158" s="69">
        <v>45783</v>
      </c>
      <c r="F158" t="s">
        <v>201</v>
      </c>
      <c r="G158" t="s">
        <v>202</v>
      </c>
      <c r="H158">
        <v>13</v>
      </c>
      <c r="I158" s="69">
        <v>45762</v>
      </c>
      <c r="J158">
        <v>2025</v>
      </c>
      <c r="K158" s="69">
        <v>45777</v>
      </c>
      <c r="L158" t="s">
        <v>570</v>
      </c>
      <c r="M158" t="s">
        <v>571</v>
      </c>
      <c r="N158" t="s">
        <v>204</v>
      </c>
      <c r="O158" s="69">
        <v>46568</v>
      </c>
      <c r="P158" t="s">
        <v>636</v>
      </c>
      <c r="Q158" s="69">
        <v>46500</v>
      </c>
      <c r="R158" s="69">
        <v>46568</v>
      </c>
      <c r="S158" s="69">
        <v>46135</v>
      </c>
      <c r="T158" s="69">
        <v>48332</v>
      </c>
      <c r="U158" s="69">
        <v>46200</v>
      </c>
      <c r="V158">
        <v>27854</v>
      </c>
      <c r="W158" t="s">
        <v>637</v>
      </c>
      <c r="X158">
        <v>37608</v>
      </c>
      <c r="Y158" s="69">
        <v>46500</v>
      </c>
      <c r="Z158" t="s">
        <v>207</v>
      </c>
      <c r="AB158" t="s">
        <v>208</v>
      </c>
    </row>
    <row r="159" spans="1:28" ht="15.75" customHeight="1" x14ac:dyDescent="0.6">
      <c r="A159">
        <v>158</v>
      </c>
      <c r="B159" t="s">
        <v>638</v>
      </c>
      <c r="C159">
        <v>785</v>
      </c>
      <c r="D159" t="s">
        <v>569</v>
      </c>
      <c r="E159" s="69">
        <v>45783</v>
      </c>
      <c r="F159" t="s">
        <v>201</v>
      </c>
      <c r="G159" t="s">
        <v>202</v>
      </c>
      <c r="H159">
        <v>13</v>
      </c>
      <c r="I159" s="69">
        <v>45762</v>
      </c>
      <c r="J159">
        <v>2025</v>
      </c>
      <c r="K159" s="69">
        <v>45777</v>
      </c>
      <c r="L159" t="s">
        <v>570</v>
      </c>
      <c r="M159" t="s">
        <v>571</v>
      </c>
      <c r="N159" t="s">
        <v>204</v>
      </c>
      <c r="O159" s="69">
        <v>46568</v>
      </c>
      <c r="P159" t="s">
        <v>639</v>
      </c>
      <c r="Q159" s="69">
        <v>46500</v>
      </c>
      <c r="R159" s="69">
        <v>46568</v>
      </c>
      <c r="S159" s="69">
        <v>46135</v>
      </c>
      <c r="T159" s="69">
        <v>48332</v>
      </c>
      <c r="U159" s="69">
        <v>46200</v>
      </c>
      <c r="V159">
        <v>27860</v>
      </c>
      <c r="W159" t="s">
        <v>640</v>
      </c>
      <c r="X159">
        <v>40140</v>
      </c>
      <c r="Y159" s="69">
        <v>46500</v>
      </c>
      <c r="Z159" t="s">
        <v>207</v>
      </c>
      <c r="AB159" t="s">
        <v>208</v>
      </c>
    </row>
    <row r="160" spans="1:28" ht="15.75" customHeight="1" x14ac:dyDescent="0.6">
      <c r="A160">
        <v>159</v>
      </c>
      <c r="B160" t="s">
        <v>641</v>
      </c>
      <c r="C160">
        <v>785</v>
      </c>
      <c r="D160" t="s">
        <v>569</v>
      </c>
      <c r="E160" s="69">
        <v>45783</v>
      </c>
      <c r="F160" t="s">
        <v>201</v>
      </c>
      <c r="G160" t="s">
        <v>202</v>
      </c>
      <c r="H160">
        <v>13</v>
      </c>
      <c r="I160" s="69">
        <v>45762</v>
      </c>
      <c r="J160">
        <v>2025</v>
      </c>
      <c r="K160" s="69">
        <v>45777</v>
      </c>
      <c r="L160" t="s">
        <v>570</v>
      </c>
      <c r="M160" t="s">
        <v>571</v>
      </c>
      <c r="N160" t="s">
        <v>204</v>
      </c>
      <c r="O160" s="69">
        <v>46568</v>
      </c>
      <c r="P160" t="s">
        <v>642</v>
      </c>
      <c r="Q160" s="69">
        <v>46500</v>
      </c>
      <c r="R160" s="69">
        <v>46568</v>
      </c>
      <c r="S160" s="69">
        <v>46135</v>
      </c>
      <c r="T160" s="69">
        <v>48332</v>
      </c>
      <c r="U160" s="69">
        <v>46200</v>
      </c>
      <c r="V160">
        <v>27855</v>
      </c>
      <c r="W160" t="s">
        <v>643</v>
      </c>
      <c r="X160">
        <v>32616</v>
      </c>
      <c r="Y160" s="69">
        <v>46500</v>
      </c>
      <c r="Z160" t="s">
        <v>207</v>
      </c>
      <c r="AB160" t="s">
        <v>208</v>
      </c>
    </row>
    <row r="161" spans="1:28" ht="15.75" customHeight="1" x14ac:dyDescent="0.6">
      <c r="A161">
        <v>160</v>
      </c>
      <c r="B161" t="s">
        <v>644</v>
      </c>
      <c r="C161">
        <v>785</v>
      </c>
      <c r="D161" t="s">
        <v>569</v>
      </c>
      <c r="E161" s="69">
        <v>45783</v>
      </c>
      <c r="F161" t="s">
        <v>201</v>
      </c>
      <c r="G161" t="s">
        <v>202</v>
      </c>
      <c r="H161">
        <v>13</v>
      </c>
      <c r="I161" s="69">
        <v>45762</v>
      </c>
      <c r="J161">
        <v>2025</v>
      </c>
      <c r="K161" s="69">
        <v>45777</v>
      </c>
      <c r="L161" t="s">
        <v>570</v>
      </c>
      <c r="M161" t="s">
        <v>571</v>
      </c>
      <c r="N161" t="s">
        <v>204</v>
      </c>
      <c r="O161" s="69">
        <v>46568</v>
      </c>
      <c r="P161" t="s">
        <v>645</v>
      </c>
      <c r="Q161" s="69">
        <v>46500</v>
      </c>
      <c r="R161" s="69">
        <v>46568</v>
      </c>
      <c r="S161" s="69">
        <v>46135</v>
      </c>
      <c r="T161" s="69">
        <v>48332</v>
      </c>
      <c r="U161" s="69">
        <v>46200</v>
      </c>
      <c r="V161">
        <v>27856</v>
      </c>
      <c r="W161" t="s">
        <v>646</v>
      </c>
      <c r="X161">
        <v>31959</v>
      </c>
      <c r="Y161" s="69">
        <v>46500</v>
      </c>
      <c r="Z161" t="s">
        <v>207</v>
      </c>
      <c r="AB161" t="s">
        <v>208</v>
      </c>
    </row>
    <row r="162" spans="1:28" ht="15.75" customHeight="1" x14ac:dyDescent="0.6">
      <c r="A162">
        <v>161</v>
      </c>
      <c r="B162" t="s">
        <v>647</v>
      </c>
      <c r="C162">
        <v>785</v>
      </c>
      <c r="D162" t="s">
        <v>569</v>
      </c>
      <c r="E162" s="69">
        <v>45783</v>
      </c>
      <c r="F162" t="s">
        <v>201</v>
      </c>
      <c r="G162" t="s">
        <v>202</v>
      </c>
      <c r="H162">
        <v>13</v>
      </c>
      <c r="I162" s="69">
        <v>45762</v>
      </c>
      <c r="J162">
        <v>2025</v>
      </c>
      <c r="K162" s="69">
        <v>45777</v>
      </c>
      <c r="L162" t="s">
        <v>570</v>
      </c>
      <c r="M162" t="s">
        <v>571</v>
      </c>
      <c r="N162" t="s">
        <v>204</v>
      </c>
      <c r="O162" s="69">
        <v>46568</v>
      </c>
      <c r="P162" t="s">
        <v>648</v>
      </c>
      <c r="Q162" s="69">
        <v>46500</v>
      </c>
      <c r="R162" s="69">
        <v>46568</v>
      </c>
      <c r="S162" s="69">
        <v>46135</v>
      </c>
      <c r="T162" s="69">
        <v>48332</v>
      </c>
      <c r="U162" s="69">
        <v>46200</v>
      </c>
      <c r="V162">
        <v>27859</v>
      </c>
      <c r="W162" t="s">
        <v>649</v>
      </c>
      <c r="X162">
        <v>45849</v>
      </c>
      <c r="Y162" s="69">
        <v>46500</v>
      </c>
      <c r="Z162" t="s">
        <v>207</v>
      </c>
      <c r="AB162" t="s">
        <v>208</v>
      </c>
    </row>
    <row r="163" spans="1:28" ht="15.75" customHeight="1" x14ac:dyDescent="0.6">
      <c r="A163">
        <v>162</v>
      </c>
      <c r="B163" t="s">
        <v>650</v>
      </c>
      <c r="C163">
        <v>785</v>
      </c>
      <c r="D163" t="s">
        <v>569</v>
      </c>
      <c r="E163" s="69">
        <v>45783</v>
      </c>
      <c r="F163" t="s">
        <v>201</v>
      </c>
      <c r="G163" t="s">
        <v>202</v>
      </c>
      <c r="H163">
        <v>13</v>
      </c>
      <c r="I163" s="69">
        <v>45762</v>
      </c>
      <c r="J163">
        <v>2025</v>
      </c>
      <c r="K163" s="69">
        <v>45777</v>
      </c>
      <c r="L163" t="s">
        <v>570</v>
      </c>
      <c r="M163" t="s">
        <v>571</v>
      </c>
      <c r="N163" t="s">
        <v>204</v>
      </c>
      <c r="O163" s="69">
        <v>46568</v>
      </c>
      <c r="P163" t="s">
        <v>651</v>
      </c>
      <c r="Q163" s="69">
        <v>46500</v>
      </c>
      <c r="R163" s="69">
        <v>46568</v>
      </c>
      <c r="S163" s="69">
        <v>46135</v>
      </c>
      <c r="T163" s="69">
        <v>48332</v>
      </c>
      <c r="U163" s="69">
        <v>46200</v>
      </c>
      <c r="V163">
        <v>27858</v>
      </c>
      <c r="W163" t="s">
        <v>652</v>
      </c>
      <c r="X163">
        <v>43285</v>
      </c>
      <c r="Y163" s="69">
        <v>46500</v>
      </c>
      <c r="Z163" t="s">
        <v>207</v>
      </c>
      <c r="AB163" t="s">
        <v>208</v>
      </c>
    </row>
    <row r="164" spans="1:28" ht="15.75" customHeight="1" x14ac:dyDescent="0.6">
      <c r="A164">
        <v>163</v>
      </c>
      <c r="B164" t="s">
        <v>653</v>
      </c>
      <c r="C164">
        <v>1900</v>
      </c>
      <c r="D164" t="s">
        <v>179</v>
      </c>
      <c r="E164" s="69">
        <v>45790</v>
      </c>
      <c r="F164" t="s">
        <v>201</v>
      </c>
      <c r="G164" t="s">
        <v>202</v>
      </c>
      <c r="H164">
        <v>15.5</v>
      </c>
      <c r="I164" s="69">
        <v>45785</v>
      </c>
      <c r="J164">
        <v>2025</v>
      </c>
      <c r="K164" s="69">
        <v>45800</v>
      </c>
      <c r="L164" t="s">
        <v>654</v>
      </c>
      <c r="M164" t="s">
        <v>571</v>
      </c>
      <c r="N164" t="s">
        <v>204</v>
      </c>
      <c r="O164" s="69">
        <v>46568</v>
      </c>
      <c r="P164" t="s">
        <v>655</v>
      </c>
      <c r="Q164" s="69">
        <v>46513</v>
      </c>
      <c r="R164" s="69">
        <v>46568</v>
      </c>
      <c r="S164" s="69">
        <v>46154</v>
      </c>
      <c r="T164" s="69">
        <v>48347</v>
      </c>
      <c r="U164" s="69">
        <v>46200</v>
      </c>
      <c r="V164">
        <v>40865</v>
      </c>
      <c r="W164" t="s">
        <v>656</v>
      </c>
      <c r="X164">
        <v>34334</v>
      </c>
      <c r="Y164" s="69">
        <v>46513</v>
      </c>
      <c r="Z164" t="s">
        <v>207</v>
      </c>
      <c r="AB164" t="s">
        <v>595</v>
      </c>
    </row>
    <row r="165" spans="1:28" ht="15.75" customHeight="1" x14ac:dyDescent="0.6">
      <c r="A165">
        <v>164</v>
      </c>
      <c r="B165" t="s">
        <v>657</v>
      </c>
      <c r="C165">
        <v>1900</v>
      </c>
      <c r="D165" t="s">
        <v>179</v>
      </c>
      <c r="E165" s="69">
        <v>45790</v>
      </c>
      <c r="F165" t="s">
        <v>201</v>
      </c>
      <c r="G165" t="s">
        <v>202</v>
      </c>
      <c r="H165">
        <v>15.5</v>
      </c>
      <c r="I165" s="69">
        <v>45785</v>
      </c>
      <c r="J165">
        <v>2025</v>
      </c>
      <c r="K165" s="69">
        <v>45800</v>
      </c>
      <c r="L165" t="s">
        <v>654</v>
      </c>
      <c r="M165" t="s">
        <v>571</v>
      </c>
      <c r="N165" t="s">
        <v>204</v>
      </c>
      <c r="O165" s="69">
        <v>46568</v>
      </c>
      <c r="P165" t="s">
        <v>658</v>
      </c>
      <c r="Q165" s="69">
        <v>46513</v>
      </c>
      <c r="R165" s="69">
        <v>46568</v>
      </c>
      <c r="S165" s="69">
        <v>46154</v>
      </c>
      <c r="T165" s="69">
        <v>48347</v>
      </c>
      <c r="U165" s="69">
        <v>46200</v>
      </c>
      <c r="V165">
        <v>40866</v>
      </c>
      <c r="W165" t="s">
        <v>659</v>
      </c>
      <c r="X165">
        <v>51557</v>
      </c>
      <c r="Y165" s="69">
        <v>46513</v>
      </c>
      <c r="Z165" t="s">
        <v>207</v>
      </c>
      <c r="AB165" t="s">
        <v>595</v>
      </c>
    </row>
    <row r="166" spans="1:28" ht="15.75" customHeight="1" x14ac:dyDescent="0.6">
      <c r="A166">
        <v>165</v>
      </c>
      <c r="B166" t="s">
        <v>660</v>
      </c>
      <c r="C166">
        <v>1900</v>
      </c>
      <c r="D166" t="s">
        <v>179</v>
      </c>
      <c r="E166" s="69">
        <v>45790</v>
      </c>
      <c r="F166" t="s">
        <v>201</v>
      </c>
      <c r="G166" t="s">
        <v>226</v>
      </c>
      <c r="H166">
        <v>15.5</v>
      </c>
      <c r="I166" s="69">
        <v>45785</v>
      </c>
      <c r="J166">
        <v>2025</v>
      </c>
      <c r="K166" s="69">
        <v>45800</v>
      </c>
      <c r="L166" t="s">
        <v>654</v>
      </c>
      <c r="M166" t="s">
        <v>571</v>
      </c>
      <c r="N166" t="s">
        <v>204</v>
      </c>
      <c r="O166" s="69">
        <v>46568</v>
      </c>
      <c r="P166" t="s">
        <v>661</v>
      </c>
      <c r="Q166" s="69">
        <v>46513</v>
      </c>
      <c r="R166" s="69">
        <v>46568</v>
      </c>
      <c r="S166" s="69">
        <v>46154</v>
      </c>
      <c r="T166" s="69">
        <v>48347</v>
      </c>
      <c r="U166" s="69">
        <v>46200</v>
      </c>
      <c r="V166">
        <v>40868</v>
      </c>
      <c r="W166" t="s">
        <v>662</v>
      </c>
      <c r="X166">
        <v>43142</v>
      </c>
      <c r="Y166" s="69">
        <v>46513</v>
      </c>
      <c r="Z166" t="s">
        <v>207</v>
      </c>
      <c r="AB166" t="s">
        <v>226</v>
      </c>
    </row>
    <row r="167" spans="1:28" ht="15.75" customHeight="1" x14ac:dyDescent="0.6">
      <c r="A167">
        <v>166</v>
      </c>
      <c r="B167" t="s">
        <v>663</v>
      </c>
      <c r="C167">
        <v>1900</v>
      </c>
      <c r="D167" t="s">
        <v>179</v>
      </c>
      <c r="E167" s="69">
        <v>45790</v>
      </c>
      <c r="F167" t="s">
        <v>201</v>
      </c>
      <c r="G167" t="s">
        <v>202</v>
      </c>
      <c r="H167">
        <v>15.5</v>
      </c>
      <c r="I167" s="69">
        <v>45785</v>
      </c>
      <c r="J167">
        <v>2025</v>
      </c>
      <c r="K167" s="69">
        <v>45800</v>
      </c>
      <c r="L167" t="s">
        <v>654</v>
      </c>
      <c r="M167" t="s">
        <v>571</v>
      </c>
      <c r="N167" t="s">
        <v>204</v>
      </c>
      <c r="O167" s="69">
        <v>46568</v>
      </c>
      <c r="P167" t="s">
        <v>664</v>
      </c>
      <c r="Q167" s="69">
        <v>46513</v>
      </c>
      <c r="R167" s="69">
        <v>46568</v>
      </c>
      <c r="S167" s="69">
        <v>46154</v>
      </c>
      <c r="T167" s="69">
        <v>48347</v>
      </c>
      <c r="U167" s="69">
        <v>46200</v>
      </c>
      <c r="V167">
        <v>40870</v>
      </c>
      <c r="W167" t="s">
        <v>665</v>
      </c>
      <c r="X167">
        <v>42160</v>
      </c>
      <c r="Y167" s="69">
        <v>46513</v>
      </c>
      <c r="Z167" t="s">
        <v>207</v>
      </c>
      <c r="AB167" t="s">
        <v>595</v>
      </c>
    </row>
    <row r="168" spans="1:28" ht="15.75" customHeight="1" x14ac:dyDescent="0.6">
      <c r="A168">
        <v>167</v>
      </c>
      <c r="B168" t="s">
        <v>666</v>
      </c>
      <c r="C168">
        <v>1900</v>
      </c>
      <c r="D168" t="s">
        <v>179</v>
      </c>
      <c r="E168" s="69">
        <v>45790</v>
      </c>
      <c r="F168" t="s">
        <v>201</v>
      </c>
      <c r="G168" t="s">
        <v>202</v>
      </c>
      <c r="H168">
        <v>15.5</v>
      </c>
      <c r="I168" s="69">
        <v>45785</v>
      </c>
      <c r="J168">
        <v>2025</v>
      </c>
      <c r="K168" s="69">
        <v>45800</v>
      </c>
      <c r="L168" t="s">
        <v>654</v>
      </c>
      <c r="M168" t="s">
        <v>571</v>
      </c>
      <c r="N168" t="s">
        <v>204</v>
      </c>
      <c r="O168" s="69">
        <v>46568</v>
      </c>
      <c r="P168" t="s">
        <v>667</v>
      </c>
      <c r="Q168" s="69">
        <v>46513</v>
      </c>
      <c r="R168" s="69">
        <v>46568</v>
      </c>
      <c r="S168" s="69">
        <v>46154</v>
      </c>
      <c r="T168" s="69">
        <v>48347</v>
      </c>
      <c r="U168" s="69">
        <v>46200</v>
      </c>
      <c r="V168">
        <v>40869</v>
      </c>
      <c r="W168" t="s">
        <v>668</v>
      </c>
      <c r="X168">
        <v>27220</v>
      </c>
      <c r="Y168" s="69">
        <v>46513</v>
      </c>
      <c r="Z168" t="s">
        <v>207</v>
      </c>
      <c r="AB168" t="s">
        <v>215</v>
      </c>
    </row>
    <row r="169" spans="1:28" ht="15.75" customHeight="1" x14ac:dyDescent="0.6">
      <c r="A169">
        <v>168</v>
      </c>
      <c r="B169" t="s">
        <v>669</v>
      </c>
      <c r="C169">
        <v>1900</v>
      </c>
      <c r="D169" t="s">
        <v>179</v>
      </c>
      <c r="E169" s="69">
        <v>45790</v>
      </c>
      <c r="F169" t="s">
        <v>180</v>
      </c>
      <c r="G169" t="s">
        <v>180</v>
      </c>
      <c r="H169">
        <v>15.5</v>
      </c>
      <c r="I169" s="69">
        <v>45785</v>
      </c>
      <c r="J169">
        <v>2025</v>
      </c>
      <c r="K169" s="69">
        <v>45800</v>
      </c>
      <c r="L169" t="s">
        <v>654</v>
      </c>
      <c r="M169" t="s">
        <v>571</v>
      </c>
      <c r="N169" t="s">
        <v>204</v>
      </c>
      <c r="O169" s="69">
        <v>46568</v>
      </c>
      <c r="P169" t="s">
        <v>670</v>
      </c>
      <c r="Q169" s="69">
        <v>46513</v>
      </c>
      <c r="R169" s="69">
        <v>46568</v>
      </c>
      <c r="S169" s="69">
        <v>46154</v>
      </c>
      <c r="T169" s="69">
        <v>48347</v>
      </c>
      <c r="U169" s="69">
        <v>46200</v>
      </c>
      <c r="V169">
        <v>40871</v>
      </c>
      <c r="W169" t="s">
        <v>671</v>
      </c>
      <c r="X169">
        <v>50985</v>
      </c>
      <c r="Y169" s="69">
        <v>46513</v>
      </c>
      <c r="Z169" t="s">
        <v>207</v>
      </c>
      <c r="AB169" t="s">
        <v>188</v>
      </c>
    </row>
    <row r="170" spans="1:28" ht="15.75" customHeight="1" x14ac:dyDescent="0.6">
      <c r="A170">
        <v>169</v>
      </c>
      <c r="B170" t="s">
        <v>672</v>
      </c>
      <c r="C170">
        <v>1900</v>
      </c>
      <c r="D170" t="s">
        <v>179</v>
      </c>
      <c r="E170" s="69">
        <v>45790</v>
      </c>
      <c r="F170" t="s">
        <v>201</v>
      </c>
      <c r="G170" t="s">
        <v>202</v>
      </c>
      <c r="H170">
        <v>15.5</v>
      </c>
      <c r="I170" s="69">
        <v>45785</v>
      </c>
      <c r="J170">
        <v>2025</v>
      </c>
      <c r="K170" s="69">
        <v>45800</v>
      </c>
      <c r="L170" t="s">
        <v>654</v>
      </c>
      <c r="M170" t="s">
        <v>571</v>
      </c>
      <c r="N170" t="s">
        <v>204</v>
      </c>
      <c r="O170" s="69">
        <v>46568</v>
      </c>
      <c r="P170" t="s">
        <v>673</v>
      </c>
      <c r="Q170" s="69">
        <v>46513</v>
      </c>
      <c r="R170" s="69">
        <v>46568</v>
      </c>
      <c r="S170" s="69">
        <v>46154</v>
      </c>
      <c r="T170" s="69">
        <v>48347</v>
      </c>
      <c r="U170" s="69">
        <v>46200</v>
      </c>
      <c r="V170">
        <v>40867</v>
      </c>
      <c r="W170" t="s">
        <v>674</v>
      </c>
      <c r="X170">
        <v>53545</v>
      </c>
      <c r="Y170" s="69">
        <v>46513</v>
      </c>
      <c r="Z170" t="s">
        <v>207</v>
      </c>
      <c r="AB170" t="s">
        <v>595</v>
      </c>
    </row>
    <row r="171" spans="1:28" ht="15.75" customHeight="1" x14ac:dyDescent="0.6">
      <c r="A171">
        <v>170</v>
      </c>
      <c r="B171" t="s">
        <v>675</v>
      </c>
      <c r="C171">
        <v>1900</v>
      </c>
      <c r="D171" t="s">
        <v>179</v>
      </c>
      <c r="E171" s="69">
        <v>45793</v>
      </c>
      <c r="F171" t="s">
        <v>201</v>
      </c>
      <c r="G171" t="s">
        <v>202</v>
      </c>
      <c r="H171">
        <v>15.5</v>
      </c>
      <c r="I171" s="69">
        <v>45791</v>
      </c>
      <c r="J171">
        <v>2025</v>
      </c>
      <c r="K171" s="69">
        <v>45806</v>
      </c>
      <c r="L171" t="s">
        <v>654</v>
      </c>
      <c r="M171" t="s">
        <v>571</v>
      </c>
      <c r="N171" t="s">
        <v>204</v>
      </c>
      <c r="O171" s="69">
        <v>46568</v>
      </c>
      <c r="P171" t="s">
        <v>676</v>
      </c>
      <c r="Q171" s="69">
        <v>46516</v>
      </c>
      <c r="R171" s="69">
        <v>46568</v>
      </c>
      <c r="S171" s="69">
        <v>46156</v>
      </c>
      <c r="T171" s="69">
        <v>48347</v>
      </c>
      <c r="U171" s="69">
        <v>46200</v>
      </c>
      <c r="V171">
        <v>41249</v>
      </c>
      <c r="W171" t="s">
        <v>677</v>
      </c>
      <c r="X171">
        <v>49702</v>
      </c>
      <c r="Y171" s="69">
        <v>46516</v>
      </c>
      <c r="Z171" t="s">
        <v>207</v>
      </c>
      <c r="AB171" t="s">
        <v>595</v>
      </c>
    </row>
    <row r="172" spans="1:28" ht="15.75" customHeight="1" x14ac:dyDescent="0.6">
      <c r="A172">
        <v>171</v>
      </c>
      <c r="B172" t="s">
        <v>678</v>
      </c>
      <c r="C172">
        <v>1900</v>
      </c>
      <c r="D172" t="s">
        <v>179</v>
      </c>
      <c r="E172" s="69">
        <v>45793</v>
      </c>
      <c r="F172" t="s">
        <v>201</v>
      </c>
      <c r="G172" t="s">
        <v>202</v>
      </c>
      <c r="H172">
        <v>15.5</v>
      </c>
      <c r="I172" s="69">
        <v>45791</v>
      </c>
      <c r="J172">
        <v>2025</v>
      </c>
      <c r="K172" s="69">
        <v>45806</v>
      </c>
      <c r="L172" t="s">
        <v>654</v>
      </c>
      <c r="M172" t="s">
        <v>571</v>
      </c>
      <c r="N172" t="s">
        <v>204</v>
      </c>
      <c r="O172" s="69">
        <v>46568</v>
      </c>
      <c r="P172" t="s">
        <v>679</v>
      </c>
      <c r="Q172" s="69">
        <v>46516</v>
      </c>
      <c r="R172" s="69">
        <v>46568</v>
      </c>
      <c r="S172" s="69">
        <v>46156</v>
      </c>
      <c r="T172" s="69">
        <v>48327</v>
      </c>
      <c r="U172" s="69">
        <v>46200</v>
      </c>
      <c r="V172">
        <v>41250</v>
      </c>
      <c r="W172" t="s">
        <v>680</v>
      </c>
      <c r="X172">
        <v>50757</v>
      </c>
      <c r="Y172" s="69">
        <v>46516</v>
      </c>
      <c r="Z172" t="s">
        <v>207</v>
      </c>
      <c r="AB172" t="s">
        <v>595</v>
      </c>
    </row>
    <row r="173" spans="1:28" ht="15.75" customHeight="1" x14ac:dyDescent="0.6">
      <c r="A173">
        <v>172</v>
      </c>
      <c r="B173" t="s">
        <v>681</v>
      </c>
      <c r="C173">
        <v>1900</v>
      </c>
      <c r="D173" t="s">
        <v>179</v>
      </c>
      <c r="E173" s="69">
        <v>45793</v>
      </c>
      <c r="F173" t="s">
        <v>201</v>
      </c>
      <c r="G173" t="s">
        <v>202</v>
      </c>
      <c r="H173">
        <v>15.5</v>
      </c>
      <c r="I173" s="69">
        <v>45791</v>
      </c>
      <c r="J173">
        <v>2025</v>
      </c>
      <c r="K173" s="69">
        <v>45806</v>
      </c>
      <c r="L173" t="s">
        <v>654</v>
      </c>
      <c r="M173" t="s">
        <v>571</v>
      </c>
      <c r="N173" t="s">
        <v>204</v>
      </c>
      <c r="O173" s="69">
        <v>46568</v>
      </c>
      <c r="P173" t="s">
        <v>682</v>
      </c>
      <c r="Q173" s="69">
        <v>46516</v>
      </c>
      <c r="R173" s="69">
        <v>46568</v>
      </c>
      <c r="S173" s="69">
        <v>46156</v>
      </c>
      <c r="T173" s="69">
        <v>48327</v>
      </c>
      <c r="U173" s="69">
        <v>46200</v>
      </c>
      <c r="V173">
        <v>41258</v>
      </c>
      <c r="W173" t="s">
        <v>683</v>
      </c>
      <c r="X173">
        <v>42644</v>
      </c>
      <c r="Y173" s="69">
        <v>46516</v>
      </c>
      <c r="Z173" t="s">
        <v>207</v>
      </c>
      <c r="AB173" t="s">
        <v>215</v>
      </c>
    </row>
    <row r="174" spans="1:28" ht="15.75" customHeight="1" x14ac:dyDescent="0.6">
      <c r="A174">
        <v>173</v>
      </c>
      <c r="B174" t="s">
        <v>684</v>
      </c>
      <c r="C174">
        <v>1900</v>
      </c>
      <c r="D174" t="s">
        <v>179</v>
      </c>
      <c r="E174" s="69">
        <v>45793</v>
      </c>
      <c r="F174" t="s">
        <v>201</v>
      </c>
      <c r="G174" t="s">
        <v>202</v>
      </c>
      <c r="H174">
        <v>15.5</v>
      </c>
      <c r="I174" s="69">
        <v>45791</v>
      </c>
      <c r="J174">
        <v>2025</v>
      </c>
      <c r="K174" s="69">
        <v>45806</v>
      </c>
      <c r="L174" t="s">
        <v>654</v>
      </c>
      <c r="M174" t="s">
        <v>571</v>
      </c>
      <c r="N174" t="s">
        <v>204</v>
      </c>
      <c r="O174" s="69">
        <v>46568</v>
      </c>
      <c r="P174" t="s">
        <v>685</v>
      </c>
      <c r="Q174" s="69">
        <v>46516</v>
      </c>
      <c r="R174" s="69">
        <v>46568</v>
      </c>
      <c r="S174" s="69">
        <v>46156</v>
      </c>
      <c r="T174" s="69">
        <v>48327</v>
      </c>
      <c r="U174" s="69">
        <v>46200</v>
      </c>
      <c r="V174">
        <v>41252</v>
      </c>
      <c r="W174" t="s">
        <v>686</v>
      </c>
      <c r="X174">
        <v>65772</v>
      </c>
      <c r="Y174" s="69">
        <v>46516</v>
      </c>
      <c r="Z174" t="s">
        <v>207</v>
      </c>
      <c r="AB174" t="s">
        <v>595</v>
      </c>
    </row>
    <row r="175" spans="1:28" ht="15.75" customHeight="1" x14ac:dyDescent="0.6">
      <c r="A175">
        <v>174</v>
      </c>
      <c r="B175" t="s">
        <v>687</v>
      </c>
      <c r="C175">
        <v>1900</v>
      </c>
      <c r="D175" t="s">
        <v>179</v>
      </c>
      <c r="E175" s="69">
        <v>45793</v>
      </c>
      <c r="F175" t="s">
        <v>201</v>
      </c>
      <c r="G175" t="s">
        <v>202</v>
      </c>
      <c r="H175">
        <v>15.5</v>
      </c>
      <c r="I175" s="69">
        <v>45791</v>
      </c>
      <c r="J175">
        <v>2025</v>
      </c>
      <c r="K175" s="69">
        <v>45806</v>
      </c>
      <c r="L175" t="s">
        <v>654</v>
      </c>
      <c r="M175" t="s">
        <v>571</v>
      </c>
      <c r="N175" t="s">
        <v>204</v>
      </c>
      <c r="O175" s="69">
        <v>46568</v>
      </c>
      <c r="P175" t="s">
        <v>688</v>
      </c>
      <c r="Q175" s="69">
        <v>46516</v>
      </c>
      <c r="R175" s="69">
        <v>46568</v>
      </c>
      <c r="S175" s="69">
        <v>46156</v>
      </c>
      <c r="T175" s="69">
        <v>48327</v>
      </c>
      <c r="U175" s="69">
        <v>46200</v>
      </c>
      <c r="V175">
        <v>41255</v>
      </c>
      <c r="W175" t="s">
        <v>689</v>
      </c>
      <c r="X175">
        <v>39607</v>
      </c>
      <c r="Y175" s="69">
        <v>46516</v>
      </c>
      <c r="Z175" t="s">
        <v>207</v>
      </c>
      <c r="AB175" t="s">
        <v>595</v>
      </c>
    </row>
    <row r="176" spans="1:28" ht="15.75" customHeight="1" x14ac:dyDescent="0.6">
      <c r="A176">
        <v>175</v>
      </c>
      <c r="B176" t="s">
        <v>690</v>
      </c>
      <c r="C176">
        <v>1900</v>
      </c>
      <c r="D176" t="s">
        <v>179</v>
      </c>
      <c r="E176" s="69">
        <v>45793</v>
      </c>
      <c r="F176" t="s">
        <v>201</v>
      </c>
      <c r="G176" t="s">
        <v>226</v>
      </c>
      <c r="H176">
        <v>15.5</v>
      </c>
      <c r="I176" s="69">
        <v>45791</v>
      </c>
      <c r="J176">
        <v>2025</v>
      </c>
      <c r="K176" s="69">
        <v>45806</v>
      </c>
      <c r="L176" t="s">
        <v>654</v>
      </c>
      <c r="M176" t="s">
        <v>571</v>
      </c>
      <c r="N176" t="s">
        <v>204</v>
      </c>
      <c r="O176" s="69">
        <v>46568</v>
      </c>
      <c r="P176" t="s">
        <v>691</v>
      </c>
      <c r="Q176" s="69">
        <v>46516</v>
      </c>
      <c r="R176" s="69">
        <v>46568</v>
      </c>
      <c r="S176" s="69">
        <v>46156</v>
      </c>
      <c r="T176" s="69">
        <v>48327</v>
      </c>
      <c r="U176" s="69">
        <v>46200</v>
      </c>
      <c r="V176">
        <v>41251</v>
      </c>
      <c r="W176" t="s">
        <v>692</v>
      </c>
      <c r="X176">
        <v>43152</v>
      </c>
      <c r="Y176" s="69">
        <v>46516</v>
      </c>
      <c r="Z176" t="s">
        <v>207</v>
      </c>
      <c r="AB176" t="s">
        <v>226</v>
      </c>
    </row>
    <row r="177" spans="1:28" ht="15.75" customHeight="1" x14ac:dyDescent="0.6">
      <c r="A177">
        <v>176</v>
      </c>
      <c r="B177" t="s">
        <v>693</v>
      </c>
      <c r="C177">
        <v>1900</v>
      </c>
      <c r="D177" t="s">
        <v>179</v>
      </c>
      <c r="E177" s="69">
        <v>45793</v>
      </c>
      <c r="F177" t="s">
        <v>201</v>
      </c>
      <c r="G177" t="s">
        <v>202</v>
      </c>
      <c r="H177">
        <v>15.5</v>
      </c>
      <c r="I177" s="69">
        <v>45791</v>
      </c>
      <c r="J177">
        <v>2025</v>
      </c>
      <c r="K177" s="69">
        <v>45806</v>
      </c>
      <c r="L177" t="s">
        <v>654</v>
      </c>
      <c r="M177" t="s">
        <v>571</v>
      </c>
      <c r="N177" t="s">
        <v>204</v>
      </c>
      <c r="O177" s="69">
        <v>46200</v>
      </c>
      <c r="P177" t="s">
        <v>694</v>
      </c>
      <c r="Q177" s="69">
        <v>46516</v>
      </c>
      <c r="R177" s="69">
        <v>46568</v>
      </c>
      <c r="S177" s="69">
        <v>46156</v>
      </c>
      <c r="T177" s="69">
        <v>48327</v>
      </c>
      <c r="U177" s="69">
        <v>46200</v>
      </c>
      <c r="V177">
        <v>41256</v>
      </c>
      <c r="W177" t="s">
        <v>695</v>
      </c>
      <c r="X177">
        <v>57770</v>
      </c>
      <c r="Y177" s="69">
        <v>46516</v>
      </c>
      <c r="Z177" t="s">
        <v>207</v>
      </c>
      <c r="AB177" t="s">
        <v>595</v>
      </c>
    </row>
    <row r="178" spans="1:28" ht="15.75" customHeight="1" x14ac:dyDescent="0.6">
      <c r="A178">
        <v>177</v>
      </c>
      <c r="B178" t="s">
        <v>696</v>
      </c>
      <c r="C178">
        <v>1900</v>
      </c>
      <c r="D178" t="s">
        <v>179</v>
      </c>
      <c r="E178" s="69">
        <v>45793</v>
      </c>
      <c r="F178" t="s">
        <v>201</v>
      </c>
      <c r="G178" t="s">
        <v>202</v>
      </c>
      <c r="H178">
        <v>15.5</v>
      </c>
      <c r="I178" s="69">
        <v>45791</v>
      </c>
      <c r="J178">
        <v>2025</v>
      </c>
      <c r="K178" s="69">
        <v>45806</v>
      </c>
      <c r="L178" t="s">
        <v>654</v>
      </c>
      <c r="M178" t="s">
        <v>571</v>
      </c>
      <c r="N178" t="s">
        <v>204</v>
      </c>
      <c r="O178" s="69">
        <v>46200</v>
      </c>
      <c r="P178" t="s">
        <v>697</v>
      </c>
      <c r="Q178" s="69">
        <v>46516</v>
      </c>
      <c r="R178" s="69">
        <v>46568</v>
      </c>
      <c r="S178" s="69">
        <v>46156</v>
      </c>
      <c r="T178" s="69">
        <v>48327</v>
      </c>
      <c r="U178" s="69">
        <v>46200</v>
      </c>
      <c r="V178">
        <v>41253</v>
      </c>
      <c r="W178" t="s">
        <v>698</v>
      </c>
      <c r="X178">
        <v>46376</v>
      </c>
      <c r="Y178" s="69">
        <v>46516</v>
      </c>
      <c r="Z178" t="s">
        <v>207</v>
      </c>
      <c r="AB178" t="s">
        <v>215</v>
      </c>
    </row>
    <row r="179" spans="1:28" ht="15.75" customHeight="1" x14ac:dyDescent="0.6">
      <c r="A179">
        <v>178</v>
      </c>
      <c r="B179" t="s">
        <v>699</v>
      </c>
      <c r="C179">
        <v>1900</v>
      </c>
      <c r="D179" t="s">
        <v>179</v>
      </c>
      <c r="E179" s="69">
        <v>45793</v>
      </c>
      <c r="F179" t="s">
        <v>201</v>
      </c>
      <c r="G179" t="s">
        <v>226</v>
      </c>
      <c r="H179">
        <v>15.5</v>
      </c>
      <c r="I179" s="69">
        <v>45791</v>
      </c>
      <c r="J179">
        <v>2025</v>
      </c>
      <c r="K179" s="69">
        <v>45806</v>
      </c>
      <c r="L179" t="s">
        <v>654</v>
      </c>
      <c r="M179" t="s">
        <v>571</v>
      </c>
      <c r="N179" t="s">
        <v>204</v>
      </c>
      <c r="O179" s="69">
        <v>46568</v>
      </c>
      <c r="P179" t="s">
        <v>700</v>
      </c>
      <c r="Q179" s="69">
        <v>46521</v>
      </c>
      <c r="R179" s="69">
        <v>46568</v>
      </c>
      <c r="S179" s="69">
        <v>46156</v>
      </c>
      <c r="T179" s="69">
        <v>48327</v>
      </c>
      <c r="U179" s="69">
        <v>46200</v>
      </c>
      <c r="V179">
        <v>41254</v>
      </c>
      <c r="W179" t="s">
        <v>701</v>
      </c>
      <c r="X179">
        <v>38057</v>
      </c>
      <c r="Y179" s="69">
        <v>46521</v>
      </c>
      <c r="Z179" t="s">
        <v>207</v>
      </c>
      <c r="AB179" t="s">
        <v>226</v>
      </c>
    </row>
    <row r="180" spans="1:28" ht="15.75" customHeight="1" x14ac:dyDescent="0.6">
      <c r="A180">
        <v>179</v>
      </c>
      <c r="B180" t="s">
        <v>702</v>
      </c>
      <c r="C180">
        <v>1900</v>
      </c>
      <c r="D180" t="s">
        <v>179</v>
      </c>
      <c r="E180" s="69">
        <v>45800</v>
      </c>
      <c r="F180" t="s">
        <v>201</v>
      </c>
      <c r="G180" t="s">
        <v>202</v>
      </c>
      <c r="H180">
        <v>15.5</v>
      </c>
      <c r="I180" s="69">
        <v>45797</v>
      </c>
      <c r="J180">
        <v>2025</v>
      </c>
      <c r="K180" s="69">
        <v>45812</v>
      </c>
      <c r="L180" t="s">
        <v>654</v>
      </c>
      <c r="M180" t="s">
        <v>571</v>
      </c>
      <c r="N180" t="s">
        <v>204</v>
      </c>
      <c r="O180" s="69">
        <v>46568</v>
      </c>
      <c r="P180" t="s">
        <v>703</v>
      </c>
      <c r="Q180" s="69">
        <v>46521</v>
      </c>
      <c r="R180" s="69">
        <v>46568</v>
      </c>
      <c r="S180" s="69">
        <v>46156</v>
      </c>
      <c r="T180" s="69">
        <v>48327</v>
      </c>
      <c r="U180" s="69">
        <v>46200</v>
      </c>
      <c r="V180">
        <v>41576</v>
      </c>
      <c r="W180" t="s">
        <v>704</v>
      </c>
      <c r="X180">
        <v>60189</v>
      </c>
      <c r="Y180" s="69">
        <v>46521</v>
      </c>
      <c r="Z180" t="s">
        <v>207</v>
      </c>
      <c r="AB180" t="s">
        <v>595</v>
      </c>
    </row>
    <row r="181" spans="1:28" ht="15.75" customHeight="1" x14ac:dyDescent="0.6">
      <c r="A181">
        <v>180</v>
      </c>
      <c r="B181" t="s">
        <v>705</v>
      </c>
      <c r="C181">
        <v>1900</v>
      </c>
      <c r="D181" t="s">
        <v>179</v>
      </c>
      <c r="E181" s="69">
        <v>45800</v>
      </c>
      <c r="F181" t="s">
        <v>201</v>
      </c>
      <c r="G181" t="s">
        <v>202</v>
      </c>
      <c r="H181">
        <v>15.5</v>
      </c>
      <c r="I181" s="69">
        <v>45797</v>
      </c>
      <c r="J181">
        <v>2025</v>
      </c>
      <c r="K181" s="69">
        <v>45812</v>
      </c>
      <c r="L181" t="s">
        <v>654</v>
      </c>
      <c r="M181" t="s">
        <v>571</v>
      </c>
      <c r="N181" t="s">
        <v>204</v>
      </c>
      <c r="O181" s="69">
        <v>46568</v>
      </c>
      <c r="P181" t="s">
        <v>706</v>
      </c>
      <c r="Q181" s="69">
        <v>46521</v>
      </c>
      <c r="R181" s="69">
        <v>46568</v>
      </c>
      <c r="S181" s="69">
        <v>46156</v>
      </c>
      <c r="T181" s="69">
        <v>48327</v>
      </c>
      <c r="U181" s="69">
        <v>46200</v>
      </c>
      <c r="V181">
        <v>41592</v>
      </c>
      <c r="W181" t="s">
        <v>707</v>
      </c>
      <c r="X181">
        <v>46977</v>
      </c>
      <c r="Y181" s="69">
        <v>46521</v>
      </c>
      <c r="Z181" t="s">
        <v>207</v>
      </c>
      <c r="AB181" t="s">
        <v>215</v>
      </c>
    </row>
    <row r="182" spans="1:28" ht="15.75" customHeight="1" x14ac:dyDescent="0.6">
      <c r="A182">
        <v>181</v>
      </c>
      <c r="B182" t="s">
        <v>708</v>
      </c>
      <c r="C182">
        <v>1900</v>
      </c>
      <c r="D182" t="s">
        <v>179</v>
      </c>
      <c r="E182" s="69">
        <v>45800</v>
      </c>
      <c r="F182" t="s">
        <v>201</v>
      </c>
      <c r="G182" t="s">
        <v>202</v>
      </c>
      <c r="H182">
        <v>15.5</v>
      </c>
      <c r="I182" s="69">
        <v>45797</v>
      </c>
      <c r="J182">
        <v>2025</v>
      </c>
      <c r="K182" s="69">
        <v>45812</v>
      </c>
      <c r="L182" t="s">
        <v>654</v>
      </c>
      <c r="M182" t="s">
        <v>571</v>
      </c>
      <c r="N182" t="s">
        <v>204</v>
      </c>
      <c r="O182" s="69">
        <v>46568</v>
      </c>
      <c r="P182" t="s">
        <v>709</v>
      </c>
      <c r="Q182" s="69">
        <v>46521</v>
      </c>
      <c r="R182" s="69">
        <v>46568</v>
      </c>
      <c r="S182" s="69">
        <v>46156</v>
      </c>
      <c r="T182" s="69">
        <v>48327</v>
      </c>
      <c r="U182" s="69">
        <v>46200</v>
      </c>
      <c r="V182">
        <v>41591</v>
      </c>
      <c r="W182" t="s">
        <v>710</v>
      </c>
      <c r="X182">
        <v>40888</v>
      </c>
      <c r="Y182" s="69">
        <v>46521</v>
      </c>
      <c r="Z182" t="s">
        <v>207</v>
      </c>
      <c r="AB182" t="s">
        <v>595</v>
      </c>
    </row>
    <row r="183" spans="1:28" ht="15.75" customHeight="1" x14ac:dyDescent="0.6">
      <c r="A183">
        <v>182</v>
      </c>
      <c r="B183" t="s">
        <v>711</v>
      </c>
      <c r="C183">
        <v>1900</v>
      </c>
      <c r="D183" t="s">
        <v>179</v>
      </c>
      <c r="E183" s="69">
        <v>45800</v>
      </c>
      <c r="F183" t="s">
        <v>201</v>
      </c>
      <c r="G183" t="s">
        <v>202</v>
      </c>
      <c r="H183">
        <v>15.5</v>
      </c>
      <c r="I183" s="69">
        <v>45797</v>
      </c>
      <c r="J183">
        <v>2025</v>
      </c>
      <c r="K183" s="69">
        <v>45812</v>
      </c>
      <c r="L183" t="s">
        <v>654</v>
      </c>
      <c r="M183" t="s">
        <v>571</v>
      </c>
      <c r="N183" t="s">
        <v>204</v>
      </c>
      <c r="O183" s="69">
        <v>46568</v>
      </c>
      <c r="P183" t="s">
        <v>712</v>
      </c>
      <c r="Q183" s="69">
        <v>46521</v>
      </c>
      <c r="R183" s="69">
        <v>46568</v>
      </c>
      <c r="S183" s="69">
        <v>46156</v>
      </c>
      <c r="T183" s="69">
        <v>48327</v>
      </c>
      <c r="U183" s="69">
        <v>46200</v>
      </c>
      <c r="V183">
        <v>41586</v>
      </c>
      <c r="W183" t="s">
        <v>713</v>
      </c>
      <c r="X183">
        <v>52799</v>
      </c>
      <c r="Y183" s="69">
        <v>46521</v>
      </c>
      <c r="Z183" t="s">
        <v>207</v>
      </c>
      <c r="AB183" t="s">
        <v>595</v>
      </c>
    </row>
    <row r="184" spans="1:28" ht="15.75" customHeight="1" x14ac:dyDescent="0.6">
      <c r="A184">
        <v>183</v>
      </c>
      <c r="B184" t="s">
        <v>714</v>
      </c>
      <c r="C184">
        <v>1900</v>
      </c>
      <c r="D184" t="s">
        <v>179</v>
      </c>
      <c r="E184" s="69">
        <v>45800</v>
      </c>
      <c r="F184" t="s">
        <v>201</v>
      </c>
      <c r="G184" t="s">
        <v>202</v>
      </c>
      <c r="H184">
        <v>15.5</v>
      </c>
      <c r="I184" s="69">
        <v>45797</v>
      </c>
      <c r="J184">
        <v>2025</v>
      </c>
      <c r="K184" s="69">
        <v>45812</v>
      </c>
      <c r="L184" t="s">
        <v>654</v>
      </c>
      <c r="M184" t="s">
        <v>571</v>
      </c>
      <c r="N184" t="s">
        <v>204</v>
      </c>
      <c r="O184" s="69">
        <v>46568</v>
      </c>
      <c r="P184" t="s">
        <v>715</v>
      </c>
      <c r="Q184" s="69">
        <v>46521</v>
      </c>
      <c r="R184" s="69">
        <v>46568</v>
      </c>
      <c r="S184" s="69">
        <v>46156</v>
      </c>
      <c r="T184" s="69">
        <v>48327</v>
      </c>
      <c r="U184" s="69">
        <v>46200</v>
      </c>
      <c r="V184">
        <v>41589</v>
      </c>
      <c r="W184" t="s">
        <v>716</v>
      </c>
      <c r="X184">
        <v>49180</v>
      </c>
      <c r="Y184" s="69">
        <v>46521</v>
      </c>
      <c r="Z184" t="s">
        <v>207</v>
      </c>
      <c r="AB184" t="s">
        <v>595</v>
      </c>
    </row>
    <row r="185" spans="1:28" ht="15.75" customHeight="1" x14ac:dyDescent="0.6">
      <c r="A185">
        <v>184</v>
      </c>
      <c r="B185" t="s">
        <v>717</v>
      </c>
      <c r="C185">
        <v>1900</v>
      </c>
      <c r="D185" t="s">
        <v>179</v>
      </c>
      <c r="E185" s="69">
        <v>45800</v>
      </c>
      <c r="F185" t="s">
        <v>201</v>
      </c>
      <c r="G185" t="s">
        <v>202</v>
      </c>
      <c r="H185">
        <v>15.5</v>
      </c>
      <c r="I185" s="69">
        <v>45797</v>
      </c>
      <c r="J185">
        <v>2025</v>
      </c>
      <c r="K185" s="69">
        <v>45812</v>
      </c>
      <c r="L185" t="s">
        <v>654</v>
      </c>
      <c r="M185" t="s">
        <v>571</v>
      </c>
      <c r="N185" t="s">
        <v>204</v>
      </c>
      <c r="O185" s="69">
        <v>46568</v>
      </c>
      <c r="P185" t="s">
        <v>718</v>
      </c>
      <c r="Q185" s="69">
        <v>46521</v>
      </c>
      <c r="R185" s="69">
        <v>46568</v>
      </c>
      <c r="S185" s="69">
        <v>46156</v>
      </c>
      <c r="T185" s="69">
        <v>48327</v>
      </c>
      <c r="U185" s="69">
        <v>46200</v>
      </c>
      <c r="V185">
        <v>41588</v>
      </c>
      <c r="W185" t="s">
        <v>719</v>
      </c>
      <c r="X185">
        <v>56702</v>
      </c>
      <c r="Y185" s="69">
        <v>46521</v>
      </c>
      <c r="Z185" t="s">
        <v>207</v>
      </c>
      <c r="AB185" t="s">
        <v>215</v>
      </c>
    </row>
    <row r="186" spans="1:28" ht="15.75" customHeight="1" x14ac:dyDescent="0.6">
      <c r="A186">
        <v>185</v>
      </c>
      <c r="B186" t="s">
        <v>720</v>
      </c>
      <c r="C186">
        <v>1900</v>
      </c>
      <c r="D186" t="s">
        <v>179</v>
      </c>
      <c r="E186" s="69">
        <v>45800</v>
      </c>
      <c r="F186" t="s">
        <v>201</v>
      </c>
      <c r="G186" t="s">
        <v>202</v>
      </c>
      <c r="H186">
        <v>15.5</v>
      </c>
      <c r="I186" s="69">
        <v>45797</v>
      </c>
      <c r="J186">
        <v>2025</v>
      </c>
      <c r="K186" s="69">
        <v>45812</v>
      </c>
      <c r="L186" t="s">
        <v>654</v>
      </c>
      <c r="M186" t="s">
        <v>571</v>
      </c>
      <c r="N186" t="s">
        <v>204</v>
      </c>
      <c r="O186" s="69">
        <v>46568</v>
      </c>
      <c r="P186" t="s">
        <v>721</v>
      </c>
      <c r="Q186" s="69">
        <v>46521</v>
      </c>
      <c r="R186" s="69">
        <v>46568</v>
      </c>
      <c r="S186" s="69">
        <v>46156</v>
      </c>
      <c r="T186" s="69">
        <v>48327</v>
      </c>
      <c r="U186" s="69">
        <v>46200</v>
      </c>
      <c r="V186">
        <v>41587</v>
      </c>
      <c r="W186" t="s">
        <v>722</v>
      </c>
      <c r="X186">
        <v>38023</v>
      </c>
      <c r="Y186" s="69">
        <v>46521</v>
      </c>
      <c r="Z186" t="s">
        <v>207</v>
      </c>
      <c r="AB186" t="s">
        <v>215</v>
      </c>
    </row>
    <row r="187" spans="1:28" ht="15.75" customHeight="1" x14ac:dyDescent="0.6">
      <c r="A187">
        <v>186</v>
      </c>
      <c r="B187" t="s">
        <v>723</v>
      </c>
      <c r="C187">
        <v>1900</v>
      </c>
      <c r="D187" t="s">
        <v>179</v>
      </c>
      <c r="E187" s="69">
        <v>45800</v>
      </c>
      <c r="F187" t="s">
        <v>201</v>
      </c>
      <c r="G187" t="s">
        <v>202</v>
      </c>
      <c r="H187">
        <v>15.5</v>
      </c>
      <c r="I187" s="69">
        <v>45797</v>
      </c>
      <c r="J187">
        <v>2025</v>
      </c>
      <c r="K187" s="69">
        <v>45812</v>
      </c>
      <c r="L187" t="s">
        <v>654</v>
      </c>
      <c r="M187" t="s">
        <v>571</v>
      </c>
      <c r="N187" t="s">
        <v>204</v>
      </c>
      <c r="O187" s="69">
        <v>46568</v>
      </c>
      <c r="P187" t="s">
        <v>724</v>
      </c>
      <c r="Q187" s="69">
        <v>46521</v>
      </c>
      <c r="R187" s="69">
        <v>46568</v>
      </c>
      <c r="S187" s="69">
        <v>46156</v>
      </c>
      <c r="T187" s="69">
        <v>48327</v>
      </c>
      <c r="U187" s="69">
        <v>46200</v>
      </c>
      <c r="V187">
        <v>41590</v>
      </c>
      <c r="W187" t="s">
        <v>725</v>
      </c>
      <c r="X187">
        <v>27303</v>
      </c>
      <c r="Y187" s="69">
        <v>46521</v>
      </c>
      <c r="Z187" t="s">
        <v>207</v>
      </c>
      <c r="AB187" t="s">
        <v>215</v>
      </c>
    </row>
    <row r="188" spans="1:28" ht="15.75" customHeight="1" x14ac:dyDescent="0.6">
      <c r="A188">
        <v>187</v>
      </c>
      <c r="B188" t="s">
        <v>726</v>
      </c>
      <c r="C188">
        <v>785</v>
      </c>
      <c r="D188" t="s">
        <v>569</v>
      </c>
      <c r="E188" s="69">
        <v>45810</v>
      </c>
      <c r="F188" t="s">
        <v>201</v>
      </c>
      <c r="G188" t="s">
        <v>202</v>
      </c>
      <c r="H188">
        <v>13</v>
      </c>
      <c r="I188" s="69">
        <v>45773</v>
      </c>
      <c r="J188">
        <v>2025</v>
      </c>
      <c r="K188" s="69">
        <v>45788</v>
      </c>
      <c r="L188" t="s">
        <v>570</v>
      </c>
      <c r="M188" t="s">
        <v>571</v>
      </c>
      <c r="N188" t="s">
        <v>204</v>
      </c>
      <c r="O188" s="69">
        <v>46568</v>
      </c>
      <c r="P188" t="s">
        <v>727</v>
      </c>
      <c r="Q188" s="69">
        <v>46515</v>
      </c>
      <c r="R188" s="69">
        <v>46568</v>
      </c>
      <c r="S188" s="69">
        <v>46150</v>
      </c>
      <c r="T188" s="69">
        <v>48332</v>
      </c>
      <c r="U188" s="69">
        <v>46200</v>
      </c>
      <c r="V188">
        <v>37116</v>
      </c>
      <c r="W188" t="s">
        <v>728</v>
      </c>
      <c r="X188">
        <v>29864</v>
      </c>
      <c r="Y188" s="69">
        <v>46515</v>
      </c>
      <c r="Z188" t="s">
        <v>207</v>
      </c>
      <c r="AB188" t="s">
        <v>208</v>
      </c>
    </row>
    <row r="189" spans="1:28" ht="15.75" customHeight="1" x14ac:dyDescent="0.6">
      <c r="A189">
        <v>188</v>
      </c>
      <c r="B189" t="s">
        <v>729</v>
      </c>
      <c r="C189">
        <v>785</v>
      </c>
      <c r="D189" t="s">
        <v>569</v>
      </c>
      <c r="E189" s="69">
        <v>45810</v>
      </c>
      <c r="F189" t="s">
        <v>201</v>
      </c>
      <c r="G189" t="s">
        <v>202</v>
      </c>
      <c r="H189">
        <v>13</v>
      </c>
      <c r="I189" s="69">
        <v>45773</v>
      </c>
      <c r="J189">
        <v>2025</v>
      </c>
      <c r="K189" s="69">
        <v>45788</v>
      </c>
      <c r="L189" t="s">
        <v>570</v>
      </c>
      <c r="M189" t="s">
        <v>571</v>
      </c>
      <c r="N189" t="s">
        <v>204</v>
      </c>
      <c r="O189" s="69">
        <v>46568</v>
      </c>
      <c r="P189" t="s">
        <v>730</v>
      </c>
      <c r="Q189" s="69">
        <v>46515</v>
      </c>
      <c r="R189" s="69">
        <v>46568</v>
      </c>
      <c r="S189" s="69">
        <v>46150</v>
      </c>
      <c r="T189" s="69">
        <v>48332</v>
      </c>
      <c r="U189" s="69">
        <v>46200</v>
      </c>
      <c r="V189">
        <v>37117</v>
      </c>
      <c r="W189" t="s">
        <v>731</v>
      </c>
      <c r="X189">
        <v>50263</v>
      </c>
      <c r="Y189" s="69">
        <v>46515</v>
      </c>
      <c r="Z189" t="s">
        <v>207</v>
      </c>
      <c r="AB189" t="s">
        <v>208</v>
      </c>
    </row>
    <row r="190" spans="1:28" ht="15.75" customHeight="1" x14ac:dyDescent="0.6">
      <c r="A190">
        <v>189</v>
      </c>
      <c r="B190" t="s">
        <v>732</v>
      </c>
      <c r="C190">
        <v>785</v>
      </c>
      <c r="D190" t="s">
        <v>569</v>
      </c>
      <c r="E190" s="69">
        <v>45810</v>
      </c>
      <c r="F190" t="s">
        <v>201</v>
      </c>
      <c r="G190" t="s">
        <v>202</v>
      </c>
      <c r="H190">
        <v>13</v>
      </c>
      <c r="I190" s="69">
        <v>45773</v>
      </c>
      <c r="J190">
        <v>2025</v>
      </c>
      <c r="K190" s="69">
        <v>45788</v>
      </c>
      <c r="L190" t="s">
        <v>570</v>
      </c>
      <c r="M190" t="s">
        <v>571</v>
      </c>
      <c r="N190" t="s">
        <v>204</v>
      </c>
      <c r="O190" s="69">
        <v>46568</v>
      </c>
      <c r="P190" t="s">
        <v>733</v>
      </c>
      <c r="Q190" s="69">
        <v>46515</v>
      </c>
      <c r="R190" s="69">
        <v>46568</v>
      </c>
      <c r="S190" s="69">
        <v>46150</v>
      </c>
      <c r="T190" s="69">
        <v>48332</v>
      </c>
      <c r="U190" s="69">
        <v>46200</v>
      </c>
      <c r="V190">
        <v>37118</v>
      </c>
      <c r="W190" t="s">
        <v>734</v>
      </c>
      <c r="X190">
        <v>33544</v>
      </c>
      <c r="Y190" s="69">
        <v>46515</v>
      </c>
      <c r="Z190" t="s">
        <v>207</v>
      </c>
      <c r="AB190" t="s">
        <v>208</v>
      </c>
    </row>
    <row r="191" spans="1:28" ht="15.75" customHeight="1" x14ac:dyDescent="0.6">
      <c r="A191">
        <v>190</v>
      </c>
      <c r="B191" t="s">
        <v>735</v>
      </c>
      <c r="C191">
        <v>785</v>
      </c>
      <c r="D191" t="s">
        <v>569</v>
      </c>
      <c r="E191" s="69">
        <v>45810</v>
      </c>
      <c r="F191" t="s">
        <v>201</v>
      </c>
      <c r="G191" t="s">
        <v>202</v>
      </c>
      <c r="H191">
        <v>13</v>
      </c>
      <c r="I191" s="69">
        <v>45773</v>
      </c>
      <c r="J191">
        <v>2025</v>
      </c>
      <c r="K191" s="69">
        <v>45788</v>
      </c>
      <c r="L191" t="s">
        <v>570</v>
      </c>
      <c r="M191" t="s">
        <v>571</v>
      </c>
      <c r="N191" t="s">
        <v>204</v>
      </c>
      <c r="O191" s="69">
        <v>46568</v>
      </c>
      <c r="P191" t="s">
        <v>736</v>
      </c>
      <c r="Q191" s="69">
        <v>46515</v>
      </c>
      <c r="R191" s="69">
        <v>46568</v>
      </c>
      <c r="S191" s="69">
        <v>46150</v>
      </c>
      <c r="T191" s="69">
        <v>48332</v>
      </c>
      <c r="U191" s="69">
        <v>46200</v>
      </c>
      <c r="V191">
        <v>37119</v>
      </c>
      <c r="W191" t="s">
        <v>737</v>
      </c>
      <c r="X191">
        <v>31740</v>
      </c>
      <c r="Y191" s="69">
        <v>46515</v>
      </c>
      <c r="Z191" t="s">
        <v>207</v>
      </c>
      <c r="AB191" t="s">
        <v>208</v>
      </c>
    </row>
    <row r="192" spans="1:28" ht="15.75" customHeight="1" x14ac:dyDescent="0.6">
      <c r="A192">
        <v>191</v>
      </c>
      <c r="B192" t="s">
        <v>738</v>
      </c>
      <c r="C192">
        <v>785</v>
      </c>
      <c r="D192" t="s">
        <v>569</v>
      </c>
      <c r="E192" s="69">
        <v>45810</v>
      </c>
      <c r="F192" t="s">
        <v>201</v>
      </c>
      <c r="G192" t="s">
        <v>202</v>
      </c>
      <c r="H192">
        <v>13</v>
      </c>
      <c r="I192" s="69">
        <v>45773</v>
      </c>
      <c r="J192">
        <v>2025</v>
      </c>
      <c r="K192" s="69">
        <v>45788</v>
      </c>
      <c r="L192" t="s">
        <v>570</v>
      </c>
      <c r="M192" t="s">
        <v>571</v>
      </c>
      <c r="N192" t="s">
        <v>204</v>
      </c>
      <c r="O192" s="69">
        <v>46568</v>
      </c>
      <c r="P192" t="s">
        <v>739</v>
      </c>
      <c r="Q192" s="69">
        <v>46515</v>
      </c>
      <c r="R192" s="69">
        <v>46568</v>
      </c>
      <c r="S192" s="69">
        <v>46150</v>
      </c>
      <c r="T192" s="69">
        <v>48332</v>
      </c>
      <c r="U192" s="69">
        <v>46200</v>
      </c>
      <c r="V192">
        <v>37171</v>
      </c>
      <c r="W192" t="s">
        <v>740</v>
      </c>
      <c r="X192">
        <v>49771</v>
      </c>
      <c r="Y192" s="69">
        <v>46515</v>
      </c>
      <c r="Z192" t="s">
        <v>207</v>
      </c>
      <c r="AB192" t="s">
        <v>208</v>
      </c>
    </row>
    <row r="193" spans="1:28" ht="15.75" customHeight="1" x14ac:dyDescent="0.6">
      <c r="A193">
        <v>192</v>
      </c>
      <c r="B193" t="s">
        <v>741</v>
      </c>
      <c r="C193">
        <v>785</v>
      </c>
      <c r="D193" t="s">
        <v>569</v>
      </c>
      <c r="E193" s="69">
        <v>45810</v>
      </c>
      <c r="F193" t="s">
        <v>201</v>
      </c>
      <c r="G193" t="s">
        <v>202</v>
      </c>
      <c r="H193">
        <v>13</v>
      </c>
      <c r="I193" s="69">
        <v>45773</v>
      </c>
      <c r="J193">
        <v>2025</v>
      </c>
      <c r="K193" s="69">
        <v>45788</v>
      </c>
      <c r="L193" t="s">
        <v>570</v>
      </c>
      <c r="M193" t="s">
        <v>571</v>
      </c>
      <c r="N193" t="s">
        <v>204</v>
      </c>
      <c r="O193" s="69">
        <v>46568</v>
      </c>
      <c r="P193" t="s">
        <v>742</v>
      </c>
      <c r="Q193" s="69">
        <v>46515</v>
      </c>
      <c r="R193" s="69">
        <v>46568</v>
      </c>
      <c r="S193" s="69">
        <v>46150</v>
      </c>
      <c r="T193" s="69">
        <v>48332</v>
      </c>
      <c r="U193" s="69">
        <v>46200</v>
      </c>
      <c r="V193">
        <v>37170</v>
      </c>
      <c r="W193" t="s">
        <v>743</v>
      </c>
      <c r="X193">
        <v>37041</v>
      </c>
      <c r="Y193" s="69">
        <v>46515</v>
      </c>
      <c r="Z193" t="s">
        <v>207</v>
      </c>
      <c r="AB193" t="s">
        <v>208</v>
      </c>
    </row>
    <row r="194" spans="1:28" ht="15.75" customHeight="1" x14ac:dyDescent="0.6">
      <c r="A194">
        <v>193</v>
      </c>
      <c r="B194" t="s">
        <v>744</v>
      </c>
      <c r="C194">
        <v>785</v>
      </c>
      <c r="D194" t="s">
        <v>569</v>
      </c>
      <c r="E194" s="69">
        <v>45810</v>
      </c>
      <c r="F194" t="s">
        <v>201</v>
      </c>
      <c r="G194" t="s">
        <v>202</v>
      </c>
      <c r="H194">
        <v>13</v>
      </c>
      <c r="I194" s="69">
        <v>45773</v>
      </c>
      <c r="J194">
        <v>2025</v>
      </c>
      <c r="K194" s="69">
        <v>45788</v>
      </c>
      <c r="L194" t="s">
        <v>570</v>
      </c>
      <c r="M194" t="s">
        <v>571</v>
      </c>
      <c r="N194" t="s">
        <v>204</v>
      </c>
      <c r="O194" s="69">
        <v>46568</v>
      </c>
      <c r="P194" t="s">
        <v>745</v>
      </c>
      <c r="Q194" s="69">
        <v>46515</v>
      </c>
      <c r="R194" s="69">
        <v>46568</v>
      </c>
      <c r="S194" s="69">
        <v>46150</v>
      </c>
      <c r="T194" s="69">
        <v>48332</v>
      </c>
      <c r="U194" s="69">
        <v>46200</v>
      </c>
      <c r="V194">
        <v>37172</v>
      </c>
      <c r="W194" t="s">
        <v>746</v>
      </c>
      <c r="X194">
        <v>31430</v>
      </c>
      <c r="Y194" s="69">
        <v>46515</v>
      </c>
      <c r="Z194" t="s">
        <v>207</v>
      </c>
      <c r="AB194" t="s">
        <v>208</v>
      </c>
    </row>
    <row r="195" spans="1:28" ht="15.75" customHeight="1" x14ac:dyDescent="0.6">
      <c r="A195">
        <v>194</v>
      </c>
      <c r="B195" t="s">
        <v>747</v>
      </c>
      <c r="C195">
        <v>785</v>
      </c>
      <c r="D195" t="s">
        <v>569</v>
      </c>
      <c r="E195" s="69">
        <v>45810</v>
      </c>
      <c r="F195" t="s">
        <v>201</v>
      </c>
      <c r="G195" t="s">
        <v>202</v>
      </c>
      <c r="H195">
        <v>13</v>
      </c>
      <c r="I195" s="69">
        <v>45773</v>
      </c>
      <c r="J195">
        <v>2025</v>
      </c>
      <c r="K195" s="69">
        <v>45788</v>
      </c>
      <c r="L195" t="s">
        <v>570</v>
      </c>
      <c r="M195" t="s">
        <v>571</v>
      </c>
      <c r="N195" t="s">
        <v>204</v>
      </c>
      <c r="O195" s="69">
        <v>46568</v>
      </c>
      <c r="P195" t="s">
        <v>748</v>
      </c>
      <c r="Q195" s="69">
        <v>46515</v>
      </c>
      <c r="R195" s="69">
        <v>46568</v>
      </c>
      <c r="S195" s="69">
        <v>46150</v>
      </c>
      <c r="T195" s="69">
        <v>48332</v>
      </c>
      <c r="U195" s="69">
        <v>46200</v>
      </c>
      <c r="V195">
        <v>37174</v>
      </c>
      <c r="W195" t="s">
        <v>749</v>
      </c>
      <c r="X195">
        <v>31753</v>
      </c>
      <c r="Y195" s="69">
        <v>46515</v>
      </c>
      <c r="Z195" t="s">
        <v>207</v>
      </c>
      <c r="AB195" t="s">
        <v>208</v>
      </c>
    </row>
    <row r="196" spans="1:28" ht="15.75" customHeight="1" x14ac:dyDescent="0.6">
      <c r="A196">
        <v>195</v>
      </c>
      <c r="B196" t="s">
        <v>750</v>
      </c>
      <c r="C196">
        <v>785</v>
      </c>
      <c r="D196" t="s">
        <v>569</v>
      </c>
      <c r="E196" s="69">
        <v>45810</v>
      </c>
      <c r="F196" t="s">
        <v>201</v>
      </c>
      <c r="G196" t="s">
        <v>202</v>
      </c>
      <c r="H196">
        <v>13</v>
      </c>
      <c r="I196" s="69">
        <v>45773</v>
      </c>
      <c r="J196">
        <v>2025</v>
      </c>
      <c r="K196" s="69">
        <v>45788</v>
      </c>
      <c r="L196" t="s">
        <v>570</v>
      </c>
      <c r="M196" t="s">
        <v>571</v>
      </c>
      <c r="N196" t="s">
        <v>204</v>
      </c>
      <c r="O196" s="69">
        <v>46568</v>
      </c>
      <c r="P196" t="s">
        <v>751</v>
      </c>
      <c r="Q196" s="69">
        <v>46515</v>
      </c>
      <c r="R196" s="69">
        <v>46568</v>
      </c>
      <c r="S196" s="69">
        <v>46150</v>
      </c>
      <c r="T196" s="69">
        <v>48332</v>
      </c>
      <c r="U196" s="69">
        <v>46200</v>
      </c>
      <c r="V196">
        <v>37173</v>
      </c>
      <c r="W196" t="s">
        <v>752</v>
      </c>
      <c r="X196">
        <v>42761</v>
      </c>
      <c r="Y196" s="69">
        <v>46515</v>
      </c>
      <c r="Z196" t="s">
        <v>207</v>
      </c>
      <c r="AB196" t="s">
        <v>208</v>
      </c>
    </row>
    <row r="197" spans="1:28" ht="15.75" customHeight="1" x14ac:dyDescent="0.6">
      <c r="A197">
        <v>196</v>
      </c>
      <c r="B197" t="s">
        <v>753</v>
      </c>
      <c r="C197">
        <v>785</v>
      </c>
      <c r="D197" t="s">
        <v>569</v>
      </c>
      <c r="E197" s="69">
        <v>45810</v>
      </c>
      <c r="F197" t="s">
        <v>201</v>
      </c>
      <c r="G197" t="s">
        <v>202</v>
      </c>
      <c r="H197">
        <v>13</v>
      </c>
      <c r="I197" s="69">
        <v>45773</v>
      </c>
      <c r="J197">
        <v>2025</v>
      </c>
      <c r="K197" s="69">
        <v>45788</v>
      </c>
      <c r="L197" t="s">
        <v>570</v>
      </c>
      <c r="M197" t="s">
        <v>571</v>
      </c>
      <c r="N197" t="s">
        <v>204</v>
      </c>
      <c r="O197" s="69">
        <v>46568</v>
      </c>
      <c r="P197" t="s">
        <v>754</v>
      </c>
      <c r="Q197" s="69">
        <v>46515</v>
      </c>
      <c r="R197" s="69">
        <v>46568</v>
      </c>
      <c r="S197" s="69">
        <v>46150</v>
      </c>
      <c r="T197" s="69">
        <v>48332</v>
      </c>
      <c r="U197" s="69">
        <v>46200</v>
      </c>
      <c r="V197">
        <v>37175</v>
      </c>
      <c r="W197" t="s">
        <v>755</v>
      </c>
      <c r="X197">
        <v>28487</v>
      </c>
      <c r="Y197" s="69">
        <v>46515</v>
      </c>
      <c r="Z197" t="s">
        <v>207</v>
      </c>
      <c r="AB197" t="s">
        <v>208</v>
      </c>
    </row>
    <row r="198" spans="1:28" ht="15.75" customHeight="1" x14ac:dyDescent="0.6">
      <c r="A198">
        <v>197</v>
      </c>
      <c r="B198" t="s">
        <v>756</v>
      </c>
      <c r="C198">
        <v>785</v>
      </c>
      <c r="D198" t="s">
        <v>569</v>
      </c>
      <c r="E198" s="69">
        <v>45833</v>
      </c>
      <c r="F198" t="s">
        <v>201</v>
      </c>
      <c r="G198" t="s">
        <v>202</v>
      </c>
      <c r="H198">
        <v>13</v>
      </c>
      <c r="I198" s="69">
        <v>45806</v>
      </c>
      <c r="J198">
        <v>2025</v>
      </c>
      <c r="K198" s="69">
        <v>45821</v>
      </c>
      <c r="L198" t="s">
        <v>654</v>
      </c>
      <c r="M198" t="s">
        <v>571</v>
      </c>
      <c r="N198" t="s">
        <v>204</v>
      </c>
      <c r="O198" s="69">
        <v>46200</v>
      </c>
      <c r="P198" t="s">
        <v>757</v>
      </c>
      <c r="Q198" s="69">
        <v>46534</v>
      </c>
      <c r="R198" s="69">
        <v>46167</v>
      </c>
      <c r="S198" s="69">
        <v>46169</v>
      </c>
      <c r="T198" s="69">
        <v>48376</v>
      </c>
      <c r="U198" s="69">
        <v>46200</v>
      </c>
      <c r="V198">
        <v>5000055394</v>
      </c>
      <c r="W198" t="s">
        <v>758</v>
      </c>
      <c r="X198">
        <v>36246</v>
      </c>
      <c r="Y198" s="69">
        <v>46534</v>
      </c>
      <c r="Z198" t="s">
        <v>207</v>
      </c>
      <c r="AB198" t="s">
        <v>208</v>
      </c>
    </row>
    <row r="199" spans="1:28" ht="15.75" customHeight="1" x14ac:dyDescent="0.6">
      <c r="A199">
        <v>198</v>
      </c>
      <c r="B199" t="s">
        <v>759</v>
      </c>
      <c r="C199">
        <v>785</v>
      </c>
      <c r="D199" t="s">
        <v>569</v>
      </c>
      <c r="E199" s="69">
        <v>45833</v>
      </c>
      <c r="F199" t="s">
        <v>201</v>
      </c>
      <c r="G199" t="s">
        <v>202</v>
      </c>
      <c r="H199">
        <v>13</v>
      </c>
      <c r="I199" s="69">
        <v>45806</v>
      </c>
      <c r="J199">
        <v>2025</v>
      </c>
      <c r="K199" s="69">
        <v>45821</v>
      </c>
      <c r="L199" t="s">
        <v>654</v>
      </c>
      <c r="M199" t="s">
        <v>571</v>
      </c>
      <c r="N199" t="s">
        <v>204</v>
      </c>
      <c r="O199" s="69">
        <v>46200</v>
      </c>
      <c r="P199" t="s">
        <v>760</v>
      </c>
      <c r="Q199" s="69">
        <v>46534</v>
      </c>
      <c r="R199" s="69">
        <v>46167</v>
      </c>
      <c r="S199" s="69">
        <v>46169</v>
      </c>
      <c r="T199" s="69">
        <v>48376</v>
      </c>
      <c r="U199" s="69">
        <v>46200</v>
      </c>
      <c r="V199">
        <v>5000055382</v>
      </c>
      <c r="W199" t="s">
        <v>761</v>
      </c>
      <c r="X199">
        <v>32817</v>
      </c>
      <c r="Y199" s="69">
        <v>46534</v>
      </c>
      <c r="Z199" t="s">
        <v>207</v>
      </c>
      <c r="AB199" t="s">
        <v>208</v>
      </c>
    </row>
    <row r="200" spans="1:28" ht="15.75" customHeight="1" x14ac:dyDescent="0.6">
      <c r="A200">
        <v>199</v>
      </c>
      <c r="B200" t="s">
        <v>762</v>
      </c>
      <c r="C200">
        <v>785</v>
      </c>
      <c r="D200" t="s">
        <v>569</v>
      </c>
      <c r="E200" s="69">
        <v>45833</v>
      </c>
      <c r="F200" t="s">
        <v>201</v>
      </c>
      <c r="G200" t="s">
        <v>202</v>
      </c>
      <c r="H200">
        <v>13</v>
      </c>
      <c r="I200" s="69">
        <v>45806</v>
      </c>
      <c r="J200">
        <v>2025</v>
      </c>
      <c r="K200" s="69">
        <v>45821</v>
      </c>
      <c r="L200" t="s">
        <v>654</v>
      </c>
      <c r="M200" t="s">
        <v>571</v>
      </c>
      <c r="N200" t="s">
        <v>204</v>
      </c>
      <c r="O200" s="69">
        <v>46200</v>
      </c>
      <c r="P200" t="s">
        <v>763</v>
      </c>
      <c r="Q200" s="69">
        <v>46534</v>
      </c>
      <c r="R200" s="69">
        <v>46167</v>
      </c>
      <c r="S200" s="69">
        <v>46169</v>
      </c>
      <c r="T200" s="69">
        <v>48376</v>
      </c>
      <c r="U200" s="69">
        <v>46200</v>
      </c>
      <c r="V200">
        <v>5000055376</v>
      </c>
      <c r="W200" t="s">
        <v>764</v>
      </c>
      <c r="X200">
        <v>24596</v>
      </c>
      <c r="Y200" s="69">
        <v>46534</v>
      </c>
      <c r="Z200" t="s">
        <v>207</v>
      </c>
      <c r="AB200" t="s">
        <v>208</v>
      </c>
    </row>
    <row r="201" spans="1:28" ht="15.75" customHeight="1" x14ac:dyDescent="0.6">
      <c r="A201">
        <v>200</v>
      </c>
      <c r="B201" t="s">
        <v>765</v>
      </c>
      <c r="C201">
        <v>785</v>
      </c>
      <c r="D201" t="s">
        <v>569</v>
      </c>
      <c r="E201" s="69">
        <v>45833</v>
      </c>
      <c r="F201" t="s">
        <v>201</v>
      </c>
      <c r="G201" t="s">
        <v>202</v>
      </c>
      <c r="H201">
        <v>13</v>
      </c>
      <c r="I201" s="69">
        <v>45806</v>
      </c>
      <c r="J201">
        <v>2025</v>
      </c>
      <c r="K201" s="69">
        <v>45821</v>
      </c>
      <c r="L201" t="s">
        <v>654</v>
      </c>
      <c r="M201" t="s">
        <v>571</v>
      </c>
      <c r="N201" t="s">
        <v>204</v>
      </c>
      <c r="O201" s="69">
        <v>46200</v>
      </c>
      <c r="P201" t="s">
        <v>766</v>
      </c>
      <c r="Q201" s="69">
        <v>46534</v>
      </c>
      <c r="R201" s="69">
        <v>46167</v>
      </c>
      <c r="S201" s="69">
        <v>46169</v>
      </c>
      <c r="T201" s="69">
        <v>48376</v>
      </c>
      <c r="U201" s="69">
        <v>46200</v>
      </c>
      <c r="V201">
        <v>5000055384</v>
      </c>
      <c r="W201" t="s">
        <v>767</v>
      </c>
      <c r="X201">
        <v>34992</v>
      </c>
      <c r="Y201" s="69">
        <v>46534</v>
      </c>
      <c r="Z201" t="s">
        <v>207</v>
      </c>
      <c r="AB201" t="s">
        <v>208</v>
      </c>
    </row>
    <row r="202" spans="1:28" ht="15.75" customHeight="1" x14ac:dyDescent="0.6">
      <c r="A202">
        <v>201</v>
      </c>
      <c r="B202" t="s">
        <v>768</v>
      </c>
      <c r="C202">
        <v>785</v>
      </c>
      <c r="D202" t="s">
        <v>569</v>
      </c>
      <c r="E202" s="69">
        <v>45833</v>
      </c>
      <c r="F202" t="s">
        <v>201</v>
      </c>
      <c r="G202" t="s">
        <v>202</v>
      </c>
      <c r="H202">
        <v>13</v>
      </c>
      <c r="I202" s="69">
        <v>45806</v>
      </c>
      <c r="J202">
        <v>2025</v>
      </c>
      <c r="K202" s="69">
        <v>45821</v>
      </c>
      <c r="L202" t="s">
        <v>654</v>
      </c>
      <c r="M202" t="s">
        <v>571</v>
      </c>
      <c r="N202" t="s">
        <v>204</v>
      </c>
      <c r="O202" s="69">
        <v>46200</v>
      </c>
      <c r="P202" t="s">
        <v>769</v>
      </c>
      <c r="Q202" s="69">
        <v>46534</v>
      </c>
      <c r="R202" s="69">
        <v>46167</v>
      </c>
      <c r="S202" s="69">
        <v>46169</v>
      </c>
      <c r="T202" s="69">
        <v>48376</v>
      </c>
      <c r="U202" s="69">
        <v>46200</v>
      </c>
      <c r="V202">
        <v>5000055379</v>
      </c>
      <c r="W202" t="s">
        <v>770</v>
      </c>
      <c r="X202">
        <v>34152</v>
      </c>
      <c r="Y202" s="69">
        <v>46534</v>
      </c>
      <c r="Z202" t="s">
        <v>207</v>
      </c>
      <c r="AB202" t="s">
        <v>208</v>
      </c>
    </row>
    <row r="203" spans="1:28" ht="15.75" customHeight="1" x14ac:dyDescent="0.6">
      <c r="A203">
        <v>202</v>
      </c>
      <c r="B203" t="s">
        <v>771</v>
      </c>
      <c r="C203">
        <v>785</v>
      </c>
      <c r="D203" t="s">
        <v>569</v>
      </c>
      <c r="E203" s="69">
        <v>45833</v>
      </c>
      <c r="F203" t="s">
        <v>201</v>
      </c>
      <c r="G203" t="s">
        <v>202</v>
      </c>
      <c r="H203">
        <v>13</v>
      </c>
      <c r="I203" s="69">
        <v>45806</v>
      </c>
      <c r="J203">
        <v>2025</v>
      </c>
      <c r="K203" s="69">
        <v>45821</v>
      </c>
      <c r="L203" t="s">
        <v>654</v>
      </c>
      <c r="M203" t="s">
        <v>571</v>
      </c>
      <c r="N203" t="s">
        <v>204</v>
      </c>
      <c r="O203" s="69">
        <v>46200</v>
      </c>
      <c r="P203" t="s">
        <v>772</v>
      </c>
      <c r="Q203" s="69">
        <v>46534</v>
      </c>
      <c r="R203" s="69">
        <v>46167</v>
      </c>
      <c r="S203" s="69">
        <v>46169</v>
      </c>
      <c r="T203" s="69">
        <v>48376</v>
      </c>
      <c r="U203" s="69">
        <v>46200</v>
      </c>
      <c r="V203">
        <v>5000055377</v>
      </c>
      <c r="W203" t="s">
        <v>773</v>
      </c>
      <c r="X203">
        <v>32218</v>
      </c>
      <c r="Y203" s="69">
        <v>46534</v>
      </c>
      <c r="Z203" t="s">
        <v>207</v>
      </c>
      <c r="AB203" t="s">
        <v>208</v>
      </c>
    </row>
    <row r="204" spans="1:28" ht="15.75" customHeight="1" x14ac:dyDescent="0.6">
      <c r="A204">
        <v>203</v>
      </c>
      <c r="B204" t="s">
        <v>774</v>
      </c>
      <c r="C204">
        <v>785</v>
      </c>
      <c r="D204" t="s">
        <v>569</v>
      </c>
      <c r="E204" s="69">
        <v>45833</v>
      </c>
      <c r="F204" t="s">
        <v>201</v>
      </c>
      <c r="G204" t="s">
        <v>202</v>
      </c>
      <c r="H204">
        <v>13</v>
      </c>
      <c r="I204" s="69">
        <v>45806</v>
      </c>
      <c r="J204">
        <v>2025</v>
      </c>
      <c r="K204" s="69">
        <v>45821</v>
      </c>
      <c r="L204" t="s">
        <v>654</v>
      </c>
      <c r="M204" t="s">
        <v>571</v>
      </c>
      <c r="N204" t="s">
        <v>204</v>
      </c>
      <c r="O204" s="69">
        <v>46200</v>
      </c>
      <c r="P204" t="s">
        <v>775</v>
      </c>
      <c r="Q204" s="69">
        <v>46534</v>
      </c>
      <c r="R204" s="69">
        <v>46167</v>
      </c>
      <c r="S204" s="69">
        <v>46169</v>
      </c>
      <c r="T204" s="69">
        <v>48376</v>
      </c>
      <c r="U204" s="69">
        <v>46200</v>
      </c>
      <c r="V204">
        <v>5000055380</v>
      </c>
      <c r="W204" t="s">
        <v>776</v>
      </c>
      <c r="X204">
        <v>26852</v>
      </c>
      <c r="Y204" s="69">
        <v>46534</v>
      </c>
      <c r="Z204" t="s">
        <v>207</v>
      </c>
      <c r="AB204" t="s">
        <v>208</v>
      </c>
    </row>
    <row r="205" spans="1:28" ht="15.75" customHeight="1" x14ac:dyDescent="0.6">
      <c r="A205">
        <v>204</v>
      </c>
      <c r="B205" t="s">
        <v>777</v>
      </c>
      <c r="C205">
        <v>785</v>
      </c>
      <c r="D205" t="s">
        <v>569</v>
      </c>
      <c r="E205" s="69">
        <v>45833</v>
      </c>
      <c r="F205" t="s">
        <v>201</v>
      </c>
      <c r="G205" t="s">
        <v>202</v>
      </c>
      <c r="H205">
        <v>13</v>
      </c>
      <c r="I205" s="69">
        <v>45806</v>
      </c>
      <c r="J205">
        <v>2025</v>
      </c>
      <c r="K205" s="69">
        <v>45821</v>
      </c>
      <c r="L205" t="s">
        <v>654</v>
      </c>
      <c r="M205" t="s">
        <v>571</v>
      </c>
      <c r="N205" t="s">
        <v>204</v>
      </c>
      <c r="O205" s="69">
        <v>46200</v>
      </c>
      <c r="P205" t="s">
        <v>778</v>
      </c>
      <c r="Q205" s="69">
        <v>46534</v>
      </c>
      <c r="R205" s="69">
        <v>46167</v>
      </c>
      <c r="S205" s="69">
        <v>46169</v>
      </c>
      <c r="T205" s="69">
        <v>48376</v>
      </c>
      <c r="U205" s="69">
        <v>46200</v>
      </c>
      <c r="V205">
        <v>5000055381</v>
      </c>
      <c r="W205" t="s">
        <v>779</v>
      </c>
      <c r="X205">
        <v>36012</v>
      </c>
      <c r="Y205" s="69">
        <v>46534</v>
      </c>
      <c r="Z205" t="s">
        <v>207</v>
      </c>
      <c r="AB205" t="s">
        <v>208</v>
      </c>
    </row>
    <row r="206" spans="1:28" ht="15.75" customHeight="1" x14ac:dyDescent="0.6">
      <c r="A206">
        <v>205</v>
      </c>
      <c r="B206" t="s">
        <v>780</v>
      </c>
      <c r="C206">
        <v>785</v>
      </c>
      <c r="D206" t="s">
        <v>569</v>
      </c>
      <c r="E206" s="69">
        <v>45833</v>
      </c>
      <c r="F206" t="s">
        <v>201</v>
      </c>
      <c r="G206" t="s">
        <v>202</v>
      </c>
      <c r="H206">
        <v>13</v>
      </c>
      <c r="I206" s="69">
        <v>45806</v>
      </c>
      <c r="J206">
        <v>2025</v>
      </c>
      <c r="K206" s="69">
        <v>45821</v>
      </c>
      <c r="L206" t="s">
        <v>654</v>
      </c>
      <c r="M206" t="s">
        <v>571</v>
      </c>
      <c r="N206" t="s">
        <v>204</v>
      </c>
      <c r="O206" s="69">
        <v>46200</v>
      </c>
      <c r="P206" t="s">
        <v>781</v>
      </c>
      <c r="Q206" s="69">
        <v>46534</v>
      </c>
      <c r="R206" s="69">
        <v>46167</v>
      </c>
      <c r="S206" s="69">
        <v>46169</v>
      </c>
      <c r="T206" s="69">
        <v>48376</v>
      </c>
      <c r="U206" s="69">
        <v>46200</v>
      </c>
      <c r="V206">
        <v>5000055383</v>
      </c>
      <c r="W206" t="s">
        <v>782</v>
      </c>
      <c r="X206">
        <v>26285</v>
      </c>
      <c r="Y206" s="69">
        <v>46534</v>
      </c>
      <c r="Z206" t="s">
        <v>207</v>
      </c>
      <c r="AB206" t="s">
        <v>208</v>
      </c>
    </row>
    <row r="207" spans="1:28" ht="15.75" customHeight="1" x14ac:dyDescent="0.6">
      <c r="A207">
        <v>206</v>
      </c>
      <c r="B207" t="s">
        <v>783</v>
      </c>
      <c r="C207">
        <v>785</v>
      </c>
      <c r="D207" t="s">
        <v>569</v>
      </c>
      <c r="E207" s="69">
        <v>45833</v>
      </c>
      <c r="F207" t="s">
        <v>201</v>
      </c>
      <c r="G207" t="s">
        <v>202</v>
      </c>
      <c r="H207">
        <v>13</v>
      </c>
      <c r="I207" s="69">
        <v>45806</v>
      </c>
      <c r="J207">
        <v>2025</v>
      </c>
      <c r="K207" s="69">
        <v>45821</v>
      </c>
      <c r="L207" t="s">
        <v>654</v>
      </c>
      <c r="M207" t="s">
        <v>571</v>
      </c>
      <c r="N207" t="s">
        <v>204</v>
      </c>
      <c r="O207" s="69">
        <v>46200</v>
      </c>
      <c r="P207" t="s">
        <v>784</v>
      </c>
      <c r="Q207" s="69">
        <v>46534</v>
      </c>
      <c r="R207" s="69">
        <v>46167</v>
      </c>
      <c r="S207" s="69">
        <v>46169</v>
      </c>
      <c r="T207" s="69">
        <v>48376</v>
      </c>
      <c r="U207" s="69">
        <v>46200</v>
      </c>
      <c r="V207">
        <v>5000055378</v>
      </c>
      <c r="W207" t="s">
        <v>785</v>
      </c>
      <c r="X207">
        <v>41899</v>
      </c>
      <c r="Y207" s="69">
        <v>46534</v>
      </c>
      <c r="Z207" t="s">
        <v>207</v>
      </c>
      <c r="AB207" t="s">
        <v>208</v>
      </c>
    </row>
    <row r="208" spans="1:28" ht="15.75" customHeight="1" x14ac:dyDescent="0.6">
      <c r="A208">
        <v>207</v>
      </c>
      <c r="B208" t="s">
        <v>786</v>
      </c>
      <c r="C208">
        <v>1900</v>
      </c>
      <c r="D208" t="s">
        <v>179</v>
      </c>
      <c r="E208" s="69">
        <v>45817</v>
      </c>
      <c r="F208" t="s">
        <v>201</v>
      </c>
      <c r="G208" t="s">
        <v>202</v>
      </c>
      <c r="H208">
        <v>15.5</v>
      </c>
      <c r="I208" s="69">
        <v>45803</v>
      </c>
      <c r="J208">
        <v>2025</v>
      </c>
      <c r="K208" s="69">
        <v>45818</v>
      </c>
      <c r="L208" t="s">
        <v>654</v>
      </c>
      <c r="M208" t="s">
        <v>571</v>
      </c>
      <c r="N208" t="s">
        <v>204</v>
      </c>
      <c r="O208" s="69">
        <v>46568</v>
      </c>
      <c r="P208" t="s">
        <v>787</v>
      </c>
      <c r="Q208" s="69">
        <v>46532</v>
      </c>
      <c r="R208" s="69">
        <v>46568</v>
      </c>
      <c r="S208" s="69">
        <v>46167</v>
      </c>
      <c r="T208" s="69">
        <v>48361</v>
      </c>
      <c r="U208" s="69">
        <v>46200</v>
      </c>
      <c r="V208">
        <v>5000042577</v>
      </c>
      <c r="W208" t="s">
        <v>788</v>
      </c>
      <c r="X208">
        <v>30835</v>
      </c>
      <c r="Y208" s="69">
        <v>46532</v>
      </c>
      <c r="Z208" t="s">
        <v>207</v>
      </c>
      <c r="AB208" t="s">
        <v>595</v>
      </c>
    </row>
    <row r="209" spans="1:28" ht="15.75" customHeight="1" x14ac:dyDescent="0.6">
      <c r="A209">
        <v>208</v>
      </c>
      <c r="B209" t="s">
        <v>789</v>
      </c>
      <c r="C209">
        <v>1900</v>
      </c>
      <c r="D209" t="s">
        <v>179</v>
      </c>
      <c r="E209" s="69">
        <v>45817</v>
      </c>
      <c r="F209" t="s">
        <v>201</v>
      </c>
      <c r="G209" t="s">
        <v>202</v>
      </c>
      <c r="H209">
        <v>15.5</v>
      </c>
      <c r="I209" s="69">
        <v>45803</v>
      </c>
      <c r="J209">
        <v>2025</v>
      </c>
      <c r="K209" s="69">
        <v>45818</v>
      </c>
      <c r="L209" t="s">
        <v>654</v>
      </c>
      <c r="M209" t="s">
        <v>571</v>
      </c>
      <c r="N209" t="s">
        <v>204</v>
      </c>
      <c r="O209" s="69">
        <v>46568</v>
      </c>
      <c r="P209" t="s">
        <v>790</v>
      </c>
      <c r="Q209" s="69">
        <v>46532</v>
      </c>
      <c r="R209" s="69">
        <v>46568</v>
      </c>
      <c r="S209" s="69">
        <v>46167</v>
      </c>
      <c r="T209" s="69">
        <v>48361</v>
      </c>
      <c r="U209" s="69">
        <v>46200</v>
      </c>
      <c r="V209">
        <v>5000042580</v>
      </c>
      <c r="W209" t="s">
        <v>791</v>
      </c>
      <c r="X209">
        <v>40702</v>
      </c>
      <c r="Y209" s="69">
        <v>46532</v>
      </c>
      <c r="Z209" t="s">
        <v>207</v>
      </c>
      <c r="AB209" t="s">
        <v>595</v>
      </c>
    </row>
    <row r="210" spans="1:28" ht="15.75" customHeight="1" x14ac:dyDescent="0.6">
      <c r="A210">
        <v>209</v>
      </c>
      <c r="B210" t="s">
        <v>792</v>
      </c>
      <c r="C210">
        <v>1900</v>
      </c>
      <c r="D210" t="s">
        <v>179</v>
      </c>
      <c r="E210" s="69">
        <v>45817</v>
      </c>
      <c r="F210" t="s">
        <v>201</v>
      </c>
      <c r="G210" t="s">
        <v>202</v>
      </c>
      <c r="H210">
        <v>15.5</v>
      </c>
      <c r="I210" s="69">
        <v>45803</v>
      </c>
      <c r="J210">
        <v>2025</v>
      </c>
      <c r="K210" s="69">
        <v>45818</v>
      </c>
      <c r="L210" t="s">
        <v>654</v>
      </c>
      <c r="M210" t="s">
        <v>571</v>
      </c>
      <c r="N210" t="s">
        <v>204</v>
      </c>
      <c r="O210" s="69">
        <v>46568</v>
      </c>
      <c r="P210" t="s">
        <v>793</v>
      </c>
      <c r="Q210" s="69">
        <v>46532</v>
      </c>
      <c r="R210" s="69">
        <v>46568</v>
      </c>
      <c r="S210" s="69">
        <v>46167</v>
      </c>
      <c r="T210" s="69">
        <v>48361</v>
      </c>
      <c r="U210" s="69">
        <v>46200</v>
      </c>
      <c r="V210">
        <v>5000042579</v>
      </c>
      <c r="W210" t="s">
        <v>794</v>
      </c>
      <c r="X210">
        <v>55093</v>
      </c>
      <c r="Y210" s="69">
        <v>46532</v>
      </c>
      <c r="Z210" t="s">
        <v>207</v>
      </c>
      <c r="AB210" t="s">
        <v>595</v>
      </c>
    </row>
    <row r="211" spans="1:28" ht="15.75" customHeight="1" x14ac:dyDescent="0.6">
      <c r="A211">
        <v>210</v>
      </c>
      <c r="B211" t="s">
        <v>795</v>
      </c>
      <c r="C211">
        <v>1900</v>
      </c>
      <c r="D211" t="s">
        <v>179</v>
      </c>
      <c r="E211" s="69">
        <v>45817</v>
      </c>
      <c r="F211" t="s">
        <v>201</v>
      </c>
      <c r="G211" t="s">
        <v>202</v>
      </c>
      <c r="H211">
        <v>15.5</v>
      </c>
      <c r="I211" s="69">
        <v>45803</v>
      </c>
      <c r="J211">
        <v>2025</v>
      </c>
      <c r="K211" s="69">
        <v>45818</v>
      </c>
      <c r="L211" t="s">
        <v>654</v>
      </c>
      <c r="M211" t="s">
        <v>571</v>
      </c>
      <c r="N211" t="s">
        <v>204</v>
      </c>
      <c r="O211" s="69">
        <v>46568</v>
      </c>
      <c r="P211" t="s">
        <v>796</v>
      </c>
      <c r="Q211" s="69">
        <v>46532</v>
      </c>
      <c r="R211" s="69">
        <v>46568</v>
      </c>
      <c r="S211" s="69">
        <v>46167</v>
      </c>
      <c r="T211" s="69">
        <v>48361</v>
      </c>
      <c r="U211" s="69">
        <v>46200</v>
      </c>
      <c r="V211">
        <v>5000042594</v>
      </c>
      <c r="W211" t="s">
        <v>797</v>
      </c>
      <c r="X211">
        <v>48799</v>
      </c>
      <c r="Y211" s="69">
        <v>46532</v>
      </c>
      <c r="Z211" t="s">
        <v>207</v>
      </c>
      <c r="AB211" t="s">
        <v>215</v>
      </c>
    </row>
    <row r="212" spans="1:28" ht="15.75" customHeight="1" x14ac:dyDescent="0.6">
      <c r="A212">
        <v>211</v>
      </c>
      <c r="B212" t="s">
        <v>798</v>
      </c>
      <c r="C212">
        <v>1900</v>
      </c>
      <c r="D212" t="s">
        <v>179</v>
      </c>
      <c r="E212" s="69">
        <v>45817</v>
      </c>
      <c r="F212" t="s">
        <v>201</v>
      </c>
      <c r="G212" t="s">
        <v>202</v>
      </c>
      <c r="H212">
        <v>15.5</v>
      </c>
      <c r="I212" s="69">
        <v>45803</v>
      </c>
      <c r="J212">
        <v>2025</v>
      </c>
      <c r="K212" s="69">
        <v>45818</v>
      </c>
      <c r="L212" t="s">
        <v>654</v>
      </c>
      <c r="M212" t="s">
        <v>571</v>
      </c>
      <c r="N212" t="s">
        <v>204</v>
      </c>
      <c r="O212" s="69">
        <v>46568</v>
      </c>
      <c r="P212" t="s">
        <v>799</v>
      </c>
      <c r="Q212" s="69">
        <v>46532</v>
      </c>
      <c r="R212" s="69">
        <v>46568</v>
      </c>
      <c r="S212" s="69">
        <v>46167</v>
      </c>
      <c r="T212" s="69">
        <v>48361</v>
      </c>
      <c r="U212" s="69">
        <v>46200</v>
      </c>
      <c r="V212">
        <v>5000042592</v>
      </c>
      <c r="W212" t="s">
        <v>800</v>
      </c>
      <c r="X212">
        <v>43490</v>
      </c>
      <c r="Y212" s="69">
        <v>46532</v>
      </c>
      <c r="Z212" t="s">
        <v>207</v>
      </c>
      <c r="AB212" t="s">
        <v>215</v>
      </c>
    </row>
    <row r="213" spans="1:28" ht="15.75" customHeight="1" x14ac:dyDescent="0.6">
      <c r="A213">
        <v>212</v>
      </c>
      <c r="B213" t="s">
        <v>801</v>
      </c>
      <c r="C213">
        <v>1900</v>
      </c>
      <c r="D213" t="s">
        <v>179</v>
      </c>
      <c r="E213" s="69">
        <v>45817</v>
      </c>
      <c r="F213" t="s">
        <v>201</v>
      </c>
      <c r="G213" t="s">
        <v>202</v>
      </c>
      <c r="H213">
        <v>15.5</v>
      </c>
      <c r="I213" s="69">
        <v>45803</v>
      </c>
      <c r="J213">
        <v>2025</v>
      </c>
      <c r="K213" s="69">
        <v>45818</v>
      </c>
      <c r="L213" t="s">
        <v>654</v>
      </c>
      <c r="M213" t="s">
        <v>571</v>
      </c>
      <c r="N213" t="s">
        <v>204</v>
      </c>
      <c r="O213" s="69">
        <v>46568</v>
      </c>
      <c r="P213" t="s">
        <v>802</v>
      </c>
      <c r="Q213" s="69">
        <v>46532</v>
      </c>
      <c r="R213" s="69">
        <v>46568</v>
      </c>
      <c r="S213" s="69">
        <v>46167</v>
      </c>
      <c r="T213" s="69">
        <v>48361</v>
      </c>
      <c r="U213" s="69">
        <v>46200</v>
      </c>
      <c r="V213">
        <v>5000042578</v>
      </c>
      <c r="W213" t="s">
        <v>803</v>
      </c>
      <c r="X213">
        <v>46959</v>
      </c>
      <c r="Y213" s="69">
        <v>46532</v>
      </c>
      <c r="Z213" t="s">
        <v>207</v>
      </c>
      <c r="AB213" t="s">
        <v>215</v>
      </c>
    </row>
    <row r="214" spans="1:28" ht="15.75" customHeight="1" x14ac:dyDescent="0.6">
      <c r="A214">
        <v>213</v>
      </c>
      <c r="B214" t="s">
        <v>804</v>
      </c>
      <c r="C214">
        <v>1900</v>
      </c>
      <c r="D214" t="s">
        <v>179</v>
      </c>
      <c r="E214" s="69">
        <v>45817</v>
      </c>
      <c r="F214" t="s">
        <v>201</v>
      </c>
      <c r="G214" t="s">
        <v>202</v>
      </c>
      <c r="H214">
        <v>15.5</v>
      </c>
      <c r="I214" s="69">
        <v>45803</v>
      </c>
      <c r="J214">
        <v>2025</v>
      </c>
      <c r="K214" s="69">
        <v>45818</v>
      </c>
      <c r="L214" t="s">
        <v>654</v>
      </c>
      <c r="M214" t="s">
        <v>571</v>
      </c>
      <c r="N214" t="s">
        <v>204</v>
      </c>
      <c r="O214" s="69">
        <v>46568</v>
      </c>
      <c r="P214" t="s">
        <v>805</v>
      </c>
      <c r="Q214" s="69">
        <v>46532</v>
      </c>
      <c r="R214" s="69">
        <v>46568</v>
      </c>
      <c r="S214" s="69">
        <v>46167</v>
      </c>
      <c r="T214" s="69">
        <v>48361</v>
      </c>
      <c r="U214" s="69">
        <v>46200</v>
      </c>
      <c r="V214">
        <v>5000042578</v>
      </c>
      <c r="W214" t="s">
        <v>806</v>
      </c>
      <c r="X214">
        <v>56825</v>
      </c>
      <c r="Y214" s="69">
        <v>46532</v>
      </c>
      <c r="Z214" t="s">
        <v>207</v>
      </c>
      <c r="AB214" t="s">
        <v>595</v>
      </c>
    </row>
    <row r="215" spans="1:28" ht="15.75" customHeight="1" x14ac:dyDescent="0.6">
      <c r="A215">
        <v>214</v>
      </c>
      <c r="B215" t="s">
        <v>807</v>
      </c>
      <c r="C215">
        <v>1900</v>
      </c>
      <c r="D215" t="s">
        <v>179</v>
      </c>
      <c r="E215" s="69">
        <v>45817</v>
      </c>
      <c r="F215" t="s">
        <v>201</v>
      </c>
      <c r="G215" t="s">
        <v>202</v>
      </c>
      <c r="H215">
        <v>15.5</v>
      </c>
      <c r="I215" s="69">
        <v>45803</v>
      </c>
      <c r="J215">
        <v>2025</v>
      </c>
      <c r="K215" s="69">
        <v>45818</v>
      </c>
      <c r="L215" t="s">
        <v>654</v>
      </c>
      <c r="M215" t="s">
        <v>571</v>
      </c>
      <c r="N215" t="s">
        <v>204</v>
      </c>
      <c r="O215" s="69">
        <v>46568</v>
      </c>
      <c r="P215" t="s">
        <v>808</v>
      </c>
      <c r="Q215" s="69">
        <v>46532</v>
      </c>
      <c r="R215" s="69">
        <v>46568</v>
      </c>
      <c r="S215" s="69">
        <v>46167</v>
      </c>
      <c r="T215" s="69">
        <v>48361</v>
      </c>
      <c r="U215" s="69">
        <v>46200</v>
      </c>
      <c r="V215">
        <v>5000042581</v>
      </c>
      <c r="W215" t="s">
        <v>809</v>
      </c>
      <c r="X215">
        <v>64053</v>
      </c>
      <c r="Y215" s="69">
        <v>46532</v>
      </c>
      <c r="Z215" t="s">
        <v>207</v>
      </c>
      <c r="AB215" t="s">
        <v>595</v>
      </c>
    </row>
    <row r="216" spans="1:28" ht="15.75" customHeight="1" x14ac:dyDescent="0.6">
      <c r="A216">
        <v>215</v>
      </c>
      <c r="B216" t="s">
        <v>810</v>
      </c>
      <c r="C216">
        <v>1900</v>
      </c>
      <c r="D216" t="s">
        <v>179</v>
      </c>
      <c r="E216" s="69">
        <v>45839</v>
      </c>
      <c r="F216" t="s">
        <v>201</v>
      </c>
      <c r="G216" t="s">
        <v>202</v>
      </c>
      <c r="H216">
        <v>15.5</v>
      </c>
      <c r="I216" s="69">
        <v>45828</v>
      </c>
      <c r="J216">
        <v>2025</v>
      </c>
      <c r="K216" s="69">
        <v>45843</v>
      </c>
      <c r="L216" t="s">
        <v>654</v>
      </c>
      <c r="M216" t="s">
        <v>571</v>
      </c>
      <c r="N216" t="s">
        <v>204</v>
      </c>
      <c r="O216" s="69">
        <v>46295</v>
      </c>
      <c r="P216" t="s">
        <v>811</v>
      </c>
      <c r="Q216" s="69">
        <v>46560</v>
      </c>
      <c r="R216" s="69">
        <v>46198</v>
      </c>
      <c r="S216" s="69">
        <v>46167</v>
      </c>
      <c r="T216" s="69">
        <v>48387</v>
      </c>
      <c r="U216" s="69">
        <v>46295</v>
      </c>
      <c r="V216">
        <v>5000061533</v>
      </c>
      <c r="W216" t="s">
        <v>812</v>
      </c>
      <c r="X216">
        <v>41955</v>
      </c>
      <c r="Y216" s="69">
        <v>46560</v>
      </c>
      <c r="Z216" t="s">
        <v>207</v>
      </c>
      <c r="AB216" t="s">
        <v>215</v>
      </c>
    </row>
    <row r="217" spans="1:28" ht="15.75" customHeight="1" x14ac:dyDescent="0.6">
      <c r="A217">
        <v>216</v>
      </c>
      <c r="B217" t="s">
        <v>813</v>
      </c>
      <c r="C217">
        <v>1900</v>
      </c>
      <c r="D217" t="s">
        <v>179</v>
      </c>
      <c r="E217" s="69">
        <v>45839</v>
      </c>
      <c r="F217" t="s">
        <v>201</v>
      </c>
      <c r="G217" t="s">
        <v>226</v>
      </c>
      <c r="H217">
        <v>15.5</v>
      </c>
      <c r="I217" s="69">
        <v>45828</v>
      </c>
      <c r="J217">
        <v>2025</v>
      </c>
      <c r="K217" s="69">
        <v>45843</v>
      </c>
      <c r="L217" t="s">
        <v>654</v>
      </c>
      <c r="M217" t="s">
        <v>571</v>
      </c>
      <c r="N217" t="s">
        <v>204</v>
      </c>
      <c r="O217" s="69">
        <v>46295</v>
      </c>
      <c r="P217" t="s">
        <v>814</v>
      </c>
      <c r="Q217" s="69">
        <v>46560</v>
      </c>
      <c r="R217" s="69">
        <v>46198</v>
      </c>
      <c r="S217" s="69">
        <v>46167</v>
      </c>
      <c r="T217" s="69">
        <v>48387</v>
      </c>
      <c r="U217" s="69">
        <v>46295</v>
      </c>
      <c r="V217">
        <v>5000061535</v>
      </c>
      <c r="W217" t="s">
        <v>815</v>
      </c>
      <c r="X217">
        <v>47086</v>
      </c>
      <c r="Y217" s="69">
        <v>46560</v>
      </c>
      <c r="Z217" t="s">
        <v>207</v>
      </c>
      <c r="AB217" t="s">
        <v>226</v>
      </c>
    </row>
    <row r="218" spans="1:28" ht="15.75" customHeight="1" x14ac:dyDescent="0.6">
      <c r="A218">
        <v>217</v>
      </c>
      <c r="B218" t="s">
        <v>816</v>
      </c>
      <c r="C218">
        <v>1900</v>
      </c>
      <c r="D218" t="s">
        <v>179</v>
      </c>
      <c r="E218" s="69">
        <v>45839</v>
      </c>
      <c r="F218" t="s">
        <v>180</v>
      </c>
      <c r="G218" t="s">
        <v>180</v>
      </c>
      <c r="H218">
        <v>15.5</v>
      </c>
      <c r="I218" s="69">
        <v>45828</v>
      </c>
      <c r="J218">
        <v>2025</v>
      </c>
      <c r="K218" s="69">
        <v>45843</v>
      </c>
      <c r="L218" t="s">
        <v>654</v>
      </c>
      <c r="M218" t="s">
        <v>571</v>
      </c>
      <c r="N218" t="s">
        <v>204</v>
      </c>
      <c r="O218" s="69">
        <v>46295</v>
      </c>
      <c r="P218" t="s">
        <v>817</v>
      </c>
      <c r="Q218" s="69">
        <v>46560</v>
      </c>
      <c r="R218" s="69">
        <v>46198</v>
      </c>
      <c r="S218" s="69">
        <v>46167</v>
      </c>
      <c r="T218" s="69">
        <v>48387</v>
      </c>
      <c r="U218" s="69">
        <v>46295</v>
      </c>
      <c r="V218">
        <v>5000061534</v>
      </c>
      <c r="W218" t="s">
        <v>818</v>
      </c>
      <c r="X218">
        <v>42469</v>
      </c>
      <c r="Y218" s="69">
        <v>46560</v>
      </c>
      <c r="Z218" t="s">
        <v>207</v>
      </c>
      <c r="AB218" t="s">
        <v>188</v>
      </c>
    </row>
    <row r="219" spans="1:28" ht="15.75" customHeight="1" x14ac:dyDescent="0.6">
      <c r="A219">
        <v>218</v>
      </c>
      <c r="B219" t="s">
        <v>819</v>
      </c>
      <c r="C219">
        <v>1900</v>
      </c>
      <c r="D219" t="s">
        <v>179</v>
      </c>
      <c r="E219" s="69">
        <v>45839</v>
      </c>
      <c r="F219" t="s">
        <v>201</v>
      </c>
      <c r="G219" t="s">
        <v>202</v>
      </c>
      <c r="H219">
        <v>15.5</v>
      </c>
      <c r="I219" s="69">
        <v>45828</v>
      </c>
      <c r="J219">
        <v>2025</v>
      </c>
      <c r="K219" s="69">
        <v>45843</v>
      </c>
      <c r="L219" t="s">
        <v>654</v>
      </c>
      <c r="M219" t="s">
        <v>571</v>
      </c>
      <c r="N219" t="s">
        <v>204</v>
      </c>
      <c r="O219" s="69">
        <v>46295</v>
      </c>
      <c r="P219" t="s">
        <v>820</v>
      </c>
      <c r="Q219" s="69">
        <v>46560</v>
      </c>
      <c r="R219" s="69">
        <v>46198</v>
      </c>
      <c r="S219" s="69">
        <v>46167</v>
      </c>
      <c r="T219" s="69">
        <v>48387</v>
      </c>
      <c r="U219" s="69">
        <v>46295</v>
      </c>
      <c r="V219">
        <v>5000061529</v>
      </c>
      <c r="W219" t="s">
        <v>821</v>
      </c>
      <c r="X219">
        <v>42724</v>
      </c>
      <c r="Y219" s="69">
        <v>46560</v>
      </c>
      <c r="Z219" t="s">
        <v>207</v>
      </c>
      <c r="AB219" t="s">
        <v>595</v>
      </c>
    </row>
    <row r="220" spans="1:28" ht="15.75" customHeight="1" x14ac:dyDescent="0.6">
      <c r="A220">
        <v>219</v>
      </c>
      <c r="B220" t="s">
        <v>822</v>
      </c>
      <c r="C220">
        <v>1900</v>
      </c>
      <c r="D220" t="s">
        <v>179</v>
      </c>
      <c r="E220" s="69">
        <v>45839</v>
      </c>
      <c r="F220" t="s">
        <v>201</v>
      </c>
      <c r="G220" t="s">
        <v>202</v>
      </c>
      <c r="H220">
        <v>15.5</v>
      </c>
      <c r="I220" s="69">
        <v>45828</v>
      </c>
      <c r="J220">
        <v>2025</v>
      </c>
      <c r="K220" s="69">
        <v>45843</v>
      </c>
      <c r="L220" t="s">
        <v>654</v>
      </c>
      <c r="M220" t="s">
        <v>571</v>
      </c>
      <c r="N220" t="s">
        <v>204</v>
      </c>
      <c r="O220" s="69">
        <v>46295</v>
      </c>
      <c r="P220" t="s">
        <v>823</v>
      </c>
      <c r="Q220" s="69">
        <v>46560</v>
      </c>
      <c r="R220" s="69">
        <v>46198</v>
      </c>
      <c r="S220" s="69">
        <v>46167</v>
      </c>
      <c r="T220" s="69">
        <v>48387</v>
      </c>
      <c r="U220" s="69">
        <v>46295</v>
      </c>
      <c r="V220">
        <v>5000061536</v>
      </c>
      <c r="W220" t="s">
        <v>824</v>
      </c>
      <c r="X220">
        <v>33998</v>
      </c>
      <c r="Y220" s="69">
        <v>46560</v>
      </c>
      <c r="Z220" t="s">
        <v>207</v>
      </c>
      <c r="AB220" t="s">
        <v>595</v>
      </c>
    </row>
    <row r="221" spans="1:28" ht="15.75" customHeight="1" x14ac:dyDescent="0.6">
      <c r="A221">
        <v>220</v>
      </c>
      <c r="B221" t="s">
        <v>825</v>
      </c>
      <c r="C221">
        <v>1900</v>
      </c>
      <c r="D221" t="s">
        <v>179</v>
      </c>
      <c r="E221" s="69">
        <v>45839</v>
      </c>
      <c r="F221" t="s">
        <v>201</v>
      </c>
      <c r="G221" t="s">
        <v>202</v>
      </c>
      <c r="H221">
        <v>15.5</v>
      </c>
      <c r="I221" s="69">
        <v>45828</v>
      </c>
      <c r="J221">
        <v>2025</v>
      </c>
      <c r="K221" s="69">
        <v>45843</v>
      </c>
      <c r="L221" t="s">
        <v>654</v>
      </c>
      <c r="M221" t="s">
        <v>571</v>
      </c>
      <c r="N221" t="s">
        <v>204</v>
      </c>
      <c r="O221" s="69">
        <v>46295</v>
      </c>
      <c r="P221" t="s">
        <v>826</v>
      </c>
      <c r="Q221" s="69">
        <v>46560</v>
      </c>
      <c r="R221" s="69">
        <v>46198</v>
      </c>
      <c r="S221" s="69">
        <v>46167</v>
      </c>
      <c r="T221" s="69">
        <v>48387</v>
      </c>
      <c r="U221" s="69">
        <v>46295</v>
      </c>
      <c r="V221">
        <v>5000061531</v>
      </c>
      <c r="W221" t="s">
        <v>827</v>
      </c>
      <c r="X221">
        <v>36187</v>
      </c>
      <c r="Y221" s="69">
        <v>46560</v>
      </c>
      <c r="Z221" t="s">
        <v>207</v>
      </c>
      <c r="AB221" t="s">
        <v>595</v>
      </c>
    </row>
    <row r="222" spans="1:28" ht="15.75" customHeight="1" x14ac:dyDescent="0.6">
      <c r="A222">
        <v>221</v>
      </c>
      <c r="B222" s="73" t="s">
        <v>828</v>
      </c>
      <c r="C222">
        <v>1900</v>
      </c>
      <c r="D222" t="s">
        <v>179</v>
      </c>
      <c r="E222" s="69">
        <v>45847</v>
      </c>
      <c r="F222" t="s">
        <v>201</v>
      </c>
      <c r="G222" t="s">
        <v>202</v>
      </c>
      <c r="H222">
        <v>15.5</v>
      </c>
      <c r="I222" s="69">
        <v>45834</v>
      </c>
      <c r="J222">
        <v>2025</v>
      </c>
      <c r="K222" s="69">
        <v>45849</v>
      </c>
      <c r="L222" t="s">
        <v>654</v>
      </c>
      <c r="M222" t="s">
        <v>571</v>
      </c>
      <c r="N222" t="s">
        <v>204</v>
      </c>
      <c r="O222" s="69">
        <v>46295</v>
      </c>
      <c r="P222" t="s">
        <v>829</v>
      </c>
      <c r="Q222" s="69">
        <v>46564</v>
      </c>
      <c r="R222" s="69">
        <v>46198</v>
      </c>
      <c r="S222" s="69">
        <v>46167</v>
      </c>
      <c r="T222" s="69">
        <v>48396</v>
      </c>
      <c r="U222" s="69">
        <v>46295</v>
      </c>
      <c r="V222">
        <v>5000076186</v>
      </c>
      <c r="W222" t="s">
        <v>830</v>
      </c>
      <c r="X222">
        <v>22902</v>
      </c>
      <c r="Y222" s="69">
        <v>46564</v>
      </c>
      <c r="Z222" t="s">
        <v>207</v>
      </c>
      <c r="AB222" t="s">
        <v>595</v>
      </c>
    </row>
    <row r="223" spans="1:28" ht="15.75" customHeight="1" x14ac:dyDescent="0.6">
      <c r="A223">
        <v>222</v>
      </c>
      <c r="B223" t="s">
        <v>831</v>
      </c>
      <c r="C223">
        <v>1900</v>
      </c>
      <c r="D223" t="s">
        <v>179</v>
      </c>
      <c r="E223" s="69">
        <v>45847</v>
      </c>
      <c r="F223" t="s">
        <v>201</v>
      </c>
      <c r="G223" t="s">
        <v>202</v>
      </c>
      <c r="H223">
        <v>15.5</v>
      </c>
      <c r="I223" s="69">
        <v>45828</v>
      </c>
      <c r="J223">
        <v>2025</v>
      </c>
      <c r="K223" s="69">
        <v>45843</v>
      </c>
      <c r="L223" t="s">
        <v>654</v>
      </c>
      <c r="M223" t="s">
        <v>571</v>
      </c>
      <c r="N223" t="s">
        <v>204</v>
      </c>
      <c r="O223" s="69">
        <v>46295</v>
      </c>
      <c r="P223" t="s">
        <v>832</v>
      </c>
      <c r="Q223" s="69">
        <v>46560</v>
      </c>
      <c r="R223" s="69">
        <v>46198</v>
      </c>
      <c r="S223" s="69">
        <v>46167</v>
      </c>
      <c r="T223" s="69">
        <v>48387</v>
      </c>
      <c r="U223" s="69">
        <v>46295</v>
      </c>
      <c r="V223">
        <v>5000061118</v>
      </c>
      <c r="W223" t="s">
        <v>833</v>
      </c>
      <c r="X223">
        <v>38426</v>
      </c>
      <c r="Y223" s="69">
        <v>46560</v>
      </c>
      <c r="Z223" t="s">
        <v>207</v>
      </c>
      <c r="AB223" t="s">
        <v>595</v>
      </c>
    </row>
    <row r="224" spans="1:28" ht="15.75" customHeight="1" x14ac:dyDescent="0.6">
      <c r="A224">
        <v>223</v>
      </c>
      <c r="B224" t="s">
        <v>834</v>
      </c>
      <c r="C224">
        <v>1900</v>
      </c>
      <c r="D224" t="s">
        <v>179</v>
      </c>
      <c r="E224" s="69">
        <v>45847</v>
      </c>
      <c r="F224" t="s">
        <v>180</v>
      </c>
      <c r="G224" t="s">
        <v>180</v>
      </c>
      <c r="H224">
        <v>15.5</v>
      </c>
      <c r="I224" s="69">
        <v>45828</v>
      </c>
      <c r="J224">
        <v>2025</v>
      </c>
      <c r="K224" s="69">
        <v>45843</v>
      </c>
      <c r="L224" t="s">
        <v>654</v>
      </c>
      <c r="M224" t="s">
        <v>571</v>
      </c>
      <c r="N224" t="s">
        <v>204</v>
      </c>
      <c r="O224" s="69">
        <v>46295</v>
      </c>
      <c r="P224" t="s">
        <v>835</v>
      </c>
      <c r="Q224" s="69">
        <v>46560</v>
      </c>
      <c r="R224" s="69">
        <v>46198</v>
      </c>
      <c r="S224" s="69">
        <v>46167</v>
      </c>
      <c r="T224" s="69">
        <v>48387</v>
      </c>
      <c r="U224" s="69">
        <v>46295</v>
      </c>
      <c r="V224">
        <v>5000061543</v>
      </c>
      <c r="W224" t="s">
        <v>836</v>
      </c>
      <c r="X224">
        <v>53991</v>
      </c>
      <c r="Y224" s="69">
        <v>46560</v>
      </c>
      <c r="Z224" t="s">
        <v>207</v>
      </c>
      <c r="AB224" t="s">
        <v>188</v>
      </c>
    </row>
    <row r="225" spans="1:28" ht="15.75" customHeight="1" x14ac:dyDescent="0.6">
      <c r="A225">
        <v>224</v>
      </c>
      <c r="B225" t="s">
        <v>837</v>
      </c>
      <c r="C225">
        <v>1900</v>
      </c>
      <c r="D225" t="s">
        <v>179</v>
      </c>
      <c r="E225" s="69">
        <v>45847</v>
      </c>
      <c r="F225" t="s">
        <v>201</v>
      </c>
      <c r="G225" t="s">
        <v>202</v>
      </c>
      <c r="H225">
        <v>15.5</v>
      </c>
      <c r="I225" s="69">
        <v>45828</v>
      </c>
      <c r="J225">
        <v>2025</v>
      </c>
      <c r="K225" s="69">
        <v>45843</v>
      </c>
      <c r="L225" t="s">
        <v>654</v>
      </c>
      <c r="M225" t="s">
        <v>571</v>
      </c>
      <c r="N225" t="s">
        <v>204</v>
      </c>
      <c r="O225" s="69">
        <v>46295</v>
      </c>
      <c r="P225" t="s">
        <v>838</v>
      </c>
      <c r="Q225" s="69">
        <v>46560</v>
      </c>
      <c r="R225" s="69">
        <v>46198</v>
      </c>
      <c r="S225" s="69">
        <v>46167</v>
      </c>
      <c r="T225" s="69">
        <v>48387</v>
      </c>
      <c r="U225" s="69">
        <v>46295</v>
      </c>
      <c r="V225">
        <v>5000061532</v>
      </c>
      <c r="W225" t="s">
        <v>839</v>
      </c>
      <c r="X225">
        <v>37714</v>
      </c>
      <c r="Y225" s="69">
        <v>46560</v>
      </c>
      <c r="Z225" t="s">
        <v>207</v>
      </c>
      <c r="AB225" t="s">
        <v>595</v>
      </c>
    </row>
    <row r="226" spans="1:28" ht="15.75" customHeight="1" x14ac:dyDescent="0.6">
      <c r="A226">
        <v>225</v>
      </c>
      <c r="B226" s="73" t="s">
        <v>840</v>
      </c>
      <c r="C226">
        <v>1900</v>
      </c>
      <c r="D226" t="s">
        <v>179</v>
      </c>
      <c r="E226" s="69">
        <v>45847</v>
      </c>
      <c r="F226" t="s">
        <v>201</v>
      </c>
      <c r="G226" t="s">
        <v>202</v>
      </c>
      <c r="H226">
        <v>15.5</v>
      </c>
      <c r="I226" s="69">
        <v>45834</v>
      </c>
      <c r="J226">
        <v>2025</v>
      </c>
      <c r="K226" s="69">
        <v>45849</v>
      </c>
      <c r="L226" t="s">
        <v>654</v>
      </c>
      <c r="M226" t="s">
        <v>571</v>
      </c>
      <c r="N226" t="s">
        <v>204</v>
      </c>
      <c r="O226" s="69">
        <v>46295</v>
      </c>
      <c r="P226" t="s">
        <v>841</v>
      </c>
      <c r="Q226" s="69">
        <v>46564</v>
      </c>
      <c r="R226" s="69">
        <v>46198</v>
      </c>
      <c r="S226" s="69">
        <v>46295</v>
      </c>
      <c r="T226" s="69">
        <v>48396</v>
      </c>
      <c r="U226" s="69">
        <v>46295</v>
      </c>
      <c r="V226">
        <v>5000076185</v>
      </c>
      <c r="W226" t="s">
        <v>842</v>
      </c>
      <c r="X226">
        <v>43250</v>
      </c>
      <c r="Y226" s="69">
        <v>46564</v>
      </c>
      <c r="Z226" t="s">
        <v>207</v>
      </c>
      <c r="AB226" t="s">
        <v>595</v>
      </c>
    </row>
    <row r="227" spans="1:28" ht="15.75" customHeight="1" x14ac:dyDescent="0.6">
      <c r="A227">
        <v>226</v>
      </c>
      <c r="B227" s="73" t="s">
        <v>843</v>
      </c>
      <c r="C227">
        <v>1900</v>
      </c>
      <c r="D227" t="s">
        <v>179</v>
      </c>
      <c r="E227" s="69">
        <v>45847</v>
      </c>
      <c r="F227" t="s">
        <v>201</v>
      </c>
      <c r="G227" t="s">
        <v>202</v>
      </c>
      <c r="H227">
        <v>15.5</v>
      </c>
      <c r="I227" s="69">
        <v>45834</v>
      </c>
      <c r="J227">
        <v>2025</v>
      </c>
      <c r="K227" s="69">
        <v>45849</v>
      </c>
      <c r="L227" t="s">
        <v>654</v>
      </c>
      <c r="M227" t="s">
        <v>571</v>
      </c>
      <c r="N227" t="s">
        <v>204</v>
      </c>
      <c r="O227" s="69">
        <v>46295</v>
      </c>
      <c r="P227" t="s">
        <v>844</v>
      </c>
      <c r="Q227" s="69">
        <v>46564</v>
      </c>
      <c r="R227" s="69">
        <v>46198</v>
      </c>
      <c r="S227" s="69">
        <v>46295</v>
      </c>
      <c r="T227" s="69">
        <v>48396</v>
      </c>
      <c r="U227" s="69">
        <v>46295</v>
      </c>
      <c r="V227">
        <v>5000076189</v>
      </c>
      <c r="W227" t="s">
        <v>845</v>
      </c>
      <c r="X227">
        <v>28518</v>
      </c>
      <c r="Y227" s="69">
        <v>46564</v>
      </c>
      <c r="Z227" t="s">
        <v>207</v>
      </c>
      <c r="AB227" t="s">
        <v>595</v>
      </c>
    </row>
    <row r="228" spans="1:28" ht="15.75" customHeight="1" x14ac:dyDescent="0.6">
      <c r="A228">
        <v>227</v>
      </c>
      <c r="B228" s="73" t="s">
        <v>846</v>
      </c>
      <c r="C228">
        <v>1900</v>
      </c>
      <c r="D228" t="s">
        <v>179</v>
      </c>
      <c r="E228" s="69">
        <v>45847</v>
      </c>
      <c r="F228" t="s">
        <v>201</v>
      </c>
      <c r="G228" t="s">
        <v>226</v>
      </c>
      <c r="H228">
        <v>15.5</v>
      </c>
      <c r="I228" s="69">
        <v>45834</v>
      </c>
      <c r="J228">
        <v>2025</v>
      </c>
      <c r="K228" s="69">
        <v>45849</v>
      </c>
      <c r="L228" t="s">
        <v>654</v>
      </c>
      <c r="M228" t="s">
        <v>571</v>
      </c>
      <c r="N228" t="s">
        <v>204</v>
      </c>
      <c r="O228" s="69">
        <v>46295</v>
      </c>
      <c r="P228" t="s">
        <v>847</v>
      </c>
      <c r="Q228" s="69">
        <v>46564</v>
      </c>
      <c r="R228" s="69">
        <v>46198</v>
      </c>
      <c r="S228" s="69">
        <v>46295</v>
      </c>
      <c r="T228" s="69">
        <v>48396</v>
      </c>
      <c r="U228" s="69">
        <v>46295</v>
      </c>
      <c r="V228">
        <v>5000076188</v>
      </c>
      <c r="W228" t="s">
        <v>848</v>
      </c>
      <c r="X228">
        <v>41963</v>
      </c>
      <c r="Y228" s="69">
        <v>46564</v>
      </c>
      <c r="Z228" t="s">
        <v>207</v>
      </c>
      <c r="AB228" t="s">
        <v>226</v>
      </c>
    </row>
    <row r="229" spans="1:28" ht="15.75" customHeight="1" x14ac:dyDescent="0.6">
      <c r="A229">
        <v>228</v>
      </c>
      <c r="B229" s="73" t="s">
        <v>849</v>
      </c>
      <c r="C229">
        <v>1900</v>
      </c>
      <c r="D229" t="s">
        <v>179</v>
      </c>
      <c r="E229" s="69">
        <v>45847</v>
      </c>
      <c r="F229" t="s">
        <v>201</v>
      </c>
      <c r="G229" t="s">
        <v>202</v>
      </c>
      <c r="H229">
        <v>15.5</v>
      </c>
      <c r="I229" s="69">
        <v>45834</v>
      </c>
      <c r="J229">
        <v>2025</v>
      </c>
      <c r="K229" s="69">
        <v>45849</v>
      </c>
      <c r="L229" t="s">
        <v>654</v>
      </c>
      <c r="M229" t="s">
        <v>571</v>
      </c>
      <c r="N229" t="s">
        <v>204</v>
      </c>
      <c r="O229" s="69">
        <v>46295</v>
      </c>
      <c r="P229" t="s">
        <v>850</v>
      </c>
      <c r="Q229" s="69">
        <v>46564</v>
      </c>
      <c r="R229" s="69">
        <v>46198</v>
      </c>
      <c r="S229" s="69">
        <v>46295</v>
      </c>
      <c r="T229" s="69">
        <v>48396</v>
      </c>
      <c r="U229" s="69">
        <v>46295</v>
      </c>
      <c r="V229">
        <v>5000076188</v>
      </c>
      <c r="W229" t="s">
        <v>851</v>
      </c>
      <c r="X229">
        <v>41449</v>
      </c>
      <c r="Y229" s="69">
        <v>46564</v>
      </c>
      <c r="Z229" t="s">
        <v>207</v>
      </c>
      <c r="AB229" t="s">
        <v>595</v>
      </c>
    </row>
    <row r="230" spans="1:28" ht="15.75" customHeight="1" x14ac:dyDescent="0.6">
      <c r="A230">
        <v>229</v>
      </c>
      <c r="B230" t="s">
        <v>852</v>
      </c>
      <c r="C230">
        <v>1900</v>
      </c>
      <c r="D230" t="s">
        <v>179</v>
      </c>
      <c r="E230" s="69">
        <v>45847</v>
      </c>
      <c r="F230" t="s">
        <v>201</v>
      </c>
      <c r="G230" t="s">
        <v>202</v>
      </c>
      <c r="H230">
        <v>15.5</v>
      </c>
      <c r="I230" s="69">
        <v>45828</v>
      </c>
      <c r="J230">
        <v>2025</v>
      </c>
      <c r="K230" s="69">
        <v>45843</v>
      </c>
      <c r="L230" t="s">
        <v>654</v>
      </c>
      <c r="M230" t="s">
        <v>571</v>
      </c>
      <c r="N230" t="s">
        <v>204</v>
      </c>
      <c r="O230" s="69">
        <v>46295</v>
      </c>
      <c r="P230" t="s">
        <v>853</v>
      </c>
      <c r="Q230" s="69">
        <v>46560</v>
      </c>
      <c r="R230" s="69">
        <v>46198</v>
      </c>
      <c r="S230" s="69">
        <v>46195</v>
      </c>
      <c r="T230" s="69">
        <v>48387</v>
      </c>
      <c r="U230" s="69">
        <v>46295</v>
      </c>
      <c r="V230">
        <v>5000061544</v>
      </c>
      <c r="W230" t="s">
        <v>854</v>
      </c>
      <c r="X230">
        <v>48291</v>
      </c>
      <c r="Y230" s="69">
        <v>46560</v>
      </c>
      <c r="Z230" t="s">
        <v>207</v>
      </c>
      <c r="AB230" t="s">
        <v>595</v>
      </c>
    </row>
    <row r="231" spans="1:28" ht="15.75" customHeight="1" x14ac:dyDescent="0.6">
      <c r="A231">
        <v>230</v>
      </c>
      <c r="B231" t="s">
        <v>855</v>
      </c>
      <c r="C231">
        <v>785</v>
      </c>
      <c r="D231" t="s">
        <v>569</v>
      </c>
      <c r="E231" s="69">
        <v>45862</v>
      </c>
      <c r="F231" t="s">
        <v>201</v>
      </c>
      <c r="G231" t="s">
        <v>202</v>
      </c>
      <c r="H231">
        <v>13</v>
      </c>
      <c r="I231" s="69">
        <v>45831</v>
      </c>
      <c r="J231">
        <v>2025</v>
      </c>
      <c r="K231" s="69">
        <v>45846</v>
      </c>
      <c r="L231" t="s">
        <v>654</v>
      </c>
      <c r="M231" t="s">
        <v>571</v>
      </c>
      <c r="N231" t="s">
        <v>204</v>
      </c>
      <c r="O231" s="69">
        <v>46295</v>
      </c>
      <c r="P231" t="s">
        <v>856</v>
      </c>
      <c r="Q231" s="69">
        <v>46549</v>
      </c>
      <c r="R231" s="69">
        <v>46213</v>
      </c>
      <c r="S231" s="69">
        <v>46184</v>
      </c>
      <c r="T231" s="69">
        <v>48280</v>
      </c>
      <c r="U231" s="69">
        <v>46295</v>
      </c>
      <c r="V231">
        <v>5000066976</v>
      </c>
      <c r="W231" t="s">
        <v>857</v>
      </c>
      <c r="X231">
        <v>31517</v>
      </c>
      <c r="Y231" s="69">
        <v>46549</v>
      </c>
      <c r="Z231" t="s">
        <v>207</v>
      </c>
      <c r="AB231" t="s">
        <v>208</v>
      </c>
    </row>
    <row r="232" spans="1:28" ht="15.75" customHeight="1" x14ac:dyDescent="0.6">
      <c r="A232">
        <v>231</v>
      </c>
      <c r="B232" s="73" t="s">
        <v>858</v>
      </c>
      <c r="C232">
        <v>785</v>
      </c>
      <c r="D232" t="s">
        <v>569</v>
      </c>
      <c r="E232" s="69">
        <v>45862</v>
      </c>
      <c r="F232" t="s">
        <v>201</v>
      </c>
      <c r="G232" t="s">
        <v>202</v>
      </c>
      <c r="H232">
        <v>13</v>
      </c>
      <c r="I232" s="69">
        <v>45831</v>
      </c>
      <c r="J232">
        <v>2025</v>
      </c>
      <c r="K232" s="69">
        <v>45846</v>
      </c>
      <c r="L232" t="s">
        <v>654</v>
      </c>
      <c r="M232" t="s">
        <v>571</v>
      </c>
      <c r="N232" t="s">
        <v>204</v>
      </c>
      <c r="O232" s="69">
        <v>46295</v>
      </c>
      <c r="P232" t="s">
        <v>859</v>
      </c>
      <c r="Q232" s="69">
        <v>46549</v>
      </c>
      <c r="R232" s="69">
        <v>46213</v>
      </c>
      <c r="S232" s="69">
        <v>46184</v>
      </c>
      <c r="T232" s="69">
        <v>48280</v>
      </c>
      <c r="U232" s="69">
        <v>46295</v>
      </c>
      <c r="V232">
        <v>5000066973</v>
      </c>
      <c r="W232" t="s">
        <v>860</v>
      </c>
      <c r="X232">
        <v>33234</v>
      </c>
      <c r="Y232" s="69">
        <v>46549</v>
      </c>
      <c r="Z232" t="s">
        <v>207</v>
      </c>
      <c r="AB232" t="s">
        <v>208</v>
      </c>
    </row>
    <row r="233" spans="1:28" ht="15.75" customHeight="1" x14ac:dyDescent="0.6">
      <c r="A233">
        <v>232</v>
      </c>
      <c r="B233" s="73" t="s">
        <v>861</v>
      </c>
      <c r="C233">
        <v>785</v>
      </c>
      <c r="D233" t="s">
        <v>569</v>
      </c>
      <c r="E233" s="69">
        <v>45862</v>
      </c>
      <c r="F233" t="s">
        <v>201</v>
      </c>
      <c r="G233" t="s">
        <v>202</v>
      </c>
      <c r="H233">
        <v>13</v>
      </c>
      <c r="I233" s="69">
        <v>45831</v>
      </c>
      <c r="J233">
        <v>2025</v>
      </c>
      <c r="K233" s="69">
        <v>45846</v>
      </c>
      <c r="L233" t="s">
        <v>654</v>
      </c>
      <c r="M233" t="s">
        <v>571</v>
      </c>
      <c r="N233" t="s">
        <v>204</v>
      </c>
      <c r="O233" s="69">
        <v>46295</v>
      </c>
      <c r="P233" t="s">
        <v>862</v>
      </c>
      <c r="Q233" s="69">
        <v>46549</v>
      </c>
      <c r="R233" s="69">
        <v>46213</v>
      </c>
      <c r="S233" s="69">
        <v>46184</v>
      </c>
      <c r="T233" s="69">
        <v>48280</v>
      </c>
      <c r="U233" s="69">
        <v>46295</v>
      </c>
      <c r="V233">
        <v>5000066969</v>
      </c>
      <c r="W233" t="s">
        <v>863</v>
      </c>
      <c r="X233">
        <v>20851</v>
      </c>
      <c r="Y233" s="69">
        <v>46549</v>
      </c>
      <c r="Z233" t="s">
        <v>207</v>
      </c>
      <c r="AB233" t="s">
        <v>208</v>
      </c>
    </row>
    <row r="234" spans="1:28" ht="15.75" customHeight="1" x14ac:dyDescent="0.6">
      <c r="A234">
        <v>233</v>
      </c>
      <c r="B234" s="73" t="s">
        <v>864</v>
      </c>
      <c r="C234">
        <v>785</v>
      </c>
      <c r="D234" t="s">
        <v>569</v>
      </c>
      <c r="E234" s="69">
        <v>45862</v>
      </c>
      <c r="F234" t="s">
        <v>201</v>
      </c>
      <c r="G234" t="s">
        <v>202</v>
      </c>
      <c r="H234">
        <v>13</v>
      </c>
      <c r="I234" s="69">
        <v>45831</v>
      </c>
      <c r="J234">
        <v>2025</v>
      </c>
      <c r="K234" s="69">
        <v>45846</v>
      </c>
      <c r="L234" t="s">
        <v>654</v>
      </c>
      <c r="M234" t="s">
        <v>571</v>
      </c>
      <c r="N234" t="s">
        <v>204</v>
      </c>
      <c r="O234" s="69">
        <v>46295</v>
      </c>
      <c r="P234" t="s">
        <v>865</v>
      </c>
      <c r="Q234" s="69">
        <v>46549</v>
      </c>
      <c r="R234" s="69">
        <v>46213</v>
      </c>
      <c r="S234" s="69">
        <v>46184</v>
      </c>
      <c r="T234" s="69">
        <v>48280</v>
      </c>
      <c r="U234" s="69">
        <v>46295</v>
      </c>
      <c r="V234">
        <v>5000066968</v>
      </c>
      <c r="W234" t="s">
        <v>866</v>
      </c>
      <c r="X234">
        <v>28866</v>
      </c>
      <c r="Y234" s="69">
        <v>46549</v>
      </c>
      <c r="Z234" t="s">
        <v>207</v>
      </c>
      <c r="AA234" t="s">
        <v>509</v>
      </c>
      <c r="AB234" t="s">
        <v>208</v>
      </c>
    </row>
    <row r="235" spans="1:28" ht="15.75" customHeight="1" x14ac:dyDescent="0.6">
      <c r="A235">
        <v>234</v>
      </c>
      <c r="B235" s="73" t="s">
        <v>867</v>
      </c>
      <c r="C235">
        <v>785</v>
      </c>
      <c r="D235" t="s">
        <v>569</v>
      </c>
      <c r="E235" s="69">
        <v>45862</v>
      </c>
      <c r="F235" t="s">
        <v>201</v>
      </c>
      <c r="G235" t="s">
        <v>202</v>
      </c>
      <c r="H235">
        <v>13</v>
      </c>
      <c r="I235" s="69">
        <v>45831</v>
      </c>
      <c r="J235">
        <v>2025</v>
      </c>
      <c r="K235" s="69">
        <v>45846</v>
      </c>
      <c r="L235" t="s">
        <v>654</v>
      </c>
      <c r="M235" t="s">
        <v>571</v>
      </c>
      <c r="N235" t="s">
        <v>204</v>
      </c>
      <c r="O235" s="69">
        <v>46295</v>
      </c>
      <c r="P235" t="s">
        <v>868</v>
      </c>
      <c r="Q235" s="69">
        <v>46549</v>
      </c>
      <c r="R235" s="69">
        <v>46213</v>
      </c>
      <c r="S235" s="69">
        <v>46184</v>
      </c>
      <c r="T235" s="69">
        <v>48280</v>
      </c>
      <c r="U235" s="69">
        <v>46295</v>
      </c>
      <c r="V235">
        <v>5000066972</v>
      </c>
      <c r="W235" t="s">
        <v>869</v>
      </c>
      <c r="X235">
        <v>15821</v>
      </c>
      <c r="Y235" s="69">
        <v>46549</v>
      </c>
      <c r="Z235" t="s">
        <v>207</v>
      </c>
      <c r="AB235" t="s">
        <v>208</v>
      </c>
    </row>
    <row r="236" spans="1:28" ht="15.75" customHeight="1" x14ac:dyDescent="0.6">
      <c r="A236">
        <v>235</v>
      </c>
      <c r="B236" t="s">
        <v>870</v>
      </c>
      <c r="C236">
        <v>785</v>
      </c>
      <c r="D236" t="s">
        <v>569</v>
      </c>
      <c r="E236" s="69">
        <v>45862</v>
      </c>
      <c r="F236" t="s">
        <v>201</v>
      </c>
      <c r="G236" t="s">
        <v>202</v>
      </c>
      <c r="H236">
        <v>13</v>
      </c>
      <c r="I236" s="69">
        <v>45831</v>
      </c>
      <c r="J236">
        <v>2025</v>
      </c>
      <c r="K236" s="69">
        <v>45846</v>
      </c>
      <c r="L236" t="s">
        <v>654</v>
      </c>
      <c r="M236" t="s">
        <v>571</v>
      </c>
      <c r="N236" t="s">
        <v>204</v>
      </c>
      <c r="O236" s="69">
        <v>46295</v>
      </c>
      <c r="P236" t="s">
        <v>871</v>
      </c>
      <c r="Q236" s="69">
        <v>46549</v>
      </c>
      <c r="R236" s="69">
        <v>46213</v>
      </c>
      <c r="S236" s="69">
        <v>46184</v>
      </c>
      <c r="T236" s="69">
        <v>48280</v>
      </c>
      <c r="U236" s="69">
        <v>46295</v>
      </c>
      <c r="V236">
        <v>5000067008</v>
      </c>
      <c r="W236" t="s">
        <v>872</v>
      </c>
      <c r="X236">
        <v>29514</v>
      </c>
      <c r="Y236" s="69">
        <v>46549</v>
      </c>
      <c r="Z236" t="s">
        <v>207</v>
      </c>
      <c r="AB236" t="s">
        <v>208</v>
      </c>
    </row>
    <row r="237" spans="1:28" ht="15.75" customHeight="1" x14ac:dyDescent="0.6">
      <c r="A237">
        <v>236</v>
      </c>
      <c r="B237" s="73" t="s">
        <v>873</v>
      </c>
      <c r="C237">
        <v>785</v>
      </c>
      <c r="D237" t="s">
        <v>569</v>
      </c>
      <c r="E237" s="69">
        <v>45862</v>
      </c>
      <c r="F237" t="s">
        <v>201</v>
      </c>
      <c r="G237" t="s">
        <v>202</v>
      </c>
      <c r="H237">
        <v>13</v>
      </c>
      <c r="I237" s="69">
        <v>45831</v>
      </c>
      <c r="J237">
        <v>2025</v>
      </c>
      <c r="K237" s="69">
        <v>45846</v>
      </c>
      <c r="L237" t="s">
        <v>654</v>
      </c>
      <c r="M237" t="s">
        <v>571</v>
      </c>
      <c r="N237" t="s">
        <v>204</v>
      </c>
      <c r="O237" s="69">
        <v>46295</v>
      </c>
      <c r="P237" t="s">
        <v>874</v>
      </c>
      <c r="Q237" s="69">
        <v>46549</v>
      </c>
      <c r="R237" s="69">
        <v>46213</v>
      </c>
      <c r="S237" s="69">
        <v>46184</v>
      </c>
      <c r="T237" s="69">
        <v>48280</v>
      </c>
      <c r="U237" s="69">
        <v>46295</v>
      </c>
      <c r="V237">
        <v>5000066975</v>
      </c>
      <c r="W237" t="s">
        <v>875</v>
      </c>
      <c r="X237">
        <v>29530</v>
      </c>
      <c r="Y237" s="69">
        <v>46549</v>
      </c>
      <c r="Z237" t="s">
        <v>207</v>
      </c>
      <c r="AB237" t="s">
        <v>208</v>
      </c>
    </row>
    <row r="238" spans="1:28" ht="15.75" customHeight="1" x14ac:dyDescent="0.6">
      <c r="A238">
        <v>237</v>
      </c>
      <c r="B238" s="73" t="s">
        <v>876</v>
      </c>
      <c r="C238">
        <v>785</v>
      </c>
      <c r="D238" t="s">
        <v>569</v>
      </c>
      <c r="E238" s="69">
        <v>45862</v>
      </c>
      <c r="F238" t="s">
        <v>201</v>
      </c>
      <c r="G238" t="s">
        <v>202</v>
      </c>
      <c r="H238">
        <v>13</v>
      </c>
      <c r="I238" s="69">
        <v>45831</v>
      </c>
      <c r="J238">
        <v>2025</v>
      </c>
      <c r="K238" s="69">
        <v>45846</v>
      </c>
      <c r="L238" t="s">
        <v>654</v>
      </c>
      <c r="M238" t="s">
        <v>571</v>
      </c>
      <c r="N238" t="s">
        <v>204</v>
      </c>
      <c r="O238" s="69">
        <v>46295</v>
      </c>
      <c r="P238" t="s">
        <v>877</v>
      </c>
      <c r="Q238" s="69">
        <v>46549</v>
      </c>
      <c r="R238" s="69">
        <v>46213</v>
      </c>
      <c r="S238" s="69">
        <v>46184</v>
      </c>
      <c r="T238" s="69">
        <v>48280</v>
      </c>
      <c r="U238" s="69">
        <v>46295</v>
      </c>
      <c r="V238">
        <v>5000066970</v>
      </c>
      <c r="W238" t="s">
        <v>878</v>
      </c>
      <c r="X238">
        <v>33379</v>
      </c>
      <c r="Y238" s="69">
        <v>46549</v>
      </c>
      <c r="Z238" t="s">
        <v>207</v>
      </c>
      <c r="AB238" t="s">
        <v>208</v>
      </c>
    </row>
    <row r="239" spans="1:28" ht="15.75" customHeight="1" x14ac:dyDescent="0.6">
      <c r="A239">
        <v>238</v>
      </c>
      <c r="B239" s="73" t="s">
        <v>879</v>
      </c>
      <c r="C239">
        <v>785</v>
      </c>
      <c r="D239" t="s">
        <v>569</v>
      </c>
      <c r="E239" s="69">
        <v>45862</v>
      </c>
      <c r="F239" t="s">
        <v>201</v>
      </c>
      <c r="G239" t="s">
        <v>202</v>
      </c>
      <c r="H239">
        <v>13</v>
      </c>
      <c r="I239" s="69">
        <v>45831</v>
      </c>
      <c r="J239">
        <v>2025</v>
      </c>
      <c r="K239" s="69">
        <v>45846</v>
      </c>
      <c r="L239" t="s">
        <v>654</v>
      </c>
      <c r="M239" t="s">
        <v>571</v>
      </c>
      <c r="N239" t="s">
        <v>204</v>
      </c>
      <c r="O239" s="69">
        <v>46295</v>
      </c>
      <c r="P239" t="s">
        <v>880</v>
      </c>
      <c r="Q239" s="69">
        <v>46549</v>
      </c>
      <c r="R239" s="69">
        <v>46213</v>
      </c>
      <c r="S239" s="69">
        <v>46184</v>
      </c>
      <c r="T239" s="69">
        <v>48280</v>
      </c>
      <c r="U239" s="69">
        <v>46295</v>
      </c>
      <c r="V239">
        <v>5000066974</v>
      </c>
      <c r="W239" t="s">
        <v>881</v>
      </c>
      <c r="X239">
        <v>28274</v>
      </c>
      <c r="Y239" s="69">
        <v>46549</v>
      </c>
      <c r="Z239" t="s">
        <v>207</v>
      </c>
      <c r="AB239" t="s">
        <v>208</v>
      </c>
    </row>
    <row r="240" spans="1:28" ht="15.75" customHeight="1" x14ac:dyDescent="0.6">
      <c r="A240">
        <v>239</v>
      </c>
      <c r="B240" s="73" t="s">
        <v>882</v>
      </c>
      <c r="C240">
        <v>785</v>
      </c>
      <c r="D240" t="s">
        <v>569</v>
      </c>
      <c r="E240" s="69">
        <v>45862</v>
      </c>
      <c r="F240" t="s">
        <v>201</v>
      </c>
      <c r="G240" t="s">
        <v>202</v>
      </c>
      <c r="H240">
        <v>13</v>
      </c>
      <c r="I240" s="69">
        <v>45831</v>
      </c>
      <c r="J240">
        <v>2025</v>
      </c>
      <c r="K240" s="69">
        <v>45846</v>
      </c>
      <c r="L240" t="s">
        <v>654</v>
      </c>
      <c r="M240" t="s">
        <v>571</v>
      </c>
      <c r="N240" t="s">
        <v>204</v>
      </c>
      <c r="O240" s="69">
        <v>46295</v>
      </c>
      <c r="P240" t="s">
        <v>883</v>
      </c>
      <c r="Q240" s="69">
        <v>46549</v>
      </c>
      <c r="R240" s="69">
        <v>46213</v>
      </c>
      <c r="S240" s="69">
        <v>46184</v>
      </c>
      <c r="T240" s="69">
        <v>48280</v>
      </c>
      <c r="U240" s="69">
        <v>46295</v>
      </c>
      <c r="V240">
        <v>5000066971</v>
      </c>
      <c r="W240" t="s">
        <v>884</v>
      </c>
      <c r="X240">
        <v>46203</v>
      </c>
      <c r="Y240" s="69">
        <v>46549</v>
      </c>
      <c r="Z240" t="s">
        <v>207</v>
      </c>
      <c r="AB240" t="s">
        <v>208</v>
      </c>
    </row>
    <row r="241" spans="1:28" ht="15.75" customHeight="1" x14ac:dyDescent="0.6">
      <c r="A241">
        <v>240</v>
      </c>
      <c r="B241" s="73" t="s">
        <v>885</v>
      </c>
      <c r="C241">
        <v>1900</v>
      </c>
      <c r="D241" t="s">
        <v>179</v>
      </c>
      <c r="E241" s="69">
        <v>45873</v>
      </c>
      <c r="F241" t="s">
        <v>201</v>
      </c>
      <c r="G241" t="s">
        <v>202</v>
      </c>
      <c r="H241">
        <v>15.5</v>
      </c>
      <c r="I241" s="69">
        <v>45860</v>
      </c>
      <c r="J241">
        <v>2025</v>
      </c>
      <c r="K241" s="69">
        <v>45875</v>
      </c>
      <c r="L241" t="s">
        <v>654</v>
      </c>
      <c r="M241" t="s">
        <v>571</v>
      </c>
      <c r="N241" t="s">
        <v>204</v>
      </c>
      <c r="O241" s="69">
        <v>46295</v>
      </c>
      <c r="P241" t="s">
        <v>886</v>
      </c>
      <c r="Q241" s="69">
        <v>46590</v>
      </c>
      <c r="R241" s="69">
        <v>46228</v>
      </c>
      <c r="S241" s="69">
        <v>46225</v>
      </c>
      <c r="T241" s="69">
        <v>48420</v>
      </c>
      <c r="U241" s="69">
        <v>46294</v>
      </c>
      <c r="V241">
        <v>5000077983</v>
      </c>
      <c r="W241" t="s">
        <v>887</v>
      </c>
      <c r="X241">
        <v>50467</v>
      </c>
      <c r="Y241" s="69">
        <v>46590</v>
      </c>
      <c r="Z241" t="s">
        <v>207</v>
      </c>
      <c r="AB241" t="s">
        <v>215</v>
      </c>
    </row>
    <row r="242" spans="1:28" ht="15.75" customHeight="1" x14ac:dyDescent="0.6">
      <c r="A242">
        <v>241</v>
      </c>
      <c r="B242" s="73" t="s">
        <v>888</v>
      </c>
      <c r="C242">
        <v>1900</v>
      </c>
      <c r="D242" t="s">
        <v>179</v>
      </c>
      <c r="E242" s="69">
        <v>45873</v>
      </c>
      <c r="F242" t="s">
        <v>180</v>
      </c>
      <c r="G242" t="s">
        <v>180</v>
      </c>
      <c r="H242">
        <v>15.5</v>
      </c>
      <c r="I242" s="69">
        <v>45860</v>
      </c>
      <c r="J242">
        <v>2025</v>
      </c>
      <c r="K242" s="69">
        <v>45875</v>
      </c>
      <c r="L242" t="s">
        <v>654</v>
      </c>
      <c r="M242" t="s">
        <v>571</v>
      </c>
      <c r="N242" t="s">
        <v>204</v>
      </c>
      <c r="O242" s="69">
        <v>46295</v>
      </c>
      <c r="P242" t="s">
        <v>889</v>
      </c>
      <c r="Q242" s="69">
        <v>46590</v>
      </c>
      <c r="R242" s="69">
        <v>46228</v>
      </c>
      <c r="S242" s="69">
        <v>46225</v>
      </c>
      <c r="T242" s="69">
        <v>48420</v>
      </c>
      <c r="U242" s="69">
        <v>46294</v>
      </c>
      <c r="V242">
        <v>5000077988</v>
      </c>
      <c r="W242" t="s">
        <v>890</v>
      </c>
      <c r="X242">
        <v>43139</v>
      </c>
      <c r="Y242" s="69">
        <v>46590</v>
      </c>
      <c r="Z242" t="s">
        <v>207</v>
      </c>
      <c r="AB242" t="s">
        <v>188</v>
      </c>
    </row>
    <row r="243" spans="1:28" ht="15.75" customHeight="1" x14ac:dyDescent="0.6">
      <c r="A243">
        <v>242</v>
      </c>
      <c r="B243" s="73" t="s">
        <v>891</v>
      </c>
      <c r="C243">
        <v>1900</v>
      </c>
      <c r="D243" t="s">
        <v>179</v>
      </c>
      <c r="E243" s="69">
        <v>45873</v>
      </c>
      <c r="F243" t="s">
        <v>201</v>
      </c>
      <c r="G243" t="s">
        <v>202</v>
      </c>
      <c r="H243">
        <v>15.5</v>
      </c>
      <c r="I243" s="69">
        <v>45860</v>
      </c>
      <c r="J243">
        <v>2025</v>
      </c>
      <c r="K243" s="69">
        <v>45875</v>
      </c>
      <c r="L243" t="s">
        <v>654</v>
      </c>
      <c r="M243" t="s">
        <v>571</v>
      </c>
      <c r="N243" t="s">
        <v>204</v>
      </c>
      <c r="O243" s="69">
        <v>46295</v>
      </c>
      <c r="P243" t="s">
        <v>892</v>
      </c>
      <c r="Q243" s="69">
        <v>46590</v>
      </c>
      <c r="R243" s="69">
        <v>46228</v>
      </c>
      <c r="S243" s="69">
        <v>46225</v>
      </c>
      <c r="T243" s="69">
        <v>48420</v>
      </c>
      <c r="U243" s="69">
        <v>46294</v>
      </c>
      <c r="V243">
        <v>5000077974</v>
      </c>
      <c r="W243" t="s">
        <v>893</v>
      </c>
      <c r="X243">
        <v>30642</v>
      </c>
      <c r="Y243" s="69">
        <v>46590</v>
      </c>
      <c r="Z243" t="s">
        <v>207</v>
      </c>
      <c r="AB243" t="s">
        <v>215</v>
      </c>
    </row>
    <row r="244" spans="1:28" ht="15.75" customHeight="1" x14ac:dyDescent="0.6">
      <c r="A244">
        <v>243</v>
      </c>
      <c r="B244" s="73" t="s">
        <v>894</v>
      </c>
      <c r="C244">
        <v>1900</v>
      </c>
      <c r="D244" t="s">
        <v>179</v>
      </c>
      <c r="E244" s="69">
        <v>45873</v>
      </c>
      <c r="F244" t="s">
        <v>201</v>
      </c>
      <c r="G244" t="s">
        <v>202</v>
      </c>
      <c r="H244">
        <v>15.5</v>
      </c>
      <c r="I244" s="69">
        <v>45860</v>
      </c>
      <c r="J244">
        <v>2025</v>
      </c>
      <c r="K244" s="69">
        <v>45875</v>
      </c>
      <c r="L244" t="s">
        <v>654</v>
      </c>
      <c r="M244" t="s">
        <v>571</v>
      </c>
      <c r="N244" t="s">
        <v>204</v>
      </c>
      <c r="O244" s="69">
        <v>46295</v>
      </c>
      <c r="P244" t="s">
        <v>895</v>
      </c>
      <c r="Q244" s="69">
        <v>46590</v>
      </c>
      <c r="R244" s="69">
        <v>46228</v>
      </c>
      <c r="S244" s="69">
        <v>46225</v>
      </c>
      <c r="T244" s="69">
        <v>48420</v>
      </c>
      <c r="U244" s="69">
        <v>46294</v>
      </c>
      <c r="V244">
        <v>5000077976</v>
      </c>
      <c r="W244" t="s">
        <v>896</v>
      </c>
      <c r="X244">
        <v>37890</v>
      </c>
      <c r="Y244" s="69">
        <v>46590</v>
      </c>
      <c r="Z244" t="s">
        <v>207</v>
      </c>
      <c r="AB244" t="s">
        <v>595</v>
      </c>
    </row>
    <row r="245" spans="1:28" ht="15.75" customHeight="1" x14ac:dyDescent="0.6">
      <c r="A245">
        <v>244</v>
      </c>
      <c r="B245" s="73" t="s">
        <v>897</v>
      </c>
      <c r="C245">
        <v>1900</v>
      </c>
      <c r="D245" t="s">
        <v>179</v>
      </c>
      <c r="E245" s="69">
        <v>45873</v>
      </c>
      <c r="F245" t="s">
        <v>201</v>
      </c>
      <c r="G245" t="s">
        <v>202</v>
      </c>
      <c r="H245">
        <v>15.5</v>
      </c>
      <c r="I245" s="69">
        <v>45860</v>
      </c>
      <c r="J245">
        <v>2025</v>
      </c>
      <c r="K245" s="69">
        <v>45875</v>
      </c>
      <c r="L245" t="s">
        <v>654</v>
      </c>
      <c r="M245" t="s">
        <v>571</v>
      </c>
      <c r="N245" t="s">
        <v>204</v>
      </c>
      <c r="O245" s="69">
        <v>46295</v>
      </c>
      <c r="P245" t="s">
        <v>898</v>
      </c>
      <c r="Q245" s="69">
        <v>46590</v>
      </c>
      <c r="R245" s="69">
        <v>46228</v>
      </c>
      <c r="S245" s="69">
        <v>46225</v>
      </c>
      <c r="T245" s="69">
        <v>48420</v>
      </c>
      <c r="U245" s="69">
        <v>46294</v>
      </c>
      <c r="V245">
        <v>5000077972</v>
      </c>
      <c r="W245" t="s">
        <v>899</v>
      </c>
      <c r="X245">
        <v>35663</v>
      </c>
      <c r="Y245" s="69">
        <v>46590</v>
      </c>
      <c r="Z245" t="s">
        <v>207</v>
      </c>
      <c r="AB245" t="s">
        <v>215</v>
      </c>
    </row>
    <row r="246" spans="1:28" ht="15.75" customHeight="1" x14ac:dyDescent="0.6">
      <c r="A246">
        <v>245</v>
      </c>
      <c r="B246" s="73" t="s">
        <v>900</v>
      </c>
      <c r="C246">
        <v>1900</v>
      </c>
      <c r="D246" t="s">
        <v>179</v>
      </c>
      <c r="E246" s="69">
        <v>45873</v>
      </c>
      <c r="F246" t="s">
        <v>201</v>
      </c>
      <c r="G246" t="s">
        <v>202</v>
      </c>
      <c r="H246">
        <v>15.5</v>
      </c>
      <c r="I246" s="69">
        <v>45860</v>
      </c>
      <c r="J246">
        <v>2025</v>
      </c>
      <c r="K246" s="69">
        <v>45875</v>
      </c>
      <c r="L246" t="s">
        <v>654</v>
      </c>
      <c r="M246" t="s">
        <v>571</v>
      </c>
      <c r="N246" t="s">
        <v>204</v>
      </c>
      <c r="O246" s="69">
        <v>46295</v>
      </c>
      <c r="P246" t="s">
        <v>901</v>
      </c>
      <c r="Q246" s="69">
        <v>46590</v>
      </c>
      <c r="R246" s="69">
        <v>46228</v>
      </c>
      <c r="S246" s="69">
        <v>46225</v>
      </c>
      <c r="T246" s="69">
        <v>48420</v>
      </c>
      <c r="U246" s="69">
        <v>46294</v>
      </c>
      <c r="V246">
        <v>5000076784</v>
      </c>
      <c r="W246" t="s">
        <v>902</v>
      </c>
      <c r="X246">
        <v>31896</v>
      </c>
      <c r="Y246" s="69">
        <v>46590</v>
      </c>
      <c r="Z246" t="s">
        <v>207</v>
      </c>
      <c r="AB246" t="s">
        <v>595</v>
      </c>
    </row>
    <row r="247" spans="1:28" ht="15.75" customHeight="1" x14ac:dyDescent="0.6">
      <c r="A247">
        <v>246</v>
      </c>
      <c r="B247" s="73" t="s">
        <v>903</v>
      </c>
      <c r="C247">
        <v>1900</v>
      </c>
      <c r="D247" t="s">
        <v>179</v>
      </c>
      <c r="E247" s="69">
        <v>45873</v>
      </c>
      <c r="F247" t="s">
        <v>201</v>
      </c>
      <c r="G247" t="s">
        <v>202</v>
      </c>
      <c r="H247">
        <v>15.5</v>
      </c>
      <c r="I247" s="69">
        <v>45860</v>
      </c>
      <c r="J247">
        <v>2025</v>
      </c>
      <c r="K247" s="69">
        <v>45875</v>
      </c>
      <c r="L247" t="s">
        <v>654</v>
      </c>
      <c r="M247" t="s">
        <v>571</v>
      </c>
      <c r="N247" t="s">
        <v>204</v>
      </c>
      <c r="O247" s="69">
        <v>46295</v>
      </c>
      <c r="P247" t="s">
        <v>904</v>
      </c>
      <c r="Q247" s="69">
        <v>46590</v>
      </c>
      <c r="R247" s="69">
        <v>46228</v>
      </c>
      <c r="S247" s="69">
        <v>46225</v>
      </c>
      <c r="T247" s="69">
        <v>48420</v>
      </c>
      <c r="U247" s="69">
        <v>46294</v>
      </c>
      <c r="V247">
        <v>5000077986</v>
      </c>
      <c r="W247" t="s">
        <v>905</v>
      </c>
      <c r="X247">
        <v>33624</v>
      </c>
      <c r="Y247" s="69">
        <v>46590</v>
      </c>
      <c r="Z247" t="s">
        <v>207</v>
      </c>
      <c r="AB247" t="s">
        <v>595</v>
      </c>
    </row>
    <row r="248" spans="1:28" ht="15.75" customHeight="1" x14ac:dyDescent="0.6">
      <c r="A248">
        <v>247</v>
      </c>
      <c r="B248" s="73" t="s">
        <v>906</v>
      </c>
      <c r="C248">
        <v>1900</v>
      </c>
      <c r="D248" t="s">
        <v>179</v>
      </c>
      <c r="E248" s="69">
        <v>45873</v>
      </c>
      <c r="F248" t="s">
        <v>201</v>
      </c>
      <c r="G248" t="s">
        <v>202</v>
      </c>
      <c r="H248">
        <v>15.5</v>
      </c>
      <c r="I248" s="69">
        <v>45860</v>
      </c>
      <c r="J248">
        <v>2025</v>
      </c>
      <c r="K248" s="69">
        <v>45875</v>
      </c>
      <c r="L248" t="s">
        <v>654</v>
      </c>
      <c r="M248" t="s">
        <v>571</v>
      </c>
      <c r="N248" t="s">
        <v>204</v>
      </c>
      <c r="O248" s="69">
        <v>46295</v>
      </c>
      <c r="P248" t="s">
        <v>907</v>
      </c>
      <c r="Q248" s="69">
        <v>46590</v>
      </c>
      <c r="R248" s="69">
        <v>46228</v>
      </c>
      <c r="S248" s="69">
        <v>46225</v>
      </c>
      <c r="T248" s="69">
        <v>48420</v>
      </c>
      <c r="U248" s="69">
        <v>46294</v>
      </c>
      <c r="V248">
        <v>5000077987</v>
      </c>
      <c r="W248" t="s">
        <v>908</v>
      </c>
      <c r="X248">
        <v>36923</v>
      </c>
      <c r="Y248" s="69">
        <v>46590</v>
      </c>
      <c r="Z248" t="s">
        <v>207</v>
      </c>
      <c r="AB248" t="s">
        <v>595</v>
      </c>
    </row>
    <row r="249" spans="1:28" ht="15.75" customHeight="1" x14ac:dyDescent="0.6">
      <c r="A249">
        <v>248</v>
      </c>
      <c r="B249" s="73" t="s">
        <v>909</v>
      </c>
      <c r="C249">
        <v>1900</v>
      </c>
      <c r="D249" t="s">
        <v>179</v>
      </c>
      <c r="E249" s="69">
        <v>45873</v>
      </c>
      <c r="F249" t="s">
        <v>201</v>
      </c>
      <c r="G249" t="s">
        <v>202</v>
      </c>
      <c r="H249">
        <v>15.5</v>
      </c>
      <c r="I249" s="69">
        <v>45860</v>
      </c>
      <c r="J249">
        <v>2025</v>
      </c>
      <c r="K249" s="69">
        <v>45875</v>
      </c>
      <c r="L249" t="s">
        <v>654</v>
      </c>
      <c r="M249" t="s">
        <v>571</v>
      </c>
      <c r="N249" t="s">
        <v>204</v>
      </c>
      <c r="O249" s="69">
        <v>46295</v>
      </c>
      <c r="P249" t="s">
        <v>910</v>
      </c>
      <c r="Q249" s="69">
        <v>46590</v>
      </c>
      <c r="R249" s="69">
        <v>46228</v>
      </c>
      <c r="S249" s="69">
        <v>46225</v>
      </c>
      <c r="T249" s="69">
        <v>48420</v>
      </c>
      <c r="U249" s="69">
        <v>46294</v>
      </c>
      <c r="V249">
        <v>5000077975</v>
      </c>
      <c r="W249" t="s">
        <v>911</v>
      </c>
      <c r="X249">
        <v>28429</v>
      </c>
      <c r="Y249" s="69">
        <v>46590</v>
      </c>
      <c r="Z249" t="s">
        <v>207</v>
      </c>
      <c r="AB249" t="s">
        <v>215</v>
      </c>
    </row>
    <row r="250" spans="1:28" ht="15.75" customHeight="1" x14ac:dyDescent="0.6">
      <c r="A250">
        <v>249</v>
      </c>
      <c r="B250" s="73" t="s">
        <v>912</v>
      </c>
      <c r="C250">
        <v>1900</v>
      </c>
      <c r="D250" t="s">
        <v>179</v>
      </c>
      <c r="E250" s="69">
        <v>45890</v>
      </c>
      <c r="F250" t="s">
        <v>201</v>
      </c>
      <c r="G250" t="s">
        <v>449</v>
      </c>
      <c r="H250">
        <v>15.5</v>
      </c>
      <c r="I250" s="69">
        <v>45860</v>
      </c>
      <c r="J250">
        <v>2025</v>
      </c>
      <c r="K250" s="69">
        <v>45875</v>
      </c>
      <c r="L250" t="s">
        <v>654</v>
      </c>
      <c r="M250" t="s">
        <v>571</v>
      </c>
      <c r="N250" t="s">
        <v>204</v>
      </c>
      <c r="O250" s="69">
        <v>46295</v>
      </c>
      <c r="P250" t="s">
        <v>913</v>
      </c>
      <c r="Q250" s="69">
        <v>46607</v>
      </c>
      <c r="R250" s="69">
        <v>46198</v>
      </c>
      <c r="S250" s="69">
        <v>46242</v>
      </c>
      <c r="T250" s="69">
        <v>48439</v>
      </c>
      <c r="U250" s="69">
        <v>46294</v>
      </c>
      <c r="V250">
        <v>5000101620</v>
      </c>
      <c r="W250" t="s">
        <v>914</v>
      </c>
      <c r="X250">
        <v>96973</v>
      </c>
      <c r="Y250" s="69">
        <v>46607</v>
      </c>
      <c r="Z250" t="s">
        <v>207</v>
      </c>
      <c r="AB250" t="s">
        <v>449</v>
      </c>
    </row>
    <row r="251" spans="1:28" ht="15.75" customHeight="1" x14ac:dyDescent="0.6">
      <c r="A251">
        <v>250</v>
      </c>
      <c r="B251" s="73" t="s">
        <v>915</v>
      </c>
      <c r="C251">
        <v>1900</v>
      </c>
      <c r="D251" t="s">
        <v>179</v>
      </c>
      <c r="E251" s="69">
        <v>45890</v>
      </c>
      <c r="F251" t="s">
        <v>201</v>
      </c>
      <c r="G251" t="s">
        <v>226</v>
      </c>
      <c r="H251">
        <v>15.5</v>
      </c>
      <c r="I251" s="69">
        <v>45860</v>
      </c>
      <c r="J251">
        <v>2025</v>
      </c>
      <c r="K251" s="69">
        <v>45875</v>
      </c>
      <c r="L251" t="s">
        <v>654</v>
      </c>
      <c r="M251" t="s">
        <v>571</v>
      </c>
      <c r="N251" t="s">
        <v>204</v>
      </c>
      <c r="O251" s="69">
        <v>46295</v>
      </c>
      <c r="P251" t="s">
        <v>916</v>
      </c>
      <c r="Q251" s="69">
        <v>46607</v>
      </c>
      <c r="R251" s="69">
        <v>46198</v>
      </c>
      <c r="S251" s="69">
        <v>46242</v>
      </c>
      <c r="T251" s="69">
        <v>48439</v>
      </c>
      <c r="U251" s="69">
        <v>46294</v>
      </c>
      <c r="V251">
        <v>5000101617</v>
      </c>
      <c r="W251" t="s">
        <v>917</v>
      </c>
      <c r="X251">
        <v>46148</v>
      </c>
      <c r="Y251" s="69">
        <v>46607</v>
      </c>
      <c r="Z251" t="s">
        <v>207</v>
      </c>
      <c r="AB251" t="s">
        <v>226</v>
      </c>
    </row>
    <row r="252" spans="1:28" ht="15.75" customHeight="1" x14ac:dyDescent="0.6">
      <c r="A252">
        <v>251</v>
      </c>
      <c r="B252" s="73" t="s">
        <v>918</v>
      </c>
      <c r="C252">
        <v>1900</v>
      </c>
      <c r="D252" t="s">
        <v>179</v>
      </c>
      <c r="E252" s="69">
        <v>45890</v>
      </c>
      <c r="F252" t="s">
        <v>201</v>
      </c>
      <c r="G252" t="s">
        <v>226</v>
      </c>
      <c r="H252">
        <v>15.5</v>
      </c>
      <c r="I252" s="69">
        <v>45860</v>
      </c>
      <c r="J252">
        <v>2025</v>
      </c>
      <c r="K252" s="69">
        <v>45875</v>
      </c>
      <c r="L252" t="s">
        <v>654</v>
      </c>
      <c r="M252" t="s">
        <v>571</v>
      </c>
      <c r="N252" t="s">
        <v>204</v>
      </c>
      <c r="O252" s="69">
        <v>46295</v>
      </c>
      <c r="P252" t="s">
        <v>919</v>
      </c>
      <c r="Q252" s="69">
        <v>46607</v>
      </c>
      <c r="R252" s="69">
        <v>46198</v>
      </c>
      <c r="S252" s="69">
        <v>46242</v>
      </c>
      <c r="T252" s="69">
        <v>48439</v>
      </c>
      <c r="U252" s="69">
        <v>46294</v>
      </c>
      <c r="V252">
        <v>5000101627</v>
      </c>
      <c r="W252" t="s">
        <v>920</v>
      </c>
      <c r="X252">
        <v>48067</v>
      </c>
      <c r="Y252" s="69">
        <v>46607</v>
      </c>
      <c r="Z252" t="s">
        <v>207</v>
      </c>
      <c r="AB252" t="s">
        <v>226</v>
      </c>
    </row>
    <row r="253" spans="1:28" ht="15.75" customHeight="1" x14ac:dyDescent="0.6">
      <c r="A253">
        <v>252</v>
      </c>
      <c r="B253" s="73" t="s">
        <v>921</v>
      </c>
      <c r="C253">
        <v>1900</v>
      </c>
      <c r="D253" t="s">
        <v>179</v>
      </c>
      <c r="E253" s="69">
        <v>45890</v>
      </c>
      <c r="F253" t="s">
        <v>201</v>
      </c>
      <c r="G253" t="s">
        <v>449</v>
      </c>
      <c r="H253">
        <v>15.5</v>
      </c>
      <c r="I253" s="69">
        <v>45860</v>
      </c>
      <c r="J253">
        <v>2025</v>
      </c>
      <c r="K253" s="69">
        <v>45875</v>
      </c>
      <c r="L253" t="s">
        <v>654</v>
      </c>
      <c r="M253" t="s">
        <v>571</v>
      </c>
      <c r="N253" t="s">
        <v>204</v>
      </c>
      <c r="O253" s="69">
        <v>46295</v>
      </c>
      <c r="P253" t="s">
        <v>922</v>
      </c>
      <c r="Q253" s="69">
        <v>46607</v>
      </c>
      <c r="R253" s="69">
        <v>46198</v>
      </c>
      <c r="S253" s="69">
        <v>46242</v>
      </c>
      <c r="T253" s="69">
        <v>48439</v>
      </c>
      <c r="U253" s="69">
        <v>46294</v>
      </c>
      <c r="V253">
        <v>5000101632</v>
      </c>
      <c r="W253" t="s">
        <v>923</v>
      </c>
      <c r="X253">
        <v>96942</v>
      </c>
      <c r="Y253" s="69">
        <v>46607</v>
      </c>
      <c r="Z253" t="s">
        <v>207</v>
      </c>
      <c r="AB253" t="s">
        <v>449</v>
      </c>
    </row>
    <row r="254" spans="1:28" ht="15.75" customHeight="1" x14ac:dyDescent="0.6">
      <c r="A254">
        <v>253</v>
      </c>
      <c r="B254" s="73" t="s">
        <v>924</v>
      </c>
      <c r="C254">
        <v>1900</v>
      </c>
      <c r="D254" t="s">
        <v>179</v>
      </c>
      <c r="E254" s="69">
        <v>45890</v>
      </c>
      <c r="F254" t="s">
        <v>201</v>
      </c>
      <c r="G254" t="s">
        <v>449</v>
      </c>
      <c r="H254">
        <v>15.5</v>
      </c>
      <c r="I254" s="69">
        <v>45860</v>
      </c>
      <c r="J254">
        <v>2025</v>
      </c>
      <c r="K254" s="69">
        <v>45875</v>
      </c>
      <c r="L254" t="s">
        <v>654</v>
      </c>
      <c r="M254" t="s">
        <v>571</v>
      </c>
      <c r="N254" t="s">
        <v>204</v>
      </c>
      <c r="O254" s="69">
        <v>46295</v>
      </c>
      <c r="P254" t="s">
        <v>925</v>
      </c>
      <c r="Q254" s="69">
        <v>46607</v>
      </c>
      <c r="R254" s="69">
        <v>46198</v>
      </c>
      <c r="S254" s="69">
        <v>46242</v>
      </c>
      <c r="T254" s="69">
        <v>48439</v>
      </c>
      <c r="U254" s="69">
        <v>46294</v>
      </c>
      <c r="V254">
        <v>5000101622</v>
      </c>
      <c r="W254" t="s">
        <v>926</v>
      </c>
      <c r="X254">
        <v>98513</v>
      </c>
      <c r="Y254" s="69">
        <v>46607</v>
      </c>
      <c r="Z254" t="s">
        <v>207</v>
      </c>
      <c r="AB254" t="s">
        <v>449</v>
      </c>
    </row>
    <row r="255" spans="1:28" ht="15.75" customHeight="1" x14ac:dyDescent="0.6">
      <c r="A255">
        <v>254</v>
      </c>
      <c r="B255" s="73" t="s">
        <v>927</v>
      </c>
      <c r="C255">
        <v>1900</v>
      </c>
      <c r="D255" t="s">
        <v>179</v>
      </c>
      <c r="E255" s="69">
        <v>45890</v>
      </c>
      <c r="F255" t="s">
        <v>201</v>
      </c>
      <c r="G255" t="s">
        <v>226</v>
      </c>
      <c r="H255">
        <v>15.5</v>
      </c>
      <c r="I255" s="69">
        <v>45860</v>
      </c>
      <c r="J255">
        <v>2025</v>
      </c>
      <c r="K255" s="69">
        <v>45875</v>
      </c>
      <c r="L255" t="s">
        <v>654</v>
      </c>
      <c r="M255" t="s">
        <v>571</v>
      </c>
      <c r="N255" t="s">
        <v>204</v>
      </c>
      <c r="O255" s="69">
        <v>46295</v>
      </c>
      <c r="P255" t="s">
        <v>928</v>
      </c>
      <c r="Q255" s="69">
        <v>46607</v>
      </c>
      <c r="R255" s="69">
        <v>46198</v>
      </c>
      <c r="S255" s="69">
        <v>46242</v>
      </c>
      <c r="T255" s="69">
        <v>48439</v>
      </c>
      <c r="U255" s="69">
        <v>46294</v>
      </c>
      <c r="V255">
        <v>5000101619</v>
      </c>
      <c r="W255" t="s">
        <v>929</v>
      </c>
      <c r="X255">
        <v>44100</v>
      </c>
      <c r="Y255" s="69">
        <v>46607</v>
      </c>
      <c r="Z255" t="s">
        <v>207</v>
      </c>
      <c r="AB255" t="s">
        <v>226</v>
      </c>
    </row>
    <row r="256" spans="1:28" ht="15.75" customHeight="1" x14ac:dyDescent="0.6">
      <c r="A256">
        <v>255</v>
      </c>
      <c r="B256" s="73" t="s">
        <v>930</v>
      </c>
      <c r="C256">
        <v>1900</v>
      </c>
      <c r="D256" t="s">
        <v>179</v>
      </c>
      <c r="E256" s="69">
        <v>45890</v>
      </c>
      <c r="F256" t="s">
        <v>201</v>
      </c>
      <c r="G256" t="s">
        <v>226</v>
      </c>
      <c r="H256">
        <v>15.5</v>
      </c>
      <c r="I256" s="69">
        <v>45860</v>
      </c>
      <c r="J256">
        <v>2025</v>
      </c>
      <c r="K256" s="69">
        <v>45875</v>
      </c>
      <c r="L256" t="s">
        <v>654</v>
      </c>
      <c r="M256" t="s">
        <v>571</v>
      </c>
      <c r="N256" t="s">
        <v>204</v>
      </c>
      <c r="O256" s="69">
        <v>46295</v>
      </c>
      <c r="P256" t="s">
        <v>931</v>
      </c>
      <c r="Q256" s="69">
        <v>46607</v>
      </c>
      <c r="R256" s="69">
        <v>46198</v>
      </c>
      <c r="S256" s="69">
        <v>46242</v>
      </c>
      <c r="T256" s="69">
        <v>48439</v>
      </c>
      <c r="U256" s="69">
        <v>46294</v>
      </c>
      <c r="V256">
        <v>5000101630</v>
      </c>
      <c r="W256" t="s">
        <v>932</v>
      </c>
      <c r="X256">
        <v>50304</v>
      </c>
      <c r="Y256" s="69">
        <v>46607</v>
      </c>
      <c r="Z256" t="s">
        <v>207</v>
      </c>
      <c r="AB256" t="s">
        <v>226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81C9B-27A3-4014-96A5-32825D9DE7D2}">
  <dimension ref="A1:J1458"/>
  <sheetViews>
    <sheetView topLeftCell="A67" workbookViewId="0">
      <selection activeCell="C116" sqref="C116"/>
    </sheetView>
  </sheetViews>
  <sheetFormatPr defaultRowHeight="13" x14ac:dyDescent="0.6"/>
  <cols>
    <col min="1" max="1" width="14.04296875" customWidth="1"/>
    <col min="2" max="2" width="7.6796875" style="76" bestFit="1" customWidth="1"/>
    <col min="3" max="3" width="57.453125" bestFit="1" customWidth="1"/>
    <col min="4" max="4" width="10.1796875" bestFit="1" customWidth="1"/>
    <col min="5" max="5" width="8.6796875" bestFit="1" customWidth="1"/>
    <col min="6" max="6" width="8.08984375" bestFit="1" customWidth="1"/>
    <col min="7" max="7" width="25.1328125" bestFit="1" customWidth="1"/>
    <col min="8" max="8" width="5.2265625" bestFit="1" customWidth="1"/>
    <col min="9" max="9" width="15.04296875" bestFit="1" customWidth="1"/>
  </cols>
  <sheetData>
    <row r="1" spans="1:9" x14ac:dyDescent="0.6">
      <c r="A1" t="s">
        <v>933</v>
      </c>
      <c r="B1" s="76" t="s">
        <v>152</v>
      </c>
      <c r="C1" t="s">
        <v>934</v>
      </c>
      <c r="D1" t="s">
        <v>935</v>
      </c>
      <c r="E1" t="s">
        <v>936</v>
      </c>
      <c r="F1" t="s">
        <v>937</v>
      </c>
      <c r="G1" t="s">
        <v>176</v>
      </c>
      <c r="H1" t="s">
        <v>938</v>
      </c>
      <c r="I1" t="s">
        <v>939</v>
      </c>
    </row>
    <row r="2" spans="1:9" x14ac:dyDescent="0.6">
      <c r="A2" t="s">
        <v>940</v>
      </c>
      <c r="B2" s="76">
        <v>1900</v>
      </c>
      <c r="C2" t="s">
        <v>941</v>
      </c>
      <c r="D2" t="s">
        <v>942</v>
      </c>
      <c r="E2" s="75">
        <v>6.25E-2</v>
      </c>
      <c r="F2" s="75">
        <v>7.6388888888888895E-2</v>
      </c>
      <c r="I2" t="s">
        <v>943</v>
      </c>
    </row>
    <row r="3" spans="1:9" x14ac:dyDescent="0.6">
      <c r="A3" t="s">
        <v>940</v>
      </c>
      <c r="B3" s="76">
        <v>1900</v>
      </c>
      <c r="C3" t="s">
        <v>37</v>
      </c>
      <c r="D3" t="s">
        <v>5</v>
      </c>
      <c r="E3" s="75">
        <v>0.16666666666666666</v>
      </c>
      <c r="F3" s="75">
        <v>0.17708333333333334</v>
      </c>
      <c r="H3" t="s">
        <v>944</v>
      </c>
      <c r="I3" t="s">
        <v>943</v>
      </c>
    </row>
    <row r="4" spans="1:9" x14ac:dyDescent="0.6">
      <c r="A4" t="s">
        <v>940</v>
      </c>
      <c r="B4" s="76">
        <v>1900</v>
      </c>
      <c r="C4" t="s">
        <v>36</v>
      </c>
      <c r="D4" t="s">
        <v>5</v>
      </c>
      <c r="E4" s="75">
        <v>0.19097222222222221</v>
      </c>
      <c r="F4" s="75">
        <v>0.2013888888888889</v>
      </c>
      <c r="H4" t="s">
        <v>945</v>
      </c>
      <c r="I4" t="s">
        <v>943</v>
      </c>
    </row>
    <row r="5" spans="1:9" x14ac:dyDescent="0.6">
      <c r="A5" t="s">
        <v>940</v>
      </c>
      <c r="B5" s="76">
        <v>1900</v>
      </c>
      <c r="C5" t="s">
        <v>946</v>
      </c>
      <c r="D5" t="s">
        <v>5</v>
      </c>
      <c r="E5" s="75">
        <v>0.19097222222222221</v>
      </c>
      <c r="F5" s="75">
        <v>0.2013888888888889</v>
      </c>
      <c r="G5" t="s">
        <v>947</v>
      </c>
      <c r="H5" t="s">
        <v>948</v>
      </c>
      <c r="I5" t="s">
        <v>943</v>
      </c>
    </row>
    <row r="6" spans="1:9" x14ac:dyDescent="0.6">
      <c r="A6" t="s">
        <v>940</v>
      </c>
      <c r="B6" s="76">
        <v>1900</v>
      </c>
      <c r="C6" t="s">
        <v>35</v>
      </c>
      <c r="D6" t="s">
        <v>5</v>
      </c>
      <c r="E6" s="75">
        <v>0.21180555555555555</v>
      </c>
      <c r="F6" s="75">
        <v>0.22222222222222221</v>
      </c>
      <c r="H6" t="s">
        <v>949</v>
      </c>
      <c r="I6" t="s">
        <v>943</v>
      </c>
    </row>
    <row r="7" spans="1:9" x14ac:dyDescent="0.6">
      <c r="A7" t="s">
        <v>950</v>
      </c>
      <c r="B7" s="76">
        <v>1900</v>
      </c>
      <c r="C7" t="s">
        <v>941</v>
      </c>
      <c r="D7" t="s">
        <v>942</v>
      </c>
      <c r="E7" s="75">
        <v>6.25E-2</v>
      </c>
      <c r="F7" s="75">
        <v>7.6388888888888895E-2</v>
      </c>
      <c r="I7" t="s">
        <v>951</v>
      </c>
    </row>
    <row r="8" spans="1:9" x14ac:dyDescent="0.6">
      <c r="A8" t="s">
        <v>950</v>
      </c>
      <c r="B8" s="76">
        <v>1900</v>
      </c>
      <c r="C8" t="s">
        <v>81</v>
      </c>
      <c r="D8" t="s">
        <v>5</v>
      </c>
      <c r="E8" s="75">
        <v>0.16666666666666666</v>
      </c>
      <c r="F8" s="75">
        <v>0.17708333333333334</v>
      </c>
      <c r="H8" t="s">
        <v>952</v>
      </c>
      <c r="I8" t="s">
        <v>951</v>
      </c>
    </row>
    <row r="9" spans="1:9" x14ac:dyDescent="0.6">
      <c r="A9" t="s">
        <v>950</v>
      </c>
      <c r="B9" s="76">
        <v>1900</v>
      </c>
      <c r="C9" t="s">
        <v>20</v>
      </c>
      <c r="D9" t="s">
        <v>5</v>
      </c>
      <c r="E9" s="75">
        <v>0.19097222222222221</v>
      </c>
      <c r="F9" s="75">
        <v>0.2013888888888889</v>
      </c>
      <c r="H9" t="s">
        <v>953</v>
      </c>
      <c r="I9" t="s">
        <v>951</v>
      </c>
    </row>
    <row r="10" spans="1:9" x14ac:dyDescent="0.6">
      <c r="A10" t="s">
        <v>950</v>
      </c>
      <c r="B10" s="76">
        <v>1900</v>
      </c>
      <c r="C10" t="s">
        <v>16</v>
      </c>
      <c r="D10" t="s">
        <v>5</v>
      </c>
      <c r="E10" s="75">
        <v>0.21180555555555555</v>
      </c>
      <c r="F10" s="75">
        <v>0.22222222222222221</v>
      </c>
      <c r="H10" t="s">
        <v>954</v>
      </c>
      <c r="I10" t="s">
        <v>951</v>
      </c>
    </row>
    <row r="11" spans="1:9" x14ac:dyDescent="0.6">
      <c r="A11" t="s">
        <v>955</v>
      </c>
      <c r="B11" s="76">
        <v>1900</v>
      </c>
      <c r="C11" t="s">
        <v>941</v>
      </c>
      <c r="D11" t="s">
        <v>942</v>
      </c>
      <c r="E11" s="75">
        <v>6.25E-2</v>
      </c>
      <c r="F11" s="75">
        <v>7.6388888888888895E-2</v>
      </c>
      <c r="I11" t="s">
        <v>956</v>
      </c>
    </row>
    <row r="12" spans="1:9" x14ac:dyDescent="0.6">
      <c r="A12" t="s">
        <v>955</v>
      </c>
      <c r="B12" s="76">
        <v>1900</v>
      </c>
      <c r="C12" t="s">
        <v>60</v>
      </c>
      <c r="D12" t="s">
        <v>5</v>
      </c>
      <c r="E12" s="75">
        <v>0.16666666666666666</v>
      </c>
      <c r="F12" s="75">
        <v>0.1736111111111111</v>
      </c>
      <c r="H12" t="s">
        <v>957</v>
      </c>
      <c r="I12" t="s">
        <v>956</v>
      </c>
    </row>
    <row r="13" spans="1:9" x14ac:dyDescent="0.6">
      <c r="A13" t="s">
        <v>955</v>
      </c>
      <c r="B13" s="76">
        <v>1900</v>
      </c>
      <c r="C13" t="s">
        <v>84</v>
      </c>
      <c r="D13" t="s">
        <v>5</v>
      </c>
      <c r="E13" s="75">
        <v>0.1875</v>
      </c>
      <c r="F13" s="75">
        <v>0.19791666666666666</v>
      </c>
      <c r="H13" t="s">
        <v>958</v>
      </c>
      <c r="I13" t="s">
        <v>956</v>
      </c>
    </row>
    <row r="14" spans="1:9" x14ac:dyDescent="0.6">
      <c r="A14" t="s">
        <v>955</v>
      </c>
      <c r="B14" s="76">
        <v>1900</v>
      </c>
      <c r="C14" t="s">
        <v>90</v>
      </c>
      <c r="D14" t="s">
        <v>5</v>
      </c>
      <c r="E14" s="75">
        <v>0.20833333333333334</v>
      </c>
      <c r="F14" s="75">
        <v>0.21875</v>
      </c>
      <c r="H14" t="s">
        <v>959</v>
      </c>
      <c r="I14" t="s">
        <v>956</v>
      </c>
    </row>
    <row r="15" spans="1:9" x14ac:dyDescent="0.6">
      <c r="A15" t="s">
        <v>960</v>
      </c>
      <c r="B15" s="76">
        <v>1900</v>
      </c>
      <c r="C15" t="s">
        <v>941</v>
      </c>
      <c r="D15" t="s">
        <v>942</v>
      </c>
      <c r="E15" s="75">
        <v>6.25E-2</v>
      </c>
      <c r="F15" s="75">
        <v>7.6388888888888895E-2</v>
      </c>
      <c r="I15" t="s">
        <v>961</v>
      </c>
    </row>
    <row r="16" spans="1:9" x14ac:dyDescent="0.6">
      <c r="A16" t="s">
        <v>960</v>
      </c>
      <c r="B16" s="76">
        <v>1900</v>
      </c>
      <c r="C16" t="s">
        <v>91</v>
      </c>
      <c r="D16" t="s">
        <v>5</v>
      </c>
      <c r="E16" s="75">
        <v>0.16666666666666666</v>
      </c>
      <c r="F16" s="75">
        <v>0.17708333333333334</v>
      </c>
      <c r="H16" t="s">
        <v>962</v>
      </c>
      <c r="I16" t="s">
        <v>961</v>
      </c>
    </row>
    <row r="17" spans="1:9" x14ac:dyDescent="0.6">
      <c r="A17" t="s">
        <v>960</v>
      </c>
      <c r="B17" s="76">
        <v>1900</v>
      </c>
      <c r="C17" t="s">
        <v>89</v>
      </c>
      <c r="D17" t="s">
        <v>5</v>
      </c>
      <c r="E17" s="75">
        <v>0.19097222222222221</v>
      </c>
      <c r="F17" s="75">
        <v>0.2013888888888889</v>
      </c>
      <c r="H17" t="s">
        <v>963</v>
      </c>
      <c r="I17" t="s">
        <v>961</v>
      </c>
    </row>
    <row r="18" spans="1:9" x14ac:dyDescent="0.6">
      <c r="A18" t="s">
        <v>960</v>
      </c>
      <c r="B18" s="76">
        <v>1900</v>
      </c>
      <c r="C18" t="s">
        <v>83</v>
      </c>
      <c r="D18" t="s">
        <v>5</v>
      </c>
      <c r="E18" s="75">
        <v>0.21180555555555555</v>
      </c>
      <c r="F18" s="75">
        <v>0.22222222222222221</v>
      </c>
      <c r="H18" t="s">
        <v>964</v>
      </c>
      <c r="I18" t="s">
        <v>961</v>
      </c>
    </row>
    <row r="19" spans="1:9" x14ac:dyDescent="0.6">
      <c r="A19" t="s">
        <v>965</v>
      </c>
      <c r="B19" s="76">
        <v>1900</v>
      </c>
      <c r="C19" t="s">
        <v>941</v>
      </c>
      <c r="D19" t="s">
        <v>942</v>
      </c>
      <c r="E19" s="75">
        <v>0.10416666666666667</v>
      </c>
      <c r="F19" s="75">
        <v>0.11805555555555555</v>
      </c>
      <c r="G19" t="s">
        <v>966</v>
      </c>
      <c r="I19" t="s">
        <v>967</v>
      </c>
    </row>
    <row r="20" spans="1:9" x14ac:dyDescent="0.6">
      <c r="A20" t="s">
        <v>965</v>
      </c>
      <c r="B20" s="76">
        <v>1900</v>
      </c>
      <c r="C20" t="s">
        <v>75</v>
      </c>
      <c r="D20" t="s">
        <v>5</v>
      </c>
      <c r="E20" s="75">
        <v>0.18402777777777779</v>
      </c>
      <c r="F20" s="75">
        <v>0.19444444444444445</v>
      </c>
      <c r="H20" t="s">
        <v>968</v>
      </c>
      <c r="I20" t="s">
        <v>967</v>
      </c>
    </row>
    <row r="21" spans="1:9" x14ac:dyDescent="0.6">
      <c r="A21" t="s">
        <v>965</v>
      </c>
      <c r="B21" s="76">
        <v>1900</v>
      </c>
      <c r="C21" t="s">
        <v>78</v>
      </c>
      <c r="D21" t="s">
        <v>5</v>
      </c>
      <c r="E21" s="75">
        <v>0.2048611111111111</v>
      </c>
      <c r="F21" s="75">
        <v>0.21180555555555555</v>
      </c>
      <c r="H21" t="s">
        <v>969</v>
      </c>
      <c r="I21" t="s">
        <v>967</v>
      </c>
    </row>
    <row r="22" spans="1:9" x14ac:dyDescent="0.6">
      <c r="A22" t="s">
        <v>965</v>
      </c>
      <c r="B22" s="76">
        <v>1900</v>
      </c>
      <c r="C22" t="s">
        <v>77</v>
      </c>
      <c r="D22" t="s">
        <v>5</v>
      </c>
      <c r="E22" s="75">
        <v>0.21875</v>
      </c>
      <c r="F22" s="75">
        <v>0.22569444444444445</v>
      </c>
      <c r="H22" t="s">
        <v>970</v>
      </c>
      <c r="I22" t="s">
        <v>967</v>
      </c>
    </row>
    <row r="23" spans="1:9" x14ac:dyDescent="0.6">
      <c r="A23" t="s">
        <v>971</v>
      </c>
      <c r="B23" s="76">
        <v>1900</v>
      </c>
      <c r="C23" t="s">
        <v>941</v>
      </c>
      <c r="D23" t="s">
        <v>942</v>
      </c>
      <c r="E23" s="75">
        <v>6.25E-2</v>
      </c>
      <c r="F23" s="75">
        <v>7.6388888888888895E-2</v>
      </c>
      <c r="I23" t="s">
        <v>972</v>
      </c>
    </row>
    <row r="24" spans="1:9" x14ac:dyDescent="0.6">
      <c r="A24" t="s">
        <v>971</v>
      </c>
      <c r="B24" s="76">
        <v>1900</v>
      </c>
      <c r="C24" t="s">
        <v>69</v>
      </c>
      <c r="D24" t="s">
        <v>5</v>
      </c>
      <c r="E24" s="75">
        <v>0.16666666666666666</v>
      </c>
      <c r="F24" s="75">
        <v>0.1736111111111111</v>
      </c>
      <c r="H24" t="s">
        <v>973</v>
      </c>
      <c r="I24" t="s">
        <v>972</v>
      </c>
    </row>
    <row r="25" spans="1:9" x14ac:dyDescent="0.6">
      <c r="A25" t="s">
        <v>971</v>
      </c>
      <c r="B25" s="76">
        <v>1900</v>
      </c>
      <c r="C25" t="s">
        <v>68</v>
      </c>
      <c r="D25" t="s">
        <v>5</v>
      </c>
      <c r="E25" s="75">
        <v>0.18055555555555555</v>
      </c>
      <c r="F25" s="75">
        <v>0.19097222222222221</v>
      </c>
      <c r="H25" t="s">
        <v>974</v>
      </c>
      <c r="I25" t="s">
        <v>972</v>
      </c>
    </row>
    <row r="26" spans="1:9" x14ac:dyDescent="0.6">
      <c r="A26" t="s">
        <v>971</v>
      </c>
      <c r="B26" s="76">
        <v>1900</v>
      </c>
      <c r="C26" t="s">
        <v>76</v>
      </c>
      <c r="D26" t="s">
        <v>5</v>
      </c>
      <c r="E26" s="75">
        <v>0.2013888888888889</v>
      </c>
      <c r="F26" s="75">
        <v>0.20833333333333334</v>
      </c>
      <c r="H26" t="s">
        <v>975</v>
      </c>
      <c r="I26" t="s">
        <v>972</v>
      </c>
    </row>
    <row r="27" spans="1:9" x14ac:dyDescent="0.6">
      <c r="A27" t="s">
        <v>971</v>
      </c>
      <c r="B27" s="76">
        <v>1900</v>
      </c>
      <c r="C27" t="s">
        <v>74</v>
      </c>
      <c r="D27" t="s">
        <v>5</v>
      </c>
      <c r="E27" s="75">
        <v>0.21875</v>
      </c>
      <c r="F27" s="75">
        <v>0.22569444444444445</v>
      </c>
      <c r="H27" t="s">
        <v>976</v>
      </c>
      <c r="I27" t="s">
        <v>972</v>
      </c>
    </row>
    <row r="28" spans="1:9" x14ac:dyDescent="0.6">
      <c r="A28" t="s">
        <v>977</v>
      </c>
      <c r="B28" s="76">
        <v>1900</v>
      </c>
      <c r="C28" t="s">
        <v>941</v>
      </c>
      <c r="D28" t="s">
        <v>942</v>
      </c>
      <c r="E28" s="75">
        <v>6.25E-2</v>
      </c>
      <c r="F28" s="75">
        <v>7.6388888888888895E-2</v>
      </c>
      <c r="I28" t="s">
        <v>943</v>
      </c>
    </row>
    <row r="29" spans="1:9" x14ac:dyDescent="0.6">
      <c r="A29" t="s">
        <v>977</v>
      </c>
      <c r="B29" s="76">
        <v>1900</v>
      </c>
      <c r="C29" t="s">
        <v>61</v>
      </c>
      <c r="D29" t="s">
        <v>5</v>
      </c>
      <c r="E29" s="75">
        <v>0.16666666666666666</v>
      </c>
      <c r="F29" s="75">
        <v>0.1736111111111111</v>
      </c>
      <c r="H29" t="s">
        <v>978</v>
      </c>
      <c r="I29" t="s">
        <v>943</v>
      </c>
    </row>
    <row r="30" spans="1:9" x14ac:dyDescent="0.6">
      <c r="A30" t="s">
        <v>977</v>
      </c>
      <c r="B30" s="76">
        <v>1900</v>
      </c>
      <c r="C30" t="s">
        <v>64</v>
      </c>
      <c r="D30" t="s">
        <v>5</v>
      </c>
      <c r="E30" s="75">
        <v>0.18055555555555555</v>
      </c>
      <c r="F30" s="75">
        <v>0.19097222222222221</v>
      </c>
      <c r="H30" t="s">
        <v>979</v>
      </c>
      <c r="I30" t="s">
        <v>943</v>
      </c>
    </row>
    <row r="31" spans="1:9" x14ac:dyDescent="0.6">
      <c r="A31" t="s">
        <v>977</v>
      </c>
      <c r="B31" s="76">
        <v>1900</v>
      </c>
      <c r="C31" t="s">
        <v>86</v>
      </c>
      <c r="D31" t="s">
        <v>5</v>
      </c>
      <c r="E31" s="75">
        <v>0.2013888888888889</v>
      </c>
      <c r="F31" s="75">
        <v>0.21180555555555555</v>
      </c>
      <c r="H31" t="s">
        <v>980</v>
      </c>
      <c r="I31" t="s">
        <v>943</v>
      </c>
    </row>
    <row r="32" spans="1:9" x14ac:dyDescent="0.6">
      <c r="A32" t="s">
        <v>981</v>
      </c>
      <c r="B32" s="76">
        <v>1900</v>
      </c>
      <c r="C32" t="s">
        <v>941</v>
      </c>
      <c r="D32" t="s">
        <v>942</v>
      </c>
      <c r="E32" s="75">
        <v>6.25E-2</v>
      </c>
      <c r="F32" s="75">
        <v>7.6388888888888895E-2</v>
      </c>
      <c r="I32" t="s">
        <v>972</v>
      </c>
    </row>
    <row r="33" spans="1:9" x14ac:dyDescent="0.6">
      <c r="A33" t="s">
        <v>981</v>
      </c>
      <c r="B33" s="76">
        <v>1900</v>
      </c>
      <c r="C33" t="s">
        <v>43</v>
      </c>
      <c r="D33" t="s">
        <v>5</v>
      </c>
      <c r="E33" s="75">
        <v>0.16666666666666666</v>
      </c>
      <c r="F33" s="75">
        <v>0.17708333333333334</v>
      </c>
      <c r="H33" t="s">
        <v>982</v>
      </c>
      <c r="I33" t="s">
        <v>972</v>
      </c>
    </row>
    <row r="34" spans="1:9" x14ac:dyDescent="0.6">
      <c r="A34" t="s">
        <v>981</v>
      </c>
      <c r="B34" s="76">
        <v>1900</v>
      </c>
      <c r="C34" t="s">
        <v>70</v>
      </c>
      <c r="D34" t="s">
        <v>5</v>
      </c>
      <c r="E34" s="75">
        <v>0.1875</v>
      </c>
      <c r="F34" s="75">
        <v>0.19444444444444445</v>
      </c>
      <c r="H34" t="s">
        <v>983</v>
      </c>
      <c r="I34" t="s">
        <v>972</v>
      </c>
    </row>
    <row r="35" spans="1:9" x14ac:dyDescent="0.6">
      <c r="A35" t="s">
        <v>981</v>
      </c>
      <c r="B35" s="76">
        <v>1900</v>
      </c>
      <c r="C35" t="s">
        <v>41</v>
      </c>
      <c r="D35" t="s">
        <v>5</v>
      </c>
      <c r="E35" s="75">
        <v>0.2048611111111111</v>
      </c>
      <c r="F35" s="75">
        <v>0.21527777777777779</v>
      </c>
      <c r="H35" t="s">
        <v>984</v>
      </c>
      <c r="I35" t="s">
        <v>972</v>
      </c>
    </row>
    <row r="36" spans="1:9" x14ac:dyDescent="0.6">
      <c r="A36" t="s">
        <v>981</v>
      </c>
      <c r="B36" s="76">
        <v>1900</v>
      </c>
      <c r="C36" t="s">
        <v>40</v>
      </c>
      <c r="D36" t="s">
        <v>5</v>
      </c>
      <c r="E36" s="75">
        <v>0.22569444444444445</v>
      </c>
      <c r="F36" s="75">
        <v>0.2326388888888889</v>
      </c>
      <c r="H36" t="s">
        <v>985</v>
      </c>
      <c r="I36" t="s">
        <v>972</v>
      </c>
    </row>
    <row r="37" spans="1:9" x14ac:dyDescent="0.6">
      <c r="A37" t="s">
        <v>986</v>
      </c>
      <c r="B37" s="76">
        <v>1900</v>
      </c>
      <c r="C37" t="s">
        <v>941</v>
      </c>
      <c r="D37" t="s">
        <v>942</v>
      </c>
      <c r="E37" s="75">
        <v>6.25E-2</v>
      </c>
      <c r="F37" s="75">
        <v>7.6388888888888895E-2</v>
      </c>
      <c r="I37" t="s">
        <v>987</v>
      </c>
    </row>
    <row r="38" spans="1:9" x14ac:dyDescent="0.6">
      <c r="A38" t="s">
        <v>986</v>
      </c>
      <c r="B38" s="76">
        <v>1900</v>
      </c>
      <c r="C38" t="s">
        <v>103</v>
      </c>
      <c r="D38" t="s">
        <v>5</v>
      </c>
      <c r="E38" s="75">
        <v>0.16666666666666666</v>
      </c>
      <c r="F38" s="75">
        <v>0.17708333333333334</v>
      </c>
      <c r="H38" t="s">
        <v>988</v>
      </c>
      <c r="I38" t="s">
        <v>987</v>
      </c>
    </row>
    <row r="39" spans="1:9" x14ac:dyDescent="0.6">
      <c r="A39" t="s">
        <v>986</v>
      </c>
      <c r="B39" s="76">
        <v>1900</v>
      </c>
      <c r="C39" t="s">
        <v>104</v>
      </c>
      <c r="D39" t="s">
        <v>5</v>
      </c>
      <c r="E39" s="75">
        <v>0.1875</v>
      </c>
      <c r="F39" s="75">
        <v>0.19791666666666666</v>
      </c>
      <c r="H39" t="s">
        <v>975</v>
      </c>
      <c r="I39" t="s">
        <v>987</v>
      </c>
    </row>
    <row r="40" spans="1:9" x14ac:dyDescent="0.6">
      <c r="A40" t="s">
        <v>986</v>
      </c>
      <c r="B40" s="76">
        <v>1900</v>
      </c>
      <c r="C40" t="s">
        <v>105</v>
      </c>
      <c r="D40" t="s">
        <v>5</v>
      </c>
      <c r="E40" s="75">
        <v>0.20833333333333334</v>
      </c>
      <c r="F40" s="75">
        <v>0.21527777777777779</v>
      </c>
      <c r="H40" t="s">
        <v>989</v>
      </c>
      <c r="I40" t="s">
        <v>987</v>
      </c>
    </row>
    <row r="41" spans="1:9" x14ac:dyDescent="0.6">
      <c r="A41" t="s">
        <v>990</v>
      </c>
      <c r="B41" s="76">
        <v>1900</v>
      </c>
      <c r="C41" t="s">
        <v>941</v>
      </c>
      <c r="D41" t="s">
        <v>942</v>
      </c>
      <c r="E41" s="75">
        <v>6.25E-2</v>
      </c>
      <c r="F41" s="75">
        <v>7.6388888888888895E-2</v>
      </c>
      <c r="I41" t="s">
        <v>972</v>
      </c>
    </row>
    <row r="42" spans="1:9" x14ac:dyDescent="0.6">
      <c r="A42" t="s">
        <v>990</v>
      </c>
      <c r="B42" s="76">
        <v>1900</v>
      </c>
      <c r="C42" t="s">
        <v>66</v>
      </c>
      <c r="D42" t="s">
        <v>5</v>
      </c>
      <c r="E42" s="75">
        <v>0.16666666666666666</v>
      </c>
      <c r="F42" s="75">
        <v>0.1736111111111111</v>
      </c>
      <c r="H42" t="s">
        <v>991</v>
      </c>
      <c r="I42" t="s">
        <v>972</v>
      </c>
    </row>
    <row r="43" spans="1:9" x14ac:dyDescent="0.6">
      <c r="A43" t="s">
        <v>990</v>
      </c>
      <c r="B43" s="76">
        <v>1900</v>
      </c>
      <c r="C43" t="s">
        <v>42</v>
      </c>
      <c r="D43" t="s">
        <v>5</v>
      </c>
      <c r="E43" s="75">
        <v>0.17708333333333334</v>
      </c>
      <c r="F43" s="75">
        <v>0.1875</v>
      </c>
      <c r="H43" t="s">
        <v>992</v>
      </c>
      <c r="I43" t="s">
        <v>972</v>
      </c>
    </row>
    <row r="44" spans="1:9" x14ac:dyDescent="0.6">
      <c r="A44" t="s">
        <v>990</v>
      </c>
      <c r="B44" s="76">
        <v>1900</v>
      </c>
      <c r="C44" t="s">
        <v>65</v>
      </c>
      <c r="D44" t="s">
        <v>5</v>
      </c>
      <c r="E44" s="75">
        <v>0.19791666666666666</v>
      </c>
      <c r="F44" s="75">
        <v>0.2048611111111111</v>
      </c>
      <c r="H44" t="s">
        <v>993</v>
      </c>
      <c r="I44" t="s">
        <v>972</v>
      </c>
    </row>
    <row r="45" spans="1:9" x14ac:dyDescent="0.6">
      <c r="A45" t="s">
        <v>990</v>
      </c>
      <c r="B45" s="76">
        <v>1900</v>
      </c>
      <c r="C45" t="s">
        <v>38</v>
      </c>
      <c r="D45" t="s">
        <v>5</v>
      </c>
      <c r="E45" s="75">
        <v>0.21527777777777779</v>
      </c>
      <c r="F45" s="75">
        <v>0.22569444444444445</v>
      </c>
      <c r="H45" t="s">
        <v>994</v>
      </c>
      <c r="I45" t="s">
        <v>972</v>
      </c>
    </row>
    <row r="46" spans="1:9" x14ac:dyDescent="0.6">
      <c r="A46" t="s">
        <v>995</v>
      </c>
      <c r="B46" s="76">
        <v>1900</v>
      </c>
      <c r="C46" t="s">
        <v>941</v>
      </c>
      <c r="D46" t="s">
        <v>942</v>
      </c>
      <c r="E46" s="75">
        <v>6.25E-2</v>
      </c>
      <c r="F46" s="75">
        <v>7.6388888888888895E-2</v>
      </c>
      <c r="I46" t="s">
        <v>943</v>
      </c>
    </row>
    <row r="47" spans="1:9" x14ac:dyDescent="0.6">
      <c r="A47" t="s">
        <v>995</v>
      </c>
      <c r="B47" s="76">
        <v>1900</v>
      </c>
      <c r="C47" t="s">
        <v>71</v>
      </c>
      <c r="D47" t="s">
        <v>5</v>
      </c>
      <c r="E47" s="75">
        <v>0.16666666666666666</v>
      </c>
      <c r="F47" s="75">
        <v>0.17708333333333334</v>
      </c>
      <c r="H47" t="s">
        <v>996</v>
      </c>
      <c r="I47" t="s">
        <v>943</v>
      </c>
    </row>
    <row r="48" spans="1:9" x14ac:dyDescent="0.6">
      <c r="A48" t="s">
        <v>995</v>
      </c>
      <c r="B48" s="76">
        <v>1900</v>
      </c>
      <c r="C48" t="s">
        <v>80</v>
      </c>
      <c r="D48" t="s">
        <v>5</v>
      </c>
      <c r="E48" s="75">
        <v>0.1875</v>
      </c>
      <c r="F48" s="75">
        <v>0.19791666666666666</v>
      </c>
      <c r="H48" t="s">
        <v>997</v>
      </c>
      <c r="I48" t="s">
        <v>943</v>
      </c>
    </row>
    <row r="49" spans="1:9" x14ac:dyDescent="0.6">
      <c r="A49" t="s">
        <v>995</v>
      </c>
      <c r="B49" s="76">
        <v>1900</v>
      </c>
      <c r="C49" t="s">
        <v>82</v>
      </c>
      <c r="D49" t="s">
        <v>5</v>
      </c>
      <c r="E49" s="75">
        <v>0.20833333333333334</v>
      </c>
      <c r="F49" s="75">
        <v>0.21875</v>
      </c>
      <c r="H49" t="s">
        <v>998</v>
      </c>
      <c r="I49" t="s">
        <v>943</v>
      </c>
    </row>
    <row r="50" spans="1:9" x14ac:dyDescent="0.6">
      <c r="A50" t="s">
        <v>999</v>
      </c>
      <c r="B50" s="76">
        <v>1900</v>
      </c>
      <c r="C50" t="s">
        <v>941</v>
      </c>
      <c r="D50" t="s">
        <v>942</v>
      </c>
      <c r="E50" s="75">
        <v>7.6388888888888895E-2</v>
      </c>
      <c r="F50" s="75">
        <v>9.0277777777777776E-2</v>
      </c>
      <c r="I50" t="s">
        <v>943</v>
      </c>
    </row>
    <row r="51" spans="1:9" x14ac:dyDescent="0.6">
      <c r="A51" t="s">
        <v>999</v>
      </c>
      <c r="B51" s="76">
        <v>1900</v>
      </c>
      <c r="C51" t="s">
        <v>132</v>
      </c>
      <c r="D51" t="s">
        <v>5</v>
      </c>
      <c r="E51" s="75">
        <v>0.16666666666666666</v>
      </c>
      <c r="F51" s="75">
        <v>0.17708333333333334</v>
      </c>
      <c r="H51" t="s">
        <v>1000</v>
      </c>
      <c r="I51" t="s">
        <v>943</v>
      </c>
    </row>
    <row r="52" spans="1:9" x14ac:dyDescent="0.6">
      <c r="A52" t="s">
        <v>999</v>
      </c>
      <c r="B52" s="76">
        <v>1900</v>
      </c>
      <c r="C52" t="s">
        <v>133</v>
      </c>
      <c r="D52" t="s">
        <v>5</v>
      </c>
      <c r="E52" s="75">
        <v>0.1875</v>
      </c>
      <c r="F52" s="75">
        <v>0.19791666666666666</v>
      </c>
      <c r="H52" t="s">
        <v>984</v>
      </c>
      <c r="I52" t="s">
        <v>943</v>
      </c>
    </row>
    <row r="53" spans="1:9" x14ac:dyDescent="0.6">
      <c r="A53" t="s">
        <v>999</v>
      </c>
      <c r="B53" s="76">
        <v>1900</v>
      </c>
      <c r="C53" t="s">
        <v>134</v>
      </c>
      <c r="D53" t="s">
        <v>5</v>
      </c>
      <c r="E53" s="75">
        <v>0.20833333333333334</v>
      </c>
      <c r="F53" s="75">
        <v>0.21875</v>
      </c>
      <c r="H53" t="s">
        <v>1001</v>
      </c>
      <c r="I53" t="s">
        <v>943</v>
      </c>
    </row>
    <row r="54" spans="1:9" x14ac:dyDescent="0.6">
      <c r="A54" t="s">
        <v>999</v>
      </c>
      <c r="B54" s="76">
        <v>1900</v>
      </c>
      <c r="C54" t="s">
        <v>147</v>
      </c>
      <c r="D54" t="s">
        <v>137</v>
      </c>
      <c r="E54" s="75">
        <v>0.22916666666666666</v>
      </c>
      <c r="F54" s="75">
        <v>0.23958333333333334</v>
      </c>
      <c r="H54" t="s">
        <v>1002</v>
      </c>
      <c r="I54" t="s">
        <v>943</v>
      </c>
    </row>
    <row r="55" spans="1:9" x14ac:dyDescent="0.6">
      <c r="A55" t="s">
        <v>999</v>
      </c>
      <c r="B55" s="76">
        <v>1900</v>
      </c>
      <c r="C55" t="s">
        <v>941</v>
      </c>
      <c r="D55" t="s">
        <v>942</v>
      </c>
      <c r="E55" s="75">
        <v>0.28472222222222221</v>
      </c>
      <c r="F55" s="75">
        <v>0.2986111111111111</v>
      </c>
      <c r="H55" t="s">
        <v>1003</v>
      </c>
      <c r="I55" t="s">
        <v>943</v>
      </c>
    </row>
    <row r="56" spans="1:9" x14ac:dyDescent="0.6">
      <c r="A56" t="s">
        <v>1004</v>
      </c>
      <c r="B56" s="76">
        <v>1900</v>
      </c>
      <c r="C56" t="s">
        <v>941</v>
      </c>
      <c r="D56" t="s">
        <v>942</v>
      </c>
      <c r="E56" s="75">
        <v>7.6388888888888895E-2</v>
      </c>
      <c r="F56" s="75">
        <v>9.0277777777777776E-2</v>
      </c>
      <c r="I56" t="s">
        <v>1005</v>
      </c>
    </row>
    <row r="57" spans="1:9" x14ac:dyDescent="0.6">
      <c r="A57" t="s">
        <v>1004</v>
      </c>
      <c r="B57" s="76">
        <v>1900</v>
      </c>
      <c r="C57" t="s">
        <v>51</v>
      </c>
      <c r="D57" t="s">
        <v>5</v>
      </c>
      <c r="E57" s="75">
        <v>0.16666666666666666</v>
      </c>
      <c r="F57" s="75">
        <v>0.1736111111111111</v>
      </c>
      <c r="H57" t="s">
        <v>1006</v>
      </c>
      <c r="I57" t="s">
        <v>1005</v>
      </c>
    </row>
    <row r="58" spans="1:9" x14ac:dyDescent="0.6">
      <c r="A58" t="s">
        <v>1004</v>
      </c>
      <c r="B58" s="76">
        <v>1900</v>
      </c>
      <c r="C58" t="s">
        <v>147</v>
      </c>
      <c r="D58" t="s">
        <v>5</v>
      </c>
      <c r="E58" s="75">
        <v>0.19097222222222221</v>
      </c>
      <c r="F58" s="75">
        <v>0.2013888888888889</v>
      </c>
      <c r="H58" t="s">
        <v>1007</v>
      </c>
      <c r="I58" t="s">
        <v>1005</v>
      </c>
    </row>
    <row r="59" spans="1:9" x14ac:dyDescent="0.6">
      <c r="A59" t="s">
        <v>1004</v>
      </c>
      <c r="B59" s="76">
        <v>1900</v>
      </c>
      <c r="C59" t="s">
        <v>131</v>
      </c>
      <c r="D59" t="s">
        <v>1008</v>
      </c>
      <c r="E59" s="75">
        <v>0.21180555555555555</v>
      </c>
      <c r="F59" s="75">
        <v>0.22569444444444445</v>
      </c>
      <c r="H59" t="s">
        <v>1009</v>
      </c>
      <c r="I59" t="s">
        <v>1005</v>
      </c>
    </row>
    <row r="60" spans="1:9" x14ac:dyDescent="0.6">
      <c r="A60" t="s">
        <v>1004</v>
      </c>
      <c r="B60" s="76">
        <v>1900</v>
      </c>
      <c r="C60" t="s">
        <v>941</v>
      </c>
      <c r="D60" t="s">
        <v>942</v>
      </c>
      <c r="E60" s="75">
        <v>0.27083333333333331</v>
      </c>
      <c r="F60" s="75">
        <v>0.28472222222222221</v>
      </c>
      <c r="H60" t="s">
        <v>1010</v>
      </c>
      <c r="I60" t="s">
        <v>1005</v>
      </c>
    </row>
    <row r="61" spans="1:9" x14ac:dyDescent="0.6">
      <c r="A61" t="s">
        <v>1011</v>
      </c>
      <c r="B61" s="76">
        <v>1900</v>
      </c>
      <c r="C61" t="s">
        <v>941</v>
      </c>
      <c r="D61" t="s">
        <v>942</v>
      </c>
      <c r="E61" s="75">
        <v>7.6388888888888895E-2</v>
      </c>
      <c r="I61" t="s">
        <v>956</v>
      </c>
    </row>
    <row r="62" spans="1:9" x14ac:dyDescent="0.6">
      <c r="A62" t="s">
        <v>1011</v>
      </c>
      <c r="B62" s="76">
        <v>1900</v>
      </c>
      <c r="C62" t="s">
        <v>107</v>
      </c>
      <c r="D62" t="s">
        <v>5</v>
      </c>
      <c r="E62" s="75">
        <v>0.16666666666666666</v>
      </c>
      <c r="F62" s="75">
        <v>0.1736111111111111</v>
      </c>
      <c r="H62" t="s">
        <v>1012</v>
      </c>
      <c r="I62" t="s">
        <v>956</v>
      </c>
    </row>
    <row r="63" spans="1:9" x14ac:dyDescent="0.6">
      <c r="A63" t="s">
        <v>1011</v>
      </c>
      <c r="B63" s="76">
        <v>1900</v>
      </c>
      <c r="C63" t="s">
        <v>106</v>
      </c>
      <c r="D63" t="s">
        <v>5</v>
      </c>
      <c r="E63" s="75">
        <v>0.18402777777777779</v>
      </c>
      <c r="F63" s="75">
        <v>0.19444444444444445</v>
      </c>
      <c r="H63" t="s">
        <v>1013</v>
      </c>
      <c r="I63" t="s">
        <v>956</v>
      </c>
    </row>
    <row r="64" spans="1:9" x14ac:dyDescent="0.6">
      <c r="A64" t="s">
        <v>1011</v>
      </c>
      <c r="B64" s="76">
        <v>1900</v>
      </c>
      <c r="C64" t="s">
        <v>39</v>
      </c>
      <c r="D64" t="s">
        <v>5</v>
      </c>
      <c r="E64" s="75">
        <v>0.2048611111111111</v>
      </c>
      <c r="F64" s="75">
        <v>0.21180555555555555</v>
      </c>
      <c r="H64" t="s">
        <v>1014</v>
      </c>
      <c r="I64" t="s">
        <v>956</v>
      </c>
    </row>
    <row r="65" spans="1:9" x14ac:dyDescent="0.6">
      <c r="A65" t="s">
        <v>1015</v>
      </c>
      <c r="B65" s="76">
        <v>1900</v>
      </c>
      <c r="C65" t="s">
        <v>941</v>
      </c>
      <c r="D65" t="s">
        <v>942</v>
      </c>
      <c r="E65" s="75">
        <v>7.6388888888888895E-2</v>
      </c>
      <c r="F65" s="75">
        <v>9.0277777777777776E-2</v>
      </c>
      <c r="I65" t="s">
        <v>956</v>
      </c>
    </row>
    <row r="66" spans="1:9" x14ac:dyDescent="0.6">
      <c r="A66" t="s">
        <v>1015</v>
      </c>
      <c r="B66" s="76">
        <v>1900</v>
      </c>
      <c r="C66" t="s">
        <v>47</v>
      </c>
      <c r="D66" t="s">
        <v>5</v>
      </c>
      <c r="E66" s="75">
        <v>0.16666666666666666</v>
      </c>
      <c r="F66" s="75">
        <v>0.1736111111111111</v>
      </c>
      <c r="H66" t="s">
        <v>1016</v>
      </c>
      <c r="I66" t="s">
        <v>956</v>
      </c>
    </row>
    <row r="67" spans="1:9" x14ac:dyDescent="0.6">
      <c r="A67" t="s">
        <v>1015</v>
      </c>
      <c r="B67" s="76">
        <v>1900</v>
      </c>
      <c r="C67" t="s">
        <v>46</v>
      </c>
      <c r="D67" t="s">
        <v>5</v>
      </c>
      <c r="E67" s="75">
        <v>0.18402777777777779</v>
      </c>
      <c r="F67" s="75">
        <v>0.19097222222222221</v>
      </c>
      <c r="H67" t="s">
        <v>1017</v>
      </c>
      <c r="I67" t="s">
        <v>956</v>
      </c>
    </row>
    <row r="68" spans="1:9" x14ac:dyDescent="0.6">
      <c r="A68" t="s">
        <v>1015</v>
      </c>
      <c r="B68" s="76">
        <v>1900</v>
      </c>
      <c r="C68" t="s">
        <v>45</v>
      </c>
      <c r="D68" t="s">
        <v>5</v>
      </c>
      <c r="E68" s="75">
        <v>0.2013888888888889</v>
      </c>
      <c r="F68" s="75">
        <v>0.20833333333333334</v>
      </c>
      <c r="H68" t="s">
        <v>1018</v>
      </c>
      <c r="I68" t="s">
        <v>956</v>
      </c>
    </row>
    <row r="69" spans="1:9" x14ac:dyDescent="0.6">
      <c r="A69" t="s">
        <v>1015</v>
      </c>
      <c r="B69" s="76">
        <v>1900</v>
      </c>
      <c r="C69" t="s">
        <v>128</v>
      </c>
      <c r="D69" t="s">
        <v>5</v>
      </c>
      <c r="E69" s="75">
        <v>0.21875</v>
      </c>
      <c r="F69" s="75">
        <v>0.22916666666666666</v>
      </c>
      <c r="H69" t="s">
        <v>1019</v>
      </c>
      <c r="I69" t="s">
        <v>956</v>
      </c>
    </row>
    <row r="70" spans="1:9" x14ac:dyDescent="0.6">
      <c r="A70" t="s">
        <v>1020</v>
      </c>
      <c r="B70" s="76">
        <v>1900</v>
      </c>
      <c r="C70" t="s">
        <v>941</v>
      </c>
      <c r="D70" t="s">
        <v>942</v>
      </c>
      <c r="E70" s="75">
        <v>7.6388888888888895E-2</v>
      </c>
      <c r="F70" s="75">
        <v>9.0277777777777776E-2</v>
      </c>
      <c r="I70" t="s">
        <v>1005</v>
      </c>
    </row>
    <row r="71" spans="1:9" x14ac:dyDescent="0.6">
      <c r="A71" t="s">
        <v>1020</v>
      </c>
      <c r="B71" s="76">
        <v>1900</v>
      </c>
      <c r="C71" t="s">
        <v>95</v>
      </c>
      <c r="D71" t="s">
        <v>5</v>
      </c>
      <c r="E71" s="75">
        <v>0.16666666666666666</v>
      </c>
      <c r="F71" s="75">
        <v>0.17708333333333334</v>
      </c>
      <c r="H71" t="s">
        <v>1021</v>
      </c>
      <c r="I71" t="s">
        <v>1005</v>
      </c>
    </row>
    <row r="72" spans="1:9" x14ac:dyDescent="0.6">
      <c r="A72" t="s">
        <v>1020</v>
      </c>
      <c r="B72" s="76">
        <v>1900</v>
      </c>
      <c r="C72" t="s">
        <v>96</v>
      </c>
      <c r="D72" t="s">
        <v>5</v>
      </c>
      <c r="E72" s="75">
        <v>0.1875</v>
      </c>
      <c r="F72" s="75">
        <v>0.19791666666666666</v>
      </c>
      <c r="H72" t="s">
        <v>1022</v>
      </c>
      <c r="I72" t="s">
        <v>1005</v>
      </c>
    </row>
    <row r="73" spans="1:9" x14ac:dyDescent="0.6">
      <c r="A73" t="s">
        <v>1020</v>
      </c>
      <c r="B73" s="76">
        <v>1900</v>
      </c>
      <c r="C73" t="s">
        <v>93</v>
      </c>
      <c r="D73" t="s">
        <v>5</v>
      </c>
      <c r="E73" s="75">
        <v>0.15972222222222221</v>
      </c>
      <c r="F73" s="75">
        <v>0.1701388888888889</v>
      </c>
      <c r="H73" t="s">
        <v>1023</v>
      </c>
      <c r="I73" t="s">
        <v>1005</v>
      </c>
    </row>
    <row r="74" spans="1:9" x14ac:dyDescent="0.6">
      <c r="A74" t="s">
        <v>1020</v>
      </c>
      <c r="B74" s="76">
        <v>1900</v>
      </c>
      <c r="C74" t="s">
        <v>95</v>
      </c>
      <c r="D74" t="s">
        <v>5</v>
      </c>
      <c r="E74" s="75">
        <v>0.18055555555555555</v>
      </c>
      <c r="F74" s="75">
        <v>0.19097222222222221</v>
      </c>
      <c r="H74" t="s">
        <v>1024</v>
      </c>
      <c r="I74" t="s">
        <v>1005</v>
      </c>
    </row>
    <row r="75" spans="1:9" x14ac:dyDescent="0.6">
      <c r="A75" t="s">
        <v>1020</v>
      </c>
      <c r="B75" s="76">
        <v>1900</v>
      </c>
      <c r="C75" t="s">
        <v>96</v>
      </c>
      <c r="D75" t="s">
        <v>1008</v>
      </c>
      <c r="E75" s="75">
        <v>0.23958333333333334</v>
      </c>
      <c r="F75" s="75">
        <v>0.25347222222222221</v>
      </c>
      <c r="H75" t="s">
        <v>1025</v>
      </c>
      <c r="I75" t="s">
        <v>1005</v>
      </c>
    </row>
    <row r="76" spans="1:9" x14ac:dyDescent="0.6">
      <c r="A76" t="s">
        <v>1020</v>
      </c>
      <c r="B76" s="76">
        <v>1900</v>
      </c>
      <c r="C76" t="s">
        <v>941</v>
      </c>
      <c r="D76" t="s">
        <v>942</v>
      </c>
      <c r="E76" s="75">
        <v>0.28819444444444442</v>
      </c>
      <c r="F76" s="75">
        <v>0.2951388888888889</v>
      </c>
      <c r="H76" t="s">
        <v>1026</v>
      </c>
      <c r="I76" t="s">
        <v>1005</v>
      </c>
    </row>
    <row r="77" spans="1:9" x14ac:dyDescent="0.6">
      <c r="A77" t="s">
        <v>1027</v>
      </c>
      <c r="B77" s="76">
        <v>1900</v>
      </c>
      <c r="C77" t="s">
        <v>941</v>
      </c>
      <c r="D77" t="s">
        <v>942</v>
      </c>
      <c r="E77" s="75">
        <v>7.6388888888888895E-2</v>
      </c>
      <c r="F77" s="75">
        <v>9.0277777777777776E-2</v>
      </c>
      <c r="I77" t="s">
        <v>943</v>
      </c>
    </row>
    <row r="78" spans="1:9" x14ac:dyDescent="0.6">
      <c r="A78" t="s">
        <v>1027</v>
      </c>
      <c r="B78" s="76">
        <v>1900</v>
      </c>
      <c r="C78" t="s">
        <v>101</v>
      </c>
      <c r="D78" t="s">
        <v>5</v>
      </c>
      <c r="E78" s="75">
        <v>0.16666666666666666</v>
      </c>
      <c r="F78" s="75">
        <v>0.17708333333333334</v>
      </c>
      <c r="H78" t="s">
        <v>1028</v>
      </c>
      <c r="I78" t="s">
        <v>943</v>
      </c>
    </row>
    <row r="79" spans="1:9" x14ac:dyDescent="0.6">
      <c r="A79" t="s">
        <v>1027</v>
      </c>
      <c r="B79" s="76">
        <v>1900</v>
      </c>
      <c r="C79" t="s">
        <v>72</v>
      </c>
      <c r="D79" t="s">
        <v>5</v>
      </c>
      <c r="E79" s="75">
        <v>0.1875</v>
      </c>
      <c r="F79" s="75">
        <v>0.19444444444444445</v>
      </c>
      <c r="H79" t="s">
        <v>1029</v>
      </c>
      <c r="I79" t="s">
        <v>943</v>
      </c>
    </row>
    <row r="80" spans="1:9" x14ac:dyDescent="0.6">
      <c r="A80" t="s">
        <v>1027</v>
      </c>
      <c r="B80" s="76">
        <v>1900</v>
      </c>
      <c r="C80" t="s">
        <v>73</v>
      </c>
      <c r="D80" t="s">
        <v>5</v>
      </c>
      <c r="E80" s="75">
        <v>0.2048611111111111</v>
      </c>
      <c r="F80" s="75">
        <v>0.21527777777777779</v>
      </c>
      <c r="H80" t="s">
        <v>1030</v>
      </c>
      <c r="I80" t="s">
        <v>943</v>
      </c>
    </row>
    <row r="81" spans="1:9" x14ac:dyDescent="0.6">
      <c r="A81" t="s">
        <v>1031</v>
      </c>
      <c r="B81" s="76">
        <v>1900</v>
      </c>
      <c r="C81" t="s">
        <v>941</v>
      </c>
      <c r="D81" t="s">
        <v>942</v>
      </c>
      <c r="E81" s="75">
        <v>7.6388888888888895E-2</v>
      </c>
      <c r="F81" s="75">
        <v>9.0277777777777776E-2</v>
      </c>
      <c r="I81" t="s">
        <v>1005</v>
      </c>
    </row>
    <row r="82" spans="1:9" x14ac:dyDescent="0.6">
      <c r="A82" t="s">
        <v>1031</v>
      </c>
      <c r="B82" s="76">
        <v>1900</v>
      </c>
      <c r="C82" t="s">
        <v>92</v>
      </c>
      <c r="D82" t="s">
        <v>5</v>
      </c>
      <c r="E82" s="75">
        <v>0.14583333333333334</v>
      </c>
      <c r="F82" s="75">
        <v>0.15625</v>
      </c>
      <c r="H82" t="s">
        <v>1032</v>
      </c>
      <c r="I82" t="s">
        <v>1005</v>
      </c>
    </row>
    <row r="83" spans="1:9" x14ac:dyDescent="0.6">
      <c r="A83" t="s">
        <v>1031</v>
      </c>
      <c r="B83" s="76">
        <v>1900</v>
      </c>
      <c r="C83" t="s">
        <v>100</v>
      </c>
      <c r="D83" t="s">
        <v>5</v>
      </c>
      <c r="E83" s="75">
        <v>0.1701388888888889</v>
      </c>
      <c r="F83" s="75">
        <v>0.18055555555555555</v>
      </c>
      <c r="H83" t="s">
        <v>1033</v>
      </c>
      <c r="I83" t="s">
        <v>1005</v>
      </c>
    </row>
    <row r="84" spans="1:9" x14ac:dyDescent="0.6">
      <c r="A84" t="s">
        <v>1031</v>
      </c>
      <c r="B84" s="76">
        <v>1900</v>
      </c>
      <c r="C84" t="s">
        <v>1034</v>
      </c>
      <c r="D84" t="s">
        <v>5</v>
      </c>
      <c r="E84" s="75">
        <v>0.19791666666666666</v>
      </c>
      <c r="F84" s="75">
        <v>0.20833333333333334</v>
      </c>
      <c r="H84" t="s">
        <v>1035</v>
      </c>
      <c r="I84" t="s">
        <v>1005</v>
      </c>
    </row>
    <row r="85" spans="1:9" x14ac:dyDescent="0.6">
      <c r="A85" t="s">
        <v>1031</v>
      </c>
      <c r="B85" s="76">
        <v>1900</v>
      </c>
      <c r="C85" t="s">
        <v>100</v>
      </c>
      <c r="D85" t="s">
        <v>137</v>
      </c>
      <c r="E85" s="75">
        <v>0.22569444444444445</v>
      </c>
      <c r="F85" s="75">
        <v>0.2361111111111111</v>
      </c>
      <c r="H85" t="s">
        <v>1033</v>
      </c>
      <c r="I85" t="s">
        <v>1005</v>
      </c>
    </row>
    <row r="86" spans="1:9" x14ac:dyDescent="0.6">
      <c r="A86" t="s">
        <v>1031</v>
      </c>
      <c r="B86" s="76">
        <v>1900</v>
      </c>
      <c r="C86" t="s">
        <v>941</v>
      </c>
      <c r="D86" t="s">
        <v>942</v>
      </c>
      <c r="E86" s="75">
        <v>0.27777777777777779</v>
      </c>
      <c r="F86" s="75">
        <v>0.29166666666666669</v>
      </c>
      <c r="H86" t="s">
        <v>1036</v>
      </c>
      <c r="I86" t="s">
        <v>1005</v>
      </c>
    </row>
    <row r="87" spans="1:9" x14ac:dyDescent="0.6">
      <c r="A87" t="s">
        <v>1037</v>
      </c>
      <c r="B87" s="76">
        <v>1900</v>
      </c>
      <c r="C87" t="s">
        <v>941</v>
      </c>
      <c r="D87" t="s">
        <v>942</v>
      </c>
      <c r="E87" s="75">
        <v>7.6388888888888895E-2</v>
      </c>
      <c r="F87" s="75">
        <v>9.0277777777777776E-2</v>
      </c>
      <c r="I87" t="s">
        <v>972</v>
      </c>
    </row>
    <row r="88" spans="1:9" x14ac:dyDescent="0.6">
      <c r="A88" t="s">
        <v>1037</v>
      </c>
      <c r="B88" s="76">
        <v>1900</v>
      </c>
      <c r="C88" t="s">
        <v>113</v>
      </c>
      <c r="D88" t="s">
        <v>5</v>
      </c>
      <c r="E88" s="75">
        <v>0.16666666666666666</v>
      </c>
      <c r="F88" s="75">
        <v>0.1736111111111111</v>
      </c>
      <c r="H88" t="s">
        <v>1038</v>
      </c>
      <c r="I88" t="s">
        <v>972</v>
      </c>
    </row>
    <row r="89" spans="1:9" x14ac:dyDescent="0.6">
      <c r="A89" t="s">
        <v>1037</v>
      </c>
      <c r="B89" s="76">
        <v>1900</v>
      </c>
      <c r="C89" t="s">
        <v>112</v>
      </c>
      <c r="D89" t="s">
        <v>5</v>
      </c>
      <c r="E89" s="75">
        <v>0.18055555555555555</v>
      </c>
      <c r="F89" s="75">
        <v>0.1875</v>
      </c>
      <c r="H89" t="s">
        <v>1039</v>
      </c>
      <c r="I89" t="s">
        <v>972</v>
      </c>
    </row>
    <row r="90" spans="1:9" x14ac:dyDescent="0.6">
      <c r="A90" t="s">
        <v>1037</v>
      </c>
      <c r="B90" s="76">
        <v>1900</v>
      </c>
      <c r="C90" t="s">
        <v>102</v>
      </c>
      <c r="D90" t="s">
        <v>5</v>
      </c>
      <c r="E90" s="75">
        <v>0.19791666666666666</v>
      </c>
      <c r="F90" s="75">
        <v>0.2048611111111111</v>
      </c>
      <c r="H90" t="s">
        <v>1040</v>
      </c>
      <c r="I90" t="s">
        <v>972</v>
      </c>
    </row>
    <row r="91" spans="1:9" x14ac:dyDescent="0.6">
      <c r="A91" t="s">
        <v>1041</v>
      </c>
      <c r="B91" s="76">
        <v>1900</v>
      </c>
      <c r="C91" t="s">
        <v>941</v>
      </c>
      <c r="D91" t="s">
        <v>942</v>
      </c>
      <c r="E91" s="75">
        <v>7.6388888888888895E-2</v>
      </c>
      <c r="F91" s="75">
        <v>9.0277777777777776E-2</v>
      </c>
      <c r="I91" t="s">
        <v>1005</v>
      </c>
    </row>
    <row r="92" spans="1:9" x14ac:dyDescent="0.6">
      <c r="A92" t="s">
        <v>1041</v>
      </c>
      <c r="B92" s="76">
        <v>1900</v>
      </c>
      <c r="C92" t="s">
        <v>126</v>
      </c>
      <c r="D92" t="s">
        <v>5</v>
      </c>
      <c r="E92" s="75">
        <v>0.16666666666666666</v>
      </c>
      <c r="F92" s="75">
        <v>0.17708333333333334</v>
      </c>
      <c r="H92" t="s">
        <v>1042</v>
      </c>
      <c r="I92" t="s">
        <v>1005</v>
      </c>
    </row>
    <row r="93" spans="1:9" x14ac:dyDescent="0.6">
      <c r="A93" t="s">
        <v>1041</v>
      </c>
      <c r="B93" s="76">
        <v>1900</v>
      </c>
      <c r="C93" t="s">
        <v>130</v>
      </c>
      <c r="D93" t="s">
        <v>5</v>
      </c>
      <c r="E93" s="75">
        <v>0.18055555555555555</v>
      </c>
      <c r="F93" s="75">
        <v>0.19097222222222221</v>
      </c>
      <c r="H93" t="s">
        <v>1043</v>
      </c>
      <c r="I93" t="s">
        <v>1005</v>
      </c>
    </row>
    <row r="94" spans="1:9" x14ac:dyDescent="0.6">
      <c r="A94" t="s">
        <v>1041</v>
      </c>
      <c r="B94" s="76">
        <v>1900</v>
      </c>
      <c r="C94" t="s">
        <v>125</v>
      </c>
      <c r="D94" t="s">
        <v>5</v>
      </c>
      <c r="E94" s="75">
        <v>0.16666666666666666</v>
      </c>
      <c r="F94" s="75">
        <v>0.1736111111111111</v>
      </c>
      <c r="H94" t="s">
        <v>1044</v>
      </c>
      <c r="I94" t="s">
        <v>1005</v>
      </c>
    </row>
    <row r="95" spans="1:9" x14ac:dyDescent="0.6">
      <c r="A95" t="s">
        <v>1041</v>
      </c>
      <c r="B95" s="76">
        <v>1900</v>
      </c>
      <c r="C95" t="s">
        <v>127</v>
      </c>
      <c r="D95" t="s">
        <v>5</v>
      </c>
      <c r="E95" s="75">
        <v>0.18055555555555555</v>
      </c>
      <c r="F95" s="75">
        <v>0.19097222222222221</v>
      </c>
      <c r="H95" t="s">
        <v>1045</v>
      </c>
      <c r="I95" t="s">
        <v>1005</v>
      </c>
    </row>
    <row r="96" spans="1:9" x14ac:dyDescent="0.6">
      <c r="A96" t="s">
        <v>1046</v>
      </c>
      <c r="B96" s="76">
        <v>1900</v>
      </c>
      <c r="C96" t="s">
        <v>941</v>
      </c>
      <c r="D96" t="s">
        <v>942</v>
      </c>
      <c r="E96" s="75">
        <v>7.6388888888888895E-2</v>
      </c>
      <c r="F96" s="75">
        <v>9.0277777777777776E-2</v>
      </c>
      <c r="I96" t="s">
        <v>1005</v>
      </c>
    </row>
    <row r="97" spans="1:9" x14ac:dyDescent="0.6">
      <c r="A97" t="s">
        <v>1046</v>
      </c>
      <c r="B97" s="76">
        <v>1900</v>
      </c>
      <c r="C97" t="s">
        <v>32</v>
      </c>
      <c r="D97" t="s">
        <v>5</v>
      </c>
      <c r="E97" s="75">
        <v>0.16666666666666666</v>
      </c>
      <c r="F97" s="75">
        <v>0.17708333333333334</v>
      </c>
      <c r="H97" t="s">
        <v>1047</v>
      </c>
      <c r="I97" t="s">
        <v>1005</v>
      </c>
    </row>
    <row r="98" spans="1:9" x14ac:dyDescent="0.6">
      <c r="A98" t="s">
        <v>1046</v>
      </c>
      <c r="B98" s="76">
        <v>1900</v>
      </c>
      <c r="C98" t="s">
        <v>29</v>
      </c>
      <c r="D98" t="s">
        <v>5</v>
      </c>
      <c r="E98" s="75">
        <v>0.19791666666666666</v>
      </c>
      <c r="F98" s="75">
        <v>0.20833333333333334</v>
      </c>
      <c r="H98" t="s">
        <v>1048</v>
      </c>
      <c r="I98" t="s">
        <v>1005</v>
      </c>
    </row>
    <row r="99" spans="1:9" x14ac:dyDescent="0.6">
      <c r="A99" t="s">
        <v>1046</v>
      </c>
      <c r="B99" s="76">
        <v>1900</v>
      </c>
      <c r="C99" t="s">
        <v>30</v>
      </c>
      <c r="D99" t="s">
        <v>5</v>
      </c>
      <c r="E99" s="75">
        <v>0.21875</v>
      </c>
      <c r="F99" s="75">
        <v>0.22916666666666666</v>
      </c>
      <c r="H99" t="s">
        <v>1049</v>
      </c>
      <c r="I99" t="s">
        <v>1005</v>
      </c>
    </row>
    <row r="100" spans="1:9" x14ac:dyDescent="0.6">
      <c r="A100" t="s">
        <v>1050</v>
      </c>
      <c r="B100" s="76">
        <v>1900</v>
      </c>
      <c r="C100" t="s">
        <v>941</v>
      </c>
      <c r="D100" t="s">
        <v>942</v>
      </c>
      <c r="E100" s="75">
        <v>9.0277777777777776E-2</v>
      </c>
      <c r="F100" s="75">
        <v>0.10416666666666667</v>
      </c>
      <c r="I100" t="s">
        <v>961</v>
      </c>
    </row>
    <row r="101" spans="1:9" x14ac:dyDescent="0.6">
      <c r="A101" t="s">
        <v>1050</v>
      </c>
      <c r="B101" s="76">
        <v>1900</v>
      </c>
      <c r="C101" t="s">
        <v>18</v>
      </c>
      <c r="D101" t="s">
        <v>5</v>
      </c>
      <c r="E101" s="75">
        <v>0.16666666666666666</v>
      </c>
      <c r="F101" s="75">
        <v>0.17708333333333334</v>
      </c>
      <c r="H101" t="s">
        <v>978</v>
      </c>
      <c r="I101" t="s">
        <v>961</v>
      </c>
    </row>
    <row r="102" spans="1:9" x14ac:dyDescent="0.6">
      <c r="A102" t="s">
        <v>1050</v>
      </c>
      <c r="B102" s="76">
        <v>1900</v>
      </c>
      <c r="C102" t="s">
        <v>19</v>
      </c>
      <c r="D102" t="s">
        <v>5</v>
      </c>
      <c r="E102" s="75">
        <v>0.19097222222222221</v>
      </c>
      <c r="F102" s="75">
        <v>0.2013888888888889</v>
      </c>
      <c r="H102" t="s">
        <v>1051</v>
      </c>
      <c r="I102" t="s">
        <v>961</v>
      </c>
    </row>
    <row r="103" spans="1:9" x14ac:dyDescent="0.6">
      <c r="A103" t="s">
        <v>1052</v>
      </c>
      <c r="B103" s="76">
        <v>1900</v>
      </c>
      <c r="C103" t="s">
        <v>941</v>
      </c>
      <c r="D103" t="s">
        <v>942</v>
      </c>
      <c r="E103" s="75">
        <v>0.10416666666666667</v>
      </c>
      <c r="F103" s="75">
        <v>0.11805555555555555</v>
      </c>
      <c r="G103" t="s">
        <v>966</v>
      </c>
      <c r="I103" t="s">
        <v>987</v>
      </c>
    </row>
    <row r="104" spans="1:9" x14ac:dyDescent="0.6">
      <c r="A104" t="s">
        <v>1052</v>
      </c>
      <c r="B104" s="76">
        <v>1900</v>
      </c>
      <c r="C104" t="s">
        <v>55</v>
      </c>
      <c r="D104" t="s">
        <v>5</v>
      </c>
      <c r="E104" s="75">
        <v>0.16666666666666666</v>
      </c>
      <c r="F104" s="75">
        <v>0.1736111111111111</v>
      </c>
      <c r="H104" t="s">
        <v>1053</v>
      </c>
      <c r="I104" t="s">
        <v>987</v>
      </c>
    </row>
    <row r="105" spans="1:9" x14ac:dyDescent="0.6">
      <c r="A105" t="s">
        <v>1052</v>
      </c>
      <c r="B105" s="76">
        <v>1900</v>
      </c>
      <c r="C105" t="s">
        <v>146</v>
      </c>
      <c r="D105" t="s">
        <v>5</v>
      </c>
      <c r="E105" s="75">
        <v>0.19097222222222221</v>
      </c>
      <c r="F105" s="75">
        <v>0.2013888888888889</v>
      </c>
      <c r="H105" t="s">
        <v>1054</v>
      </c>
      <c r="I105" t="s">
        <v>987</v>
      </c>
    </row>
    <row r="106" spans="1:9" x14ac:dyDescent="0.6">
      <c r="A106" t="s">
        <v>1055</v>
      </c>
      <c r="B106" s="76">
        <v>1900</v>
      </c>
      <c r="C106" t="s">
        <v>941</v>
      </c>
      <c r="D106" t="s">
        <v>942</v>
      </c>
      <c r="E106" s="75">
        <v>9.0277777777777776E-2</v>
      </c>
      <c r="F106" s="75">
        <v>0.10416666666666667</v>
      </c>
      <c r="I106" t="s">
        <v>956</v>
      </c>
    </row>
    <row r="107" spans="1:9" x14ac:dyDescent="0.6">
      <c r="A107" t="s">
        <v>1055</v>
      </c>
      <c r="B107" s="76">
        <v>1900</v>
      </c>
      <c r="C107" t="s">
        <v>123</v>
      </c>
      <c r="D107" t="s">
        <v>5</v>
      </c>
      <c r="E107" s="75">
        <v>0.16666666666666666</v>
      </c>
      <c r="F107" s="75">
        <v>0.17708333333333334</v>
      </c>
      <c r="H107" t="s">
        <v>1056</v>
      </c>
      <c r="I107" t="s">
        <v>956</v>
      </c>
    </row>
    <row r="108" spans="1:9" x14ac:dyDescent="0.6">
      <c r="A108" t="s">
        <v>1055</v>
      </c>
      <c r="B108" s="76">
        <v>1900</v>
      </c>
      <c r="C108" t="s">
        <v>121</v>
      </c>
      <c r="D108" t="s">
        <v>5</v>
      </c>
      <c r="E108" s="75">
        <v>0.1875</v>
      </c>
      <c r="F108" s="75">
        <v>0.19791666666666666</v>
      </c>
      <c r="H108" t="s">
        <v>1057</v>
      </c>
      <c r="I108" t="s">
        <v>956</v>
      </c>
    </row>
    <row r="109" spans="1:9" x14ac:dyDescent="0.6">
      <c r="A109" t="s">
        <v>1055</v>
      </c>
      <c r="B109" s="76">
        <v>1900</v>
      </c>
      <c r="C109" t="s">
        <v>119</v>
      </c>
      <c r="D109" t="s">
        <v>5</v>
      </c>
      <c r="E109" s="75">
        <v>0.16666666666666666</v>
      </c>
      <c r="F109" s="75">
        <v>0.17708333333333334</v>
      </c>
      <c r="H109" t="s">
        <v>1058</v>
      </c>
      <c r="I109" t="s">
        <v>956</v>
      </c>
    </row>
    <row r="110" spans="1:9" x14ac:dyDescent="0.6">
      <c r="A110" t="s">
        <v>1059</v>
      </c>
      <c r="B110" s="76">
        <v>1900</v>
      </c>
      <c r="C110" t="s">
        <v>941</v>
      </c>
      <c r="D110" t="s">
        <v>942</v>
      </c>
      <c r="E110" s="75">
        <v>9.0277777777777776E-2</v>
      </c>
      <c r="F110" s="75">
        <v>0.10416666666666667</v>
      </c>
      <c r="I110" t="s">
        <v>972</v>
      </c>
    </row>
    <row r="111" spans="1:9" x14ac:dyDescent="0.6">
      <c r="A111" t="s">
        <v>1059</v>
      </c>
      <c r="B111" s="76">
        <v>1900</v>
      </c>
      <c r="C111" t="s">
        <v>120</v>
      </c>
      <c r="D111" t="s">
        <v>5</v>
      </c>
      <c r="E111" s="75">
        <v>0.16666666666666666</v>
      </c>
      <c r="F111" s="75">
        <v>0.1736111111111111</v>
      </c>
      <c r="H111" t="s">
        <v>1060</v>
      </c>
      <c r="I111" t="s">
        <v>972</v>
      </c>
    </row>
    <row r="112" spans="1:9" x14ac:dyDescent="0.6">
      <c r="A112" t="s">
        <v>1059</v>
      </c>
      <c r="B112" s="76">
        <v>1900</v>
      </c>
      <c r="C112" t="s">
        <v>118</v>
      </c>
      <c r="D112" t="s">
        <v>5</v>
      </c>
      <c r="E112" s="75">
        <v>0.18055555555555555</v>
      </c>
      <c r="F112" s="75">
        <v>0.19097222222222221</v>
      </c>
      <c r="H112" t="s">
        <v>1061</v>
      </c>
      <c r="I112" t="s">
        <v>972</v>
      </c>
    </row>
    <row r="113" spans="1:9" x14ac:dyDescent="0.6">
      <c r="A113" t="s">
        <v>1059</v>
      </c>
      <c r="B113" s="76">
        <v>1900</v>
      </c>
      <c r="C113" t="s">
        <v>117</v>
      </c>
      <c r="D113" t="s">
        <v>5</v>
      </c>
      <c r="E113" s="75">
        <v>0.2013888888888889</v>
      </c>
      <c r="F113" s="75">
        <v>0.21180555555555555</v>
      </c>
      <c r="H113" t="s">
        <v>1062</v>
      </c>
      <c r="I113" t="s">
        <v>972</v>
      </c>
    </row>
    <row r="114" spans="1:9" x14ac:dyDescent="0.6">
      <c r="A114" t="s">
        <v>1063</v>
      </c>
      <c r="B114" s="76">
        <v>1900</v>
      </c>
      <c r="C114" t="s">
        <v>941</v>
      </c>
      <c r="D114" t="s">
        <v>942</v>
      </c>
      <c r="E114" s="75">
        <v>9.0277777777777776E-2</v>
      </c>
      <c r="F114" s="75">
        <v>0.10416666666666667</v>
      </c>
      <c r="I114" t="s">
        <v>1005</v>
      </c>
    </row>
    <row r="115" spans="1:9" x14ac:dyDescent="0.6">
      <c r="A115" t="s">
        <v>1063</v>
      </c>
      <c r="B115" s="76">
        <v>1900</v>
      </c>
      <c r="C115" t="s">
        <v>31</v>
      </c>
      <c r="D115" t="s">
        <v>5</v>
      </c>
      <c r="E115" s="75">
        <v>0.16666666666666666</v>
      </c>
      <c r="F115" s="75">
        <v>0.17708333333333334</v>
      </c>
      <c r="H115" t="s">
        <v>1064</v>
      </c>
      <c r="I115" t="s">
        <v>1005</v>
      </c>
    </row>
    <row r="116" spans="1:9" x14ac:dyDescent="0.6">
      <c r="A116" t="s">
        <v>1063</v>
      </c>
      <c r="B116" s="76">
        <v>1900</v>
      </c>
      <c r="C116" t="s">
        <v>53</v>
      </c>
      <c r="D116" t="s">
        <v>5</v>
      </c>
      <c r="E116" s="75">
        <v>0.19444444444444445</v>
      </c>
      <c r="F116" s="75">
        <v>0.2013888888888889</v>
      </c>
      <c r="H116" t="s">
        <v>1065</v>
      </c>
      <c r="I116" t="s">
        <v>1005</v>
      </c>
    </row>
    <row r="117" spans="1:9" x14ac:dyDescent="0.6">
      <c r="A117" t="s">
        <v>1063</v>
      </c>
      <c r="B117" s="76">
        <v>1900</v>
      </c>
      <c r="C117" t="s">
        <v>52</v>
      </c>
      <c r="D117" t="s">
        <v>5</v>
      </c>
      <c r="E117" s="75">
        <v>0.21180555555555555</v>
      </c>
      <c r="F117" s="75">
        <v>0.22222222222222221</v>
      </c>
      <c r="H117" t="s">
        <v>1066</v>
      </c>
      <c r="I117" t="s">
        <v>1005</v>
      </c>
    </row>
    <row r="118" spans="1:9" x14ac:dyDescent="0.6">
      <c r="A118" t="s">
        <v>1067</v>
      </c>
      <c r="B118" s="76">
        <v>1900</v>
      </c>
      <c r="C118" t="s">
        <v>941</v>
      </c>
      <c r="D118" t="s">
        <v>942</v>
      </c>
      <c r="E118" s="75">
        <v>9.0277777777777776E-2</v>
      </c>
      <c r="F118" s="75">
        <v>0.10416666666666667</v>
      </c>
      <c r="I118" t="s">
        <v>961</v>
      </c>
    </row>
    <row r="119" spans="1:9" x14ac:dyDescent="0.6">
      <c r="A119" t="s">
        <v>1067</v>
      </c>
      <c r="B119" s="76">
        <v>1900</v>
      </c>
      <c r="C119" t="s">
        <v>33</v>
      </c>
      <c r="D119" t="s">
        <v>5</v>
      </c>
      <c r="E119" s="75">
        <v>0.16666666666666666</v>
      </c>
      <c r="F119" s="75">
        <v>0.17708333333333334</v>
      </c>
      <c r="H119" t="s">
        <v>1068</v>
      </c>
      <c r="I119" t="s">
        <v>961</v>
      </c>
    </row>
    <row r="120" spans="1:9" x14ac:dyDescent="0.6">
      <c r="A120" t="s">
        <v>1067</v>
      </c>
      <c r="B120" s="76">
        <v>1900</v>
      </c>
      <c r="C120" t="s">
        <v>56</v>
      </c>
      <c r="D120" t="s">
        <v>5</v>
      </c>
      <c r="E120" s="75">
        <v>0.19097222222222221</v>
      </c>
      <c r="F120" s="75">
        <v>0.2013888888888889</v>
      </c>
      <c r="H120" t="s">
        <v>1069</v>
      </c>
      <c r="I120" t="s">
        <v>961</v>
      </c>
    </row>
    <row r="121" spans="1:9" x14ac:dyDescent="0.6">
      <c r="A121" t="s">
        <v>1067</v>
      </c>
      <c r="B121" s="76">
        <v>1900</v>
      </c>
      <c r="C121" t="s">
        <v>54</v>
      </c>
      <c r="D121" t="s">
        <v>5</v>
      </c>
      <c r="E121" s="75">
        <v>0.21180555555555555</v>
      </c>
      <c r="F121" s="75">
        <v>0.21875</v>
      </c>
      <c r="H121" t="s">
        <v>1066</v>
      </c>
      <c r="I121" t="s">
        <v>961</v>
      </c>
    </row>
    <row r="122" spans="1:9" x14ac:dyDescent="0.6">
      <c r="A122" t="s">
        <v>1070</v>
      </c>
      <c r="B122" s="76">
        <v>1900</v>
      </c>
      <c r="C122" t="s">
        <v>941</v>
      </c>
      <c r="D122" t="s">
        <v>942</v>
      </c>
      <c r="E122" s="75">
        <v>9.0277777777777776E-2</v>
      </c>
      <c r="F122" s="75">
        <v>0.10416666666666667</v>
      </c>
      <c r="I122" t="s">
        <v>972</v>
      </c>
    </row>
    <row r="123" spans="1:9" x14ac:dyDescent="0.6">
      <c r="A123" t="s">
        <v>1070</v>
      </c>
      <c r="B123" s="76">
        <v>1900</v>
      </c>
      <c r="C123" t="s">
        <v>110</v>
      </c>
      <c r="D123" t="s">
        <v>5</v>
      </c>
      <c r="E123" s="75">
        <v>0.16666666666666666</v>
      </c>
      <c r="F123" s="75">
        <v>0.17708333333333334</v>
      </c>
      <c r="H123" t="s">
        <v>1071</v>
      </c>
      <c r="I123" t="s">
        <v>972</v>
      </c>
    </row>
    <row r="124" spans="1:9" x14ac:dyDescent="0.6">
      <c r="A124" t="s">
        <v>1070</v>
      </c>
      <c r="B124" s="76">
        <v>1900</v>
      </c>
      <c r="C124" t="s">
        <v>111</v>
      </c>
      <c r="D124" t="s">
        <v>5</v>
      </c>
      <c r="E124" s="75">
        <v>0.1875</v>
      </c>
      <c r="F124" s="75">
        <v>0.19791666666666666</v>
      </c>
      <c r="H124" t="s">
        <v>1072</v>
      </c>
      <c r="I124" t="s">
        <v>972</v>
      </c>
    </row>
    <row r="125" spans="1:9" x14ac:dyDescent="0.6">
      <c r="A125" t="s">
        <v>1070</v>
      </c>
      <c r="B125" s="76">
        <v>1900</v>
      </c>
      <c r="C125" t="s">
        <v>109</v>
      </c>
      <c r="D125" t="s">
        <v>5</v>
      </c>
      <c r="E125" s="75">
        <v>0.16666666666666666</v>
      </c>
      <c r="F125" s="75">
        <v>0.1736111111111111</v>
      </c>
      <c r="H125" t="s">
        <v>1073</v>
      </c>
      <c r="I125" t="s">
        <v>972</v>
      </c>
    </row>
    <row r="126" spans="1:9" x14ac:dyDescent="0.6">
      <c r="A126" t="s">
        <v>1074</v>
      </c>
      <c r="B126" s="76">
        <v>1900</v>
      </c>
      <c r="C126" t="s">
        <v>941</v>
      </c>
      <c r="D126" t="s">
        <v>942</v>
      </c>
      <c r="E126" s="75">
        <v>9.0277777777777776E-2</v>
      </c>
      <c r="F126" s="75">
        <v>0.10416666666666667</v>
      </c>
      <c r="I126" t="s">
        <v>972</v>
      </c>
    </row>
    <row r="127" spans="1:9" x14ac:dyDescent="0.6">
      <c r="A127" t="s">
        <v>1074</v>
      </c>
      <c r="B127" s="76">
        <v>1900</v>
      </c>
      <c r="C127" t="s">
        <v>122</v>
      </c>
      <c r="D127" t="s">
        <v>5</v>
      </c>
      <c r="E127" s="75">
        <v>0.16666666666666666</v>
      </c>
      <c r="F127" s="75">
        <v>0.1736111111111111</v>
      </c>
      <c r="H127" t="s">
        <v>1075</v>
      </c>
      <c r="I127" t="s">
        <v>972</v>
      </c>
    </row>
    <row r="128" spans="1:9" x14ac:dyDescent="0.6">
      <c r="A128" t="s">
        <v>1074</v>
      </c>
      <c r="B128" s="76">
        <v>1900</v>
      </c>
      <c r="C128" t="s">
        <v>114</v>
      </c>
      <c r="D128" t="s">
        <v>5</v>
      </c>
      <c r="E128" s="75">
        <v>0.18402777777777779</v>
      </c>
      <c r="F128" s="75">
        <v>0.19444444444444445</v>
      </c>
      <c r="H128" t="s">
        <v>1076</v>
      </c>
      <c r="I128" t="s">
        <v>972</v>
      </c>
    </row>
    <row r="129" spans="1:10" x14ac:dyDescent="0.6">
      <c r="A129" t="s">
        <v>1074</v>
      </c>
      <c r="B129" s="76">
        <v>1900</v>
      </c>
      <c r="C129" t="s">
        <v>116</v>
      </c>
      <c r="D129" t="s">
        <v>5</v>
      </c>
      <c r="E129" s="75">
        <v>0.20833333333333334</v>
      </c>
      <c r="F129" s="75">
        <v>0.21875</v>
      </c>
      <c r="H129" t="s">
        <v>993</v>
      </c>
      <c r="I129" t="s">
        <v>972</v>
      </c>
    </row>
    <row r="130" spans="1:10" x14ac:dyDescent="0.6">
      <c r="A130" t="s">
        <v>1077</v>
      </c>
      <c r="B130" s="76">
        <v>1900</v>
      </c>
      <c r="C130" t="s">
        <v>941</v>
      </c>
      <c r="D130" t="s">
        <v>942</v>
      </c>
      <c r="E130" s="75">
        <v>9.0277777777777776E-2</v>
      </c>
      <c r="F130" s="75">
        <v>0.10416666666666667</v>
      </c>
      <c r="I130" t="s">
        <v>951</v>
      </c>
    </row>
    <row r="131" spans="1:10" x14ac:dyDescent="0.6">
      <c r="A131" t="s">
        <v>1077</v>
      </c>
      <c r="B131" s="76">
        <v>1900</v>
      </c>
      <c r="C131" t="s">
        <v>24</v>
      </c>
      <c r="D131" t="s">
        <v>5</v>
      </c>
      <c r="E131" s="75">
        <v>0.16666666666666666</v>
      </c>
      <c r="F131" s="75">
        <v>0.17708333333333334</v>
      </c>
      <c r="H131" t="s">
        <v>1078</v>
      </c>
      <c r="I131" t="s">
        <v>951</v>
      </c>
    </row>
    <row r="132" spans="1:10" x14ac:dyDescent="0.6">
      <c r="A132" t="s">
        <v>1077</v>
      </c>
      <c r="B132" s="76">
        <v>1900</v>
      </c>
      <c r="C132" t="s">
        <v>21</v>
      </c>
      <c r="D132" t="s">
        <v>5</v>
      </c>
      <c r="E132" s="75">
        <v>0.19097222222222221</v>
      </c>
      <c r="F132" s="75">
        <v>0.2013888888888889</v>
      </c>
      <c r="H132" t="s">
        <v>1079</v>
      </c>
      <c r="I132" t="s">
        <v>951</v>
      </c>
    </row>
    <row r="133" spans="1:10" x14ac:dyDescent="0.6">
      <c r="A133" t="s">
        <v>1077</v>
      </c>
      <c r="B133" s="76">
        <v>1900</v>
      </c>
      <c r="C133" t="s">
        <v>94</v>
      </c>
      <c r="D133" t="s">
        <v>5</v>
      </c>
      <c r="E133" s="75">
        <v>0.16666666666666666</v>
      </c>
      <c r="F133" s="75">
        <v>0.17708333333333334</v>
      </c>
      <c r="H133" t="s">
        <v>1080</v>
      </c>
      <c r="I133" t="s">
        <v>951</v>
      </c>
    </row>
    <row r="134" spans="1:10" x14ac:dyDescent="0.6">
      <c r="A134" t="s">
        <v>1081</v>
      </c>
      <c r="B134" s="76">
        <v>1900</v>
      </c>
      <c r="C134" t="s">
        <v>941</v>
      </c>
      <c r="D134" t="s">
        <v>942</v>
      </c>
      <c r="E134" s="75">
        <v>9.0277777777777776E-2</v>
      </c>
      <c r="F134" s="75">
        <v>0.10416666666666667</v>
      </c>
      <c r="I134" t="s">
        <v>943</v>
      </c>
    </row>
    <row r="135" spans="1:10" x14ac:dyDescent="0.6">
      <c r="A135" t="s">
        <v>1081</v>
      </c>
      <c r="B135" s="76">
        <v>1900</v>
      </c>
      <c r="C135" t="s">
        <v>22</v>
      </c>
      <c r="D135" t="s">
        <v>5</v>
      </c>
      <c r="E135" s="75">
        <v>0.16666666666666666</v>
      </c>
      <c r="F135" s="75">
        <v>0.17708333333333334</v>
      </c>
      <c r="H135" t="s">
        <v>1082</v>
      </c>
      <c r="I135" t="s">
        <v>943</v>
      </c>
    </row>
    <row r="136" spans="1:10" x14ac:dyDescent="0.6">
      <c r="A136" t="s">
        <v>1081</v>
      </c>
      <c r="B136" s="76">
        <v>1900</v>
      </c>
      <c r="C136" t="s">
        <v>23</v>
      </c>
      <c r="D136" t="s">
        <v>5</v>
      </c>
      <c r="E136" s="75">
        <v>0.19791666666666666</v>
      </c>
      <c r="F136" s="75">
        <v>0.20833333333333334</v>
      </c>
      <c r="H136" t="s">
        <v>1083</v>
      </c>
      <c r="I136" t="s">
        <v>943</v>
      </c>
    </row>
    <row r="137" spans="1:10" x14ac:dyDescent="0.6">
      <c r="A137" t="s">
        <v>1084</v>
      </c>
      <c r="B137" s="76">
        <v>1900</v>
      </c>
      <c r="C137" t="s">
        <v>941</v>
      </c>
      <c r="D137" t="s">
        <v>942</v>
      </c>
      <c r="E137" s="75">
        <v>9.0277777777777776E-2</v>
      </c>
      <c r="F137" s="75">
        <v>0.10416666666666667</v>
      </c>
      <c r="I137" t="s">
        <v>1005</v>
      </c>
    </row>
    <row r="138" spans="1:10" x14ac:dyDescent="0.6">
      <c r="A138" t="s">
        <v>1084</v>
      </c>
      <c r="B138" s="76">
        <v>1900</v>
      </c>
      <c r="C138" t="s">
        <v>34</v>
      </c>
      <c r="D138" t="s">
        <v>5</v>
      </c>
      <c r="E138" s="75">
        <v>0.16666666666666666</v>
      </c>
      <c r="F138" s="75">
        <v>0.17708333333333334</v>
      </c>
      <c r="H138" t="s">
        <v>1085</v>
      </c>
      <c r="I138" t="s">
        <v>1005</v>
      </c>
    </row>
    <row r="139" spans="1:10" x14ac:dyDescent="0.6">
      <c r="A139" t="s">
        <v>1084</v>
      </c>
      <c r="B139" s="76">
        <v>1900</v>
      </c>
      <c r="C139" t="s">
        <v>50</v>
      </c>
      <c r="D139" t="s">
        <v>5</v>
      </c>
      <c r="E139" s="75">
        <v>0.19791666666666666</v>
      </c>
      <c r="F139" s="75">
        <v>0.20833333333333334</v>
      </c>
      <c r="H139" t="s">
        <v>1086</v>
      </c>
      <c r="I139" t="s">
        <v>1005</v>
      </c>
    </row>
    <row r="140" spans="1:10" x14ac:dyDescent="0.6">
      <c r="A140" t="s">
        <v>1084</v>
      </c>
      <c r="B140" s="76">
        <v>1900</v>
      </c>
      <c r="C140" t="s">
        <v>49</v>
      </c>
      <c r="D140" t="s">
        <v>5</v>
      </c>
      <c r="E140" s="75">
        <v>0.21875</v>
      </c>
      <c r="F140" s="75">
        <v>0.22916666666666666</v>
      </c>
      <c r="H140" t="s">
        <v>1087</v>
      </c>
      <c r="I140" t="s">
        <v>1005</v>
      </c>
    </row>
    <row r="141" spans="1:10" x14ac:dyDescent="0.6">
      <c r="A141" t="s">
        <v>1088</v>
      </c>
      <c r="B141" s="76">
        <v>1900</v>
      </c>
      <c r="C141" t="s">
        <v>941</v>
      </c>
      <c r="D141" t="s">
        <v>942</v>
      </c>
      <c r="E141" s="75">
        <v>0.10416666666666667</v>
      </c>
      <c r="F141" s="75">
        <v>0.11805555555555555</v>
      </c>
      <c r="G141" t="s">
        <v>966</v>
      </c>
      <c r="I141" t="s">
        <v>967</v>
      </c>
    </row>
    <row r="142" spans="1:10" x14ac:dyDescent="0.6">
      <c r="A142" t="s">
        <v>1088</v>
      </c>
      <c r="B142" s="76">
        <v>1900</v>
      </c>
      <c r="C142" t="s">
        <v>27</v>
      </c>
      <c r="D142" t="s">
        <v>5</v>
      </c>
      <c r="E142" s="75">
        <v>0.16666666666666666</v>
      </c>
      <c r="F142" s="75">
        <v>0.17708333333333334</v>
      </c>
      <c r="H142" t="s">
        <v>1089</v>
      </c>
      <c r="I142" t="s">
        <v>967</v>
      </c>
    </row>
    <row r="143" spans="1:10" x14ac:dyDescent="0.6">
      <c r="A143" t="s">
        <v>1088</v>
      </c>
      <c r="B143" s="76">
        <v>1900</v>
      </c>
      <c r="C143" t="s">
        <v>28</v>
      </c>
      <c r="D143" t="s">
        <v>5</v>
      </c>
      <c r="E143" s="75">
        <v>0.19097222222222221</v>
      </c>
      <c r="F143" s="75">
        <v>0.2013888888888889</v>
      </c>
      <c r="H143" t="s">
        <v>1090</v>
      </c>
      <c r="I143" t="s">
        <v>967</v>
      </c>
    </row>
    <row r="144" spans="1:10" x14ac:dyDescent="0.6">
      <c r="A144" t="s">
        <v>1091</v>
      </c>
      <c r="B144" s="76">
        <v>1900</v>
      </c>
      <c r="C144" t="s">
        <v>941</v>
      </c>
      <c r="D144" t="s">
        <v>942</v>
      </c>
      <c r="E144" s="75">
        <v>0.3125</v>
      </c>
      <c r="F144" s="75">
        <v>0.3263888888888889</v>
      </c>
      <c r="J144" t="s">
        <v>967</v>
      </c>
    </row>
    <row r="145" spans="1:10" x14ac:dyDescent="0.6">
      <c r="A145" t="s">
        <v>1091</v>
      </c>
      <c r="B145" s="76">
        <v>1900</v>
      </c>
      <c r="C145" t="s">
        <v>37</v>
      </c>
      <c r="D145" t="s">
        <v>1092</v>
      </c>
      <c r="E145" s="75">
        <v>0.4236111111111111</v>
      </c>
      <c r="F145" s="75">
        <v>0.43402777777777779</v>
      </c>
      <c r="I145" t="s">
        <v>944</v>
      </c>
    </row>
    <row r="146" spans="1:10" x14ac:dyDescent="0.6">
      <c r="A146" t="s">
        <v>1091</v>
      </c>
      <c r="B146" s="76">
        <v>1900</v>
      </c>
      <c r="C146" t="s">
        <v>36</v>
      </c>
      <c r="D146" t="s">
        <v>1092</v>
      </c>
      <c r="E146" s="75">
        <v>0.44791666666666669</v>
      </c>
      <c r="F146" s="75">
        <v>0.45833333333333331</v>
      </c>
      <c r="I146" t="s">
        <v>945</v>
      </c>
    </row>
    <row r="147" spans="1:10" x14ac:dyDescent="0.6">
      <c r="A147" t="s">
        <v>1091</v>
      </c>
      <c r="B147" s="76">
        <v>1900</v>
      </c>
      <c r="C147" t="s">
        <v>946</v>
      </c>
      <c r="D147" t="s">
        <v>1092</v>
      </c>
      <c r="E147" s="75">
        <v>0.44791666666666669</v>
      </c>
      <c r="F147" s="75">
        <v>0.45833333333333331</v>
      </c>
      <c r="G147" t="s">
        <v>947</v>
      </c>
      <c r="I147" t="s">
        <v>948</v>
      </c>
    </row>
    <row r="148" spans="1:10" x14ac:dyDescent="0.6">
      <c r="A148" t="s">
        <v>1091</v>
      </c>
      <c r="B148" s="76">
        <v>1900</v>
      </c>
      <c r="C148" t="s">
        <v>35</v>
      </c>
      <c r="D148" t="s">
        <v>1092</v>
      </c>
      <c r="E148" s="75">
        <v>0.46875</v>
      </c>
      <c r="F148" s="75">
        <v>0.47916666666666669</v>
      </c>
      <c r="I148" t="s">
        <v>1093</v>
      </c>
    </row>
    <row r="149" spans="1:10" x14ac:dyDescent="0.6">
      <c r="A149" t="s">
        <v>1091</v>
      </c>
      <c r="B149" s="76">
        <v>1900</v>
      </c>
      <c r="C149" t="s">
        <v>1094</v>
      </c>
      <c r="D149" t="s">
        <v>942</v>
      </c>
      <c r="E149" s="75">
        <v>0.52777777777777779</v>
      </c>
      <c r="F149" s="75">
        <v>0.54166666666666663</v>
      </c>
      <c r="I149" t="s">
        <v>1095</v>
      </c>
    </row>
    <row r="150" spans="1:10" x14ac:dyDescent="0.6">
      <c r="A150" t="s">
        <v>1096</v>
      </c>
      <c r="B150" s="76">
        <v>1900</v>
      </c>
      <c r="C150" t="s">
        <v>941</v>
      </c>
      <c r="D150" t="s">
        <v>942</v>
      </c>
      <c r="E150" s="75">
        <v>0.3125</v>
      </c>
      <c r="F150" s="75">
        <v>0.3263888888888889</v>
      </c>
      <c r="J150" t="s">
        <v>967</v>
      </c>
    </row>
    <row r="151" spans="1:10" x14ac:dyDescent="0.6">
      <c r="A151" t="s">
        <v>1096</v>
      </c>
      <c r="B151" s="76">
        <v>1900</v>
      </c>
      <c r="C151" t="s">
        <v>81</v>
      </c>
      <c r="D151" t="s">
        <v>1092</v>
      </c>
      <c r="E151" s="75">
        <v>0.41666666666666669</v>
      </c>
      <c r="F151" s="75">
        <v>0.42708333333333331</v>
      </c>
      <c r="I151" t="s">
        <v>952</v>
      </c>
    </row>
    <row r="152" spans="1:10" x14ac:dyDescent="0.6">
      <c r="A152" t="s">
        <v>1096</v>
      </c>
      <c r="B152" s="76">
        <v>1900</v>
      </c>
      <c r="C152" t="s">
        <v>20</v>
      </c>
      <c r="D152" t="s">
        <v>1092</v>
      </c>
      <c r="E152" s="75">
        <v>0.44097222222222221</v>
      </c>
      <c r="F152" s="75">
        <v>0.4513888888888889</v>
      </c>
      <c r="I152" t="s">
        <v>953</v>
      </c>
    </row>
    <row r="153" spans="1:10" x14ac:dyDescent="0.6">
      <c r="A153" t="s">
        <v>1096</v>
      </c>
      <c r="B153" s="76">
        <v>1900</v>
      </c>
      <c r="C153" t="s">
        <v>16</v>
      </c>
      <c r="D153" t="s">
        <v>1092</v>
      </c>
      <c r="E153" s="75">
        <v>0.46875</v>
      </c>
      <c r="F153" s="75">
        <v>0.47916666666666669</v>
      </c>
      <c r="I153" t="s">
        <v>954</v>
      </c>
    </row>
    <row r="154" spans="1:10" x14ac:dyDescent="0.6">
      <c r="A154" t="s">
        <v>1096</v>
      </c>
      <c r="B154" s="76">
        <v>1900</v>
      </c>
      <c r="C154" t="s">
        <v>1094</v>
      </c>
      <c r="D154" t="s">
        <v>942</v>
      </c>
      <c r="E154" s="75">
        <v>0.51388888888888884</v>
      </c>
      <c r="F154" s="75">
        <v>0.52777777777777779</v>
      </c>
      <c r="I154" t="s">
        <v>1097</v>
      </c>
    </row>
    <row r="155" spans="1:10" x14ac:dyDescent="0.6">
      <c r="A155" t="s">
        <v>1098</v>
      </c>
      <c r="B155" s="76">
        <v>1900</v>
      </c>
      <c r="C155" t="s">
        <v>941</v>
      </c>
      <c r="D155" t="s">
        <v>942</v>
      </c>
      <c r="E155" s="75">
        <v>0.3125</v>
      </c>
      <c r="F155" s="75">
        <v>0.3263888888888889</v>
      </c>
      <c r="G155">
        <v>1</v>
      </c>
      <c r="J155" t="s">
        <v>967</v>
      </c>
    </row>
    <row r="156" spans="1:10" x14ac:dyDescent="0.6">
      <c r="A156" t="s">
        <v>1098</v>
      </c>
      <c r="B156" s="76">
        <v>1900</v>
      </c>
      <c r="C156" t="s">
        <v>60</v>
      </c>
      <c r="D156" t="s">
        <v>1092</v>
      </c>
      <c r="E156" s="75">
        <v>0.42708333333333331</v>
      </c>
      <c r="F156" s="75">
        <v>0.4375</v>
      </c>
      <c r="G156">
        <v>4</v>
      </c>
      <c r="I156" t="s">
        <v>957</v>
      </c>
    </row>
    <row r="157" spans="1:10" x14ac:dyDescent="0.6">
      <c r="A157" t="s">
        <v>1098</v>
      </c>
      <c r="B157" s="76">
        <v>1900</v>
      </c>
      <c r="C157" t="s">
        <v>84</v>
      </c>
      <c r="D157" t="s">
        <v>1092</v>
      </c>
      <c r="E157" s="75">
        <v>0.4513888888888889</v>
      </c>
      <c r="F157" s="75">
        <v>0.46180555555555558</v>
      </c>
      <c r="G157">
        <v>3</v>
      </c>
      <c r="I157" t="s">
        <v>958</v>
      </c>
    </row>
    <row r="158" spans="1:10" x14ac:dyDescent="0.6">
      <c r="A158" t="s">
        <v>1098</v>
      </c>
      <c r="B158" s="76">
        <v>1900</v>
      </c>
      <c r="C158" t="s">
        <v>90</v>
      </c>
      <c r="D158" t="s">
        <v>1092</v>
      </c>
      <c r="E158" s="75">
        <v>0.46875</v>
      </c>
      <c r="F158" s="75">
        <v>0.47916666666666669</v>
      </c>
      <c r="G158">
        <v>2</v>
      </c>
      <c r="I158" t="s">
        <v>959</v>
      </c>
    </row>
    <row r="159" spans="1:10" x14ac:dyDescent="0.6">
      <c r="A159" t="s">
        <v>1098</v>
      </c>
      <c r="B159" s="76">
        <v>1900</v>
      </c>
      <c r="C159" t="s">
        <v>1094</v>
      </c>
      <c r="D159" t="s">
        <v>942</v>
      </c>
      <c r="E159" s="75">
        <v>0.52430555555555558</v>
      </c>
      <c r="F159" s="75">
        <v>0.53819444444444442</v>
      </c>
      <c r="G159">
        <v>5</v>
      </c>
      <c r="I159" t="s">
        <v>1099</v>
      </c>
    </row>
    <row r="160" spans="1:10" x14ac:dyDescent="0.6">
      <c r="A160" t="s">
        <v>1100</v>
      </c>
      <c r="B160" s="76">
        <v>1900</v>
      </c>
      <c r="C160" t="s">
        <v>941</v>
      </c>
      <c r="D160" t="s">
        <v>942</v>
      </c>
      <c r="E160" s="75">
        <v>0.3125</v>
      </c>
      <c r="F160" s="75">
        <v>0.3263888888888889</v>
      </c>
      <c r="J160" t="s">
        <v>967</v>
      </c>
    </row>
    <row r="161" spans="1:10" x14ac:dyDescent="0.6">
      <c r="A161" t="s">
        <v>1100</v>
      </c>
      <c r="B161" s="76">
        <v>1900</v>
      </c>
      <c r="C161" t="s">
        <v>91</v>
      </c>
      <c r="D161" t="s">
        <v>5</v>
      </c>
      <c r="E161" s="75">
        <v>0.39583333333333331</v>
      </c>
      <c r="F161" s="75">
        <v>0.40277777777777779</v>
      </c>
      <c r="I161" t="s">
        <v>962</v>
      </c>
    </row>
    <row r="162" spans="1:10" x14ac:dyDescent="0.6">
      <c r="A162" t="s">
        <v>1100</v>
      </c>
      <c r="B162" s="76">
        <v>1900</v>
      </c>
      <c r="C162" t="s">
        <v>89</v>
      </c>
      <c r="D162" t="s">
        <v>1092</v>
      </c>
      <c r="E162" s="75">
        <v>0.41666666666666669</v>
      </c>
      <c r="F162" s="75">
        <v>0.42708333333333331</v>
      </c>
      <c r="I162" t="s">
        <v>963</v>
      </c>
    </row>
    <row r="163" spans="1:10" x14ac:dyDescent="0.6">
      <c r="A163" t="s">
        <v>1100</v>
      </c>
      <c r="B163" s="76">
        <v>1900</v>
      </c>
      <c r="C163" t="s">
        <v>83</v>
      </c>
      <c r="D163" t="s">
        <v>1092</v>
      </c>
      <c r="E163" s="75">
        <v>0.4375</v>
      </c>
      <c r="F163" s="75">
        <v>0.44444444444444442</v>
      </c>
      <c r="I163" t="s">
        <v>964</v>
      </c>
    </row>
    <row r="164" spans="1:10" x14ac:dyDescent="0.6">
      <c r="A164" t="s">
        <v>1100</v>
      </c>
      <c r="B164" s="76">
        <v>1900</v>
      </c>
      <c r="C164" t="s">
        <v>85</v>
      </c>
      <c r="D164" t="s">
        <v>137</v>
      </c>
      <c r="E164" s="75">
        <v>0.4513888888888889</v>
      </c>
      <c r="F164" s="75">
        <v>0.4548611111111111</v>
      </c>
      <c r="I164">
        <v>0</v>
      </c>
    </row>
    <row r="165" spans="1:10" x14ac:dyDescent="0.6">
      <c r="A165" t="s">
        <v>1100</v>
      </c>
      <c r="B165" s="76">
        <v>1900</v>
      </c>
      <c r="C165" t="s">
        <v>91</v>
      </c>
      <c r="D165" t="s">
        <v>137</v>
      </c>
      <c r="E165" s="75">
        <v>0.47222222222222221</v>
      </c>
      <c r="F165" s="75">
        <v>0.4826388888888889</v>
      </c>
      <c r="I165" t="s">
        <v>1101</v>
      </c>
    </row>
    <row r="166" spans="1:10" x14ac:dyDescent="0.6">
      <c r="A166" t="s">
        <v>1100</v>
      </c>
      <c r="B166" s="76">
        <v>1900</v>
      </c>
      <c r="C166" t="s">
        <v>1094</v>
      </c>
      <c r="D166" t="s">
        <v>942</v>
      </c>
      <c r="E166" s="75">
        <v>0.52430555555555558</v>
      </c>
      <c r="F166" s="75">
        <v>0.53819444444444442</v>
      </c>
      <c r="I166" t="s">
        <v>1102</v>
      </c>
    </row>
    <row r="167" spans="1:10" x14ac:dyDescent="0.6">
      <c r="A167" t="s">
        <v>1103</v>
      </c>
      <c r="B167" s="76">
        <v>1900</v>
      </c>
      <c r="C167" t="s">
        <v>941</v>
      </c>
      <c r="D167" t="s">
        <v>942</v>
      </c>
      <c r="E167" s="75">
        <v>0.3125</v>
      </c>
      <c r="F167" s="75">
        <v>0.3263888888888889</v>
      </c>
      <c r="J167" t="s">
        <v>967</v>
      </c>
    </row>
    <row r="168" spans="1:10" x14ac:dyDescent="0.6">
      <c r="A168" t="s">
        <v>1103</v>
      </c>
      <c r="B168" s="76">
        <v>1900</v>
      </c>
      <c r="C168" t="s">
        <v>75</v>
      </c>
      <c r="D168" t="s">
        <v>1092</v>
      </c>
      <c r="E168" s="75">
        <v>0.4236111111111111</v>
      </c>
      <c r="F168" s="75">
        <v>0.4236111111111111</v>
      </c>
      <c r="I168" t="s">
        <v>968</v>
      </c>
    </row>
    <row r="169" spans="1:10" x14ac:dyDescent="0.6">
      <c r="A169" t="s">
        <v>1103</v>
      </c>
      <c r="B169" s="76">
        <v>1900</v>
      </c>
      <c r="C169" t="s">
        <v>77</v>
      </c>
      <c r="D169" t="s">
        <v>1092</v>
      </c>
      <c r="E169" s="75">
        <v>0.43402777777777779</v>
      </c>
      <c r="F169" s="75">
        <v>0.44097222222222221</v>
      </c>
      <c r="I169" t="s">
        <v>969</v>
      </c>
    </row>
    <row r="170" spans="1:10" x14ac:dyDescent="0.6">
      <c r="A170" t="s">
        <v>1103</v>
      </c>
      <c r="B170" s="76">
        <v>1900</v>
      </c>
      <c r="C170" t="s">
        <v>78</v>
      </c>
      <c r="D170" t="s">
        <v>1092</v>
      </c>
      <c r="E170" s="75">
        <v>0.44791666666666669</v>
      </c>
      <c r="F170" s="75">
        <v>0.4548611111111111</v>
      </c>
      <c r="I170" t="s">
        <v>970</v>
      </c>
    </row>
    <row r="171" spans="1:10" x14ac:dyDescent="0.6">
      <c r="A171" t="s">
        <v>1103</v>
      </c>
      <c r="B171" s="76">
        <v>1900</v>
      </c>
      <c r="C171" t="s">
        <v>1094</v>
      </c>
      <c r="D171" t="s">
        <v>942</v>
      </c>
      <c r="E171" s="75">
        <v>0.5</v>
      </c>
      <c r="F171" s="75">
        <v>0.51388888888888884</v>
      </c>
      <c r="I171">
        <v>22</v>
      </c>
    </row>
    <row r="172" spans="1:10" x14ac:dyDescent="0.6">
      <c r="A172" t="s">
        <v>1104</v>
      </c>
      <c r="B172" s="76">
        <v>1900</v>
      </c>
      <c r="C172" t="s">
        <v>941</v>
      </c>
      <c r="D172" t="s">
        <v>942</v>
      </c>
      <c r="E172" s="75">
        <v>0.3125</v>
      </c>
      <c r="F172" s="75">
        <v>0.3263888888888889</v>
      </c>
      <c r="J172" t="s">
        <v>967</v>
      </c>
    </row>
    <row r="173" spans="1:10" x14ac:dyDescent="0.6">
      <c r="A173" t="s">
        <v>1104</v>
      </c>
      <c r="B173" s="76">
        <v>1900</v>
      </c>
      <c r="C173" t="s">
        <v>69</v>
      </c>
      <c r="D173" t="s">
        <v>1092</v>
      </c>
      <c r="E173" s="75">
        <v>0.41666666666666669</v>
      </c>
      <c r="F173" s="75">
        <v>0.4236111111111111</v>
      </c>
      <c r="I173" t="s">
        <v>973</v>
      </c>
    </row>
    <row r="174" spans="1:10" x14ac:dyDescent="0.6">
      <c r="A174" t="s">
        <v>1104</v>
      </c>
      <c r="B174" s="76">
        <v>1900</v>
      </c>
      <c r="C174" t="s">
        <v>68</v>
      </c>
      <c r="D174" t="s">
        <v>1092</v>
      </c>
      <c r="E174" s="75">
        <v>0.43055555555555558</v>
      </c>
      <c r="F174" s="75">
        <v>0.44097222222222221</v>
      </c>
      <c r="I174" t="s">
        <v>974</v>
      </c>
    </row>
    <row r="175" spans="1:10" x14ac:dyDescent="0.6">
      <c r="A175" t="s">
        <v>1104</v>
      </c>
      <c r="B175" s="76">
        <v>1900</v>
      </c>
      <c r="C175" t="s">
        <v>76</v>
      </c>
      <c r="D175" t="s">
        <v>1092</v>
      </c>
      <c r="E175" s="75">
        <v>0.4513888888888889</v>
      </c>
      <c r="F175" s="75">
        <v>0.45833333333333331</v>
      </c>
      <c r="I175" t="s">
        <v>975</v>
      </c>
    </row>
    <row r="176" spans="1:10" x14ac:dyDescent="0.6">
      <c r="A176" t="s">
        <v>1104</v>
      </c>
      <c r="B176" s="76">
        <v>1900</v>
      </c>
      <c r="C176" t="s">
        <v>74</v>
      </c>
      <c r="D176" t="s">
        <v>1092</v>
      </c>
      <c r="E176" s="75">
        <v>0.46527777777777779</v>
      </c>
      <c r="F176" s="75">
        <v>0.47222222222222221</v>
      </c>
      <c r="I176" t="s">
        <v>976</v>
      </c>
    </row>
    <row r="177" spans="1:10" x14ac:dyDescent="0.6">
      <c r="A177" t="s">
        <v>1104</v>
      </c>
      <c r="B177" s="76">
        <v>1900</v>
      </c>
      <c r="C177" t="s">
        <v>1094</v>
      </c>
      <c r="D177" t="s">
        <v>942</v>
      </c>
      <c r="E177" s="75">
        <v>0.51041666666666663</v>
      </c>
      <c r="F177" s="75">
        <v>0.52430555555555558</v>
      </c>
      <c r="I177" t="s">
        <v>1105</v>
      </c>
    </row>
    <row r="178" spans="1:10" x14ac:dyDescent="0.6">
      <c r="A178" t="s">
        <v>1106</v>
      </c>
      <c r="B178" s="76">
        <v>1900</v>
      </c>
      <c r="C178" t="s">
        <v>941</v>
      </c>
      <c r="D178" t="s">
        <v>942</v>
      </c>
      <c r="E178" s="75">
        <v>0.3125</v>
      </c>
      <c r="F178" s="75">
        <v>0.3263888888888889</v>
      </c>
      <c r="J178" t="s">
        <v>967</v>
      </c>
    </row>
    <row r="179" spans="1:10" x14ac:dyDescent="0.6">
      <c r="A179" t="s">
        <v>1106</v>
      </c>
      <c r="B179" s="76">
        <v>1900</v>
      </c>
      <c r="C179" t="s">
        <v>61</v>
      </c>
      <c r="D179" t="s">
        <v>1092</v>
      </c>
      <c r="E179" s="75">
        <v>0.41666666666666669</v>
      </c>
      <c r="F179" s="75">
        <v>0.4236111111111111</v>
      </c>
      <c r="I179" t="s">
        <v>978</v>
      </c>
    </row>
    <row r="180" spans="1:10" x14ac:dyDescent="0.6">
      <c r="A180" t="s">
        <v>1106</v>
      </c>
      <c r="B180" s="76">
        <v>1900</v>
      </c>
      <c r="C180" t="s">
        <v>64</v>
      </c>
      <c r="D180" t="s">
        <v>1092</v>
      </c>
      <c r="E180" s="75">
        <v>0.43055555555555558</v>
      </c>
      <c r="F180" s="75">
        <v>0.44097222222222221</v>
      </c>
      <c r="I180" t="s">
        <v>979</v>
      </c>
    </row>
    <row r="181" spans="1:10" x14ac:dyDescent="0.6">
      <c r="A181" t="s">
        <v>1106</v>
      </c>
      <c r="B181" s="76">
        <v>1900</v>
      </c>
      <c r="C181" t="s">
        <v>86</v>
      </c>
      <c r="D181" t="s">
        <v>1092</v>
      </c>
      <c r="E181" s="75">
        <v>0.4548611111111111</v>
      </c>
      <c r="F181" s="75">
        <v>0.46527777777777779</v>
      </c>
      <c r="I181" t="s">
        <v>980</v>
      </c>
    </row>
    <row r="182" spans="1:10" x14ac:dyDescent="0.6">
      <c r="A182" t="s">
        <v>1106</v>
      </c>
      <c r="B182" s="76">
        <v>1900</v>
      </c>
      <c r="C182" t="s">
        <v>1094</v>
      </c>
      <c r="D182" t="s">
        <v>942</v>
      </c>
      <c r="E182" s="75">
        <v>0.50347222222222221</v>
      </c>
      <c r="F182" s="75">
        <v>0.51736111111111116</v>
      </c>
      <c r="I182" t="s">
        <v>1107</v>
      </c>
    </row>
    <row r="183" spans="1:10" x14ac:dyDescent="0.6">
      <c r="A183" t="s">
        <v>1108</v>
      </c>
      <c r="B183" s="76">
        <v>1900</v>
      </c>
      <c r="C183" t="s">
        <v>941</v>
      </c>
      <c r="D183" t="s">
        <v>942</v>
      </c>
      <c r="E183" s="75">
        <v>0.3125</v>
      </c>
      <c r="F183" s="75">
        <v>0.3263888888888889</v>
      </c>
      <c r="J183" t="s">
        <v>967</v>
      </c>
    </row>
    <row r="184" spans="1:10" x14ac:dyDescent="0.6">
      <c r="A184" t="s">
        <v>1108</v>
      </c>
      <c r="B184" s="76">
        <v>1900</v>
      </c>
      <c r="C184" t="s">
        <v>43</v>
      </c>
      <c r="D184" t="s">
        <v>1092</v>
      </c>
      <c r="E184" s="75">
        <v>0.40972222222222221</v>
      </c>
      <c r="F184" s="75">
        <v>0.4201388888888889</v>
      </c>
      <c r="I184" t="s">
        <v>982</v>
      </c>
    </row>
    <row r="185" spans="1:10" x14ac:dyDescent="0.6">
      <c r="A185" t="s">
        <v>1108</v>
      </c>
      <c r="B185" s="76">
        <v>1900</v>
      </c>
      <c r="C185" t="s">
        <v>70</v>
      </c>
      <c r="D185" t="s">
        <v>1092</v>
      </c>
      <c r="E185" s="75">
        <v>0.43055555555555558</v>
      </c>
      <c r="F185" s="75">
        <v>0.44097222222222221</v>
      </c>
      <c r="I185" t="s">
        <v>983</v>
      </c>
    </row>
    <row r="186" spans="1:10" x14ac:dyDescent="0.6">
      <c r="A186" t="s">
        <v>1108</v>
      </c>
      <c r="B186" s="76">
        <v>1900</v>
      </c>
      <c r="C186" t="s">
        <v>41</v>
      </c>
      <c r="D186" t="s">
        <v>1092</v>
      </c>
      <c r="E186" s="75">
        <v>0.4513888888888889</v>
      </c>
      <c r="F186" s="75">
        <v>0.46180555555555558</v>
      </c>
      <c r="I186" t="s">
        <v>984</v>
      </c>
    </row>
    <row r="187" spans="1:10" x14ac:dyDescent="0.6">
      <c r="A187" t="s">
        <v>1108</v>
      </c>
      <c r="B187" s="76">
        <v>1900</v>
      </c>
      <c r="C187" t="s">
        <v>40</v>
      </c>
      <c r="D187" t="s">
        <v>1092</v>
      </c>
      <c r="E187" s="75">
        <v>0.46875</v>
      </c>
      <c r="F187" s="75">
        <v>0.47916666666666669</v>
      </c>
      <c r="I187" t="s">
        <v>985</v>
      </c>
    </row>
    <row r="188" spans="1:10" x14ac:dyDescent="0.6">
      <c r="A188" t="s">
        <v>1108</v>
      </c>
      <c r="B188" s="76">
        <v>1900</v>
      </c>
      <c r="C188" t="s">
        <v>1094</v>
      </c>
      <c r="D188" t="s">
        <v>942</v>
      </c>
      <c r="E188" s="75">
        <v>0.51388888888888884</v>
      </c>
      <c r="F188" s="75">
        <v>0.52777777777777779</v>
      </c>
      <c r="I188" t="s">
        <v>1109</v>
      </c>
    </row>
    <row r="189" spans="1:10" x14ac:dyDescent="0.6">
      <c r="A189" t="s">
        <v>1110</v>
      </c>
      <c r="B189" s="76">
        <v>1900</v>
      </c>
      <c r="C189" t="s">
        <v>941</v>
      </c>
      <c r="D189" t="s">
        <v>942</v>
      </c>
      <c r="E189" s="75">
        <v>0.3125</v>
      </c>
      <c r="F189" s="75">
        <v>0.3263888888888889</v>
      </c>
      <c r="J189" t="s">
        <v>967</v>
      </c>
    </row>
    <row r="190" spans="1:10" x14ac:dyDescent="0.6">
      <c r="A190" t="s">
        <v>1110</v>
      </c>
      <c r="B190" s="76">
        <v>1900</v>
      </c>
      <c r="C190" t="s">
        <v>103</v>
      </c>
      <c r="D190" t="s">
        <v>1092</v>
      </c>
      <c r="E190" s="75">
        <v>0.40972222222222221</v>
      </c>
      <c r="F190" s="75">
        <v>0.4201388888888889</v>
      </c>
      <c r="I190" t="s">
        <v>988</v>
      </c>
    </row>
    <row r="191" spans="1:10" x14ac:dyDescent="0.6">
      <c r="A191" t="s">
        <v>1110</v>
      </c>
      <c r="B191" s="76">
        <v>1900</v>
      </c>
      <c r="C191" t="s">
        <v>104</v>
      </c>
      <c r="D191" t="s">
        <v>1092</v>
      </c>
      <c r="E191" s="75">
        <v>0.43055555555555558</v>
      </c>
      <c r="F191" s="75">
        <v>0.44097222222222221</v>
      </c>
      <c r="I191" t="s">
        <v>975</v>
      </c>
    </row>
    <row r="192" spans="1:10" x14ac:dyDescent="0.6">
      <c r="A192" t="s">
        <v>1110</v>
      </c>
      <c r="B192" s="76">
        <v>1900</v>
      </c>
      <c r="C192" t="s">
        <v>105</v>
      </c>
      <c r="D192" t="s">
        <v>1092</v>
      </c>
      <c r="E192" s="75">
        <v>0.4513888888888889</v>
      </c>
      <c r="F192" s="75">
        <v>0.46180555555555558</v>
      </c>
      <c r="I192" t="s">
        <v>989</v>
      </c>
    </row>
    <row r="193" spans="1:10" x14ac:dyDescent="0.6">
      <c r="A193" t="s">
        <v>1110</v>
      </c>
      <c r="B193" s="76">
        <v>1900</v>
      </c>
      <c r="C193" t="s">
        <v>1094</v>
      </c>
      <c r="D193" t="s">
        <v>942</v>
      </c>
      <c r="E193" s="75">
        <v>0.49305555555555558</v>
      </c>
      <c r="F193" s="75">
        <v>0.50694444444444442</v>
      </c>
      <c r="I193" t="s">
        <v>1111</v>
      </c>
    </row>
    <row r="194" spans="1:10" x14ac:dyDescent="0.6">
      <c r="A194" t="s">
        <v>1112</v>
      </c>
      <c r="B194" s="76">
        <v>1900</v>
      </c>
      <c r="C194" t="s">
        <v>941</v>
      </c>
      <c r="D194" t="s">
        <v>942</v>
      </c>
      <c r="E194" s="75">
        <v>0.3125</v>
      </c>
      <c r="F194" s="75">
        <v>0.3263888888888889</v>
      </c>
      <c r="J194" t="s">
        <v>967</v>
      </c>
    </row>
    <row r="195" spans="1:10" x14ac:dyDescent="0.6">
      <c r="A195" t="s">
        <v>1112</v>
      </c>
      <c r="B195" s="76">
        <v>1900</v>
      </c>
      <c r="C195" t="s">
        <v>66</v>
      </c>
      <c r="D195" t="s">
        <v>1092</v>
      </c>
      <c r="E195" s="75">
        <v>0.40972222222222221</v>
      </c>
      <c r="F195" s="75">
        <v>0.4201388888888889</v>
      </c>
      <c r="I195" t="s">
        <v>991</v>
      </c>
    </row>
    <row r="196" spans="1:10" x14ac:dyDescent="0.6">
      <c r="A196" t="s">
        <v>1112</v>
      </c>
      <c r="B196" s="76">
        <v>1900</v>
      </c>
      <c r="C196" t="s">
        <v>42</v>
      </c>
      <c r="D196" t="s">
        <v>1092</v>
      </c>
      <c r="E196" s="75">
        <v>0.4236111111111111</v>
      </c>
      <c r="F196" s="75">
        <v>0.43055555555555558</v>
      </c>
      <c r="I196" t="s">
        <v>992</v>
      </c>
    </row>
    <row r="197" spans="1:10" x14ac:dyDescent="0.6">
      <c r="A197" t="s">
        <v>1112</v>
      </c>
      <c r="B197" s="76">
        <v>1900</v>
      </c>
      <c r="C197" t="s">
        <v>65</v>
      </c>
      <c r="D197" t="s">
        <v>1092</v>
      </c>
      <c r="E197" s="75">
        <v>0.44097222222222221</v>
      </c>
      <c r="F197" s="75">
        <v>0.4513888888888889</v>
      </c>
      <c r="I197" t="s">
        <v>993</v>
      </c>
    </row>
    <row r="198" spans="1:10" x14ac:dyDescent="0.6">
      <c r="A198" t="s">
        <v>1112</v>
      </c>
      <c r="B198" s="76">
        <v>1900</v>
      </c>
      <c r="C198" t="s">
        <v>38</v>
      </c>
      <c r="D198" t="s">
        <v>1092</v>
      </c>
      <c r="E198" s="75">
        <v>0.46180555555555558</v>
      </c>
      <c r="F198" s="75">
        <v>0.47222222222222221</v>
      </c>
      <c r="I198" t="s">
        <v>994</v>
      </c>
    </row>
    <row r="199" spans="1:10" x14ac:dyDescent="0.6">
      <c r="A199" t="s">
        <v>1112</v>
      </c>
      <c r="B199" s="76">
        <v>1900</v>
      </c>
      <c r="C199" t="s">
        <v>1094</v>
      </c>
      <c r="D199" t="s">
        <v>942</v>
      </c>
      <c r="E199" s="75">
        <v>0.49652777777777779</v>
      </c>
      <c r="F199" s="75">
        <v>0.51041666666666663</v>
      </c>
      <c r="I199" t="s">
        <v>1113</v>
      </c>
    </row>
    <row r="200" spans="1:10" x14ac:dyDescent="0.6">
      <c r="A200" t="s">
        <v>1114</v>
      </c>
      <c r="B200" s="76">
        <v>1900</v>
      </c>
      <c r="C200" t="s">
        <v>941</v>
      </c>
      <c r="D200" t="s">
        <v>942</v>
      </c>
      <c r="E200" s="75">
        <v>0.3263888888888889</v>
      </c>
      <c r="F200" s="75">
        <v>0.34027777777777779</v>
      </c>
      <c r="J200" t="s">
        <v>967</v>
      </c>
    </row>
    <row r="201" spans="1:10" x14ac:dyDescent="0.6">
      <c r="A201" t="s">
        <v>1114</v>
      </c>
      <c r="B201" s="76">
        <v>1900</v>
      </c>
      <c r="C201" t="s">
        <v>71</v>
      </c>
      <c r="D201" t="s">
        <v>1092</v>
      </c>
      <c r="E201" s="75">
        <v>0.40972222222222221</v>
      </c>
      <c r="F201" s="75">
        <v>0.4201388888888889</v>
      </c>
      <c r="I201" t="s">
        <v>996</v>
      </c>
    </row>
    <row r="202" spans="1:10" x14ac:dyDescent="0.6">
      <c r="A202" t="s">
        <v>1114</v>
      </c>
      <c r="B202" s="76">
        <v>1900</v>
      </c>
      <c r="C202" t="s">
        <v>80</v>
      </c>
      <c r="D202" t="s">
        <v>1092</v>
      </c>
      <c r="E202" s="75">
        <v>0.43055555555555558</v>
      </c>
      <c r="F202" s="75">
        <v>0.44097222222222221</v>
      </c>
      <c r="I202" t="s">
        <v>997</v>
      </c>
    </row>
    <row r="203" spans="1:10" x14ac:dyDescent="0.6">
      <c r="A203" t="s">
        <v>1114</v>
      </c>
      <c r="B203" s="76">
        <v>1900</v>
      </c>
      <c r="C203" t="s">
        <v>82</v>
      </c>
      <c r="D203" t="s">
        <v>1092</v>
      </c>
      <c r="E203" s="75">
        <v>0.4513888888888889</v>
      </c>
      <c r="F203" s="75">
        <v>0.46180555555555558</v>
      </c>
      <c r="I203" t="s">
        <v>998</v>
      </c>
    </row>
    <row r="204" spans="1:10" x14ac:dyDescent="0.6">
      <c r="A204" t="s">
        <v>1114</v>
      </c>
      <c r="B204" s="76">
        <v>1900</v>
      </c>
      <c r="C204" t="s">
        <v>1094</v>
      </c>
      <c r="D204" t="s">
        <v>942</v>
      </c>
      <c r="E204" s="75">
        <v>0.49305555555555558</v>
      </c>
      <c r="F204" s="75">
        <v>0.50694444444444442</v>
      </c>
      <c r="I204" t="s">
        <v>1115</v>
      </c>
    </row>
    <row r="205" spans="1:10" x14ac:dyDescent="0.6">
      <c r="A205" t="s">
        <v>1116</v>
      </c>
      <c r="B205" s="76">
        <v>1900</v>
      </c>
      <c r="C205" t="s">
        <v>941</v>
      </c>
      <c r="D205" t="s">
        <v>942</v>
      </c>
      <c r="E205" s="75">
        <v>0.3263888888888889</v>
      </c>
      <c r="F205" s="75">
        <v>0.34027777777777779</v>
      </c>
      <c r="J205" t="s">
        <v>967</v>
      </c>
    </row>
    <row r="206" spans="1:10" x14ac:dyDescent="0.6">
      <c r="A206" t="s">
        <v>1116</v>
      </c>
      <c r="B206" s="76">
        <v>1900</v>
      </c>
      <c r="C206" t="s">
        <v>132</v>
      </c>
      <c r="D206" t="s">
        <v>1092</v>
      </c>
      <c r="E206" s="75">
        <v>0.39583333333333331</v>
      </c>
      <c r="F206" s="75">
        <v>0.40625</v>
      </c>
      <c r="G206" t="s">
        <v>1117</v>
      </c>
      <c r="I206" t="s">
        <v>1000</v>
      </c>
    </row>
    <row r="207" spans="1:10" x14ac:dyDescent="0.6">
      <c r="A207" t="s">
        <v>1116</v>
      </c>
      <c r="B207" s="76">
        <v>1900</v>
      </c>
      <c r="C207" t="s">
        <v>133</v>
      </c>
      <c r="D207" t="s">
        <v>5</v>
      </c>
      <c r="E207" s="75">
        <v>0.41666666666666669</v>
      </c>
      <c r="F207" s="75">
        <v>0.4236111111111111</v>
      </c>
      <c r="G207" t="s">
        <v>1118</v>
      </c>
      <c r="I207" t="s">
        <v>984</v>
      </c>
    </row>
    <row r="208" spans="1:10" x14ac:dyDescent="0.6">
      <c r="A208" t="s">
        <v>1116</v>
      </c>
      <c r="B208" s="76">
        <v>1900</v>
      </c>
      <c r="C208" t="s">
        <v>134</v>
      </c>
      <c r="D208" t="s">
        <v>1092</v>
      </c>
      <c r="E208" s="75">
        <v>0.43402777777777779</v>
      </c>
      <c r="F208" s="75">
        <v>0.44444444444444442</v>
      </c>
      <c r="G208" t="s">
        <v>1119</v>
      </c>
      <c r="I208" t="s">
        <v>1001</v>
      </c>
    </row>
    <row r="209" spans="1:10" x14ac:dyDescent="0.6">
      <c r="A209" t="s">
        <v>1116</v>
      </c>
      <c r="B209" s="76">
        <v>1900</v>
      </c>
      <c r="C209" t="s">
        <v>133</v>
      </c>
      <c r="D209" t="s">
        <v>137</v>
      </c>
      <c r="E209" s="75">
        <v>0.4548611111111111</v>
      </c>
      <c r="F209" s="75">
        <v>0.46527777777777779</v>
      </c>
      <c r="G209" t="s">
        <v>1120</v>
      </c>
      <c r="I209" t="s">
        <v>1121</v>
      </c>
    </row>
    <row r="210" spans="1:10" x14ac:dyDescent="0.6">
      <c r="A210" t="s">
        <v>1116</v>
      </c>
      <c r="B210" s="76">
        <v>1900</v>
      </c>
      <c r="C210" t="s">
        <v>1094</v>
      </c>
      <c r="D210" t="s">
        <v>942</v>
      </c>
      <c r="E210" s="75">
        <v>0.5</v>
      </c>
      <c r="F210" s="75">
        <v>0.51388888888888884</v>
      </c>
      <c r="G210" t="s">
        <v>1122</v>
      </c>
      <c r="I210" t="s">
        <v>1123</v>
      </c>
    </row>
    <row r="211" spans="1:10" x14ac:dyDescent="0.6">
      <c r="A211" t="s">
        <v>1124</v>
      </c>
      <c r="B211" s="76">
        <v>1900</v>
      </c>
      <c r="C211" t="s">
        <v>941</v>
      </c>
      <c r="D211" t="s">
        <v>942</v>
      </c>
      <c r="E211" s="75">
        <v>0.3263888888888889</v>
      </c>
      <c r="F211" s="75">
        <v>0.34027777777777779</v>
      </c>
      <c r="J211" t="s">
        <v>967</v>
      </c>
    </row>
    <row r="212" spans="1:10" x14ac:dyDescent="0.6">
      <c r="A212" t="s">
        <v>1124</v>
      </c>
      <c r="B212" s="76">
        <v>1900</v>
      </c>
      <c r="C212" t="s">
        <v>51</v>
      </c>
      <c r="D212" t="s">
        <v>1092</v>
      </c>
      <c r="E212" s="75">
        <v>0.3888888888888889</v>
      </c>
      <c r="F212" s="75">
        <v>0.39583333333333331</v>
      </c>
      <c r="I212" t="s">
        <v>1006</v>
      </c>
    </row>
    <row r="213" spans="1:10" x14ac:dyDescent="0.6">
      <c r="A213" t="s">
        <v>1124</v>
      </c>
      <c r="B213" s="76">
        <v>1900</v>
      </c>
      <c r="C213" t="s">
        <v>147</v>
      </c>
      <c r="D213" t="s">
        <v>5</v>
      </c>
      <c r="E213" s="75">
        <v>0.41319444444444442</v>
      </c>
      <c r="F213" s="75">
        <v>0.4201388888888889</v>
      </c>
      <c r="I213" t="s">
        <v>1007</v>
      </c>
    </row>
    <row r="214" spans="1:10" x14ac:dyDescent="0.6">
      <c r="A214" t="s">
        <v>1124</v>
      </c>
      <c r="B214" s="76">
        <v>1900</v>
      </c>
      <c r="C214" t="s">
        <v>131</v>
      </c>
      <c r="D214" t="s">
        <v>1092</v>
      </c>
      <c r="E214" s="75">
        <v>0.43055555555555558</v>
      </c>
      <c r="F214" s="75">
        <v>0.44097222222222221</v>
      </c>
      <c r="I214" t="s">
        <v>1009</v>
      </c>
    </row>
    <row r="215" spans="1:10" x14ac:dyDescent="0.6">
      <c r="A215" t="s">
        <v>1124</v>
      </c>
      <c r="B215" s="76">
        <v>1900</v>
      </c>
      <c r="C215" t="s">
        <v>147</v>
      </c>
      <c r="D215" t="s">
        <v>137</v>
      </c>
      <c r="E215" s="75">
        <v>0.4548611111111111</v>
      </c>
      <c r="F215" s="75">
        <v>0.46527777777777779</v>
      </c>
      <c r="I215" t="s">
        <v>1125</v>
      </c>
    </row>
    <row r="216" spans="1:10" x14ac:dyDescent="0.6">
      <c r="A216" t="s">
        <v>1124</v>
      </c>
      <c r="B216" s="76">
        <v>1900</v>
      </c>
      <c r="C216" t="s">
        <v>1094</v>
      </c>
      <c r="D216" t="s">
        <v>942</v>
      </c>
      <c r="E216" s="75">
        <v>0.5</v>
      </c>
      <c r="F216" s="75">
        <v>0.51388888888888884</v>
      </c>
      <c r="I216">
        <v>18</v>
      </c>
    </row>
    <row r="217" spans="1:10" x14ac:dyDescent="0.6">
      <c r="A217" t="s">
        <v>1126</v>
      </c>
      <c r="B217" s="76">
        <v>1900</v>
      </c>
      <c r="C217" t="s">
        <v>941</v>
      </c>
      <c r="D217" t="s">
        <v>942</v>
      </c>
      <c r="E217" s="75">
        <v>0.3263888888888889</v>
      </c>
      <c r="F217" s="75">
        <v>0.34027777777777779</v>
      </c>
    </row>
    <row r="218" spans="1:10" x14ac:dyDescent="0.6">
      <c r="A218" t="s">
        <v>1126</v>
      </c>
      <c r="B218" s="76">
        <v>1900</v>
      </c>
      <c r="C218" t="s">
        <v>107</v>
      </c>
      <c r="D218" t="s">
        <v>1092</v>
      </c>
      <c r="E218" s="75">
        <v>0.40972222222222221</v>
      </c>
      <c r="F218" s="75">
        <v>0.41666666666666669</v>
      </c>
      <c r="I218" t="s">
        <v>1012</v>
      </c>
    </row>
    <row r="219" spans="1:10" x14ac:dyDescent="0.6">
      <c r="A219" t="s">
        <v>1126</v>
      </c>
      <c r="B219" s="76">
        <v>1900</v>
      </c>
      <c r="C219" t="s">
        <v>106</v>
      </c>
      <c r="D219" t="s">
        <v>1092</v>
      </c>
      <c r="E219" s="75">
        <v>0.42708333333333331</v>
      </c>
      <c r="F219" s="75">
        <v>0.4375</v>
      </c>
      <c r="I219" t="s">
        <v>1013</v>
      </c>
    </row>
    <row r="220" spans="1:10" x14ac:dyDescent="0.6">
      <c r="A220" t="s">
        <v>1126</v>
      </c>
      <c r="B220" s="76">
        <v>1900</v>
      </c>
      <c r="C220" t="s">
        <v>39</v>
      </c>
      <c r="D220" t="s">
        <v>1092</v>
      </c>
      <c r="E220" s="75">
        <v>0.44444444444444442</v>
      </c>
      <c r="F220" s="75">
        <v>0.4513888888888889</v>
      </c>
      <c r="I220" t="s">
        <v>1014</v>
      </c>
    </row>
    <row r="221" spans="1:10" x14ac:dyDescent="0.6">
      <c r="A221" t="s">
        <v>1126</v>
      </c>
      <c r="B221" s="76">
        <v>1900</v>
      </c>
      <c r="C221" t="s">
        <v>1094</v>
      </c>
      <c r="D221" t="s">
        <v>942</v>
      </c>
      <c r="E221" s="75">
        <v>0.4826388888888889</v>
      </c>
      <c r="F221" s="75">
        <v>0.49652777777777779</v>
      </c>
      <c r="I221" t="s">
        <v>1127</v>
      </c>
    </row>
    <row r="222" spans="1:10" x14ac:dyDescent="0.6">
      <c r="A222" t="s">
        <v>1128</v>
      </c>
      <c r="B222" s="76">
        <v>1900</v>
      </c>
      <c r="C222" t="s">
        <v>941</v>
      </c>
      <c r="D222" t="s">
        <v>942</v>
      </c>
      <c r="E222" s="75">
        <v>0.3263888888888889</v>
      </c>
      <c r="F222" s="75">
        <v>0.34027777777777779</v>
      </c>
      <c r="J222" t="s">
        <v>967</v>
      </c>
    </row>
    <row r="223" spans="1:10" x14ac:dyDescent="0.6">
      <c r="A223" t="s">
        <v>1128</v>
      </c>
      <c r="B223" s="76">
        <v>1900</v>
      </c>
      <c r="C223" t="s">
        <v>47</v>
      </c>
      <c r="D223" t="s">
        <v>5</v>
      </c>
      <c r="E223" s="75">
        <v>0.40625</v>
      </c>
      <c r="F223" s="75">
        <v>0.41319444444444442</v>
      </c>
      <c r="I223" t="s">
        <v>1016</v>
      </c>
    </row>
    <row r="224" spans="1:10" x14ac:dyDescent="0.6">
      <c r="A224" t="s">
        <v>1128</v>
      </c>
      <c r="B224" s="76">
        <v>1900</v>
      </c>
      <c r="C224" t="s">
        <v>46</v>
      </c>
      <c r="D224" t="s">
        <v>1092</v>
      </c>
      <c r="E224" s="75">
        <v>0.4236111111111111</v>
      </c>
      <c r="F224" s="75">
        <v>0.43055555555555558</v>
      </c>
      <c r="I224" t="s">
        <v>1017</v>
      </c>
    </row>
    <row r="225" spans="1:10" x14ac:dyDescent="0.6">
      <c r="A225" t="s">
        <v>1128</v>
      </c>
      <c r="B225" s="76">
        <v>1900</v>
      </c>
      <c r="C225" t="s">
        <v>45</v>
      </c>
      <c r="D225" t="s">
        <v>1092</v>
      </c>
      <c r="E225" s="75">
        <v>0.43402777777777779</v>
      </c>
      <c r="F225" s="75">
        <v>0.44097222222222221</v>
      </c>
      <c r="I225" t="s">
        <v>1018</v>
      </c>
    </row>
    <row r="226" spans="1:10" x14ac:dyDescent="0.6">
      <c r="A226" t="s">
        <v>1128</v>
      </c>
      <c r="B226" s="76">
        <v>1900</v>
      </c>
      <c r="C226" t="s">
        <v>128</v>
      </c>
      <c r="D226" t="s">
        <v>1092</v>
      </c>
      <c r="E226" s="75">
        <v>0.4513888888888889</v>
      </c>
      <c r="F226" s="75">
        <v>0.46180555555555558</v>
      </c>
      <c r="I226" t="s">
        <v>1019</v>
      </c>
    </row>
    <row r="227" spans="1:10" x14ac:dyDescent="0.6">
      <c r="A227" t="s">
        <v>1128</v>
      </c>
      <c r="B227" s="76">
        <v>1900</v>
      </c>
      <c r="C227" t="s">
        <v>1094</v>
      </c>
      <c r="D227" t="s">
        <v>942</v>
      </c>
      <c r="E227" s="75">
        <v>0.4861111111111111</v>
      </c>
      <c r="F227" s="75">
        <v>0.5</v>
      </c>
      <c r="I227" t="s">
        <v>1129</v>
      </c>
    </row>
    <row r="228" spans="1:10" x14ac:dyDescent="0.6">
      <c r="A228" t="s">
        <v>1130</v>
      </c>
      <c r="B228" s="76">
        <v>1900</v>
      </c>
      <c r="C228" t="s">
        <v>941</v>
      </c>
      <c r="D228" t="s">
        <v>942</v>
      </c>
      <c r="E228" s="75">
        <v>0.3263888888888889</v>
      </c>
      <c r="F228" s="75">
        <v>0.34027777777777779</v>
      </c>
      <c r="J228" t="s">
        <v>967</v>
      </c>
    </row>
    <row r="229" spans="1:10" x14ac:dyDescent="0.6">
      <c r="A229" t="s">
        <v>1130</v>
      </c>
      <c r="B229" s="76">
        <v>1900</v>
      </c>
      <c r="C229" t="s">
        <v>95</v>
      </c>
      <c r="D229" t="s">
        <v>5</v>
      </c>
      <c r="E229" s="75">
        <v>0.39583333333333331</v>
      </c>
      <c r="F229" s="75">
        <v>0.40625</v>
      </c>
      <c r="I229" t="s">
        <v>1021</v>
      </c>
    </row>
    <row r="230" spans="1:10" x14ac:dyDescent="0.6">
      <c r="A230" t="s">
        <v>1130</v>
      </c>
      <c r="B230" s="76">
        <v>1900</v>
      </c>
      <c r="C230" t="s">
        <v>96</v>
      </c>
      <c r="D230" t="s">
        <v>5</v>
      </c>
      <c r="E230" s="75">
        <v>0.41666666666666669</v>
      </c>
      <c r="F230" s="75">
        <v>0.4236111111111111</v>
      </c>
      <c r="I230" t="s">
        <v>1022</v>
      </c>
    </row>
    <row r="231" spans="1:10" x14ac:dyDescent="0.6">
      <c r="A231" t="s">
        <v>1130</v>
      </c>
      <c r="B231" s="76">
        <v>1900</v>
      </c>
      <c r="C231" t="s">
        <v>93</v>
      </c>
      <c r="D231" t="s">
        <v>1092</v>
      </c>
      <c r="E231" s="75">
        <v>0.4375</v>
      </c>
      <c r="F231" s="75">
        <v>0.44791666666666669</v>
      </c>
      <c r="I231" t="s">
        <v>1131</v>
      </c>
    </row>
    <row r="232" spans="1:10" x14ac:dyDescent="0.6">
      <c r="A232" t="s">
        <v>1130</v>
      </c>
      <c r="B232" s="76">
        <v>1900</v>
      </c>
      <c r="C232" t="s">
        <v>92</v>
      </c>
      <c r="D232" t="s">
        <v>137</v>
      </c>
      <c r="E232" s="75">
        <v>0.46875</v>
      </c>
      <c r="F232" s="75">
        <v>0.47916666666666669</v>
      </c>
      <c r="I232" t="s">
        <v>1132</v>
      </c>
    </row>
    <row r="233" spans="1:10" x14ac:dyDescent="0.6">
      <c r="A233" t="s">
        <v>1130</v>
      </c>
      <c r="B233" s="76">
        <v>1900</v>
      </c>
      <c r="C233" t="s">
        <v>1094</v>
      </c>
      <c r="D233" t="s">
        <v>942</v>
      </c>
      <c r="E233" s="75">
        <v>0.49305555555555558</v>
      </c>
      <c r="F233" s="75">
        <v>0.50694444444444442</v>
      </c>
      <c r="I233" t="s">
        <v>1133</v>
      </c>
    </row>
    <row r="234" spans="1:10" x14ac:dyDescent="0.6">
      <c r="A234" t="s">
        <v>1134</v>
      </c>
      <c r="B234" s="76">
        <v>1900</v>
      </c>
      <c r="C234" t="s">
        <v>941</v>
      </c>
      <c r="D234" t="s">
        <v>942</v>
      </c>
      <c r="E234" s="75">
        <v>0.3263888888888889</v>
      </c>
      <c r="F234" s="75">
        <v>0.34027777777777779</v>
      </c>
      <c r="J234" t="s">
        <v>967</v>
      </c>
    </row>
    <row r="235" spans="1:10" x14ac:dyDescent="0.6">
      <c r="A235" t="s">
        <v>1134</v>
      </c>
      <c r="B235" s="76">
        <v>1900</v>
      </c>
      <c r="C235" t="s">
        <v>101</v>
      </c>
      <c r="D235" t="s">
        <v>1092</v>
      </c>
      <c r="E235" s="75">
        <v>0.39583333333333331</v>
      </c>
      <c r="F235" s="75">
        <v>0.40625</v>
      </c>
      <c r="I235" t="s">
        <v>1028</v>
      </c>
    </row>
    <row r="236" spans="1:10" x14ac:dyDescent="0.6">
      <c r="A236" t="s">
        <v>1134</v>
      </c>
      <c r="B236" s="76">
        <v>1900</v>
      </c>
      <c r="C236" t="s">
        <v>72</v>
      </c>
      <c r="D236" t="s">
        <v>5</v>
      </c>
      <c r="E236" s="75">
        <v>0.41666666666666669</v>
      </c>
      <c r="F236" s="75">
        <v>0.4236111111111111</v>
      </c>
      <c r="I236" t="s">
        <v>1029</v>
      </c>
    </row>
    <row r="237" spans="1:10" x14ac:dyDescent="0.6">
      <c r="A237" t="s">
        <v>1134</v>
      </c>
      <c r="B237" s="76">
        <v>1900</v>
      </c>
      <c r="C237" t="s">
        <v>73</v>
      </c>
      <c r="D237" t="s">
        <v>1092</v>
      </c>
      <c r="E237" s="75">
        <v>0.43402777777777779</v>
      </c>
      <c r="F237" s="75">
        <v>0.44444444444444442</v>
      </c>
      <c r="I237" t="s">
        <v>1030</v>
      </c>
    </row>
    <row r="238" spans="1:10" x14ac:dyDescent="0.6">
      <c r="A238" t="s">
        <v>1134</v>
      </c>
      <c r="B238" s="76">
        <v>1900</v>
      </c>
      <c r="C238" t="s">
        <v>72</v>
      </c>
      <c r="D238" t="s">
        <v>137</v>
      </c>
      <c r="E238" s="75">
        <v>0.4548611111111111</v>
      </c>
      <c r="F238" s="75">
        <v>0.46527777777777779</v>
      </c>
      <c r="I238" t="s">
        <v>1135</v>
      </c>
    </row>
    <row r="239" spans="1:10" x14ac:dyDescent="0.6">
      <c r="A239" t="s">
        <v>1134</v>
      </c>
      <c r="B239" s="76">
        <v>1900</v>
      </c>
      <c r="C239" t="s">
        <v>1094</v>
      </c>
      <c r="D239" t="s">
        <v>942</v>
      </c>
      <c r="E239" s="75">
        <v>0.48958333333333331</v>
      </c>
      <c r="F239" s="75">
        <v>0.50347222222222221</v>
      </c>
      <c r="I239" t="s">
        <v>1136</v>
      </c>
    </row>
    <row r="240" spans="1:10" x14ac:dyDescent="0.6">
      <c r="A240" t="s">
        <v>1137</v>
      </c>
      <c r="B240" s="76">
        <v>1900</v>
      </c>
      <c r="C240" t="s">
        <v>941</v>
      </c>
      <c r="D240" t="s">
        <v>942</v>
      </c>
      <c r="E240" s="75">
        <v>0.3263888888888889</v>
      </c>
      <c r="F240" s="75">
        <v>0.34027777777777779</v>
      </c>
      <c r="J240" t="s">
        <v>967</v>
      </c>
    </row>
    <row r="241" spans="1:10" x14ac:dyDescent="0.6">
      <c r="A241" t="s">
        <v>1137</v>
      </c>
      <c r="B241" s="76">
        <v>1900</v>
      </c>
      <c r="C241" t="s">
        <v>92</v>
      </c>
      <c r="D241" t="s">
        <v>5</v>
      </c>
      <c r="E241" s="75">
        <v>0.37847222222222221</v>
      </c>
      <c r="F241" s="75">
        <v>0.3888888888888889</v>
      </c>
      <c r="I241" t="s">
        <v>1032</v>
      </c>
    </row>
    <row r="242" spans="1:10" x14ac:dyDescent="0.6">
      <c r="A242" t="s">
        <v>1137</v>
      </c>
      <c r="B242" s="76">
        <v>1900</v>
      </c>
      <c r="C242" t="s">
        <v>100</v>
      </c>
      <c r="D242" t="s">
        <v>5</v>
      </c>
      <c r="E242" s="75">
        <v>0.40277777777777779</v>
      </c>
      <c r="F242" s="75">
        <v>0.40972222222222221</v>
      </c>
      <c r="I242" t="s">
        <v>1033</v>
      </c>
    </row>
    <row r="243" spans="1:10" x14ac:dyDescent="0.6">
      <c r="A243" t="s">
        <v>1137</v>
      </c>
      <c r="B243" s="76">
        <v>1900</v>
      </c>
      <c r="C243" t="s">
        <v>1034</v>
      </c>
      <c r="D243" t="s">
        <v>1092</v>
      </c>
      <c r="E243" s="75">
        <v>0.42708333333333331</v>
      </c>
      <c r="F243" s="75">
        <v>0.44097222222222221</v>
      </c>
      <c r="I243" t="s">
        <v>1035</v>
      </c>
    </row>
    <row r="244" spans="1:10" x14ac:dyDescent="0.6">
      <c r="A244" t="s">
        <v>1137</v>
      </c>
      <c r="B244" s="76">
        <v>1900</v>
      </c>
      <c r="C244" t="s">
        <v>100</v>
      </c>
      <c r="D244" t="s">
        <v>137</v>
      </c>
      <c r="E244" s="75">
        <v>0.4548611111111111</v>
      </c>
      <c r="F244" s="75">
        <v>0.46527777777777779</v>
      </c>
      <c r="I244" t="s">
        <v>1138</v>
      </c>
    </row>
    <row r="245" spans="1:10" x14ac:dyDescent="0.6">
      <c r="A245" t="s">
        <v>1137</v>
      </c>
      <c r="B245" s="76">
        <v>1900</v>
      </c>
      <c r="C245" t="s">
        <v>1094</v>
      </c>
      <c r="D245" t="s">
        <v>942</v>
      </c>
      <c r="E245" s="75">
        <v>0.4826388888888889</v>
      </c>
      <c r="F245" s="75">
        <v>0.49652777777777779</v>
      </c>
      <c r="I245" t="s">
        <v>1139</v>
      </c>
    </row>
    <row r="246" spans="1:10" x14ac:dyDescent="0.6">
      <c r="A246" t="s">
        <v>1140</v>
      </c>
      <c r="B246" s="76">
        <v>1900</v>
      </c>
      <c r="C246" t="s">
        <v>941</v>
      </c>
      <c r="D246" t="s">
        <v>942</v>
      </c>
      <c r="E246" s="75">
        <v>0.3263888888888889</v>
      </c>
      <c r="F246" s="75">
        <v>0.34027777777777779</v>
      </c>
      <c r="J246" t="s">
        <v>967</v>
      </c>
    </row>
    <row r="247" spans="1:10" x14ac:dyDescent="0.6">
      <c r="A247" t="s">
        <v>1140</v>
      </c>
      <c r="B247" s="76">
        <v>1900</v>
      </c>
      <c r="C247" t="s">
        <v>113</v>
      </c>
      <c r="D247" t="s">
        <v>5</v>
      </c>
      <c r="E247" s="75">
        <v>0.40277777777777779</v>
      </c>
      <c r="F247" s="75">
        <v>0.40972222222222221</v>
      </c>
      <c r="I247" t="s">
        <v>1038</v>
      </c>
    </row>
    <row r="248" spans="1:10" x14ac:dyDescent="0.6">
      <c r="A248" t="s">
        <v>1140</v>
      </c>
      <c r="B248" s="76">
        <v>1900</v>
      </c>
      <c r="C248" t="s">
        <v>112</v>
      </c>
      <c r="D248" t="s">
        <v>1092</v>
      </c>
      <c r="E248" s="75">
        <v>0.41666666666666669</v>
      </c>
      <c r="F248" s="75">
        <v>0.42708333333333331</v>
      </c>
      <c r="I248" t="s">
        <v>1039</v>
      </c>
    </row>
    <row r="249" spans="1:10" x14ac:dyDescent="0.6">
      <c r="A249" t="s">
        <v>1140</v>
      </c>
      <c r="B249" s="76">
        <v>1900</v>
      </c>
      <c r="C249" t="s">
        <v>102</v>
      </c>
      <c r="D249" t="s">
        <v>1092</v>
      </c>
      <c r="E249" s="75">
        <v>0.4375</v>
      </c>
      <c r="F249" s="75">
        <v>0.44791666666666669</v>
      </c>
      <c r="I249" t="s">
        <v>1040</v>
      </c>
    </row>
    <row r="250" spans="1:10" x14ac:dyDescent="0.6">
      <c r="A250" t="s">
        <v>1140</v>
      </c>
      <c r="B250" s="76">
        <v>1900</v>
      </c>
      <c r="C250" t="s">
        <v>113</v>
      </c>
      <c r="D250" t="s">
        <v>137</v>
      </c>
      <c r="E250" s="75">
        <v>0.45833333333333331</v>
      </c>
      <c r="F250" s="75">
        <v>0.46875</v>
      </c>
      <c r="I250" t="s">
        <v>1141</v>
      </c>
    </row>
    <row r="251" spans="1:10" x14ac:dyDescent="0.6">
      <c r="A251" t="s">
        <v>1140</v>
      </c>
      <c r="B251" s="76">
        <v>1900</v>
      </c>
      <c r="C251" t="s">
        <v>1094</v>
      </c>
      <c r="D251" t="s">
        <v>942</v>
      </c>
      <c r="E251" s="75">
        <v>0.48958333333333331</v>
      </c>
      <c r="F251" s="75">
        <v>0.50347222222222221</v>
      </c>
      <c r="I251" t="s">
        <v>1142</v>
      </c>
    </row>
    <row r="252" spans="1:10" x14ac:dyDescent="0.6">
      <c r="A252" t="s">
        <v>1143</v>
      </c>
      <c r="B252" s="76">
        <v>1900</v>
      </c>
      <c r="C252" t="s">
        <v>941</v>
      </c>
      <c r="D252" t="s">
        <v>942</v>
      </c>
      <c r="E252" s="75">
        <v>0.3263888888888889</v>
      </c>
      <c r="F252" s="75">
        <v>0.34027777777777779</v>
      </c>
      <c r="J252" t="s">
        <v>967</v>
      </c>
    </row>
    <row r="253" spans="1:10" x14ac:dyDescent="0.6">
      <c r="A253" t="s">
        <v>1143</v>
      </c>
      <c r="B253" s="76">
        <v>1900</v>
      </c>
      <c r="C253" t="s">
        <v>126</v>
      </c>
      <c r="D253" t="s">
        <v>5</v>
      </c>
      <c r="E253" s="75">
        <v>0.3888888888888889</v>
      </c>
      <c r="F253" s="75">
        <v>0.39583333333333331</v>
      </c>
      <c r="I253" t="s">
        <v>1042</v>
      </c>
    </row>
    <row r="254" spans="1:10" x14ac:dyDescent="0.6">
      <c r="A254" t="s">
        <v>1143</v>
      </c>
      <c r="B254" s="76">
        <v>1900</v>
      </c>
      <c r="C254" t="s">
        <v>130</v>
      </c>
      <c r="D254" t="s">
        <v>5</v>
      </c>
      <c r="E254" s="75">
        <v>0.39930555555555558</v>
      </c>
      <c r="F254" s="75">
        <v>0.40625</v>
      </c>
      <c r="I254" t="s">
        <v>1043</v>
      </c>
    </row>
    <row r="255" spans="1:10" x14ac:dyDescent="0.6">
      <c r="A255" t="s">
        <v>1143</v>
      </c>
      <c r="B255" s="76">
        <v>1900</v>
      </c>
      <c r="C255" t="s">
        <v>125</v>
      </c>
      <c r="D255" t="s">
        <v>5</v>
      </c>
      <c r="E255" s="75">
        <v>0.4201388888888889</v>
      </c>
      <c r="F255" s="75">
        <v>0.42708333333333331</v>
      </c>
      <c r="I255" t="s">
        <v>1044</v>
      </c>
    </row>
    <row r="256" spans="1:10" x14ac:dyDescent="0.6">
      <c r="A256" t="s">
        <v>1143</v>
      </c>
      <c r="B256" s="76">
        <v>1900</v>
      </c>
      <c r="C256" t="s">
        <v>127</v>
      </c>
      <c r="D256" t="s">
        <v>1092</v>
      </c>
      <c r="E256" s="75">
        <v>0.43402777777777779</v>
      </c>
      <c r="F256" s="75">
        <v>0.44444444444444442</v>
      </c>
      <c r="I256" t="s">
        <v>1045</v>
      </c>
    </row>
    <row r="257" spans="1:10" x14ac:dyDescent="0.6">
      <c r="A257" t="s">
        <v>1143</v>
      </c>
      <c r="B257" s="76">
        <v>1900</v>
      </c>
      <c r="C257" t="s">
        <v>125</v>
      </c>
      <c r="D257" t="s">
        <v>137</v>
      </c>
      <c r="E257" s="75">
        <v>0.4513888888888889</v>
      </c>
      <c r="F257" s="75">
        <v>0.45833333333333331</v>
      </c>
      <c r="I257" t="s">
        <v>1144</v>
      </c>
    </row>
    <row r="258" spans="1:10" x14ac:dyDescent="0.6">
      <c r="A258" t="s">
        <v>1143</v>
      </c>
      <c r="B258" s="76">
        <v>1900</v>
      </c>
      <c r="C258" t="s">
        <v>1094</v>
      </c>
      <c r="D258" t="s">
        <v>942</v>
      </c>
      <c r="E258" s="75">
        <v>0.47222222222222221</v>
      </c>
      <c r="F258" s="75">
        <v>0.4861111111111111</v>
      </c>
      <c r="I258" t="s">
        <v>1145</v>
      </c>
    </row>
    <row r="259" spans="1:10" x14ac:dyDescent="0.6">
      <c r="A259" t="s">
        <v>1146</v>
      </c>
      <c r="B259" s="76">
        <v>1900</v>
      </c>
      <c r="C259" t="s">
        <v>941</v>
      </c>
      <c r="D259" t="s">
        <v>942</v>
      </c>
      <c r="E259" s="75">
        <v>0.34027777777777779</v>
      </c>
      <c r="F259" s="75">
        <v>0.35416666666666669</v>
      </c>
      <c r="J259" t="s">
        <v>967</v>
      </c>
    </row>
    <row r="260" spans="1:10" x14ac:dyDescent="0.6">
      <c r="A260" t="s">
        <v>1146</v>
      </c>
      <c r="B260" s="76">
        <v>1900</v>
      </c>
      <c r="C260" t="s">
        <v>32</v>
      </c>
      <c r="D260" t="s">
        <v>5</v>
      </c>
      <c r="E260" s="75">
        <v>0.38194444444444442</v>
      </c>
      <c r="F260" s="75">
        <v>0.3888888888888889</v>
      </c>
      <c r="I260" t="s">
        <v>1047</v>
      </c>
    </row>
    <row r="261" spans="1:10" x14ac:dyDescent="0.6">
      <c r="A261" t="s">
        <v>1146</v>
      </c>
      <c r="B261" s="76">
        <v>1900</v>
      </c>
      <c r="C261" t="s">
        <v>29</v>
      </c>
      <c r="D261" t="s">
        <v>5</v>
      </c>
      <c r="E261" s="75">
        <v>0.40972222222222221</v>
      </c>
      <c r="F261" s="75">
        <v>0.41666666666666669</v>
      </c>
      <c r="I261" t="s">
        <v>1048</v>
      </c>
    </row>
    <row r="262" spans="1:10" x14ac:dyDescent="0.6">
      <c r="A262" t="s">
        <v>1146</v>
      </c>
      <c r="B262" s="76">
        <v>1900</v>
      </c>
      <c r="C262" t="s">
        <v>30</v>
      </c>
      <c r="D262" t="s">
        <v>1092</v>
      </c>
      <c r="E262" s="75">
        <v>0.43402777777777779</v>
      </c>
      <c r="F262" s="75">
        <v>0.44444444444444442</v>
      </c>
      <c r="I262" t="s">
        <v>1049</v>
      </c>
    </row>
    <row r="263" spans="1:10" x14ac:dyDescent="0.6">
      <c r="A263" t="s">
        <v>1146</v>
      </c>
      <c r="B263" s="76">
        <v>1900</v>
      </c>
      <c r="C263" t="s">
        <v>29</v>
      </c>
      <c r="D263" t="s">
        <v>137</v>
      </c>
      <c r="E263" s="75">
        <v>0.46180555555555558</v>
      </c>
      <c r="F263" s="75">
        <v>0.47222222222222221</v>
      </c>
      <c r="I263" t="s">
        <v>1049</v>
      </c>
    </row>
    <row r="264" spans="1:10" x14ac:dyDescent="0.6">
      <c r="A264" t="s">
        <v>1146</v>
      </c>
      <c r="B264" s="76">
        <v>1900</v>
      </c>
      <c r="C264" t="s">
        <v>32</v>
      </c>
      <c r="D264" t="s">
        <v>137</v>
      </c>
      <c r="E264" s="75">
        <v>0.49305555555555558</v>
      </c>
      <c r="F264" s="75">
        <v>0.50347222222222221</v>
      </c>
      <c r="I264" t="s">
        <v>1147</v>
      </c>
    </row>
    <row r="265" spans="1:10" x14ac:dyDescent="0.6">
      <c r="A265" t="s">
        <v>1146</v>
      </c>
      <c r="B265" s="76">
        <v>1900</v>
      </c>
      <c r="C265" t="s">
        <v>1094</v>
      </c>
      <c r="D265" t="s">
        <v>942</v>
      </c>
      <c r="E265" s="75">
        <v>0.52777777777777779</v>
      </c>
      <c r="F265" s="75">
        <v>0.54166666666666663</v>
      </c>
      <c r="I265" t="s">
        <v>1148</v>
      </c>
    </row>
    <row r="266" spans="1:10" x14ac:dyDescent="0.6">
      <c r="A266" t="s">
        <v>1149</v>
      </c>
      <c r="B266" s="76">
        <v>1900</v>
      </c>
      <c r="C266" t="s">
        <v>941</v>
      </c>
      <c r="D266" t="s">
        <v>942</v>
      </c>
      <c r="E266" s="75">
        <v>0.34027777777777779</v>
      </c>
      <c r="F266" s="75">
        <v>0.35416666666666669</v>
      </c>
      <c r="J266" t="s">
        <v>967</v>
      </c>
    </row>
    <row r="267" spans="1:10" x14ac:dyDescent="0.6">
      <c r="A267" t="s">
        <v>1149</v>
      </c>
      <c r="B267" s="76">
        <v>1900</v>
      </c>
      <c r="C267" t="s">
        <v>18</v>
      </c>
      <c r="D267" t="s">
        <v>1092</v>
      </c>
      <c r="E267" s="75">
        <v>0.40625</v>
      </c>
      <c r="F267" s="75">
        <v>0.41666666666666669</v>
      </c>
      <c r="I267" t="s">
        <v>978</v>
      </c>
    </row>
    <row r="268" spans="1:10" x14ac:dyDescent="0.6">
      <c r="A268" t="s">
        <v>1149</v>
      </c>
      <c r="B268" s="76">
        <v>1900</v>
      </c>
      <c r="C268" t="s">
        <v>19</v>
      </c>
      <c r="D268" t="s">
        <v>1092</v>
      </c>
      <c r="E268" s="75">
        <v>0.43055555555555558</v>
      </c>
      <c r="F268" s="75">
        <v>0.44097222222222221</v>
      </c>
      <c r="I268" t="s">
        <v>1051</v>
      </c>
    </row>
    <row r="269" spans="1:10" x14ac:dyDescent="0.6">
      <c r="A269" t="s">
        <v>1149</v>
      </c>
      <c r="B269" s="76">
        <v>1900</v>
      </c>
      <c r="C269" t="s">
        <v>1094</v>
      </c>
      <c r="D269" t="s">
        <v>942</v>
      </c>
      <c r="E269" s="75">
        <v>0.47222222222222221</v>
      </c>
      <c r="F269" s="75">
        <v>0.4861111111111111</v>
      </c>
      <c r="I269" t="s">
        <v>1150</v>
      </c>
    </row>
    <row r="270" spans="1:10" x14ac:dyDescent="0.6">
      <c r="A270" t="s">
        <v>1151</v>
      </c>
      <c r="B270" s="76">
        <v>1900</v>
      </c>
      <c r="C270" t="s">
        <v>941</v>
      </c>
      <c r="D270" t="s">
        <v>942</v>
      </c>
      <c r="E270" s="75">
        <v>0.35416666666666669</v>
      </c>
      <c r="F270" s="75">
        <v>0.36805555555555558</v>
      </c>
      <c r="J270" t="s">
        <v>967</v>
      </c>
    </row>
    <row r="271" spans="1:10" x14ac:dyDescent="0.6">
      <c r="A271" t="s">
        <v>1151</v>
      </c>
      <c r="B271" s="76">
        <v>1900</v>
      </c>
      <c r="C271" t="s">
        <v>55</v>
      </c>
      <c r="D271" t="s">
        <v>1092</v>
      </c>
      <c r="E271" s="75">
        <v>0.41666666666666669</v>
      </c>
      <c r="F271" s="75">
        <v>0.4236111111111111</v>
      </c>
      <c r="I271" t="s">
        <v>1053</v>
      </c>
    </row>
    <row r="272" spans="1:10" x14ac:dyDescent="0.6">
      <c r="A272" t="s">
        <v>1151</v>
      </c>
      <c r="B272" s="76">
        <v>1900</v>
      </c>
      <c r="C272" t="s">
        <v>146</v>
      </c>
      <c r="D272" t="s">
        <v>1092</v>
      </c>
      <c r="E272" s="75">
        <v>0.44097222222222221</v>
      </c>
      <c r="F272" s="75">
        <v>0.45833333333333331</v>
      </c>
      <c r="I272" t="s">
        <v>1054</v>
      </c>
    </row>
    <row r="273" spans="1:10" x14ac:dyDescent="0.6">
      <c r="A273" t="s">
        <v>1151</v>
      </c>
      <c r="B273" s="76">
        <v>1900</v>
      </c>
      <c r="C273" t="s">
        <v>1094</v>
      </c>
      <c r="D273" t="s">
        <v>942</v>
      </c>
      <c r="E273" s="75">
        <v>0.49305555555555558</v>
      </c>
      <c r="F273" s="75">
        <v>0.50694444444444442</v>
      </c>
      <c r="I273" t="s">
        <v>1152</v>
      </c>
    </row>
    <row r="274" spans="1:10" x14ac:dyDescent="0.6">
      <c r="A274" t="s">
        <v>1153</v>
      </c>
      <c r="B274" s="76">
        <v>1900</v>
      </c>
      <c r="C274" t="s">
        <v>941</v>
      </c>
      <c r="D274" t="s">
        <v>942</v>
      </c>
      <c r="E274" s="75">
        <v>0.34027777777777779</v>
      </c>
      <c r="F274" s="75">
        <v>0.35416666666666669</v>
      </c>
      <c r="J274" t="s">
        <v>967</v>
      </c>
    </row>
    <row r="275" spans="1:10" x14ac:dyDescent="0.6">
      <c r="A275" t="s">
        <v>1153</v>
      </c>
      <c r="B275" s="76">
        <v>1900</v>
      </c>
      <c r="C275" t="s">
        <v>123</v>
      </c>
      <c r="D275" t="s">
        <v>1092</v>
      </c>
      <c r="E275" s="75">
        <v>0.40277777777777779</v>
      </c>
      <c r="F275" s="75">
        <v>0.41319444444444442</v>
      </c>
      <c r="I275" t="s">
        <v>1056</v>
      </c>
    </row>
    <row r="276" spans="1:10" x14ac:dyDescent="0.6">
      <c r="A276" t="s">
        <v>1153</v>
      </c>
      <c r="B276" s="76">
        <v>1900</v>
      </c>
      <c r="C276" t="s">
        <v>121</v>
      </c>
      <c r="D276" t="s">
        <v>1092</v>
      </c>
      <c r="E276" s="75">
        <v>0.4236111111111111</v>
      </c>
      <c r="F276" s="75">
        <v>0.43402777777777779</v>
      </c>
      <c r="I276" t="s">
        <v>1057</v>
      </c>
    </row>
    <row r="277" spans="1:10" x14ac:dyDescent="0.6">
      <c r="A277" t="s">
        <v>1153</v>
      </c>
      <c r="B277" s="76">
        <v>1900</v>
      </c>
      <c r="C277" t="s">
        <v>119</v>
      </c>
      <c r="D277" t="s">
        <v>1092</v>
      </c>
      <c r="E277" s="75">
        <v>0.44097222222222221</v>
      </c>
      <c r="F277" s="75">
        <v>0.4513888888888889</v>
      </c>
      <c r="I277" t="s">
        <v>1058</v>
      </c>
    </row>
    <row r="278" spans="1:10" x14ac:dyDescent="0.6">
      <c r="A278" t="s">
        <v>1153</v>
      </c>
      <c r="B278" s="76">
        <v>1900</v>
      </c>
      <c r="C278" t="s">
        <v>1094</v>
      </c>
      <c r="D278" t="s">
        <v>942</v>
      </c>
      <c r="E278" s="75">
        <v>0.46527777777777779</v>
      </c>
      <c r="F278" s="75">
        <v>0.47916666666666669</v>
      </c>
      <c r="I278" t="s">
        <v>1154</v>
      </c>
    </row>
    <row r="279" spans="1:10" x14ac:dyDescent="0.6">
      <c r="A279" t="s">
        <v>1155</v>
      </c>
      <c r="B279" s="76">
        <v>1900</v>
      </c>
      <c r="C279" t="s">
        <v>941</v>
      </c>
      <c r="D279" t="s">
        <v>942</v>
      </c>
      <c r="E279" s="75">
        <v>0.34027777777777779</v>
      </c>
      <c r="F279" s="75">
        <v>0.35416666666666669</v>
      </c>
      <c r="J279" t="s">
        <v>967</v>
      </c>
    </row>
    <row r="280" spans="1:10" x14ac:dyDescent="0.6">
      <c r="A280" t="s">
        <v>1155</v>
      </c>
      <c r="B280" s="76">
        <v>1900</v>
      </c>
      <c r="C280" t="s">
        <v>120</v>
      </c>
      <c r="D280" t="s">
        <v>1092</v>
      </c>
      <c r="E280" s="75">
        <v>0.40277777777777779</v>
      </c>
      <c r="F280" s="75">
        <v>0.40972222222222221</v>
      </c>
      <c r="I280" t="s">
        <v>1060</v>
      </c>
    </row>
    <row r="281" spans="1:10" x14ac:dyDescent="0.6">
      <c r="A281" t="s">
        <v>1155</v>
      </c>
      <c r="B281" s="76">
        <v>1900</v>
      </c>
      <c r="C281" t="s">
        <v>118</v>
      </c>
      <c r="D281" t="s">
        <v>1092</v>
      </c>
      <c r="E281" s="75">
        <v>0.41666666666666669</v>
      </c>
      <c r="F281" s="75">
        <v>0.42708333333333331</v>
      </c>
      <c r="I281" t="s">
        <v>1061</v>
      </c>
    </row>
    <row r="282" spans="1:10" x14ac:dyDescent="0.6">
      <c r="A282" t="s">
        <v>1155</v>
      </c>
      <c r="B282" s="76">
        <v>1900</v>
      </c>
      <c r="C282" t="s">
        <v>117</v>
      </c>
      <c r="D282" t="s">
        <v>1092</v>
      </c>
      <c r="E282" s="75">
        <v>0.4375</v>
      </c>
      <c r="F282" s="75">
        <v>0.44791666666666669</v>
      </c>
      <c r="I282" t="s">
        <v>1062</v>
      </c>
    </row>
    <row r="283" spans="1:10" x14ac:dyDescent="0.6">
      <c r="A283" t="s">
        <v>1155</v>
      </c>
      <c r="B283" s="76">
        <v>1900</v>
      </c>
      <c r="C283" t="s">
        <v>1094</v>
      </c>
      <c r="D283" t="s">
        <v>942</v>
      </c>
      <c r="E283" s="75">
        <v>0.46875</v>
      </c>
      <c r="F283" s="75">
        <v>0.4826388888888889</v>
      </c>
      <c r="I283" t="s">
        <v>1156</v>
      </c>
    </row>
    <row r="284" spans="1:10" x14ac:dyDescent="0.6">
      <c r="A284" t="s">
        <v>1157</v>
      </c>
      <c r="B284" s="76">
        <v>1900</v>
      </c>
      <c r="C284" t="s">
        <v>941</v>
      </c>
      <c r="D284" t="s">
        <v>942</v>
      </c>
      <c r="E284" s="75">
        <v>0.34027777777777779</v>
      </c>
      <c r="F284" s="75">
        <v>0.35416666666666669</v>
      </c>
      <c r="J284" t="s">
        <v>967</v>
      </c>
    </row>
    <row r="285" spans="1:10" x14ac:dyDescent="0.6">
      <c r="A285" t="s">
        <v>1157</v>
      </c>
      <c r="B285" s="76">
        <v>1900</v>
      </c>
      <c r="C285" t="s">
        <v>31</v>
      </c>
      <c r="D285" t="s">
        <v>5</v>
      </c>
      <c r="E285" s="75">
        <v>0.38541666666666669</v>
      </c>
      <c r="F285" s="75">
        <v>0.39583333333333331</v>
      </c>
      <c r="I285" t="s">
        <v>1064</v>
      </c>
    </row>
    <row r="286" spans="1:10" x14ac:dyDescent="0.6">
      <c r="A286" t="s">
        <v>1157</v>
      </c>
      <c r="B286" s="76">
        <v>1900</v>
      </c>
      <c r="C286" t="s">
        <v>53</v>
      </c>
      <c r="D286" t="s">
        <v>5</v>
      </c>
      <c r="E286" s="75">
        <v>0.41319444444444442</v>
      </c>
      <c r="F286" s="75">
        <v>0.4201388888888889</v>
      </c>
      <c r="I286" t="s">
        <v>1065</v>
      </c>
    </row>
    <row r="287" spans="1:10" x14ac:dyDescent="0.6">
      <c r="A287" t="s">
        <v>1157</v>
      </c>
      <c r="B287" s="76">
        <v>1900</v>
      </c>
      <c r="C287" t="s">
        <v>52</v>
      </c>
      <c r="D287" t="s">
        <v>1092</v>
      </c>
      <c r="E287" s="75">
        <v>0.43402777777777779</v>
      </c>
      <c r="F287" s="75">
        <v>0.44791666666666669</v>
      </c>
      <c r="I287" t="s">
        <v>1066</v>
      </c>
    </row>
    <row r="288" spans="1:10" x14ac:dyDescent="0.6">
      <c r="A288" t="s">
        <v>1157</v>
      </c>
      <c r="B288" s="76">
        <v>1900</v>
      </c>
      <c r="C288" t="s">
        <v>53</v>
      </c>
      <c r="D288" t="s">
        <v>137</v>
      </c>
      <c r="E288" s="75">
        <v>0.46180555555555558</v>
      </c>
      <c r="F288" s="75">
        <v>0.47222222222222221</v>
      </c>
      <c r="I288" t="s">
        <v>1158</v>
      </c>
    </row>
    <row r="289" spans="1:10" x14ac:dyDescent="0.6">
      <c r="A289" t="s">
        <v>1157</v>
      </c>
      <c r="B289" s="76">
        <v>1900</v>
      </c>
      <c r="C289" t="s">
        <v>1094</v>
      </c>
      <c r="D289" t="s">
        <v>942</v>
      </c>
      <c r="E289" s="75">
        <v>0.48958333333333331</v>
      </c>
      <c r="F289" s="75">
        <v>0.50347222222222221</v>
      </c>
      <c r="I289" t="s">
        <v>1159</v>
      </c>
    </row>
    <row r="290" spans="1:10" x14ac:dyDescent="0.6">
      <c r="A290" t="s">
        <v>1160</v>
      </c>
      <c r="B290" s="76">
        <v>1900</v>
      </c>
      <c r="C290" t="s">
        <v>941</v>
      </c>
      <c r="D290" t="s">
        <v>942</v>
      </c>
      <c r="E290" s="75">
        <v>0.34027777777777779</v>
      </c>
      <c r="F290" s="75">
        <v>0.35416666666666669</v>
      </c>
      <c r="J290" t="s">
        <v>967</v>
      </c>
    </row>
    <row r="291" spans="1:10" x14ac:dyDescent="0.6">
      <c r="A291" t="s">
        <v>1160</v>
      </c>
      <c r="B291" s="76">
        <v>1900</v>
      </c>
      <c r="C291" t="s">
        <v>33</v>
      </c>
      <c r="D291" t="s">
        <v>5</v>
      </c>
      <c r="E291" s="75">
        <v>0.3888888888888889</v>
      </c>
      <c r="F291" s="75">
        <v>0.39930555555555558</v>
      </c>
      <c r="I291" t="s">
        <v>1068</v>
      </c>
    </row>
    <row r="292" spans="1:10" x14ac:dyDescent="0.6">
      <c r="A292" t="s">
        <v>1160</v>
      </c>
      <c r="B292" s="76">
        <v>1900</v>
      </c>
      <c r="C292" t="s">
        <v>56</v>
      </c>
      <c r="D292" t="s">
        <v>5</v>
      </c>
      <c r="E292" s="75">
        <v>0.41319444444444442</v>
      </c>
      <c r="F292" s="75">
        <v>0.4201388888888889</v>
      </c>
      <c r="I292" t="s">
        <v>1069</v>
      </c>
    </row>
    <row r="293" spans="1:10" x14ac:dyDescent="0.6">
      <c r="A293" t="s">
        <v>1160</v>
      </c>
      <c r="B293" s="76">
        <v>1900</v>
      </c>
      <c r="C293" t="s">
        <v>54</v>
      </c>
      <c r="D293" t="s">
        <v>1092</v>
      </c>
      <c r="E293" s="75">
        <v>0.43402777777777779</v>
      </c>
      <c r="F293" s="75">
        <v>0.44444444444444442</v>
      </c>
      <c r="I293" t="s">
        <v>1066</v>
      </c>
    </row>
    <row r="294" spans="1:10" x14ac:dyDescent="0.6">
      <c r="A294" t="s">
        <v>1160</v>
      </c>
      <c r="B294" s="76">
        <v>1900</v>
      </c>
      <c r="C294" t="s">
        <v>33</v>
      </c>
      <c r="D294" t="s">
        <v>137</v>
      </c>
      <c r="E294" s="75">
        <v>0.45833333333333331</v>
      </c>
      <c r="F294" s="75">
        <v>0.46875</v>
      </c>
      <c r="I294" t="s">
        <v>1161</v>
      </c>
    </row>
    <row r="295" spans="1:10" x14ac:dyDescent="0.6">
      <c r="A295" t="s">
        <v>1160</v>
      </c>
      <c r="B295" s="76">
        <v>1900</v>
      </c>
      <c r="C295" t="s">
        <v>1094</v>
      </c>
      <c r="D295" t="s">
        <v>942</v>
      </c>
      <c r="E295" s="75">
        <v>0.48958333333333331</v>
      </c>
      <c r="F295" s="75">
        <v>0.50347222222222221</v>
      </c>
      <c r="I295" t="s">
        <v>1162</v>
      </c>
    </row>
    <row r="296" spans="1:10" x14ac:dyDescent="0.6">
      <c r="A296" t="s">
        <v>1163</v>
      </c>
      <c r="B296" s="76">
        <v>1900</v>
      </c>
      <c r="C296" t="s">
        <v>941</v>
      </c>
      <c r="D296" t="s">
        <v>942</v>
      </c>
      <c r="E296" s="75">
        <v>0.34027777777777779</v>
      </c>
      <c r="F296" s="75">
        <v>0.35416666666666669</v>
      </c>
      <c r="J296" t="s">
        <v>967</v>
      </c>
    </row>
    <row r="297" spans="1:10" x14ac:dyDescent="0.6">
      <c r="A297" t="s">
        <v>1163</v>
      </c>
      <c r="B297" s="76">
        <v>1900</v>
      </c>
      <c r="C297" t="s">
        <v>110</v>
      </c>
      <c r="D297" t="s">
        <v>5</v>
      </c>
      <c r="E297" s="75">
        <v>0.39930555555555558</v>
      </c>
      <c r="F297" s="75">
        <v>0.40972222222222221</v>
      </c>
      <c r="I297" t="s">
        <v>1071</v>
      </c>
    </row>
    <row r="298" spans="1:10" x14ac:dyDescent="0.6">
      <c r="A298" t="s">
        <v>1163</v>
      </c>
      <c r="B298" s="76">
        <v>1900</v>
      </c>
      <c r="C298" t="s">
        <v>111</v>
      </c>
      <c r="D298" t="s">
        <v>5</v>
      </c>
      <c r="E298" s="75">
        <v>0.4201388888888889</v>
      </c>
      <c r="F298" s="75">
        <v>0.42708333333333331</v>
      </c>
      <c r="I298" t="s">
        <v>1072</v>
      </c>
    </row>
    <row r="299" spans="1:10" x14ac:dyDescent="0.6">
      <c r="A299" t="s">
        <v>1163</v>
      </c>
      <c r="B299" s="76">
        <v>1900</v>
      </c>
      <c r="C299" t="s">
        <v>109</v>
      </c>
      <c r="D299" t="s">
        <v>1092</v>
      </c>
      <c r="E299" s="75">
        <v>0.43402777777777779</v>
      </c>
      <c r="F299" s="75">
        <v>0.44444444444444442</v>
      </c>
      <c r="I299" t="s">
        <v>1073</v>
      </c>
    </row>
    <row r="300" spans="1:10" x14ac:dyDescent="0.6">
      <c r="A300" t="s">
        <v>1163</v>
      </c>
      <c r="B300" s="76">
        <v>1900</v>
      </c>
      <c r="C300" t="s">
        <v>111</v>
      </c>
      <c r="D300" t="s">
        <v>137</v>
      </c>
      <c r="E300" s="75">
        <v>0.4548611111111111</v>
      </c>
      <c r="F300" s="75">
        <v>0.46180555555555558</v>
      </c>
      <c r="I300" t="s">
        <v>1164</v>
      </c>
    </row>
    <row r="301" spans="1:10" x14ac:dyDescent="0.6">
      <c r="A301" t="s">
        <v>1163</v>
      </c>
      <c r="B301" s="76">
        <v>1900</v>
      </c>
      <c r="C301" t="s">
        <v>1094</v>
      </c>
      <c r="D301" t="s">
        <v>942</v>
      </c>
      <c r="E301" s="75">
        <v>0.4861111111111111</v>
      </c>
      <c r="F301" s="75">
        <v>0.5</v>
      </c>
      <c r="I301" t="s">
        <v>1165</v>
      </c>
    </row>
    <row r="302" spans="1:10" x14ac:dyDescent="0.6">
      <c r="A302" t="s">
        <v>1166</v>
      </c>
      <c r="B302" s="76">
        <v>1900</v>
      </c>
      <c r="C302" t="s">
        <v>941</v>
      </c>
      <c r="D302" t="s">
        <v>942</v>
      </c>
      <c r="E302" s="75">
        <v>0.34027777777777779</v>
      </c>
      <c r="F302" s="75">
        <v>0.35416666666666669</v>
      </c>
      <c r="J302" t="s">
        <v>967</v>
      </c>
    </row>
    <row r="303" spans="1:10" x14ac:dyDescent="0.6">
      <c r="A303" t="s">
        <v>1166</v>
      </c>
      <c r="B303" s="76">
        <v>1900</v>
      </c>
      <c r="C303" t="s">
        <v>122</v>
      </c>
      <c r="D303" t="s">
        <v>5</v>
      </c>
      <c r="E303" s="75">
        <v>0.39583333333333331</v>
      </c>
      <c r="F303" s="75">
        <v>0.40277777777777779</v>
      </c>
      <c r="I303" t="s">
        <v>1075</v>
      </c>
    </row>
    <row r="304" spans="1:10" x14ac:dyDescent="0.6">
      <c r="A304" t="s">
        <v>1166</v>
      </c>
      <c r="B304" s="76">
        <v>1900</v>
      </c>
      <c r="C304" t="s">
        <v>114</v>
      </c>
      <c r="E304" s="75">
        <v>0.41319444444444442</v>
      </c>
      <c r="F304" s="75">
        <v>0.4236111111111111</v>
      </c>
      <c r="I304" t="s">
        <v>1076</v>
      </c>
    </row>
    <row r="305" spans="1:10" x14ac:dyDescent="0.6">
      <c r="A305" t="s">
        <v>1166</v>
      </c>
      <c r="B305" s="76">
        <v>1900</v>
      </c>
      <c r="C305" t="s">
        <v>116</v>
      </c>
      <c r="D305" t="s">
        <v>1092</v>
      </c>
      <c r="E305" s="75">
        <v>0.43402777777777779</v>
      </c>
      <c r="F305" s="75">
        <v>0.44444444444444442</v>
      </c>
      <c r="I305" t="s">
        <v>993</v>
      </c>
    </row>
    <row r="306" spans="1:10" x14ac:dyDescent="0.6">
      <c r="A306" t="s">
        <v>1166</v>
      </c>
      <c r="B306" s="76">
        <v>1900</v>
      </c>
      <c r="C306" t="s">
        <v>50</v>
      </c>
      <c r="D306" t="s">
        <v>137</v>
      </c>
      <c r="E306" s="75">
        <v>0.45833333333333331</v>
      </c>
      <c r="F306" s="75">
        <v>0.46875</v>
      </c>
      <c r="I306" t="s">
        <v>1167</v>
      </c>
    </row>
    <row r="307" spans="1:10" x14ac:dyDescent="0.6">
      <c r="A307" t="s">
        <v>1166</v>
      </c>
      <c r="B307" s="76">
        <v>1900</v>
      </c>
      <c r="C307" t="s">
        <v>1094</v>
      </c>
      <c r="D307" t="s">
        <v>942</v>
      </c>
      <c r="E307" s="75">
        <v>0.4826388888888889</v>
      </c>
      <c r="F307" s="75">
        <v>0.49652777777777779</v>
      </c>
      <c r="I307" t="s">
        <v>1168</v>
      </c>
    </row>
    <row r="308" spans="1:10" x14ac:dyDescent="0.6">
      <c r="A308" t="s">
        <v>1169</v>
      </c>
      <c r="B308" s="76">
        <v>1900</v>
      </c>
      <c r="C308" t="s">
        <v>941</v>
      </c>
      <c r="D308" t="s">
        <v>942</v>
      </c>
      <c r="E308" s="75">
        <v>0.34027777777777779</v>
      </c>
      <c r="F308" s="75">
        <v>0.35416666666666669</v>
      </c>
      <c r="J308" t="s">
        <v>967</v>
      </c>
    </row>
    <row r="309" spans="1:10" x14ac:dyDescent="0.6">
      <c r="A309" t="s">
        <v>1169</v>
      </c>
      <c r="B309" s="76">
        <v>1900</v>
      </c>
      <c r="C309" t="s">
        <v>24</v>
      </c>
      <c r="D309" t="s">
        <v>1092</v>
      </c>
      <c r="E309" s="75">
        <v>0.38541666666666669</v>
      </c>
      <c r="F309" s="75">
        <v>0.39583333333333331</v>
      </c>
      <c r="I309" t="s">
        <v>1078</v>
      </c>
    </row>
    <row r="310" spans="1:10" x14ac:dyDescent="0.6">
      <c r="A310" t="s">
        <v>1169</v>
      </c>
      <c r="B310" s="76">
        <v>1900</v>
      </c>
      <c r="C310" t="s">
        <v>21</v>
      </c>
      <c r="D310" t="s">
        <v>1092</v>
      </c>
      <c r="E310" s="75">
        <v>0.40972222222222221</v>
      </c>
      <c r="F310" s="75">
        <v>0.4201388888888889</v>
      </c>
      <c r="I310" t="s">
        <v>1079</v>
      </c>
    </row>
    <row r="311" spans="1:10" x14ac:dyDescent="0.6">
      <c r="A311" t="s">
        <v>1169</v>
      </c>
      <c r="B311" s="76">
        <v>1900</v>
      </c>
      <c r="C311" t="s">
        <v>94</v>
      </c>
      <c r="D311" t="s">
        <v>1092</v>
      </c>
      <c r="E311" s="75">
        <v>0.43402777777777779</v>
      </c>
      <c r="F311" s="75">
        <v>0.44444444444444442</v>
      </c>
      <c r="I311" t="s">
        <v>1080</v>
      </c>
    </row>
    <row r="312" spans="1:10" x14ac:dyDescent="0.6">
      <c r="A312" t="s">
        <v>1169</v>
      </c>
      <c r="B312" s="76">
        <v>1900</v>
      </c>
      <c r="C312" t="s">
        <v>126</v>
      </c>
      <c r="E312" s="75">
        <v>0.4548611111111111</v>
      </c>
      <c r="F312" s="75">
        <v>0.46527777777777779</v>
      </c>
      <c r="I312" t="s">
        <v>1170</v>
      </c>
    </row>
    <row r="313" spans="1:10" x14ac:dyDescent="0.6">
      <c r="A313" t="s">
        <v>1169</v>
      </c>
      <c r="B313" s="76">
        <v>1900</v>
      </c>
      <c r="C313" t="s">
        <v>130</v>
      </c>
      <c r="E313" s="75">
        <v>0.46180555555555558</v>
      </c>
      <c r="F313" s="75">
        <v>0.46875</v>
      </c>
      <c r="I313" t="s">
        <v>1043</v>
      </c>
    </row>
    <row r="314" spans="1:10" x14ac:dyDescent="0.6">
      <c r="A314" t="s">
        <v>1169</v>
      </c>
      <c r="B314" s="76">
        <v>1900</v>
      </c>
      <c r="C314" t="s">
        <v>1094</v>
      </c>
      <c r="D314" t="s">
        <v>942</v>
      </c>
      <c r="E314" s="75">
        <v>0.47916666666666669</v>
      </c>
      <c r="F314" s="75">
        <v>0.49305555555555558</v>
      </c>
      <c r="I314" t="s">
        <v>1171</v>
      </c>
    </row>
    <row r="315" spans="1:10" x14ac:dyDescent="0.6">
      <c r="A315" t="s">
        <v>1172</v>
      </c>
      <c r="B315" s="76">
        <v>1900</v>
      </c>
      <c r="C315" t="s">
        <v>941</v>
      </c>
      <c r="D315" t="s">
        <v>942</v>
      </c>
      <c r="E315" s="75">
        <v>0.35416666666666669</v>
      </c>
      <c r="F315" s="75">
        <v>0.36805555555555558</v>
      </c>
      <c r="J315" t="s">
        <v>967</v>
      </c>
    </row>
    <row r="316" spans="1:10" x14ac:dyDescent="0.6">
      <c r="A316" t="s">
        <v>1172</v>
      </c>
      <c r="B316" s="76">
        <v>1900</v>
      </c>
      <c r="C316" t="s">
        <v>22</v>
      </c>
      <c r="D316" t="s">
        <v>1092</v>
      </c>
      <c r="E316" s="75">
        <v>0.40277777777777779</v>
      </c>
      <c r="F316" s="75">
        <v>0.41319444444444442</v>
      </c>
      <c r="I316" t="s">
        <v>1082</v>
      </c>
    </row>
    <row r="317" spans="1:10" x14ac:dyDescent="0.6">
      <c r="A317" t="s">
        <v>1172</v>
      </c>
      <c r="B317" s="76">
        <v>1900</v>
      </c>
      <c r="C317" t="s">
        <v>23</v>
      </c>
      <c r="D317" t="s">
        <v>1092</v>
      </c>
      <c r="E317" s="75">
        <v>0.43402777777777779</v>
      </c>
      <c r="F317" s="75">
        <v>0.44444444444444442</v>
      </c>
      <c r="I317" t="s">
        <v>1083</v>
      </c>
    </row>
    <row r="318" spans="1:10" x14ac:dyDescent="0.6">
      <c r="A318" t="s">
        <v>1172</v>
      </c>
      <c r="B318" s="76">
        <v>1900</v>
      </c>
      <c r="C318" t="s">
        <v>1094</v>
      </c>
      <c r="D318" t="s">
        <v>942</v>
      </c>
      <c r="E318" s="75">
        <v>0.46527777777777779</v>
      </c>
      <c r="F318" s="75">
        <v>0.47916666666666669</v>
      </c>
      <c r="I318" t="s">
        <v>1173</v>
      </c>
    </row>
    <row r="319" spans="1:10" x14ac:dyDescent="0.6">
      <c r="A319" t="s">
        <v>1174</v>
      </c>
      <c r="B319" s="76">
        <v>1900</v>
      </c>
      <c r="C319" t="s">
        <v>941</v>
      </c>
      <c r="D319" t="s">
        <v>942</v>
      </c>
      <c r="E319" s="75">
        <v>0.35416666666666669</v>
      </c>
      <c r="F319" s="75">
        <v>0.36805555555555558</v>
      </c>
      <c r="J319" t="s">
        <v>967</v>
      </c>
    </row>
    <row r="320" spans="1:10" x14ac:dyDescent="0.6">
      <c r="A320" t="s">
        <v>1174</v>
      </c>
      <c r="B320" s="76">
        <v>1900</v>
      </c>
      <c r="C320" t="s">
        <v>34</v>
      </c>
      <c r="D320" t="s">
        <v>5</v>
      </c>
      <c r="E320" s="75">
        <v>0.39583333333333331</v>
      </c>
      <c r="F320" s="75">
        <v>0.40625</v>
      </c>
      <c r="I320" t="s">
        <v>1085</v>
      </c>
    </row>
    <row r="321" spans="1:10" x14ac:dyDescent="0.6">
      <c r="A321" t="s">
        <v>1174</v>
      </c>
      <c r="B321" s="76">
        <v>1900</v>
      </c>
      <c r="C321" t="s">
        <v>50</v>
      </c>
      <c r="D321" t="s">
        <v>5</v>
      </c>
      <c r="E321" s="75">
        <v>0.43055555555555558</v>
      </c>
      <c r="F321" s="75">
        <v>0.4375</v>
      </c>
      <c r="I321" t="s">
        <v>1086</v>
      </c>
    </row>
    <row r="322" spans="1:10" x14ac:dyDescent="0.6">
      <c r="A322" t="s">
        <v>1174</v>
      </c>
      <c r="B322" s="76">
        <v>1900</v>
      </c>
      <c r="C322" t="s">
        <v>49</v>
      </c>
      <c r="D322" t="s">
        <v>1092</v>
      </c>
      <c r="E322" s="75">
        <v>0.44791666666666669</v>
      </c>
      <c r="F322" s="75">
        <v>0.45833333333333331</v>
      </c>
      <c r="I322" t="s">
        <v>1087</v>
      </c>
    </row>
    <row r="323" spans="1:10" x14ac:dyDescent="0.6">
      <c r="A323" t="s">
        <v>1174</v>
      </c>
      <c r="B323" s="76">
        <v>1900</v>
      </c>
      <c r="C323" t="s">
        <v>1094</v>
      </c>
      <c r="D323" t="s">
        <v>942</v>
      </c>
      <c r="E323" s="75">
        <v>0.47222222222222221</v>
      </c>
      <c r="F323" s="75">
        <v>0.4861111111111111</v>
      </c>
      <c r="I323" t="s">
        <v>1175</v>
      </c>
    </row>
    <row r="324" spans="1:10" x14ac:dyDescent="0.6">
      <c r="A324" t="s">
        <v>1176</v>
      </c>
      <c r="B324" s="76">
        <v>1900</v>
      </c>
      <c r="C324" t="s">
        <v>941</v>
      </c>
      <c r="D324" t="s">
        <v>942</v>
      </c>
      <c r="E324" s="75">
        <v>0.35416666666666669</v>
      </c>
      <c r="F324" s="75">
        <v>0.36805555555555558</v>
      </c>
      <c r="J324" t="s">
        <v>967</v>
      </c>
    </row>
    <row r="325" spans="1:10" x14ac:dyDescent="0.6">
      <c r="A325" t="s">
        <v>1176</v>
      </c>
      <c r="B325" s="76">
        <v>1900</v>
      </c>
      <c r="C325" t="s">
        <v>27</v>
      </c>
      <c r="D325" t="s">
        <v>5</v>
      </c>
      <c r="E325" s="75">
        <v>0.40625</v>
      </c>
      <c r="F325" s="75">
        <v>0.41666666666666669</v>
      </c>
      <c r="I325" t="s">
        <v>1089</v>
      </c>
    </row>
    <row r="326" spans="1:10" x14ac:dyDescent="0.6">
      <c r="A326" t="s">
        <v>1176</v>
      </c>
      <c r="B326" s="76">
        <v>1900</v>
      </c>
      <c r="C326" t="s">
        <v>28</v>
      </c>
      <c r="D326" t="s">
        <v>1092</v>
      </c>
      <c r="E326" s="75">
        <v>0.43055555555555558</v>
      </c>
      <c r="F326" s="75">
        <v>0.44097222222222221</v>
      </c>
      <c r="I326" t="s">
        <v>1090</v>
      </c>
    </row>
    <row r="327" spans="1:10" x14ac:dyDescent="0.6">
      <c r="A327" t="s">
        <v>1176</v>
      </c>
      <c r="B327" s="76">
        <v>1900</v>
      </c>
      <c r="C327" t="s">
        <v>27</v>
      </c>
      <c r="D327" t="s">
        <v>137</v>
      </c>
      <c r="E327" s="75">
        <v>0.45833333333333331</v>
      </c>
      <c r="F327" s="75">
        <v>0.46875</v>
      </c>
      <c r="I327" t="s">
        <v>1177</v>
      </c>
    </row>
    <row r="328" spans="1:10" x14ac:dyDescent="0.6">
      <c r="A328" t="s">
        <v>1176</v>
      </c>
      <c r="B328" s="76">
        <v>1900</v>
      </c>
      <c r="C328" t="s">
        <v>1094</v>
      </c>
      <c r="D328" t="s">
        <v>942</v>
      </c>
      <c r="E328" s="75">
        <v>0.50347222222222221</v>
      </c>
      <c r="F328" s="75">
        <v>0.51736111111111116</v>
      </c>
      <c r="I328" t="s">
        <v>1178</v>
      </c>
    </row>
    <row r="329" spans="1:10" x14ac:dyDescent="0.6">
      <c r="A329" t="s">
        <v>1179</v>
      </c>
      <c r="B329" s="76">
        <v>1900</v>
      </c>
      <c r="C329" t="s">
        <v>1094</v>
      </c>
      <c r="D329" t="s">
        <v>942</v>
      </c>
      <c r="E329" s="75">
        <v>4.1666666666666664E-2</v>
      </c>
      <c r="F329" s="75">
        <v>5.5555555555555552E-2</v>
      </c>
      <c r="G329" t="s">
        <v>1180</v>
      </c>
      <c r="J329" t="s">
        <v>967</v>
      </c>
    </row>
    <row r="330" spans="1:10" x14ac:dyDescent="0.6">
      <c r="A330" t="s">
        <v>1179</v>
      </c>
      <c r="B330" s="76">
        <v>1900</v>
      </c>
      <c r="C330" t="s">
        <v>79</v>
      </c>
      <c r="D330" t="s">
        <v>5</v>
      </c>
      <c r="E330" s="75">
        <v>9.7222222222222224E-2</v>
      </c>
      <c r="F330" s="75">
        <v>0.11805555555555555</v>
      </c>
      <c r="H330">
        <v>60</v>
      </c>
      <c r="I330" t="s">
        <v>1181</v>
      </c>
      <c r="J330" t="s">
        <v>967</v>
      </c>
    </row>
    <row r="331" spans="1:10" x14ac:dyDescent="0.6">
      <c r="A331" t="s">
        <v>1179</v>
      </c>
      <c r="B331" s="76">
        <v>1900</v>
      </c>
      <c r="C331" t="s">
        <v>77</v>
      </c>
      <c r="D331" t="s">
        <v>5</v>
      </c>
      <c r="E331" s="75">
        <v>0.12152777777777778</v>
      </c>
      <c r="F331" s="75">
        <v>0.125</v>
      </c>
      <c r="H331">
        <v>5</v>
      </c>
      <c r="I331">
        <v>0</v>
      </c>
      <c r="J331" t="s">
        <v>967</v>
      </c>
    </row>
    <row r="332" spans="1:10" x14ac:dyDescent="0.6">
      <c r="A332" t="s">
        <v>1182</v>
      </c>
      <c r="B332" s="76">
        <v>1900</v>
      </c>
      <c r="C332" t="s">
        <v>1094</v>
      </c>
      <c r="D332" t="s">
        <v>942</v>
      </c>
      <c r="E332" s="75">
        <v>4.1666666666666664E-2</v>
      </c>
      <c r="F332" s="75">
        <v>5.5555555555555552E-2</v>
      </c>
      <c r="G332" t="s">
        <v>1180</v>
      </c>
      <c r="J332" t="s">
        <v>967</v>
      </c>
    </row>
    <row r="333" spans="1:10" x14ac:dyDescent="0.6">
      <c r="A333" t="s">
        <v>1182</v>
      </c>
      <c r="B333" s="76">
        <v>1900</v>
      </c>
      <c r="C333" t="s">
        <v>108</v>
      </c>
      <c r="D333" t="s">
        <v>5</v>
      </c>
      <c r="E333" s="75">
        <v>8.3333333333333329E-2</v>
      </c>
      <c r="F333" s="75">
        <v>0.10416666666666667</v>
      </c>
      <c r="H333">
        <v>20</v>
      </c>
      <c r="I333" t="s">
        <v>1183</v>
      </c>
      <c r="J333" t="s">
        <v>967</v>
      </c>
    </row>
    <row r="334" spans="1:10" x14ac:dyDescent="0.6">
      <c r="A334" t="s">
        <v>1182</v>
      </c>
      <c r="B334" s="76">
        <v>1900</v>
      </c>
      <c r="C334" t="s">
        <v>103</v>
      </c>
      <c r="D334" t="s">
        <v>5</v>
      </c>
      <c r="E334" s="75">
        <v>0.1076388888888889</v>
      </c>
      <c r="F334" s="75">
        <v>0.1111111111111111</v>
      </c>
      <c r="H334">
        <v>5</v>
      </c>
      <c r="I334">
        <v>0</v>
      </c>
      <c r="J334" t="s">
        <v>967</v>
      </c>
    </row>
    <row r="335" spans="1:10" x14ac:dyDescent="0.6">
      <c r="A335" t="s">
        <v>1184</v>
      </c>
      <c r="B335" s="76">
        <v>1900</v>
      </c>
      <c r="C335" t="s">
        <v>1094</v>
      </c>
      <c r="D335" t="s">
        <v>942</v>
      </c>
      <c r="E335" s="75">
        <v>4.1666666666666664E-2</v>
      </c>
      <c r="F335" s="75">
        <v>5.5555555555555552E-2</v>
      </c>
      <c r="G335" t="s">
        <v>1180</v>
      </c>
      <c r="J335" t="s">
        <v>967</v>
      </c>
    </row>
    <row r="336" spans="1:10" x14ac:dyDescent="0.6">
      <c r="A336" t="s">
        <v>1184</v>
      </c>
      <c r="B336" s="76">
        <v>1900</v>
      </c>
      <c r="C336" t="s">
        <v>67</v>
      </c>
      <c r="D336" t="s">
        <v>5</v>
      </c>
      <c r="E336" s="75">
        <v>7.9861111111111105E-2</v>
      </c>
      <c r="F336" s="75">
        <v>0.10069444444444445</v>
      </c>
      <c r="H336">
        <v>35</v>
      </c>
      <c r="I336" t="s">
        <v>1185</v>
      </c>
      <c r="J336" t="s">
        <v>967</v>
      </c>
    </row>
    <row r="337" spans="1:10" x14ac:dyDescent="0.6">
      <c r="A337" t="s">
        <v>1184</v>
      </c>
      <c r="B337" s="76">
        <v>1900</v>
      </c>
      <c r="C337" t="s">
        <v>66</v>
      </c>
      <c r="D337" t="s">
        <v>5</v>
      </c>
      <c r="E337" s="75">
        <v>0.10416666666666667</v>
      </c>
      <c r="F337" s="75">
        <v>0.1076388888888889</v>
      </c>
      <c r="H337">
        <v>5</v>
      </c>
      <c r="I337">
        <v>0</v>
      </c>
      <c r="J337" t="s">
        <v>967</v>
      </c>
    </row>
    <row r="338" spans="1:10" x14ac:dyDescent="0.6">
      <c r="A338" t="s">
        <v>1186</v>
      </c>
      <c r="B338" s="76">
        <v>1900</v>
      </c>
      <c r="C338" t="s">
        <v>1094</v>
      </c>
      <c r="D338" t="s">
        <v>942</v>
      </c>
      <c r="E338" s="75">
        <v>4.1666666666666664E-2</v>
      </c>
      <c r="F338" s="75">
        <v>5.5555555555555552E-2</v>
      </c>
      <c r="G338" t="s">
        <v>1180</v>
      </c>
      <c r="J338" t="s">
        <v>967</v>
      </c>
    </row>
    <row r="339" spans="1:10" x14ac:dyDescent="0.6">
      <c r="A339" t="s">
        <v>1186</v>
      </c>
      <c r="B339" s="76">
        <v>1900</v>
      </c>
      <c r="C339" t="s">
        <v>115</v>
      </c>
      <c r="D339" t="s">
        <v>5</v>
      </c>
      <c r="E339" s="75">
        <v>7.9861111111111105E-2</v>
      </c>
      <c r="F339" s="75">
        <v>0.10069444444444445</v>
      </c>
      <c r="H339">
        <v>35</v>
      </c>
      <c r="I339" t="s">
        <v>1187</v>
      </c>
      <c r="J339" t="s">
        <v>967</v>
      </c>
    </row>
    <row r="340" spans="1:10" x14ac:dyDescent="0.6">
      <c r="A340" t="s">
        <v>1188</v>
      </c>
      <c r="B340" s="76">
        <v>1900</v>
      </c>
      <c r="C340" t="s">
        <v>1094</v>
      </c>
      <c r="D340" t="s">
        <v>942</v>
      </c>
      <c r="E340" s="75">
        <v>4.1666666666666664E-2</v>
      </c>
      <c r="F340" s="75">
        <v>5.5555555555555552E-2</v>
      </c>
      <c r="G340" t="s">
        <v>1180</v>
      </c>
      <c r="J340" t="s">
        <v>967</v>
      </c>
    </row>
    <row r="341" spans="1:10" x14ac:dyDescent="0.6">
      <c r="A341" t="s">
        <v>1188</v>
      </c>
      <c r="B341" s="76">
        <v>1900</v>
      </c>
      <c r="C341" t="s">
        <v>58</v>
      </c>
      <c r="D341" t="s">
        <v>5</v>
      </c>
      <c r="E341" s="75">
        <v>7.9861111111111105E-2</v>
      </c>
      <c r="F341" s="75">
        <v>0.10069444444444445</v>
      </c>
      <c r="H341">
        <v>35</v>
      </c>
      <c r="I341" t="s">
        <v>1189</v>
      </c>
      <c r="J341" t="s">
        <v>967</v>
      </c>
    </row>
    <row r="342" spans="1:10" x14ac:dyDescent="0.6">
      <c r="A342" t="s">
        <v>1188</v>
      </c>
      <c r="B342" s="76">
        <v>1900</v>
      </c>
      <c r="C342" t="s">
        <v>51</v>
      </c>
      <c r="D342" t="s">
        <v>5</v>
      </c>
      <c r="E342" s="75">
        <v>0.10416666666666667</v>
      </c>
      <c r="F342" s="75">
        <v>0.1076388888888889</v>
      </c>
      <c r="H342">
        <v>5</v>
      </c>
      <c r="I342" t="s">
        <v>1190</v>
      </c>
      <c r="J342" t="s">
        <v>967</v>
      </c>
    </row>
    <row r="343" spans="1:10" x14ac:dyDescent="0.6">
      <c r="A343" t="s">
        <v>1191</v>
      </c>
      <c r="B343" s="76" t="s">
        <v>1192</v>
      </c>
      <c r="C343" t="s">
        <v>1094</v>
      </c>
      <c r="D343" t="s">
        <v>942</v>
      </c>
      <c r="E343" s="75">
        <v>0.125</v>
      </c>
      <c r="F343" s="75">
        <v>0.1388888888888889</v>
      </c>
      <c r="G343" t="s">
        <v>1180</v>
      </c>
      <c r="J343" t="s">
        <v>967</v>
      </c>
    </row>
    <row r="344" spans="1:10" x14ac:dyDescent="0.6">
      <c r="A344" t="s">
        <v>1191</v>
      </c>
      <c r="B344" s="76" t="s">
        <v>1192</v>
      </c>
      <c r="C344" t="s">
        <v>92</v>
      </c>
      <c r="D344" t="s">
        <v>5</v>
      </c>
      <c r="E344" s="75">
        <v>0.14930555555555555</v>
      </c>
      <c r="F344" s="75">
        <v>0.16666666666666666</v>
      </c>
      <c r="H344">
        <v>15</v>
      </c>
      <c r="I344" t="s">
        <v>1133</v>
      </c>
      <c r="J344" t="s">
        <v>967</v>
      </c>
    </row>
    <row r="345" spans="1:10" x14ac:dyDescent="0.6">
      <c r="A345" t="s">
        <v>1193</v>
      </c>
      <c r="B345" s="76" t="s">
        <v>1192</v>
      </c>
      <c r="C345" t="s">
        <v>1094</v>
      </c>
      <c r="D345" t="s">
        <v>942</v>
      </c>
      <c r="E345" s="75">
        <v>0.125</v>
      </c>
      <c r="F345" s="75">
        <v>0.1388888888888889</v>
      </c>
      <c r="G345" t="s">
        <v>1180</v>
      </c>
      <c r="J345" t="s">
        <v>967</v>
      </c>
    </row>
    <row r="346" spans="1:10" x14ac:dyDescent="0.6">
      <c r="A346" t="s">
        <v>1193</v>
      </c>
      <c r="B346" s="76" t="s">
        <v>1192</v>
      </c>
      <c r="C346" t="s">
        <v>126</v>
      </c>
      <c r="D346" t="s">
        <v>5</v>
      </c>
      <c r="E346" s="75">
        <v>0.14930555555555555</v>
      </c>
      <c r="F346" s="75">
        <v>0.16666666666666666</v>
      </c>
      <c r="H346">
        <v>15</v>
      </c>
      <c r="I346" t="s">
        <v>1194</v>
      </c>
      <c r="J346" t="s">
        <v>967</v>
      </c>
    </row>
    <row r="347" spans="1:10" x14ac:dyDescent="0.6">
      <c r="A347" t="s">
        <v>1195</v>
      </c>
      <c r="B347" s="76" t="s">
        <v>1192</v>
      </c>
      <c r="C347" t="s">
        <v>1094</v>
      </c>
      <c r="D347" t="s">
        <v>942</v>
      </c>
      <c r="E347" s="75">
        <v>0.125</v>
      </c>
      <c r="F347" s="75">
        <v>0.1388888888888889</v>
      </c>
      <c r="G347" t="s">
        <v>1180</v>
      </c>
      <c r="J347" t="s">
        <v>967</v>
      </c>
    </row>
    <row r="348" spans="1:10" x14ac:dyDescent="0.6">
      <c r="A348" t="s">
        <v>1195</v>
      </c>
      <c r="B348" s="76" t="s">
        <v>1192</v>
      </c>
      <c r="C348" t="s">
        <v>31</v>
      </c>
      <c r="D348" t="s">
        <v>5</v>
      </c>
      <c r="E348" s="75">
        <v>0.15277777777777779</v>
      </c>
      <c r="F348" s="75">
        <v>0.1701388888888889</v>
      </c>
      <c r="H348">
        <v>20</v>
      </c>
      <c r="I348" t="s">
        <v>1196</v>
      </c>
      <c r="J348" t="s">
        <v>967</v>
      </c>
    </row>
    <row r="349" spans="1:10" x14ac:dyDescent="0.6">
      <c r="A349" t="s">
        <v>1197</v>
      </c>
      <c r="B349" s="76" t="s">
        <v>1192</v>
      </c>
      <c r="C349" t="s">
        <v>1094</v>
      </c>
      <c r="D349" t="s">
        <v>942</v>
      </c>
      <c r="E349" s="75">
        <v>0.125</v>
      </c>
      <c r="F349" s="75">
        <v>0.1388888888888889</v>
      </c>
      <c r="G349" t="s">
        <v>1180</v>
      </c>
      <c r="J349" t="s">
        <v>967</v>
      </c>
    </row>
    <row r="350" spans="1:10" x14ac:dyDescent="0.6">
      <c r="A350" t="s">
        <v>1197</v>
      </c>
      <c r="B350" s="76" t="s">
        <v>1192</v>
      </c>
      <c r="C350" t="s">
        <v>96</v>
      </c>
      <c r="D350" t="s">
        <v>5</v>
      </c>
      <c r="E350" s="75">
        <v>0.15277777777777779</v>
      </c>
      <c r="F350" s="75">
        <v>0.1701388888888889</v>
      </c>
      <c r="H350">
        <v>20</v>
      </c>
      <c r="I350" t="s">
        <v>1198</v>
      </c>
      <c r="J350" t="s">
        <v>967</v>
      </c>
    </row>
    <row r="351" spans="1:10" x14ac:dyDescent="0.6">
      <c r="A351" t="s">
        <v>1199</v>
      </c>
      <c r="B351" s="76" t="s">
        <v>1192</v>
      </c>
      <c r="C351" t="s">
        <v>1094</v>
      </c>
      <c r="D351" t="s">
        <v>942</v>
      </c>
      <c r="E351" s="75">
        <v>0.125</v>
      </c>
      <c r="F351" s="75">
        <v>0.1388888888888889</v>
      </c>
      <c r="G351" t="s">
        <v>1180</v>
      </c>
      <c r="J351" t="s">
        <v>967</v>
      </c>
    </row>
    <row r="352" spans="1:10" x14ac:dyDescent="0.6">
      <c r="A352" t="s">
        <v>1199</v>
      </c>
      <c r="B352" s="76" t="s">
        <v>1192</v>
      </c>
      <c r="C352" t="s">
        <v>57</v>
      </c>
      <c r="D352" t="s">
        <v>5</v>
      </c>
      <c r="E352" s="75">
        <v>0.15277777777777779</v>
      </c>
      <c r="F352" s="75">
        <v>0.1736111111111111</v>
      </c>
      <c r="H352">
        <v>20</v>
      </c>
      <c r="I352" t="s">
        <v>1200</v>
      </c>
      <c r="J352" t="s">
        <v>967</v>
      </c>
    </row>
    <row r="353" spans="1:10" x14ac:dyDescent="0.6">
      <c r="A353" t="s">
        <v>1199</v>
      </c>
      <c r="B353" s="76" t="s">
        <v>1192</v>
      </c>
      <c r="C353" t="s">
        <v>49</v>
      </c>
      <c r="D353" t="s">
        <v>5</v>
      </c>
      <c r="E353" s="75">
        <v>0.17708333333333334</v>
      </c>
      <c r="F353" s="75">
        <v>0.18055555555555555</v>
      </c>
      <c r="H353">
        <v>5</v>
      </c>
      <c r="I353">
        <v>0</v>
      </c>
      <c r="J353" t="s">
        <v>967</v>
      </c>
    </row>
    <row r="354" spans="1:10" x14ac:dyDescent="0.6">
      <c r="A354" t="s">
        <v>1201</v>
      </c>
      <c r="B354" s="76" t="s">
        <v>1192</v>
      </c>
      <c r="C354" t="s">
        <v>1094</v>
      </c>
      <c r="D354" t="s">
        <v>942</v>
      </c>
      <c r="E354" s="75">
        <v>0.125</v>
      </c>
      <c r="F354" s="75">
        <v>0.1388888888888889</v>
      </c>
      <c r="G354" t="s">
        <v>1202</v>
      </c>
      <c r="J354" t="s">
        <v>967</v>
      </c>
    </row>
    <row r="355" spans="1:10" x14ac:dyDescent="0.6">
      <c r="A355" t="s">
        <v>1201</v>
      </c>
      <c r="B355" s="76" t="s">
        <v>1192</v>
      </c>
      <c r="C355" t="s">
        <v>124</v>
      </c>
      <c r="D355" t="s">
        <v>5</v>
      </c>
      <c r="E355" s="75">
        <v>0.15625</v>
      </c>
      <c r="F355" s="75">
        <v>0.1736111111111111</v>
      </c>
      <c r="H355">
        <v>25</v>
      </c>
      <c r="I355" t="s">
        <v>1203</v>
      </c>
      <c r="J355" t="s">
        <v>967</v>
      </c>
    </row>
    <row r="356" spans="1:10" x14ac:dyDescent="0.6">
      <c r="A356" t="s">
        <v>1204</v>
      </c>
      <c r="B356" s="76" t="s">
        <v>1192</v>
      </c>
      <c r="C356" t="s">
        <v>1094</v>
      </c>
      <c r="D356" t="s">
        <v>942</v>
      </c>
      <c r="E356" s="75">
        <v>0.125</v>
      </c>
      <c r="F356" s="75">
        <v>0.1388888888888889</v>
      </c>
      <c r="G356" t="s">
        <v>1180</v>
      </c>
      <c r="J356" t="s">
        <v>967</v>
      </c>
    </row>
    <row r="357" spans="1:10" x14ac:dyDescent="0.6">
      <c r="A357" t="s">
        <v>1204</v>
      </c>
      <c r="B357" s="76" t="s">
        <v>1192</v>
      </c>
      <c r="C357" t="s">
        <v>129</v>
      </c>
      <c r="D357" t="s">
        <v>5</v>
      </c>
      <c r="E357" s="75">
        <v>0.15625</v>
      </c>
      <c r="F357" s="75">
        <v>0.1736111111111111</v>
      </c>
      <c r="H357">
        <v>25</v>
      </c>
      <c r="I357" t="s">
        <v>1205</v>
      </c>
      <c r="J357" t="s">
        <v>967</v>
      </c>
    </row>
    <row r="358" spans="1:10" x14ac:dyDescent="0.6">
      <c r="A358" t="s">
        <v>1206</v>
      </c>
      <c r="B358" s="76" t="s">
        <v>1192</v>
      </c>
      <c r="C358" t="s">
        <v>1094</v>
      </c>
      <c r="D358" t="s">
        <v>942</v>
      </c>
      <c r="E358" s="75">
        <v>0.125</v>
      </c>
      <c r="F358" s="75">
        <v>0.1388888888888889</v>
      </c>
      <c r="G358" t="s">
        <v>1180</v>
      </c>
      <c r="J358" t="s">
        <v>967</v>
      </c>
    </row>
    <row r="359" spans="1:10" x14ac:dyDescent="0.6">
      <c r="A359" t="s">
        <v>1206</v>
      </c>
      <c r="B359" s="76" t="s">
        <v>1192</v>
      </c>
      <c r="C359" t="s">
        <v>114</v>
      </c>
      <c r="D359" t="s">
        <v>5</v>
      </c>
      <c r="E359" s="75">
        <v>0.15625</v>
      </c>
      <c r="F359" s="75">
        <v>0.1736111111111111</v>
      </c>
      <c r="H359">
        <v>25</v>
      </c>
      <c r="I359" t="s">
        <v>1207</v>
      </c>
      <c r="J359" t="s">
        <v>967</v>
      </c>
    </row>
    <row r="360" spans="1:10" x14ac:dyDescent="0.6">
      <c r="A360" t="s">
        <v>1208</v>
      </c>
      <c r="B360" s="76" t="s">
        <v>1192</v>
      </c>
      <c r="C360" t="s">
        <v>1094</v>
      </c>
      <c r="D360" t="s">
        <v>942</v>
      </c>
      <c r="E360" s="75">
        <v>0.125</v>
      </c>
      <c r="F360" s="75">
        <v>0.1388888888888889</v>
      </c>
      <c r="G360" t="s">
        <v>1180</v>
      </c>
      <c r="J360" t="s">
        <v>967</v>
      </c>
    </row>
    <row r="361" spans="1:10" x14ac:dyDescent="0.6">
      <c r="A361" t="s">
        <v>1208</v>
      </c>
      <c r="B361" s="76" t="s">
        <v>1192</v>
      </c>
      <c r="C361" t="s">
        <v>59</v>
      </c>
      <c r="D361" t="s">
        <v>5</v>
      </c>
      <c r="E361" s="75">
        <v>0.15625</v>
      </c>
      <c r="F361" s="75">
        <v>0.17708333333333334</v>
      </c>
      <c r="H361">
        <v>25</v>
      </c>
      <c r="I361" t="s">
        <v>1209</v>
      </c>
      <c r="J361" t="s">
        <v>967</v>
      </c>
    </row>
    <row r="362" spans="1:10" x14ac:dyDescent="0.6">
      <c r="A362" t="s">
        <v>1208</v>
      </c>
      <c r="B362" s="76" t="s">
        <v>1192</v>
      </c>
      <c r="C362" t="s">
        <v>53</v>
      </c>
      <c r="D362" t="s">
        <v>5</v>
      </c>
      <c r="E362" s="75">
        <v>0.18055555555555555</v>
      </c>
      <c r="F362" s="75">
        <v>0.18402777777777779</v>
      </c>
      <c r="H362">
        <v>5</v>
      </c>
      <c r="I362">
        <v>0</v>
      </c>
      <c r="J362" t="s">
        <v>967</v>
      </c>
    </row>
    <row r="363" spans="1:10" x14ac:dyDescent="0.6">
      <c r="A363" t="s">
        <v>1210</v>
      </c>
      <c r="B363" s="76" t="s">
        <v>1192</v>
      </c>
      <c r="C363" t="s">
        <v>1094</v>
      </c>
      <c r="D363" t="s">
        <v>942</v>
      </c>
      <c r="E363" s="75">
        <v>0.125</v>
      </c>
      <c r="F363" s="75">
        <v>0.1388888888888889</v>
      </c>
      <c r="G363" t="s">
        <v>1180</v>
      </c>
      <c r="J363" t="s">
        <v>967</v>
      </c>
    </row>
    <row r="364" spans="1:10" x14ac:dyDescent="0.6">
      <c r="A364" t="s">
        <v>1210</v>
      </c>
      <c r="B364" s="76" t="s">
        <v>1192</v>
      </c>
      <c r="C364" t="s">
        <v>34</v>
      </c>
      <c r="D364" t="s">
        <v>5</v>
      </c>
      <c r="E364" s="75">
        <v>0.15972222222222221</v>
      </c>
      <c r="F364" s="75">
        <v>0.17708333333333334</v>
      </c>
      <c r="H364">
        <v>30</v>
      </c>
      <c r="I364" t="s">
        <v>1211</v>
      </c>
      <c r="J364" t="s">
        <v>967</v>
      </c>
    </row>
    <row r="365" spans="1:10" x14ac:dyDescent="0.6">
      <c r="A365" t="s">
        <v>1212</v>
      </c>
      <c r="B365" s="76">
        <v>1900</v>
      </c>
      <c r="C365" t="s">
        <v>1094</v>
      </c>
      <c r="D365" t="s">
        <v>942</v>
      </c>
      <c r="E365" s="75">
        <v>0.125</v>
      </c>
      <c r="F365" s="75">
        <v>0.1388888888888889</v>
      </c>
      <c r="J365" t="s">
        <v>951</v>
      </c>
    </row>
    <row r="366" spans="1:10" x14ac:dyDescent="0.6">
      <c r="A366" t="s">
        <v>1212</v>
      </c>
      <c r="B366" s="76">
        <v>1900</v>
      </c>
      <c r="C366" t="s">
        <v>26</v>
      </c>
      <c r="D366" t="s">
        <v>5</v>
      </c>
      <c r="E366" s="75">
        <v>0.26041666666666669</v>
      </c>
      <c r="F366" s="75">
        <v>0.27083333333333331</v>
      </c>
      <c r="H366">
        <v>175</v>
      </c>
      <c r="I366" t="s">
        <v>1213</v>
      </c>
      <c r="J366" t="s">
        <v>951</v>
      </c>
    </row>
    <row r="367" spans="1:10" x14ac:dyDescent="0.6">
      <c r="A367" t="s">
        <v>1214</v>
      </c>
      <c r="B367" s="76">
        <v>1900</v>
      </c>
      <c r="C367" t="s">
        <v>1094</v>
      </c>
      <c r="D367" t="s">
        <v>942</v>
      </c>
      <c r="E367" s="75">
        <v>0.125</v>
      </c>
      <c r="F367" s="75">
        <v>0.1388888888888889</v>
      </c>
      <c r="J367" t="s">
        <v>972</v>
      </c>
    </row>
    <row r="368" spans="1:10" x14ac:dyDescent="0.6">
      <c r="A368" t="s">
        <v>1214</v>
      </c>
      <c r="B368" s="76">
        <v>1900</v>
      </c>
      <c r="C368" t="s">
        <v>25</v>
      </c>
      <c r="D368" t="s">
        <v>5</v>
      </c>
      <c r="E368" s="75">
        <v>0.23958333333333334</v>
      </c>
      <c r="F368" s="75">
        <v>0.25</v>
      </c>
      <c r="H368">
        <v>145</v>
      </c>
      <c r="I368" t="s">
        <v>1215</v>
      </c>
      <c r="J368" t="s">
        <v>972</v>
      </c>
    </row>
    <row r="369" spans="1:10" x14ac:dyDescent="0.6">
      <c r="A369" t="s">
        <v>1216</v>
      </c>
      <c r="B369" s="76">
        <v>1900</v>
      </c>
      <c r="C369" t="s">
        <v>1094</v>
      </c>
      <c r="D369" t="s">
        <v>942</v>
      </c>
      <c r="E369" s="75">
        <v>0.125</v>
      </c>
      <c r="F369" s="75">
        <v>0.1388888888888889</v>
      </c>
      <c r="J369" t="s">
        <v>967</v>
      </c>
    </row>
    <row r="370" spans="1:10" x14ac:dyDescent="0.6">
      <c r="A370" t="s">
        <v>1216</v>
      </c>
      <c r="B370" s="76">
        <v>1900</v>
      </c>
      <c r="C370" t="s">
        <v>76</v>
      </c>
      <c r="D370" t="s">
        <v>5</v>
      </c>
      <c r="E370" s="75">
        <v>0.17708333333333334</v>
      </c>
      <c r="F370" s="75">
        <v>0.1875</v>
      </c>
      <c r="H370">
        <v>55</v>
      </c>
      <c r="I370" t="s">
        <v>1217</v>
      </c>
      <c r="J370" t="s">
        <v>967</v>
      </c>
    </row>
    <row r="371" spans="1:10" x14ac:dyDescent="0.6">
      <c r="A371" t="s">
        <v>1216</v>
      </c>
      <c r="B371" s="76">
        <v>1900</v>
      </c>
      <c r="C371" t="s">
        <v>74</v>
      </c>
      <c r="D371" t="s">
        <v>5</v>
      </c>
      <c r="E371" s="75">
        <v>0.19444444444444445</v>
      </c>
      <c r="F371" s="75">
        <v>0.2048611111111111</v>
      </c>
      <c r="H371">
        <v>10</v>
      </c>
      <c r="I371" t="s">
        <v>976</v>
      </c>
      <c r="J371" t="s">
        <v>967</v>
      </c>
    </row>
    <row r="372" spans="1:10" x14ac:dyDescent="0.6">
      <c r="A372" t="s">
        <v>1216</v>
      </c>
      <c r="B372" s="76">
        <v>1900</v>
      </c>
      <c r="C372" t="s">
        <v>35</v>
      </c>
      <c r="D372" t="s">
        <v>5</v>
      </c>
      <c r="E372" s="75">
        <v>0.22569444444444445</v>
      </c>
      <c r="F372" s="75">
        <v>0.2361111111111111</v>
      </c>
      <c r="H372">
        <v>30</v>
      </c>
      <c r="I372" t="s">
        <v>1218</v>
      </c>
      <c r="J372" t="s">
        <v>967</v>
      </c>
    </row>
    <row r="373" spans="1:10" x14ac:dyDescent="0.6">
      <c r="A373" t="s">
        <v>1219</v>
      </c>
      <c r="B373" s="76">
        <v>1900</v>
      </c>
      <c r="C373" t="s">
        <v>1094</v>
      </c>
      <c r="D373" t="s">
        <v>942</v>
      </c>
      <c r="E373" s="75">
        <v>0.125</v>
      </c>
      <c r="F373" s="75">
        <v>0.1388888888888889</v>
      </c>
      <c r="J373" t="s">
        <v>967</v>
      </c>
    </row>
    <row r="374" spans="1:10" x14ac:dyDescent="0.6">
      <c r="A374" t="s">
        <v>1219</v>
      </c>
      <c r="B374" s="76">
        <v>1900</v>
      </c>
      <c r="C374" t="s">
        <v>91</v>
      </c>
      <c r="D374" t="s">
        <v>5</v>
      </c>
      <c r="E374" s="75">
        <v>0.18055555555555555</v>
      </c>
      <c r="F374" s="75">
        <v>0.19097222222222221</v>
      </c>
      <c r="H374">
        <v>60</v>
      </c>
      <c r="I374" t="s">
        <v>1220</v>
      </c>
      <c r="J374" t="s">
        <v>967</v>
      </c>
    </row>
    <row r="375" spans="1:10" x14ac:dyDescent="0.6">
      <c r="A375" t="s">
        <v>1219</v>
      </c>
      <c r="B375" s="76">
        <v>1900</v>
      </c>
      <c r="C375" t="s">
        <v>83</v>
      </c>
      <c r="D375" t="s">
        <v>5</v>
      </c>
      <c r="E375" s="75">
        <v>0.20833333333333334</v>
      </c>
      <c r="F375" s="75">
        <v>0.21875</v>
      </c>
      <c r="H375">
        <v>25</v>
      </c>
      <c r="I375" t="s">
        <v>1101</v>
      </c>
      <c r="J375" t="s">
        <v>967</v>
      </c>
    </row>
    <row r="376" spans="1:10" x14ac:dyDescent="0.6">
      <c r="A376" t="s">
        <v>1221</v>
      </c>
      <c r="B376" s="76">
        <v>1900</v>
      </c>
      <c r="C376" t="s">
        <v>1094</v>
      </c>
      <c r="D376" t="s">
        <v>942</v>
      </c>
      <c r="E376" s="75">
        <v>0.125</v>
      </c>
      <c r="F376" s="75">
        <v>0.1388888888888889</v>
      </c>
      <c r="J376" t="s">
        <v>967</v>
      </c>
    </row>
    <row r="377" spans="1:10" x14ac:dyDescent="0.6">
      <c r="A377" t="s">
        <v>1221</v>
      </c>
      <c r="B377" s="76">
        <v>1900</v>
      </c>
      <c r="C377" t="s">
        <v>20</v>
      </c>
      <c r="D377" t="s">
        <v>5</v>
      </c>
      <c r="E377" s="75">
        <v>0.17708333333333334</v>
      </c>
      <c r="F377" s="75">
        <v>0.1875</v>
      </c>
      <c r="H377">
        <v>55</v>
      </c>
      <c r="I377" t="s">
        <v>1222</v>
      </c>
      <c r="J377" t="s">
        <v>967</v>
      </c>
    </row>
    <row r="378" spans="1:10" x14ac:dyDescent="0.6">
      <c r="A378" t="s">
        <v>1221</v>
      </c>
      <c r="B378" s="76">
        <v>1900</v>
      </c>
      <c r="C378" t="s">
        <v>16</v>
      </c>
      <c r="D378" t="s">
        <v>5</v>
      </c>
      <c r="E378" s="75">
        <v>0.2048611111111111</v>
      </c>
      <c r="F378" s="75">
        <v>0.21527777777777779</v>
      </c>
      <c r="H378">
        <v>25</v>
      </c>
      <c r="I378" t="s">
        <v>954</v>
      </c>
      <c r="J378" t="s">
        <v>967</v>
      </c>
    </row>
    <row r="379" spans="1:10" x14ac:dyDescent="0.6">
      <c r="A379" t="s">
        <v>1223</v>
      </c>
      <c r="B379" s="76">
        <v>1900</v>
      </c>
      <c r="C379" t="s">
        <v>1094</v>
      </c>
      <c r="D379" t="s">
        <v>942</v>
      </c>
      <c r="E379" s="75">
        <v>0.1388888888888889</v>
      </c>
      <c r="F379" s="75">
        <v>0.15277777777777779</v>
      </c>
      <c r="J379" t="s">
        <v>967</v>
      </c>
    </row>
    <row r="380" spans="1:10" x14ac:dyDescent="0.6">
      <c r="A380" t="s">
        <v>1223</v>
      </c>
      <c r="B380" s="76">
        <v>1900</v>
      </c>
      <c r="C380" t="s">
        <v>73</v>
      </c>
      <c r="D380" t="s">
        <v>5</v>
      </c>
      <c r="E380" s="75">
        <v>0.17708333333333334</v>
      </c>
      <c r="F380" s="75">
        <v>0.1875</v>
      </c>
      <c r="H380">
        <v>35</v>
      </c>
      <c r="I380" t="s">
        <v>1224</v>
      </c>
      <c r="J380" t="s">
        <v>967</v>
      </c>
    </row>
    <row r="381" spans="1:10" x14ac:dyDescent="0.6">
      <c r="A381" t="s">
        <v>1225</v>
      </c>
      <c r="B381" s="76">
        <v>1900</v>
      </c>
      <c r="C381" t="s">
        <v>1094</v>
      </c>
      <c r="D381" t="s">
        <v>942</v>
      </c>
      <c r="E381" s="75">
        <v>0.1388888888888889</v>
      </c>
      <c r="F381" s="75">
        <v>0.15277777777777779</v>
      </c>
      <c r="J381" t="s">
        <v>967</v>
      </c>
    </row>
    <row r="382" spans="1:10" x14ac:dyDescent="0.6">
      <c r="A382" t="s">
        <v>1225</v>
      </c>
      <c r="B382" s="76">
        <v>1900</v>
      </c>
      <c r="C382" t="s">
        <v>37</v>
      </c>
      <c r="D382" t="s">
        <v>5</v>
      </c>
      <c r="E382" s="75">
        <v>0.19444444444444445</v>
      </c>
      <c r="F382" s="75">
        <v>0.2048611111111111</v>
      </c>
      <c r="H382">
        <v>60</v>
      </c>
      <c r="I382" t="s">
        <v>1226</v>
      </c>
      <c r="J382" t="s">
        <v>967</v>
      </c>
    </row>
    <row r="383" spans="1:10" x14ac:dyDescent="0.6">
      <c r="A383" t="s">
        <v>1225</v>
      </c>
      <c r="B383" s="76">
        <v>1900</v>
      </c>
      <c r="C383" t="s">
        <v>36</v>
      </c>
      <c r="D383" t="s">
        <v>5</v>
      </c>
      <c r="E383" s="75">
        <v>0.21875</v>
      </c>
      <c r="F383" s="75">
        <v>0.22916666666666666</v>
      </c>
      <c r="H383">
        <v>20</v>
      </c>
      <c r="I383" t="s">
        <v>945</v>
      </c>
      <c r="J383" t="s">
        <v>967</v>
      </c>
    </row>
    <row r="384" spans="1:10" x14ac:dyDescent="0.6">
      <c r="A384" t="s">
        <v>1225</v>
      </c>
      <c r="B384" s="76">
        <v>1900</v>
      </c>
      <c r="C384" t="s">
        <v>946</v>
      </c>
      <c r="D384" t="s">
        <v>5</v>
      </c>
      <c r="E384" s="75">
        <v>0.26041666666666669</v>
      </c>
      <c r="F384" s="75">
        <v>0.27083333333333331</v>
      </c>
      <c r="G384" t="s">
        <v>947</v>
      </c>
      <c r="H384">
        <v>15</v>
      </c>
      <c r="I384" t="s">
        <v>948</v>
      </c>
    </row>
    <row r="385" spans="1:10" x14ac:dyDescent="0.6">
      <c r="A385" t="s">
        <v>1227</v>
      </c>
      <c r="B385" s="76">
        <v>1900</v>
      </c>
      <c r="C385" t="s">
        <v>1094</v>
      </c>
      <c r="D385" t="s">
        <v>942</v>
      </c>
      <c r="E385" s="75">
        <v>0.1388888888888889</v>
      </c>
      <c r="F385" s="75">
        <v>0.15277777777777779</v>
      </c>
      <c r="J385" t="s">
        <v>967</v>
      </c>
    </row>
    <row r="386" spans="1:10" x14ac:dyDescent="0.6">
      <c r="A386" t="s">
        <v>1227</v>
      </c>
      <c r="B386" s="76">
        <v>1900</v>
      </c>
      <c r="C386" t="s">
        <v>32</v>
      </c>
      <c r="D386" t="s">
        <v>5</v>
      </c>
      <c r="E386" s="75">
        <v>0.1736111111111111</v>
      </c>
      <c r="F386" s="75">
        <v>0.18402777777777779</v>
      </c>
      <c r="H386">
        <v>30</v>
      </c>
      <c r="I386" t="s">
        <v>1228</v>
      </c>
      <c r="J386" t="s">
        <v>967</v>
      </c>
    </row>
    <row r="387" spans="1:10" x14ac:dyDescent="0.6">
      <c r="A387" t="s">
        <v>1227</v>
      </c>
      <c r="B387" s="76">
        <v>1900</v>
      </c>
      <c r="C387" t="s">
        <v>30</v>
      </c>
      <c r="D387" t="s">
        <v>5</v>
      </c>
      <c r="E387" s="75">
        <v>0.21527777777777779</v>
      </c>
      <c r="F387" s="75">
        <v>0.22569444444444445</v>
      </c>
      <c r="H387">
        <v>45</v>
      </c>
      <c r="I387" t="s">
        <v>1229</v>
      </c>
      <c r="J387" t="s">
        <v>967</v>
      </c>
    </row>
    <row r="388" spans="1:10" x14ac:dyDescent="0.6">
      <c r="A388" t="s">
        <v>1230</v>
      </c>
      <c r="B388" s="76">
        <v>1900</v>
      </c>
      <c r="C388" t="s">
        <v>1094</v>
      </c>
      <c r="D388" t="s">
        <v>942</v>
      </c>
      <c r="E388" s="75">
        <v>0.1388888888888889</v>
      </c>
      <c r="F388" s="75">
        <v>0.15277777777777779</v>
      </c>
      <c r="J388" t="s">
        <v>1005</v>
      </c>
    </row>
    <row r="389" spans="1:10" x14ac:dyDescent="0.6">
      <c r="A389" t="s">
        <v>1230</v>
      </c>
      <c r="B389" s="76">
        <v>1900</v>
      </c>
      <c r="C389" t="s">
        <v>64</v>
      </c>
      <c r="D389" t="s">
        <v>5</v>
      </c>
      <c r="E389" s="75">
        <v>0.1875</v>
      </c>
      <c r="F389" s="75">
        <v>0.19791666666666666</v>
      </c>
      <c r="H389">
        <v>50</v>
      </c>
      <c r="I389" t="s">
        <v>1231</v>
      </c>
      <c r="J389" t="s">
        <v>1005</v>
      </c>
    </row>
    <row r="390" spans="1:10" x14ac:dyDescent="0.6">
      <c r="A390" t="s">
        <v>1230</v>
      </c>
      <c r="B390" s="76">
        <v>1900</v>
      </c>
      <c r="C390" t="s">
        <v>60</v>
      </c>
      <c r="D390" t="s">
        <v>5</v>
      </c>
      <c r="E390" s="75">
        <v>0.21180555555555555</v>
      </c>
      <c r="F390" s="75">
        <v>0.22222222222222221</v>
      </c>
      <c r="H390">
        <v>20</v>
      </c>
      <c r="I390" t="s">
        <v>1232</v>
      </c>
      <c r="J390" t="s">
        <v>1005</v>
      </c>
    </row>
    <row r="391" spans="1:10" x14ac:dyDescent="0.6">
      <c r="A391" t="s">
        <v>1233</v>
      </c>
      <c r="B391" s="76">
        <v>1900</v>
      </c>
      <c r="C391" t="s">
        <v>1094</v>
      </c>
      <c r="D391" t="s">
        <v>942</v>
      </c>
      <c r="E391" s="75">
        <v>0.1388888888888889</v>
      </c>
      <c r="F391" s="75">
        <v>0.15277777777777779</v>
      </c>
      <c r="J391" t="s">
        <v>956</v>
      </c>
    </row>
    <row r="392" spans="1:10" x14ac:dyDescent="0.6">
      <c r="A392" t="s">
        <v>1233</v>
      </c>
      <c r="B392" s="76">
        <v>1900</v>
      </c>
      <c r="C392" t="s">
        <v>102</v>
      </c>
      <c r="D392" t="s">
        <v>5</v>
      </c>
      <c r="E392" s="75">
        <v>0.18055555555555555</v>
      </c>
      <c r="F392" s="75">
        <v>0.19097222222222221</v>
      </c>
      <c r="H392">
        <v>40</v>
      </c>
      <c r="I392" t="s">
        <v>1234</v>
      </c>
      <c r="J392" t="s">
        <v>956</v>
      </c>
    </row>
    <row r="393" spans="1:10" x14ac:dyDescent="0.6">
      <c r="A393" t="s">
        <v>1233</v>
      </c>
      <c r="B393" s="76">
        <v>1900</v>
      </c>
      <c r="C393" t="s">
        <v>104</v>
      </c>
      <c r="D393" t="s">
        <v>5</v>
      </c>
      <c r="E393" s="75">
        <v>0.2013888888888889</v>
      </c>
      <c r="F393" s="75">
        <v>0.21180555555555555</v>
      </c>
      <c r="H393">
        <v>15</v>
      </c>
      <c r="I393" t="s">
        <v>1235</v>
      </c>
      <c r="J393" t="s">
        <v>956</v>
      </c>
    </row>
    <row r="394" spans="1:10" x14ac:dyDescent="0.6">
      <c r="A394" t="s">
        <v>1233</v>
      </c>
      <c r="B394" s="76">
        <v>1900</v>
      </c>
      <c r="C394" t="s">
        <v>105</v>
      </c>
      <c r="D394" t="s">
        <v>5</v>
      </c>
      <c r="E394" s="75">
        <v>0.22222222222222221</v>
      </c>
      <c r="F394" s="75">
        <v>0.2326388888888889</v>
      </c>
      <c r="H394">
        <v>15</v>
      </c>
      <c r="I394" t="s">
        <v>989</v>
      </c>
      <c r="J394" t="s">
        <v>956</v>
      </c>
    </row>
    <row r="395" spans="1:10" x14ac:dyDescent="0.6">
      <c r="A395" t="s">
        <v>1236</v>
      </c>
      <c r="B395" s="76">
        <v>1900</v>
      </c>
      <c r="C395" t="s">
        <v>1094</v>
      </c>
      <c r="D395" t="s">
        <v>942</v>
      </c>
      <c r="E395" s="75">
        <v>0.1388888888888889</v>
      </c>
      <c r="F395" s="75">
        <v>0.15277777777777779</v>
      </c>
      <c r="J395" t="s">
        <v>967</v>
      </c>
    </row>
    <row r="396" spans="1:10" x14ac:dyDescent="0.6">
      <c r="A396" t="s">
        <v>1236</v>
      </c>
      <c r="B396" s="76">
        <v>1900</v>
      </c>
      <c r="C396" t="s">
        <v>84</v>
      </c>
      <c r="D396" t="s">
        <v>5</v>
      </c>
      <c r="E396" s="75">
        <v>0.19444444444444445</v>
      </c>
      <c r="F396" s="75">
        <v>0.2048611111111111</v>
      </c>
      <c r="H396">
        <v>60</v>
      </c>
      <c r="I396" t="s">
        <v>1237</v>
      </c>
      <c r="J396" t="s">
        <v>967</v>
      </c>
    </row>
    <row r="397" spans="1:10" x14ac:dyDescent="0.6">
      <c r="A397" t="s">
        <v>1236</v>
      </c>
      <c r="B397" s="76">
        <v>1900</v>
      </c>
      <c r="C397" t="s">
        <v>90</v>
      </c>
      <c r="D397" t="s">
        <v>5</v>
      </c>
      <c r="E397" s="75">
        <v>0.21180555555555555</v>
      </c>
      <c r="F397" s="75">
        <v>0.22222222222222221</v>
      </c>
      <c r="H397">
        <v>10</v>
      </c>
      <c r="I397" t="s">
        <v>959</v>
      </c>
      <c r="J397" t="s">
        <v>967</v>
      </c>
    </row>
    <row r="398" spans="1:10" x14ac:dyDescent="0.6">
      <c r="A398" t="s">
        <v>1238</v>
      </c>
      <c r="B398" s="76">
        <v>1900</v>
      </c>
      <c r="C398" t="s">
        <v>1094</v>
      </c>
      <c r="D398" t="s">
        <v>942</v>
      </c>
      <c r="E398" s="75">
        <v>0.1388888888888889</v>
      </c>
      <c r="F398" s="75">
        <v>0.15277777777777779</v>
      </c>
      <c r="J398" t="s">
        <v>967</v>
      </c>
    </row>
    <row r="399" spans="1:10" x14ac:dyDescent="0.6">
      <c r="A399" t="s">
        <v>1238</v>
      </c>
      <c r="B399" s="76">
        <v>1900</v>
      </c>
      <c r="C399" t="s">
        <v>75</v>
      </c>
      <c r="D399" t="s">
        <v>5</v>
      </c>
      <c r="E399" s="75">
        <v>0.19444444444444445</v>
      </c>
      <c r="F399" s="75">
        <v>0.2048611111111111</v>
      </c>
      <c r="H399">
        <v>60</v>
      </c>
      <c r="I399" t="s">
        <v>1239</v>
      </c>
      <c r="J399" t="s">
        <v>967</v>
      </c>
    </row>
    <row r="400" spans="1:10" x14ac:dyDescent="0.6">
      <c r="A400" t="s">
        <v>1238</v>
      </c>
      <c r="B400" s="76">
        <v>1900</v>
      </c>
      <c r="C400" t="s">
        <v>78</v>
      </c>
      <c r="D400" t="s">
        <v>5</v>
      </c>
      <c r="E400" s="75">
        <v>0.21180555555555555</v>
      </c>
      <c r="F400" s="75">
        <v>0.22222222222222221</v>
      </c>
      <c r="H400">
        <v>10</v>
      </c>
      <c r="I400" t="s">
        <v>1240</v>
      </c>
      <c r="J400" t="s">
        <v>967</v>
      </c>
    </row>
    <row r="401" spans="1:10" x14ac:dyDescent="0.6">
      <c r="A401" t="s">
        <v>1241</v>
      </c>
      <c r="B401" s="76">
        <v>1900</v>
      </c>
      <c r="C401" t="s">
        <v>1094</v>
      </c>
      <c r="D401" t="s">
        <v>942</v>
      </c>
      <c r="E401" s="75">
        <v>0.1388888888888889</v>
      </c>
      <c r="F401" s="75">
        <v>0.15277777777777779</v>
      </c>
      <c r="J401" t="s">
        <v>967</v>
      </c>
    </row>
    <row r="402" spans="1:10" x14ac:dyDescent="0.6">
      <c r="A402" t="s">
        <v>1241</v>
      </c>
      <c r="B402" s="76">
        <v>1900</v>
      </c>
      <c r="C402" t="s">
        <v>135</v>
      </c>
      <c r="D402" t="s">
        <v>5</v>
      </c>
      <c r="E402" s="75">
        <v>0.18402777777777779</v>
      </c>
      <c r="F402" s="75">
        <v>0.19444444444444445</v>
      </c>
      <c r="H402">
        <v>45</v>
      </c>
      <c r="I402" t="s">
        <v>1242</v>
      </c>
      <c r="J402" t="s">
        <v>967</v>
      </c>
    </row>
    <row r="403" spans="1:10" x14ac:dyDescent="0.6">
      <c r="A403" t="s">
        <v>1241</v>
      </c>
      <c r="B403" s="76">
        <v>1900</v>
      </c>
      <c r="C403" t="s">
        <v>146</v>
      </c>
      <c r="D403" t="s">
        <v>5</v>
      </c>
      <c r="E403" s="75">
        <v>0.20833333333333334</v>
      </c>
      <c r="F403" s="75">
        <v>0.21875</v>
      </c>
      <c r="H403">
        <v>20</v>
      </c>
      <c r="I403" t="s">
        <v>1243</v>
      </c>
      <c r="J403" t="s">
        <v>967</v>
      </c>
    </row>
    <row r="404" spans="1:10" x14ac:dyDescent="0.6">
      <c r="A404" t="s">
        <v>1244</v>
      </c>
      <c r="B404" s="76">
        <v>1900</v>
      </c>
      <c r="C404" t="s">
        <v>1094</v>
      </c>
      <c r="D404" t="s">
        <v>942</v>
      </c>
      <c r="E404" s="75">
        <v>0.1388888888888889</v>
      </c>
      <c r="F404" s="75">
        <v>0.15277777777777779</v>
      </c>
      <c r="J404" t="s">
        <v>967</v>
      </c>
    </row>
    <row r="405" spans="1:10" x14ac:dyDescent="0.6">
      <c r="A405" t="s">
        <v>1244</v>
      </c>
      <c r="B405" s="76">
        <v>1900</v>
      </c>
      <c r="C405" t="s">
        <v>87</v>
      </c>
      <c r="D405" t="s">
        <v>5</v>
      </c>
      <c r="E405" s="75">
        <v>0.19444444444444445</v>
      </c>
      <c r="F405" s="75">
        <v>0.2048611111111111</v>
      </c>
      <c r="H405">
        <v>60</v>
      </c>
      <c r="I405" t="s">
        <v>1245</v>
      </c>
      <c r="J405" t="s">
        <v>967</v>
      </c>
    </row>
    <row r="406" spans="1:10" x14ac:dyDescent="0.6">
      <c r="A406" t="s">
        <v>1244</v>
      </c>
      <c r="B406" s="76">
        <v>1900</v>
      </c>
      <c r="C406" t="s">
        <v>89</v>
      </c>
      <c r="D406" t="s">
        <v>5</v>
      </c>
      <c r="E406" s="75">
        <v>0.20833333333333334</v>
      </c>
      <c r="F406" s="75">
        <v>0.21875</v>
      </c>
      <c r="H406">
        <v>5</v>
      </c>
      <c r="I406">
        <v>0</v>
      </c>
      <c r="J406" t="s">
        <v>967</v>
      </c>
    </row>
    <row r="407" spans="1:10" x14ac:dyDescent="0.6">
      <c r="A407" t="s">
        <v>1246</v>
      </c>
      <c r="B407" s="76">
        <v>1900</v>
      </c>
      <c r="C407" t="s">
        <v>1094</v>
      </c>
      <c r="D407" t="s">
        <v>942</v>
      </c>
      <c r="E407" s="75">
        <v>0.1388888888888889</v>
      </c>
      <c r="F407" s="75">
        <v>0.15277777777777779</v>
      </c>
      <c r="J407" t="s">
        <v>967</v>
      </c>
    </row>
    <row r="408" spans="1:10" x14ac:dyDescent="0.6">
      <c r="A408" t="s">
        <v>1246</v>
      </c>
      <c r="B408" s="76">
        <v>1900</v>
      </c>
      <c r="C408" t="s">
        <v>79</v>
      </c>
      <c r="D408" t="s">
        <v>5</v>
      </c>
      <c r="E408" s="75">
        <v>0.19444444444444445</v>
      </c>
      <c r="F408" s="75">
        <v>0.2048611111111111</v>
      </c>
      <c r="H408">
        <v>60</v>
      </c>
      <c r="I408" t="s">
        <v>1181</v>
      </c>
      <c r="J408" t="s">
        <v>967</v>
      </c>
    </row>
    <row r="409" spans="1:10" x14ac:dyDescent="0.6">
      <c r="A409" t="s">
        <v>1246</v>
      </c>
      <c r="B409" s="76">
        <v>1900</v>
      </c>
      <c r="C409" t="s">
        <v>77</v>
      </c>
      <c r="D409" t="s">
        <v>5</v>
      </c>
      <c r="E409" s="75">
        <v>0.20833333333333334</v>
      </c>
      <c r="F409" s="75">
        <v>0.21875</v>
      </c>
      <c r="H409">
        <v>5</v>
      </c>
      <c r="I409">
        <v>0</v>
      </c>
      <c r="J409" t="s">
        <v>967</v>
      </c>
    </row>
    <row r="410" spans="1:10" x14ac:dyDescent="0.6">
      <c r="A410" t="s">
        <v>1247</v>
      </c>
      <c r="B410" s="76">
        <v>1900</v>
      </c>
      <c r="C410" t="s">
        <v>1094</v>
      </c>
      <c r="D410" t="s">
        <v>942</v>
      </c>
      <c r="E410" s="75">
        <v>0.1388888888888889</v>
      </c>
      <c r="F410" s="75">
        <v>0.15277777777777779</v>
      </c>
      <c r="J410" t="s">
        <v>967</v>
      </c>
    </row>
    <row r="411" spans="1:10" x14ac:dyDescent="0.6">
      <c r="A411" t="s">
        <v>1247</v>
      </c>
      <c r="B411" s="76">
        <v>1900</v>
      </c>
      <c r="C411" t="s">
        <v>88</v>
      </c>
      <c r="D411" t="s">
        <v>5</v>
      </c>
      <c r="E411" s="75">
        <v>0.19097222222222221</v>
      </c>
      <c r="F411" s="75">
        <v>0.2013888888888889</v>
      </c>
      <c r="H411">
        <v>55</v>
      </c>
      <c r="I411" t="s">
        <v>1107</v>
      </c>
      <c r="J411" t="s">
        <v>967</v>
      </c>
    </row>
    <row r="412" spans="1:10" x14ac:dyDescent="0.6">
      <c r="A412" t="s">
        <v>1247</v>
      </c>
      <c r="B412" s="76">
        <v>1900</v>
      </c>
      <c r="C412" t="s">
        <v>86</v>
      </c>
      <c r="D412" t="s">
        <v>5</v>
      </c>
      <c r="E412" s="75">
        <v>0.2048611111111111</v>
      </c>
      <c r="F412" s="75">
        <v>0.21527777777777779</v>
      </c>
      <c r="H412">
        <v>5</v>
      </c>
      <c r="I412" t="s">
        <v>1043</v>
      </c>
      <c r="J412" t="s">
        <v>967</v>
      </c>
    </row>
    <row r="413" spans="1:10" x14ac:dyDescent="0.6">
      <c r="A413" t="s">
        <v>1248</v>
      </c>
      <c r="B413" s="76">
        <v>1900</v>
      </c>
      <c r="C413" t="s">
        <v>1094</v>
      </c>
      <c r="D413" t="s">
        <v>942</v>
      </c>
      <c r="E413" s="75">
        <v>0.1388888888888889</v>
      </c>
      <c r="F413" s="75">
        <v>0.15277777777777779</v>
      </c>
      <c r="J413" t="s">
        <v>967</v>
      </c>
    </row>
    <row r="414" spans="1:10" x14ac:dyDescent="0.6">
      <c r="A414" t="s">
        <v>1248</v>
      </c>
      <c r="B414" s="76">
        <v>1900</v>
      </c>
      <c r="C414" t="s">
        <v>63</v>
      </c>
      <c r="D414" t="s">
        <v>5</v>
      </c>
      <c r="E414" s="75">
        <v>0.1875</v>
      </c>
      <c r="F414" s="75">
        <v>0.19791666666666666</v>
      </c>
      <c r="H414">
        <v>50</v>
      </c>
      <c r="I414" t="s">
        <v>1249</v>
      </c>
      <c r="J414" t="s">
        <v>967</v>
      </c>
    </row>
    <row r="415" spans="1:10" x14ac:dyDescent="0.6">
      <c r="A415" t="s">
        <v>1248</v>
      </c>
      <c r="B415" s="76">
        <v>1900</v>
      </c>
      <c r="C415" t="s">
        <v>61</v>
      </c>
      <c r="D415" t="s">
        <v>5</v>
      </c>
      <c r="E415" s="75">
        <v>0.2048611111111111</v>
      </c>
      <c r="F415" s="75">
        <v>0.21527777777777779</v>
      </c>
      <c r="H415">
        <v>10</v>
      </c>
      <c r="I415" t="s">
        <v>1250</v>
      </c>
      <c r="J415" t="s">
        <v>967</v>
      </c>
    </row>
    <row r="416" spans="1:10" x14ac:dyDescent="0.6">
      <c r="A416" t="s">
        <v>1251</v>
      </c>
      <c r="B416" s="76">
        <v>1900</v>
      </c>
      <c r="C416" t="s">
        <v>1094</v>
      </c>
      <c r="D416" t="s">
        <v>942</v>
      </c>
      <c r="E416" s="75">
        <v>0.1388888888888889</v>
      </c>
      <c r="F416" s="75">
        <v>0.15277777777777779</v>
      </c>
      <c r="J416" t="s">
        <v>967</v>
      </c>
    </row>
    <row r="417" spans="1:10" x14ac:dyDescent="0.6">
      <c r="A417" t="s">
        <v>1251</v>
      </c>
      <c r="B417" s="76">
        <v>1900</v>
      </c>
      <c r="C417" t="s">
        <v>69</v>
      </c>
      <c r="D417" t="s">
        <v>5</v>
      </c>
      <c r="E417" s="75">
        <v>0.1875</v>
      </c>
      <c r="F417" s="75">
        <v>0.19791666666666666</v>
      </c>
      <c r="H417">
        <v>50</v>
      </c>
      <c r="I417" t="s">
        <v>1252</v>
      </c>
      <c r="J417" t="s">
        <v>967</v>
      </c>
    </row>
    <row r="418" spans="1:10" x14ac:dyDescent="0.6">
      <c r="A418" t="s">
        <v>1251</v>
      </c>
      <c r="B418" s="76">
        <v>1900</v>
      </c>
      <c r="C418" t="s">
        <v>68</v>
      </c>
      <c r="D418" t="s">
        <v>5</v>
      </c>
      <c r="E418" s="75">
        <v>0.2048611111111111</v>
      </c>
      <c r="F418" s="75">
        <v>0.21527777777777779</v>
      </c>
      <c r="H418">
        <v>10</v>
      </c>
      <c r="I418" t="s">
        <v>974</v>
      </c>
      <c r="J418" t="s">
        <v>967</v>
      </c>
    </row>
    <row r="419" spans="1:10" x14ac:dyDescent="0.6">
      <c r="A419" t="s">
        <v>1253</v>
      </c>
      <c r="B419" s="76">
        <v>1900</v>
      </c>
      <c r="C419" t="s">
        <v>1094</v>
      </c>
      <c r="D419" t="s">
        <v>942</v>
      </c>
      <c r="E419" s="75">
        <v>0.1388888888888889</v>
      </c>
      <c r="F419" s="75">
        <v>0.15277777777777779</v>
      </c>
      <c r="J419" t="s">
        <v>967</v>
      </c>
    </row>
    <row r="420" spans="1:10" x14ac:dyDescent="0.6">
      <c r="A420" t="s">
        <v>1253</v>
      </c>
      <c r="B420" s="76">
        <v>1900</v>
      </c>
      <c r="C420" t="s">
        <v>113</v>
      </c>
      <c r="D420" t="s">
        <v>5</v>
      </c>
      <c r="E420" s="75">
        <v>0.17708333333333334</v>
      </c>
      <c r="F420" s="75">
        <v>0.1875</v>
      </c>
      <c r="H420">
        <v>35</v>
      </c>
      <c r="I420" t="s">
        <v>1254</v>
      </c>
      <c r="J420" t="s">
        <v>967</v>
      </c>
    </row>
    <row r="421" spans="1:10" x14ac:dyDescent="0.6">
      <c r="A421" t="s">
        <v>1253</v>
      </c>
      <c r="B421" s="76">
        <v>1900</v>
      </c>
      <c r="C421" t="s">
        <v>111</v>
      </c>
      <c r="D421" t="s">
        <v>5</v>
      </c>
      <c r="E421" s="75">
        <v>0.19444444444444445</v>
      </c>
      <c r="F421" s="75">
        <v>0.2048611111111111</v>
      </c>
      <c r="H421">
        <v>10</v>
      </c>
      <c r="I421" t="s">
        <v>1255</v>
      </c>
      <c r="J421" t="s">
        <v>967</v>
      </c>
    </row>
    <row r="422" spans="1:10" x14ac:dyDescent="0.6">
      <c r="A422" t="s">
        <v>1253</v>
      </c>
      <c r="B422" s="76">
        <v>1900</v>
      </c>
      <c r="C422" t="s">
        <v>112</v>
      </c>
      <c r="D422" t="s">
        <v>5</v>
      </c>
      <c r="E422" s="75">
        <v>0.21527777777777779</v>
      </c>
      <c r="F422" s="75">
        <v>0.22569444444444445</v>
      </c>
      <c r="H422">
        <v>15</v>
      </c>
      <c r="I422" t="s">
        <v>1256</v>
      </c>
      <c r="J422" t="s">
        <v>967</v>
      </c>
    </row>
    <row r="423" spans="1:10" x14ac:dyDescent="0.6">
      <c r="A423" t="s">
        <v>1257</v>
      </c>
      <c r="B423" s="76">
        <v>1900</v>
      </c>
      <c r="C423" t="s">
        <v>1094</v>
      </c>
      <c r="D423" t="s">
        <v>942</v>
      </c>
      <c r="E423" s="75">
        <v>0.1388888888888889</v>
      </c>
      <c r="F423" s="75">
        <v>0.15277777777777779</v>
      </c>
      <c r="J423" t="s">
        <v>967</v>
      </c>
    </row>
    <row r="424" spans="1:10" x14ac:dyDescent="0.6">
      <c r="A424" t="s">
        <v>1257</v>
      </c>
      <c r="B424" s="76">
        <v>1900</v>
      </c>
      <c r="C424" t="s">
        <v>1258</v>
      </c>
      <c r="D424" t="s">
        <v>5</v>
      </c>
      <c r="E424" s="75">
        <v>0.17708333333333334</v>
      </c>
      <c r="F424" s="75">
        <v>0.1875</v>
      </c>
      <c r="H424">
        <v>35</v>
      </c>
      <c r="I424" t="s">
        <v>1259</v>
      </c>
      <c r="J424" t="s">
        <v>967</v>
      </c>
    </row>
    <row r="425" spans="1:10" x14ac:dyDescent="0.6">
      <c r="A425" t="s">
        <v>1257</v>
      </c>
      <c r="B425" s="76">
        <v>1900</v>
      </c>
      <c r="C425" t="s">
        <v>43</v>
      </c>
      <c r="D425" t="s">
        <v>5</v>
      </c>
      <c r="E425" s="75">
        <v>0.19791666666666666</v>
      </c>
      <c r="F425" s="75">
        <v>0.20833333333333334</v>
      </c>
      <c r="H425">
        <v>15</v>
      </c>
      <c r="I425" t="s">
        <v>1260</v>
      </c>
      <c r="J425" t="s">
        <v>967</v>
      </c>
    </row>
    <row r="426" spans="1:10" x14ac:dyDescent="0.6">
      <c r="A426" t="s">
        <v>1257</v>
      </c>
      <c r="B426" s="76">
        <v>1900</v>
      </c>
      <c r="C426" t="s">
        <v>70</v>
      </c>
      <c r="D426" t="s">
        <v>5</v>
      </c>
      <c r="E426" s="75">
        <v>0.21875</v>
      </c>
      <c r="F426" s="75">
        <v>0.22916666666666666</v>
      </c>
      <c r="H426">
        <v>15</v>
      </c>
      <c r="I426" t="s">
        <v>983</v>
      </c>
      <c r="J426" t="s">
        <v>967</v>
      </c>
    </row>
    <row r="427" spans="1:10" x14ac:dyDescent="0.6">
      <c r="A427" t="s">
        <v>1261</v>
      </c>
      <c r="B427" s="76">
        <v>1900</v>
      </c>
      <c r="C427" t="s">
        <v>1094</v>
      </c>
      <c r="D427" t="s">
        <v>942</v>
      </c>
      <c r="E427" s="75">
        <v>0.15277777777777779</v>
      </c>
      <c r="F427" s="75">
        <v>0.16666666666666666</v>
      </c>
      <c r="J427" t="s">
        <v>967</v>
      </c>
    </row>
    <row r="428" spans="1:10" x14ac:dyDescent="0.6">
      <c r="A428" t="s">
        <v>1261</v>
      </c>
      <c r="B428" s="76">
        <v>1900</v>
      </c>
      <c r="C428" t="s">
        <v>18</v>
      </c>
      <c r="D428" t="s">
        <v>5</v>
      </c>
      <c r="E428" s="75">
        <v>0.19444444444444445</v>
      </c>
      <c r="F428" s="75">
        <v>0.2048611111111111</v>
      </c>
      <c r="H428">
        <v>40</v>
      </c>
      <c r="I428" t="s">
        <v>1262</v>
      </c>
      <c r="J428" t="s">
        <v>967</v>
      </c>
    </row>
    <row r="429" spans="1:10" x14ac:dyDescent="0.6">
      <c r="A429" t="s">
        <v>1261</v>
      </c>
      <c r="B429" s="76">
        <v>1900</v>
      </c>
      <c r="C429" t="s">
        <v>19</v>
      </c>
      <c r="D429" t="s">
        <v>5</v>
      </c>
      <c r="E429" s="75">
        <v>0.21875</v>
      </c>
      <c r="F429" s="75">
        <v>0.22916666666666666</v>
      </c>
      <c r="H429">
        <v>20</v>
      </c>
      <c r="I429" t="s">
        <v>1051</v>
      </c>
      <c r="J429" t="s">
        <v>967</v>
      </c>
    </row>
    <row r="430" spans="1:10" x14ac:dyDescent="0.6">
      <c r="A430" t="s">
        <v>1263</v>
      </c>
      <c r="B430" s="76">
        <v>1900</v>
      </c>
      <c r="C430" t="s">
        <v>1094</v>
      </c>
      <c r="D430" t="s">
        <v>942</v>
      </c>
      <c r="E430" s="75">
        <v>0.15277777777777779</v>
      </c>
      <c r="F430" s="75">
        <v>0.16666666666666666</v>
      </c>
      <c r="J430" t="s">
        <v>967</v>
      </c>
    </row>
    <row r="431" spans="1:10" x14ac:dyDescent="0.6">
      <c r="A431" t="s">
        <v>1263</v>
      </c>
      <c r="B431" s="76">
        <v>1900</v>
      </c>
      <c r="C431" t="s">
        <v>32</v>
      </c>
      <c r="D431" t="s">
        <v>5</v>
      </c>
      <c r="E431" s="75">
        <v>0.1875</v>
      </c>
      <c r="F431" s="75">
        <v>0.19791666666666666</v>
      </c>
      <c r="H431">
        <v>30</v>
      </c>
      <c r="I431" t="s">
        <v>1228</v>
      </c>
      <c r="J431" t="s">
        <v>967</v>
      </c>
    </row>
    <row r="432" spans="1:10" x14ac:dyDescent="0.6">
      <c r="A432" t="s">
        <v>1263</v>
      </c>
      <c r="B432" s="76">
        <v>1900</v>
      </c>
      <c r="C432" t="s">
        <v>28</v>
      </c>
      <c r="D432" t="s">
        <v>5</v>
      </c>
      <c r="E432" s="75">
        <v>0.22569444444444445</v>
      </c>
      <c r="F432" s="75">
        <v>0.2361111111111111</v>
      </c>
      <c r="H432">
        <v>45</v>
      </c>
      <c r="I432" t="s">
        <v>1264</v>
      </c>
      <c r="J432" t="s">
        <v>967</v>
      </c>
    </row>
    <row r="433" spans="1:10" x14ac:dyDescent="0.6">
      <c r="A433" t="s">
        <v>1265</v>
      </c>
      <c r="B433" s="76">
        <v>1900</v>
      </c>
      <c r="C433" t="s">
        <v>1094</v>
      </c>
      <c r="D433" t="s">
        <v>942</v>
      </c>
      <c r="E433" s="75">
        <v>0.15277777777777779</v>
      </c>
      <c r="F433" s="75">
        <v>0.16666666666666666</v>
      </c>
      <c r="J433" t="s">
        <v>967</v>
      </c>
    </row>
    <row r="434" spans="1:10" x14ac:dyDescent="0.6">
      <c r="A434" t="s">
        <v>1265</v>
      </c>
      <c r="B434" s="76">
        <v>1900</v>
      </c>
      <c r="C434" t="s">
        <v>132</v>
      </c>
      <c r="D434" t="s">
        <v>5</v>
      </c>
      <c r="E434" s="75">
        <v>0.19791666666666666</v>
      </c>
      <c r="F434" s="75">
        <v>0.20833333333333334</v>
      </c>
      <c r="H434">
        <v>45</v>
      </c>
      <c r="I434" t="s">
        <v>1266</v>
      </c>
      <c r="J434" t="s">
        <v>967</v>
      </c>
    </row>
    <row r="435" spans="1:10" x14ac:dyDescent="0.6">
      <c r="A435" t="s">
        <v>1265</v>
      </c>
      <c r="B435" s="76">
        <v>1900</v>
      </c>
      <c r="C435" t="s">
        <v>134</v>
      </c>
      <c r="D435" t="s">
        <v>5</v>
      </c>
      <c r="E435" s="75">
        <v>0.21875</v>
      </c>
      <c r="F435" s="75">
        <v>0.22916666666666666</v>
      </c>
      <c r="H435">
        <v>15</v>
      </c>
      <c r="I435" t="s">
        <v>1158</v>
      </c>
      <c r="J435" t="s">
        <v>967</v>
      </c>
    </row>
    <row r="436" spans="1:10" x14ac:dyDescent="0.6">
      <c r="A436" t="s">
        <v>1267</v>
      </c>
      <c r="B436" s="76">
        <v>1900</v>
      </c>
      <c r="C436" t="s">
        <v>1094</v>
      </c>
      <c r="D436" t="s">
        <v>942</v>
      </c>
      <c r="E436" s="75">
        <v>0.15277777777777779</v>
      </c>
      <c r="F436" s="75">
        <v>0.16666666666666666</v>
      </c>
      <c r="J436" t="s">
        <v>967</v>
      </c>
    </row>
    <row r="437" spans="1:10" x14ac:dyDescent="0.6">
      <c r="A437" t="s">
        <v>1267</v>
      </c>
      <c r="B437" s="76">
        <v>1900</v>
      </c>
      <c r="C437" t="s">
        <v>41</v>
      </c>
      <c r="D437" t="s">
        <v>5</v>
      </c>
      <c r="E437" s="75">
        <v>0.19791666666666666</v>
      </c>
      <c r="F437" s="75">
        <v>0.20833333333333334</v>
      </c>
      <c r="H437">
        <v>45</v>
      </c>
      <c r="I437" t="s">
        <v>1268</v>
      </c>
      <c r="J437" t="s">
        <v>967</v>
      </c>
    </row>
    <row r="438" spans="1:10" x14ac:dyDescent="0.6">
      <c r="A438" t="s">
        <v>1267</v>
      </c>
      <c r="B438" s="76">
        <v>1900</v>
      </c>
      <c r="C438" t="s">
        <v>40</v>
      </c>
      <c r="D438" t="s">
        <v>5</v>
      </c>
      <c r="E438" s="75">
        <v>0.21527777777777779</v>
      </c>
      <c r="F438" s="75">
        <v>0.22569444444444445</v>
      </c>
      <c r="H438">
        <v>10</v>
      </c>
      <c r="I438" t="s">
        <v>985</v>
      </c>
      <c r="J438" t="s">
        <v>967</v>
      </c>
    </row>
    <row r="439" spans="1:10" x14ac:dyDescent="0.6">
      <c r="A439" t="s">
        <v>1269</v>
      </c>
      <c r="B439" s="76">
        <v>1900</v>
      </c>
      <c r="C439" t="s">
        <v>1094</v>
      </c>
      <c r="D439" t="s">
        <v>942</v>
      </c>
      <c r="E439" s="75">
        <v>0.15277777777777779</v>
      </c>
      <c r="F439" s="75">
        <v>0.16666666666666666</v>
      </c>
      <c r="J439" t="s">
        <v>967</v>
      </c>
    </row>
    <row r="440" spans="1:10" x14ac:dyDescent="0.6">
      <c r="A440" t="s">
        <v>1269</v>
      </c>
      <c r="B440" s="76">
        <v>1900</v>
      </c>
      <c r="C440" t="s">
        <v>106</v>
      </c>
      <c r="D440" t="s">
        <v>5</v>
      </c>
      <c r="E440" s="75">
        <v>0.19791666666666666</v>
      </c>
      <c r="F440" s="75">
        <v>0.20833333333333334</v>
      </c>
      <c r="H440">
        <v>45</v>
      </c>
      <c r="I440" t="s">
        <v>1115</v>
      </c>
      <c r="J440" t="s">
        <v>967</v>
      </c>
    </row>
    <row r="441" spans="1:10" x14ac:dyDescent="0.6">
      <c r="A441" t="s">
        <v>1269</v>
      </c>
      <c r="B441" s="76">
        <v>1900</v>
      </c>
      <c r="C441" t="s">
        <v>39</v>
      </c>
      <c r="D441" t="s">
        <v>5</v>
      </c>
      <c r="E441" s="75">
        <v>0.21527777777777779</v>
      </c>
      <c r="F441" s="75">
        <v>0.22569444444444445</v>
      </c>
      <c r="H441">
        <v>10</v>
      </c>
      <c r="I441" t="s">
        <v>1014</v>
      </c>
      <c r="J441" t="s">
        <v>967</v>
      </c>
    </row>
    <row r="442" spans="1:10" x14ac:dyDescent="0.6">
      <c r="A442" t="s">
        <v>1270</v>
      </c>
      <c r="B442" s="76">
        <v>1900</v>
      </c>
      <c r="C442" t="s">
        <v>1094</v>
      </c>
      <c r="D442" t="s">
        <v>942</v>
      </c>
      <c r="E442" s="75">
        <v>0.15277777777777779</v>
      </c>
      <c r="F442" s="75">
        <v>0.16666666666666666</v>
      </c>
      <c r="J442" t="s">
        <v>967</v>
      </c>
    </row>
    <row r="443" spans="1:10" x14ac:dyDescent="0.6">
      <c r="A443" t="s">
        <v>1270</v>
      </c>
      <c r="B443" s="76">
        <v>1900</v>
      </c>
      <c r="C443" t="s">
        <v>135</v>
      </c>
      <c r="D443" t="s">
        <v>5</v>
      </c>
      <c r="E443" s="75">
        <v>0.19791666666666666</v>
      </c>
      <c r="F443" s="75">
        <v>0.20833333333333334</v>
      </c>
      <c r="H443">
        <v>45</v>
      </c>
      <c r="I443" t="s">
        <v>1242</v>
      </c>
      <c r="J443" t="s">
        <v>967</v>
      </c>
    </row>
    <row r="444" spans="1:10" x14ac:dyDescent="0.6">
      <c r="A444" t="s">
        <v>1270</v>
      </c>
      <c r="B444" s="76">
        <v>1900</v>
      </c>
      <c r="C444" t="s">
        <v>147</v>
      </c>
      <c r="D444" t="s">
        <v>5</v>
      </c>
      <c r="E444" s="75">
        <v>0.21527777777777779</v>
      </c>
      <c r="F444" s="75">
        <v>0.22569444444444445</v>
      </c>
      <c r="H444">
        <v>10</v>
      </c>
      <c r="I444" t="s">
        <v>1271</v>
      </c>
      <c r="J444" t="s">
        <v>967</v>
      </c>
    </row>
    <row r="445" spans="1:10" x14ac:dyDescent="0.6">
      <c r="A445" t="s">
        <v>1272</v>
      </c>
      <c r="B445" s="76">
        <v>1900</v>
      </c>
      <c r="C445" t="s">
        <v>1094</v>
      </c>
      <c r="D445" t="s">
        <v>942</v>
      </c>
      <c r="E445" s="75">
        <v>0.15277777777777779</v>
      </c>
      <c r="F445" s="75">
        <v>0.16666666666666666</v>
      </c>
      <c r="J445" t="s">
        <v>967</v>
      </c>
    </row>
    <row r="446" spans="1:10" x14ac:dyDescent="0.6">
      <c r="A446" t="s">
        <v>1272</v>
      </c>
      <c r="B446" s="76">
        <v>1900</v>
      </c>
      <c r="C446" t="s">
        <v>81</v>
      </c>
      <c r="D446" t="s">
        <v>5</v>
      </c>
      <c r="E446" s="75">
        <v>0.2013888888888889</v>
      </c>
      <c r="F446" s="75">
        <v>0.21180555555555555</v>
      </c>
      <c r="H446">
        <v>50</v>
      </c>
      <c r="I446" t="s">
        <v>1273</v>
      </c>
      <c r="J446" t="s">
        <v>967</v>
      </c>
    </row>
    <row r="447" spans="1:10" x14ac:dyDescent="0.6">
      <c r="A447" t="s">
        <v>1274</v>
      </c>
      <c r="B447" s="76">
        <v>1900</v>
      </c>
      <c r="C447" t="s">
        <v>1094</v>
      </c>
      <c r="D447" t="s">
        <v>942</v>
      </c>
      <c r="E447" s="75">
        <v>0.15277777777777779</v>
      </c>
      <c r="F447" s="75">
        <v>0.16666666666666666</v>
      </c>
      <c r="J447" t="s">
        <v>967</v>
      </c>
    </row>
    <row r="448" spans="1:10" x14ac:dyDescent="0.6">
      <c r="A448" t="s">
        <v>1274</v>
      </c>
      <c r="B448" s="76">
        <v>1900</v>
      </c>
      <c r="C448" t="s">
        <v>23</v>
      </c>
      <c r="D448" t="s">
        <v>5</v>
      </c>
      <c r="E448" s="75">
        <v>0.1875</v>
      </c>
      <c r="F448" s="75">
        <v>0.19791666666666666</v>
      </c>
      <c r="H448">
        <v>30</v>
      </c>
      <c r="I448" t="s">
        <v>1275</v>
      </c>
      <c r="J448" t="s">
        <v>967</v>
      </c>
    </row>
    <row r="449" spans="1:10" x14ac:dyDescent="0.6">
      <c r="A449" t="s">
        <v>1274</v>
      </c>
      <c r="B449" s="76">
        <v>1900</v>
      </c>
      <c r="C449" t="s">
        <v>1034</v>
      </c>
      <c r="D449" t="s">
        <v>5</v>
      </c>
      <c r="E449" s="75">
        <v>0.2048611111111111</v>
      </c>
      <c r="F449" s="75">
        <v>0.21527777777777779</v>
      </c>
      <c r="H449">
        <v>10</v>
      </c>
      <c r="I449" t="s">
        <v>1276</v>
      </c>
      <c r="J449" t="s">
        <v>967</v>
      </c>
    </row>
    <row r="450" spans="1:10" x14ac:dyDescent="0.6">
      <c r="A450" t="s">
        <v>1277</v>
      </c>
      <c r="B450" s="76">
        <v>1900</v>
      </c>
      <c r="C450" t="s">
        <v>1094</v>
      </c>
      <c r="D450" t="s">
        <v>942</v>
      </c>
      <c r="E450" s="75">
        <v>0.15277777777777779</v>
      </c>
      <c r="F450" s="75">
        <v>0.16666666666666666</v>
      </c>
      <c r="J450" t="s">
        <v>967</v>
      </c>
    </row>
    <row r="451" spans="1:10" x14ac:dyDescent="0.6">
      <c r="A451" t="s">
        <v>1277</v>
      </c>
      <c r="B451" s="76">
        <v>1900</v>
      </c>
      <c r="C451" t="s">
        <v>65</v>
      </c>
      <c r="D451" t="s">
        <v>5</v>
      </c>
      <c r="E451" s="75">
        <v>0.19097222222222221</v>
      </c>
      <c r="F451" s="75">
        <v>0.2013888888888889</v>
      </c>
      <c r="H451">
        <v>35</v>
      </c>
      <c r="I451" t="s">
        <v>1278</v>
      </c>
      <c r="J451" t="s">
        <v>967</v>
      </c>
    </row>
    <row r="452" spans="1:10" x14ac:dyDescent="0.6">
      <c r="A452" t="s">
        <v>1277</v>
      </c>
      <c r="B452" s="76">
        <v>1900</v>
      </c>
      <c r="C452" t="s">
        <v>38</v>
      </c>
      <c r="D452" t="s">
        <v>5</v>
      </c>
      <c r="E452" s="75">
        <v>0.21180555555555555</v>
      </c>
      <c r="F452" s="75">
        <v>0.22222222222222221</v>
      </c>
      <c r="H452">
        <v>15</v>
      </c>
      <c r="I452" t="s">
        <v>994</v>
      </c>
      <c r="J452" t="s">
        <v>967</v>
      </c>
    </row>
    <row r="453" spans="1:10" x14ac:dyDescent="0.6">
      <c r="A453" t="s">
        <v>1279</v>
      </c>
      <c r="B453" s="76">
        <v>1900</v>
      </c>
      <c r="C453" t="s">
        <v>1094</v>
      </c>
      <c r="D453" t="s">
        <v>942</v>
      </c>
      <c r="E453" s="75">
        <v>0.15277777777777779</v>
      </c>
      <c r="F453" s="75">
        <v>0.16666666666666666</v>
      </c>
      <c r="J453" t="s">
        <v>967</v>
      </c>
    </row>
    <row r="454" spans="1:10" x14ac:dyDescent="0.6">
      <c r="A454" t="s">
        <v>1279</v>
      </c>
      <c r="B454" s="76">
        <v>1900</v>
      </c>
      <c r="C454" t="s">
        <v>56</v>
      </c>
      <c r="D454" t="s">
        <v>5</v>
      </c>
      <c r="E454" s="75">
        <v>0.1875</v>
      </c>
      <c r="F454" s="75">
        <v>0.19791666666666666</v>
      </c>
      <c r="H454">
        <v>30</v>
      </c>
      <c r="I454" t="s">
        <v>1280</v>
      </c>
      <c r="J454" t="s">
        <v>967</v>
      </c>
    </row>
    <row r="455" spans="1:10" x14ac:dyDescent="0.6">
      <c r="A455" t="s">
        <v>1279</v>
      </c>
      <c r="B455" s="76">
        <v>1900</v>
      </c>
      <c r="C455" t="s">
        <v>54</v>
      </c>
      <c r="D455" t="s">
        <v>5</v>
      </c>
      <c r="E455" s="75">
        <v>0.21180555555555555</v>
      </c>
      <c r="F455" s="75">
        <v>0.22222222222222221</v>
      </c>
      <c r="H455">
        <v>20</v>
      </c>
      <c r="I455" t="s">
        <v>1066</v>
      </c>
      <c r="J455" t="s">
        <v>967</v>
      </c>
    </row>
    <row r="456" spans="1:10" x14ac:dyDescent="0.6">
      <c r="A456" t="s">
        <v>1281</v>
      </c>
      <c r="B456" s="76">
        <v>1900</v>
      </c>
      <c r="C456" t="s">
        <v>1094</v>
      </c>
      <c r="D456" t="s">
        <v>942</v>
      </c>
      <c r="E456" s="75">
        <v>0.15277777777777779</v>
      </c>
      <c r="F456" s="75">
        <v>0.16666666666666666</v>
      </c>
      <c r="J456" t="s">
        <v>967</v>
      </c>
    </row>
    <row r="457" spans="1:10" x14ac:dyDescent="0.6">
      <c r="A457" t="s">
        <v>1281</v>
      </c>
      <c r="B457" s="76">
        <v>1900</v>
      </c>
      <c r="C457" t="s">
        <v>133</v>
      </c>
      <c r="D457" t="s">
        <v>5</v>
      </c>
      <c r="E457" s="75">
        <v>0.2013888888888889</v>
      </c>
      <c r="F457" s="75">
        <v>0.21180555555555555</v>
      </c>
      <c r="H457">
        <v>50</v>
      </c>
      <c r="I457" t="s">
        <v>1282</v>
      </c>
      <c r="J457" t="s">
        <v>967</v>
      </c>
    </row>
    <row r="458" spans="1:10" x14ac:dyDescent="0.6">
      <c r="A458" t="s">
        <v>1283</v>
      </c>
      <c r="B458" s="76">
        <v>1900</v>
      </c>
      <c r="C458" t="s">
        <v>1094</v>
      </c>
      <c r="D458" t="s">
        <v>942</v>
      </c>
      <c r="E458" s="75">
        <v>0.15277777777777779</v>
      </c>
      <c r="F458" s="75">
        <v>0.16666666666666666</v>
      </c>
      <c r="J458" t="s">
        <v>967</v>
      </c>
    </row>
    <row r="459" spans="1:10" x14ac:dyDescent="0.6">
      <c r="A459" t="s">
        <v>1283</v>
      </c>
      <c r="B459" s="76">
        <v>1900</v>
      </c>
      <c r="C459" t="s">
        <v>55</v>
      </c>
      <c r="D459" t="s">
        <v>5</v>
      </c>
      <c r="E459" s="75">
        <v>0.1875</v>
      </c>
      <c r="F459" s="75">
        <v>0.19791666666666666</v>
      </c>
      <c r="H459">
        <v>30</v>
      </c>
      <c r="I459" t="s">
        <v>1284</v>
      </c>
      <c r="J459" t="s">
        <v>967</v>
      </c>
    </row>
    <row r="460" spans="1:10" x14ac:dyDescent="0.6">
      <c r="A460" t="s">
        <v>1283</v>
      </c>
      <c r="B460" s="76">
        <v>1900</v>
      </c>
      <c r="C460" t="s">
        <v>131</v>
      </c>
      <c r="D460" t="s">
        <v>5</v>
      </c>
      <c r="E460" s="75">
        <v>0.21180555555555555</v>
      </c>
      <c r="F460" s="75">
        <v>0.22222222222222221</v>
      </c>
      <c r="H460">
        <v>20</v>
      </c>
      <c r="I460" t="s">
        <v>1285</v>
      </c>
      <c r="J460" t="s">
        <v>967</v>
      </c>
    </row>
    <row r="461" spans="1:10" x14ac:dyDescent="0.6">
      <c r="A461" t="s">
        <v>1286</v>
      </c>
      <c r="B461" s="76">
        <v>1900</v>
      </c>
      <c r="C461" t="s">
        <v>1094</v>
      </c>
      <c r="D461" t="s">
        <v>942</v>
      </c>
      <c r="E461" s="75">
        <v>0.15277777777777779</v>
      </c>
      <c r="F461" s="75">
        <v>0.16666666666666666</v>
      </c>
      <c r="J461" t="s">
        <v>967</v>
      </c>
    </row>
    <row r="462" spans="1:10" x14ac:dyDescent="0.6">
      <c r="A462" t="s">
        <v>1286</v>
      </c>
      <c r="B462" s="76">
        <v>1900</v>
      </c>
      <c r="C462" t="s">
        <v>29</v>
      </c>
      <c r="D462" t="s">
        <v>5</v>
      </c>
      <c r="E462" s="75">
        <v>0.2013888888888889</v>
      </c>
      <c r="F462" s="75">
        <v>0.21180555555555555</v>
      </c>
      <c r="H462">
        <v>50</v>
      </c>
      <c r="I462" t="s">
        <v>1287</v>
      </c>
      <c r="J462" t="s">
        <v>967</v>
      </c>
    </row>
    <row r="463" spans="1:10" x14ac:dyDescent="0.6">
      <c r="A463" t="s">
        <v>1288</v>
      </c>
      <c r="B463" s="76">
        <v>1900</v>
      </c>
      <c r="C463" t="s">
        <v>1094</v>
      </c>
      <c r="D463" t="s">
        <v>942</v>
      </c>
      <c r="E463" s="75">
        <v>0.15277777777777779</v>
      </c>
      <c r="F463" s="75">
        <v>0.16666666666666666</v>
      </c>
      <c r="J463" t="s">
        <v>967</v>
      </c>
    </row>
    <row r="464" spans="1:10" x14ac:dyDescent="0.6">
      <c r="A464" t="s">
        <v>1288</v>
      </c>
      <c r="B464" s="76">
        <v>1900</v>
      </c>
      <c r="C464" t="s">
        <v>62</v>
      </c>
      <c r="D464" t="s">
        <v>5</v>
      </c>
      <c r="E464" s="75">
        <v>0.2013888888888889</v>
      </c>
      <c r="F464" s="75">
        <v>0.21180555555555555</v>
      </c>
      <c r="H464">
        <v>50</v>
      </c>
      <c r="I464" t="s">
        <v>1249</v>
      </c>
      <c r="J464" t="s">
        <v>967</v>
      </c>
    </row>
    <row r="465" spans="1:10" x14ac:dyDescent="0.6">
      <c r="A465" t="s">
        <v>1289</v>
      </c>
      <c r="B465" s="76">
        <v>1900</v>
      </c>
      <c r="C465" t="s">
        <v>1094</v>
      </c>
      <c r="D465" t="s">
        <v>942</v>
      </c>
      <c r="E465" s="75">
        <v>0.15277777777777779</v>
      </c>
      <c r="F465" s="75">
        <v>0.16666666666666666</v>
      </c>
      <c r="J465" t="s">
        <v>967</v>
      </c>
    </row>
    <row r="466" spans="1:10" x14ac:dyDescent="0.6">
      <c r="A466" t="s">
        <v>1289</v>
      </c>
      <c r="B466" s="76">
        <v>1900</v>
      </c>
      <c r="C466" t="s">
        <v>27</v>
      </c>
      <c r="D466" t="s">
        <v>5</v>
      </c>
      <c r="E466" s="75">
        <v>0.2013888888888889</v>
      </c>
      <c r="F466" s="75">
        <v>0.21180555555555555</v>
      </c>
      <c r="H466">
        <v>50</v>
      </c>
      <c r="I466" t="s">
        <v>1290</v>
      </c>
      <c r="J466" t="s">
        <v>967</v>
      </c>
    </row>
    <row r="467" spans="1:10" x14ac:dyDescent="0.6">
      <c r="A467" t="s">
        <v>1291</v>
      </c>
      <c r="B467" s="76">
        <v>1900</v>
      </c>
      <c r="C467" t="s">
        <v>1094</v>
      </c>
      <c r="D467" t="s">
        <v>942</v>
      </c>
      <c r="E467" s="75">
        <v>0.16666666666666666</v>
      </c>
      <c r="F467" s="75">
        <v>0.18055555555555555</v>
      </c>
      <c r="J467" t="s">
        <v>967</v>
      </c>
    </row>
    <row r="468" spans="1:10" x14ac:dyDescent="0.6">
      <c r="A468" t="s">
        <v>1291</v>
      </c>
      <c r="B468" s="76">
        <v>1900</v>
      </c>
      <c r="C468" t="s">
        <v>80</v>
      </c>
      <c r="D468" t="s">
        <v>5</v>
      </c>
      <c r="E468" s="75">
        <v>0.21180555555555555</v>
      </c>
      <c r="F468" s="75">
        <v>0.22222222222222221</v>
      </c>
      <c r="H468">
        <v>35</v>
      </c>
      <c r="I468" t="s">
        <v>1292</v>
      </c>
      <c r="J468" t="s">
        <v>967</v>
      </c>
    </row>
    <row r="469" spans="1:10" x14ac:dyDescent="0.6">
      <c r="A469" t="s">
        <v>1293</v>
      </c>
      <c r="B469" s="76">
        <v>1900</v>
      </c>
      <c r="C469" t="s">
        <v>1094</v>
      </c>
      <c r="D469" t="s">
        <v>942</v>
      </c>
      <c r="E469" s="75">
        <v>0.16666666666666666</v>
      </c>
      <c r="F469" s="75">
        <v>0.18055555555555555</v>
      </c>
      <c r="J469" t="s">
        <v>967</v>
      </c>
    </row>
    <row r="470" spans="1:10" x14ac:dyDescent="0.6">
      <c r="A470" t="s">
        <v>1293</v>
      </c>
      <c r="B470" s="76">
        <v>1900</v>
      </c>
      <c r="C470" t="s">
        <v>45</v>
      </c>
      <c r="D470" t="s">
        <v>5</v>
      </c>
      <c r="E470" s="75">
        <v>0.2013888888888889</v>
      </c>
      <c r="F470" s="75">
        <v>0.21180555555555555</v>
      </c>
      <c r="H470">
        <v>30</v>
      </c>
      <c r="I470" t="s">
        <v>1294</v>
      </c>
      <c r="J470" t="s">
        <v>967</v>
      </c>
    </row>
    <row r="471" spans="1:10" x14ac:dyDescent="0.6">
      <c r="A471" t="s">
        <v>1293</v>
      </c>
      <c r="B471" s="76">
        <v>1900</v>
      </c>
      <c r="C471" t="s">
        <v>71</v>
      </c>
      <c r="D471" t="s">
        <v>5</v>
      </c>
      <c r="E471" s="75">
        <v>0.22222222222222221</v>
      </c>
      <c r="F471" s="75">
        <v>0.2326388888888889</v>
      </c>
      <c r="H471">
        <v>15</v>
      </c>
      <c r="I471" t="s">
        <v>1295</v>
      </c>
      <c r="J471" t="s">
        <v>967</v>
      </c>
    </row>
    <row r="472" spans="1:10" x14ac:dyDescent="0.6">
      <c r="A472" t="s">
        <v>1296</v>
      </c>
      <c r="B472" s="76">
        <v>1900</v>
      </c>
      <c r="C472" t="s">
        <v>1094</v>
      </c>
      <c r="D472" t="s">
        <v>942</v>
      </c>
      <c r="E472" s="75">
        <v>0.16666666666666666</v>
      </c>
      <c r="F472" s="75">
        <v>0.18055555555555555</v>
      </c>
      <c r="J472" t="s">
        <v>967</v>
      </c>
    </row>
    <row r="473" spans="1:10" x14ac:dyDescent="0.6">
      <c r="A473" t="s">
        <v>1296</v>
      </c>
      <c r="B473" s="76">
        <v>1900</v>
      </c>
      <c r="C473" t="s">
        <v>117</v>
      </c>
      <c r="D473" t="s">
        <v>5</v>
      </c>
      <c r="E473" s="75">
        <v>0.2013888888888889</v>
      </c>
      <c r="F473" s="75">
        <v>0.21180555555555555</v>
      </c>
      <c r="H473">
        <v>30</v>
      </c>
      <c r="I473" t="s">
        <v>1297</v>
      </c>
      <c r="J473" t="s">
        <v>967</v>
      </c>
    </row>
    <row r="474" spans="1:10" x14ac:dyDescent="0.6">
      <c r="A474" t="s">
        <v>1296</v>
      </c>
      <c r="B474" s="76">
        <v>1900</v>
      </c>
      <c r="C474" t="s">
        <v>107</v>
      </c>
      <c r="D474" t="s">
        <v>5</v>
      </c>
      <c r="E474" s="75">
        <v>0.22222222222222221</v>
      </c>
      <c r="F474" s="75">
        <v>0.2326388888888889</v>
      </c>
      <c r="H474">
        <v>15</v>
      </c>
      <c r="I474" t="s">
        <v>1298</v>
      </c>
      <c r="J474" t="s">
        <v>967</v>
      </c>
    </row>
    <row r="475" spans="1:10" x14ac:dyDescent="0.6">
      <c r="A475" t="s">
        <v>1299</v>
      </c>
      <c r="B475" s="76">
        <v>1900</v>
      </c>
      <c r="C475" t="s">
        <v>1094</v>
      </c>
      <c r="D475" t="s">
        <v>942</v>
      </c>
      <c r="E475" s="75">
        <v>0.16666666666666666</v>
      </c>
      <c r="F475" s="75">
        <v>0.18055555555555555</v>
      </c>
      <c r="J475" t="s">
        <v>967</v>
      </c>
    </row>
    <row r="476" spans="1:10" x14ac:dyDescent="0.6">
      <c r="A476" t="s">
        <v>1299</v>
      </c>
      <c r="B476" s="76">
        <v>1900</v>
      </c>
      <c r="C476" t="s">
        <v>50</v>
      </c>
      <c r="D476" t="s">
        <v>5</v>
      </c>
      <c r="E476" s="75">
        <v>0.19097222222222221</v>
      </c>
      <c r="F476" s="75">
        <v>0.2013888888888889</v>
      </c>
      <c r="H476">
        <v>15</v>
      </c>
      <c r="I476" t="s">
        <v>1168</v>
      </c>
      <c r="J476" t="s">
        <v>967</v>
      </c>
    </row>
    <row r="477" spans="1:10" x14ac:dyDescent="0.6">
      <c r="A477" t="s">
        <v>1299</v>
      </c>
      <c r="B477" s="76">
        <v>1900</v>
      </c>
      <c r="C477" t="s">
        <v>52</v>
      </c>
      <c r="D477" t="s">
        <v>5</v>
      </c>
      <c r="E477" s="75">
        <v>0.22222222222222221</v>
      </c>
      <c r="F477" s="75">
        <v>0.2326388888888889</v>
      </c>
      <c r="H477">
        <v>30</v>
      </c>
      <c r="I477" t="s">
        <v>1300</v>
      </c>
      <c r="J477" t="s">
        <v>967</v>
      </c>
    </row>
    <row r="478" spans="1:10" x14ac:dyDescent="0.6">
      <c r="A478" t="s">
        <v>1301</v>
      </c>
      <c r="B478" s="76">
        <v>1900</v>
      </c>
      <c r="C478" t="s">
        <v>1094</v>
      </c>
      <c r="D478" t="s">
        <v>942</v>
      </c>
      <c r="E478" s="75">
        <v>0.16666666666666666</v>
      </c>
      <c r="F478" s="75">
        <v>0.18055555555555555</v>
      </c>
      <c r="J478" t="s">
        <v>967</v>
      </c>
    </row>
    <row r="479" spans="1:10" x14ac:dyDescent="0.6">
      <c r="A479" t="s">
        <v>1301</v>
      </c>
      <c r="B479" s="76">
        <v>1900</v>
      </c>
      <c r="C479" t="s">
        <v>110</v>
      </c>
      <c r="D479" t="s">
        <v>5</v>
      </c>
      <c r="E479" s="75">
        <v>0.2013888888888889</v>
      </c>
      <c r="F479" s="75">
        <v>0.21180555555555555</v>
      </c>
      <c r="H479">
        <v>30</v>
      </c>
      <c r="I479" t="s">
        <v>1302</v>
      </c>
      <c r="J479" t="s">
        <v>967</v>
      </c>
    </row>
    <row r="480" spans="1:10" x14ac:dyDescent="0.6">
      <c r="A480" t="s">
        <v>1301</v>
      </c>
      <c r="B480" s="76">
        <v>1900</v>
      </c>
      <c r="C480" t="s">
        <v>109</v>
      </c>
      <c r="D480" t="s">
        <v>5</v>
      </c>
      <c r="E480" s="75">
        <v>0.22222222222222221</v>
      </c>
      <c r="F480" s="75">
        <v>0.2326388888888889</v>
      </c>
      <c r="H480">
        <v>15</v>
      </c>
      <c r="I480" t="s">
        <v>1303</v>
      </c>
      <c r="J480" t="s">
        <v>967</v>
      </c>
    </row>
    <row r="481" spans="1:10" x14ac:dyDescent="0.6">
      <c r="A481" t="s">
        <v>1304</v>
      </c>
      <c r="B481" s="76">
        <v>1900</v>
      </c>
      <c r="C481" t="s">
        <v>1094</v>
      </c>
      <c r="D481" t="s">
        <v>942</v>
      </c>
      <c r="E481" s="75">
        <v>0.16666666666666666</v>
      </c>
      <c r="F481" s="75">
        <v>0.18055555555555555</v>
      </c>
      <c r="J481" t="s">
        <v>967</v>
      </c>
    </row>
    <row r="482" spans="1:10" x14ac:dyDescent="0.6">
      <c r="A482" t="s">
        <v>1304</v>
      </c>
      <c r="B482" s="76">
        <v>1900</v>
      </c>
      <c r="C482" t="s">
        <v>82</v>
      </c>
      <c r="D482" t="s">
        <v>5</v>
      </c>
      <c r="E482" s="75">
        <v>0.21180555555555555</v>
      </c>
      <c r="F482" s="75">
        <v>0.22222222222222221</v>
      </c>
      <c r="H482">
        <v>45</v>
      </c>
      <c r="I482" t="s">
        <v>1305</v>
      </c>
      <c r="J482" t="s">
        <v>967</v>
      </c>
    </row>
    <row r="483" spans="1:10" x14ac:dyDescent="0.6">
      <c r="A483" t="s">
        <v>1306</v>
      </c>
      <c r="B483" s="76">
        <v>1900</v>
      </c>
      <c r="C483" t="s">
        <v>1094</v>
      </c>
      <c r="D483" t="s">
        <v>942</v>
      </c>
      <c r="E483" s="75">
        <v>0.16666666666666666</v>
      </c>
      <c r="F483" s="75">
        <v>0.18055555555555555</v>
      </c>
      <c r="J483" t="s">
        <v>967</v>
      </c>
    </row>
    <row r="484" spans="1:10" x14ac:dyDescent="0.6">
      <c r="A484" t="s">
        <v>1306</v>
      </c>
      <c r="B484" s="76">
        <v>1900</v>
      </c>
      <c r="C484" t="s">
        <v>108</v>
      </c>
      <c r="D484" t="s">
        <v>5</v>
      </c>
      <c r="E484" s="75">
        <v>0.20833333333333334</v>
      </c>
      <c r="F484" s="75">
        <v>0.21875</v>
      </c>
      <c r="H484">
        <v>40</v>
      </c>
      <c r="I484" t="s">
        <v>1183</v>
      </c>
      <c r="J484" t="s">
        <v>967</v>
      </c>
    </row>
    <row r="485" spans="1:10" x14ac:dyDescent="0.6">
      <c r="A485" t="s">
        <v>1306</v>
      </c>
      <c r="B485" s="76">
        <v>1900</v>
      </c>
      <c r="C485" t="s">
        <v>103</v>
      </c>
      <c r="D485" t="s">
        <v>5</v>
      </c>
      <c r="E485" s="75">
        <v>0.22222222222222221</v>
      </c>
      <c r="F485" s="75">
        <v>0.2326388888888889</v>
      </c>
      <c r="H485">
        <v>5</v>
      </c>
      <c r="I485">
        <v>0</v>
      </c>
      <c r="J485" t="s">
        <v>967</v>
      </c>
    </row>
    <row r="486" spans="1:10" x14ac:dyDescent="0.6">
      <c r="A486" t="s">
        <v>1307</v>
      </c>
      <c r="B486" s="76">
        <v>1900</v>
      </c>
      <c r="C486" t="s">
        <v>1094</v>
      </c>
      <c r="D486" t="s">
        <v>942</v>
      </c>
      <c r="E486" s="75">
        <v>0.16666666666666666</v>
      </c>
      <c r="F486" s="75">
        <v>0.18055555555555555</v>
      </c>
      <c r="J486" t="s">
        <v>967</v>
      </c>
    </row>
    <row r="487" spans="1:10" x14ac:dyDescent="0.6">
      <c r="A487" t="s">
        <v>1307</v>
      </c>
      <c r="B487" s="76">
        <v>1900</v>
      </c>
      <c r="C487" t="s">
        <v>95</v>
      </c>
      <c r="D487" t="s">
        <v>5</v>
      </c>
      <c r="E487" s="75">
        <v>0.19791666666666666</v>
      </c>
      <c r="F487" s="75">
        <v>0.20833333333333334</v>
      </c>
      <c r="H487">
        <v>25</v>
      </c>
      <c r="I487" t="s">
        <v>1308</v>
      </c>
      <c r="J487" t="s">
        <v>967</v>
      </c>
    </row>
    <row r="488" spans="1:10" x14ac:dyDescent="0.6">
      <c r="A488" t="s">
        <v>1307</v>
      </c>
      <c r="B488" s="76">
        <v>1900</v>
      </c>
      <c r="C488" t="s">
        <v>100</v>
      </c>
      <c r="D488" t="s">
        <v>5</v>
      </c>
      <c r="E488" s="75">
        <v>0.21875</v>
      </c>
      <c r="F488" s="75">
        <v>0.22916666666666666</v>
      </c>
      <c r="H488">
        <v>15</v>
      </c>
      <c r="I488" t="s">
        <v>1309</v>
      </c>
      <c r="J488" t="s">
        <v>967</v>
      </c>
    </row>
    <row r="489" spans="1:10" x14ac:dyDescent="0.6">
      <c r="A489" t="s">
        <v>1310</v>
      </c>
      <c r="B489" s="76">
        <v>1900</v>
      </c>
      <c r="C489" t="s">
        <v>1094</v>
      </c>
      <c r="D489" t="s">
        <v>942</v>
      </c>
      <c r="E489" s="75">
        <v>0.16666666666666666</v>
      </c>
      <c r="F489" s="75">
        <v>0.18055555555555555</v>
      </c>
      <c r="J489" t="s">
        <v>967</v>
      </c>
    </row>
    <row r="490" spans="1:10" x14ac:dyDescent="0.6">
      <c r="A490" t="s">
        <v>1310</v>
      </c>
      <c r="B490" s="76">
        <v>1900</v>
      </c>
      <c r="C490" t="s">
        <v>130</v>
      </c>
      <c r="D490" t="s">
        <v>5</v>
      </c>
      <c r="E490" s="75">
        <v>0.19097222222222221</v>
      </c>
      <c r="F490" s="75">
        <v>0.2013888888888889</v>
      </c>
      <c r="H490">
        <v>15</v>
      </c>
      <c r="I490" t="s">
        <v>1311</v>
      </c>
      <c r="J490" t="s">
        <v>967</v>
      </c>
    </row>
    <row r="491" spans="1:10" x14ac:dyDescent="0.6">
      <c r="A491" t="s">
        <v>1310</v>
      </c>
      <c r="B491" s="76">
        <v>1900</v>
      </c>
      <c r="C491" t="s">
        <v>128</v>
      </c>
      <c r="D491" t="s">
        <v>5</v>
      </c>
      <c r="E491" s="75">
        <v>0.21875</v>
      </c>
      <c r="F491" s="75">
        <v>0.22916666666666666</v>
      </c>
      <c r="H491">
        <v>25</v>
      </c>
      <c r="I491" t="s">
        <v>1312</v>
      </c>
      <c r="J491" t="s">
        <v>967</v>
      </c>
    </row>
    <row r="492" spans="1:10" x14ac:dyDescent="0.6">
      <c r="A492" t="s">
        <v>1313</v>
      </c>
      <c r="B492" s="76">
        <v>1900</v>
      </c>
      <c r="C492" t="s">
        <v>1094</v>
      </c>
      <c r="D492" t="s">
        <v>942</v>
      </c>
      <c r="E492" s="75">
        <v>0.16666666666666666</v>
      </c>
      <c r="F492" s="75">
        <v>0.18055555555555555</v>
      </c>
      <c r="J492" t="s">
        <v>967</v>
      </c>
    </row>
    <row r="493" spans="1:10" x14ac:dyDescent="0.6">
      <c r="A493" t="s">
        <v>1313</v>
      </c>
      <c r="B493" s="76">
        <v>1900</v>
      </c>
      <c r="C493" t="s">
        <v>123</v>
      </c>
      <c r="D493" t="s">
        <v>5</v>
      </c>
      <c r="E493" s="75">
        <v>0.19791666666666666</v>
      </c>
      <c r="F493" s="75">
        <v>0.20833333333333334</v>
      </c>
      <c r="H493">
        <v>25</v>
      </c>
      <c r="I493" t="s">
        <v>1314</v>
      </c>
      <c r="J493" t="s">
        <v>967</v>
      </c>
    </row>
    <row r="494" spans="1:10" x14ac:dyDescent="0.6">
      <c r="A494" t="s">
        <v>1313</v>
      </c>
      <c r="B494" s="76">
        <v>1900</v>
      </c>
      <c r="C494" t="s">
        <v>47</v>
      </c>
      <c r="D494" t="s">
        <v>5</v>
      </c>
      <c r="E494" s="75">
        <v>0.21875</v>
      </c>
      <c r="F494" s="75">
        <v>0.22916666666666666</v>
      </c>
      <c r="H494">
        <v>15</v>
      </c>
      <c r="I494" t="s">
        <v>1315</v>
      </c>
      <c r="J494" t="s">
        <v>967</v>
      </c>
    </row>
    <row r="495" spans="1:10" x14ac:dyDescent="0.6">
      <c r="A495" t="s">
        <v>1316</v>
      </c>
      <c r="B495" s="76">
        <v>1900</v>
      </c>
      <c r="C495" t="s">
        <v>1094</v>
      </c>
      <c r="D495" t="s">
        <v>942</v>
      </c>
      <c r="E495" s="75">
        <v>0.16666666666666666</v>
      </c>
      <c r="F495" s="75">
        <v>0.18055555555555555</v>
      </c>
      <c r="J495" t="s">
        <v>967</v>
      </c>
    </row>
    <row r="496" spans="1:10" x14ac:dyDescent="0.6">
      <c r="A496" t="s">
        <v>1316</v>
      </c>
      <c r="B496" s="76">
        <v>1900</v>
      </c>
      <c r="C496" t="s">
        <v>72</v>
      </c>
      <c r="D496" t="s">
        <v>5</v>
      </c>
      <c r="E496" s="75">
        <v>0.2013888888888889</v>
      </c>
      <c r="F496" s="75">
        <v>0.21180555555555555</v>
      </c>
      <c r="H496">
        <v>30</v>
      </c>
      <c r="I496" t="s">
        <v>1317</v>
      </c>
      <c r="J496" t="s">
        <v>967</v>
      </c>
    </row>
    <row r="497" spans="1:10" x14ac:dyDescent="0.6">
      <c r="A497" t="s">
        <v>1316</v>
      </c>
      <c r="B497" s="76">
        <v>1900</v>
      </c>
      <c r="C497" t="s">
        <v>101</v>
      </c>
      <c r="D497" t="s">
        <v>5</v>
      </c>
      <c r="E497" s="75">
        <v>0.21875</v>
      </c>
      <c r="F497" s="75">
        <v>0.22916666666666666</v>
      </c>
      <c r="H497">
        <v>10</v>
      </c>
      <c r="I497" t="s">
        <v>1318</v>
      </c>
      <c r="J497" t="s">
        <v>967</v>
      </c>
    </row>
    <row r="498" spans="1:10" x14ac:dyDescent="0.6">
      <c r="A498" t="s">
        <v>1319</v>
      </c>
      <c r="B498" s="76">
        <v>1900</v>
      </c>
      <c r="C498" t="s">
        <v>1094</v>
      </c>
      <c r="D498" t="s">
        <v>942</v>
      </c>
      <c r="E498" s="75">
        <v>0.16666666666666666</v>
      </c>
      <c r="F498" s="75">
        <v>0.18055555555555555</v>
      </c>
      <c r="J498" t="s">
        <v>967</v>
      </c>
    </row>
    <row r="499" spans="1:10" x14ac:dyDescent="0.6">
      <c r="A499" t="s">
        <v>1319</v>
      </c>
      <c r="B499" s="76">
        <v>1900</v>
      </c>
      <c r="C499" t="s">
        <v>42</v>
      </c>
      <c r="D499" t="s">
        <v>5</v>
      </c>
      <c r="E499" s="75">
        <v>0.2048611111111111</v>
      </c>
      <c r="F499" s="75">
        <v>0.21527777777777779</v>
      </c>
      <c r="H499">
        <v>25</v>
      </c>
      <c r="I499" t="s">
        <v>1259</v>
      </c>
      <c r="J499" t="s">
        <v>967</v>
      </c>
    </row>
    <row r="500" spans="1:10" x14ac:dyDescent="0.6">
      <c r="A500" t="s">
        <v>1319</v>
      </c>
      <c r="B500" s="76">
        <v>1900</v>
      </c>
      <c r="C500" t="s">
        <v>44</v>
      </c>
      <c r="D500" t="s">
        <v>5</v>
      </c>
      <c r="E500" s="75">
        <v>0.21875</v>
      </c>
      <c r="F500" s="75">
        <v>0.22916666666666666</v>
      </c>
      <c r="H500">
        <v>5</v>
      </c>
      <c r="I500">
        <v>0</v>
      </c>
      <c r="J500" t="s">
        <v>967</v>
      </c>
    </row>
    <row r="501" spans="1:10" x14ac:dyDescent="0.6">
      <c r="A501" t="s">
        <v>1320</v>
      </c>
      <c r="B501" s="76">
        <v>1900</v>
      </c>
      <c r="C501" t="s">
        <v>1094</v>
      </c>
      <c r="D501" t="s">
        <v>942</v>
      </c>
      <c r="E501" s="75">
        <v>0.16666666666666666</v>
      </c>
      <c r="F501" s="75">
        <v>0.18055555555555555</v>
      </c>
      <c r="J501" t="s">
        <v>967</v>
      </c>
    </row>
    <row r="502" spans="1:10" x14ac:dyDescent="0.6">
      <c r="A502" t="s">
        <v>1320</v>
      </c>
      <c r="B502" s="76">
        <v>1900</v>
      </c>
      <c r="C502" t="s">
        <v>93</v>
      </c>
      <c r="D502" t="s">
        <v>5</v>
      </c>
      <c r="E502" s="75">
        <v>0.19791666666666666</v>
      </c>
      <c r="F502" s="75">
        <v>0.20833333333333334</v>
      </c>
      <c r="H502">
        <v>25</v>
      </c>
      <c r="I502" t="s">
        <v>1321</v>
      </c>
      <c r="J502" t="s">
        <v>967</v>
      </c>
    </row>
    <row r="503" spans="1:10" x14ac:dyDescent="0.6">
      <c r="A503" t="s">
        <v>1320</v>
      </c>
      <c r="B503" s="76">
        <v>1900</v>
      </c>
      <c r="C503" t="s">
        <v>22</v>
      </c>
      <c r="D503" t="s">
        <v>5</v>
      </c>
      <c r="E503" s="75">
        <v>0.21875</v>
      </c>
      <c r="F503" s="75">
        <v>0.22916666666666666</v>
      </c>
      <c r="H503">
        <v>15</v>
      </c>
      <c r="I503" t="s">
        <v>1322</v>
      </c>
      <c r="J503" t="s">
        <v>967</v>
      </c>
    </row>
    <row r="504" spans="1:10" x14ac:dyDescent="0.6">
      <c r="A504" t="s">
        <v>1323</v>
      </c>
      <c r="B504" s="76">
        <v>1900</v>
      </c>
      <c r="C504" t="s">
        <v>1094</v>
      </c>
      <c r="D504" t="s">
        <v>942</v>
      </c>
      <c r="E504" s="75">
        <v>0.16666666666666666</v>
      </c>
      <c r="F504" s="75">
        <v>0.18055555555555555</v>
      </c>
      <c r="J504" t="s">
        <v>967</v>
      </c>
    </row>
    <row r="505" spans="1:10" x14ac:dyDescent="0.6">
      <c r="A505" t="s">
        <v>1323</v>
      </c>
      <c r="B505" s="76">
        <v>1900</v>
      </c>
      <c r="C505" t="s">
        <v>58</v>
      </c>
      <c r="D505" t="s">
        <v>5</v>
      </c>
      <c r="E505" s="75">
        <v>0.2048611111111111</v>
      </c>
      <c r="F505" s="75">
        <v>0.21527777777777779</v>
      </c>
      <c r="H505">
        <v>35</v>
      </c>
      <c r="I505" t="s">
        <v>1189</v>
      </c>
      <c r="J505" t="s">
        <v>967</v>
      </c>
    </row>
    <row r="506" spans="1:10" x14ac:dyDescent="0.6">
      <c r="A506" t="s">
        <v>1323</v>
      </c>
      <c r="B506" s="76">
        <v>1900</v>
      </c>
      <c r="C506" t="s">
        <v>51</v>
      </c>
      <c r="D506" t="s">
        <v>5</v>
      </c>
      <c r="E506" s="75">
        <v>0.21875</v>
      </c>
      <c r="F506" s="75">
        <v>0.22916666666666666</v>
      </c>
      <c r="H506">
        <v>5</v>
      </c>
      <c r="I506" t="s">
        <v>1190</v>
      </c>
      <c r="J506" t="s">
        <v>967</v>
      </c>
    </row>
    <row r="507" spans="1:10" x14ac:dyDescent="0.6">
      <c r="A507" t="s">
        <v>1324</v>
      </c>
      <c r="B507" s="76">
        <v>1900</v>
      </c>
      <c r="C507" t="s">
        <v>1094</v>
      </c>
      <c r="D507" t="s">
        <v>942</v>
      </c>
      <c r="E507" s="75">
        <v>0.16666666666666666</v>
      </c>
      <c r="F507" s="75">
        <v>0.18055555555555555</v>
      </c>
      <c r="J507" t="s">
        <v>967</v>
      </c>
    </row>
    <row r="508" spans="1:10" x14ac:dyDescent="0.6">
      <c r="A508" t="s">
        <v>1324</v>
      </c>
      <c r="B508" s="76">
        <v>1900</v>
      </c>
      <c r="C508" t="s">
        <v>120</v>
      </c>
      <c r="D508" t="s">
        <v>5</v>
      </c>
      <c r="E508" s="75">
        <v>0.19791666666666666</v>
      </c>
      <c r="F508" s="75">
        <v>0.20833333333333334</v>
      </c>
      <c r="H508">
        <v>25</v>
      </c>
      <c r="I508" t="s">
        <v>1203</v>
      </c>
      <c r="J508" t="s">
        <v>967</v>
      </c>
    </row>
    <row r="509" spans="1:10" x14ac:dyDescent="0.6">
      <c r="A509" t="s">
        <v>1324</v>
      </c>
      <c r="B509" s="76">
        <v>1900</v>
      </c>
      <c r="C509" t="s">
        <v>118</v>
      </c>
      <c r="D509" t="s">
        <v>5</v>
      </c>
      <c r="E509" s="75">
        <v>0.21527777777777779</v>
      </c>
      <c r="F509" s="75">
        <v>0.22569444444444445</v>
      </c>
      <c r="H509">
        <v>10</v>
      </c>
      <c r="I509" t="s">
        <v>1061</v>
      </c>
      <c r="J509" t="s">
        <v>967</v>
      </c>
    </row>
    <row r="510" spans="1:10" x14ac:dyDescent="0.6">
      <c r="A510" t="s">
        <v>1325</v>
      </c>
      <c r="B510" s="76" t="s">
        <v>1192</v>
      </c>
      <c r="C510" t="s">
        <v>1094</v>
      </c>
      <c r="D510" t="s">
        <v>942</v>
      </c>
      <c r="E510" s="75">
        <v>0.1875</v>
      </c>
      <c r="F510" s="75">
        <v>0.2013888888888889</v>
      </c>
      <c r="G510" t="s">
        <v>1326</v>
      </c>
      <c r="J510" t="s">
        <v>967</v>
      </c>
    </row>
    <row r="511" spans="1:10" x14ac:dyDescent="0.6">
      <c r="A511" t="s">
        <v>1325</v>
      </c>
      <c r="B511" s="76" t="s">
        <v>1192</v>
      </c>
      <c r="C511" t="s">
        <v>67</v>
      </c>
      <c r="D511" t="s">
        <v>5</v>
      </c>
      <c r="E511" s="75">
        <v>0.22569444444444445</v>
      </c>
      <c r="F511" s="75">
        <v>0.2361111111111111</v>
      </c>
      <c r="H511">
        <v>35</v>
      </c>
      <c r="I511" t="s">
        <v>1185</v>
      </c>
      <c r="J511" t="s">
        <v>967</v>
      </c>
    </row>
    <row r="512" spans="1:10" x14ac:dyDescent="0.6">
      <c r="A512" t="s">
        <v>1325</v>
      </c>
      <c r="B512" s="76" t="s">
        <v>1192</v>
      </c>
      <c r="C512" t="s">
        <v>66</v>
      </c>
      <c r="D512" t="s">
        <v>5</v>
      </c>
      <c r="E512" s="75">
        <v>0.23958333333333334</v>
      </c>
      <c r="F512" s="75">
        <v>0.25</v>
      </c>
      <c r="H512">
        <v>5</v>
      </c>
      <c r="I512">
        <v>0</v>
      </c>
      <c r="J512" t="s">
        <v>967</v>
      </c>
    </row>
    <row r="513" spans="1:10" x14ac:dyDescent="0.6">
      <c r="A513" t="s">
        <v>1327</v>
      </c>
      <c r="B513" s="76" t="s">
        <v>1192</v>
      </c>
      <c r="C513" t="s">
        <v>1094</v>
      </c>
      <c r="D513" t="s">
        <v>942</v>
      </c>
      <c r="E513" s="75">
        <v>0.1875</v>
      </c>
      <c r="F513" s="75">
        <v>0.2013888888888889</v>
      </c>
      <c r="G513" t="s">
        <v>1328</v>
      </c>
      <c r="J513" t="s">
        <v>967</v>
      </c>
    </row>
    <row r="514" spans="1:10" x14ac:dyDescent="0.6">
      <c r="A514" t="s">
        <v>1327</v>
      </c>
      <c r="B514" s="76" t="s">
        <v>1192</v>
      </c>
      <c r="C514" t="s">
        <v>33</v>
      </c>
      <c r="D514" t="s">
        <v>5</v>
      </c>
      <c r="E514" s="75">
        <v>0.22569444444444445</v>
      </c>
      <c r="F514" s="75">
        <v>0.2361111111111111</v>
      </c>
      <c r="H514">
        <v>35</v>
      </c>
      <c r="I514" t="s">
        <v>1329</v>
      </c>
      <c r="J514" t="s">
        <v>967</v>
      </c>
    </row>
    <row r="515" spans="1:10" x14ac:dyDescent="0.6">
      <c r="A515" t="s">
        <v>1330</v>
      </c>
      <c r="B515" s="76" t="s">
        <v>1192</v>
      </c>
      <c r="C515" t="s">
        <v>1094</v>
      </c>
      <c r="D515" t="s">
        <v>942</v>
      </c>
      <c r="E515" s="75">
        <v>0.19444444444444445</v>
      </c>
      <c r="F515" s="75">
        <v>0.20833333333333334</v>
      </c>
      <c r="G515" t="s">
        <v>1331</v>
      </c>
      <c r="J515" t="s">
        <v>967</v>
      </c>
    </row>
    <row r="516" spans="1:10" x14ac:dyDescent="0.6">
      <c r="A516" t="s">
        <v>1330</v>
      </c>
      <c r="B516" s="76" t="s">
        <v>1192</v>
      </c>
      <c r="C516" t="s">
        <v>115</v>
      </c>
      <c r="D516" t="s">
        <v>5</v>
      </c>
      <c r="E516" s="75">
        <v>0.2326388888888889</v>
      </c>
      <c r="F516" s="75">
        <v>0.24305555555555555</v>
      </c>
      <c r="H516">
        <v>35</v>
      </c>
      <c r="I516" t="s">
        <v>1187</v>
      </c>
      <c r="J516" t="s">
        <v>967</v>
      </c>
    </row>
    <row r="517" spans="1:10" x14ac:dyDescent="0.6">
      <c r="A517" t="s">
        <v>1332</v>
      </c>
      <c r="B517" s="76" t="s">
        <v>1192</v>
      </c>
      <c r="C517" t="s">
        <v>1094</v>
      </c>
      <c r="D517" t="s">
        <v>942</v>
      </c>
      <c r="E517" s="75">
        <v>0.19444444444444445</v>
      </c>
      <c r="F517" s="75">
        <v>0.20833333333333334</v>
      </c>
      <c r="G517" t="s">
        <v>1333</v>
      </c>
      <c r="J517" t="s">
        <v>967</v>
      </c>
    </row>
    <row r="518" spans="1:10" x14ac:dyDescent="0.6">
      <c r="A518" t="s">
        <v>1332</v>
      </c>
      <c r="B518" s="76" t="s">
        <v>1192</v>
      </c>
      <c r="C518" t="s">
        <v>94</v>
      </c>
      <c r="D518" t="s">
        <v>5</v>
      </c>
      <c r="E518" s="75">
        <v>0.21875</v>
      </c>
      <c r="F518" s="75">
        <v>0.22916666666666666</v>
      </c>
      <c r="H518">
        <v>15</v>
      </c>
      <c r="I518" t="s">
        <v>1255</v>
      </c>
      <c r="J518" t="s">
        <v>967</v>
      </c>
    </row>
    <row r="519" spans="1:10" x14ac:dyDescent="0.6">
      <c r="A519" t="s">
        <v>1332</v>
      </c>
      <c r="B519" s="76" t="s">
        <v>1192</v>
      </c>
      <c r="C519" t="s">
        <v>24</v>
      </c>
      <c r="D519" t="s">
        <v>5</v>
      </c>
      <c r="E519" s="75">
        <v>0.24305555555555555</v>
      </c>
      <c r="F519" s="75">
        <v>0.25347222222222221</v>
      </c>
      <c r="H519">
        <v>20</v>
      </c>
      <c r="I519">
        <v>5</v>
      </c>
      <c r="J519" t="s">
        <v>967</v>
      </c>
    </row>
    <row r="520" spans="1:10" x14ac:dyDescent="0.6">
      <c r="A520" t="s">
        <v>1334</v>
      </c>
      <c r="B520" s="76" t="s">
        <v>1192</v>
      </c>
      <c r="C520" t="s">
        <v>1094</v>
      </c>
      <c r="D520" t="s">
        <v>942</v>
      </c>
      <c r="E520" s="75">
        <v>0.19791666666666666</v>
      </c>
      <c r="F520" s="75">
        <v>0.21180555555555555</v>
      </c>
      <c r="G520" t="s">
        <v>1335</v>
      </c>
      <c r="J520" t="s">
        <v>967</v>
      </c>
    </row>
    <row r="521" spans="1:10" x14ac:dyDescent="0.6">
      <c r="A521" t="s">
        <v>1334</v>
      </c>
      <c r="B521" s="76" t="s">
        <v>1192</v>
      </c>
      <c r="C521" t="s">
        <v>48</v>
      </c>
      <c r="D521" t="s">
        <v>5</v>
      </c>
      <c r="E521" s="75">
        <v>0.2326388888888889</v>
      </c>
      <c r="F521" s="75">
        <v>0.24305555555555555</v>
      </c>
      <c r="H521">
        <v>30</v>
      </c>
      <c r="I521" t="s">
        <v>1336</v>
      </c>
      <c r="J521" t="s">
        <v>967</v>
      </c>
    </row>
    <row r="522" spans="1:10" x14ac:dyDescent="0.6">
      <c r="A522" t="s">
        <v>1334</v>
      </c>
      <c r="B522" s="76" t="s">
        <v>1192</v>
      </c>
      <c r="C522" t="s">
        <v>46</v>
      </c>
      <c r="D522" t="s">
        <v>5</v>
      </c>
      <c r="E522" s="75">
        <v>0.24652777777777779</v>
      </c>
      <c r="F522" s="75">
        <v>0.25694444444444442</v>
      </c>
      <c r="H522">
        <v>5</v>
      </c>
      <c r="I522">
        <v>0</v>
      </c>
      <c r="J522" t="s">
        <v>967</v>
      </c>
    </row>
    <row r="523" spans="1:10" x14ac:dyDescent="0.6">
      <c r="A523" t="s">
        <v>1337</v>
      </c>
      <c r="B523" s="76" t="s">
        <v>1192</v>
      </c>
      <c r="C523" t="s">
        <v>1094</v>
      </c>
      <c r="D523" t="s">
        <v>942</v>
      </c>
      <c r="E523" s="75">
        <v>0.2013888888888889</v>
      </c>
      <c r="F523" s="75">
        <v>0.21527777777777779</v>
      </c>
      <c r="G523" t="s">
        <v>1338</v>
      </c>
      <c r="J523" t="s">
        <v>967</v>
      </c>
    </row>
    <row r="524" spans="1:10" x14ac:dyDescent="0.6">
      <c r="A524" t="s">
        <v>1337</v>
      </c>
      <c r="B524" s="76" t="s">
        <v>1192</v>
      </c>
      <c r="C524" t="s">
        <v>122</v>
      </c>
      <c r="D524" t="s">
        <v>5</v>
      </c>
      <c r="E524" s="75">
        <v>0.22916666666666666</v>
      </c>
      <c r="F524" s="75">
        <v>0.23958333333333334</v>
      </c>
      <c r="H524">
        <v>20</v>
      </c>
      <c r="I524" t="s">
        <v>1339</v>
      </c>
      <c r="J524" t="s">
        <v>967</v>
      </c>
    </row>
    <row r="525" spans="1:10" x14ac:dyDescent="0.6">
      <c r="A525" t="s">
        <v>1337</v>
      </c>
      <c r="B525" s="76" t="s">
        <v>1192</v>
      </c>
      <c r="C525" t="s">
        <v>116</v>
      </c>
      <c r="D525" t="s">
        <v>5</v>
      </c>
      <c r="E525" s="75">
        <v>0.25</v>
      </c>
      <c r="F525" s="75">
        <v>0.26041666666666669</v>
      </c>
      <c r="H525">
        <v>15</v>
      </c>
      <c r="I525" t="s">
        <v>1340</v>
      </c>
      <c r="J525" t="s">
        <v>967</v>
      </c>
    </row>
    <row r="526" spans="1:10" x14ac:dyDescent="0.6">
      <c r="A526" t="s">
        <v>1341</v>
      </c>
      <c r="B526" s="76" t="s">
        <v>1192</v>
      </c>
      <c r="C526" t="s">
        <v>1094</v>
      </c>
      <c r="D526" t="s">
        <v>942</v>
      </c>
      <c r="E526" s="75">
        <v>0.2013888888888889</v>
      </c>
      <c r="F526" s="75">
        <v>0.21527777777777779</v>
      </c>
      <c r="G526" t="s">
        <v>1342</v>
      </c>
      <c r="J526" t="s">
        <v>967</v>
      </c>
    </row>
    <row r="527" spans="1:10" x14ac:dyDescent="0.6">
      <c r="A527" t="s">
        <v>1341</v>
      </c>
      <c r="B527" s="76" t="s">
        <v>1192</v>
      </c>
      <c r="C527" t="s">
        <v>98</v>
      </c>
      <c r="D527" t="s">
        <v>5</v>
      </c>
      <c r="E527" s="75">
        <v>0.2361111111111111</v>
      </c>
      <c r="F527" s="75">
        <v>0.24652777777777779</v>
      </c>
      <c r="H527">
        <v>30</v>
      </c>
      <c r="I527" t="s">
        <v>1343</v>
      </c>
      <c r="J527" t="s">
        <v>967</v>
      </c>
    </row>
    <row r="528" spans="1:10" x14ac:dyDescent="0.6">
      <c r="A528" t="s">
        <v>1341</v>
      </c>
      <c r="B528" s="76" t="s">
        <v>1192</v>
      </c>
      <c r="C528" t="s">
        <v>99</v>
      </c>
      <c r="D528" t="s">
        <v>5</v>
      </c>
      <c r="E528" s="75">
        <v>0.25</v>
      </c>
      <c r="F528" s="75">
        <v>0.26041666666666669</v>
      </c>
      <c r="H528">
        <v>5</v>
      </c>
      <c r="I528">
        <v>0</v>
      </c>
      <c r="J528" t="s">
        <v>967</v>
      </c>
    </row>
    <row r="529" spans="1:10" x14ac:dyDescent="0.6">
      <c r="A529" t="s">
        <v>1341</v>
      </c>
      <c r="B529" s="76" t="s">
        <v>1192</v>
      </c>
      <c r="C529" t="s">
        <v>1344</v>
      </c>
      <c r="D529" t="s">
        <v>1092</v>
      </c>
      <c r="E529" s="75">
        <v>0.2638888888888889</v>
      </c>
      <c r="F529" s="75">
        <v>0.28472222222222221</v>
      </c>
      <c r="H529">
        <v>50</v>
      </c>
      <c r="I529" t="s">
        <v>1345</v>
      </c>
      <c r="J529" t="s">
        <v>967</v>
      </c>
    </row>
    <row r="530" spans="1:10" x14ac:dyDescent="0.6">
      <c r="A530" t="s">
        <v>1341</v>
      </c>
      <c r="B530" s="76" t="s">
        <v>1192</v>
      </c>
      <c r="C530" t="s">
        <v>941</v>
      </c>
      <c r="D530" t="s">
        <v>942</v>
      </c>
      <c r="E530" s="75">
        <v>0.3125</v>
      </c>
      <c r="F530" s="75">
        <v>0.3263888888888889</v>
      </c>
      <c r="J530" t="s">
        <v>967</v>
      </c>
    </row>
    <row r="531" spans="1:10" x14ac:dyDescent="0.6">
      <c r="A531" t="s">
        <v>1346</v>
      </c>
      <c r="B531" s="76" t="s">
        <v>1192</v>
      </c>
      <c r="C531" t="s">
        <v>1094</v>
      </c>
      <c r="D531" t="s">
        <v>942</v>
      </c>
      <c r="E531" s="75">
        <v>0.2013888888888889</v>
      </c>
      <c r="F531" s="75">
        <v>0.21527777777777779</v>
      </c>
      <c r="G531" t="s">
        <v>1347</v>
      </c>
      <c r="J531" t="s">
        <v>967</v>
      </c>
    </row>
    <row r="532" spans="1:10" x14ac:dyDescent="0.6">
      <c r="A532" t="s">
        <v>1346</v>
      </c>
      <c r="B532" s="76" t="s">
        <v>1192</v>
      </c>
      <c r="C532" t="s">
        <v>127</v>
      </c>
      <c r="D532" t="s">
        <v>5</v>
      </c>
      <c r="E532" s="75">
        <v>0.22916666666666666</v>
      </c>
      <c r="F532" s="75">
        <v>0.23958333333333334</v>
      </c>
      <c r="H532">
        <v>20</v>
      </c>
      <c r="I532" t="s">
        <v>1348</v>
      </c>
      <c r="J532" t="s">
        <v>967</v>
      </c>
    </row>
    <row r="533" spans="1:10" x14ac:dyDescent="0.6">
      <c r="A533" t="s">
        <v>1346</v>
      </c>
      <c r="B533" s="76" t="s">
        <v>1192</v>
      </c>
      <c r="C533" t="s">
        <v>125</v>
      </c>
      <c r="D533" t="s">
        <v>5</v>
      </c>
      <c r="E533" s="75">
        <v>0.24652777777777779</v>
      </c>
      <c r="F533" s="75">
        <v>0.25694444444444442</v>
      </c>
      <c r="H533">
        <v>10</v>
      </c>
      <c r="I533" t="s">
        <v>1144</v>
      </c>
      <c r="J533" t="s">
        <v>967</v>
      </c>
    </row>
    <row r="534" spans="1:10" x14ac:dyDescent="0.6">
      <c r="A534" t="s">
        <v>1349</v>
      </c>
      <c r="B534" s="76" t="s">
        <v>1192</v>
      </c>
      <c r="C534" t="s">
        <v>1094</v>
      </c>
      <c r="D534" t="s">
        <v>942</v>
      </c>
      <c r="E534" s="75">
        <v>0.2048611111111111</v>
      </c>
      <c r="F534" s="75">
        <v>0.21875</v>
      </c>
      <c r="G534" t="s">
        <v>1350</v>
      </c>
      <c r="J534" t="s">
        <v>967</v>
      </c>
    </row>
    <row r="535" spans="1:10" x14ac:dyDescent="0.6">
      <c r="A535" t="s">
        <v>1349</v>
      </c>
      <c r="B535" s="76" t="s">
        <v>1192</v>
      </c>
      <c r="C535" t="s">
        <v>94</v>
      </c>
      <c r="D535" t="s">
        <v>5</v>
      </c>
      <c r="E535" s="75">
        <v>0.22916666666666666</v>
      </c>
      <c r="F535" s="75">
        <v>0.23958333333333334</v>
      </c>
      <c r="H535">
        <v>15</v>
      </c>
      <c r="I535" t="s">
        <v>1255</v>
      </c>
      <c r="J535" t="s">
        <v>967</v>
      </c>
    </row>
    <row r="536" spans="1:10" x14ac:dyDescent="0.6">
      <c r="A536" t="s">
        <v>1349</v>
      </c>
      <c r="B536" s="76" t="s">
        <v>1192</v>
      </c>
      <c r="C536" t="s">
        <v>21</v>
      </c>
      <c r="D536" t="s">
        <v>5</v>
      </c>
      <c r="E536" s="75">
        <v>0.25347222222222221</v>
      </c>
      <c r="F536" s="75">
        <v>0.2638888888888889</v>
      </c>
      <c r="H536">
        <v>20</v>
      </c>
      <c r="I536" t="s">
        <v>1351</v>
      </c>
      <c r="J536" t="s">
        <v>967</v>
      </c>
    </row>
    <row r="537" spans="1:10" x14ac:dyDescent="0.6">
      <c r="A537" t="s">
        <v>1352</v>
      </c>
      <c r="B537" s="76" t="s">
        <v>1192</v>
      </c>
      <c r="C537" t="s">
        <v>1094</v>
      </c>
      <c r="D537" t="s">
        <v>942</v>
      </c>
      <c r="E537" s="75">
        <v>0.20833333333333334</v>
      </c>
      <c r="F537" s="75">
        <v>0.22222222222222221</v>
      </c>
      <c r="G537" t="s">
        <v>1353</v>
      </c>
      <c r="J537" t="s">
        <v>967</v>
      </c>
    </row>
    <row r="538" spans="1:10" x14ac:dyDescent="0.6">
      <c r="A538" t="s">
        <v>1352</v>
      </c>
      <c r="B538" s="76" t="s">
        <v>1192</v>
      </c>
      <c r="C538" t="s">
        <v>121</v>
      </c>
      <c r="D538" t="s">
        <v>5</v>
      </c>
      <c r="E538" s="75">
        <v>0.2361111111111111</v>
      </c>
      <c r="F538" s="75">
        <v>0.24652777777777779</v>
      </c>
      <c r="H538">
        <v>20</v>
      </c>
      <c r="I538" t="s">
        <v>1354</v>
      </c>
      <c r="J538" t="s">
        <v>967</v>
      </c>
    </row>
    <row r="539" spans="1:10" x14ac:dyDescent="0.6">
      <c r="A539" t="s">
        <v>1352</v>
      </c>
      <c r="B539" s="76" t="s">
        <v>1192</v>
      </c>
      <c r="C539" t="s">
        <v>119</v>
      </c>
      <c r="D539" t="s">
        <v>5</v>
      </c>
      <c r="E539" s="75">
        <v>0.25347222222222221</v>
      </c>
      <c r="F539" s="75">
        <v>0.2638888888888889</v>
      </c>
      <c r="H539">
        <v>10</v>
      </c>
      <c r="I539" t="s">
        <v>1058</v>
      </c>
      <c r="J539" t="s">
        <v>967</v>
      </c>
    </row>
    <row r="540" spans="1:10" x14ac:dyDescent="0.6">
      <c r="A540" t="s">
        <v>1355</v>
      </c>
      <c r="B540" s="76">
        <v>1900</v>
      </c>
      <c r="C540" t="s">
        <v>1094</v>
      </c>
      <c r="D540" t="s">
        <v>942</v>
      </c>
      <c r="E540" s="75">
        <v>0.20833333333333334</v>
      </c>
      <c r="F540" s="75">
        <v>0.22222222222222221</v>
      </c>
      <c r="J540" t="s">
        <v>1356</v>
      </c>
    </row>
    <row r="541" spans="1:10" x14ac:dyDescent="0.6">
      <c r="A541" t="s">
        <v>1355</v>
      </c>
      <c r="B541" s="76">
        <v>1900</v>
      </c>
      <c r="C541" t="s">
        <v>1357</v>
      </c>
      <c r="D541" t="s">
        <v>5</v>
      </c>
      <c r="E541" s="75">
        <v>0.2361111111111111</v>
      </c>
      <c r="F541" s="75">
        <v>0.25</v>
      </c>
      <c r="H541">
        <v>20</v>
      </c>
      <c r="I541" t="s">
        <v>1358</v>
      </c>
      <c r="J541" t="s">
        <v>1356</v>
      </c>
    </row>
    <row r="542" spans="1:10" x14ac:dyDescent="0.6">
      <c r="A542" t="s">
        <v>1355</v>
      </c>
      <c r="B542" s="76">
        <v>1900</v>
      </c>
      <c r="C542" t="s">
        <v>21</v>
      </c>
      <c r="D542" t="s">
        <v>5</v>
      </c>
      <c r="E542" s="75">
        <v>0.25347222222222221</v>
      </c>
      <c r="F542" s="75">
        <v>0.2638888888888889</v>
      </c>
      <c r="H542">
        <v>5</v>
      </c>
      <c r="I542">
        <v>0</v>
      </c>
      <c r="J542" t="s">
        <v>1356</v>
      </c>
    </row>
    <row r="543" spans="1:10" x14ac:dyDescent="0.6">
      <c r="A543" t="s">
        <v>1359</v>
      </c>
      <c r="B543" s="76">
        <v>1900</v>
      </c>
      <c r="C543" t="s">
        <v>1094</v>
      </c>
      <c r="D543" t="s">
        <v>942</v>
      </c>
      <c r="E543" s="75">
        <v>0.44444444444444442</v>
      </c>
      <c r="F543" s="75">
        <v>0.45833333333333331</v>
      </c>
      <c r="I543" t="s">
        <v>972</v>
      </c>
    </row>
    <row r="544" spans="1:10" x14ac:dyDescent="0.6">
      <c r="A544" t="s">
        <v>1359</v>
      </c>
      <c r="B544" s="76">
        <v>1900</v>
      </c>
      <c r="C544" t="s">
        <v>25</v>
      </c>
      <c r="D544" t="s">
        <v>5</v>
      </c>
      <c r="E544" s="75">
        <v>0.55902777777777779</v>
      </c>
      <c r="F544" s="75">
        <v>0.56944444444444442</v>
      </c>
      <c r="G544" s="75">
        <v>0.10069444444444445</v>
      </c>
      <c r="H544" t="s">
        <v>1215</v>
      </c>
      <c r="I544" t="s">
        <v>972</v>
      </c>
    </row>
    <row r="545" spans="1:9" x14ac:dyDescent="0.6">
      <c r="A545" t="s">
        <v>1359</v>
      </c>
      <c r="B545" s="76">
        <v>1900</v>
      </c>
      <c r="C545" t="s">
        <v>26</v>
      </c>
      <c r="D545" t="s">
        <v>1092</v>
      </c>
      <c r="E545" s="75">
        <v>0.60416666666666663</v>
      </c>
      <c r="F545" s="75">
        <v>0.75</v>
      </c>
      <c r="G545" s="75">
        <v>0.14583333333333334</v>
      </c>
      <c r="H545" t="s">
        <v>1360</v>
      </c>
      <c r="I545" t="s">
        <v>972</v>
      </c>
    </row>
    <row r="546" spans="1:9" x14ac:dyDescent="0.6">
      <c r="A546" t="s">
        <v>1359</v>
      </c>
      <c r="B546" s="76">
        <v>1900</v>
      </c>
      <c r="C546" t="s">
        <v>25</v>
      </c>
      <c r="D546" t="s">
        <v>137</v>
      </c>
      <c r="E546" s="75">
        <v>0.78472222222222221</v>
      </c>
      <c r="F546" s="75">
        <v>0.79166666666666663</v>
      </c>
      <c r="H546" t="s">
        <v>1361</v>
      </c>
      <c r="I546" t="s">
        <v>972</v>
      </c>
    </row>
    <row r="547" spans="1:9" x14ac:dyDescent="0.6">
      <c r="A547" t="s">
        <v>1359</v>
      </c>
      <c r="B547" s="76">
        <v>1900</v>
      </c>
      <c r="C547" t="s">
        <v>78</v>
      </c>
      <c r="D547" t="s">
        <v>137</v>
      </c>
      <c r="E547" s="75">
        <v>0.85416666666666663</v>
      </c>
      <c r="F547" s="75">
        <v>0.86805555555555558</v>
      </c>
      <c r="H547" t="s">
        <v>1362</v>
      </c>
      <c r="I547" t="s">
        <v>972</v>
      </c>
    </row>
    <row r="548" spans="1:9" x14ac:dyDescent="0.6">
      <c r="A548" t="s">
        <v>1359</v>
      </c>
      <c r="B548" s="76">
        <v>1900</v>
      </c>
      <c r="C548" t="s">
        <v>941</v>
      </c>
      <c r="D548" t="s">
        <v>942</v>
      </c>
      <c r="E548" s="75">
        <v>0.93402777777777779</v>
      </c>
      <c r="F548" s="75">
        <v>0.94791666666666663</v>
      </c>
      <c r="G548" s="75">
        <v>6.5972222222222224E-2</v>
      </c>
      <c r="H548" t="s">
        <v>1363</v>
      </c>
      <c r="I548" t="s">
        <v>972</v>
      </c>
    </row>
    <row r="549" spans="1:9" x14ac:dyDescent="0.6">
      <c r="A549" t="s">
        <v>1364</v>
      </c>
      <c r="B549" s="76">
        <v>1900</v>
      </c>
      <c r="C549" t="s">
        <v>1094</v>
      </c>
      <c r="D549" t="s">
        <v>942</v>
      </c>
      <c r="E549" s="75">
        <v>0.49305555555555558</v>
      </c>
      <c r="F549" s="75">
        <v>0.50694444444444442</v>
      </c>
      <c r="I549" t="s">
        <v>967</v>
      </c>
    </row>
    <row r="550" spans="1:9" x14ac:dyDescent="0.6">
      <c r="A550" t="s">
        <v>1364</v>
      </c>
      <c r="B550" s="76">
        <v>1900</v>
      </c>
      <c r="C550" t="s">
        <v>76</v>
      </c>
      <c r="D550" t="s">
        <v>5</v>
      </c>
      <c r="E550" s="75">
        <v>0.54513888888888884</v>
      </c>
      <c r="F550" s="75">
        <v>0.55208333333333337</v>
      </c>
      <c r="H550" t="s">
        <v>1217</v>
      </c>
      <c r="I550" t="s">
        <v>967</v>
      </c>
    </row>
    <row r="551" spans="1:9" x14ac:dyDescent="0.6">
      <c r="A551" t="s">
        <v>1364</v>
      </c>
      <c r="B551" s="76">
        <v>1900</v>
      </c>
      <c r="C551" t="s">
        <v>74</v>
      </c>
      <c r="D551" t="s">
        <v>1092</v>
      </c>
      <c r="E551" s="75">
        <v>0.55902777777777779</v>
      </c>
      <c r="F551" s="75">
        <v>0.56944444444444442</v>
      </c>
      <c r="H551" t="s">
        <v>976</v>
      </c>
      <c r="I551" t="s">
        <v>967</v>
      </c>
    </row>
    <row r="552" spans="1:9" x14ac:dyDescent="0.6">
      <c r="A552" t="s">
        <v>1364</v>
      </c>
      <c r="B552" s="76">
        <v>1900</v>
      </c>
      <c r="C552" t="s">
        <v>75</v>
      </c>
      <c r="D552" t="s">
        <v>1092</v>
      </c>
      <c r="E552" s="75">
        <v>0.57986111111111116</v>
      </c>
      <c r="F552" s="75">
        <v>0.59375</v>
      </c>
      <c r="H552" t="s">
        <v>1365</v>
      </c>
      <c r="I552" t="s">
        <v>967</v>
      </c>
    </row>
    <row r="553" spans="1:9" x14ac:dyDescent="0.6">
      <c r="A553" t="s">
        <v>1364</v>
      </c>
      <c r="B553" s="76">
        <v>1900</v>
      </c>
      <c r="C553" t="s">
        <v>941</v>
      </c>
      <c r="D553" t="s">
        <v>942</v>
      </c>
      <c r="E553" s="75">
        <v>0.65625</v>
      </c>
      <c r="F553" s="75">
        <v>0.67013888888888884</v>
      </c>
      <c r="H553" t="s">
        <v>1366</v>
      </c>
      <c r="I553" t="s">
        <v>967</v>
      </c>
    </row>
    <row r="554" spans="1:9" x14ac:dyDescent="0.6">
      <c r="A554" t="s">
        <v>1367</v>
      </c>
      <c r="B554" s="76">
        <v>1900</v>
      </c>
      <c r="C554" t="s">
        <v>1094</v>
      </c>
      <c r="D554" t="s">
        <v>942</v>
      </c>
      <c r="E554" s="75">
        <v>0.49305555555555558</v>
      </c>
      <c r="F554" s="75">
        <v>0.50694444444444442</v>
      </c>
      <c r="I554" t="s">
        <v>967</v>
      </c>
    </row>
    <row r="555" spans="1:9" x14ac:dyDescent="0.6">
      <c r="A555" t="s">
        <v>1367</v>
      </c>
      <c r="B555" s="76">
        <v>1900</v>
      </c>
      <c r="C555" t="s">
        <v>91</v>
      </c>
      <c r="D555" t="s">
        <v>5</v>
      </c>
      <c r="E555" s="75">
        <v>0.54861111111111116</v>
      </c>
      <c r="F555" s="75">
        <v>0.55555555555555558</v>
      </c>
      <c r="H555" t="s">
        <v>1220</v>
      </c>
      <c r="I555" t="s">
        <v>967</v>
      </c>
    </row>
    <row r="556" spans="1:9" x14ac:dyDescent="0.6">
      <c r="A556" t="s">
        <v>1367</v>
      </c>
      <c r="B556" s="76">
        <v>1900</v>
      </c>
      <c r="C556" t="s">
        <v>83</v>
      </c>
      <c r="D556" t="s">
        <v>1092</v>
      </c>
      <c r="E556" s="75">
        <v>0.57291666666666663</v>
      </c>
      <c r="F556" s="75">
        <v>0.58333333333333337</v>
      </c>
      <c r="H556" t="s">
        <v>1101</v>
      </c>
      <c r="I556" t="s">
        <v>967</v>
      </c>
    </row>
    <row r="557" spans="1:9" x14ac:dyDescent="0.6">
      <c r="A557" t="s">
        <v>1367</v>
      </c>
      <c r="B557" s="76">
        <v>1900</v>
      </c>
      <c r="C557" t="s">
        <v>85</v>
      </c>
      <c r="D557" t="s">
        <v>1092</v>
      </c>
      <c r="E557" s="75">
        <v>0.58680555555555558</v>
      </c>
      <c r="F557" s="75">
        <v>0.59722222222222221</v>
      </c>
      <c r="H557">
        <v>0</v>
      </c>
      <c r="I557" t="s">
        <v>967</v>
      </c>
    </row>
    <row r="558" spans="1:9" x14ac:dyDescent="0.6">
      <c r="A558" t="s">
        <v>1367</v>
      </c>
      <c r="B558" s="76">
        <v>1900</v>
      </c>
      <c r="C558" t="s">
        <v>91</v>
      </c>
      <c r="D558" t="s">
        <v>137</v>
      </c>
      <c r="E558" s="75">
        <v>0.61458333333333337</v>
      </c>
      <c r="F558" s="75">
        <v>0.625</v>
      </c>
      <c r="H558" t="s">
        <v>1101</v>
      </c>
      <c r="I558" t="s">
        <v>967</v>
      </c>
    </row>
    <row r="559" spans="1:9" x14ac:dyDescent="0.6">
      <c r="A559" t="s">
        <v>1367</v>
      </c>
      <c r="B559" s="76">
        <v>1900</v>
      </c>
      <c r="C559" t="s">
        <v>941</v>
      </c>
      <c r="D559" t="s">
        <v>942</v>
      </c>
      <c r="E559" s="75">
        <v>0.68402777777777779</v>
      </c>
      <c r="F559" s="75">
        <v>0.69791666666666663</v>
      </c>
      <c r="H559" t="s">
        <v>1368</v>
      </c>
      <c r="I559" t="s">
        <v>967</v>
      </c>
    </row>
    <row r="560" spans="1:9" x14ac:dyDescent="0.6">
      <c r="A560" t="s">
        <v>1369</v>
      </c>
      <c r="B560" s="76">
        <v>1900</v>
      </c>
      <c r="C560" t="s">
        <v>1094</v>
      </c>
      <c r="D560" t="s">
        <v>942</v>
      </c>
      <c r="E560" s="75">
        <v>0.49305555555555558</v>
      </c>
      <c r="F560" s="75">
        <v>0.50694444444444442</v>
      </c>
      <c r="I560" t="s">
        <v>967</v>
      </c>
    </row>
    <row r="561" spans="1:9" x14ac:dyDescent="0.6">
      <c r="A561" t="s">
        <v>1369</v>
      </c>
      <c r="B561" s="76">
        <v>1900</v>
      </c>
      <c r="C561" t="s">
        <v>78</v>
      </c>
      <c r="D561" t="s">
        <v>5</v>
      </c>
      <c r="E561" s="75">
        <v>0.54861111111111116</v>
      </c>
      <c r="F561" s="75">
        <v>0.55555555555555558</v>
      </c>
      <c r="H561" t="s">
        <v>1370</v>
      </c>
      <c r="I561" t="s">
        <v>967</v>
      </c>
    </row>
    <row r="562" spans="1:9" x14ac:dyDescent="0.6">
      <c r="A562" t="s">
        <v>1369</v>
      </c>
      <c r="B562" s="76">
        <v>1900</v>
      </c>
      <c r="C562" t="s">
        <v>77</v>
      </c>
      <c r="D562" t="s">
        <v>5</v>
      </c>
      <c r="E562" s="75">
        <v>0.5625</v>
      </c>
      <c r="F562" s="75">
        <v>0.56944444444444442</v>
      </c>
      <c r="H562" t="s">
        <v>970</v>
      </c>
      <c r="I562" t="s">
        <v>967</v>
      </c>
    </row>
    <row r="563" spans="1:9" x14ac:dyDescent="0.6">
      <c r="A563" t="s">
        <v>1369</v>
      </c>
      <c r="B563" s="76">
        <v>1900</v>
      </c>
      <c r="C563" t="s">
        <v>35</v>
      </c>
      <c r="D563" t="s">
        <v>1092</v>
      </c>
      <c r="E563" s="75">
        <v>0.58333333333333337</v>
      </c>
      <c r="F563" s="75">
        <v>0.59375</v>
      </c>
      <c r="H563" t="s">
        <v>1371</v>
      </c>
      <c r="I563" t="s">
        <v>967</v>
      </c>
    </row>
    <row r="564" spans="1:9" x14ac:dyDescent="0.6">
      <c r="A564" t="s">
        <v>1369</v>
      </c>
      <c r="B564" s="76">
        <v>1900</v>
      </c>
      <c r="C564" t="s">
        <v>78</v>
      </c>
      <c r="D564" t="s">
        <v>137</v>
      </c>
      <c r="E564" s="75">
        <v>0.61111111111111116</v>
      </c>
      <c r="F564" s="75">
        <v>0.62152777777777779</v>
      </c>
      <c r="H564" t="s">
        <v>1372</v>
      </c>
      <c r="I564" t="s">
        <v>967</v>
      </c>
    </row>
    <row r="565" spans="1:9" x14ac:dyDescent="0.6">
      <c r="A565" t="s">
        <v>1369</v>
      </c>
      <c r="B565" s="76">
        <v>1900</v>
      </c>
      <c r="C565" t="s">
        <v>941</v>
      </c>
      <c r="D565" t="s">
        <v>942</v>
      </c>
      <c r="E565" s="75">
        <v>0.6875</v>
      </c>
      <c r="F565" s="75">
        <v>0.70138888888888884</v>
      </c>
      <c r="H565" t="s">
        <v>1363</v>
      </c>
      <c r="I565" t="s">
        <v>967</v>
      </c>
    </row>
    <row r="566" spans="1:9" x14ac:dyDescent="0.6">
      <c r="A566" t="s">
        <v>1373</v>
      </c>
      <c r="B566" s="76">
        <v>1900</v>
      </c>
      <c r="C566" t="s">
        <v>1094</v>
      </c>
      <c r="D566" t="s">
        <v>942</v>
      </c>
      <c r="E566" s="75">
        <v>0.49305555555555558</v>
      </c>
      <c r="F566" s="75">
        <v>0.50694444444444442</v>
      </c>
      <c r="I566" t="s">
        <v>967</v>
      </c>
    </row>
    <row r="567" spans="1:9" x14ac:dyDescent="0.6">
      <c r="A567" t="s">
        <v>1373</v>
      </c>
      <c r="B567" s="76">
        <v>1900</v>
      </c>
      <c r="C567" t="s">
        <v>20</v>
      </c>
      <c r="D567" t="s">
        <v>5</v>
      </c>
      <c r="E567" s="75">
        <v>0.54513888888888884</v>
      </c>
      <c r="F567" s="75">
        <v>0.55208333333333337</v>
      </c>
      <c r="H567" t="s">
        <v>1222</v>
      </c>
      <c r="I567" t="s">
        <v>967</v>
      </c>
    </row>
    <row r="568" spans="1:9" x14ac:dyDescent="0.6">
      <c r="A568" t="s">
        <v>1373</v>
      </c>
      <c r="B568" s="76">
        <v>1900</v>
      </c>
      <c r="C568" t="s">
        <v>16</v>
      </c>
      <c r="D568" t="s">
        <v>1092</v>
      </c>
      <c r="E568" s="75">
        <v>0.56944444444444442</v>
      </c>
      <c r="F568" s="75">
        <v>0.57986111111111116</v>
      </c>
      <c r="H568" t="s">
        <v>954</v>
      </c>
      <c r="I568" t="s">
        <v>967</v>
      </c>
    </row>
    <row r="569" spans="1:9" x14ac:dyDescent="0.6">
      <c r="A569" t="s">
        <v>1373</v>
      </c>
      <c r="B569" s="76">
        <v>1900</v>
      </c>
      <c r="C569" t="s">
        <v>20</v>
      </c>
      <c r="D569" t="s">
        <v>137</v>
      </c>
      <c r="E569" s="75">
        <v>0.59375</v>
      </c>
      <c r="F569" s="75">
        <v>0.60069444444444442</v>
      </c>
      <c r="H569" t="s">
        <v>1374</v>
      </c>
      <c r="I569" t="s">
        <v>967</v>
      </c>
    </row>
    <row r="570" spans="1:9" x14ac:dyDescent="0.6">
      <c r="A570" t="s">
        <v>1373</v>
      </c>
      <c r="B570" s="76">
        <v>1900</v>
      </c>
      <c r="C570" t="s">
        <v>941</v>
      </c>
      <c r="D570" t="s">
        <v>942</v>
      </c>
      <c r="E570" s="75">
        <v>0.65625</v>
      </c>
      <c r="F570" s="75">
        <v>0.67013888888888884</v>
      </c>
      <c r="H570" t="s">
        <v>1375</v>
      </c>
      <c r="I570" t="s">
        <v>967</v>
      </c>
    </row>
    <row r="571" spans="1:9" x14ac:dyDescent="0.6">
      <c r="A571" t="s">
        <v>1376</v>
      </c>
      <c r="B571" s="76">
        <v>1900</v>
      </c>
      <c r="C571" t="s">
        <v>1094</v>
      </c>
      <c r="D571" t="s">
        <v>942</v>
      </c>
      <c r="E571" s="75">
        <v>0.49305555555555558</v>
      </c>
      <c r="F571" s="75">
        <v>0.50694444444444442</v>
      </c>
      <c r="I571" t="s">
        <v>967</v>
      </c>
    </row>
    <row r="572" spans="1:9" x14ac:dyDescent="0.6">
      <c r="A572" t="s">
        <v>1376</v>
      </c>
      <c r="B572" s="76">
        <v>1900</v>
      </c>
      <c r="C572" t="s">
        <v>37</v>
      </c>
      <c r="D572" t="s">
        <v>5</v>
      </c>
      <c r="E572" s="75">
        <v>0.54861111111111116</v>
      </c>
      <c r="F572" s="75">
        <v>0.55902777777777779</v>
      </c>
      <c r="H572" t="s">
        <v>1226</v>
      </c>
      <c r="I572" t="s">
        <v>967</v>
      </c>
    </row>
    <row r="573" spans="1:9" x14ac:dyDescent="0.6">
      <c r="A573" t="s">
        <v>1376</v>
      </c>
      <c r="B573" s="76">
        <v>1900</v>
      </c>
      <c r="C573" t="s">
        <v>36</v>
      </c>
      <c r="D573" t="s">
        <v>1092</v>
      </c>
      <c r="E573" s="75">
        <v>0.56597222222222221</v>
      </c>
      <c r="F573" s="75">
        <v>0.57638888888888884</v>
      </c>
      <c r="H573" t="s">
        <v>945</v>
      </c>
      <c r="I573" t="s">
        <v>967</v>
      </c>
    </row>
    <row r="574" spans="1:9" x14ac:dyDescent="0.6">
      <c r="A574" t="s">
        <v>1376</v>
      </c>
      <c r="B574" s="76">
        <v>1900</v>
      </c>
      <c r="C574" t="s">
        <v>946</v>
      </c>
      <c r="D574" t="s">
        <v>1092</v>
      </c>
      <c r="E574" s="75">
        <v>0.56597222222222221</v>
      </c>
      <c r="F574" s="75">
        <v>0.57638888888888884</v>
      </c>
      <c r="G574" t="s">
        <v>947</v>
      </c>
      <c r="H574" t="s">
        <v>948</v>
      </c>
    </row>
    <row r="575" spans="1:9" x14ac:dyDescent="0.6">
      <c r="A575" t="s">
        <v>1376</v>
      </c>
      <c r="B575" s="76">
        <v>1900</v>
      </c>
      <c r="C575" t="s">
        <v>37</v>
      </c>
      <c r="D575" t="s">
        <v>137</v>
      </c>
      <c r="E575" s="75">
        <v>0.59027777777777779</v>
      </c>
      <c r="F575" s="75">
        <v>0.59722222222222221</v>
      </c>
      <c r="H575" t="s">
        <v>945</v>
      </c>
      <c r="I575" t="s">
        <v>967</v>
      </c>
    </row>
    <row r="576" spans="1:9" x14ac:dyDescent="0.6">
      <c r="A576" t="s">
        <v>1376</v>
      </c>
      <c r="B576" s="76">
        <v>1900</v>
      </c>
      <c r="C576" t="s">
        <v>78</v>
      </c>
      <c r="D576" t="s">
        <v>137</v>
      </c>
      <c r="E576" s="75">
        <v>0.61458333333333337</v>
      </c>
      <c r="F576" s="75">
        <v>0.625</v>
      </c>
      <c r="H576" t="s">
        <v>1377</v>
      </c>
      <c r="I576" t="s">
        <v>967</v>
      </c>
    </row>
    <row r="577" spans="1:9" x14ac:dyDescent="0.6">
      <c r="A577" t="s">
        <v>1376</v>
      </c>
      <c r="B577" s="76">
        <v>1900</v>
      </c>
      <c r="C577" t="s">
        <v>941</v>
      </c>
      <c r="D577" t="s">
        <v>942</v>
      </c>
      <c r="E577" s="75">
        <v>0.69097222222222221</v>
      </c>
      <c r="F577" s="75">
        <v>0.70486111111111116</v>
      </c>
      <c r="H577" t="s">
        <v>1363</v>
      </c>
      <c r="I577" t="s">
        <v>967</v>
      </c>
    </row>
    <row r="578" spans="1:9" x14ac:dyDescent="0.6">
      <c r="A578" t="s">
        <v>1378</v>
      </c>
      <c r="B578" s="76">
        <v>1900</v>
      </c>
      <c r="C578" t="s">
        <v>1094</v>
      </c>
      <c r="D578" t="s">
        <v>942</v>
      </c>
      <c r="E578" s="75">
        <v>0.49305555555555558</v>
      </c>
      <c r="F578" s="75">
        <v>0.50694444444444442</v>
      </c>
      <c r="I578" t="s">
        <v>967</v>
      </c>
    </row>
    <row r="579" spans="1:9" x14ac:dyDescent="0.6">
      <c r="A579" t="s">
        <v>1378</v>
      </c>
      <c r="B579" s="76">
        <v>1900</v>
      </c>
      <c r="C579" t="s">
        <v>29</v>
      </c>
      <c r="D579" t="s">
        <v>5</v>
      </c>
      <c r="E579" s="75">
        <v>0.54166666666666663</v>
      </c>
      <c r="F579" s="75">
        <v>0.55208333333333337</v>
      </c>
      <c r="H579" t="s">
        <v>1287</v>
      </c>
      <c r="I579" t="s">
        <v>967</v>
      </c>
    </row>
    <row r="580" spans="1:9" x14ac:dyDescent="0.6">
      <c r="A580" t="s">
        <v>1378</v>
      </c>
      <c r="B580" s="76">
        <v>1900</v>
      </c>
      <c r="C580" t="s">
        <v>30</v>
      </c>
      <c r="D580" t="s">
        <v>1092</v>
      </c>
      <c r="E580" s="75">
        <v>0.56944444444444442</v>
      </c>
      <c r="F580" s="75">
        <v>0.57986111111111116</v>
      </c>
      <c r="H580" t="s">
        <v>1049</v>
      </c>
      <c r="I580" t="s">
        <v>967</v>
      </c>
    </row>
    <row r="581" spans="1:9" x14ac:dyDescent="0.6">
      <c r="A581" t="s">
        <v>1378</v>
      </c>
      <c r="B581" s="76">
        <v>1900</v>
      </c>
      <c r="C581" t="s">
        <v>29</v>
      </c>
      <c r="D581" t="s">
        <v>137</v>
      </c>
      <c r="E581" s="75">
        <v>0.59722222222222221</v>
      </c>
      <c r="F581" s="75">
        <v>0.60763888888888884</v>
      </c>
      <c r="H581" t="s">
        <v>1049</v>
      </c>
      <c r="I581" t="s">
        <v>967</v>
      </c>
    </row>
    <row r="582" spans="1:9" x14ac:dyDescent="0.6">
      <c r="A582" t="s">
        <v>1378</v>
      </c>
      <c r="B582" s="76">
        <v>1900</v>
      </c>
      <c r="C582" t="s">
        <v>941</v>
      </c>
      <c r="D582" t="s">
        <v>942</v>
      </c>
      <c r="E582" s="75">
        <v>0.63541666666666663</v>
      </c>
      <c r="F582" s="75">
        <v>0.64930555555555558</v>
      </c>
      <c r="G582" s="75">
        <v>2.7777777777777776E-2</v>
      </c>
      <c r="H582" t="s">
        <v>1379</v>
      </c>
      <c r="I582" t="s">
        <v>967</v>
      </c>
    </row>
    <row r="583" spans="1:9" x14ac:dyDescent="0.6">
      <c r="A583" t="s">
        <v>1380</v>
      </c>
      <c r="B583" s="76">
        <v>1900</v>
      </c>
      <c r="C583" t="s">
        <v>1094</v>
      </c>
      <c r="D583" t="s">
        <v>942</v>
      </c>
      <c r="E583" s="75">
        <v>0.49305555555555558</v>
      </c>
      <c r="F583" s="75">
        <v>0.50694444444444442</v>
      </c>
      <c r="I583" t="s">
        <v>967</v>
      </c>
    </row>
    <row r="584" spans="1:9" x14ac:dyDescent="0.6">
      <c r="A584" t="s">
        <v>1380</v>
      </c>
      <c r="B584" s="76">
        <v>1900</v>
      </c>
      <c r="C584" t="s">
        <v>63</v>
      </c>
      <c r="D584" t="s">
        <v>1092</v>
      </c>
      <c r="E584" s="75">
        <v>0.54166666666666663</v>
      </c>
      <c r="F584" s="75">
        <v>0.55208333333333337</v>
      </c>
      <c r="H584" t="s">
        <v>1249</v>
      </c>
      <c r="I584" t="s">
        <v>967</v>
      </c>
    </row>
    <row r="585" spans="1:9" x14ac:dyDescent="0.6">
      <c r="A585" t="s">
        <v>1380</v>
      </c>
      <c r="B585" s="76">
        <v>1900</v>
      </c>
      <c r="C585" t="s">
        <v>61</v>
      </c>
      <c r="D585" t="s">
        <v>1092</v>
      </c>
      <c r="E585" s="75">
        <v>0.55902777777777779</v>
      </c>
      <c r="F585" s="75">
        <v>0.56944444444444442</v>
      </c>
      <c r="H585" t="s">
        <v>1250</v>
      </c>
      <c r="I585" t="s">
        <v>967</v>
      </c>
    </row>
    <row r="586" spans="1:9" x14ac:dyDescent="0.6">
      <c r="A586" t="s">
        <v>1380</v>
      </c>
      <c r="B586" s="76">
        <v>1900</v>
      </c>
      <c r="C586" t="s">
        <v>64</v>
      </c>
      <c r="D586" t="s">
        <v>1092</v>
      </c>
      <c r="E586" s="75">
        <v>0.57638888888888884</v>
      </c>
      <c r="F586" s="75">
        <v>0.58680555555555558</v>
      </c>
      <c r="H586" t="s">
        <v>979</v>
      </c>
      <c r="I586" t="s">
        <v>967</v>
      </c>
    </row>
    <row r="587" spans="1:9" x14ac:dyDescent="0.6">
      <c r="A587" t="s">
        <v>1380</v>
      </c>
      <c r="B587" s="76">
        <v>1900</v>
      </c>
      <c r="C587" t="s">
        <v>941</v>
      </c>
      <c r="D587" t="s">
        <v>942</v>
      </c>
      <c r="E587" s="75">
        <v>0.64583333333333337</v>
      </c>
      <c r="F587" s="75">
        <v>0.65972222222222221</v>
      </c>
      <c r="H587" t="s">
        <v>1381</v>
      </c>
      <c r="I587" t="s">
        <v>967</v>
      </c>
    </row>
    <row r="588" spans="1:9" x14ac:dyDescent="0.6">
      <c r="A588" t="s">
        <v>1382</v>
      </c>
      <c r="B588" s="76">
        <v>1900</v>
      </c>
      <c r="C588" t="s">
        <v>1094</v>
      </c>
      <c r="D588" t="s">
        <v>942</v>
      </c>
      <c r="E588" s="75">
        <v>0.49305555555555558</v>
      </c>
      <c r="F588" s="75">
        <v>0.50694444444444442</v>
      </c>
      <c r="I588" t="s">
        <v>967</v>
      </c>
    </row>
    <row r="589" spans="1:9" x14ac:dyDescent="0.6">
      <c r="A589" t="s">
        <v>1382</v>
      </c>
      <c r="B589" s="76">
        <v>1900</v>
      </c>
      <c r="C589" t="s">
        <v>23</v>
      </c>
      <c r="D589" t="s">
        <v>5</v>
      </c>
      <c r="E589" s="75">
        <v>0.52777777777777779</v>
      </c>
      <c r="F589" s="75">
        <v>0.53472222222222221</v>
      </c>
      <c r="H589" t="s">
        <v>1275</v>
      </c>
      <c r="I589" t="s">
        <v>967</v>
      </c>
    </row>
    <row r="590" spans="1:9" x14ac:dyDescent="0.6">
      <c r="A590" t="s">
        <v>1382</v>
      </c>
      <c r="B590" s="76">
        <v>1900</v>
      </c>
      <c r="C590" t="s">
        <v>18</v>
      </c>
      <c r="D590" t="s">
        <v>5</v>
      </c>
      <c r="E590" s="75">
        <v>0.54861111111111116</v>
      </c>
      <c r="F590" s="75">
        <v>0.55555555555555558</v>
      </c>
      <c r="H590" t="s">
        <v>1383</v>
      </c>
      <c r="I590" t="s">
        <v>967</v>
      </c>
    </row>
    <row r="591" spans="1:9" x14ac:dyDescent="0.6">
      <c r="A591" t="s">
        <v>1382</v>
      </c>
      <c r="B591" s="76">
        <v>1900</v>
      </c>
      <c r="C591" t="s">
        <v>19</v>
      </c>
      <c r="D591" t="s">
        <v>1092</v>
      </c>
      <c r="E591" s="75">
        <v>0.56944444444444442</v>
      </c>
      <c r="F591" s="75">
        <v>0.58333333333333337</v>
      </c>
      <c r="H591" t="s">
        <v>1051</v>
      </c>
      <c r="I591" t="s">
        <v>967</v>
      </c>
    </row>
    <row r="592" spans="1:9" x14ac:dyDescent="0.6">
      <c r="A592" t="s">
        <v>1382</v>
      </c>
      <c r="B592" s="76">
        <v>1900</v>
      </c>
      <c r="C592" t="s">
        <v>18</v>
      </c>
      <c r="D592" t="s">
        <v>137</v>
      </c>
      <c r="E592" s="75">
        <v>0.59722222222222221</v>
      </c>
      <c r="F592" s="75">
        <v>0.60416666666666663</v>
      </c>
      <c r="H592" t="s">
        <v>1051</v>
      </c>
      <c r="I592" t="s">
        <v>967</v>
      </c>
    </row>
    <row r="593" spans="1:9" x14ac:dyDescent="0.6">
      <c r="A593" t="s">
        <v>1382</v>
      </c>
      <c r="B593" s="76">
        <v>1900</v>
      </c>
      <c r="C593" t="s">
        <v>941</v>
      </c>
      <c r="D593" t="s">
        <v>942</v>
      </c>
      <c r="E593" s="75">
        <v>0.64583333333333337</v>
      </c>
      <c r="F593" s="75">
        <v>0.65972222222222221</v>
      </c>
      <c r="H593" t="s">
        <v>1384</v>
      </c>
      <c r="I593" t="s">
        <v>967</v>
      </c>
    </row>
    <row r="594" spans="1:9" x14ac:dyDescent="0.6">
      <c r="A594" t="s">
        <v>1385</v>
      </c>
      <c r="B594" s="76">
        <v>1900</v>
      </c>
      <c r="C594" t="s">
        <v>1094</v>
      </c>
      <c r="D594" t="s">
        <v>942</v>
      </c>
      <c r="E594" s="75">
        <v>0.49305555555555558</v>
      </c>
      <c r="F594" s="75">
        <v>0.50694444444444442</v>
      </c>
      <c r="I594" t="s">
        <v>956</v>
      </c>
    </row>
    <row r="595" spans="1:9" x14ac:dyDescent="0.6">
      <c r="A595" t="s">
        <v>1385</v>
      </c>
      <c r="B595" s="76">
        <v>1900</v>
      </c>
      <c r="C595" t="s">
        <v>62</v>
      </c>
      <c r="D595" t="s">
        <v>1092</v>
      </c>
      <c r="E595" s="75">
        <v>0.54166666666666663</v>
      </c>
      <c r="F595" s="75">
        <v>0.55208333333333337</v>
      </c>
      <c r="H595" t="s">
        <v>1249</v>
      </c>
      <c r="I595" t="s">
        <v>956</v>
      </c>
    </row>
    <row r="596" spans="1:9" x14ac:dyDescent="0.6">
      <c r="A596" t="s">
        <v>1385</v>
      </c>
      <c r="B596" s="76">
        <v>1900</v>
      </c>
      <c r="C596" t="s">
        <v>60</v>
      </c>
      <c r="D596" t="s">
        <v>1092</v>
      </c>
      <c r="E596" s="75">
        <v>0.56597222222222221</v>
      </c>
      <c r="F596" s="75">
        <v>0.57986111111111116</v>
      </c>
      <c r="H596" t="s">
        <v>1386</v>
      </c>
      <c r="I596" t="s">
        <v>956</v>
      </c>
    </row>
    <row r="597" spans="1:9" x14ac:dyDescent="0.6">
      <c r="A597" t="s">
        <v>1385</v>
      </c>
      <c r="B597" s="76">
        <v>1900</v>
      </c>
      <c r="C597" t="s">
        <v>941</v>
      </c>
      <c r="D597" t="s">
        <v>942</v>
      </c>
      <c r="E597" s="75">
        <v>0.64583333333333337</v>
      </c>
      <c r="F597" s="75">
        <v>0.65972222222222221</v>
      </c>
      <c r="H597" t="s">
        <v>1387</v>
      </c>
      <c r="I597" t="s">
        <v>956</v>
      </c>
    </row>
    <row r="598" spans="1:9" x14ac:dyDescent="0.6">
      <c r="A598" t="s">
        <v>1388</v>
      </c>
      <c r="B598" s="76">
        <v>1900</v>
      </c>
      <c r="C598" t="s">
        <v>1094</v>
      </c>
      <c r="D598" t="s">
        <v>942</v>
      </c>
      <c r="E598" s="75">
        <v>0.49305555555555558</v>
      </c>
      <c r="F598" s="75">
        <v>0.50694444444444442</v>
      </c>
      <c r="I598" t="s">
        <v>951</v>
      </c>
    </row>
    <row r="599" spans="1:9" x14ac:dyDescent="0.6">
      <c r="A599" t="s">
        <v>1388</v>
      </c>
      <c r="B599" s="76">
        <v>1900</v>
      </c>
      <c r="C599" t="s">
        <v>102</v>
      </c>
      <c r="D599" t="s">
        <v>5</v>
      </c>
      <c r="E599" s="75">
        <v>0.53472222222222221</v>
      </c>
      <c r="F599" s="75">
        <v>0.54166666666666663</v>
      </c>
      <c r="H599" t="s">
        <v>1234</v>
      </c>
      <c r="I599" t="s">
        <v>951</v>
      </c>
    </row>
    <row r="600" spans="1:9" x14ac:dyDescent="0.6">
      <c r="A600" t="s">
        <v>1388</v>
      </c>
      <c r="B600" s="76">
        <v>1900</v>
      </c>
      <c r="C600" t="s">
        <v>104</v>
      </c>
      <c r="D600" t="s">
        <v>1092</v>
      </c>
      <c r="E600" s="75">
        <v>0.55208333333333337</v>
      </c>
      <c r="F600" s="75">
        <v>0.5625</v>
      </c>
      <c r="H600" t="s">
        <v>1235</v>
      </c>
      <c r="I600" t="s">
        <v>951</v>
      </c>
    </row>
    <row r="601" spans="1:9" x14ac:dyDescent="0.6">
      <c r="A601" t="s">
        <v>1388</v>
      </c>
      <c r="B601" s="76">
        <v>1900</v>
      </c>
      <c r="C601" t="s">
        <v>105</v>
      </c>
      <c r="D601" t="s">
        <v>1092</v>
      </c>
      <c r="E601" s="75">
        <v>0.57291666666666663</v>
      </c>
      <c r="F601" s="75">
        <v>0.58333333333333337</v>
      </c>
      <c r="H601" t="s">
        <v>989</v>
      </c>
      <c r="I601" t="s">
        <v>951</v>
      </c>
    </row>
    <row r="602" spans="1:9" x14ac:dyDescent="0.6">
      <c r="A602" t="s">
        <v>1388</v>
      </c>
      <c r="B602" s="76">
        <v>1900</v>
      </c>
      <c r="C602" t="s">
        <v>102</v>
      </c>
      <c r="D602" t="s">
        <v>137</v>
      </c>
      <c r="E602" s="75">
        <v>0.59722222222222221</v>
      </c>
      <c r="F602" s="75">
        <v>0.60763888888888884</v>
      </c>
      <c r="H602" t="s">
        <v>1389</v>
      </c>
      <c r="I602" t="s">
        <v>951</v>
      </c>
    </row>
    <row r="603" spans="1:9" x14ac:dyDescent="0.6">
      <c r="A603" t="s">
        <v>1388</v>
      </c>
      <c r="B603" s="76">
        <v>1900</v>
      </c>
      <c r="C603" t="s">
        <v>941</v>
      </c>
      <c r="D603" t="s">
        <v>942</v>
      </c>
      <c r="E603" s="75">
        <v>0.65625</v>
      </c>
      <c r="F603" s="75">
        <v>0.67013888888888884</v>
      </c>
      <c r="H603" t="s">
        <v>1390</v>
      </c>
      <c r="I603" t="s">
        <v>951</v>
      </c>
    </row>
    <row r="604" spans="1:9" x14ac:dyDescent="0.6">
      <c r="A604" t="s">
        <v>1391</v>
      </c>
      <c r="B604" s="76">
        <v>1900</v>
      </c>
      <c r="C604" t="s">
        <v>1094</v>
      </c>
      <c r="D604" t="s">
        <v>942</v>
      </c>
      <c r="E604" s="75">
        <v>0.49305555555555558</v>
      </c>
      <c r="F604" s="75">
        <v>0.50694444444444442</v>
      </c>
      <c r="I604" t="s">
        <v>961</v>
      </c>
    </row>
    <row r="605" spans="1:9" x14ac:dyDescent="0.6">
      <c r="A605" t="s">
        <v>1391</v>
      </c>
      <c r="B605" s="76">
        <v>1900</v>
      </c>
      <c r="C605" t="s">
        <v>32</v>
      </c>
      <c r="D605" t="s">
        <v>5</v>
      </c>
      <c r="E605" s="75">
        <v>0.52777777777777779</v>
      </c>
      <c r="F605" s="75">
        <v>0.53472222222222221</v>
      </c>
      <c r="H605" t="s">
        <v>1228</v>
      </c>
      <c r="I605" t="s">
        <v>961</v>
      </c>
    </row>
    <row r="606" spans="1:9" x14ac:dyDescent="0.6">
      <c r="A606" t="s">
        <v>1391</v>
      </c>
      <c r="B606" s="76">
        <v>1900</v>
      </c>
      <c r="C606" t="s">
        <v>28</v>
      </c>
      <c r="D606" t="s">
        <v>1092</v>
      </c>
      <c r="E606" s="75">
        <v>0.5625</v>
      </c>
      <c r="F606" s="75">
        <v>0.57986111111111116</v>
      </c>
      <c r="H606" t="s">
        <v>1264</v>
      </c>
      <c r="I606" t="s">
        <v>961</v>
      </c>
    </row>
    <row r="607" spans="1:9" x14ac:dyDescent="0.6">
      <c r="A607" t="s">
        <v>1391</v>
      </c>
      <c r="B607" s="76">
        <v>1900</v>
      </c>
      <c r="C607" t="s">
        <v>941</v>
      </c>
      <c r="D607" t="s">
        <v>942</v>
      </c>
      <c r="E607" s="75">
        <v>0.61458333333333337</v>
      </c>
      <c r="F607" s="75">
        <v>0.62847222222222221</v>
      </c>
      <c r="H607" t="s">
        <v>1392</v>
      </c>
      <c r="I607" t="s">
        <v>961</v>
      </c>
    </row>
    <row r="608" spans="1:9" x14ac:dyDescent="0.6">
      <c r="A608" t="s">
        <v>1393</v>
      </c>
      <c r="B608" s="76">
        <v>1900</v>
      </c>
      <c r="C608" t="s">
        <v>1094</v>
      </c>
      <c r="D608" t="s">
        <v>942</v>
      </c>
      <c r="E608" s="75">
        <v>0.49305555555555558</v>
      </c>
      <c r="F608" s="75">
        <v>0.50694444444444442</v>
      </c>
      <c r="I608" t="s">
        <v>956</v>
      </c>
    </row>
    <row r="609" spans="1:9" x14ac:dyDescent="0.6">
      <c r="A609" t="s">
        <v>1393</v>
      </c>
      <c r="B609" s="76">
        <v>1900</v>
      </c>
      <c r="C609" t="s">
        <v>84</v>
      </c>
      <c r="D609" t="s">
        <v>1092</v>
      </c>
      <c r="E609" s="75">
        <v>0.54861111111111116</v>
      </c>
      <c r="F609" s="75">
        <v>0.55902777777777779</v>
      </c>
      <c r="H609" t="s">
        <v>1237</v>
      </c>
      <c r="I609" t="s">
        <v>956</v>
      </c>
    </row>
    <row r="610" spans="1:9" x14ac:dyDescent="0.6">
      <c r="A610" t="s">
        <v>1393</v>
      </c>
      <c r="B610" s="76">
        <v>1900</v>
      </c>
      <c r="C610" t="s">
        <v>90</v>
      </c>
      <c r="D610" t="s">
        <v>1092</v>
      </c>
      <c r="E610" s="75">
        <v>0.56597222222222221</v>
      </c>
      <c r="F610" s="75">
        <v>0.57638888888888884</v>
      </c>
      <c r="H610" t="s">
        <v>959</v>
      </c>
      <c r="I610" t="s">
        <v>956</v>
      </c>
    </row>
    <row r="611" spans="1:9" x14ac:dyDescent="0.6">
      <c r="A611" t="s">
        <v>1393</v>
      </c>
      <c r="B611" s="76">
        <v>1900</v>
      </c>
      <c r="C611" t="s">
        <v>941</v>
      </c>
      <c r="D611" t="s">
        <v>942</v>
      </c>
      <c r="E611" s="75">
        <v>0.64236111111111116</v>
      </c>
      <c r="F611" s="75">
        <v>0.65625</v>
      </c>
      <c r="G611" s="75">
        <v>6.5972222222222224E-2</v>
      </c>
      <c r="H611" t="s">
        <v>1394</v>
      </c>
      <c r="I611" t="s">
        <v>956</v>
      </c>
    </row>
    <row r="612" spans="1:9" x14ac:dyDescent="0.6">
      <c r="A612" t="s">
        <v>1395</v>
      </c>
      <c r="B612" s="76">
        <v>1900</v>
      </c>
      <c r="C612" t="s">
        <v>1094</v>
      </c>
      <c r="D612" t="s">
        <v>942</v>
      </c>
      <c r="E612" s="75">
        <v>0.49305555555555558</v>
      </c>
      <c r="F612" s="75">
        <v>0.50694444444444442</v>
      </c>
      <c r="I612" t="s">
        <v>951</v>
      </c>
    </row>
    <row r="613" spans="1:9" x14ac:dyDescent="0.6">
      <c r="A613" t="s">
        <v>1395</v>
      </c>
      <c r="B613" s="76">
        <v>1900</v>
      </c>
      <c r="C613" t="s">
        <v>134</v>
      </c>
      <c r="D613" t="s">
        <v>5</v>
      </c>
      <c r="E613" s="75">
        <v>0.54166666666666663</v>
      </c>
      <c r="F613" s="75">
        <v>0.54861111111111116</v>
      </c>
      <c r="H613" t="s">
        <v>1071</v>
      </c>
      <c r="I613" t="s">
        <v>951</v>
      </c>
    </row>
    <row r="614" spans="1:9" x14ac:dyDescent="0.6">
      <c r="A614" t="s">
        <v>1395</v>
      </c>
      <c r="B614" s="76">
        <v>1900</v>
      </c>
      <c r="C614" t="s">
        <v>146</v>
      </c>
      <c r="D614" t="s">
        <v>1092</v>
      </c>
      <c r="E614" s="75">
        <v>0.55902777777777779</v>
      </c>
      <c r="F614" s="75">
        <v>0.57638888888888884</v>
      </c>
      <c r="H614" t="s">
        <v>1396</v>
      </c>
      <c r="I614" t="s">
        <v>951</v>
      </c>
    </row>
    <row r="615" spans="1:9" x14ac:dyDescent="0.6">
      <c r="A615" t="s">
        <v>1395</v>
      </c>
      <c r="B615" s="76">
        <v>1900</v>
      </c>
      <c r="C615" t="s">
        <v>941</v>
      </c>
      <c r="D615" t="s">
        <v>942</v>
      </c>
      <c r="E615" s="75">
        <v>0.62847222222222221</v>
      </c>
      <c r="F615" s="75">
        <v>0.62847222222222221</v>
      </c>
      <c r="H615" t="s">
        <v>1397</v>
      </c>
      <c r="I615" t="s">
        <v>951</v>
      </c>
    </row>
    <row r="616" spans="1:9" x14ac:dyDescent="0.6">
      <c r="A616" t="s">
        <v>1398</v>
      </c>
      <c r="B616" s="76">
        <v>1900</v>
      </c>
      <c r="C616" t="s">
        <v>1094</v>
      </c>
      <c r="D616" t="s">
        <v>942</v>
      </c>
      <c r="E616" s="75">
        <v>0.49305555555555558</v>
      </c>
      <c r="F616" s="75">
        <v>0.50694444444444442</v>
      </c>
      <c r="I616" t="s">
        <v>1005</v>
      </c>
    </row>
    <row r="617" spans="1:9" x14ac:dyDescent="0.6">
      <c r="A617" t="s">
        <v>1398</v>
      </c>
      <c r="B617" s="76">
        <v>1900</v>
      </c>
      <c r="C617" t="s">
        <v>43</v>
      </c>
      <c r="D617" t="s">
        <v>5</v>
      </c>
      <c r="E617" s="75">
        <v>0.53125</v>
      </c>
      <c r="F617" s="75">
        <v>0.54166666666666663</v>
      </c>
      <c r="H617" t="s">
        <v>1399</v>
      </c>
      <c r="I617" t="s">
        <v>1005</v>
      </c>
    </row>
    <row r="618" spans="1:9" x14ac:dyDescent="0.6">
      <c r="A618" t="s">
        <v>1398</v>
      </c>
      <c r="B618" s="76">
        <v>1900</v>
      </c>
      <c r="C618" t="s">
        <v>65</v>
      </c>
      <c r="D618" t="s">
        <v>1092</v>
      </c>
      <c r="E618" s="75">
        <v>0.55208333333333337</v>
      </c>
      <c r="F618" s="75">
        <v>0.5625</v>
      </c>
      <c r="H618" t="s">
        <v>1400</v>
      </c>
      <c r="I618" t="s">
        <v>1005</v>
      </c>
    </row>
    <row r="619" spans="1:9" x14ac:dyDescent="0.6">
      <c r="A619" t="s">
        <v>1398</v>
      </c>
      <c r="B619" s="76">
        <v>1900</v>
      </c>
      <c r="C619" t="s">
        <v>38</v>
      </c>
      <c r="D619" t="s">
        <v>1092</v>
      </c>
      <c r="E619" s="75">
        <v>0.57291666666666663</v>
      </c>
      <c r="F619" s="75">
        <v>0.58333333333333337</v>
      </c>
      <c r="H619" t="s">
        <v>994</v>
      </c>
      <c r="I619" t="s">
        <v>1005</v>
      </c>
    </row>
    <row r="620" spans="1:9" x14ac:dyDescent="0.6">
      <c r="A620" t="s">
        <v>1398</v>
      </c>
      <c r="B620" s="76">
        <v>1900</v>
      </c>
      <c r="C620" t="s">
        <v>119</v>
      </c>
      <c r="D620" t="s">
        <v>137</v>
      </c>
      <c r="E620" s="75">
        <v>0.59375</v>
      </c>
      <c r="F620" s="75">
        <v>0.60416666666666663</v>
      </c>
      <c r="H620" t="s">
        <v>1401</v>
      </c>
      <c r="I620" t="s">
        <v>1005</v>
      </c>
    </row>
    <row r="621" spans="1:9" x14ac:dyDescent="0.6">
      <c r="A621" t="s">
        <v>1398</v>
      </c>
      <c r="B621" s="76">
        <v>1900</v>
      </c>
      <c r="C621" t="s">
        <v>941</v>
      </c>
      <c r="D621" t="s">
        <v>942</v>
      </c>
      <c r="E621" s="75">
        <v>0.64236111111111116</v>
      </c>
      <c r="F621" s="75">
        <v>0.65625</v>
      </c>
      <c r="H621" t="s">
        <v>1402</v>
      </c>
      <c r="I621" t="s">
        <v>1005</v>
      </c>
    </row>
    <row r="622" spans="1:9" x14ac:dyDescent="0.6">
      <c r="A622" t="s">
        <v>1403</v>
      </c>
      <c r="B622" s="76">
        <v>1900</v>
      </c>
      <c r="C622" t="s">
        <v>1094</v>
      </c>
      <c r="D622" t="s">
        <v>942</v>
      </c>
      <c r="E622" s="75">
        <v>0.49305555555555558</v>
      </c>
      <c r="F622" s="75">
        <v>0.50694444444444442</v>
      </c>
      <c r="I622" t="s">
        <v>956</v>
      </c>
    </row>
    <row r="623" spans="1:9" x14ac:dyDescent="0.6">
      <c r="A623" t="s">
        <v>1403</v>
      </c>
      <c r="B623" s="76">
        <v>1900</v>
      </c>
      <c r="C623" t="s">
        <v>87</v>
      </c>
      <c r="D623" t="s">
        <v>1092</v>
      </c>
      <c r="E623" s="75">
        <v>0.54861111111111116</v>
      </c>
      <c r="F623" s="75">
        <v>0.55902777777777779</v>
      </c>
      <c r="H623" t="s">
        <v>1245</v>
      </c>
      <c r="I623" t="s">
        <v>956</v>
      </c>
    </row>
    <row r="624" spans="1:9" x14ac:dyDescent="0.6">
      <c r="A624" t="s">
        <v>1403</v>
      </c>
      <c r="B624" s="76">
        <v>1900</v>
      </c>
      <c r="C624" t="s">
        <v>89</v>
      </c>
      <c r="D624" t="s">
        <v>1092</v>
      </c>
      <c r="E624" s="75">
        <v>0.5625</v>
      </c>
      <c r="F624" s="75">
        <v>0.57638888888888884</v>
      </c>
      <c r="H624">
        <v>0</v>
      </c>
      <c r="I624" t="s">
        <v>956</v>
      </c>
    </row>
    <row r="625" spans="1:9" x14ac:dyDescent="0.6">
      <c r="A625" t="s">
        <v>1403</v>
      </c>
      <c r="B625" s="76">
        <v>1900</v>
      </c>
      <c r="C625" t="s">
        <v>941</v>
      </c>
      <c r="D625" t="s">
        <v>942</v>
      </c>
      <c r="E625" s="75">
        <v>0.63888888888888884</v>
      </c>
      <c r="F625" s="75">
        <v>0.65277777777777779</v>
      </c>
      <c r="G625" s="75">
        <v>6.25E-2</v>
      </c>
      <c r="H625" t="s">
        <v>1404</v>
      </c>
      <c r="I625" t="s">
        <v>956</v>
      </c>
    </row>
    <row r="626" spans="1:9" x14ac:dyDescent="0.6">
      <c r="A626" t="s">
        <v>1405</v>
      </c>
      <c r="B626" s="76">
        <v>1900</v>
      </c>
      <c r="C626" t="s">
        <v>1094</v>
      </c>
      <c r="D626" t="s">
        <v>942</v>
      </c>
      <c r="E626" s="75">
        <v>0.50694444444444442</v>
      </c>
      <c r="F626" s="75">
        <v>0.52083333333333337</v>
      </c>
      <c r="I626" t="s">
        <v>967</v>
      </c>
    </row>
    <row r="627" spans="1:9" x14ac:dyDescent="0.6">
      <c r="A627" t="s">
        <v>1405</v>
      </c>
      <c r="B627" s="76">
        <v>1900</v>
      </c>
      <c r="C627" t="s">
        <v>132</v>
      </c>
      <c r="D627" t="s">
        <v>5</v>
      </c>
      <c r="E627" s="75">
        <v>0.55208333333333337</v>
      </c>
      <c r="F627" s="75">
        <v>0.55902777777777779</v>
      </c>
      <c r="H627" t="s">
        <v>1266</v>
      </c>
      <c r="I627" t="s">
        <v>967</v>
      </c>
    </row>
    <row r="628" spans="1:9" x14ac:dyDescent="0.6">
      <c r="A628" t="s">
        <v>1405</v>
      </c>
      <c r="B628" s="76">
        <v>1900</v>
      </c>
      <c r="C628" t="s">
        <v>131</v>
      </c>
      <c r="D628" t="s">
        <v>1092</v>
      </c>
      <c r="E628" s="75">
        <v>0.57291666666666663</v>
      </c>
      <c r="F628" s="75">
        <v>0.59027777777777779</v>
      </c>
      <c r="H628" t="s">
        <v>1383</v>
      </c>
      <c r="I628" t="s">
        <v>967</v>
      </c>
    </row>
    <row r="629" spans="1:9" x14ac:dyDescent="0.6">
      <c r="A629" t="s">
        <v>1405</v>
      </c>
      <c r="B629" s="76">
        <v>1900</v>
      </c>
      <c r="C629" t="s">
        <v>941</v>
      </c>
      <c r="D629" t="s">
        <v>942</v>
      </c>
      <c r="E629" s="75">
        <v>0.63541666666666663</v>
      </c>
      <c r="F629" s="75">
        <v>0.64930555555555558</v>
      </c>
      <c r="H629" t="s">
        <v>1406</v>
      </c>
      <c r="I629" t="s">
        <v>967</v>
      </c>
    </row>
    <row r="630" spans="1:9" x14ac:dyDescent="0.6">
      <c r="A630" t="s">
        <v>1407</v>
      </c>
      <c r="B630" s="76">
        <v>1900</v>
      </c>
      <c r="C630" t="s">
        <v>1094</v>
      </c>
      <c r="D630" t="s">
        <v>942</v>
      </c>
      <c r="E630" s="75">
        <v>0.50694444444444442</v>
      </c>
      <c r="F630" s="75">
        <v>0.52083333333333337</v>
      </c>
      <c r="I630" t="s">
        <v>967</v>
      </c>
    </row>
    <row r="631" spans="1:9" x14ac:dyDescent="0.6">
      <c r="A631" t="s">
        <v>1407</v>
      </c>
      <c r="B631" s="76">
        <v>1900</v>
      </c>
      <c r="C631" t="s">
        <v>107</v>
      </c>
      <c r="D631" t="s">
        <v>1092</v>
      </c>
      <c r="E631" s="75">
        <v>0.54861111111111116</v>
      </c>
      <c r="F631" s="75">
        <v>0.55902777777777779</v>
      </c>
      <c r="H631" t="s">
        <v>1187</v>
      </c>
      <c r="I631" t="s">
        <v>967</v>
      </c>
    </row>
    <row r="632" spans="1:9" x14ac:dyDescent="0.6">
      <c r="A632" t="s">
        <v>1407</v>
      </c>
      <c r="B632" s="76">
        <v>1900</v>
      </c>
      <c r="C632" t="s">
        <v>106</v>
      </c>
      <c r="D632" t="s">
        <v>1092</v>
      </c>
      <c r="E632" s="75">
        <v>0.56944444444444442</v>
      </c>
      <c r="F632" s="75">
        <v>0.57986111111111116</v>
      </c>
      <c r="H632" t="s">
        <v>1013</v>
      </c>
      <c r="I632" t="s">
        <v>967</v>
      </c>
    </row>
    <row r="633" spans="1:9" x14ac:dyDescent="0.6">
      <c r="A633" t="s">
        <v>1407</v>
      </c>
      <c r="B633" s="76">
        <v>1900</v>
      </c>
      <c r="C633" t="s">
        <v>39</v>
      </c>
      <c r="D633" t="s">
        <v>1092</v>
      </c>
      <c r="E633" s="75">
        <v>0.58680555555555558</v>
      </c>
      <c r="F633" s="75">
        <v>0.59722222222222221</v>
      </c>
      <c r="H633" t="s">
        <v>1014</v>
      </c>
      <c r="I633" t="s">
        <v>967</v>
      </c>
    </row>
    <row r="634" spans="1:9" x14ac:dyDescent="0.6">
      <c r="A634" t="s">
        <v>1407</v>
      </c>
      <c r="B634" s="76">
        <v>1900</v>
      </c>
      <c r="C634" t="s">
        <v>941</v>
      </c>
      <c r="D634" t="s">
        <v>942</v>
      </c>
      <c r="E634" s="75">
        <v>0.65277777777777779</v>
      </c>
      <c r="F634" s="75">
        <v>0.66666666666666663</v>
      </c>
      <c r="H634" t="s">
        <v>1408</v>
      </c>
      <c r="I634" t="s">
        <v>967</v>
      </c>
    </row>
    <row r="635" spans="1:9" x14ac:dyDescent="0.6">
      <c r="A635" t="s">
        <v>1409</v>
      </c>
      <c r="B635" s="76">
        <v>1900</v>
      </c>
      <c r="C635" t="s">
        <v>1094</v>
      </c>
      <c r="D635" t="s">
        <v>942</v>
      </c>
      <c r="E635" s="75">
        <v>0.50694444444444442</v>
      </c>
      <c r="F635" s="75">
        <v>0.52083333333333337</v>
      </c>
      <c r="I635" t="s">
        <v>967</v>
      </c>
    </row>
    <row r="636" spans="1:9" x14ac:dyDescent="0.6">
      <c r="A636" t="s">
        <v>1409</v>
      </c>
      <c r="B636" s="76">
        <v>1900</v>
      </c>
      <c r="C636" t="s">
        <v>41</v>
      </c>
      <c r="D636" t="s">
        <v>1092</v>
      </c>
      <c r="E636" s="75">
        <v>0.55208333333333337</v>
      </c>
      <c r="F636" s="75">
        <v>0.5625</v>
      </c>
      <c r="H636" t="s">
        <v>1268</v>
      </c>
      <c r="I636" t="s">
        <v>967</v>
      </c>
    </row>
    <row r="637" spans="1:9" x14ac:dyDescent="0.6">
      <c r="A637" t="s">
        <v>1409</v>
      </c>
      <c r="B637" s="76">
        <v>1900</v>
      </c>
      <c r="C637" t="s">
        <v>40</v>
      </c>
      <c r="D637" t="s">
        <v>1092</v>
      </c>
      <c r="E637" s="75">
        <v>0.56944444444444442</v>
      </c>
      <c r="F637" s="75">
        <v>0.57986111111111116</v>
      </c>
      <c r="H637" t="s">
        <v>985</v>
      </c>
      <c r="I637" t="s">
        <v>967</v>
      </c>
    </row>
    <row r="638" spans="1:9" x14ac:dyDescent="0.6">
      <c r="A638" t="s">
        <v>1409</v>
      </c>
      <c r="B638" s="76">
        <v>1900</v>
      </c>
      <c r="C638" t="s">
        <v>70</v>
      </c>
      <c r="D638" t="s">
        <v>1092</v>
      </c>
      <c r="E638" s="75">
        <v>0.59027777777777779</v>
      </c>
      <c r="F638" s="75">
        <v>0.60416666666666663</v>
      </c>
      <c r="H638" t="s">
        <v>1410</v>
      </c>
      <c r="I638" t="s">
        <v>967</v>
      </c>
    </row>
    <row r="639" spans="1:9" x14ac:dyDescent="0.6">
      <c r="A639" t="s">
        <v>1409</v>
      </c>
      <c r="B639" s="76">
        <v>1900</v>
      </c>
      <c r="C639" t="s">
        <v>941</v>
      </c>
      <c r="D639" t="s">
        <v>942</v>
      </c>
      <c r="E639" s="75">
        <v>0.65277777777777779</v>
      </c>
      <c r="F639" s="75">
        <v>0.66666666666666663</v>
      </c>
      <c r="H639" t="s">
        <v>1411</v>
      </c>
      <c r="I639" t="s">
        <v>967</v>
      </c>
    </row>
    <row r="640" spans="1:9" x14ac:dyDescent="0.6">
      <c r="A640" t="s">
        <v>1412</v>
      </c>
      <c r="B640" s="76">
        <v>1900</v>
      </c>
      <c r="C640" t="s">
        <v>1094</v>
      </c>
      <c r="D640" t="s">
        <v>942</v>
      </c>
      <c r="E640" s="75">
        <v>0.50694444444444442</v>
      </c>
      <c r="F640" s="75">
        <v>0.52083333333333337</v>
      </c>
      <c r="I640" t="s">
        <v>967</v>
      </c>
    </row>
    <row r="641" spans="1:9" x14ac:dyDescent="0.6">
      <c r="A641" t="s">
        <v>1412</v>
      </c>
      <c r="B641" s="76">
        <v>1900</v>
      </c>
      <c r="C641" t="s">
        <v>109</v>
      </c>
      <c r="D641" t="s">
        <v>5</v>
      </c>
      <c r="E641" s="75">
        <v>0.54513888888888884</v>
      </c>
      <c r="F641" s="75">
        <v>0.55208333333333337</v>
      </c>
      <c r="H641" t="s">
        <v>1413</v>
      </c>
      <c r="I641" t="s">
        <v>967</v>
      </c>
    </row>
    <row r="642" spans="1:9" x14ac:dyDescent="0.6">
      <c r="A642" t="s">
        <v>1412</v>
      </c>
      <c r="B642" s="76">
        <v>1900</v>
      </c>
      <c r="C642" t="s">
        <v>113</v>
      </c>
      <c r="D642" t="s">
        <v>5</v>
      </c>
      <c r="E642" s="75">
        <v>0.5625</v>
      </c>
      <c r="F642" s="75">
        <v>0.56944444444444442</v>
      </c>
      <c r="H642" t="s">
        <v>1414</v>
      </c>
      <c r="I642" t="s">
        <v>967</v>
      </c>
    </row>
    <row r="643" spans="1:9" x14ac:dyDescent="0.6">
      <c r="A643" t="s">
        <v>1412</v>
      </c>
      <c r="B643" s="76">
        <v>1900</v>
      </c>
      <c r="C643" t="s">
        <v>112</v>
      </c>
      <c r="D643" t="s">
        <v>1092</v>
      </c>
      <c r="E643" s="75">
        <v>0.57638888888888884</v>
      </c>
      <c r="F643" s="75">
        <v>0.59375</v>
      </c>
      <c r="H643" t="s">
        <v>1039</v>
      </c>
      <c r="I643" t="s">
        <v>967</v>
      </c>
    </row>
    <row r="644" spans="1:9" x14ac:dyDescent="0.6">
      <c r="A644" t="s">
        <v>1412</v>
      </c>
      <c r="B644" s="76">
        <v>1900</v>
      </c>
      <c r="C644" t="s">
        <v>109</v>
      </c>
      <c r="D644" t="s">
        <v>137</v>
      </c>
      <c r="E644" s="75">
        <v>0.60416666666666663</v>
      </c>
      <c r="F644" s="75">
        <v>0.61111111111111116</v>
      </c>
      <c r="H644" t="s">
        <v>1415</v>
      </c>
      <c r="I644" t="s">
        <v>967</v>
      </c>
    </row>
    <row r="645" spans="1:9" x14ac:dyDescent="0.6">
      <c r="A645" t="s">
        <v>1412</v>
      </c>
      <c r="B645" s="76">
        <v>1900</v>
      </c>
      <c r="C645" t="s">
        <v>941</v>
      </c>
      <c r="D645" t="s">
        <v>942</v>
      </c>
      <c r="E645" s="75">
        <v>0.65277777777777779</v>
      </c>
      <c r="F645" s="75">
        <v>0.66666666666666663</v>
      </c>
      <c r="H645" t="s">
        <v>1416</v>
      </c>
      <c r="I645" t="s">
        <v>967</v>
      </c>
    </row>
    <row r="646" spans="1:9" x14ac:dyDescent="0.6">
      <c r="A646" t="s">
        <v>1417</v>
      </c>
      <c r="B646" s="76">
        <v>1900</v>
      </c>
      <c r="C646" t="s">
        <v>1094</v>
      </c>
      <c r="D646" t="s">
        <v>942</v>
      </c>
      <c r="E646" s="75">
        <v>0.50694444444444442</v>
      </c>
      <c r="F646" s="75">
        <v>0.52083333333333337</v>
      </c>
      <c r="I646" t="s">
        <v>967</v>
      </c>
    </row>
    <row r="647" spans="1:9" x14ac:dyDescent="0.6">
      <c r="A647" t="s">
        <v>1417</v>
      </c>
      <c r="B647" s="76">
        <v>1900</v>
      </c>
      <c r="C647" t="s">
        <v>79</v>
      </c>
      <c r="D647" t="s">
        <v>1092</v>
      </c>
      <c r="E647" s="75">
        <v>0.5625</v>
      </c>
      <c r="F647" s="75">
        <v>0.57638888888888884</v>
      </c>
      <c r="H647" t="s">
        <v>1181</v>
      </c>
      <c r="I647" t="s">
        <v>967</v>
      </c>
    </row>
    <row r="648" spans="1:9" x14ac:dyDescent="0.6">
      <c r="A648" t="s">
        <v>1417</v>
      </c>
      <c r="B648" s="76">
        <v>1900</v>
      </c>
      <c r="C648" t="s">
        <v>77</v>
      </c>
      <c r="D648" t="s">
        <v>137</v>
      </c>
      <c r="E648" s="75">
        <v>0.57986111111111116</v>
      </c>
      <c r="F648" s="75">
        <v>0.58333333333333337</v>
      </c>
      <c r="H648">
        <v>0</v>
      </c>
      <c r="I648" t="s">
        <v>967</v>
      </c>
    </row>
    <row r="649" spans="1:9" x14ac:dyDescent="0.6">
      <c r="A649" t="s">
        <v>1417</v>
      </c>
      <c r="B649" s="76">
        <v>1900</v>
      </c>
      <c r="C649" t="s">
        <v>78</v>
      </c>
      <c r="D649" t="s">
        <v>137</v>
      </c>
      <c r="E649" s="75">
        <v>0.59027777777777779</v>
      </c>
      <c r="F649" s="75">
        <v>0.60069444444444442</v>
      </c>
      <c r="H649" t="s">
        <v>970</v>
      </c>
      <c r="I649" t="s">
        <v>967</v>
      </c>
    </row>
    <row r="650" spans="1:9" x14ac:dyDescent="0.6">
      <c r="A650" t="s">
        <v>1417</v>
      </c>
      <c r="B650" s="76">
        <v>1900</v>
      </c>
      <c r="C650" t="s">
        <v>941</v>
      </c>
      <c r="D650" t="s">
        <v>942</v>
      </c>
      <c r="E650" s="75">
        <v>0.66666666666666663</v>
      </c>
      <c r="F650" s="75">
        <v>0.68055555555555558</v>
      </c>
      <c r="H650" t="s">
        <v>1363</v>
      </c>
      <c r="I650" t="s">
        <v>967</v>
      </c>
    </row>
    <row r="651" spans="1:9" x14ac:dyDescent="0.6">
      <c r="A651" t="s">
        <v>1418</v>
      </c>
      <c r="B651" s="76">
        <v>1900</v>
      </c>
      <c r="C651" t="s">
        <v>1094</v>
      </c>
      <c r="D651" t="s">
        <v>942</v>
      </c>
      <c r="E651" s="75">
        <v>0.50694444444444442</v>
      </c>
      <c r="F651" s="75">
        <v>0.52083333333333337</v>
      </c>
      <c r="I651" t="s">
        <v>967</v>
      </c>
    </row>
    <row r="652" spans="1:9" x14ac:dyDescent="0.6">
      <c r="A652" t="s">
        <v>1418</v>
      </c>
      <c r="B652" s="76">
        <v>1900</v>
      </c>
      <c r="C652" t="s">
        <v>69</v>
      </c>
      <c r="D652" t="s">
        <v>1092</v>
      </c>
      <c r="E652" s="75">
        <v>0.55555555555555558</v>
      </c>
      <c r="F652" s="75">
        <v>0.56597222222222221</v>
      </c>
      <c r="H652" t="s">
        <v>1252</v>
      </c>
      <c r="I652" t="s">
        <v>967</v>
      </c>
    </row>
    <row r="653" spans="1:9" x14ac:dyDescent="0.6">
      <c r="A653" t="s">
        <v>1418</v>
      </c>
      <c r="B653" s="76">
        <v>1900</v>
      </c>
      <c r="C653" t="s">
        <v>68</v>
      </c>
      <c r="D653" t="s">
        <v>1092</v>
      </c>
      <c r="E653" s="75">
        <v>0.57291666666666663</v>
      </c>
      <c r="F653" s="75">
        <v>0.58333333333333337</v>
      </c>
      <c r="H653" t="s">
        <v>974</v>
      </c>
      <c r="I653" t="s">
        <v>967</v>
      </c>
    </row>
    <row r="654" spans="1:9" x14ac:dyDescent="0.6">
      <c r="A654" t="s">
        <v>1418</v>
      </c>
      <c r="B654" s="76">
        <v>1900</v>
      </c>
      <c r="C654" t="s">
        <v>76</v>
      </c>
      <c r="D654" t="s">
        <v>137</v>
      </c>
      <c r="E654" s="75">
        <v>0.59375</v>
      </c>
      <c r="F654" s="75">
        <v>0.60416666666666663</v>
      </c>
      <c r="H654" t="s">
        <v>975</v>
      </c>
      <c r="I654" t="s">
        <v>967</v>
      </c>
    </row>
    <row r="655" spans="1:9" x14ac:dyDescent="0.6">
      <c r="A655" t="s">
        <v>1418</v>
      </c>
      <c r="B655" s="76">
        <v>1900</v>
      </c>
      <c r="C655" t="s">
        <v>941</v>
      </c>
      <c r="D655" t="s">
        <v>942</v>
      </c>
      <c r="E655" s="75">
        <v>0.65972222222222221</v>
      </c>
      <c r="F655" s="75">
        <v>0.67361111111111116</v>
      </c>
      <c r="H655" t="s">
        <v>1419</v>
      </c>
      <c r="I655" t="s">
        <v>967</v>
      </c>
    </row>
    <row r="656" spans="1:9" x14ac:dyDescent="0.6">
      <c r="A656" t="s">
        <v>1420</v>
      </c>
      <c r="B656" s="76">
        <v>1900</v>
      </c>
      <c r="C656" t="s">
        <v>1094</v>
      </c>
      <c r="D656" t="s">
        <v>942</v>
      </c>
      <c r="E656" s="75">
        <v>0.50694444444444442</v>
      </c>
      <c r="F656" s="75">
        <v>0.52083333333333337</v>
      </c>
      <c r="I656" t="s">
        <v>967</v>
      </c>
    </row>
    <row r="657" spans="1:9" x14ac:dyDescent="0.6">
      <c r="A657" t="s">
        <v>1420</v>
      </c>
      <c r="B657" s="76">
        <v>1900</v>
      </c>
      <c r="C657" t="s">
        <v>88</v>
      </c>
      <c r="D657" t="s">
        <v>1092</v>
      </c>
      <c r="E657" s="75">
        <v>0.55902777777777779</v>
      </c>
      <c r="F657" s="75">
        <v>0.56944444444444442</v>
      </c>
      <c r="H657" t="s">
        <v>1107</v>
      </c>
      <c r="I657" t="s">
        <v>967</v>
      </c>
    </row>
    <row r="658" spans="1:9" x14ac:dyDescent="0.6">
      <c r="A658" t="s">
        <v>1420</v>
      </c>
      <c r="B658" s="76">
        <v>1900</v>
      </c>
      <c r="C658" t="s">
        <v>86</v>
      </c>
      <c r="D658" t="s">
        <v>1092</v>
      </c>
      <c r="E658" s="75">
        <v>0.57291666666666663</v>
      </c>
      <c r="F658" s="75">
        <v>0.58333333333333337</v>
      </c>
      <c r="H658" t="s">
        <v>1043</v>
      </c>
      <c r="I658" t="s">
        <v>967</v>
      </c>
    </row>
    <row r="659" spans="1:9" x14ac:dyDescent="0.6">
      <c r="A659" t="s">
        <v>1420</v>
      </c>
      <c r="B659" s="76">
        <v>1900</v>
      </c>
      <c r="C659" t="s">
        <v>134</v>
      </c>
      <c r="D659" t="s">
        <v>137</v>
      </c>
      <c r="E659" s="75">
        <v>0.59722222222222221</v>
      </c>
      <c r="F659" s="75">
        <v>0.60416666666666663</v>
      </c>
      <c r="H659" t="s">
        <v>1421</v>
      </c>
      <c r="I659" t="s">
        <v>967</v>
      </c>
    </row>
    <row r="660" spans="1:9" x14ac:dyDescent="0.6">
      <c r="A660" t="s">
        <v>1420</v>
      </c>
      <c r="B660" s="76">
        <v>1900</v>
      </c>
      <c r="C660" t="s">
        <v>941</v>
      </c>
      <c r="D660" t="s">
        <v>942</v>
      </c>
      <c r="E660" s="75">
        <v>0.65625</v>
      </c>
      <c r="F660" s="75">
        <v>0.67013888888888884</v>
      </c>
      <c r="H660" t="s">
        <v>1422</v>
      </c>
      <c r="I660" t="s">
        <v>967</v>
      </c>
    </row>
    <row r="661" spans="1:9" x14ac:dyDescent="0.6">
      <c r="A661" t="s">
        <v>1423</v>
      </c>
      <c r="B661" s="76">
        <v>1900</v>
      </c>
      <c r="C661" t="s">
        <v>1094</v>
      </c>
      <c r="D661" t="s">
        <v>942</v>
      </c>
      <c r="E661" s="75">
        <v>0.50694444444444442</v>
      </c>
      <c r="F661" s="75">
        <v>0.52083333333333337</v>
      </c>
      <c r="I661" t="s">
        <v>967</v>
      </c>
    </row>
    <row r="662" spans="1:9" x14ac:dyDescent="0.6">
      <c r="A662" t="s">
        <v>1423</v>
      </c>
      <c r="B662" s="76">
        <v>1900</v>
      </c>
      <c r="C662" t="s">
        <v>80</v>
      </c>
      <c r="D662" t="s">
        <v>5</v>
      </c>
      <c r="E662" s="75">
        <v>0.55208333333333337</v>
      </c>
      <c r="F662" s="75">
        <v>0.55902777777777779</v>
      </c>
      <c r="H662" t="s">
        <v>1292</v>
      </c>
      <c r="I662" t="s">
        <v>967</v>
      </c>
    </row>
    <row r="663" spans="1:9" x14ac:dyDescent="0.6">
      <c r="A663" t="s">
        <v>1423</v>
      </c>
      <c r="B663" s="76">
        <v>1900</v>
      </c>
      <c r="C663" t="s">
        <v>82</v>
      </c>
      <c r="D663" t="s">
        <v>1092</v>
      </c>
      <c r="E663" s="75">
        <v>0.56944444444444442</v>
      </c>
      <c r="F663" s="75">
        <v>0.58680555555555558</v>
      </c>
      <c r="H663" t="s">
        <v>998</v>
      </c>
      <c r="I663" t="s">
        <v>967</v>
      </c>
    </row>
    <row r="664" spans="1:9" x14ac:dyDescent="0.6">
      <c r="A664" t="s">
        <v>1423</v>
      </c>
      <c r="B664" s="76">
        <v>1900</v>
      </c>
      <c r="C664" t="s">
        <v>941</v>
      </c>
      <c r="D664" t="s">
        <v>942</v>
      </c>
      <c r="E664" s="75">
        <v>0.63888888888888884</v>
      </c>
      <c r="F664" s="75">
        <v>0.65277777777777779</v>
      </c>
      <c r="H664" t="s">
        <v>1424</v>
      </c>
      <c r="I664" t="s">
        <v>967</v>
      </c>
    </row>
    <row r="665" spans="1:9" x14ac:dyDescent="0.6">
      <c r="A665" t="s">
        <v>1425</v>
      </c>
      <c r="B665" s="76">
        <v>1900</v>
      </c>
      <c r="C665" t="s">
        <v>1094</v>
      </c>
      <c r="D665" t="s">
        <v>942</v>
      </c>
      <c r="E665" s="75">
        <v>0.50694444444444442</v>
      </c>
      <c r="F665" s="75">
        <v>0.52083333333333337</v>
      </c>
      <c r="I665" t="s">
        <v>967</v>
      </c>
    </row>
    <row r="666" spans="1:9" x14ac:dyDescent="0.6">
      <c r="A666" t="s">
        <v>1425</v>
      </c>
      <c r="B666" s="76">
        <v>1900</v>
      </c>
      <c r="C666" t="s">
        <v>71</v>
      </c>
      <c r="D666" t="s">
        <v>5</v>
      </c>
      <c r="E666" s="75">
        <v>0.54861111111111116</v>
      </c>
      <c r="F666" s="75">
        <v>0.55902777777777779</v>
      </c>
      <c r="H666" t="s">
        <v>1426</v>
      </c>
      <c r="I666" t="s">
        <v>967</v>
      </c>
    </row>
    <row r="667" spans="1:9" x14ac:dyDescent="0.6">
      <c r="A667" t="s">
        <v>1425</v>
      </c>
      <c r="B667" s="76">
        <v>1900</v>
      </c>
      <c r="C667" t="s">
        <v>81</v>
      </c>
      <c r="D667" t="s">
        <v>1092</v>
      </c>
      <c r="E667" s="75">
        <v>0.57291666666666663</v>
      </c>
      <c r="F667" s="75">
        <v>0.59027777777777779</v>
      </c>
      <c r="H667" t="s">
        <v>1427</v>
      </c>
      <c r="I667" t="s">
        <v>967</v>
      </c>
    </row>
    <row r="668" spans="1:9" x14ac:dyDescent="0.6">
      <c r="A668" t="s">
        <v>1425</v>
      </c>
      <c r="B668" s="76">
        <v>1900</v>
      </c>
      <c r="C668" t="s">
        <v>941</v>
      </c>
      <c r="D668" t="s">
        <v>942</v>
      </c>
      <c r="E668" s="75">
        <v>0.64236111111111116</v>
      </c>
      <c r="F668" s="75">
        <v>0.65625</v>
      </c>
      <c r="H668" t="s">
        <v>1428</v>
      </c>
      <c r="I668" t="s">
        <v>967</v>
      </c>
    </row>
    <row r="669" spans="1:9" x14ac:dyDescent="0.6">
      <c r="A669" t="s">
        <v>1429</v>
      </c>
      <c r="B669" s="76">
        <v>1900</v>
      </c>
      <c r="C669" t="s">
        <v>1094</v>
      </c>
      <c r="D669" t="s">
        <v>942</v>
      </c>
      <c r="E669" s="75">
        <v>0.50694444444444442</v>
      </c>
      <c r="F669" s="75">
        <v>0.52083333333333337</v>
      </c>
      <c r="I669" t="s">
        <v>967</v>
      </c>
    </row>
    <row r="670" spans="1:9" x14ac:dyDescent="0.6">
      <c r="A670" t="s">
        <v>1429</v>
      </c>
      <c r="B670" s="76">
        <v>1900</v>
      </c>
      <c r="C670" t="s">
        <v>55</v>
      </c>
      <c r="D670" t="s">
        <v>5</v>
      </c>
      <c r="E670" s="75">
        <v>0.54166666666666663</v>
      </c>
      <c r="F670" s="75">
        <v>0.54861111111111116</v>
      </c>
      <c r="H670" t="s">
        <v>1284</v>
      </c>
      <c r="I670" t="s">
        <v>967</v>
      </c>
    </row>
    <row r="671" spans="1:9" x14ac:dyDescent="0.6">
      <c r="A671" t="s">
        <v>1429</v>
      </c>
      <c r="B671" s="76">
        <v>1900</v>
      </c>
      <c r="C671" t="s">
        <v>133</v>
      </c>
      <c r="D671" t="s">
        <v>1092</v>
      </c>
      <c r="E671" s="75">
        <v>0.56597222222222221</v>
      </c>
      <c r="F671" s="75">
        <v>0.58680555555555558</v>
      </c>
      <c r="H671" t="s">
        <v>1430</v>
      </c>
      <c r="I671" t="s">
        <v>967</v>
      </c>
    </row>
    <row r="672" spans="1:9" x14ac:dyDescent="0.6">
      <c r="A672" t="s">
        <v>1429</v>
      </c>
      <c r="B672" s="76">
        <v>1900</v>
      </c>
      <c r="C672" t="s">
        <v>941</v>
      </c>
      <c r="D672" t="s">
        <v>942</v>
      </c>
      <c r="E672" s="75">
        <v>0.63888888888888884</v>
      </c>
      <c r="F672" s="75">
        <v>0.65277777777777779</v>
      </c>
      <c r="H672" t="s">
        <v>1431</v>
      </c>
      <c r="I672" t="s">
        <v>967</v>
      </c>
    </row>
    <row r="673" spans="1:9" x14ac:dyDescent="0.6">
      <c r="A673" t="s">
        <v>1432</v>
      </c>
      <c r="B673" s="76">
        <v>1900</v>
      </c>
      <c r="C673" t="s">
        <v>1094</v>
      </c>
      <c r="D673" t="s">
        <v>942</v>
      </c>
      <c r="E673" s="75">
        <v>0.50694444444444442</v>
      </c>
      <c r="F673" s="75">
        <v>0.52083333333333337</v>
      </c>
      <c r="I673" t="s">
        <v>967</v>
      </c>
    </row>
    <row r="674" spans="1:9" x14ac:dyDescent="0.6">
      <c r="A674" t="s">
        <v>1432</v>
      </c>
      <c r="B674" s="76">
        <v>1900</v>
      </c>
      <c r="C674" t="s">
        <v>135</v>
      </c>
      <c r="D674" t="s">
        <v>1092</v>
      </c>
      <c r="E674" s="75">
        <v>0.55208333333333337</v>
      </c>
      <c r="F674" s="75">
        <v>0.5625</v>
      </c>
      <c r="H674" t="s">
        <v>1242</v>
      </c>
      <c r="I674" t="s">
        <v>967</v>
      </c>
    </row>
    <row r="675" spans="1:9" x14ac:dyDescent="0.6">
      <c r="A675" t="s">
        <v>1432</v>
      </c>
      <c r="B675" s="76">
        <v>1900</v>
      </c>
      <c r="C675" t="s">
        <v>147</v>
      </c>
      <c r="D675" t="s">
        <v>1092</v>
      </c>
      <c r="E675" s="75">
        <v>0.56597222222222221</v>
      </c>
      <c r="F675" s="75">
        <v>0.57986111111111116</v>
      </c>
      <c r="H675" t="s">
        <v>1271</v>
      </c>
      <c r="I675" t="s">
        <v>967</v>
      </c>
    </row>
    <row r="676" spans="1:9" x14ac:dyDescent="0.6">
      <c r="A676" t="s">
        <v>1432</v>
      </c>
      <c r="B676" s="76">
        <v>1900</v>
      </c>
      <c r="C676" t="s">
        <v>941</v>
      </c>
      <c r="D676" t="s">
        <v>942</v>
      </c>
      <c r="E676" s="75">
        <v>0.625</v>
      </c>
      <c r="F676" s="75">
        <v>0.63888888888888884</v>
      </c>
      <c r="H676" t="s">
        <v>1433</v>
      </c>
      <c r="I676" t="s">
        <v>967</v>
      </c>
    </row>
    <row r="677" spans="1:9" x14ac:dyDescent="0.6">
      <c r="A677" t="s">
        <v>1434</v>
      </c>
      <c r="B677" s="76">
        <v>1900</v>
      </c>
      <c r="C677" t="s">
        <v>1094</v>
      </c>
      <c r="D677" t="s">
        <v>942</v>
      </c>
      <c r="E677" s="75">
        <v>0.50694444444444442</v>
      </c>
      <c r="F677" s="75">
        <v>0.52083333333333337</v>
      </c>
      <c r="I677" t="s">
        <v>967</v>
      </c>
    </row>
    <row r="678" spans="1:9" x14ac:dyDescent="0.6">
      <c r="A678" t="s">
        <v>1434</v>
      </c>
      <c r="B678" s="76">
        <v>1900</v>
      </c>
      <c r="C678" t="s">
        <v>51</v>
      </c>
      <c r="D678" t="s">
        <v>5</v>
      </c>
      <c r="E678" s="75">
        <v>0.54513888888888884</v>
      </c>
      <c r="F678" s="75">
        <v>0.55555555555555558</v>
      </c>
      <c r="H678" t="s">
        <v>1435</v>
      </c>
      <c r="I678" t="s">
        <v>967</v>
      </c>
    </row>
    <row r="679" spans="1:9" x14ac:dyDescent="0.6">
      <c r="A679" t="s">
        <v>1434</v>
      </c>
      <c r="B679" s="76">
        <v>1900</v>
      </c>
      <c r="C679" t="s">
        <v>52</v>
      </c>
      <c r="D679" t="s">
        <v>1092</v>
      </c>
      <c r="E679" s="75">
        <v>0.56944444444444442</v>
      </c>
      <c r="F679" s="75">
        <v>0.58680555555555558</v>
      </c>
      <c r="H679" t="s">
        <v>1436</v>
      </c>
      <c r="I679" t="s">
        <v>967</v>
      </c>
    </row>
    <row r="680" spans="1:9" x14ac:dyDescent="0.6">
      <c r="A680" t="s">
        <v>1434</v>
      </c>
      <c r="B680" s="76">
        <v>1900</v>
      </c>
      <c r="C680" t="s">
        <v>941</v>
      </c>
      <c r="D680" t="s">
        <v>942</v>
      </c>
      <c r="E680" s="75">
        <v>0.625</v>
      </c>
      <c r="F680" s="75">
        <v>0.63888888888888884</v>
      </c>
      <c r="H680" t="s">
        <v>1437</v>
      </c>
      <c r="I680" t="s">
        <v>967</v>
      </c>
    </row>
    <row r="681" spans="1:9" x14ac:dyDescent="0.6">
      <c r="A681" t="s">
        <v>1438</v>
      </c>
      <c r="B681" s="76">
        <v>1900</v>
      </c>
      <c r="C681" t="s">
        <v>1094</v>
      </c>
      <c r="D681" t="s">
        <v>942</v>
      </c>
      <c r="E681" s="75">
        <v>0.50694444444444442</v>
      </c>
      <c r="F681" s="75">
        <v>0.52083333333333337</v>
      </c>
      <c r="I681" t="s">
        <v>961</v>
      </c>
    </row>
    <row r="682" spans="1:9" x14ac:dyDescent="0.6">
      <c r="A682" t="s">
        <v>1438</v>
      </c>
      <c r="B682" s="76">
        <v>1900</v>
      </c>
      <c r="C682" t="s">
        <v>56</v>
      </c>
      <c r="D682" t="s">
        <v>5</v>
      </c>
      <c r="E682" s="75">
        <v>0.54166666666666663</v>
      </c>
      <c r="F682" s="75">
        <v>0.55208333333333337</v>
      </c>
      <c r="H682" t="s">
        <v>1280</v>
      </c>
      <c r="I682" t="s">
        <v>961</v>
      </c>
    </row>
    <row r="683" spans="1:9" x14ac:dyDescent="0.6">
      <c r="A683" t="s">
        <v>1438</v>
      </c>
      <c r="B683" s="76">
        <v>1900</v>
      </c>
      <c r="C683" t="s">
        <v>54</v>
      </c>
      <c r="D683" t="s">
        <v>1092</v>
      </c>
      <c r="E683" s="75">
        <v>0.56597222222222221</v>
      </c>
      <c r="F683" s="75">
        <v>0.57638888888888884</v>
      </c>
      <c r="H683" t="s">
        <v>1066</v>
      </c>
      <c r="I683" t="s">
        <v>961</v>
      </c>
    </row>
    <row r="684" spans="1:9" x14ac:dyDescent="0.6">
      <c r="A684" t="s">
        <v>1438</v>
      </c>
      <c r="B684" s="76">
        <v>1900</v>
      </c>
      <c r="C684" t="s">
        <v>56</v>
      </c>
      <c r="D684" t="s">
        <v>137</v>
      </c>
      <c r="E684" s="75">
        <v>0.59027777777777779</v>
      </c>
      <c r="F684" s="75">
        <v>0.60069444444444442</v>
      </c>
      <c r="H684" t="s">
        <v>1439</v>
      </c>
      <c r="I684" t="s">
        <v>961</v>
      </c>
    </row>
    <row r="685" spans="1:9" x14ac:dyDescent="0.6">
      <c r="A685" t="s">
        <v>1438</v>
      </c>
      <c r="B685" s="76">
        <v>1900</v>
      </c>
      <c r="C685" t="s">
        <v>941</v>
      </c>
      <c r="D685" t="s">
        <v>942</v>
      </c>
      <c r="E685" s="75">
        <v>0.62847222222222221</v>
      </c>
      <c r="F685" s="75">
        <v>0.64236111111111116</v>
      </c>
      <c r="H685" t="s">
        <v>1440</v>
      </c>
      <c r="I685" t="s">
        <v>961</v>
      </c>
    </row>
    <row r="686" spans="1:9" x14ac:dyDescent="0.6">
      <c r="A686" t="s">
        <v>1441</v>
      </c>
      <c r="B686" s="76">
        <v>1900</v>
      </c>
      <c r="C686" t="s">
        <v>1094</v>
      </c>
      <c r="D686" t="s">
        <v>942</v>
      </c>
      <c r="E686" s="75">
        <v>0.50694444444444442</v>
      </c>
      <c r="F686" s="75">
        <v>0.52083333333333337</v>
      </c>
      <c r="I686" t="s">
        <v>956</v>
      </c>
    </row>
    <row r="687" spans="1:9" x14ac:dyDescent="0.6">
      <c r="A687" t="s">
        <v>1441</v>
      </c>
      <c r="B687" s="76">
        <v>1900</v>
      </c>
      <c r="C687" t="s">
        <v>48</v>
      </c>
      <c r="D687" t="s">
        <v>1092</v>
      </c>
      <c r="E687" s="75">
        <v>0.54166666666666663</v>
      </c>
      <c r="F687" s="75">
        <v>0.55555555555555558</v>
      </c>
      <c r="H687" t="s">
        <v>1336</v>
      </c>
      <c r="I687" t="s">
        <v>956</v>
      </c>
    </row>
    <row r="688" spans="1:9" x14ac:dyDescent="0.6">
      <c r="A688" t="s">
        <v>1441</v>
      </c>
      <c r="B688" s="76">
        <v>1900</v>
      </c>
      <c r="C688" t="s">
        <v>46</v>
      </c>
      <c r="D688" t="s">
        <v>5</v>
      </c>
      <c r="E688" s="75">
        <v>0.55902777777777779</v>
      </c>
      <c r="F688" s="75">
        <v>0.5625</v>
      </c>
      <c r="H688">
        <v>0</v>
      </c>
      <c r="I688" t="s">
        <v>956</v>
      </c>
    </row>
    <row r="689" spans="1:9" x14ac:dyDescent="0.6">
      <c r="A689" t="s">
        <v>1441</v>
      </c>
      <c r="B689" s="76">
        <v>1900</v>
      </c>
      <c r="C689" t="s">
        <v>45</v>
      </c>
      <c r="D689" t="s">
        <v>1092</v>
      </c>
      <c r="E689" s="75">
        <v>0.56944444444444442</v>
      </c>
      <c r="F689" s="75">
        <v>0.58333333333333337</v>
      </c>
      <c r="H689" t="s">
        <v>1018</v>
      </c>
      <c r="I689" t="s">
        <v>956</v>
      </c>
    </row>
    <row r="690" spans="1:9" x14ac:dyDescent="0.6">
      <c r="A690" t="s">
        <v>1441</v>
      </c>
      <c r="B690" s="76">
        <v>1900</v>
      </c>
      <c r="C690" t="s">
        <v>46</v>
      </c>
      <c r="D690" t="s">
        <v>137</v>
      </c>
      <c r="E690" s="75">
        <v>0.59027777777777779</v>
      </c>
      <c r="F690" s="75">
        <v>0.60069444444444442</v>
      </c>
      <c r="H690" t="s">
        <v>1018</v>
      </c>
      <c r="I690" t="s">
        <v>956</v>
      </c>
    </row>
    <row r="691" spans="1:9" x14ac:dyDescent="0.6">
      <c r="A691" t="s">
        <v>1441</v>
      </c>
      <c r="B691" s="76">
        <v>1900</v>
      </c>
      <c r="C691" t="s">
        <v>941</v>
      </c>
      <c r="D691" t="s">
        <v>942</v>
      </c>
      <c r="E691" s="75">
        <v>0.64583333333333337</v>
      </c>
      <c r="F691" s="75">
        <v>0.65972222222222221</v>
      </c>
      <c r="H691" t="s">
        <v>1442</v>
      </c>
      <c r="I691" t="s">
        <v>956</v>
      </c>
    </row>
    <row r="692" spans="1:9" x14ac:dyDescent="0.6">
      <c r="A692" t="s">
        <v>1443</v>
      </c>
      <c r="B692" s="76">
        <v>1900</v>
      </c>
      <c r="C692" t="s">
        <v>1094</v>
      </c>
      <c r="D692" t="s">
        <v>942</v>
      </c>
      <c r="E692" s="75">
        <v>0.50694444444444442</v>
      </c>
      <c r="F692" s="75">
        <v>0.52083333333333337</v>
      </c>
      <c r="I692" t="s">
        <v>961</v>
      </c>
    </row>
    <row r="693" spans="1:9" x14ac:dyDescent="0.6">
      <c r="A693" t="s">
        <v>1443</v>
      </c>
      <c r="B693" s="76">
        <v>1900</v>
      </c>
      <c r="C693" t="s">
        <v>101</v>
      </c>
      <c r="D693" t="s">
        <v>5</v>
      </c>
      <c r="E693" s="75">
        <v>0.54513888888888884</v>
      </c>
      <c r="F693" s="75">
        <v>0.55555555555555558</v>
      </c>
      <c r="H693" t="s">
        <v>1444</v>
      </c>
      <c r="I693" t="s">
        <v>961</v>
      </c>
    </row>
    <row r="694" spans="1:9" x14ac:dyDescent="0.6">
      <c r="A694" t="s">
        <v>1443</v>
      </c>
      <c r="B694" s="76">
        <v>1900</v>
      </c>
      <c r="C694" t="s">
        <v>1034</v>
      </c>
      <c r="D694" t="s">
        <v>1092</v>
      </c>
      <c r="E694" s="75">
        <v>0.56597222222222221</v>
      </c>
      <c r="F694" s="75">
        <v>0.58333333333333337</v>
      </c>
      <c r="H694" t="s">
        <v>1158</v>
      </c>
      <c r="I694" t="s">
        <v>961</v>
      </c>
    </row>
    <row r="695" spans="1:9" x14ac:dyDescent="0.6">
      <c r="A695" t="s">
        <v>1443</v>
      </c>
      <c r="B695" s="76">
        <v>1900</v>
      </c>
      <c r="C695" t="s">
        <v>101</v>
      </c>
      <c r="D695" t="s">
        <v>137</v>
      </c>
      <c r="E695" s="75">
        <v>0.59722222222222221</v>
      </c>
      <c r="F695" s="75">
        <v>0.60763888888888884</v>
      </c>
      <c r="H695" t="s">
        <v>1445</v>
      </c>
      <c r="I695" t="s">
        <v>961</v>
      </c>
    </row>
    <row r="696" spans="1:9" x14ac:dyDescent="0.6">
      <c r="A696" t="s">
        <v>1443</v>
      </c>
      <c r="B696" s="76">
        <v>1900</v>
      </c>
      <c r="C696" t="s">
        <v>941</v>
      </c>
      <c r="D696" t="s">
        <v>942</v>
      </c>
      <c r="E696" s="75">
        <v>0.64583333333333337</v>
      </c>
      <c r="F696" s="75">
        <v>0.65972222222222221</v>
      </c>
      <c r="H696" t="s">
        <v>1446</v>
      </c>
      <c r="I696" t="s">
        <v>961</v>
      </c>
    </row>
    <row r="697" spans="1:9" x14ac:dyDescent="0.6">
      <c r="A697" t="s">
        <v>1447</v>
      </c>
      <c r="B697" s="76">
        <v>1900</v>
      </c>
      <c r="C697" t="s">
        <v>1094</v>
      </c>
      <c r="D697" t="s">
        <v>942</v>
      </c>
      <c r="E697" s="75">
        <v>0.52083333333333337</v>
      </c>
      <c r="F697" s="75">
        <v>0.53472222222222221</v>
      </c>
      <c r="I697" t="s">
        <v>967</v>
      </c>
    </row>
    <row r="698" spans="1:9" x14ac:dyDescent="0.6">
      <c r="A698" t="s">
        <v>1447</v>
      </c>
      <c r="B698" s="76">
        <v>1900</v>
      </c>
      <c r="C698" t="s">
        <v>110</v>
      </c>
      <c r="D698" t="s">
        <v>5</v>
      </c>
      <c r="E698" s="75">
        <v>0.55555555555555558</v>
      </c>
      <c r="F698" s="75">
        <v>0.56597222222222221</v>
      </c>
      <c r="H698" t="s">
        <v>1302</v>
      </c>
      <c r="I698" t="s">
        <v>967</v>
      </c>
    </row>
    <row r="699" spans="1:9" x14ac:dyDescent="0.6">
      <c r="A699" t="s">
        <v>1447</v>
      </c>
      <c r="B699" s="76">
        <v>1900</v>
      </c>
      <c r="C699" t="s">
        <v>111</v>
      </c>
      <c r="D699" t="s">
        <v>1092</v>
      </c>
      <c r="E699" s="75">
        <v>0.57638888888888884</v>
      </c>
      <c r="F699" s="75">
        <v>0.59375</v>
      </c>
      <c r="H699" t="s">
        <v>1072</v>
      </c>
      <c r="I699" t="s">
        <v>967</v>
      </c>
    </row>
    <row r="700" spans="1:9" x14ac:dyDescent="0.6">
      <c r="A700" t="s">
        <v>1447</v>
      </c>
      <c r="B700" s="76">
        <v>1900</v>
      </c>
      <c r="C700" t="s">
        <v>110</v>
      </c>
      <c r="D700" t="s">
        <v>137</v>
      </c>
      <c r="E700" s="75">
        <v>0.60416666666666663</v>
      </c>
      <c r="F700" s="75">
        <v>0.61458333333333337</v>
      </c>
      <c r="H700" t="s">
        <v>1448</v>
      </c>
      <c r="I700" t="s">
        <v>967</v>
      </c>
    </row>
    <row r="701" spans="1:9" x14ac:dyDescent="0.6">
      <c r="A701" t="s">
        <v>1447</v>
      </c>
      <c r="B701" s="76">
        <v>1900</v>
      </c>
      <c r="C701" t="s">
        <v>941</v>
      </c>
      <c r="D701" t="s">
        <v>942</v>
      </c>
      <c r="E701" s="75">
        <v>0.65277777777777779</v>
      </c>
      <c r="F701" s="75">
        <v>0.66666666666666663</v>
      </c>
      <c r="H701" t="s">
        <v>1449</v>
      </c>
      <c r="I701" t="s">
        <v>967</v>
      </c>
    </row>
    <row r="702" spans="1:9" x14ac:dyDescent="0.6">
      <c r="A702" t="s">
        <v>1450</v>
      </c>
      <c r="B702" s="76">
        <v>1900</v>
      </c>
      <c r="C702" t="s">
        <v>1094</v>
      </c>
      <c r="D702" t="s">
        <v>942</v>
      </c>
      <c r="E702" s="75">
        <v>0.52083333333333337</v>
      </c>
      <c r="F702" s="75">
        <v>0.53472222222222221</v>
      </c>
      <c r="I702" t="s">
        <v>967</v>
      </c>
    </row>
    <row r="703" spans="1:9" x14ac:dyDescent="0.6">
      <c r="A703" t="s">
        <v>1450</v>
      </c>
      <c r="B703" s="76">
        <v>1900</v>
      </c>
      <c r="C703" t="s">
        <v>44</v>
      </c>
      <c r="D703" t="s">
        <v>1092</v>
      </c>
      <c r="E703" s="75">
        <v>0.55902777777777779</v>
      </c>
      <c r="F703" s="75">
        <v>0.56944444444444442</v>
      </c>
      <c r="H703" t="s">
        <v>1259</v>
      </c>
      <c r="I703" t="s">
        <v>967</v>
      </c>
    </row>
    <row r="704" spans="1:9" x14ac:dyDescent="0.6">
      <c r="A704" t="s">
        <v>1450</v>
      </c>
      <c r="B704" s="76">
        <v>1900</v>
      </c>
      <c r="C704" t="s">
        <v>66</v>
      </c>
      <c r="D704" t="s">
        <v>5</v>
      </c>
      <c r="E704" s="75">
        <v>0.57291666666666663</v>
      </c>
      <c r="F704" s="75">
        <v>0.57638888888888884</v>
      </c>
      <c r="H704" t="s">
        <v>992</v>
      </c>
      <c r="I704" t="s">
        <v>967</v>
      </c>
    </row>
    <row r="705" spans="1:9" x14ac:dyDescent="0.6">
      <c r="A705" t="s">
        <v>1450</v>
      </c>
      <c r="B705" s="76">
        <v>1900</v>
      </c>
      <c r="C705" t="s">
        <v>42</v>
      </c>
      <c r="D705" t="s">
        <v>1092</v>
      </c>
      <c r="E705" s="75">
        <v>0.57986111111111116</v>
      </c>
      <c r="F705" s="75">
        <v>0.59027777777777779</v>
      </c>
      <c r="H705" t="s">
        <v>992</v>
      </c>
      <c r="I705" t="s">
        <v>967</v>
      </c>
    </row>
    <row r="706" spans="1:9" x14ac:dyDescent="0.6">
      <c r="A706" t="s">
        <v>1450</v>
      </c>
      <c r="B706" s="76">
        <v>1900</v>
      </c>
      <c r="C706" t="s">
        <v>941</v>
      </c>
      <c r="D706" t="s">
        <v>942</v>
      </c>
      <c r="E706" s="75">
        <v>0.64236111111111116</v>
      </c>
      <c r="F706" s="75">
        <v>0.65625</v>
      </c>
      <c r="H706" t="s">
        <v>1451</v>
      </c>
      <c r="I706" t="s">
        <v>967</v>
      </c>
    </row>
    <row r="707" spans="1:9" x14ac:dyDescent="0.6">
      <c r="A707" t="s">
        <v>1452</v>
      </c>
      <c r="B707" s="76">
        <v>1900</v>
      </c>
      <c r="C707" t="s">
        <v>1094</v>
      </c>
      <c r="D707" t="s">
        <v>942</v>
      </c>
      <c r="E707" s="75">
        <v>0.52083333333333337</v>
      </c>
      <c r="F707" s="75">
        <v>0.53472222222222221</v>
      </c>
      <c r="I707" t="s">
        <v>967</v>
      </c>
    </row>
    <row r="708" spans="1:9" x14ac:dyDescent="0.6">
      <c r="A708" t="s">
        <v>1452</v>
      </c>
      <c r="B708" s="76">
        <v>1900</v>
      </c>
      <c r="C708" t="s">
        <v>94</v>
      </c>
      <c r="D708" t="s">
        <v>1092</v>
      </c>
      <c r="E708" s="75">
        <v>0.54513888888888884</v>
      </c>
      <c r="F708" s="75">
        <v>0.55555555555555558</v>
      </c>
      <c r="H708" t="s">
        <v>1255</v>
      </c>
      <c r="I708" t="s">
        <v>967</v>
      </c>
    </row>
    <row r="709" spans="1:9" x14ac:dyDescent="0.6">
      <c r="A709" t="s">
        <v>1452</v>
      </c>
      <c r="B709" s="76">
        <v>1900</v>
      </c>
      <c r="C709" t="s">
        <v>24</v>
      </c>
      <c r="D709" t="s">
        <v>1092</v>
      </c>
      <c r="E709" s="75">
        <v>0.56944444444444442</v>
      </c>
      <c r="F709" s="75">
        <v>0.58680555555555558</v>
      </c>
      <c r="H709">
        <v>5</v>
      </c>
      <c r="I709" t="s">
        <v>967</v>
      </c>
    </row>
    <row r="710" spans="1:9" x14ac:dyDescent="0.6">
      <c r="A710" t="s">
        <v>1452</v>
      </c>
      <c r="B710" s="76">
        <v>1900</v>
      </c>
      <c r="C710" t="s">
        <v>941</v>
      </c>
      <c r="D710" t="s">
        <v>942</v>
      </c>
      <c r="E710" s="75">
        <v>0.61111111111111116</v>
      </c>
      <c r="F710" s="75">
        <v>0.625</v>
      </c>
      <c r="H710" t="s">
        <v>1453</v>
      </c>
      <c r="I710" t="s">
        <v>967</v>
      </c>
    </row>
    <row r="711" spans="1:9" x14ac:dyDescent="0.6">
      <c r="A711" t="s">
        <v>1454</v>
      </c>
      <c r="B711" s="76">
        <v>1900</v>
      </c>
      <c r="C711" t="s">
        <v>1094</v>
      </c>
      <c r="D711" t="s">
        <v>942</v>
      </c>
      <c r="E711" s="75">
        <v>0.52083333333333337</v>
      </c>
      <c r="F711" s="75">
        <v>0.53472222222222221</v>
      </c>
      <c r="I711" t="s">
        <v>967</v>
      </c>
    </row>
    <row r="712" spans="1:9" x14ac:dyDescent="0.6">
      <c r="A712" t="s">
        <v>1454</v>
      </c>
      <c r="B712" s="76">
        <v>1900</v>
      </c>
      <c r="C712" t="s">
        <v>108</v>
      </c>
      <c r="D712" t="s">
        <v>1092</v>
      </c>
      <c r="E712" s="75">
        <v>0.5625</v>
      </c>
      <c r="F712" s="75">
        <v>0.57291666666666663</v>
      </c>
      <c r="H712" t="s">
        <v>1183</v>
      </c>
      <c r="I712" t="s">
        <v>967</v>
      </c>
    </row>
    <row r="713" spans="1:9" x14ac:dyDescent="0.6">
      <c r="A713" t="s">
        <v>1454</v>
      </c>
      <c r="B713" s="76">
        <v>1900</v>
      </c>
      <c r="C713" t="s">
        <v>103</v>
      </c>
      <c r="D713" t="s">
        <v>1092</v>
      </c>
      <c r="E713" s="75">
        <v>0.57638888888888884</v>
      </c>
      <c r="F713" s="75">
        <v>0.59027777777777779</v>
      </c>
      <c r="H713">
        <v>0</v>
      </c>
      <c r="I713" t="s">
        <v>967</v>
      </c>
    </row>
    <row r="714" spans="1:9" x14ac:dyDescent="0.6">
      <c r="A714" t="s">
        <v>1454</v>
      </c>
      <c r="B714" s="76">
        <v>1900</v>
      </c>
      <c r="C714" t="s">
        <v>113</v>
      </c>
      <c r="D714" t="s">
        <v>137</v>
      </c>
      <c r="E714" s="75">
        <v>0.60416666666666663</v>
      </c>
      <c r="F714" s="75">
        <v>0.61458333333333337</v>
      </c>
      <c r="H714" t="s">
        <v>1455</v>
      </c>
      <c r="I714" t="s">
        <v>967</v>
      </c>
    </row>
    <row r="715" spans="1:9" x14ac:dyDescent="0.6">
      <c r="A715" t="s">
        <v>1454</v>
      </c>
      <c r="B715" s="76">
        <v>1900</v>
      </c>
      <c r="C715" t="s">
        <v>941</v>
      </c>
      <c r="D715" t="s">
        <v>942</v>
      </c>
      <c r="E715" s="75">
        <v>0.65625</v>
      </c>
      <c r="F715" s="75">
        <v>0.67013888888888884</v>
      </c>
      <c r="H715" t="s">
        <v>1456</v>
      </c>
      <c r="I715" t="s">
        <v>967</v>
      </c>
    </row>
    <row r="716" spans="1:9" x14ac:dyDescent="0.6">
      <c r="A716" t="s">
        <v>1457</v>
      </c>
      <c r="B716" s="76">
        <v>1900</v>
      </c>
      <c r="C716" t="s">
        <v>1094</v>
      </c>
      <c r="D716" t="s">
        <v>942</v>
      </c>
      <c r="E716" s="75">
        <v>0.52083333333333337</v>
      </c>
      <c r="F716" s="75">
        <v>0.53472222222222221</v>
      </c>
      <c r="I716" t="s">
        <v>967</v>
      </c>
    </row>
    <row r="717" spans="1:9" x14ac:dyDescent="0.6">
      <c r="A717" t="s">
        <v>1457</v>
      </c>
      <c r="B717" s="76">
        <v>1900</v>
      </c>
      <c r="C717" t="s">
        <v>93</v>
      </c>
      <c r="D717" t="s">
        <v>1092</v>
      </c>
      <c r="E717" s="75">
        <v>0.55208333333333337</v>
      </c>
      <c r="F717" s="75">
        <v>0.56597222222222221</v>
      </c>
      <c r="H717" t="s">
        <v>1321</v>
      </c>
      <c r="I717" t="s">
        <v>967</v>
      </c>
    </row>
    <row r="718" spans="1:9" x14ac:dyDescent="0.6">
      <c r="A718" t="s">
        <v>1457</v>
      </c>
      <c r="B718" s="76">
        <v>1900</v>
      </c>
      <c r="C718" t="s">
        <v>22</v>
      </c>
      <c r="D718" t="s">
        <v>1092</v>
      </c>
      <c r="E718" s="75">
        <v>0.57638888888888884</v>
      </c>
      <c r="F718" s="75">
        <v>0.58680555555555558</v>
      </c>
      <c r="H718" t="s">
        <v>1322</v>
      </c>
      <c r="I718" t="s">
        <v>967</v>
      </c>
    </row>
    <row r="719" spans="1:9" x14ac:dyDescent="0.6">
      <c r="A719" t="s">
        <v>1457</v>
      </c>
      <c r="B719" s="76">
        <v>1900</v>
      </c>
      <c r="C719" t="s">
        <v>941</v>
      </c>
      <c r="D719" t="s">
        <v>942</v>
      </c>
      <c r="E719" s="75">
        <v>0.61111111111111116</v>
      </c>
      <c r="F719" s="75">
        <v>0.625</v>
      </c>
      <c r="H719" t="s">
        <v>1458</v>
      </c>
      <c r="I719" t="s">
        <v>967</v>
      </c>
    </row>
    <row r="720" spans="1:9" x14ac:dyDescent="0.6">
      <c r="A720" t="s">
        <v>1459</v>
      </c>
      <c r="B720" s="76">
        <v>1900</v>
      </c>
      <c r="C720" t="s">
        <v>1094</v>
      </c>
      <c r="D720" t="s">
        <v>942</v>
      </c>
      <c r="E720" s="75">
        <v>0.52083333333333337</v>
      </c>
      <c r="F720" s="75">
        <v>0.53472222222222221</v>
      </c>
      <c r="I720" t="s">
        <v>967</v>
      </c>
    </row>
    <row r="721" spans="1:9" x14ac:dyDescent="0.6">
      <c r="A721" t="s">
        <v>1459</v>
      </c>
      <c r="B721" s="76">
        <v>1900</v>
      </c>
      <c r="C721" t="s">
        <v>96</v>
      </c>
      <c r="D721" t="s">
        <v>5</v>
      </c>
      <c r="E721" s="75">
        <v>0.54861111111111116</v>
      </c>
      <c r="F721" s="75">
        <v>0.55902777777777779</v>
      </c>
      <c r="H721" t="s">
        <v>1198</v>
      </c>
      <c r="I721" t="s">
        <v>967</v>
      </c>
    </row>
    <row r="722" spans="1:9" x14ac:dyDescent="0.6">
      <c r="A722" t="s">
        <v>1459</v>
      </c>
      <c r="B722" s="76">
        <v>1900</v>
      </c>
      <c r="C722" t="s">
        <v>72</v>
      </c>
      <c r="D722" t="s">
        <v>1092</v>
      </c>
      <c r="E722" s="75">
        <v>0.57986111111111116</v>
      </c>
      <c r="F722" s="75">
        <v>0.59722222222222221</v>
      </c>
      <c r="H722" t="s">
        <v>1460</v>
      </c>
      <c r="I722" t="s">
        <v>967</v>
      </c>
    </row>
    <row r="723" spans="1:9" x14ac:dyDescent="0.6">
      <c r="A723" t="s">
        <v>1459</v>
      </c>
      <c r="B723" s="76">
        <v>1900</v>
      </c>
      <c r="C723" t="s">
        <v>96</v>
      </c>
      <c r="D723" t="s">
        <v>137</v>
      </c>
      <c r="E723" s="75">
        <v>0.60763888888888884</v>
      </c>
      <c r="F723" s="75">
        <v>0.61805555555555558</v>
      </c>
      <c r="H723" t="s">
        <v>1461</v>
      </c>
      <c r="I723" t="s">
        <v>967</v>
      </c>
    </row>
    <row r="724" spans="1:9" x14ac:dyDescent="0.6">
      <c r="A724" t="s">
        <v>1459</v>
      </c>
      <c r="B724" s="76">
        <v>1900</v>
      </c>
      <c r="C724" t="s">
        <v>941</v>
      </c>
      <c r="D724" t="s">
        <v>942</v>
      </c>
      <c r="E724" s="75">
        <v>0.65277777777777779</v>
      </c>
      <c r="F724" s="75">
        <v>0.66666666666666663</v>
      </c>
      <c r="H724" t="s">
        <v>1462</v>
      </c>
      <c r="I724" t="s">
        <v>967</v>
      </c>
    </row>
    <row r="725" spans="1:9" x14ac:dyDescent="0.6">
      <c r="A725" t="s">
        <v>1463</v>
      </c>
      <c r="B725" s="76">
        <v>1900</v>
      </c>
      <c r="C725" t="s">
        <v>1094</v>
      </c>
      <c r="D725" t="s">
        <v>942</v>
      </c>
      <c r="E725" s="75">
        <v>0.52083333333333337</v>
      </c>
      <c r="F725" s="75">
        <v>0.53472222222222221</v>
      </c>
      <c r="I725" t="s">
        <v>967</v>
      </c>
    </row>
    <row r="726" spans="1:9" x14ac:dyDescent="0.6">
      <c r="A726" t="s">
        <v>1463</v>
      </c>
      <c r="B726" s="76">
        <v>1900</v>
      </c>
      <c r="C726" t="s">
        <v>27</v>
      </c>
      <c r="D726" t="s">
        <v>1092</v>
      </c>
      <c r="E726" s="75">
        <v>0.56944444444444442</v>
      </c>
      <c r="F726" s="75">
        <v>0.59027777777777779</v>
      </c>
      <c r="H726" t="s">
        <v>1290</v>
      </c>
      <c r="I726" t="s">
        <v>967</v>
      </c>
    </row>
    <row r="727" spans="1:9" x14ac:dyDescent="0.6">
      <c r="A727" t="s">
        <v>1463</v>
      </c>
      <c r="B727" s="76">
        <v>1900</v>
      </c>
      <c r="C727" t="s">
        <v>941</v>
      </c>
      <c r="D727" t="s">
        <v>942</v>
      </c>
      <c r="E727" s="75">
        <v>0.61458333333333337</v>
      </c>
      <c r="F727" s="75">
        <v>0.62847222222222221</v>
      </c>
      <c r="H727" t="s">
        <v>1464</v>
      </c>
      <c r="I727" t="s">
        <v>967</v>
      </c>
    </row>
    <row r="728" spans="1:9" x14ac:dyDescent="0.6">
      <c r="A728" t="s">
        <v>1465</v>
      </c>
      <c r="B728" s="76">
        <v>1900</v>
      </c>
      <c r="C728" t="s">
        <v>1094</v>
      </c>
      <c r="D728" t="s">
        <v>942</v>
      </c>
      <c r="E728" s="75">
        <v>0.52083333333333337</v>
      </c>
      <c r="F728" s="75">
        <v>0.53472222222222221</v>
      </c>
      <c r="I728" t="s">
        <v>967</v>
      </c>
    </row>
    <row r="729" spans="1:9" x14ac:dyDescent="0.6">
      <c r="A729" t="s">
        <v>1465</v>
      </c>
      <c r="B729" s="76">
        <v>1900</v>
      </c>
      <c r="C729" t="s">
        <v>1258</v>
      </c>
      <c r="D729" t="s">
        <v>5</v>
      </c>
      <c r="E729" s="75">
        <v>0.55902777777777779</v>
      </c>
      <c r="F729" s="75">
        <v>0.56597222222222221</v>
      </c>
      <c r="H729" t="s">
        <v>1259</v>
      </c>
      <c r="I729" t="s">
        <v>967</v>
      </c>
    </row>
    <row r="730" spans="1:9" x14ac:dyDescent="0.6">
      <c r="A730" t="s">
        <v>1465</v>
      </c>
      <c r="B730" s="76">
        <v>1900</v>
      </c>
      <c r="C730" t="s">
        <v>67</v>
      </c>
      <c r="D730" t="s">
        <v>1092</v>
      </c>
      <c r="E730" s="75">
        <v>0.56944444444444442</v>
      </c>
      <c r="F730" s="75">
        <v>0.57986111111111116</v>
      </c>
      <c r="H730" t="s">
        <v>992</v>
      </c>
      <c r="I730" t="s">
        <v>967</v>
      </c>
    </row>
    <row r="731" spans="1:9" x14ac:dyDescent="0.6">
      <c r="A731" t="s">
        <v>1465</v>
      </c>
      <c r="B731" s="76">
        <v>1900</v>
      </c>
      <c r="C731" t="s">
        <v>66</v>
      </c>
      <c r="D731" t="s">
        <v>137</v>
      </c>
      <c r="E731" s="75">
        <v>0.58333333333333337</v>
      </c>
      <c r="F731" s="75">
        <v>0.59027777777777779</v>
      </c>
      <c r="H731">
        <v>0</v>
      </c>
      <c r="I731" t="s">
        <v>967</v>
      </c>
    </row>
    <row r="732" spans="1:9" x14ac:dyDescent="0.6">
      <c r="A732" t="s">
        <v>1465</v>
      </c>
      <c r="B732" s="76">
        <v>1900</v>
      </c>
      <c r="C732" t="s">
        <v>43</v>
      </c>
      <c r="D732" t="s">
        <v>137</v>
      </c>
      <c r="E732" s="75">
        <v>0.60069444444444442</v>
      </c>
      <c r="F732" s="75">
        <v>0.61111111111111116</v>
      </c>
      <c r="H732" t="s">
        <v>1466</v>
      </c>
      <c r="I732" t="s">
        <v>967</v>
      </c>
    </row>
    <row r="733" spans="1:9" x14ac:dyDescent="0.6">
      <c r="A733" t="s">
        <v>1465</v>
      </c>
      <c r="B733" s="76">
        <v>1900</v>
      </c>
      <c r="C733" t="s">
        <v>941</v>
      </c>
      <c r="D733" t="s">
        <v>942</v>
      </c>
      <c r="E733" s="75">
        <v>0.65972222222222221</v>
      </c>
      <c r="F733" s="75">
        <v>0.67361111111111116</v>
      </c>
      <c r="H733" t="s">
        <v>1467</v>
      </c>
      <c r="I733" t="s">
        <v>967</v>
      </c>
    </row>
    <row r="734" spans="1:9" x14ac:dyDescent="0.6">
      <c r="A734" t="s">
        <v>1468</v>
      </c>
      <c r="B734" s="76">
        <v>1900</v>
      </c>
      <c r="C734" t="s">
        <v>1094</v>
      </c>
      <c r="D734" t="s">
        <v>942</v>
      </c>
      <c r="E734" s="75">
        <v>0.52083333333333337</v>
      </c>
      <c r="F734" s="75">
        <v>0.53472222222222221</v>
      </c>
      <c r="I734" t="s">
        <v>967</v>
      </c>
    </row>
    <row r="735" spans="1:9" x14ac:dyDescent="0.6">
      <c r="A735" t="s">
        <v>1468</v>
      </c>
      <c r="B735" s="76">
        <v>1900</v>
      </c>
      <c r="C735" t="s">
        <v>95</v>
      </c>
      <c r="D735" t="s">
        <v>5</v>
      </c>
      <c r="E735" s="75">
        <v>0.55208333333333337</v>
      </c>
      <c r="F735" s="75">
        <v>0.5625</v>
      </c>
      <c r="H735" t="s">
        <v>1317</v>
      </c>
      <c r="I735" t="s">
        <v>967</v>
      </c>
    </row>
    <row r="736" spans="1:9" x14ac:dyDescent="0.6">
      <c r="A736" t="s">
        <v>1468</v>
      </c>
      <c r="B736" s="76">
        <v>1900</v>
      </c>
      <c r="C736" t="s">
        <v>100</v>
      </c>
      <c r="D736" t="s">
        <v>1092</v>
      </c>
      <c r="E736" s="75">
        <v>0.57291666666666663</v>
      </c>
      <c r="F736" s="75">
        <v>0.59375</v>
      </c>
      <c r="H736" t="s">
        <v>1318</v>
      </c>
      <c r="I736" t="s">
        <v>967</v>
      </c>
    </row>
    <row r="737" spans="1:9" x14ac:dyDescent="0.6">
      <c r="A737" t="s">
        <v>1468</v>
      </c>
      <c r="B737" s="76">
        <v>1900</v>
      </c>
      <c r="C737" t="s">
        <v>941</v>
      </c>
      <c r="D737" t="s">
        <v>137</v>
      </c>
      <c r="E737" s="75">
        <v>0.63194444444444442</v>
      </c>
      <c r="F737" s="75">
        <v>0.64583333333333337</v>
      </c>
      <c r="H737" t="s">
        <v>1029</v>
      </c>
      <c r="I737" t="s">
        <v>967</v>
      </c>
    </row>
    <row r="738" spans="1:9" x14ac:dyDescent="0.6">
      <c r="A738" t="s">
        <v>1469</v>
      </c>
      <c r="B738" s="76">
        <v>1900</v>
      </c>
      <c r="C738" t="s">
        <v>1094</v>
      </c>
      <c r="D738" t="s">
        <v>942</v>
      </c>
      <c r="E738" s="75">
        <v>0.52083333333333337</v>
      </c>
      <c r="F738" s="75">
        <v>0.53472222222222221</v>
      </c>
      <c r="I738" t="s">
        <v>967</v>
      </c>
    </row>
    <row r="739" spans="1:9" x14ac:dyDescent="0.6">
      <c r="A739" t="s">
        <v>1469</v>
      </c>
      <c r="B739" s="76">
        <v>1900</v>
      </c>
      <c r="C739" t="s">
        <v>118</v>
      </c>
      <c r="D739" t="s">
        <v>1092</v>
      </c>
      <c r="E739" s="75">
        <v>0.55208333333333337</v>
      </c>
      <c r="F739" s="75">
        <v>0.5625</v>
      </c>
      <c r="H739" t="s">
        <v>1007</v>
      </c>
      <c r="I739" t="s">
        <v>967</v>
      </c>
    </row>
    <row r="740" spans="1:9" x14ac:dyDescent="0.6">
      <c r="A740" t="s">
        <v>1469</v>
      </c>
      <c r="B740" s="76">
        <v>1900</v>
      </c>
      <c r="C740" t="s">
        <v>117</v>
      </c>
      <c r="D740" t="s">
        <v>1092</v>
      </c>
      <c r="E740" s="75">
        <v>0.57291666666666663</v>
      </c>
      <c r="F740" s="75">
        <v>0.59375</v>
      </c>
      <c r="H740" t="s">
        <v>1062</v>
      </c>
      <c r="I740" t="s">
        <v>967</v>
      </c>
    </row>
    <row r="741" spans="1:9" x14ac:dyDescent="0.6">
      <c r="A741" t="s">
        <v>1469</v>
      </c>
      <c r="B741" s="76">
        <v>1900</v>
      </c>
      <c r="C741" t="s">
        <v>941</v>
      </c>
      <c r="D741" t="s">
        <v>942</v>
      </c>
      <c r="E741" s="75">
        <v>0.63194444444444442</v>
      </c>
      <c r="F741" s="75">
        <v>0.64583333333333337</v>
      </c>
      <c r="H741" t="s">
        <v>1470</v>
      </c>
      <c r="I741" t="s">
        <v>967</v>
      </c>
    </row>
    <row r="742" spans="1:9" x14ac:dyDescent="0.6">
      <c r="A742" t="s">
        <v>1471</v>
      </c>
      <c r="B742" s="76">
        <v>1900</v>
      </c>
      <c r="C742" t="s">
        <v>1094</v>
      </c>
      <c r="D742" t="s">
        <v>942</v>
      </c>
      <c r="E742" s="75">
        <v>0.52083333333333337</v>
      </c>
      <c r="F742" s="75">
        <v>0.53472222222222221</v>
      </c>
      <c r="I742" t="s">
        <v>956</v>
      </c>
    </row>
    <row r="743" spans="1:9" x14ac:dyDescent="0.6">
      <c r="A743" t="s">
        <v>1471</v>
      </c>
      <c r="B743" s="76">
        <v>1900</v>
      </c>
      <c r="C743" t="s">
        <v>123</v>
      </c>
      <c r="D743" t="s">
        <v>5</v>
      </c>
      <c r="E743" s="75">
        <v>0.55208333333333337</v>
      </c>
      <c r="F743" s="75">
        <v>0.5625</v>
      </c>
      <c r="H743" t="s">
        <v>1314</v>
      </c>
      <c r="I743" t="s">
        <v>956</v>
      </c>
    </row>
    <row r="744" spans="1:9" x14ac:dyDescent="0.6">
      <c r="A744" t="s">
        <v>1471</v>
      </c>
      <c r="B744" s="76">
        <v>1900</v>
      </c>
      <c r="C744" t="s">
        <v>47</v>
      </c>
      <c r="D744" t="s">
        <v>1092</v>
      </c>
      <c r="E744" s="75">
        <v>0.57291666666666663</v>
      </c>
      <c r="F744" s="75">
        <v>0.59027777777777779</v>
      </c>
      <c r="H744" t="s">
        <v>1315</v>
      </c>
      <c r="I744" t="s">
        <v>956</v>
      </c>
    </row>
    <row r="745" spans="1:9" x14ac:dyDescent="0.6">
      <c r="A745" t="s">
        <v>1471</v>
      </c>
      <c r="B745" s="76">
        <v>1900</v>
      </c>
      <c r="C745" t="s">
        <v>941</v>
      </c>
      <c r="D745" t="s">
        <v>942</v>
      </c>
      <c r="E745" s="75">
        <v>0.63541666666666663</v>
      </c>
      <c r="F745" s="75">
        <v>0.64930555555555558</v>
      </c>
      <c r="H745" t="s">
        <v>1472</v>
      </c>
      <c r="I745" t="s">
        <v>956</v>
      </c>
    </row>
    <row r="746" spans="1:9" x14ac:dyDescent="0.6">
      <c r="A746" t="s">
        <v>1473</v>
      </c>
      <c r="B746" s="76">
        <v>1900</v>
      </c>
      <c r="C746" t="s">
        <v>1094</v>
      </c>
      <c r="D746" t="s">
        <v>942</v>
      </c>
      <c r="E746" s="75">
        <v>0.52083333333333337</v>
      </c>
      <c r="F746" s="75">
        <v>0.53472222222222221</v>
      </c>
      <c r="I746" t="s">
        <v>951</v>
      </c>
    </row>
    <row r="747" spans="1:9" x14ac:dyDescent="0.6">
      <c r="A747" t="s">
        <v>1473</v>
      </c>
      <c r="B747" s="76">
        <v>1900</v>
      </c>
      <c r="C747" t="s">
        <v>122</v>
      </c>
      <c r="D747" t="s">
        <v>5</v>
      </c>
      <c r="E747" s="75">
        <v>0.54861111111111116</v>
      </c>
      <c r="F747" s="75">
        <v>0.55555555555555558</v>
      </c>
      <c r="H747" t="s">
        <v>1339</v>
      </c>
      <c r="I747" t="s">
        <v>951</v>
      </c>
    </row>
    <row r="748" spans="1:9" x14ac:dyDescent="0.6">
      <c r="A748" t="s">
        <v>1473</v>
      </c>
      <c r="B748" s="76">
        <v>1900</v>
      </c>
      <c r="C748" t="s">
        <v>114</v>
      </c>
      <c r="D748" t="s">
        <v>1092</v>
      </c>
      <c r="E748" s="75">
        <v>0.56597222222222221</v>
      </c>
      <c r="F748" s="75">
        <v>0.58680555555555558</v>
      </c>
      <c r="H748" t="s">
        <v>1076</v>
      </c>
      <c r="I748" t="s">
        <v>951</v>
      </c>
    </row>
    <row r="749" spans="1:9" x14ac:dyDescent="0.6">
      <c r="A749" t="s">
        <v>1473</v>
      </c>
      <c r="B749" s="76">
        <v>1900</v>
      </c>
      <c r="C749" t="s">
        <v>941</v>
      </c>
      <c r="D749" t="s">
        <v>942</v>
      </c>
      <c r="E749" s="75">
        <v>0.625</v>
      </c>
      <c r="F749" s="75">
        <v>0.63888888888888884</v>
      </c>
      <c r="H749" t="s">
        <v>1474</v>
      </c>
      <c r="I749" t="s">
        <v>951</v>
      </c>
    </row>
    <row r="750" spans="1:9" x14ac:dyDescent="0.6">
      <c r="A750" t="s">
        <v>1475</v>
      </c>
      <c r="B750" s="76">
        <v>1900</v>
      </c>
      <c r="C750" t="s">
        <v>1094</v>
      </c>
      <c r="D750" t="s">
        <v>942</v>
      </c>
      <c r="E750" s="75">
        <v>0.52083333333333337</v>
      </c>
      <c r="F750" s="75">
        <v>0.53472222222222221</v>
      </c>
      <c r="I750" t="s">
        <v>951</v>
      </c>
    </row>
    <row r="751" spans="1:9" x14ac:dyDescent="0.6">
      <c r="A751" t="s">
        <v>1475</v>
      </c>
      <c r="B751" s="76">
        <v>1900</v>
      </c>
      <c r="C751" t="s">
        <v>50</v>
      </c>
      <c r="D751" t="s">
        <v>5</v>
      </c>
      <c r="E751" s="75">
        <v>0.54513888888888884</v>
      </c>
      <c r="F751" s="75">
        <v>0.55555555555555558</v>
      </c>
      <c r="H751" t="s">
        <v>1168</v>
      </c>
      <c r="I751" t="s">
        <v>951</v>
      </c>
    </row>
    <row r="752" spans="1:9" x14ac:dyDescent="0.6">
      <c r="A752" t="s">
        <v>1475</v>
      </c>
      <c r="B752" s="76">
        <v>1900</v>
      </c>
      <c r="C752" t="s">
        <v>116</v>
      </c>
      <c r="D752" t="s">
        <v>1092</v>
      </c>
      <c r="E752" s="75">
        <v>0.56944444444444442</v>
      </c>
      <c r="F752" s="75">
        <v>0.58333333333333337</v>
      </c>
      <c r="H752" t="s">
        <v>1476</v>
      </c>
      <c r="I752" t="s">
        <v>951</v>
      </c>
    </row>
    <row r="753" spans="1:9" x14ac:dyDescent="0.6">
      <c r="A753" t="s">
        <v>1475</v>
      </c>
      <c r="B753" s="76">
        <v>1900</v>
      </c>
      <c r="C753" t="s">
        <v>50</v>
      </c>
      <c r="D753" t="s">
        <v>137</v>
      </c>
      <c r="E753" s="75">
        <v>0.59722222222222221</v>
      </c>
      <c r="F753" s="75">
        <v>0.61111111111111116</v>
      </c>
      <c r="H753" t="s">
        <v>1167</v>
      </c>
      <c r="I753" t="s">
        <v>951</v>
      </c>
    </row>
    <row r="754" spans="1:9" x14ac:dyDescent="0.6">
      <c r="A754" t="s">
        <v>1475</v>
      </c>
      <c r="B754" s="76">
        <v>1900</v>
      </c>
      <c r="C754" t="s">
        <v>941</v>
      </c>
      <c r="D754" t="s">
        <v>942</v>
      </c>
      <c r="E754" s="75">
        <v>0.64236111111111116</v>
      </c>
      <c r="F754" s="75">
        <v>0.65625</v>
      </c>
      <c r="H754">
        <v>17</v>
      </c>
      <c r="I754" t="s">
        <v>951</v>
      </c>
    </row>
    <row r="755" spans="1:9" x14ac:dyDescent="0.6">
      <c r="A755" t="s">
        <v>1477</v>
      </c>
      <c r="B755" s="76">
        <v>1900</v>
      </c>
      <c r="C755" t="s">
        <v>1094</v>
      </c>
      <c r="D755" t="s">
        <v>942</v>
      </c>
      <c r="E755" s="75">
        <v>0.52083333333333337</v>
      </c>
      <c r="F755" s="75">
        <v>0.53472222222222221</v>
      </c>
      <c r="I755" t="s">
        <v>951</v>
      </c>
    </row>
    <row r="756" spans="1:9" x14ac:dyDescent="0.6">
      <c r="A756" t="s">
        <v>1477</v>
      </c>
      <c r="B756" s="76">
        <v>1900</v>
      </c>
      <c r="C756" t="s">
        <v>99</v>
      </c>
      <c r="D756" t="s">
        <v>1092</v>
      </c>
      <c r="E756" s="75">
        <v>0.55555555555555558</v>
      </c>
      <c r="F756" s="75">
        <v>0.56597222222222221</v>
      </c>
      <c r="H756" t="s">
        <v>1343</v>
      </c>
      <c r="I756" t="s">
        <v>951</v>
      </c>
    </row>
    <row r="757" spans="1:9" x14ac:dyDescent="0.6">
      <c r="A757" t="s">
        <v>1477</v>
      </c>
      <c r="B757" s="76">
        <v>1900</v>
      </c>
      <c r="C757" t="s">
        <v>98</v>
      </c>
      <c r="D757" t="s">
        <v>1092</v>
      </c>
      <c r="E757" s="75">
        <v>0.56944444444444442</v>
      </c>
      <c r="F757" s="75">
        <v>0.57638888888888884</v>
      </c>
      <c r="H757">
        <v>0</v>
      </c>
      <c r="I757" t="s">
        <v>951</v>
      </c>
    </row>
    <row r="758" spans="1:9" x14ac:dyDescent="0.6">
      <c r="A758" t="s">
        <v>1477</v>
      </c>
      <c r="B758" s="76">
        <v>1900</v>
      </c>
      <c r="C758" t="s">
        <v>97</v>
      </c>
      <c r="D758" t="s">
        <v>137</v>
      </c>
      <c r="E758" s="75">
        <v>0.57986111111111116</v>
      </c>
      <c r="F758" s="75">
        <v>0.58680555555555558</v>
      </c>
      <c r="H758">
        <v>0</v>
      </c>
      <c r="I758" t="s">
        <v>951</v>
      </c>
    </row>
    <row r="759" spans="1:9" x14ac:dyDescent="0.6">
      <c r="A759" t="s">
        <v>1477</v>
      </c>
      <c r="B759" s="76">
        <v>1900</v>
      </c>
      <c r="C759" t="s">
        <v>95</v>
      </c>
      <c r="D759" t="s">
        <v>137</v>
      </c>
      <c r="E759" s="75">
        <v>0.60069444444444442</v>
      </c>
      <c r="F759" s="75">
        <v>0.61111111111111116</v>
      </c>
      <c r="H759" t="s">
        <v>1478</v>
      </c>
      <c r="I759" t="s">
        <v>951</v>
      </c>
    </row>
    <row r="760" spans="1:9" x14ac:dyDescent="0.6">
      <c r="A760" t="s">
        <v>1477</v>
      </c>
      <c r="B760" s="76">
        <v>1900</v>
      </c>
      <c r="C760" t="s">
        <v>941</v>
      </c>
      <c r="D760" t="s">
        <v>942</v>
      </c>
      <c r="E760" s="75">
        <v>0.65277777777777779</v>
      </c>
      <c r="F760" s="75">
        <v>0.66666666666666663</v>
      </c>
      <c r="H760" t="s">
        <v>1479</v>
      </c>
      <c r="I760" t="s">
        <v>951</v>
      </c>
    </row>
    <row r="761" spans="1:9" x14ac:dyDescent="0.6">
      <c r="A761" t="s">
        <v>1480</v>
      </c>
      <c r="B761" s="76">
        <v>1900</v>
      </c>
      <c r="C761" t="s">
        <v>1094</v>
      </c>
      <c r="D761" t="s">
        <v>942</v>
      </c>
      <c r="E761" s="75">
        <v>0.52083333333333337</v>
      </c>
      <c r="F761" s="75">
        <v>0.53472222222222221</v>
      </c>
      <c r="I761" t="s">
        <v>961</v>
      </c>
    </row>
    <row r="762" spans="1:9" x14ac:dyDescent="0.6">
      <c r="A762" t="s">
        <v>1480</v>
      </c>
      <c r="B762" s="76">
        <v>1900</v>
      </c>
      <c r="C762" t="s">
        <v>124</v>
      </c>
      <c r="D762" t="s">
        <v>1092</v>
      </c>
      <c r="E762" s="75">
        <v>0.55208333333333337</v>
      </c>
      <c r="F762" s="75">
        <v>0.56597222222222221</v>
      </c>
      <c r="H762" t="s">
        <v>1203</v>
      </c>
      <c r="I762" t="s">
        <v>961</v>
      </c>
    </row>
    <row r="763" spans="1:9" x14ac:dyDescent="0.6">
      <c r="A763" t="s">
        <v>1480</v>
      </c>
      <c r="B763" s="76">
        <v>1900</v>
      </c>
      <c r="C763" t="s">
        <v>120</v>
      </c>
      <c r="D763" t="s">
        <v>1092</v>
      </c>
      <c r="E763" s="75">
        <v>0.56944444444444442</v>
      </c>
      <c r="F763" s="75">
        <v>0.57638888888888884</v>
      </c>
      <c r="H763">
        <v>0</v>
      </c>
      <c r="I763" t="s">
        <v>961</v>
      </c>
    </row>
    <row r="764" spans="1:9" x14ac:dyDescent="0.6">
      <c r="A764" t="s">
        <v>1480</v>
      </c>
      <c r="B764" s="76">
        <v>1900</v>
      </c>
      <c r="C764" t="s">
        <v>50</v>
      </c>
      <c r="D764" t="s">
        <v>137</v>
      </c>
      <c r="E764" s="75">
        <v>0.59722222222222221</v>
      </c>
      <c r="F764" s="75">
        <v>0.60763888888888884</v>
      </c>
      <c r="H764" t="s">
        <v>1481</v>
      </c>
      <c r="I764" t="s">
        <v>961</v>
      </c>
    </row>
    <row r="765" spans="1:9" x14ac:dyDescent="0.6">
      <c r="A765" t="s">
        <v>1480</v>
      </c>
      <c r="B765" s="76">
        <v>1900</v>
      </c>
      <c r="C765" t="s">
        <v>941</v>
      </c>
      <c r="D765" t="s">
        <v>942</v>
      </c>
      <c r="E765" s="75">
        <v>0.63888888888888884</v>
      </c>
      <c r="F765" s="75">
        <v>0.65277777777777779</v>
      </c>
      <c r="H765">
        <v>17</v>
      </c>
      <c r="I765" t="s">
        <v>961</v>
      </c>
    </row>
    <row r="766" spans="1:9" x14ac:dyDescent="0.6">
      <c r="A766" t="s">
        <v>1482</v>
      </c>
      <c r="B766" s="76">
        <v>1900</v>
      </c>
      <c r="C766" t="s">
        <v>1094</v>
      </c>
      <c r="D766" t="s">
        <v>942</v>
      </c>
      <c r="E766" s="75">
        <v>0.53472222222222221</v>
      </c>
      <c r="F766" s="75">
        <v>0.54861111111111116</v>
      </c>
      <c r="I766" t="s">
        <v>967</v>
      </c>
    </row>
    <row r="767" spans="1:9" x14ac:dyDescent="0.6">
      <c r="A767" t="s">
        <v>1482</v>
      </c>
      <c r="B767" s="76">
        <v>1900</v>
      </c>
      <c r="C767" t="s">
        <v>115</v>
      </c>
      <c r="D767" t="s">
        <v>1092</v>
      </c>
      <c r="E767" s="75">
        <v>0.57291666666666663</v>
      </c>
      <c r="F767" s="75">
        <v>0.58680555555555558</v>
      </c>
      <c r="H767" t="s">
        <v>1187</v>
      </c>
      <c r="I767" t="s">
        <v>967</v>
      </c>
    </row>
    <row r="768" spans="1:9" x14ac:dyDescent="0.6">
      <c r="A768" t="s">
        <v>1482</v>
      </c>
      <c r="B768" s="76">
        <v>1900</v>
      </c>
      <c r="C768" t="s">
        <v>122</v>
      </c>
      <c r="D768" t="s">
        <v>137</v>
      </c>
      <c r="E768" s="75">
        <v>0.60763888888888884</v>
      </c>
      <c r="F768" s="75">
        <v>0.61805555555555558</v>
      </c>
      <c r="H768" t="s">
        <v>1483</v>
      </c>
      <c r="I768" t="s">
        <v>967</v>
      </c>
    </row>
    <row r="769" spans="1:9" x14ac:dyDescent="0.6">
      <c r="A769" t="s">
        <v>1482</v>
      </c>
      <c r="B769" s="76">
        <v>1900</v>
      </c>
      <c r="C769" t="s">
        <v>941</v>
      </c>
      <c r="D769" t="s">
        <v>942</v>
      </c>
      <c r="E769" s="75">
        <v>0.65277777777777779</v>
      </c>
      <c r="F769" s="75">
        <v>0.66666666666666663</v>
      </c>
      <c r="H769" t="s">
        <v>1484</v>
      </c>
      <c r="I769" t="s">
        <v>967</v>
      </c>
    </row>
    <row r="770" spans="1:9" x14ac:dyDescent="0.6">
      <c r="A770" t="s">
        <v>1485</v>
      </c>
      <c r="B770" s="76">
        <v>1900</v>
      </c>
      <c r="C770" t="s">
        <v>1094</v>
      </c>
      <c r="D770" t="s">
        <v>942</v>
      </c>
      <c r="E770" s="75">
        <v>0.53472222222222221</v>
      </c>
      <c r="F770" s="75">
        <v>0.54861111111111116</v>
      </c>
      <c r="I770" t="s">
        <v>967</v>
      </c>
    </row>
    <row r="771" spans="1:9" x14ac:dyDescent="0.6">
      <c r="A771" t="s">
        <v>1485</v>
      </c>
      <c r="B771" s="76">
        <v>1900</v>
      </c>
      <c r="C771" t="s">
        <v>33</v>
      </c>
      <c r="D771" t="s">
        <v>1092</v>
      </c>
      <c r="E771" s="75">
        <v>0.57291666666666663</v>
      </c>
      <c r="F771" s="75">
        <v>0.59375</v>
      </c>
      <c r="H771" t="s">
        <v>1329</v>
      </c>
      <c r="I771" t="s">
        <v>967</v>
      </c>
    </row>
    <row r="772" spans="1:9" x14ac:dyDescent="0.6">
      <c r="A772" t="s">
        <v>1485</v>
      </c>
      <c r="B772" s="76">
        <v>1900</v>
      </c>
      <c r="C772" t="s">
        <v>941</v>
      </c>
      <c r="D772" t="s">
        <v>942</v>
      </c>
      <c r="E772" s="75">
        <v>0.62152777777777779</v>
      </c>
      <c r="F772" s="75">
        <v>0.63541666666666663</v>
      </c>
      <c r="H772" t="s">
        <v>1068</v>
      </c>
      <c r="I772" t="s">
        <v>967</v>
      </c>
    </row>
    <row r="773" spans="1:9" x14ac:dyDescent="0.6">
      <c r="A773" t="s">
        <v>1486</v>
      </c>
      <c r="B773" s="76">
        <v>1900</v>
      </c>
      <c r="C773" t="s">
        <v>1094</v>
      </c>
      <c r="D773" t="s">
        <v>942</v>
      </c>
      <c r="E773" s="75">
        <v>0.53472222222222221</v>
      </c>
      <c r="F773" s="75">
        <v>0.54861111111111116</v>
      </c>
      <c r="I773" t="s">
        <v>967</v>
      </c>
    </row>
    <row r="774" spans="1:9" x14ac:dyDescent="0.6">
      <c r="A774" t="s">
        <v>1486</v>
      </c>
      <c r="B774" s="76">
        <v>1900</v>
      </c>
      <c r="C774" t="s">
        <v>58</v>
      </c>
      <c r="D774" t="s">
        <v>1092</v>
      </c>
      <c r="E774" s="75">
        <v>0.57291666666666663</v>
      </c>
      <c r="F774" s="75">
        <v>0.58680555555555558</v>
      </c>
      <c r="H774" t="s">
        <v>1189</v>
      </c>
      <c r="I774" t="s">
        <v>967</v>
      </c>
    </row>
    <row r="775" spans="1:9" x14ac:dyDescent="0.6">
      <c r="A775" t="s">
        <v>1486</v>
      </c>
      <c r="B775" s="76">
        <v>1900</v>
      </c>
      <c r="C775" t="s">
        <v>51</v>
      </c>
      <c r="D775" t="s">
        <v>137</v>
      </c>
      <c r="E775" s="75">
        <v>0.59027777777777779</v>
      </c>
      <c r="F775" s="75">
        <v>0.59375</v>
      </c>
      <c r="H775" t="s">
        <v>1190</v>
      </c>
      <c r="I775" t="s">
        <v>967</v>
      </c>
    </row>
    <row r="776" spans="1:9" x14ac:dyDescent="0.6">
      <c r="A776" t="s">
        <v>1486</v>
      </c>
      <c r="B776" s="76">
        <v>1900</v>
      </c>
      <c r="C776" t="s">
        <v>55</v>
      </c>
      <c r="D776" t="s">
        <v>137</v>
      </c>
      <c r="E776" s="75">
        <v>0.60416666666666663</v>
      </c>
      <c r="F776" s="75">
        <v>0.61458333333333337</v>
      </c>
      <c r="H776" t="s">
        <v>1487</v>
      </c>
      <c r="I776" t="s">
        <v>967</v>
      </c>
    </row>
    <row r="777" spans="1:9" x14ac:dyDescent="0.6">
      <c r="A777" t="s">
        <v>1486</v>
      </c>
      <c r="B777" s="76">
        <v>1900</v>
      </c>
      <c r="C777" t="s">
        <v>941</v>
      </c>
      <c r="D777" t="s">
        <v>942</v>
      </c>
      <c r="E777" s="75">
        <v>0.65625</v>
      </c>
      <c r="F777" s="75">
        <v>0.67013888888888884</v>
      </c>
      <c r="H777" t="s">
        <v>1488</v>
      </c>
      <c r="I777" t="s">
        <v>967</v>
      </c>
    </row>
    <row r="778" spans="1:9" x14ac:dyDescent="0.6">
      <c r="A778" t="s">
        <v>1489</v>
      </c>
      <c r="B778" s="76">
        <v>1900</v>
      </c>
      <c r="C778" t="s">
        <v>1094</v>
      </c>
      <c r="D778" t="s">
        <v>942</v>
      </c>
      <c r="E778" s="75">
        <v>0.53472222222222221</v>
      </c>
      <c r="F778" s="75">
        <v>0.54861111111111116</v>
      </c>
      <c r="I778" t="s">
        <v>967</v>
      </c>
    </row>
    <row r="779" spans="1:9" x14ac:dyDescent="0.6">
      <c r="A779" t="s">
        <v>1489</v>
      </c>
      <c r="B779" s="76">
        <v>1900</v>
      </c>
      <c r="C779" t="s">
        <v>73</v>
      </c>
      <c r="D779" t="s">
        <v>1092</v>
      </c>
      <c r="E779" s="75">
        <v>0.57291666666666663</v>
      </c>
      <c r="F779" s="75">
        <v>0.59375</v>
      </c>
      <c r="H779" t="s">
        <v>1224</v>
      </c>
      <c r="I779" t="s">
        <v>967</v>
      </c>
    </row>
    <row r="780" spans="1:9" x14ac:dyDescent="0.6">
      <c r="A780" t="s">
        <v>1489</v>
      </c>
      <c r="B780" s="76">
        <v>1900</v>
      </c>
      <c r="C780" t="s">
        <v>941</v>
      </c>
      <c r="D780" t="s">
        <v>942</v>
      </c>
      <c r="E780" s="75">
        <v>0.63541666666666663</v>
      </c>
      <c r="F780" s="75">
        <v>0.64930555555555558</v>
      </c>
      <c r="H780" t="s">
        <v>1003</v>
      </c>
      <c r="I780" t="s">
        <v>967</v>
      </c>
    </row>
    <row r="781" spans="1:9" x14ac:dyDescent="0.6">
      <c r="A781" t="s">
        <v>1490</v>
      </c>
      <c r="B781" s="76">
        <v>1900</v>
      </c>
      <c r="C781" t="s">
        <v>1094</v>
      </c>
      <c r="D781" t="s">
        <v>942</v>
      </c>
      <c r="E781" s="75">
        <v>0.53472222222222221</v>
      </c>
      <c r="F781" s="75">
        <v>0.54861111111111116</v>
      </c>
      <c r="I781" t="s">
        <v>956</v>
      </c>
    </row>
    <row r="782" spans="1:9" x14ac:dyDescent="0.6">
      <c r="A782" t="s">
        <v>1490</v>
      </c>
      <c r="B782" s="76">
        <v>1900</v>
      </c>
      <c r="C782" t="s">
        <v>129</v>
      </c>
      <c r="D782" t="s">
        <v>1092</v>
      </c>
      <c r="E782" s="75">
        <v>0.56597222222222221</v>
      </c>
      <c r="F782" s="75">
        <v>0.57638888888888884</v>
      </c>
      <c r="H782" t="s">
        <v>1205</v>
      </c>
      <c r="I782" t="s">
        <v>956</v>
      </c>
    </row>
    <row r="783" spans="1:9" x14ac:dyDescent="0.6">
      <c r="A783" t="s">
        <v>1490</v>
      </c>
      <c r="B783" s="76">
        <v>1900</v>
      </c>
      <c r="C783" t="s">
        <v>128</v>
      </c>
      <c r="D783" t="s">
        <v>1092</v>
      </c>
      <c r="E783" s="75">
        <v>0.57986111111111116</v>
      </c>
      <c r="F783" s="75">
        <v>0.59722222222222221</v>
      </c>
      <c r="H783">
        <v>0</v>
      </c>
      <c r="I783" t="s">
        <v>956</v>
      </c>
    </row>
    <row r="784" spans="1:9" x14ac:dyDescent="0.6">
      <c r="A784" t="s">
        <v>1490</v>
      </c>
      <c r="B784" s="76">
        <v>1900</v>
      </c>
      <c r="C784" t="s">
        <v>941</v>
      </c>
      <c r="D784" t="s">
        <v>942</v>
      </c>
      <c r="E784" s="75">
        <v>0.64236111111111116</v>
      </c>
      <c r="F784" s="75">
        <v>0.65625</v>
      </c>
      <c r="H784" t="s">
        <v>1491</v>
      </c>
      <c r="I784" t="s">
        <v>956</v>
      </c>
    </row>
    <row r="785" spans="1:9" x14ac:dyDescent="0.6">
      <c r="A785" t="s">
        <v>1492</v>
      </c>
      <c r="B785" s="76">
        <v>1900</v>
      </c>
      <c r="C785" t="s">
        <v>1094</v>
      </c>
      <c r="D785" t="s">
        <v>942</v>
      </c>
      <c r="E785" s="75">
        <v>0.53472222222222221</v>
      </c>
      <c r="F785" s="75">
        <v>0.54861111111111116</v>
      </c>
      <c r="I785" t="s">
        <v>961</v>
      </c>
    </row>
    <row r="786" spans="1:9" x14ac:dyDescent="0.6">
      <c r="A786" t="s">
        <v>1492</v>
      </c>
      <c r="B786" s="76">
        <v>1900</v>
      </c>
      <c r="C786" t="s">
        <v>59</v>
      </c>
      <c r="D786" t="s">
        <v>1092</v>
      </c>
      <c r="E786" s="75">
        <v>0.56597222222222221</v>
      </c>
      <c r="F786" s="75">
        <v>0.57638888888888884</v>
      </c>
      <c r="H786" t="s">
        <v>1209</v>
      </c>
      <c r="I786" t="s">
        <v>961</v>
      </c>
    </row>
    <row r="787" spans="1:9" x14ac:dyDescent="0.6">
      <c r="A787" t="s">
        <v>1492</v>
      </c>
      <c r="B787" s="76">
        <v>1900</v>
      </c>
      <c r="C787" t="s">
        <v>53</v>
      </c>
      <c r="D787" t="s">
        <v>1092</v>
      </c>
      <c r="E787" s="75">
        <v>0.57986111111111116</v>
      </c>
      <c r="F787" s="75">
        <v>0.59375</v>
      </c>
      <c r="H787">
        <v>0</v>
      </c>
      <c r="I787" t="s">
        <v>961</v>
      </c>
    </row>
    <row r="788" spans="1:9" x14ac:dyDescent="0.6">
      <c r="A788" t="s">
        <v>1492</v>
      </c>
      <c r="B788" s="76">
        <v>1900</v>
      </c>
      <c r="C788" t="s">
        <v>56</v>
      </c>
      <c r="D788" t="s">
        <v>137</v>
      </c>
      <c r="E788" s="75">
        <v>0.60069444444444442</v>
      </c>
      <c r="F788" s="75">
        <v>0.61111111111111116</v>
      </c>
      <c r="H788" t="s">
        <v>1493</v>
      </c>
      <c r="I788" t="s">
        <v>961</v>
      </c>
    </row>
    <row r="789" spans="1:9" x14ac:dyDescent="0.6">
      <c r="A789" t="s">
        <v>1492</v>
      </c>
      <c r="B789" s="76">
        <v>1900</v>
      </c>
      <c r="C789" t="s">
        <v>941</v>
      </c>
      <c r="D789" t="s">
        <v>942</v>
      </c>
      <c r="E789" s="75">
        <v>0.63888888888888884</v>
      </c>
      <c r="F789" s="75">
        <v>0.65277777777777779</v>
      </c>
      <c r="H789" t="s">
        <v>1440</v>
      </c>
      <c r="I789" t="s">
        <v>961</v>
      </c>
    </row>
    <row r="790" spans="1:9" x14ac:dyDescent="0.6">
      <c r="A790" t="s">
        <v>1494</v>
      </c>
      <c r="B790" s="76">
        <v>1900</v>
      </c>
      <c r="C790" t="s">
        <v>1094</v>
      </c>
      <c r="D790" t="s">
        <v>942</v>
      </c>
      <c r="E790" s="75">
        <v>0.53472222222222221</v>
      </c>
      <c r="F790" s="75">
        <v>0.54861111111111116</v>
      </c>
      <c r="I790" t="s">
        <v>961</v>
      </c>
    </row>
    <row r="791" spans="1:9" x14ac:dyDescent="0.6">
      <c r="A791" t="s">
        <v>1494</v>
      </c>
      <c r="B791" s="76">
        <v>1900</v>
      </c>
      <c r="C791" t="s">
        <v>127</v>
      </c>
      <c r="D791" t="s">
        <v>5</v>
      </c>
      <c r="E791" s="75">
        <v>0.5625</v>
      </c>
      <c r="F791" s="75">
        <v>0.56944444444444442</v>
      </c>
      <c r="H791" t="s">
        <v>1348</v>
      </c>
      <c r="I791" t="s">
        <v>961</v>
      </c>
    </row>
    <row r="792" spans="1:9" x14ac:dyDescent="0.6">
      <c r="A792" t="s">
        <v>1494</v>
      </c>
      <c r="B792" s="76">
        <v>1900</v>
      </c>
      <c r="C792" t="s">
        <v>125</v>
      </c>
      <c r="D792" t="s">
        <v>1092</v>
      </c>
      <c r="E792" s="75">
        <v>0.57638888888888884</v>
      </c>
      <c r="F792" s="75">
        <v>0.59027777777777779</v>
      </c>
      <c r="H792" t="s">
        <v>1144</v>
      </c>
      <c r="I792" t="s">
        <v>961</v>
      </c>
    </row>
    <row r="793" spans="1:9" x14ac:dyDescent="0.6">
      <c r="A793" t="s">
        <v>1494</v>
      </c>
      <c r="B793" s="76">
        <v>1900</v>
      </c>
      <c r="C793" t="s">
        <v>941</v>
      </c>
      <c r="D793" t="s">
        <v>942</v>
      </c>
      <c r="E793" s="75">
        <v>0.62847222222222221</v>
      </c>
      <c r="F793" s="75">
        <v>0.64236111111111116</v>
      </c>
      <c r="H793" t="s">
        <v>1495</v>
      </c>
      <c r="I793" t="s">
        <v>961</v>
      </c>
    </row>
    <row r="794" spans="1:9" x14ac:dyDescent="0.6">
      <c r="A794" t="s">
        <v>1496</v>
      </c>
      <c r="B794" s="76">
        <v>1900</v>
      </c>
      <c r="C794" t="s">
        <v>1094</v>
      </c>
      <c r="D794" t="s">
        <v>942</v>
      </c>
      <c r="E794" s="75">
        <v>0.53472222222222221</v>
      </c>
      <c r="F794" s="75">
        <v>0.54861111111111116</v>
      </c>
      <c r="I794" t="s">
        <v>972</v>
      </c>
    </row>
    <row r="795" spans="1:9" x14ac:dyDescent="0.6">
      <c r="A795" t="s">
        <v>1496</v>
      </c>
      <c r="B795" s="76">
        <v>1900</v>
      </c>
      <c r="C795" t="s">
        <v>34</v>
      </c>
      <c r="D795" t="s">
        <v>1092</v>
      </c>
      <c r="E795" s="75">
        <v>0.56944444444444442</v>
      </c>
      <c r="F795" s="75">
        <v>0.59027777777777779</v>
      </c>
      <c r="H795" t="s">
        <v>1211</v>
      </c>
      <c r="I795" t="s">
        <v>972</v>
      </c>
    </row>
    <row r="796" spans="1:9" x14ac:dyDescent="0.6">
      <c r="A796" t="s">
        <v>1496</v>
      </c>
      <c r="B796" s="76">
        <v>1900</v>
      </c>
      <c r="C796" t="s">
        <v>941</v>
      </c>
      <c r="D796" t="s">
        <v>942</v>
      </c>
      <c r="E796" s="75">
        <v>0.60416666666666663</v>
      </c>
      <c r="F796" s="75">
        <v>0.61805555555555558</v>
      </c>
      <c r="H796" t="s">
        <v>1497</v>
      </c>
      <c r="I796" t="s">
        <v>972</v>
      </c>
    </row>
    <row r="797" spans="1:9" x14ac:dyDescent="0.6">
      <c r="A797" t="s">
        <v>1498</v>
      </c>
      <c r="B797" s="76">
        <v>1900</v>
      </c>
      <c r="C797" t="s">
        <v>1094</v>
      </c>
      <c r="D797" t="s">
        <v>942</v>
      </c>
      <c r="E797" s="75">
        <v>0.53472222222222221</v>
      </c>
      <c r="F797" s="75">
        <v>0.54861111111111116</v>
      </c>
      <c r="I797" t="s">
        <v>951</v>
      </c>
    </row>
    <row r="798" spans="1:9" x14ac:dyDescent="0.6">
      <c r="A798" t="s">
        <v>1498</v>
      </c>
      <c r="B798" s="76">
        <v>1900</v>
      </c>
      <c r="C798" t="s">
        <v>119</v>
      </c>
      <c r="D798" t="s">
        <v>5</v>
      </c>
      <c r="E798" s="75">
        <v>0.5625</v>
      </c>
      <c r="F798" s="75">
        <v>0.57291666666666663</v>
      </c>
      <c r="H798" t="s">
        <v>1499</v>
      </c>
      <c r="I798" t="s">
        <v>951</v>
      </c>
    </row>
    <row r="799" spans="1:9" x14ac:dyDescent="0.6">
      <c r="A799" t="s">
        <v>1498</v>
      </c>
      <c r="B799" s="76">
        <v>1900</v>
      </c>
      <c r="C799" t="s">
        <v>121</v>
      </c>
      <c r="D799" t="s">
        <v>1092</v>
      </c>
      <c r="E799" s="75">
        <v>0.58333333333333337</v>
      </c>
      <c r="F799" s="75">
        <v>0.59375</v>
      </c>
      <c r="H799" t="s">
        <v>1500</v>
      </c>
      <c r="I799" t="s">
        <v>951</v>
      </c>
    </row>
    <row r="800" spans="1:9" x14ac:dyDescent="0.6">
      <c r="A800" t="s">
        <v>1498</v>
      </c>
      <c r="B800" s="76">
        <v>1900</v>
      </c>
      <c r="C800" t="s">
        <v>941</v>
      </c>
      <c r="D800" t="s">
        <v>942</v>
      </c>
      <c r="E800" s="75">
        <v>0.63194444444444442</v>
      </c>
      <c r="F800" s="75">
        <v>0.63194444444444442</v>
      </c>
      <c r="H800" t="s">
        <v>1501</v>
      </c>
      <c r="I800" t="s">
        <v>951</v>
      </c>
    </row>
    <row r="801" spans="1:9" x14ac:dyDescent="0.6">
      <c r="A801" t="s">
        <v>1502</v>
      </c>
      <c r="B801" s="76">
        <v>1900</v>
      </c>
      <c r="C801" t="s">
        <v>1094</v>
      </c>
      <c r="D801" t="s">
        <v>942</v>
      </c>
      <c r="E801" s="75">
        <v>0.53472222222222221</v>
      </c>
      <c r="F801" s="75">
        <v>0.54861111111111116</v>
      </c>
      <c r="I801" t="s">
        <v>961</v>
      </c>
    </row>
    <row r="802" spans="1:9" x14ac:dyDescent="0.6">
      <c r="A802" t="s">
        <v>1502</v>
      </c>
      <c r="B802" s="76">
        <v>1900</v>
      </c>
      <c r="C802" t="s">
        <v>92</v>
      </c>
      <c r="D802" t="s">
        <v>5</v>
      </c>
      <c r="E802" s="75">
        <v>0.55902777777777779</v>
      </c>
      <c r="F802" s="75">
        <v>0.56944444444444442</v>
      </c>
      <c r="H802" t="s">
        <v>1133</v>
      </c>
      <c r="I802" t="s">
        <v>961</v>
      </c>
    </row>
    <row r="803" spans="1:9" x14ac:dyDescent="0.6">
      <c r="A803" t="s">
        <v>1502</v>
      </c>
      <c r="B803" s="76">
        <v>1900</v>
      </c>
      <c r="C803" t="s">
        <v>1357</v>
      </c>
      <c r="D803" t="s">
        <v>5</v>
      </c>
      <c r="E803" s="75">
        <v>0.57986111111111116</v>
      </c>
      <c r="F803" s="75">
        <v>0.59027777777777779</v>
      </c>
      <c r="G803" t="s">
        <v>1503</v>
      </c>
      <c r="H803" t="s">
        <v>1504</v>
      </c>
      <c r="I803" t="s">
        <v>961</v>
      </c>
    </row>
    <row r="804" spans="1:9" x14ac:dyDescent="0.6">
      <c r="A804" t="s">
        <v>1502</v>
      </c>
      <c r="B804" s="76">
        <v>1900</v>
      </c>
      <c r="C804" t="s">
        <v>21</v>
      </c>
      <c r="D804" t="s">
        <v>1092</v>
      </c>
      <c r="E804" s="75">
        <v>0.59375</v>
      </c>
      <c r="F804" s="75">
        <v>0.60416666666666663</v>
      </c>
      <c r="H804">
        <v>0</v>
      </c>
      <c r="I804" t="s">
        <v>961</v>
      </c>
    </row>
    <row r="805" spans="1:9" x14ac:dyDescent="0.6">
      <c r="A805" t="s">
        <v>1502</v>
      </c>
      <c r="B805" s="76">
        <v>1900</v>
      </c>
      <c r="C805" t="s">
        <v>941</v>
      </c>
      <c r="D805" t="s">
        <v>942</v>
      </c>
      <c r="E805" s="75">
        <v>0.63194444444444442</v>
      </c>
      <c r="F805" s="75">
        <v>0.63194444444444442</v>
      </c>
      <c r="H805" t="s">
        <v>1505</v>
      </c>
      <c r="I805" t="s">
        <v>961</v>
      </c>
    </row>
    <row r="806" spans="1:9" x14ac:dyDescent="0.6">
      <c r="A806" t="s">
        <v>1506</v>
      </c>
      <c r="B806" s="76">
        <v>1900</v>
      </c>
      <c r="C806" t="s">
        <v>1094</v>
      </c>
      <c r="D806" t="s">
        <v>942</v>
      </c>
      <c r="E806" s="75">
        <v>0.53472222222222221</v>
      </c>
      <c r="F806" s="75">
        <v>0.54861111111111116</v>
      </c>
      <c r="I806" t="s">
        <v>956</v>
      </c>
    </row>
    <row r="807" spans="1:9" x14ac:dyDescent="0.6">
      <c r="A807" t="s">
        <v>1506</v>
      </c>
      <c r="B807" s="76">
        <v>1900</v>
      </c>
      <c r="C807" t="s">
        <v>57</v>
      </c>
      <c r="D807" t="s">
        <v>1092</v>
      </c>
      <c r="E807" s="75">
        <v>0.5625</v>
      </c>
      <c r="F807" s="75">
        <v>0.57291666666666663</v>
      </c>
      <c r="H807" t="s">
        <v>1200</v>
      </c>
      <c r="I807" t="s">
        <v>956</v>
      </c>
    </row>
    <row r="808" spans="1:9" x14ac:dyDescent="0.6">
      <c r="A808" t="s">
        <v>1506</v>
      </c>
      <c r="B808" s="76">
        <v>1900</v>
      </c>
      <c r="C808" t="s">
        <v>49</v>
      </c>
      <c r="D808" t="s">
        <v>1092</v>
      </c>
      <c r="E808" s="75">
        <v>0.57638888888888884</v>
      </c>
      <c r="F808" s="75">
        <v>0.58333333333333337</v>
      </c>
      <c r="H808">
        <v>0</v>
      </c>
      <c r="I808" t="s">
        <v>956</v>
      </c>
    </row>
    <row r="809" spans="1:9" x14ac:dyDescent="0.6">
      <c r="A809" t="s">
        <v>1506</v>
      </c>
      <c r="B809" s="76">
        <v>1900</v>
      </c>
      <c r="C809" t="s">
        <v>941</v>
      </c>
      <c r="D809" t="s">
        <v>942</v>
      </c>
      <c r="E809" s="75">
        <v>0.61458333333333337</v>
      </c>
      <c r="F809" s="75">
        <v>0.58333333333333337</v>
      </c>
      <c r="H809" t="s">
        <v>1507</v>
      </c>
      <c r="I809" t="s">
        <v>956</v>
      </c>
    </row>
    <row r="810" spans="1:9" x14ac:dyDescent="0.6">
      <c r="A810" t="s">
        <v>1508</v>
      </c>
      <c r="B810" s="76">
        <v>1900</v>
      </c>
      <c r="C810" t="s">
        <v>1094</v>
      </c>
      <c r="D810" t="s">
        <v>942</v>
      </c>
      <c r="E810" s="75">
        <v>0.53472222222222221</v>
      </c>
      <c r="F810" s="75">
        <v>0.54861111111111116</v>
      </c>
      <c r="I810" t="s">
        <v>951</v>
      </c>
    </row>
    <row r="811" spans="1:9" x14ac:dyDescent="0.6">
      <c r="A811" t="s">
        <v>1508</v>
      </c>
      <c r="B811" s="76">
        <v>1900</v>
      </c>
      <c r="C811" t="s">
        <v>130</v>
      </c>
      <c r="D811" t="s">
        <v>5</v>
      </c>
      <c r="E811" s="75">
        <v>0.55902777777777779</v>
      </c>
      <c r="F811" s="75">
        <v>0.56944444444444442</v>
      </c>
      <c r="H811" t="s">
        <v>1311</v>
      </c>
      <c r="I811" t="s">
        <v>951</v>
      </c>
    </row>
    <row r="812" spans="1:9" x14ac:dyDescent="0.6">
      <c r="A812" t="s">
        <v>1508</v>
      </c>
      <c r="B812" s="76">
        <v>1900</v>
      </c>
      <c r="C812" t="s">
        <v>126</v>
      </c>
      <c r="D812" t="s">
        <v>1092</v>
      </c>
      <c r="E812" s="75">
        <v>0.57291666666666663</v>
      </c>
      <c r="F812" s="75">
        <v>0.59027777777777779</v>
      </c>
      <c r="H812" t="s">
        <v>1043</v>
      </c>
      <c r="I812" t="s">
        <v>951</v>
      </c>
    </row>
    <row r="813" spans="1:9" x14ac:dyDescent="0.6">
      <c r="A813" t="s">
        <v>1508</v>
      </c>
      <c r="B813" s="76">
        <v>1900</v>
      </c>
      <c r="C813" t="s">
        <v>130</v>
      </c>
      <c r="D813" t="s">
        <v>137</v>
      </c>
      <c r="E813" s="75">
        <v>0.58680555555555558</v>
      </c>
      <c r="F813" s="75">
        <v>0.59375</v>
      </c>
      <c r="H813" t="s">
        <v>1043</v>
      </c>
      <c r="I813" t="s">
        <v>951</v>
      </c>
    </row>
    <row r="814" spans="1:9" x14ac:dyDescent="0.6">
      <c r="A814" t="s">
        <v>1508</v>
      </c>
      <c r="B814" s="76">
        <v>1900</v>
      </c>
      <c r="C814" t="s">
        <v>941</v>
      </c>
      <c r="D814" t="s">
        <v>942</v>
      </c>
      <c r="E814" s="75">
        <v>0.62847222222222221</v>
      </c>
      <c r="F814" s="75">
        <v>0.64236111111111116</v>
      </c>
      <c r="H814" t="s">
        <v>1509</v>
      </c>
      <c r="I814" t="s">
        <v>951</v>
      </c>
    </row>
    <row r="815" spans="1:9" x14ac:dyDescent="0.6">
      <c r="A815" t="s">
        <v>1510</v>
      </c>
      <c r="B815" s="76">
        <v>1900</v>
      </c>
      <c r="C815" t="s">
        <v>1094</v>
      </c>
      <c r="D815" t="s">
        <v>942</v>
      </c>
      <c r="E815" s="75">
        <v>0.53472222222222221</v>
      </c>
      <c r="F815" s="75">
        <v>0.54861111111111116</v>
      </c>
      <c r="I815" t="s">
        <v>967</v>
      </c>
    </row>
    <row r="816" spans="1:9" x14ac:dyDescent="0.6">
      <c r="A816" t="s">
        <v>1510</v>
      </c>
      <c r="B816" s="76">
        <v>1900</v>
      </c>
      <c r="C816" t="s">
        <v>31</v>
      </c>
      <c r="D816" t="s">
        <v>1092</v>
      </c>
      <c r="E816" s="75">
        <v>0.5625</v>
      </c>
      <c r="F816" s="75">
        <v>0.58333333333333337</v>
      </c>
      <c r="H816" t="s">
        <v>1196</v>
      </c>
      <c r="I816" t="s">
        <v>967</v>
      </c>
    </row>
    <row r="817" spans="1:9" x14ac:dyDescent="0.6">
      <c r="A817" t="s">
        <v>1510</v>
      </c>
      <c r="B817" s="76">
        <v>1900</v>
      </c>
      <c r="C817" t="s">
        <v>941</v>
      </c>
      <c r="D817" t="s">
        <v>942</v>
      </c>
      <c r="E817" s="75">
        <v>0.60763888888888884</v>
      </c>
      <c r="F817" s="75">
        <v>0.62152777777777779</v>
      </c>
      <c r="H817" t="s">
        <v>1511</v>
      </c>
      <c r="I817" t="s">
        <v>967</v>
      </c>
    </row>
    <row r="818" spans="1:9" x14ac:dyDescent="0.6">
      <c r="A818" t="s">
        <v>1512</v>
      </c>
      <c r="B818" s="76">
        <v>1900</v>
      </c>
      <c r="C818" t="s">
        <v>1034</v>
      </c>
      <c r="D818" t="s">
        <v>137</v>
      </c>
      <c r="E818" s="75">
        <v>0.59375</v>
      </c>
      <c r="F818" s="75">
        <v>0.60069444444444442</v>
      </c>
      <c r="H818" s="75"/>
      <c r="I818" s="75"/>
    </row>
    <row r="819" spans="1:9" x14ac:dyDescent="0.6">
      <c r="A819" t="s">
        <v>1512</v>
      </c>
      <c r="B819" s="76">
        <v>1900</v>
      </c>
      <c r="C819" t="s">
        <v>100</v>
      </c>
      <c r="D819" t="s">
        <v>137</v>
      </c>
      <c r="E819" s="75">
        <v>0.62152777777777779</v>
      </c>
      <c r="F819" s="75">
        <v>0.62847222222222221</v>
      </c>
      <c r="H819" s="75"/>
      <c r="I819" s="75"/>
    </row>
    <row r="820" spans="1:9" x14ac:dyDescent="0.6">
      <c r="A820" t="s">
        <v>1512</v>
      </c>
      <c r="B820" s="76">
        <v>1900</v>
      </c>
      <c r="C820" t="s">
        <v>941</v>
      </c>
      <c r="D820" t="s">
        <v>942</v>
      </c>
      <c r="E820" s="75">
        <v>0.68402777777777779</v>
      </c>
      <c r="F820" s="75">
        <v>0.69791666666666663</v>
      </c>
      <c r="H820" s="75"/>
      <c r="I820" s="75"/>
    </row>
    <row r="821" spans="1:9" x14ac:dyDescent="0.6">
      <c r="A821" t="s">
        <v>1513</v>
      </c>
      <c r="B821" s="76">
        <v>1900</v>
      </c>
      <c r="C821" t="s">
        <v>73</v>
      </c>
      <c r="D821" t="s">
        <v>137</v>
      </c>
      <c r="E821" s="75">
        <v>0.58333333333333337</v>
      </c>
      <c r="F821" s="75">
        <v>0.59722222222222221</v>
      </c>
      <c r="H821" s="75"/>
      <c r="I821" s="75"/>
    </row>
    <row r="822" spans="1:9" x14ac:dyDescent="0.6">
      <c r="A822" t="s">
        <v>1513</v>
      </c>
      <c r="B822" s="76">
        <v>1900</v>
      </c>
      <c r="C822" t="s">
        <v>941</v>
      </c>
      <c r="D822" t="s">
        <v>942</v>
      </c>
      <c r="E822" s="75">
        <v>0.66319444444444442</v>
      </c>
      <c r="F822" s="75">
        <v>0.67708333333333337</v>
      </c>
      <c r="H822" s="75"/>
      <c r="I822" s="75"/>
    </row>
    <row r="823" spans="1:9" x14ac:dyDescent="0.6">
      <c r="A823" t="s">
        <v>1514</v>
      </c>
      <c r="B823" s="76">
        <v>1900</v>
      </c>
      <c r="C823" t="s">
        <v>125</v>
      </c>
      <c r="D823" t="s">
        <v>137</v>
      </c>
      <c r="E823" s="75">
        <v>0.625</v>
      </c>
      <c r="F823" s="75">
        <v>0.63541666666666663</v>
      </c>
      <c r="H823" s="75"/>
      <c r="I823" s="75"/>
    </row>
    <row r="824" spans="1:9" x14ac:dyDescent="0.6">
      <c r="A824" t="s">
        <v>1514</v>
      </c>
      <c r="B824" s="76">
        <v>1900</v>
      </c>
      <c r="C824" t="s">
        <v>94</v>
      </c>
      <c r="D824" t="s">
        <v>137</v>
      </c>
      <c r="E824" s="75">
        <v>0.64236111111111116</v>
      </c>
      <c r="F824" s="75">
        <v>0.64930555555555558</v>
      </c>
      <c r="H824" s="75"/>
      <c r="I824" s="75"/>
    </row>
    <row r="825" spans="1:9" x14ac:dyDescent="0.6">
      <c r="A825" t="s">
        <v>1514</v>
      </c>
      <c r="B825" s="76">
        <v>1900</v>
      </c>
      <c r="C825" t="s">
        <v>941</v>
      </c>
      <c r="D825" t="s">
        <v>942</v>
      </c>
      <c r="E825" s="75">
        <v>0.69097222222222221</v>
      </c>
      <c r="F825" s="75">
        <v>0.70486111111111116</v>
      </c>
      <c r="H825" s="75"/>
      <c r="I825" s="75"/>
    </row>
    <row r="826" spans="1:9" x14ac:dyDescent="0.6">
      <c r="A826" t="s">
        <v>1515</v>
      </c>
      <c r="B826" s="76">
        <v>5000</v>
      </c>
      <c r="C826" t="s">
        <v>18</v>
      </c>
      <c r="D826" t="s">
        <v>137</v>
      </c>
      <c r="E826" s="75">
        <v>0.83333333333333337</v>
      </c>
      <c r="F826" s="75">
        <v>0.84722222222222221</v>
      </c>
      <c r="H826" s="75"/>
      <c r="I826" s="75"/>
    </row>
    <row r="827" spans="1:9" x14ac:dyDescent="0.6">
      <c r="A827" t="s">
        <v>1515</v>
      </c>
      <c r="B827" s="76">
        <v>5000</v>
      </c>
      <c r="C827" t="s">
        <v>19</v>
      </c>
      <c r="D827" t="s">
        <v>137</v>
      </c>
      <c r="E827" s="75">
        <v>0.85763888888888884</v>
      </c>
      <c r="F827" s="75">
        <v>0.86458333333333337</v>
      </c>
      <c r="H827" s="75"/>
      <c r="I827" s="75"/>
    </row>
    <row r="828" spans="1:9" x14ac:dyDescent="0.6">
      <c r="A828" t="s">
        <v>1515</v>
      </c>
      <c r="B828" s="76">
        <v>5000</v>
      </c>
      <c r="C828" t="s">
        <v>941</v>
      </c>
      <c r="D828" t="s">
        <v>942</v>
      </c>
      <c r="E828" s="75">
        <v>0.92708333333333337</v>
      </c>
      <c r="F828" s="75">
        <v>0.94791666666666663</v>
      </c>
      <c r="H828" s="75"/>
      <c r="I828" s="75"/>
    </row>
    <row r="829" spans="1:9" x14ac:dyDescent="0.6">
      <c r="A829" t="s">
        <v>1516</v>
      </c>
      <c r="B829" s="76">
        <v>5000</v>
      </c>
      <c r="C829" t="s">
        <v>91</v>
      </c>
      <c r="D829" t="s">
        <v>137</v>
      </c>
      <c r="E829" s="75">
        <v>0.86805555555555558</v>
      </c>
      <c r="F829" s="75">
        <v>0.88888888888888884</v>
      </c>
      <c r="H829" s="75"/>
      <c r="I829" s="75"/>
    </row>
    <row r="830" spans="1:9" x14ac:dyDescent="0.6">
      <c r="A830" t="s">
        <v>1516</v>
      </c>
      <c r="B830" s="76">
        <v>5000</v>
      </c>
      <c r="C830" t="s">
        <v>941</v>
      </c>
      <c r="D830" t="s">
        <v>942</v>
      </c>
      <c r="E830" s="75">
        <v>0.95833333333333337</v>
      </c>
      <c r="F830" s="75">
        <v>0.97916666666666663</v>
      </c>
      <c r="H830" s="75"/>
      <c r="I830" s="75"/>
    </row>
    <row r="831" spans="1:9" x14ac:dyDescent="0.6">
      <c r="A831" t="s">
        <v>1517</v>
      </c>
      <c r="B831" s="76">
        <v>5000</v>
      </c>
      <c r="C831" t="s">
        <v>133</v>
      </c>
      <c r="D831" t="s">
        <v>137</v>
      </c>
      <c r="E831" s="75">
        <v>0.86458333333333337</v>
      </c>
      <c r="F831" s="75">
        <v>0.88541666666666663</v>
      </c>
      <c r="H831" s="75"/>
      <c r="I831" s="75"/>
    </row>
    <row r="832" spans="1:9" x14ac:dyDescent="0.6">
      <c r="A832" t="s">
        <v>1517</v>
      </c>
      <c r="B832" s="76">
        <v>5000</v>
      </c>
      <c r="C832" t="s">
        <v>941</v>
      </c>
      <c r="D832" t="s">
        <v>942</v>
      </c>
      <c r="E832" s="75">
        <v>0.94791666666666663</v>
      </c>
      <c r="F832" s="75">
        <v>0.96875</v>
      </c>
      <c r="H832" s="75"/>
      <c r="I832" s="75"/>
    </row>
    <row r="833" spans="1:9" x14ac:dyDescent="0.6">
      <c r="A833" t="s">
        <v>1518</v>
      </c>
      <c r="B833" s="76">
        <v>5000</v>
      </c>
      <c r="C833" t="s">
        <v>941</v>
      </c>
      <c r="D833" t="s">
        <v>942</v>
      </c>
      <c r="E833" s="75">
        <v>0.92708333333333337</v>
      </c>
      <c r="F833" s="75">
        <v>0.94791666666666663</v>
      </c>
      <c r="H833" s="75"/>
      <c r="I833" s="75"/>
    </row>
    <row r="834" spans="1:9" x14ac:dyDescent="0.6">
      <c r="A834" t="s">
        <v>1518</v>
      </c>
      <c r="B834" s="76">
        <v>5000</v>
      </c>
      <c r="C834" t="s">
        <v>52</v>
      </c>
      <c r="D834" t="s">
        <v>137</v>
      </c>
      <c r="E834" s="75">
        <v>0.86805555555555558</v>
      </c>
      <c r="F834" s="75">
        <v>0.88888888888888884</v>
      </c>
      <c r="H834" s="75"/>
      <c r="I834" s="75"/>
    </row>
    <row r="835" spans="1:9" x14ac:dyDescent="0.6">
      <c r="A835" t="s">
        <v>1518</v>
      </c>
      <c r="B835" s="76">
        <v>5000</v>
      </c>
      <c r="C835" t="s">
        <v>941</v>
      </c>
      <c r="D835" t="s">
        <v>942</v>
      </c>
      <c r="E835" s="75">
        <v>0.92708333333333337</v>
      </c>
      <c r="F835" s="75">
        <v>0.94791666666666663</v>
      </c>
      <c r="H835" s="75"/>
      <c r="I835" s="75"/>
    </row>
    <row r="836" spans="1:9" x14ac:dyDescent="0.6">
      <c r="A836" t="s">
        <v>1519</v>
      </c>
      <c r="B836" s="76">
        <v>5000</v>
      </c>
      <c r="C836" t="s">
        <v>53</v>
      </c>
      <c r="D836" t="s">
        <v>137</v>
      </c>
      <c r="E836" s="75">
        <v>0.84375</v>
      </c>
      <c r="F836" s="75">
        <v>0.86458333333333337</v>
      </c>
      <c r="H836" s="75"/>
      <c r="I836" s="75"/>
    </row>
    <row r="837" spans="1:9" x14ac:dyDescent="0.6">
      <c r="A837" t="s">
        <v>1519</v>
      </c>
      <c r="B837" s="76">
        <v>5000</v>
      </c>
      <c r="C837" t="s">
        <v>941</v>
      </c>
      <c r="D837" t="s">
        <v>942</v>
      </c>
      <c r="E837" s="75">
        <v>0.89930555555555558</v>
      </c>
      <c r="F837" s="75">
        <v>0.91319444444444442</v>
      </c>
      <c r="H837" s="75"/>
      <c r="I837" s="75"/>
    </row>
    <row r="838" spans="1:9" x14ac:dyDescent="0.6">
      <c r="A838" t="s">
        <v>1520</v>
      </c>
      <c r="B838" s="76">
        <v>5000</v>
      </c>
      <c r="C838" t="s">
        <v>56</v>
      </c>
      <c r="D838" t="s">
        <v>137</v>
      </c>
      <c r="E838" s="75">
        <v>0.84375</v>
      </c>
      <c r="F838" s="75">
        <v>0.85763888888888884</v>
      </c>
      <c r="H838" s="75"/>
      <c r="I838" s="75"/>
    </row>
    <row r="839" spans="1:9" x14ac:dyDescent="0.6">
      <c r="A839" t="s">
        <v>1520</v>
      </c>
      <c r="B839" s="76">
        <v>5000</v>
      </c>
      <c r="C839" t="s">
        <v>941</v>
      </c>
      <c r="D839" t="s">
        <v>942</v>
      </c>
      <c r="E839" s="75">
        <v>0.89930555555555558</v>
      </c>
      <c r="F839" s="75">
        <v>0.92013888888888884</v>
      </c>
      <c r="H839" s="75"/>
      <c r="I839" s="75"/>
    </row>
    <row r="840" spans="1:9" x14ac:dyDescent="0.6">
      <c r="A840" t="s">
        <v>1521</v>
      </c>
      <c r="B840" s="76">
        <v>5000</v>
      </c>
      <c r="C840" t="s">
        <v>21</v>
      </c>
      <c r="D840" t="s">
        <v>137</v>
      </c>
      <c r="E840" s="75">
        <v>0.83333333333333337</v>
      </c>
      <c r="F840" s="75">
        <v>0.85416666666666663</v>
      </c>
      <c r="H840" s="75"/>
      <c r="I840" s="75"/>
    </row>
    <row r="841" spans="1:9" x14ac:dyDescent="0.6">
      <c r="A841" t="s">
        <v>1521</v>
      </c>
      <c r="B841" s="76">
        <v>5000</v>
      </c>
      <c r="C841" t="s">
        <v>941</v>
      </c>
      <c r="D841" t="s">
        <v>942</v>
      </c>
      <c r="E841" s="75">
        <v>0.89583333333333337</v>
      </c>
      <c r="F841" s="75">
        <v>0.91666666666666663</v>
      </c>
      <c r="H841" s="75"/>
      <c r="I841" s="75"/>
    </row>
    <row r="842" spans="1:9" x14ac:dyDescent="0.6">
      <c r="A842" t="s">
        <v>1522</v>
      </c>
      <c r="B842" s="76">
        <v>5000</v>
      </c>
      <c r="C842" t="s">
        <v>21</v>
      </c>
      <c r="D842" t="s">
        <v>137</v>
      </c>
      <c r="E842" s="75">
        <v>0.86458333333333337</v>
      </c>
      <c r="F842" s="75">
        <v>0.88541666666666663</v>
      </c>
      <c r="H842" s="75"/>
      <c r="I842" s="75"/>
    </row>
    <row r="843" spans="1:9" x14ac:dyDescent="0.6">
      <c r="A843" t="s">
        <v>1522</v>
      </c>
      <c r="B843" s="76">
        <v>5000</v>
      </c>
      <c r="C843" t="s">
        <v>941</v>
      </c>
      <c r="D843" t="s">
        <v>942</v>
      </c>
      <c r="E843" s="75">
        <v>0.92708333333333337</v>
      </c>
      <c r="F843" s="75">
        <v>0.94791666666666663</v>
      </c>
      <c r="H843" s="75"/>
      <c r="I843" s="75"/>
    </row>
    <row r="844" spans="1:9" x14ac:dyDescent="0.6">
      <c r="A844" t="s">
        <v>1523</v>
      </c>
      <c r="B844" s="76">
        <v>5000</v>
      </c>
      <c r="C844" t="s">
        <v>100</v>
      </c>
      <c r="D844" t="s">
        <v>137</v>
      </c>
      <c r="E844" s="75">
        <v>0.92708333333333337</v>
      </c>
      <c r="F844" s="75">
        <v>0.94791666666666663</v>
      </c>
      <c r="H844" s="75"/>
      <c r="I844" s="75"/>
    </row>
    <row r="845" spans="1:9" x14ac:dyDescent="0.6">
      <c r="A845" t="s">
        <v>1523</v>
      </c>
      <c r="B845" s="76">
        <v>5000</v>
      </c>
      <c r="C845" t="s">
        <v>941</v>
      </c>
      <c r="D845" t="s">
        <v>942</v>
      </c>
      <c r="E845" s="75">
        <v>0.98611111111111116</v>
      </c>
      <c r="F845" s="75">
        <v>6.9444444444444441E-3</v>
      </c>
      <c r="H845" s="75"/>
      <c r="I845" s="75"/>
    </row>
    <row r="846" spans="1:9" x14ac:dyDescent="0.6">
      <c r="A846" t="s">
        <v>1524</v>
      </c>
      <c r="B846" s="76">
        <v>5000</v>
      </c>
      <c r="C846" t="s">
        <v>31</v>
      </c>
      <c r="D846" t="s">
        <v>137</v>
      </c>
      <c r="E846" s="75">
        <v>0.83333333333333337</v>
      </c>
      <c r="F846" s="75">
        <v>0.85416666666666663</v>
      </c>
      <c r="H846" s="75"/>
      <c r="I846" s="75"/>
    </row>
    <row r="847" spans="1:9" x14ac:dyDescent="0.6">
      <c r="A847" t="s">
        <v>1524</v>
      </c>
      <c r="B847" s="76">
        <v>5000</v>
      </c>
      <c r="C847" t="s">
        <v>941</v>
      </c>
      <c r="D847" t="s">
        <v>942</v>
      </c>
      <c r="E847" s="75">
        <v>0.88194444444444442</v>
      </c>
      <c r="F847" s="75">
        <v>0.90277777777777779</v>
      </c>
      <c r="H847" s="75"/>
      <c r="I847" s="75"/>
    </row>
    <row r="848" spans="1:9" x14ac:dyDescent="0.6">
      <c r="A848" t="s">
        <v>1525</v>
      </c>
      <c r="B848" s="76">
        <v>5000</v>
      </c>
      <c r="C848" t="s">
        <v>33</v>
      </c>
      <c r="D848" t="s">
        <v>137</v>
      </c>
      <c r="E848" s="75">
        <v>0.82291666666666663</v>
      </c>
      <c r="F848" s="75">
        <v>0.84375</v>
      </c>
      <c r="H848" s="75"/>
      <c r="I848" s="75"/>
    </row>
    <row r="849" spans="1:10" x14ac:dyDescent="0.6">
      <c r="A849" t="s">
        <v>1525</v>
      </c>
      <c r="B849" s="76">
        <v>5000</v>
      </c>
      <c r="C849" t="s">
        <v>941</v>
      </c>
      <c r="D849" t="s">
        <v>942</v>
      </c>
      <c r="E849" s="75">
        <v>0.87152777777777779</v>
      </c>
      <c r="F849" s="75">
        <v>0.89236111111111116</v>
      </c>
      <c r="H849" s="75"/>
      <c r="I849" s="75"/>
    </row>
    <row r="850" spans="1:10" x14ac:dyDescent="0.6">
      <c r="A850" t="s">
        <v>1526</v>
      </c>
      <c r="B850" s="76">
        <v>5000</v>
      </c>
      <c r="C850" t="s">
        <v>33</v>
      </c>
      <c r="D850" t="s">
        <v>137</v>
      </c>
      <c r="E850" s="75">
        <v>0.91666666666666663</v>
      </c>
      <c r="F850" s="75">
        <v>0.9375</v>
      </c>
      <c r="H850" s="75"/>
      <c r="I850" s="75"/>
    </row>
    <row r="851" spans="1:10" x14ac:dyDescent="0.6">
      <c r="A851" t="s">
        <v>1526</v>
      </c>
      <c r="B851" s="76">
        <v>5000</v>
      </c>
      <c r="C851" t="s">
        <v>941</v>
      </c>
      <c r="D851" t="s">
        <v>942</v>
      </c>
      <c r="E851" s="75">
        <v>0.96527777777777779</v>
      </c>
      <c r="F851" s="75">
        <v>0.98611111111111116</v>
      </c>
      <c r="H851" s="75"/>
      <c r="I851" s="75"/>
    </row>
    <row r="852" spans="1:10" x14ac:dyDescent="0.6">
      <c r="A852" t="s">
        <v>1527</v>
      </c>
      <c r="B852" s="76">
        <v>5000</v>
      </c>
      <c r="C852" t="s">
        <v>33</v>
      </c>
      <c r="D852" t="s">
        <v>137</v>
      </c>
      <c r="E852" s="75">
        <v>0.83333333333333337</v>
      </c>
      <c r="F852" s="75">
        <v>0.84375</v>
      </c>
      <c r="H852" s="75"/>
      <c r="I852" s="75"/>
      <c r="J852" t="s">
        <v>1528</v>
      </c>
    </row>
    <row r="853" spans="1:10" x14ac:dyDescent="0.6">
      <c r="A853" t="s">
        <v>1527</v>
      </c>
      <c r="B853" s="76">
        <v>5000</v>
      </c>
      <c r="C853" t="s">
        <v>941</v>
      </c>
      <c r="D853" t="s">
        <v>942</v>
      </c>
      <c r="E853" s="75">
        <v>0.87152777777777779</v>
      </c>
      <c r="F853" s="75">
        <v>0.88541666666666663</v>
      </c>
      <c r="H853" s="75"/>
      <c r="I853" s="75"/>
    </row>
    <row r="854" spans="1:10" x14ac:dyDescent="0.6">
      <c r="A854" t="s">
        <v>1529</v>
      </c>
      <c r="B854" s="76">
        <v>5000</v>
      </c>
      <c r="C854" t="s">
        <v>33</v>
      </c>
      <c r="D854" t="s">
        <v>137</v>
      </c>
      <c r="E854" s="75">
        <v>0.85416666666666663</v>
      </c>
      <c r="F854" s="75">
        <v>0.86458333333333337</v>
      </c>
      <c r="H854" s="75"/>
      <c r="I854" s="75"/>
      <c r="J854" t="s">
        <v>1528</v>
      </c>
    </row>
    <row r="855" spans="1:10" x14ac:dyDescent="0.6">
      <c r="A855" t="s">
        <v>1529</v>
      </c>
      <c r="B855" s="76">
        <v>5000</v>
      </c>
      <c r="C855" t="s">
        <v>941</v>
      </c>
      <c r="D855" t="s">
        <v>942</v>
      </c>
      <c r="E855" s="75">
        <v>0.89236111111111116</v>
      </c>
      <c r="F855" s="75">
        <v>0.90625</v>
      </c>
      <c r="H855" s="75"/>
      <c r="I855" s="75"/>
    </row>
    <row r="856" spans="1:10" x14ac:dyDescent="0.6">
      <c r="A856" t="s">
        <v>1530</v>
      </c>
      <c r="B856" s="76">
        <v>5000</v>
      </c>
      <c r="C856" t="s">
        <v>78</v>
      </c>
      <c r="D856" t="s">
        <v>137</v>
      </c>
      <c r="E856" s="75">
        <v>0.83333333333333337</v>
      </c>
      <c r="F856" s="75">
        <v>0.84722222222222221</v>
      </c>
      <c r="H856" s="75"/>
      <c r="I856" s="75"/>
      <c r="J856" t="s">
        <v>1531</v>
      </c>
    </row>
    <row r="857" spans="1:10" x14ac:dyDescent="0.6">
      <c r="A857" t="s">
        <v>1530</v>
      </c>
      <c r="B857" s="76">
        <v>5000</v>
      </c>
      <c r="C857" t="s">
        <v>941</v>
      </c>
      <c r="D857" t="s">
        <v>942</v>
      </c>
      <c r="E857" s="75">
        <v>0.92361111111111116</v>
      </c>
      <c r="F857" s="75">
        <v>0.94444444444444442</v>
      </c>
      <c r="H857" s="75"/>
      <c r="I857" s="75"/>
      <c r="J857" t="s">
        <v>1531</v>
      </c>
    </row>
    <row r="858" spans="1:10" x14ac:dyDescent="0.6">
      <c r="A858" t="s">
        <v>1532</v>
      </c>
      <c r="B858" s="76">
        <v>1900</v>
      </c>
      <c r="C858" t="s">
        <v>78</v>
      </c>
      <c r="D858" t="s">
        <v>137</v>
      </c>
      <c r="E858" s="75">
        <v>0.83333333333333337</v>
      </c>
      <c r="F858" s="75">
        <v>0.84375</v>
      </c>
      <c r="H858" s="75"/>
      <c r="I858" s="75"/>
    </row>
    <row r="859" spans="1:10" x14ac:dyDescent="0.6">
      <c r="A859" t="s">
        <v>1532</v>
      </c>
      <c r="B859" s="76">
        <v>1900</v>
      </c>
      <c r="C859" t="s">
        <v>941</v>
      </c>
      <c r="D859" t="s">
        <v>942</v>
      </c>
      <c r="E859" s="75">
        <v>0.92013888888888884</v>
      </c>
      <c r="F859" s="75">
        <v>0.94097222222222221</v>
      </c>
      <c r="H859" s="75"/>
      <c r="I859" s="75"/>
    </row>
    <row r="860" spans="1:10" x14ac:dyDescent="0.6">
      <c r="A860" t="s">
        <v>1533</v>
      </c>
      <c r="B860" s="76">
        <v>1900</v>
      </c>
      <c r="C860" t="s">
        <v>78</v>
      </c>
      <c r="D860" t="s">
        <v>137</v>
      </c>
      <c r="E860" s="75">
        <v>0.88888888888888884</v>
      </c>
      <c r="F860" s="75">
        <v>0.89930555555555558</v>
      </c>
      <c r="H860" s="75"/>
      <c r="I860" s="75"/>
    </row>
    <row r="861" spans="1:10" x14ac:dyDescent="0.6">
      <c r="A861" t="s">
        <v>1533</v>
      </c>
      <c r="B861" s="76">
        <v>1900</v>
      </c>
      <c r="C861" t="s">
        <v>75</v>
      </c>
      <c r="D861" t="s">
        <v>137</v>
      </c>
      <c r="E861" s="75">
        <v>0.90625</v>
      </c>
      <c r="F861" s="75">
        <v>0.91666666666666663</v>
      </c>
      <c r="H861" s="75"/>
      <c r="I861" s="75"/>
    </row>
    <row r="862" spans="1:10" x14ac:dyDescent="0.6">
      <c r="A862" t="s">
        <v>1533</v>
      </c>
      <c r="B862" s="76">
        <v>1900</v>
      </c>
      <c r="C862" t="s">
        <v>941</v>
      </c>
      <c r="D862" t="s">
        <v>942</v>
      </c>
      <c r="E862" s="75">
        <v>0.94791666666666663</v>
      </c>
      <c r="F862" s="75">
        <v>0.96180555555555558</v>
      </c>
      <c r="H862" s="75"/>
      <c r="I862" s="75"/>
    </row>
    <row r="863" spans="1:10" x14ac:dyDescent="0.6">
      <c r="A863" t="s">
        <v>1534</v>
      </c>
      <c r="B863" s="76">
        <v>5000</v>
      </c>
      <c r="C863" t="s">
        <v>1535</v>
      </c>
      <c r="D863" t="s">
        <v>137</v>
      </c>
      <c r="E863" s="75">
        <v>0.79166666666666663</v>
      </c>
      <c r="F863" s="75">
        <v>0.80555555555555558</v>
      </c>
      <c r="H863" s="75"/>
      <c r="I863" s="75"/>
      <c r="J863" t="s">
        <v>1531</v>
      </c>
    </row>
    <row r="864" spans="1:10" x14ac:dyDescent="0.6">
      <c r="A864" t="s">
        <v>1534</v>
      </c>
      <c r="B864" s="76">
        <v>5000</v>
      </c>
      <c r="C864" t="s">
        <v>29</v>
      </c>
      <c r="D864" t="s">
        <v>137</v>
      </c>
      <c r="E864" s="75">
        <v>0.83333333333333337</v>
      </c>
      <c r="F864" s="75">
        <v>0.85416666666666663</v>
      </c>
      <c r="H864" s="75"/>
      <c r="I864" s="75"/>
      <c r="J864" t="s">
        <v>1531</v>
      </c>
    </row>
    <row r="865" spans="1:10" x14ac:dyDescent="0.6">
      <c r="A865" t="s">
        <v>1534</v>
      </c>
      <c r="B865" s="76">
        <v>5000</v>
      </c>
      <c r="C865" t="s">
        <v>941</v>
      </c>
      <c r="D865" t="s">
        <v>942</v>
      </c>
      <c r="E865" s="75">
        <v>0.89583333333333337</v>
      </c>
      <c r="F865" s="75">
        <v>0.91666666666666663</v>
      </c>
      <c r="H865" s="75"/>
      <c r="I865" s="75"/>
      <c r="J865" t="s">
        <v>1531</v>
      </c>
    </row>
    <row r="866" spans="1:10" x14ac:dyDescent="0.6">
      <c r="A866" t="s">
        <v>1536</v>
      </c>
      <c r="B866" s="76">
        <v>1900</v>
      </c>
      <c r="C866" t="s">
        <v>1535</v>
      </c>
      <c r="D866" t="s">
        <v>137</v>
      </c>
      <c r="E866" s="75">
        <v>0.79166666666666663</v>
      </c>
      <c r="F866" s="75">
        <v>0.80208333333333337</v>
      </c>
      <c r="H866" s="75"/>
      <c r="I866" s="75"/>
    </row>
    <row r="867" spans="1:10" x14ac:dyDescent="0.6">
      <c r="A867" t="s">
        <v>1536</v>
      </c>
      <c r="B867" s="76">
        <v>1900</v>
      </c>
      <c r="C867" t="s">
        <v>29</v>
      </c>
      <c r="D867" t="s">
        <v>137</v>
      </c>
      <c r="E867" s="75">
        <v>0.82986111111111116</v>
      </c>
      <c r="F867" s="75">
        <v>0.84027777777777779</v>
      </c>
      <c r="H867" s="75"/>
      <c r="I867" s="75"/>
    </row>
    <row r="868" spans="1:10" x14ac:dyDescent="0.6">
      <c r="A868" t="s">
        <v>1536</v>
      </c>
      <c r="B868" s="76">
        <v>1900</v>
      </c>
      <c r="C868" t="s">
        <v>941</v>
      </c>
      <c r="D868" t="s">
        <v>942</v>
      </c>
      <c r="E868" s="75">
        <v>0.88194444444444442</v>
      </c>
      <c r="F868" s="75">
        <v>0.89583333333333337</v>
      </c>
      <c r="H868" s="75"/>
      <c r="I868" s="75"/>
    </row>
    <row r="869" spans="1:10" x14ac:dyDescent="0.6">
      <c r="A869" t="s">
        <v>1537</v>
      </c>
      <c r="B869" s="76">
        <v>1900</v>
      </c>
      <c r="C869" t="s">
        <v>29</v>
      </c>
      <c r="D869" t="s">
        <v>137</v>
      </c>
      <c r="E869" s="75">
        <v>0.85416666666666663</v>
      </c>
      <c r="F869" s="75">
        <v>0.86458333333333337</v>
      </c>
      <c r="H869" s="75"/>
      <c r="I869" s="75"/>
    </row>
    <row r="870" spans="1:10" x14ac:dyDescent="0.6">
      <c r="A870" t="s">
        <v>1537</v>
      </c>
      <c r="B870" s="76">
        <v>1900</v>
      </c>
      <c r="C870" t="s">
        <v>941</v>
      </c>
      <c r="D870" t="s">
        <v>942</v>
      </c>
      <c r="E870" s="75">
        <v>0.90625</v>
      </c>
      <c r="F870" s="75">
        <v>0.92013888888888884</v>
      </c>
      <c r="H870" s="75"/>
      <c r="I870" s="75"/>
    </row>
    <row r="871" spans="1:10" x14ac:dyDescent="0.6">
      <c r="A871" t="s">
        <v>1538</v>
      </c>
      <c r="B871" s="76">
        <v>5000</v>
      </c>
      <c r="C871" t="s">
        <v>1539</v>
      </c>
      <c r="D871" t="s">
        <v>137</v>
      </c>
      <c r="E871" s="75">
        <v>0.84722222222222221</v>
      </c>
      <c r="F871" s="75">
        <v>0.86805555555555558</v>
      </c>
      <c r="H871" s="75"/>
      <c r="I871" s="75"/>
    </row>
    <row r="872" spans="1:10" x14ac:dyDescent="0.6">
      <c r="A872" t="s">
        <v>1538</v>
      </c>
      <c r="B872" s="76">
        <v>5000</v>
      </c>
      <c r="C872" t="s">
        <v>941</v>
      </c>
      <c r="D872" t="s">
        <v>942</v>
      </c>
      <c r="E872" s="75">
        <v>0.90972222222222221</v>
      </c>
      <c r="F872" s="75">
        <v>0.93055555555555558</v>
      </c>
      <c r="H872" s="75"/>
      <c r="I872" s="75"/>
    </row>
    <row r="873" spans="1:10" x14ac:dyDescent="0.6">
      <c r="A873" t="s">
        <v>1540</v>
      </c>
      <c r="B873" s="76">
        <v>1900</v>
      </c>
      <c r="C873" t="s">
        <v>1541</v>
      </c>
      <c r="D873" t="s">
        <v>137</v>
      </c>
      <c r="E873" s="75">
        <v>0.83333333333333337</v>
      </c>
      <c r="F873" s="75">
        <v>0.84375</v>
      </c>
      <c r="H873" s="75"/>
      <c r="I873" s="75"/>
    </row>
    <row r="874" spans="1:10" x14ac:dyDescent="0.6">
      <c r="A874" t="s">
        <v>1540</v>
      </c>
      <c r="B874" s="76">
        <v>1900</v>
      </c>
      <c r="C874" t="s">
        <v>941</v>
      </c>
      <c r="D874" t="s">
        <v>942</v>
      </c>
      <c r="E874" s="75">
        <v>0.89236111111111116</v>
      </c>
      <c r="F874" s="75">
        <v>0.90625</v>
      </c>
      <c r="H874" s="75"/>
      <c r="I874" s="75"/>
    </row>
    <row r="875" spans="1:10" x14ac:dyDescent="0.6">
      <c r="A875" t="s">
        <v>1542</v>
      </c>
      <c r="B875" s="76">
        <v>1900</v>
      </c>
      <c r="C875" t="s">
        <v>27</v>
      </c>
      <c r="D875" t="s">
        <v>137</v>
      </c>
      <c r="E875" s="75">
        <v>0.84027777777777779</v>
      </c>
      <c r="F875" s="75">
        <v>0.85069444444444442</v>
      </c>
      <c r="H875" s="75"/>
      <c r="I875" s="75"/>
    </row>
    <row r="876" spans="1:10" x14ac:dyDescent="0.6">
      <c r="A876" t="s">
        <v>1542</v>
      </c>
      <c r="B876" s="76">
        <v>1900</v>
      </c>
      <c r="C876" t="s">
        <v>941</v>
      </c>
      <c r="D876" t="s">
        <v>942</v>
      </c>
      <c r="E876" s="75">
        <v>0.87847222222222221</v>
      </c>
      <c r="F876" s="75">
        <v>0.89236111111111116</v>
      </c>
      <c r="H876" s="75"/>
      <c r="I876" s="75"/>
    </row>
    <row r="877" spans="1:10" x14ac:dyDescent="0.6">
      <c r="A877" t="s">
        <v>1543</v>
      </c>
      <c r="B877" s="76">
        <v>1900</v>
      </c>
      <c r="C877" t="s">
        <v>36</v>
      </c>
      <c r="D877" t="s">
        <v>137</v>
      </c>
      <c r="E877" s="75">
        <v>0.84375</v>
      </c>
      <c r="F877" s="75">
        <v>0.85069444444444442</v>
      </c>
      <c r="H877" s="75"/>
      <c r="I877" s="75"/>
    </row>
    <row r="878" spans="1:10" x14ac:dyDescent="0.6">
      <c r="A878" t="s">
        <v>1543</v>
      </c>
      <c r="B878" s="76">
        <v>1900</v>
      </c>
      <c r="C878" t="s">
        <v>946</v>
      </c>
      <c r="D878" t="s">
        <v>137</v>
      </c>
      <c r="E878" s="75">
        <v>0.84375</v>
      </c>
      <c r="F878" s="75">
        <v>0.85069444444444442</v>
      </c>
      <c r="H878" s="75"/>
      <c r="I878" s="75"/>
      <c r="J878" t="s">
        <v>1544</v>
      </c>
    </row>
    <row r="879" spans="1:10" x14ac:dyDescent="0.6">
      <c r="A879" t="s">
        <v>1543</v>
      </c>
      <c r="B879" s="76">
        <v>1900</v>
      </c>
      <c r="C879" t="s">
        <v>37</v>
      </c>
      <c r="D879" t="s">
        <v>137</v>
      </c>
      <c r="E879" s="75">
        <v>0.86111111111111116</v>
      </c>
      <c r="F879" s="75">
        <v>0.86805555555555558</v>
      </c>
      <c r="H879" s="75"/>
      <c r="I879" s="75"/>
    </row>
    <row r="880" spans="1:10" x14ac:dyDescent="0.6">
      <c r="A880" t="s">
        <v>1543</v>
      </c>
      <c r="B880" s="76">
        <v>1900</v>
      </c>
      <c r="C880" t="s">
        <v>941</v>
      </c>
      <c r="D880" t="s">
        <v>942</v>
      </c>
      <c r="E880" s="75">
        <v>0.9375</v>
      </c>
      <c r="F880" s="75">
        <v>0.95138888888888884</v>
      </c>
      <c r="H880" s="75"/>
      <c r="I880" s="75"/>
    </row>
    <row r="881" spans="1:10" x14ac:dyDescent="0.6">
      <c r="A881" t="s">
        <v>1545</v>
      </c>
      <c r="B881" s="76">
        <v>1900</v>
      </c>
      <c r="C881" t="s">
        <v>24</v>
      </c>
      <c r="D881" t="s">
        <v>137</v>
      </c>
      <c r="E881" s="75">
        <v>0.85416666666666663</v>
      </c>
      <c r="F881" s="75">
        <v>0.86458333333333337</v>
      </c>
      <c r="H881" s="75"/>
      <c r="I881" s="75"/>
    </row>
    <row r="882" spans="1:10" x14ac:dyDescent="0.6">
      <c r="A882" t="s">
        <v>1545</v>
      </c>
      <c r="B882" s="76">
        <v>1900</v>
      </c>
      <c r="C882" t="s">
        <v>941</v>
      </c>
      <c r="D882" t="s">
        <v>942</v>
      </c>
      <c r="E882" s="75">
        <v>0.88541666666666663</v>
      </c>
      <c r="F882" s="75">
        <v>0.89930555555555558</v>
      </c>
      <c r="H882" s="75"/>
      <c r="I882" s="75"/>
    </row>
    <row r="883" spans="1:10" x14ac:dyDescent="0.6">
      <c r="A883" t="s">
        <v>1546</v>
      </c>
      <c r="B883" s="76">
        <v>1900</v>
      </c>
      <c r="C883" t="s">
        <v>22</v>
      </c>
      <c r="D883" t="s">
        <v>137</v>
      </c>
      <c r="E883" s="75">
        <v>0.84375</v>
      </c>
      <c r="F883" s="75">
        <v>0.85416666666666663</v>
      </c>
      <c r="H883" s="75"/>
      <c r="I883" s="75"/>
    </row>
    <row r="884" spans="1:10" x14ac:dyDescent="0.6">
      <c r="A884" t="s">
        <v>1546</v>
      </c>
      <c r="B884" s="76">
        <v>1900</v>
      </c>
      <c r="C884" t="s">
        <v>941</v>
      </c>
      <c r="D884" t="s">
        <v>942</v>
      </c>
      <c r="E884" s="75">
        <v>0.88194444444444442</v>
      </c>
      <c r="F884" s="75">
        <v>0.89583333333333337</v>
      </c>
      <c r="H884" s="75"/>
      <c r="I884" s="75"/>
    </row>
    <row r="885" spans="1:10" x14ac:dyDescent="0.6">
      <c r="A885" t="s">
        <v>1547</v>
      </c>
      <c r="B885" s="76">
        <v>1900</v>
      </c>
      <c r="C885" t="s">
        <v>1548</v>
      </c>
      <c r="D885" t="s">
        <v>137</v>
      </c>
      <c r="E885" s="75">
        <v>0.875</v>
      </c>
      <c r="F885" s="75">
        <v>0.88541666666666663</v>
      </c>
      <c r="H885" s="75"/>
      <c r="I885" s="75"/>
    </row>
    <row r="886" spans="1:10" x14ac:dyDescent="0.6">
      <c r="A886" t="s">
        <v>1547</v>
      </c>
      <c r="B886" s="76">
        <v>1900</v>
      </c>
      <c r="C886" t="s">
        <v>941</v>
      </c>
      <c r="D886" t="s">
        <v>942</v>
      </c>
      <c r="E886" s="75">
        <v>0.92708333333333337</v>
      </c>
      <c r="F886" s="75">
        <v>0.94097222222222221</v>
      </c>
      <c r="H886" s="75"/>
      <c r="I886" s="75"/>
    </row>
    <row r="887" spans="1:10" x14ac:dyDescent="0.6">
      <c r="A887" t="s">
        <v>1549</v>
      </c>
      <c r="B887" s="76">
        <v>1900</v>
      </c>
      <c r="C887" t="s">
        <v>97</v>
      </c>
      <c r="D887" t="s">
        <v>137</v>
      </c>
      <c r="E887" s="75">
        <v>0.84722222222222221</v>
      </c>
      <c r="F887" s="75">
        <v>0.85763888888888884</v>
      </c>
      <c r="H887" s="75"/>
      <c r="I887" s="75"/>
      <c r="J887" t="s">
        <v>1550</v>
      </c>
    </row>
    <row r="888" spans="1:10" x14ac:dyDescent="0.6">
      <c r="A888" t="s">
        <v>1549</v>
      </c>
      <c r="B888" s="76">
        <v>1900</v>
      </c>
      <c r="C888" t="s">
        <v>941</v>
      </c>
      <c r="D888" t="s">
        <v>942</v>
      </c>
      <c r="E888" s="75">
        <v>0.86111111111111116</v>
      </c>
      <c r="F888" s="75">
        <v>0.875</v>
      </c>
      <c r="H888" s="75"/>
      <c r="I888" s="75"/>
    </row>
    <row r="889" spans="1:10" x14ac:dyDescent="0.6">
      <c r="A889" t="s">
        <v>1551</v>
      </c>
      <c r="B889" s="76">
        <v>1900</v>
      </c>
      <c r="C889" t="s">
        <v>97</v>
      </c>
      <c r="D889" t="s">
        <v>137</v>
      </c>
      <c r="E889" s="75">
        <v>0.84027777777777779</v>
      </c>
      <c r="F889" s="75">
        <v>0.84722222222222221</v>
      </c>
      <c r="H889" s="75"/>
      <c r="I889" s="75"/>
    </row>
    <row r="890" spans="1:10" x14ac:dyDescent="0.6">
      <c r="A890" t="s">
        <v>1551</v>
      </c>
      <c r="B890" s="76">
        <v>1900</v>
      </c>
      <c r="C890" t="s">
        <v>941</v>
      </c>
      <c r="D890" t="s">
        <v>942</v>
      </c>
      <c r="E890" s="75">
        <v>0.89583333333333337</v>
      </c>
      <c r="F890" s="75">
        <v>0.90972222222222221</v>
      </c>
      <c r="H890" s="75"/>
      <c r="I890" s="75"/>
    </row>
    <row r="891" spans="1:10" x14ac:dyDescent="0.6">
      <c r="A891" t="s">
        <v>1552</v>
      </c>
      <c r="B891" s="76" t="s">
        <v>1553</v>
      </c>
      <c r="C891" t="s">
        <v>92</v>
      </c>
      <c r="D891" t="s">
        <v>137</v>
      </c>
      <c r="E891" s="75">
        <v>0.85763888888888884</v>
      </c>
      <c r="F891" s="75">
        <v>0.86805555555555558</v>
      </c>
      <c r="H891" s="75"/>
      <c r="I891" s="75"/>
    </row>
    <row r="892" spans="1:10" x14ac:dyDescent="0.6">
      <c r="A892" t="s">
        <v>1552</v>
      </c>
      <c r="B892" s="76" t="s">
        <v>1553</v>
      </c>
      <c r="C892" t="s">
        <v>941</v>
      </c>
      <c r="D892" t="s">
        <v>942</v>
      </c>
      <c r="E892" s="75">
        <v>0.89583333333333337</v>
      </c>
      <c r="F892" s="75">
        <v>0.90972222222222221</v>
      </c>
      <c r="H892" s="75"/>
      <c r="I892" s="75"/>
    </row>
    <row r="893" spans="1:10" x14ac:dyDescent="0.6">
      <c r="A893" t="s">
        <v>1554</v>
      </c>
      <c r="B893" s="76">
        <v>1900</v>
      </c>
      <c r="C893" t="s">
        <v>92</v>
      </c>
      <c r="D893" t="s">
        <v>137</v>
      </c>
      <c r="E893" s="75">
        <v>0.86805555555555558</v>
      </c>
      <c r="F893" s="75">
        <v>0.87847222222222221</v>
      </c>
      <c r="H893" s="75"/>
      <c r="I893" s="75"/>
      <c r="J893" t="s">
        <v>1550</v>
      </c>
    </row>
    <row r="894" spans="1:10" x14ac:dyDescent="0.6">
      <c r="A894" t="s">
        <v>1554</v>
      </c>
      <c r="B894" s="76">
        <v>1900</v>
      </c>
      <c r="C894" t="s">
        <v>941</v>
      </c>
      <c r="D894" t="s">
        <v>942</v>
      </c>
      <c r="E894" s="75">
        <v>0.90625</v>
      </c>
      <c r="F894" s="75">
        <v>0.92013888888888884</v>
      </c>
      <c r="H894" s="75"/>
      <c r="I894" s="75"/>
    </row>
    <row r="895" spans="1:10" x14ac:dyDescent="0.6">
      <c r="A895" t="s">
        <v>1555</v>
      </c>
      <c r="B895" s="76" t="s">
        <v>1553</v>
      </c>
      <c r="C895" t="s">
        <v>94</v>
      </c>
      <c r="D895" t="s">
        <v>137</v>
      </c>
      <c r="E895" s="75">
        <v>0.85763888888888884</v>
      </c>
      <c r="F895" s="75">
        <v>0.86805555555555558</v>
      </c>
      <c r="H895" s="75"/>
      <c r="I895" s="75"/>
    </row>
    <row r="896" spans="1:10" x14ac:dyDescent="0.6">
      <c r="A896" t="s">
        <v>1555</v>
      </c>
      <c r="B896" s="76" t="s">
        <v>1553</v>
      </c>
      <c r="C896" t="s">
        <v>941</v>
      </c>
      <c r="D896" t="s">
        <v>942</v>
      </c>
      <c r="E896" s="75">
        <v>0.89583333333333337</v>
      </c>
      <c r="F896" s="75">
        <v>0.90972222222222221</v>
      </c>
      <c r="H896" s="75"/>
      <c r="I896" s="75"/>
    </row>
    <row r="897" spans="1:10" x14ac:dyDescent="0.6">
      <c r="A897" t="s">
        <v>1556</v>
      </c>
      <c r="B897" s="76">
        <v>1900</v>
      </c>
      <c r="C897" t="s">
        <v>94</v>
      </c>
      <c r="D897" t="s">
        <v>137</v>
      </c>
      <c r="E897" s="75">
        <v>0.84375</v>
      </c>
      <c r="F897" s="75">
        <v>0.85416666666666663</v>
      </c>
      <c r="H897" s="75"/>
      <c r="I897" s="75"/>
      <c r="J897" t="s">
        <v>1550</v>
      </c>
    </row>
    <row r="898" spans="1:10" x14ac:dyDescent="0.6">
      <c r="A898" t="s">
        <v>1556</v>
      </c>
      <c r="B898" s="76">
        <v>1900</v>
      </c>
      <c r="C898" t="s">
        <v>941</v>
      </c>
      <c r="D898" t="s">
        <v>942</v>
      </c>
      <c r="E898" s="75">
        <v>0.88194444444444442</v>
      </c>
      <c r="F898" s="75">
        <v>0.89583333333333337</v>
      </c>
      <c r="H898" s="75"/>
      <c r="I898" s="75"/>
    </row>
    <row r="899" spans="1:10" x14ac:dyDescent="0.6">
      <c r="A899" t="s">
        <v>1557</v>
      </c>
      <c r="B899" s="76">
        <v>1900</v>
      </c>
      <c r="C899" t="s">
        <v>101</v>
      </c>
      <c r="D899" t="s">
        <v>137</v>
      </c>
      <c r="E899" s="75">
        <v>0.84722222222222221</v>
      </c>
      <c r="F899" s="75">
        <v>0.85763888888888884</v>
      </c>
      <c r="H899" s="75"/>
      <c r="I899" s="75"/>
    </row>
    <row r="900" spans="1:10" x14ac:dyDescent="0.6">
      <c r="A900" t="s">
        <v>1557</v>
      </c>
      <c r="B900" s="76">
        <v>1900</v>
      </c>
      <c r="C900" t="s">
        <v>941</v>
      </c>
      <c r="D900" t="s">
        <v>942</v>
      </c>
      <c r="E900" s="75">
        <v>0.90625</v>
      </c>
      <c r="F900" s="75">
        <v>0.92013888888888884</v>
      </c>
      <c r="H900" s="75"/>
      <c r="I900" s="75"/>
    </row>
    <row r="901" spans="1:10" x14ac:dyDescent="0.6">
      <c r="A901" t="s">
        <v>1558</v>
      </c>
      <c r="B901" s="76">
        <v>1900</v>
      </c>
      <c r="C901" t="s">
        <v>101</v>
      </c>
      <c r="D901" t="s">
        <v>137</v>
      </c>
      <c r="E901" s="75">
        <v>0.85763888888888884</v>
      </c>
      <c r="F901" s="75">
        <v>0.86805555555555558</v>
      </c>
      <c r="H901" s="75"/>
      <c r="I901" s="75"/>
    </row>
    <row r="902" spans="1:10" x14ac:dyDescent="0.6">
      <c r="A902" t="s">
        <v>1558</v>
      </c>
      <c r="B902" s="76">
        <v>1900</v>
      </c>
      <c r="C902" t="s">
        <v>941</v>
      </c>
      <c r="D902" t="s">
        <v>942</v>
      </c>
      <c r="E902" s="75">
        <v>0.91666666666666663</v>
      </c>
      <c r="F902" s="75">
        <v>0.93055555555555558</v>
      </c>
      <c r="H902" s="75"/>
      <c r="I902" s="75"/>
    </row>
    <row r="903" spans="1:10" x14ac:dyDescent="0.6">
      <c r="A903" t="s">
        <v>1559</v>
      </c>
      <c r="B903" s="76">
        <v>1900</v>
      </c>
      <c r="C903" t="s">
        <v>1034</v>
      </c>
      <c r="D903" t="s">
        <v>137</v>
      </c>
      <c r="E903" s="75">
        <v>0.85416666666666663</v>
      </c>
      <c r="F903" s="75">
        <v>0.86458333333333337</v>
      </c>
      <c r="H903" s="75"/>
      <c r="I903" s="75"/>
    </row>
    <row r="904" spans="1:10" x14ac:dyDescent="0.6">
      <c r="A904" t="s">
        <v>1559</v>
      </c>
      <c r="B904" s="76">
        <v>1900</v>
      </c>
      <c r="C904" t="s">
        <v>941</v>
      </c>
      <c r="D904" t="s">
        <v>942</v>
      </c>
      <c r="E904" s="75">
        <v>0.91319444444444442</v>
      </c>
      <c r="F904" s="75">
        <v>0.92708333333333337</v>
      </c>
      <c r="H904" s="75"/>
      <c r="I904" s="75"/>
    </row>
    <row r="905" spans="1:10" x14ac:dyDescent="0.6">
      <c r="A905" t="s">
        <v>1560</v>
      </c>
      <c r="B905" s="76">
        <v>1900</v>
      </c>
      <c r="C905" t="s">
        <v>100</v>
      </c>
      <c r="D905" t="s">
        <v>137</v>
      </c>
      <c r="E905" s="75">
        <v>0.85416666666666663</v>
      </c>
      <c r="F905" s="75">
        <v>0.86458333333333337</v>
      </c>
      <c r="H905" s="75"/>
      <c r="I905" s="75"/>
    </row>
    <row r="906" spans="1:10" x14ac:dyDescent="0.6">
      <c r="A906" t="s">
        <v>1560</v>
      </c>
      <c r="B906" s="76">
        <v>1900</v>
      </c>
      <c r="C906" t="s">
        <v>94</v>
      </c>
      <c r="D906" t="s">
        <v>137</v>
      </c>
      <c r="E906" s="75">
        <v>0.875</v>
      </c>
      <c r="F906" s="75">
        <v>0.88541666666666663</v>
      </c>
      <c r="H906" s="75"/>
      <c r="I906" s="75"/>
    </row>
    <row r="907" spans="1:10" x14ac:dyDescent="0.6">
      <c r="A907" t="s">
        <v>1560</v>
      </c>
      <c r="B907" s="76">
        <v>1900</v>
      </c>
      <c r="C907" t="s">
        <v>941</v>
      </c>
      <c r="D907" t="s">
        <v>942</v>
      </c>
      <c r="E907" s="75">
        <v>0.93402777777777779</v>
      </c>
      <c r="F907" s="75">
        <v>0.94791666666666663</v>
      </c>
      <c r="H907" s="75"/>
      <c r="I907" s="75"/>
    </row>
    <row r="908" spans="1:10" x14ac:dyDescent="0.6">
      <c r="A908" t="s">
        <v>1561</v>
      </c>
      <c r="B908" s="76">
        <v>1900</v>
      </c>
      <c r="C908" t="s">
        <v>95</v>
      </c>
      <c r="D908" t="s">
        <v>137</v>
      </c>
      <c r="E908" s="75">
        <v>0.85416666666666663</v>
      </c>
      <c r="F908" s="75">
        <v>0.86458333333333337</v>
      </c>
      <c r="H908" s="75"/>
      <c r="I908" s="75"/>
    </row>
    <row r="909" spans="1:10" x14ac:dyDescent="0.6">
      <c r="A909" t="s">
        <v>1561</v>
      </c>
      <c r="B909" s="76">
        <v>1900</v>
      </c>
      <c r="C909" t="s">
        <v>941</v>
      </c>
      <c r="D909" t="s">
        <v>942</v>
      </c>
      <c r="E909" s="75">
        <v>0.90625</v>
      </c>
      <c r="F909" s="75">
        <v>0.92013888888888884</v>
      </c>
      <c r="H909" s="75"/>
      <c r="I909" s="75"/>
    </row>
    <row r="910" spans="1:10" x14ac:dyDescent="0.6">
      <c r="A910" t="s">
        <v>1562</v>
      </c>
      <c r="B910" s="76" t="s">
        <v>1553</v>
      </c>
      <c r="C910" t="s">
        <v>96</v>
      </c>
      <c r="D910" t="s">
        <v>137</v>
      </c>
      <c r="E910" s="75">
        <v>0.87152777777777779</v>
      </c>
      <c r="F910" s="75">
        <v>0.88194444444444442</v>
      </c>
      <c r="H910" s="75"/>
      <c r="I910" s="75"/>
    </row>
    <row r="911" spans="1:10" x14ac:dyDescent="0.6">
      <c r="A911" t="s">
        <v>1562</v>
      </c>
      <c r="B911" s="76" t="s">
        <v>1553</v>
      </c>
      <c r="C911" t="s">
        <v>941</v>
      </c>
      <c r="D911" t="s">
        <v>942</v>
      </c>
      <c r="E911" s="75">
        <v>0.92013888888888884</v>
      </c>
      <c r="F911" s="75">
        <v>0.93402777777777779</v>
      </c>
      <c r="H911" s="75"/>
      <c r="I911" s="75"/>
    </row>
    <row r="912" spans="1:10" x14ac:dyDescent="0.6">
      <c r="A912" t="s">
        <v>1563</v>
      </c>
      <c r="B912" s="76">
        <v>1900</v>
      </c>
      <c r="C912" t="s">
        <v>96</v>
      </c>
      <c r="D912" t="s">
        <v>137</v>
      </c>
      <c r="E912" s="75">
        <v>0.85416666666666663</v>
      </c>
      <c r="F912" s="75">
        <v>0.86458333333333337</v>
      </c>
      <c r="H912" s="75"/>
      <c r="I912" s="75"/>
    </row>
    <row r="913" spans="1:10" x14ac:dyDescent="0.6">
      <c r="A913" t="s">
        <v>1563</v>
      </c>
      <c r="B913" s="76">
        <v>1900</v>
      </c>
      <c r="C913" t="s">
        <v>941</v>
      </c>
      <c r="D913" t="s">
        <v>942</v>
      </c>
      <c r="E913" s="75">
        <v>0.90277777777777779</v>
      </c>
      <c r="F913" s="75">
        <v>0.91666666666666663</v>
      </c>
      <c r="H913" s="75"/>
      <c r="I913" s="75"/>
    </row>
    <row r="914" spans="1:10" x14ac:dyDescent="0.6">
      <c r="A914" t="s">
        <v>1564</v>
      </c>
      <c r="B914" s="76">
        <v>1900</v>
      </c>
      <c r="C914" t="s">
        <v>96</v>
      </c>
      <c r="D914" t="s">
        <v>137</v>
      </c>
      <c r="E914" s="75">
        <v>0.84375</v>
      </c>
      <c r="F914" s="75">
        <v>0.85416666666666663</v>
      </c>
      <c r="H914" s="75"/>
      <c r="I914" s="75"/>
      <c r="J914" t="s">
        <v>1550</v>
      </c>
    </row>
    <row r="915" spans="1:10" x14ac:dyDescent="0.6">
      <c r="A915" t="s">
        <v>1564</v>
      </c>
      <c r="B915" s="76">
        <v>1900</v>
      </c>
      <c r="C915" t="s">
        <v>941</v>
      </c>
      <c r="D915" t="s">
        <v>942</v>
      </c>
      <c r="E915" s="75">
        <v>0.89236111111111116</v>
      </c>
      <c r="F915" s="75">
        <v>0.90625</v>
      </c>
      <c r="H915" s="75"/>
      <c r="I915" s="75"/>
    </row>
    <row r="916" spans="1:10" x14ac:dyDescent="0.6">
      <c r="A916" t="s">
        <v>1565</v>
      </c>
      <c r="B916" s="76" t="s">
        <v>1553</v>
      </c>
      <c r="C916" t="s">
        <v>125</v>
      </c>
      <c r="D916" t="s">
        <v>137</v>
      </c>
      <c r="E916" s="75">
        <v>0.85763888888888884</v>
      </c>
      <c r="F916" s="75">
        <v>0.86805555555555558</v>
      </c>
      <c r="H916" s="75"/>
      <c r="I916" s="75"/>
    </row>
    <row r="917" spans="1:10" x14ac:dyDescent="0.6">
      <c r="A917" t="s">
        <v>1565</v>
      </c>
      <c r="B917" s="76" t="s">
        <v>1553</v>
      </c>
      <c r="C917" t="s">
        <v>941</v>
      </c>
      <c r="D917" t="s">
        <v>942</v>
      </c>
      <c r="E917" s="75">
        <v>0.90625</v>
      </c>
      <c r="F917" s="75">
        <v>0.92013888888888884</v>
      </c>
      <c r="H917" s="75"/>
      <c r="I917" s="75"/>
    </row>
    <row r="918" spans="1:10" x14ac:dyDescent="0.6">
      <c r="A918" t="s">
        <v>1566</v>
      </c>
      <c r="B918" s="76">
        <v>1900</v>
      </c>
      <c r="C918" t="s">
        <v>125</v>
      </c>
      <c r="D918" t="s">
        <v>137</v>
      </c>
      <c r="E918" s="75">
        <v>0.84722222222222221</v>
      </c>
      <c r="F918" s="75">
        <v>0.85763888888888884</v>
      </c>
      <c r="H918" s="75"/>
      <c r="I918" s="75"/>
    </row>
    <row r="919" spans="1:10" x14ac:dyDescent="0.6">
      <c r="A919" t="s">
        <v>1566</v>
      </c>
      <c r="B919" s="76">
        <v>1900</v>
      </c>
      <c r="C919" t="s">
        <v>941</v>
      </c>
      <c r="D919" t="s">
        <v>942</v>
      </c>
      <c r="E919" s="75">
        <v>0.89583333333333337</v>
      </c>
      <c r="F919" s="75">
        <v>0.90972222222222221</v>
      </c>
      <c r="H919" s="75"/>
      <c r="I919" s="75"/>
    </row>
    <row r="920" spans="1:10" x14ac:dyDescent="0.6">
      <c r="A920" t="s">
        <v>1567</v>
      </c>
      <c r="B920" s="76">
        <v>1900</v>
      </c>
      <c r="C920" t="s">
        <v>125</v>
      </c>
      <c r="D920" t="s">
        <v>137</v>
      </c>
      <c r="E920" s="75">
        <v>0.85763888888888884</v>
      </c>
      <c r="F920" s="75">
        <v>0.86805555555555558</v>
      </c>
      <c r="H920" s="75"/>
      <c r="I920" s="75"/>
    </row>
    <row r="921" spans="1:10" x14ac:dyDescent="0.6">
      <c r="A921" t="s">
        <v>1567</v>
      </c>
      <c r="B921" s="76">
        <v>1900</v>
      </c>
      <c r="C921" t="s">
        <v>941</v>
      </c>
      <c r="D921" t="s">
        <v>942</v>
      </c>
      <c r="E921" s="75">
        <v>0.90625</v>
      </c>
      <c r="F921" s="75">
        <v>0.92013888888888884</v>
      </c>
      <c r="H921" s="75"/>
      <c r="I921" s="75"/>
    </row>
    <row r="922" spans="1:10" x14ac:dyDescent="0.6">
      <c r="A922" t="s">
        <v>1568</v>
      </c>
      <c r="B922" s="76">
        <v>1900</v>
      </c>
      <c r="C922" t="s">
        <v>128</v>
      </c>
      <c r="D922" t="s">
        <v>137</v>
      </c>
      <c r="E922" s="75">
        <v>0.85416666666666663</v>
      </c>
      <c r="F922" s="75">
        <v>0.86458333333333337</v>
      </c>
      <c r="H922" s="75"/>
      <c r="I922" s="75"/>
    </row>
    <row r="923" spans="1:10" x14ac:dyDescent="0.6">
      <c r="A923" t="s">
        <v>1568</v>
      </c>
      <c r="B923" s="76">
        <v>1900</v>
      </c>
      <c r="C923" t="s">
        <v>941</v>
      </c>
      <c r="D923" t="s">
        <v>942</v>
      </c>
      <c r="E923" s="75">
        <v>0.90972222222222221</v>
      </c>
      <c r="F923" s="75">
        <v>0.92361111111111116</v>
      </c>
      <c r="H923" s="75"/>
      <c r="I923" s="75"/>
    </row>
    <row r="924" spans="1:10" x14ac:dyDescent="0.6">
      <c r="A924" t="s">
        <v>1569</v>
      </c>
      <c r="B924" s="76">
        <v>1900</v>
      </c>
      <c r="C924" t="s">
        <v>128</v>
      </c>
      <c r="D924" t="s">
        <v>137</v>
      </c>
      <c r="E924" s="75">
        <v>0.875</v>
      </c>
      <c r="F924" s="75">
        <v>0.88541666666666663</v>
      </c>
      <c r="H924" s="75"/>
      <c r="I924" s="75"/>
    </row>
    <row r="925" spans="1:10" x14ac:dyDescent="0.6">
      <c r="A925" t="s">
        <v>1569</v>
      </c>
      <c r="B925" s="76">
        <v>1900</v>
      </c>
      <c r="C925" t="s">
        <v>941</v>
      </c>
      <c r="D925" t="s">
        <v>942</v>
      </c>
      <c r="E925" s="75">
        <v>0.93055555555555558</v>
      </c>
      <c r="F925" s="75">
        <v>0.94444444444444442</v>
      </c>
      <c r="H925" s="75"/>
      <c r="I925" s="75"/>
    </row>
    <row r="926" spans="1:10" x14ac:dyDescent="0.6">
      <c r="A926" t="s">
        <v>1570</v>
      </c>
      <c r="B926" s="76">
        <v>1900</v>
      </c>
      <c r="C926" t="s">
        <v>1571</v>
      </c>
      <c r="D926" t="s">
        <v>137</v>
      </c>
      <c r="E926" s="75">
        <v>0.91666666666666663</v>
      </c>
      <c r="F926" s="75">
        <v>0.93055555555555558</v>
      </c>
      <c r="H926" s="75"/>
      <c r="I926" s="75"/>
    </row>
    <row r="927" spans="1:10" x14ac:dyDescent="0.6">
      <c r="A927" t="s">
        <v>1570</v>
      </c>
      <c r="B927" s="76">
        <v>1900</v>
      </c>
      <c r="C927" t="s">
        <v>1572</v>
      </c>
      <c r="D927" t="s">
        <v>137</v>
      </c>
      <c r="E927" s="75">
        <v>0.94097222222222221</v>
      </c>
      <c r="F927" s="75">
        <v>0.95486111111111116</v>
      </c>
      <c r="H927" s="75"/>
      <c r="I927" s="75"/>
    </row>
    <row r="928" spans="1:10" x14ac:dyDescent="0.6">
      <c r="A928" t="s">
        <v>1570</v>
      </c>
      <c r="B928" s="76">
        <v>1900</v>
      </c>
      <c r="C928" t="s">
        <v>941</v>
      </c>
      <c r="D928" t="s">
        <v>942</v>
      </c>
      <c r="E928" s="75">
        <v>0.98958333333333337</v>
      </c>
      <c r="F928" s="75">
        <v>3.472222222222222E-3</v>
      </c>
      <c r="H928" s="75"/>
      <c r="I928" s="75"/>
    </row>
    <row r="929" spans="1:9" x14ac:dyDescent="0.6">
      <c r="A929" t="s">
        <v>1573</v>
      </c>
      <c r="B929" s="76">
        <v>1900</v>
      </c>
      <c r="C929" t="s">
        <v>127</v>
      </c>
      <c r="D929" t="s">
        <v>137</v>
      </c>
      <c r="E929" s="75">
        <v>0.85416666666666663</v>
      </c>
      <c r="F929" s="75">
        <v>0.86458333333333337</v>
      </c>
      <c r="H929" s="75"/>
      <c r="I929" s="75"/>
    </row>
    <row r="930" spans="1:9" x14ac:dyDescent="0.6">
      <c r="A930" t="s">
        <v>1573</v>
      </c>
      <c r="B930" s="76">
        <v>1900</v>
      </c>
      <c r="C930" t="s">
        <v>941</v>
      </c>
      <c r="D930" t="s">
        <v>942</v>
      </c>
      <c r="E930" s="75">
        <v>0.90625</v>
      </c>
      <c r="F930" s="75">
        <v>0.92013888888888884</v>
      </c>
      <c r="H930" s="75"/>
      <c r="I930" s="75"/>
    </row>
    <row r="931" spans="1:9" x14ac:dyDescent="0.6">
      <c r="A931" t="s">
        <v>1574</v>
      </c>
      <c r="B931" s="76" t="s">
        <v>1553</v>
      </c>
      <c r="C931" t="s">
        <v>126</v>
      </c>
      <c r="D931" t="s">
        <v>137</v>
      </c>
      <c r="E931" s="75">
        <v>0.85416666666666663</v>
      </c>
      <c r="F931" s="75">
        <v>0.86458333333333337</v>
      </c>
      <c r="H931" s="75"/>
      <c r="I931" s="75"/>
    </row>
    <row r="932" spans="1:9" x14ac:dyDescent="0.6">
      <c r="A932" t="s">
        <v>1574</v>
      </c>
      <c r="B932" s="76" t="s">
        <v>1553</v>
      </c>
      <c r="C932" t="s">
        <v>941</v>
      </c>
      <c r="D932" t="s">
        <v>942</v>
      </c>
      <c r="E932" s="75">
        <v>0.89236111111111116</v>
      </c>
      <c r="F932" s="75">
        <v>0.90625</v>
      </c>
      <c r="H932" s="75"/>
      <c r="I932" s="75"/>
    </row>
    <row r="933" spans="1:9" x14ac:dyDescent="0.6">
      <c r="A933" t="s">
        <v>1575</v>
      </c>
      <c r="B933" s="76">
        <v>1900</v>
      </c>
      <c r="C933" t="s">
        <v>126</v>
      </c>
      <c r="D933" t="s">
        <v>137</v>
      </c>
      <c r="E933" s="75">
        <v>0.86458333333333337</v>
      </c>
      <c r="F933" s="75">
        <v>0.87152777777777779</v>
      </c>
      <c r="H933" s="75"/>
      <c r="I933" s="75"/>
    </row>
    <row r="934" spans="1:9" x14ac:dyDescent="0.6">
      <c r="A934" t="s">
        <v>1575</v>
      </c>
      <c r="B934" s="76">
        <v>1900</v>
      </c>
      <c r="C934" t="s">
        <v>130</v>
      </c>
      <c r="D934" t="s">
        <v>137</v>
      </c>
      <c r="E934" s="75">
        <v>0.87152777777777779</v>
      </c>
      <c r="F934" s="75">
        <v>0.87847222222222221</v>
      </c>
      <c r="H934" s="75"/>
      <c r="I934" s="75"/>
    </row>
    <row r="935" spans="1:9" x14ac:dyDescent="0.6">
      <c r="A935" t="s">
        <v>1575</v>
      </c>
      <c r="B935" s="76">
        <v>1900</v>
      </c>
      <c r="C935" t="s">
        <v>941</v>
      </c>
      <c r="D935" t="s">
        <v>942</v>
      </c>
      <c r="E935" s="75">
        <v>0.91319444444444442</v>
      </c>
      <c r="F935" s="75">
        <v>0.92708333333333337</v>
      </c>
      <c r="H935" s="75"/>
      <c r="I935" s="75"/>
    </row>
    <row r="936" spans="1:9" x14ac:dyDescent="0.6">
      <c r="A936" t="s">
        <v>1576</v>
      </c>
      <c r="B936" s="76" t="s">
        <v>1553</v>
      </c>
      <c r="C936" t="s">
        <v>130</v>
      </c>
      <c r="D936" t="s">
        <v>137</v>
      </c>
      <c r="E936" s="75">
        <v>0.85763888888888884</v>
      </c>
      <c r="F936" s="75">
        <v>0.86805555555555558</v>
      </c>
      <c r="H936" s="75"/>
      <c r="I936" s="75"/>
    </row>
    <row r="937" spans="1:9" x14ac:dyDescent="0.6">
      <c r="A937" t="s">
        <v>1576</v>
      </c>
      <c r="B937" s="76" t="s">
        <v>1553</v>
      </c>
      <c r="C937" t="s">
        <v>941</v>
      </c>
      <c r="D937" t="s">
        <v>942</v>
      </c>
      <c r="E937" s="75">
        <v>0.89236111111111116</v>
      </c>
      <c r="F937" s="75">
        <v>0.90625</v>
      </c>
      <c r="H937" s="75"/>
      <c r="I937" s="75"/>
    </row>
    <row r="938" spans="1:9" x14ac:dyDescent="0.6">
      <c r="A938" t="s">
        <v>1577</v>
      </c>
      <c r="B938" s="76">
        <v>1900</v>
      </c>
      <c r="C938" t="s">
        <v>1578</v>
      </c>
      <c r="D938" t="s">
        <v>137</v>
      </c>
      <c r="E938" s="75">
        <v>0.79166666666666663</v>
      </c>
      <c r="F938" s="75">
        <v>0.80555555555555558</v>
      </c>
      <c r="H938" s="75"/>
      <c r="I938" s="75"/>
    </row>
    <row r="939" spans="1:9" x14ac:dyDescent="0.6">
      <c r="A939" t="s">
        <v>1577</v>
      </c>
      <c r="B939" s="76">
        <v>1900</v>
      </c>
      <c r="C939" t="s">
        <v>32</v>
      </c>
      <c r="D939" t="s">
        <v>137</v>
      </c>
      <c r="E939" s="75">
        <v>0.81944444444444442</v>
      </c>
      <c r="F939" s="75">
        <v>0.83333333333333337</v>
      </c>
      <c r="H939" s="75"/>
      <c r="I939" s="75"/>
    </row>
    <row r="940" spans="1:9" x14ac:dyDescent="0.6">
      <c r="A940" t="s">
        <v>1577</v>
      </c>
      <c r="B940" s="76">
        <v>1900</v>
      </c>
      <c r="C940" t="s">
        <v>941</v>
      </c>
      <c r="D940" t="s">
        <v>942</v>
      </c>
      <c r="E940" s="75">
        <v>0.84375</v>
      </c>
      <c r="F940" s="75">
        <v>0.85763888888888884</v>
      </c>
      <c r="H940" s="75"/>
      <c r="I940" s="75"/>
    </row>
    <row r="941" spans="1:9" x14ac:dyDescent="0.6">
      <c r="A941" t="s">
        <v>1579</v>
      </c>
      <c r="B941" s="76">
        <v>1900</v>
      </c>
      <c r="C941" t="s">
        <v>51</v>
      </c>
      <c r="D941" t="s">
        <v>137</v>
      </c>
      <c r="E941" s="75">
        <v>0.84722222222222221</v>
      </c>
      <c r="F941" s="75">
        <v>0.85763888888888884</v>
      </c>
      <c r="H941" s="75"/>
      <c r="I941" s="75"/>
    </row>
    <row r="942" spans="1:9" x14ac:dyDescent="0.6">
      <c r="A942" t="s">
        <v>1579</v>
      </c>
      <c r="B942" s="76">
        <v>1900</v>
      </c>
      <c r="C942" t="s">
        <v>941</v>
      </c>
      <c r="D942" t="s">
        <v>942</v>
      </c>
      <c r="E942" s="75">
        <v>0.90277777777777779</v>
      </c>
      <c r="F942" s="75">
        <v>0.91666666666666663</v>
      </c>
      <c r="H942" s="75"/>
      <c r="I942" s="75"/>
    </row>
    <row r="943" spans="1:9" x14ac:dyDescent="0.6">
      <c r="A943" t="s">
        <v>1580</v>
      </c>
      <c r="B943" s="76">
        <v>1900</v>
      </c>
      <c r="C943" t="s">
        <v>51</v>
      </c>
      <c r="D943" t="s">
        <v>137</v>
      </c>
      <c r="E943" s="75">
        <v>0.85763888888888884</v>
      </c>
      <c r="F943" s="75">
        <v>0.86805555555555558</v>
      </c>
      <c r="H943" s="75"/>
      <c r="I943" s="75"/>
    </row>
    <row r="944" spans="1:9" x14ac:dyDescent="0.6">
      <c r="A944" t="s">
        <v>1580</v>
      </c>
      <c r="B944" s="76">
        <v>1900</v>
      </c>
      <c r="C944" t="s">
        <v>941</v>
      </c>
      <c r="D944" t="s">
        <v>942</v>
      </c>
      <c r="E944" s="75">
        <v>0.91319444444444442</v>
      </c>
      <c r="F944" s="75">
        <v>0.92708333333333337</v>
      </c>
      <c r="H944" s="75"/>
      <c r="I944" s="75"/>
    </row>
    <row r="945" spans="1:9" x14ac:dyDescent="0.6">
      <c r="A945" t="s">
        <v>1581</v>
      </c>
      <c r="B945" s="76">
        <v>1900</v>
      </c>
      <c r="C945" t="s">
        <v>55</v>
      </c>
      <c r="D945" t="s">
        <v>137</v>
      </c>
      <c r="E945" s="75">
        <v>0.84722222222222221</v>
      </c>
      <c r="F945" s="75">
        <v>0.85763888888888884</v>
      </c>
      <c r="H945" s="75"/>
      <c r="I945" s="75"/>
    </row>
    <row r="946" spans="1:9" x14ac:dyDescent="0.6">
      <c r="A946" t="s">
        <v>1581</v>
      </c>
      <c r="B946" s="76">
        <v>1900</v>
      </c>
      <c r="C946" t="s">
        <v>941</v>
      </c>
      <c r="D946" t="s">
        <v>942</v>
      </c>
      <c r="E946" s="75">
        <v>0.90277777777777779</v>
      </c>
      <c r="F946" s="75">
        <v>0.91666666666666663</v>
      </c>
      <c r="H946" s="75"/>
      <c r="I946" s="75"/>
    </row>
    <row r="947" spans="1:9" x14ac:dyDescent="0.6">
      <c r="A947" t="s">
        <v>1582</v>
      </c>
      <c r="B947" s="76">
        <v>1900</v>
      </c>
      <c r="C947" t="s">
        <v>54</v>
      </c>
      <c r="D947" t="s">
        <v>137</v>
      </c>
      <c r="E947" s="75">
        <v>0.84722222222222221</v>
      </c>
      <c r="F947" s="75">
        <v>0.85763888888888884</v>
      </c>
      <c r="H947" s="75"/>
      <c r="I947" s="75"/>
    </row>
    <row r="948" spans="1:9" x14ac:dyDescent="0.6">
      <c r="A948" t="s">
        <v>1582</v>
      </c>
      <c r="B948" s="76">
        <v>1900</v>
      </c>
      <c r="C948" t="s">
        <v>941</v>
      </c>
      <c r="D948" t="s">
        <v>942</v>
      </c>
      <c r="E948" s="75">
        <v>0.89583333333333337</v>
      </c>
      <c r="F948" s="75">
        <v>0.90972222222222221</v>
      </c>
      <c r="H948" s="75"/>
      <c r="I948" s="75"/>
    </row>
    <row r="949" spans="1:9" x14ac:dyDescent="0.6">
      <c r="A949" t="s">
        <v>1583</v>
      </c>
      <c r="B949" s="76">
        <v>1900</v>
      </c>
      <c r="C949" t="s">
        <v>56</v>
      </c>
      <c r="D949" t="s">
        <v>137</v>
      </c>
      <c r="E949" s="75">
        <v>0.82291666666666663</v>
      </c>
      <c r="F949" s="75">
        <v>0.83333333333333337</v>
      </c>
      <c r="H949" s="75"/>
      <c r="I949" s="75"/>
    </row>
    <row r="950" spans="1:9" x14ac:dyDescent="0.6">
      <c r="A950" t="s">
        <v>1583</v>
      </c>
      <c r="B950" s="76">
        <v>1900</v>
      </c>
      <c r="C950" t="s">
        <v>941</v>
      </c>
      <c r="D950" t="s">
        <v>942</v>
      </c>
      <c r="E950" s="75">
        <v>0.85763888888888884</v>
      </c>
      <c r="F950" s="75">
        <v>0.87152777777777779</v>
      </c>
      <c r="H950" s="75"/>
      <c r="I950" s="75"/>
    </row>
    <row r="951" spans="1:9" x14ac:dyDescent="0.6">
      <c r="A951" t="s">
        <v>1584</v>
      </c>
      <c r="B951" s="76">
        <v>1900</v>
      </c>
      <c r="C951" t="s">
        <v>49</v>
      </c>
      <c r="D951" t="s">
        <v>137</v>
      </c>
      <c r="E951" s="75">
        <v>0.84722222222222221</v>
      </c>
      <c r="F951" s="75">
        <v>0.85763888888888884</v>
      </c>
      <c r="H951" s="75"/>
      <c r="I951" s="75"/>
    </row>
    <row r="952" spans="1:9" x14ac:dyDescent="0.6">
      <c r="A952" t="s">
        <v>1584</v>
      </c>
      <c r="B952" s="76">
        <v>1900</v>
      </c>
      <c r="C952" t="s">
        <v>941</v>
      </c>
      <c r="D952" t="s">
        <v>942</v>
      </c>
      <c r="E952" s="75">
        <v>0.88541666666666663</v>
      </c>
      <c r="F952" s="75">
        <v>0.89930555555555558</v>
      </c>
      <c r="H952" s="75"/>
      <c r="I952" s="75"/>
    </row>
    <row r="953" spans="1:9" x14ac:dyDescent="0.6">
      <c r="A953" t="s">
        <v>1585</v>
      </c>
      <c r="B953" s="76">
        <v>1900</v>
      </c>
      <c r="C953" t="s">
        <v>50</v>
      </c>
      <c r="D953" t="s">
        <v>137</v>
      </c>
      <c r="E953" s="75">
        <v>0.84722222222222221</v>
      </c>
      <c r="F953" s="75">
        <v>0.85763888888888884</v>
      </c>
      <c r="H953" s="75"/>
      <c r="I953" s="75"/>
    </row>
    <row r="954" spans="1:9" x14ac:dyDescent="0.6">
      <c r="A954" t="s">
        <v>1585</v>
      </c>
      <c r="B954" s="76">
        <v>1900</v>
      </c>
      <c r="C954" t="s">
        <v>941</v>
      </c>
      <c r="D954" t="s">
        <v>942</v>
      </c>
      <c r="E954" s="75">
        <v>0.88541666666666663</v>
      </c>
      <c r="F954" s="75">
        <v>0.89930555555555558</v>
      </c>
      <c r="H954" s="75"/>
      <c r="I954" s="75"/>
    </row>
    <row r="955" spans="1:9" x14ac:dyDescent="0.6">
      <c r="A955" t="s">
        <v>1586</v>
      </c>
      <c r="B955" s="76">
        <v>1900</v>
      </c>
      <c r="C955" t="s">
        <v>49</v>
      </c>
      <c r="D955" t="s">
        <v>137</v>
      </c>
      <c r="E955" s="75">
        <v>0.85763888888888884</v>
      </c>
      <c r="F955" s="75">
        <v>0.86458333333333337</v>
      </c>
      <c r="H955" s="75"/>
      <c r="I955" s="75"/>
    </row>
    <row r="956" spans="1:9" x14ac:dyDescent="0.6">
      <c r="A956" t="s">
        <v>1586</v>
      </c>
      <c r="B956" s="76">
        <v>1900</v>
      </c>
      <c r="C956" t="s">
        <v>50</v>
      </c>
      <c r="D956" t="s">
        <v>137</v>
      </c>
      <c r="E956" s="75">
        <v>0.87152777777777779</v>
      </c>
      <c r="F956" s="75">
        <v>0.87847222222222221</v>
      </c>
      <c r="H956" s="75"/>
      <c r="I956" s="75"/>
    </row>
    <row r="957" spans="1:9" x14ac:dyDescent="0.6">
      <c r="A957" t="s">
        <v>1586</v>
      </c>
      <c r="B957" s="76">
        <v>1900</v>
      </c>
      <c r="C957" t="s">
        <v>941</v>
      </c>
      <c r="D957" t="s">
        <v>942</v>
      </c>
      <c r="E957" s="75">
        <v>0.90625</v>
      </c>
      <c r="F957" s="75">
        <v>0.92013888888888884</v>
      </c>
      <c r="H957" s="75"/>
      <c r="I957" s="75"/>
    </row>
    <row r="958" spans="1:9" x14ac:dyDescent="0.6">
      <c r="A958" t="s">
        <v>1587</v>
      </c>
      <c r="B958" s="76">
        <v>1900</v>
      </c>
      <c r="C958" t="s">
        <v>123</v>
      </c>
      <c r="D958" t="s">
        <v>137</v>
      </c>
      <c r="E958" s="75">
        <v>0.84722222222222221</v>
      </c>
      <c r="F958" s="75">
        <v>0.85763888888888884</v>
      </c>
      <c r="H958" s="75"/>
      <c r="I958" s="75"/>
    </row>
    <row r="959" spans="1:9" x14ac:dyDescent="0.6">
      <c r="A959" t="s">
        <v>1587</v>
      </c>
      <c r="B959" s="76">
        <v>1900</v>
      </c>
      <c r="C959" t="s">
        <v>941</v>
      </c>
      <c r="D959" t="s">
        <v>942</v>
      </c>
      <c r="E959" s="75">
        <v>0.89930555555555558</v>
      </c>
      <c r="F959" s="75">
        <v>0.91319444444444442</v>
      </c>
      <c r="H959" s="75"/>
      <c r="I959" s="75"/>
    </row>
    <row r="960" spans="1:9" x14ac:dyDescent="0.6">
      <c r="A960" t="s">
        <v>1588</v>
      </c>
      <c r="B960" s="76">
        <v>1900</v>
      </c>
      <c r="C960" t="s">
        <v>121</v>
      </c>
      <c r="D960" t="s">
        <v>137</v>
      </c>
      <c r="E960" s="75">
        <v>0.85416666666666663</v>
      </c>
      <c r="F960" s="75">
        <v>0.86458333333333337</v>
      </c>
      <c r="H960" s="75"/>
      <c r="I960" s="75"/>
    </row>
    <row r="961" spans="1:9" x14ac:dyDescent="0.6">
      <c r="A961" t="s">
        <v>1588</v>
      </c>
      <c r="B961" s="76">
        <v>1900</v>
      </c>
      <c r="C961" t="s">
        <v>941</v>
      </c>
      <c r="D961" t="s">
        <v>942</v>
      </c>
      <c r="E961" s="75">
        <v>0.90625</v>
      </c>
      <c r="F961" s="75">
        <v>0.92013888888888884</v>
      </c>
      <c r="H961" s="75"/>
      <c r="I961" s="75"/>
    </row>
    <row r="962" spans="1:9" x14ac:dyDescent="0.6">
      <c r="A962" t="s">
        <v>1589</v>
      </c>
      <c r="B962" s="76">
        <v>1900</v>
      </c>
      <c r="C962" t="s">
        <v>123</v>
      </c>
      <c r="D962" t="s">
        <v>137</v>
      </c>
      <c r="E962" s="75">
        <v>0.85763888888888884</v>
      </c>
      <c r="F962" s="75">
        <v>0.86458333333333337</v>
      </c>
      <c r="H962" s="75"/>
      <c r="I962" s="75"/>
    </row>
    <row r="963" spans="1:9" x14ac:dyDescent="0.6">
      <c r="A963" t="s">
        <v>1589</v>
      </c>
      <c r="B963" s="76">
        <v>1900</v>
      </c>
      <c r="C963" t="s">
        <v>121</v>
      </c>
      <c r="D963" t="s">
        <v>137</v>
      </c>
      <c r="E963" s="75">
        <v>0.87152777777777779</v>
      </c>
      <c r="F963" s="75">
        <v>0.87847222222222221</v>
      </c>
      <c r="H963" s="75"/>
      <c r="I963" s="75"/>
    </row>
    <row r="964" spans="1:9" x14ac:dyDescent="0.6">
      <c r="A964" t="s">
        <v>1589</v>
      </c>
      <c r="B964" s="76">
        <v>1900</v>
      </c>
      <c r="C964" t="s">
        <v>941</v>
      </c>
      <c r="D964" t="s">
        <v>942</v>
      </c>
      <c r="E964" s="75">
        <v>0.92013888888888884</v>
      </c>
      <c r="F964" s="75">
        <v>0.93402777777777779</v>
      </c>
      <c r="H964" s="75"/>
      <c r="I964" s="75"/>
    </row>
    <row r="965" spans="1:9" x14ac:dyDescent="0.6">
      <c r="A965" t="s">
        <v>1590</v>
      </c>
      <c r="B965" s="76" t="s">
        <v>1553</v>
      </c>
      <c r="C965" t="s">
        <v>120</v>
      </c>
      <c r="D965" t="s">
        <v>137</v>
      </c>
      <c r="E965" s="75">
        <v>0.86111111111111116</v>
      </c>
      <c r="F965" s="75">
        <v>0.87152777777777779</v>
      </c>
      <c r="H965" s="75"/>
      <c r="I965" s="75"/>
    </row>
    <row r="966" spans="1:9" x14ac:dyDescent="0.6">
      <c r="A966" t="s">
        <v>1590</v>
      </c>
      <c r="B966" s="76" t="s">
        <v>1553</v>
      </c>
      <c r="C966" t="s">
        <v>941</v>
      </c>
      <c r="D966" t="s">
        <v>942</v>
      </c>
      <c r="E966" s="75">
        <v>0.92013888888888884</v>
      </c>
      <c r="F966" s="75">
        <v>0.93402777777777779</v>
      </c>
      <c r="H966" s="75"/>
      <c r="I966" s="75"/>
    </row>
    <row r="967" spans="1:9" x14ac:dyDescent="0.6">
      <c r="A967" t="s">
        <v>1591</v>
      </c>
      <c r="B967" s="76">
        <v>1900</v>
      </c>
      <c r="C967" t="s">
        <v>122</v>
      </c>
      <c r="D967" t="s">
        <v>137</v>
      </c>
      <c r="E967" s="75">
        <v>0.86111111111111116</v>
      </c>
      <c r="F967" s="75">
        <v>0.87152777777777779</v>
      </c>
      <c r="H967" s="75"/>
      <c r="I967" s="75"/>
    </row>
    <row r="968" spans="1:9" x14ac:dyDescent="0.6">
      <c r="A968" t="s">
        <v>1591</v>
      </c>
      <c r="B968" s="76">
        <v>1900</v>
      </c>
      <c r="C968" t="s">
        <v>941</v>
      </c>
      <c r="D968" t="s">
        <v>942</v>
      </c>
      <c r="E968" s="75">
        <v>0.90277777777777779</v>
      </c>
      <c r="F968" s="75">
        <v>0.91666666666666663</v>
      </c>
      <c r="H968" s="75"/>
      <c r="I968" s="75"/>
    </row>
    <row r="969" spans="1:9" x14ac:dyDescent="0.6">
      <c r="A969" t="s">
        <v>1592</v>
      </c>
      <c r="B969" s="76">
        <v>1900</v>
      </c>
      <c r="C969" t="s">
        <v>117</v>
      </c>
      <c r="D969" t="s">
        <v>137</v>
      </c>
      <c r="E969" s="75">
        <v>0.85416666666666663</v>
      </c>
      <c r="F969" s="75">
        <v>0.86458333333333337</v>
      </c>
      <c r="H969" s="75"/>
      <c r="I969" s="75"/>
    </row>
    <row r="970" spans="1:9" x14ac:dyDescent="0.6">
      <c r="A970" t="s">
        <v>1592</v>
      </c>
      <c r="B970" s="76">
        <v>1900</v>
      </c>
      <c r="C970" t="s">
        <v>941</v>
      </c>
      <c r="D970" t="s">
        <v>942</v>
      </c>
      <c r="E970" s="75">
        <v>0.91666666666666663</v>
      </c>
      <c r="F970" s="75">
        <v>0.93055555555555558</v>
      </c>
      <c r="H970" s="75"/>
      <c r="I970" s="75"/>
    </row>
    <row r="971" spans="1:9" x14ac:dyDescent="0.6">
      <c r="A971" t="s">
        <v>1593</v>
      </c>
      <c r="B971" s="76">
        <v>1900</v>
      </c>
      <c r="C971" t="s">
        <v>118</v>
      </c>
      <c r="D971" t="s">
        <v>137</v>
      </c>
      <c r="E971" s="75">
        <v>0.85416666666666663</v>
      </c>
      <c r="F971" s="75">
        <v>0.86458333333333337</v>
      </c>
      <c r="H971" s="75"/>
      <c r="I971" s="75"/>
    </row>
    <row r="972" spans="1:9" x14ac:dyDescent="0.6">
      <c r="A972" t="s">
        <v>1593</v>
      </c>
      <c r="B972" s="76">
        <v>1900</v>
      </c>
      <c r="C972" t="s">
        <v>941</v>
      </c>
      <c r="D972" t="s">
        <v>942</v>
      </c>
      <c r="E972" s="75">
        <v>0.91666666666666663</v>
      </c>
      <c r="F972" s="75">
        <v>0.93055555555555558</v>
      </c>
      <c r="H972" s="75"/>
      <c r="I972" s="75"/>
    </row>
    <row r="973" spans="1:9" x14ac:dyDescent="0.6">
      <c r="A973" t="s">
        <v>1594</v>
      </c>
      <c r="B973" s="76">
        <v>1900</v>
      </c>
      <c r="C973" t="s">
        <v>113</v>
      </c>
      <c r="D973" t="s">
        <v>137</v>
      </c>
      <c r="E973" s="75">
        <v>0.85416666666666663</v>
      </c>
      <c r="F973" s="75">
        <v>0.86458333333333337</v>
      </c>
      <c r="H973" s="75"/>
      <c r="I973" s="75"/>
    </row>
    <row r="974" spans="1:9" x14ac:dyDescent="0.6">
      <c r="A974" t="s">
        <v>1594</v>
      </c>
      <c r="B974" s="76">
        <v>1900</v>
      </c>
      <c r="C974" t="s">
        <v>941</v>
      </c>
      <c r="D974" t="s">
        <v>942</v>
      </c>
      <c r="E974" s="75">
        <v>0.90972222222222221</v>
      </c>
      <c r="F974" s="75">
        <v>0.92361111111111116</v>
      </c>
      <c r="H974" s="75"/>
      <c r="I974" s="75"/>
    </row>
    <row r="975" spans="1:9" x14ac:dyDescent="0.6">
      <c r="A975" t="s">
        <v>1595</v>
      </c>
      <c r="B975" s="76" t="s">
        <v>1553</v>
      </c>
      <c r="C975" t="s">
        <v>109</v>
      </c>
      <c r="D975" t="s">
        <v>137</v>
      </c>
      <c r="E975" s="75">
        <v>0.85763888888888884</v>
      </c>
      <c r="F975" s="75">
        <v>0.86805555555555558</v>
      </c>
      <c r="H975" s="75"/>
      <c r="I975" s="75"/>
    </row>
    <row r="976" spans="1:9" x14ac:dyDescent="0.6">
      <c r="A976" t="s">
        <v>1595</v>
      </c>
      <c r="B976" s="76" t="s">
        <v>1553</v>
      </c>
      <c r="C976" t="s">
        <v>941</v>
      </c>
      <c r="D976" t="s">
        <v>942</v>
      </c>
      <c r="E976" s="75">
        <v>0.91319444444444442</v>
      </c>
      <c r="F976" s="75">
        <v>0.92708333333333337</v>
      </c>
      <c r="H976" s="75"/>
      <c r="I976" s="75"/>
    </row>
    <row r="977" spans="1:9" x14ac:dyDescent="0.6">
      <c r="A977" t="s">
        <v>1596</v>
      </c>
      <c r="B977" s="76" t="s">
        <v>1553</v>
      </c>
      <c r="C977" t="s">
        <v>111</v>
      </c>
      <c r="D977" t="s">
        <v>137</v>
      </c>
      <c r="E977" s="75">
        <v>0.85763888888888884</v>
      </c>
      <c r="F977" s="75">
        <v>0.86805555555555558</v>
      </c>
      <c r="H977" s="75"/>
      <c r="I977" s="75"/>
    </row>
    <row r="978" spans="1:9" x14ac:dyDescent="0.6">
      <c r="A978" t="s">
        <v>1596</v>
      </c>
      <c r="B978" s="76" t="s">
        <v>1553</v>
      </c>
      <c r="C978" t="s">
        <v>941</v>
      </c>
      <c r="D978" t="s">
        <v>942</v>
      </c>
      <c r="E978" s="75">
        <v>0.91666666666666663</v>
      </c>
      <c r="F978" s="75">
        <v>0.93055555555555558</v>
      </c>
      <c r="H978" s="75"/>
      <c r="I978" s="75"/>
    </row>
    <row r="979" spans="1:9" x14ac:dyDescent="0.6">
      <c r="A979" t="s">
        <v>1597</v>
      </c>
      <c r="B979" s="76">
        <v>1900</v>
      </c>
      <c r="C979" t="s">
        <v>116</v>
      </c>
      <c r="D979" t="s">
        <v>137</v>
      </c>
      <c r="E979" s="75">
        <v>0.85416666666666663</v>
      </c>
      <c r="F979" s="75">
        <v>0.86458333333333337</v>
      </c>
      <c r="H979" s="75"/>
      <c r="I979" s="75"/>
    </row>
    <row r="980" spans="1:9" x14ac:dyDescent="0.6">
      <c r="A980" t="s">
        <v>1597</v>
      </c>
      <c r="B980" s="76">
        <v>1900</v>
      </c>
      <c r="C980" t="s">
        <v>941</v>
      </c>
      <c r="D980" t="s">
        <v>942</v>
      </c>
      <c r="E980" s="75">
        <v>0.90277777777777779</v>
      </c>
      <c r="F980" s="75">
        <v>0.91666666666666663</v>
      </c>
      <c r="H980" s="75"/>
      <c r="I980" s="75"/>
    </row>
    <row r="981" spans="1:9" x14ac:dyDescent="0.6">
      <c r="A981" t="s">
        <v>1598</v>
      </c>
      <c r="B981" s="76">
        <v>1900</v>
      </c>
      <c r="C981" t="s">
        <v>110</v>
      </c>
      <c r="D981" t="s">
        <v>137</v>
      </c>
      <c r="E981" s="75">
        <v>0.85069444444444442</v>
      </c>
      <c r="F981" s="75">
        <v>0.86111111111111116</v>
      </c>
      <c r="H981" s="75"/>
      <c r="I981" s="75"/>
    </row>
    <row r="982" spans="1:9" x14ac:dyDescent="0.6">
      <c r="A982" t="s">
        <v>1598</v>
      </c>
      <c r="B982" s="76">
        <v>1900</v>
      </c>
      <c r="C982" t="s">
        <v>941</v>
      </c>
      <c r="D982" t="s">
        <v>942</v>
      </c>
      <c r="E982" s="75">
        <v>0.90277777777777779</v>
      </c>
      <c r="F982" s="75">
        <v>0.91666666666666663</v>
      </c>
      <c r="H982" s="75"/>
      <c r="I982" s="75"/>
    </row>
    <row r="983" spans="1:9" x14ac:dyDescent="0.6">
      <c r="A983" t="s">
        <v>1599</v>
      </c>
      <c r="B983" s="76">
        <v>1900</v>
      </c>
      <c r="C983" t="s">
        <v>114</v>
      </c>
      <c r="D983" t="s">
        <v>137</v>
      </c>
      <c r="E983" s="75">
        <v>0.85416666666666663</v>
      </c>
      <c r="F983" s="75">
        <v>0.86458333333333337</v>
      </c>
      <c r="H983" s="75"/>
      <c r="I983" s="75"/>
    </row>
    <row r="984" spans="1:9" x14ac:dyDescent="0.6">
      <c r="A984" t="s">
        <v>1599</v>
      </c>
      <c r="B984" s="76">
        <v>1900</v>
      </c>
      <c r="C984" t="s">
        <v>941</v>
      </c>
      <c r="D984" t="s">
        <v>942</v>
      </c>
      <c r="E984" s="75">
        <v>0.90277777777777779</v>
      </c>
      <c r="F984" s="75">
        <v>0.91666666666666663</v>
      </c>
      <c r="H984" s="75"/>
      <c r="I984" s="75"/>
    </row>
    <row r="985" spans="1:9" x14ac:dyDescent="0.6">
      <c r="A985" t="s">
        <v>1600</v>
      </c>
      <c r="B985" s="76" t="s">
        <v>1553</v>
      </c>
      <c r="C985" t="s">
        <v>114</v>
      </c>
      <c r="D985" t="s">
        <v>137</v>
      </c>
      <c r="E985" s="75">
        <v>0.86458333333333337</v>
      </c>
      <c r="F985" s="75">
        <v>0.87152777777777779</v>
      </c>
      <c r="H985" s="75"/>
      <c r="I985" s="75"/>
    </row>
    <row r="986" spans="1:9" x14ac:dyDescent="0.6">
      <c r="A986" t="s">
        <v>1600</v>
      </c>
      <c r="B986" s="76" t="s">
        <v>1553</v>
      </c>
      <c r="C986" t="s">
        <v>110</v>
      </c>
      <c r="D986" t="s">
        <v>137</v>
      </c>
      <c r="E986" s="75">
        <v>0.87847222222222221</v>
      </c>
      <c r="F986" s="75">
        <v>0.88541666666666663</v>
      </c>
      <c r="H986" s="75"/>
      <c r="I986" s="75"/>
    </row>
    <row r="987" spans="1:9" x14ac:dyDescent="0.6">
      <c r="A987" t="s">
        <v>1600</v>
      </c>
      <c r="B987" s="76" t="s">
        <v>1553</v>
      </c>
      <c r="C987" t="s">
        <v>941</v>
      </c>
      <c r="D987" t="s">
        <v>942</v>
      </c>
      <c r="E987" s="75">
        <v>0.92708333333333337</v>
      </c>
      <c r="F987" s="75">
        <v>0.94097222222222221</v>
      </c>
      <c r="H987" s="75"/>
      <c r="I987" s="75"/>
    </row>
    <row r="988" spans="1:9" x14ac:dyDescent="0.6">
      <c r="A988" t="s">
        <v>1601</v>
      </c>
      <c r="B988" s="76">
        <v>1900</v>
      </c>
      <c r="C988" t="s">
        <v>104</v>
      </c>
      <c r="D988" t="s">
        <v>137</v>
      </c>
      <c r="E988" s="75">
        <v>0.86111111111111116</v>
      </c>
      <c r="F988" s="75">
        <v>0.87152777777777779</v>
      </c>
      <c r="H988" s="75"/>
      <c r="I988" s="75"/>
    </row>
    <row r="989" spans="1:9" x14ac:dyDescent="0.6">
      <c r="A989" t="s">
        <v>1601</v>
      </c>
      <c r="B989" s="76">
        <v>1900</v>
      </c>
      <c r="C989" t="s">
        <v>941</v>
      </c>
      <c r="D989" t="s">
        <v>942</v>
      </c>
      <c r="E989" s="75">
        <v>0.92708333333333337</v>
      </c>
      <c r="F989" s="75">
        <v>0.94097222222222221</v>
      </c>
      <c r="H989" s="75"/>
      <c r="I989" s="75"/>
    </row>
    <row r="990" spans="1:9" x14ac:dyDescent="0.6">
      <c r="A990" t="s">
        <v>1602</v>
      </c>
      <c r="B990" s="76">
        <v>1900</v>
      </c>
      <c r="C990" t="s">
        <v>103</v>
      </c>
      <c r="D990" t="s">
        <v>137</v>
      </c>
      <c r="E990" s="75">
        <v>0.86458333333333337</v>
      </c>
      <c r="F990" s="75">
        <v>0.875</v>
      </c>
      <c r="H990" s="75"/>
      <c r="I990" s="75"/>
    </row>
    <row r="991" spans="1:9" x14ac:dyDescent="0.6">
      <c r="A991" t="s">
        <v>1602</v>
      </c>
      <c r="B991" s="76">
        <v>1900</v>
      </c>
      <c r="C991" t="s">
        <v>941</v>
      </c>
      <c r="D991" t="s">
        <v>942</v>
      </c>
      <c r="E991" s="75">
        <v>0.93055555555555558</v>
      </c>
      <c r="F991" s="75">
        <v>0.94444444444444442</v>
      </c>
      <c r="H991" s="75"/>
      <c r="I991" s="75"/>
    </row>
    <row r="992" spans="1:9" x14ac:dyDescent="0.6">
      <c r="A992" t="s">
        <v>1603</v>
      </c>
      <c r="B992" s="76">
        <v>1900</v>
      </c>
      <c r="C992" t="s">
        <v>102</v>
      </c>
      <c r="D992" t="s">
        <v>137</v>
      </c>
      <c r="E992" s="75">
        <v>0.86111111111111116</v>
      </c>
      <c r="F992" s="75">
        <v>0.87152777777777779</v>
      </c>
      <c r="H992" s="75"/>
      <c r="I992" s="75"/>
    </row>
    <row r="993" spans="1:9" x14ac:dyDescent="0.6">
      <c r="A993" t="s">
        <v>1603</v>
      </c>
      <c r="B993" s="76">
        <v>1900</v>
      </c>
      <c r="C993" t="s">
        <v>941</v>
      </c>
      <c r="D993" t="s">
        <v>942</v>
      </c>
      <c r="E993" s="75">
        <v>0.92708333333333337</v>
      </c>
      <c r="F993" s="75">
        <v>0.94097222222222221</v>
      </c>
      <c r="H993" s="75"/>
      <c r="I993" s="75"/>
    </row>
    <row r="994" spans="1:9" x14ac:dyDescent="0.6">
      <c r="A994" t="s">
        <v>1604</v>
      </c>
      <c r="B994" s="76">
        <v>1900</v>
      </c>
      <c r="C994" t="s">
        <v>1605</v>
      </c>
      <c r="D994" t="s">
        <v>137</v>
      </c>
      <c r="E994" s="75">
        <v>0.86111111111111116</v>
      </c>
      <c r="F994" s="75">
        <v>0.87152777777777779</v>
      </c>
      <c r="H994" s="75"/>
      <c r="I994" s="75"/>
    </row>
    <row r="995" spans="1:9" x14ac:dyDescent="0.6">
      <c r="A995" t="s">
        <v>1604</v>
      </c>
      <c r="B995" s="76">
        <v>1900</v>
      </c>
      <c r="C995" t="s">
        <v>941</v>
      </c>
      <c r="D995" t="s">
        <v>942</v>
      </c>
      <c r="E995" s="75">
        <v>0.92708333333333337</v>
      </c>
      <c r="F995" s="75">
        <v>0.94097222222222221</v>
      </c>
      <c r="H995" s="75"/>
      <c r="I995" s="75"/>
    </row>
    <row r="996" spans="1:9" x14ac:dyDescent="0.6">
      <c r="A996" t="s">
        <v>1606</v>
      </c>
      <c r="B996" s="76">
        <v>1900</v>
      </c>
      <c r="C996" t="s">
        <v>43</v>
      </c>
      <c r="D996" t="s">
        <v>137</v>
      </c>
      <c r="E996" s="75">
        <v>0.85416666666666663</v>
      </c>
      <c r="F996" s="75">
        <v>0.86111111111111116</v>
      </c>
      <c r="H996" s="75"/>
      <c r="I996" s="75"/>
    </row>
    <row r="997" spans="1:9" x14ac:dyDescent="0.6">
      <c r="A997" t="s">
        <v>1606</v>
      </c>
      <c r="B997" s="76">
        <v>1900</v>
      </c>
      <c r="C997" t="s">
        <v>941</v>
      </c>
      <c r="D997" t="s">
        <v>942</v>
      </c>
      <c r="E997" s="75">
        <v>0.91319444444444442</v>
      </c>
      <c r="F997" s="75">
        <v>0.92708333333333337</v>
      </c>
      <c r="H997" s="75"/>
      <c r="I997" s="75"/>
    </row>
    <row r="998" spans="1:9" x14ac:dyDescent="0.6">
      <c r="A998" t="s">
        <v>1607</v>
      </c>
      <c r="B998" s="76">
        <v>1900</v>
      </c>
      <c r="C998" t="s">
        <v>71</v>
      </c>
      <c r="D998" t="s">
        <v>137</v>
      </c>
      <c r="E998" s="75">
        <v>0.85416666666666663</v>
      </c>
      <c r="F998" s="75">
        <v>0.86458333333333337</v>
      </c>
      <c r="H998" s="75"/>
      <c r="I998" s="75"/>
    </row>
    <row r="999" spans="1:9" x14ac:dyDescent="0.6">
      <c r="A999" t="s">
        <v>1607</v>
      </c>
      <c r="B999" s="76">
        <v>1900</v>
      </c>
      <c r="C999" t="s">
        <v>941</v>
      </c>
      <c r="D999" t="s">
        <v>942</v>
      </c>
      <c r="E999" s="75">
        <v>0.92361111111111116</v>
      </c>
      <c r="F999" s="75">
        <v>0.9375</v>
      </c>
      <c r="H999" s="75"/>
      <c r="I999" s="75"/>
    </row>
    <row r="1000" spans="1:9" x14ac:dyDescent="0.6">
      <c r="A1000" t="s">
        <v>1608</v>
      </c>
      <c r="B1000" s="76">
        <v>1900</v>
      </c>
      <c r="C1000" t="s">
        <v>71</v>
      </c>
      <c r="D1000" t="s">
        <v>137</v>
      </c>
      <c r="E1000" s="75">
        <v>0.86458333333333337</v>
      </c>
      <c r="F1000" s="75">
        <v>0.87152777777777779</v>
      </c>
      <c r="H1000" s="75"/>
      <c r="I1000" s="75"/>
    </row>
    <row r="1001" spans="1:9" x14ac:dyDescent="0.6">
      <c r="A1001" t="s">
        <v>1608</v>
      </c>
      <c r="B1001" s="76">
        <v>1900</v>
      </c>
      <c r="C1001" t="s">
        <v>43</v>
      </c>
      <c r="D1001" t="s">
        <v>137</v>
      </c>
      <c r="E1001" s="75">
        <v>0.87847222222222221</v>
      </c>
      <c r="F1001" s="75">
        <v>0.88541666666666663</v>
      </c>
      <c r="H1001" s="75"/>
      <c r="I1001" s="75"/>
    </row>
    <row r="1002" spans="1:9" x14ac:dyDescent="0.6">
      <c r="A1002" t="s">
        <v>1608</v>
      </c>
      <c r="B1002" s="76">
        <v>1900</v>
      </c>
      <c r="C1002" t="s">
        <v>941</v>
      </c>
      <c r="D1002" t="s">
        <v>942</v>
      </c>
      <c r="E1002" s="75">
        <v>0.94097222222222221</v>
      </c>
      <c r="F1002" s="75">
        <v>0.95486111111111116</v>
      </c>
      <c r="H1002" s="75"/>
      <c r="I1002" s="75"/>
    </row>
    <row r="1003" spans="1:9" x14ac:dyDescent="0.6">
      <c r="A1003" t="s">
        <v>1609</v>
      </c>
      <c r="B1003" s="76">
        <v>1900</v>
      </c>
      <c r="C1003" t="s">
        <v>65</v>
      </c>
      <c r="D1003" t="s">
        <v>137</v>
      </c>
      <c r="E1003" s="75">
        <v>0.86111111111111116</v>
      </c>
      <c r="F1003" s="75">
        <v>0.87152777777777779</v>
      </c>
      <c r="H1003" s="75"/>
      <c r="I1003" s="75"/>
    </row>
    <row r="1004" spans="1:9" x14ac:dyDescent="0.6">
      <c r="A1004" t="s">
        <v>1609</v>
      </c>
      <c r="B1004" s="76">
        <v>1900</v>
      </c>
      <c r="C1004" t="s">
        <v>941</v>
      </c>
      <c r="D1004" t="s">
        <v>942</v>
      </c>
      <c r="E1004" s="75">
        <v>0.92708333333333337</v>
      </c>
      <c r="F1004" s="75">
        <v>0.94097222222222221</v>
      </c>
      <c r="H1004" s="75"/>
      <c r="I1004" s="75"/>
    </row>
    <row r="1005" spans="1:9" x14ac:dyDescent="0.6">
      <c r="A1005" t="s">
        <v>1610</v>
      </c>
      <c r="B1005" s="76">
        <v>1900</v>
      </c>
      <c r="C1005" t="s">
        <v>66</v>
      </c>
      <c r="D1005" t="s">
        <v>137</v>
      </c>
      <c r="E1005" s="75">
        <v>0.86458333333333337</v>
      </c>
      <c r="F1005" s="75">
        <v>0.875</v>
      </c>
      <c r="H1005" s="75"/>
      <c r="I1005" s="75"/>
    </row>
    <row r="1006" spans="1:9" x14ac:dyDescent="0.6">
      <c r="A1006" t="s">
        <v>1610</v>
      </c>
      <c r="B1006" s="76">
        <v>1900</v>
      </c>
      <c r="C1006" t="s">
        <v>941</v>
      </c>
      <c r="D1006" t="s">
        <v>942</v>
      </c>
      <c r="E1006" s="75">
        <v>0.93055555555555558</v>
      </c>
      <c r="F1006" s="75">
        <v>0.95138888888888884</v>
      </c>
      <c r="H1006" s="75"/>
      <c r="I1006" s="75"/>
    </row>
    <row r="1007" spans="1:9" x14ac:dyDescent="0.6">
      <c r="A1007" t="s">
        <v>1611</v>
      </c>
      <c r="B1007" s="76">
        <v>1900</v>
      </c>
      <c r="C1007" t="s">
        <v>73</v>
      </c>
      <c r="D1007" t="s">
        <v>137</v>
      </c>
      <c r="E1007" s="75">
        <v>0.85416666666666663</v>
      </c>
      <c r="F1007" s="75">
        <v>0.86458333333333337</v>
      </c>
      <c r="H1007" s="75"/>
      <c r="I1007" s="75"/>
    </row>
    <row r="1008" spans="1:9" x14ac:dyDescent="0.6">
      <c r="A1008" t="s">
        <v>1611</v>
      </c>
      <c r="B1008" s="76">
        <v>1900</v>
      </c>
      <c r="C1008" t="s">
        <v>941</v>
      </c>
      <c r="D1008" t="s">
        <v>942</v>
      </c>
      <c r="E1008" s="75">
        <v>0.92361111111111116</v>
      </c>
      <c r="F1008" s="75">
        <v>0.9375</v>
      </c>
      <c r="H1008" s="75"/>
      <c r="I1008" s="75"/>
    </row>
    <row r="1009" spans="1:9" x14ac:dyDescent="0.6">
      <c r="A1009" t="s">
        <v>1612</v>
      </c>
      <c r="B1009" s="76">
        <v>1900</v>
      </c>
      <c r="C1009" t="s">
        <v>73</v>
      </c>
      <c r="D1009" t="s">
        <v>137</v>
      </c>
      <c r="E1009" s="75">
        <v>0.86458333333333337</v>
      </c>
      <c r="F1009" s="75">
        <v>0.875</v>
      </c>
      <c r="H1009" s="75"/>
      <c r="I1009" s="75"/>
    </row>
    <row r="1010" spans="1:9" x14ac:dyDescent="0.6">
      <c r="A1010" t="s">
        <v>1612</v>
      </c>
      <c r="B1010" s="76">
        <v>1900</v>
      </c>
      <c r="C1010" t="s">
        <v>941</v>
      </c>
      <c r="D1010" t="s">
        <v>942</v>
      </c>
      <c r="E1010" s="75">
        <v>0.93402777777777779</v>
      </c>
      <c r="F1010" s="75">
        <v>0.94791666666666663</v>
      </c>
      <c r="H1010" s="75"/>
      <c r="I1010" s="75"/>
    </row>
    <row r="1011" spans="1:9" x14ac:dyDescent="0.6">
      <c r="A1011" t="s">
        <v>1613</v>
      </c>
      <c r="B1011" s="76">
        <v>1900</v>
      </c>
      <c r="C1011" t="s">
        <v>72</v>
      </c>
      <c r="D1011" t="s">
        <v>137</v>
      </c>
      <c r="E1011" s="75">
        <v>0.86111111111111116</v>
      </c>
      <c r="F1011" s="75">
        <v>0.87152777777777779</v>
      </c>
      <c r="H1011" s="75"/>
      <c r="I1011" s="75"/>
    </row>
    <row r="1012" spans="1:9" x14ac:dyDescent="0.6">
      <c r="A1012" t="s">
        <v>1613</v>
      </c>
      <c r="B1012" s="76">
        <v>1900</v>
      </c>
      <c r="C1012" t="s">
        <v>941</v>
      </c>
      <c r="D1012" t="s">
        <v>942</v>
      </c>
      <c r="E1012" s="75">
        <v>0.93055555555555558</v>
      </c>
      <c r="F1012" s="75">
        <v>0.94444444444444442</v>
      </c>
      <c r="H1012" s="75"/>
      <c r="I1012" s="75"/>
    </row>
    <row r="1013" spans="1:9" x14ac:dyDescent="0.6">
      <c r="A1013" t="s">
        <v>1614</v>
      </c>
      <c r="B1013" s="76">
        <v>1900</v>
      </c>
      <c r="C1013" t="s">
        <v>46</v>
      </c>
      <c r="D1013" t="s">
        <v>137</v>
      </c>
      <c r="E1013" s="75">
        <v>0.85416666666666663</v>
      </c>
      <c r="F1013" s="75">
        <v>0.86458333333333337</v>
      </c>
      <c r="H1013" s="75"/>
      <c r="I1013" s="75"/>
    </row>
    <row r="1014" spans="1:9" x14ac:dyDescent="0.6">
      <c r="A1014" t="s">
        <v>1614</v>
      </c>
      <c r="B1014" s="76">
        <v>1900</v>
      </c>
      <c r="C1014" t="s">
        <v>941</v>
      </c>
      <c r="D1014" t="s">
        <v>942</v>
      </c>
      <c r="E1014" s="75">
        <v>0.92361111111111116</v>
      </c>
      <c r="F1014" s="75">
        <v>0.9375</v>
      </c>
      <c r="H1014" s="75"/>
      <c r="I1014" s="75"/>
    </row>
    <row r="1015" spans="1:9" x14ac:dyDescent="0.6">
      <c r="A1015" t="s">
        <v>1615</v>
      </c>
      <c r="B1015" s="76">
        <v>1900</v>
      </c>
      <c r="C1015" t="s">
        <v>46</v>
      </c>
      <c r="D1015" t="s">
        <v>137</v>
      </c>
      <c r="E1015" s="75">
        <v>0.86458333333333337</v>
      </c>
      <c r="F1015" s="75">
        <v>0.87152777777777779</v>
      </c>
      <c r="H1015" s="75"/>
      <c r="I1015" s="75"/>
    </row>
    <row r="1016" spans="1:9" x14ac:dyDescent="0.6">
      <c r="A1016" t="s">
        <v>1615</v>
      </c>
      <c r="B1016" s="76">
        <v>1900</v>
      </c>
      <c r="C1016" t="s">
        <v>1034</v>
      </c>
      <c r="D1016" t="s">
        <v>137</v>
      </c>
      <c r="E1016" s="75">
        <v>0.88194444444444442</v>
      </c>
      <c r="F1016" s="75">
        <v>0.88888888888888884</v>
      </c>
      <c r="H1016" s="75"/>
      <c r="I1016" s="75"/>
    </row>
    <row r="1017" spans="1:9" x14ac:dyDescent="0.6">
      <c r="A1017" t="s">
        <v>1615</v>
      </c>
      <c r="B1017" s="76">
        <v>1900</v>
      </c>
      <c r="C1017" t="s">
        <v>941</v>
      </c>
      <c r="D1017" t="s">
        <v>942</v>
      </c>
      <c r="E1017" s="75">
        <v>0.9375</v>
      </c>
      <c r="F1017" s="75">
        <v>0.95138888888888884</v>
      </c>
      <c r="H1017" s="75"/>
      <c r="I1017" s="75"/>
    </row>
    <row r="1018" spans="1:9" x14ac:dyDescent="0.6">
      <c r="A1018" t="s">
        <v>1616</v>
      </c>
      <c r="B1018" s="76">
        <v>1900</v>
      </c>
      <c r="C1018" t="s">
        <v>45</v>
      </c>
      <c r="D1018" t="s">
        <v>137</v>
      </c>
      <c r="E1018" s="75">
        <v>0.86111111111111116</v>
      </c>
      <c r="F1018" s="75">
        <v>0.87152777777777779</v>
      </c>
      <c r="H1018" s="75"/>
      <c r="I1018" s="75"/>
    </row>
    <row r="1019" spans="1:9" x14ac:dyDescent="0.6">
      <c r="A1019" t="s">
        <v>1616</v>
      </c>
      <c r="B1019" s="76">
        <v>1900</v>
      </c>
      <c r="C1019" t="s">
        <v>941</v>
      </c>
      <c r="D1019" t="s">
        <v>942</v>
      </c>
      <c r="E1019" s="75">
        <v>0.92708333333333337</v>
      </c>
      <c r="F1019" s="75">
        <v>0.94097222222222221</v>
      </c>
      <c r="H1019" s="75"/>
      <c r="I1019" s="75"/>
    </row>
    <row r="1020" spans="1:9" x14ac:dyDescent="0.6">
      <c r="A1020" t="s">
        <v>1617</v>
      </c>
      <c r="B1020" s="76">
        <v>1900</v>
      </c>
      <c r="C1020" t="s">
        <v>82</v>
      </c>
      <c r="D1020" t="s">
        <v>137</v>
      </c>
      <c r="E1020" s="75">
        <v>0.85416666666666663</v>
      </c>
      <c r="F1020" s="75">
        <v>0.86458333333333337</v>
      </c>
      <c r="H1020" s="75"/>
      <c r="I1020" s="75"/>
    </row>
    <row r="1021" spans="1:9" x14ac:dyDescent="0.6">
      <c r="A1021" t="s">
        <v>1617</v>
      </c>
      <c r="B1021" s="76">
        <v>1900</v>
      </c>
      <c r="C1021" t="s">
        <v>941</v>
      </c>
      <c r="D1021" t="s">
        <v>942</v>
      </c>
      <c r="E1021" s="75">
        <v>0.92708333333333337</v>
      </c>
      <c r="F1021" s="75">
        <v>0.94097222222222221</v>
      </c>
      <c r="H1021" s="75"/>
      <c r="I1021" s="75"/>
    </row>
    <row r="1022" spans="1:9" x14ac:dyDescent="0.6">
      <c r="A1022" t="s">
        <v>1618</v>
      </c>
      <c r="B1022" s="76" t="s">
        <v>1553</v>
      </c>
      <c r="C1022" t="s">
        <v>80</v>
      </c>
      <c r="D1022" t="s">
        <v>137</v>
      </c>
      <c r="E1022" s="75">
        <v>0.85763888888888884</v>
      </c>
      <c r="F1022" s="75">
        <v>0.86805555555555558</v>
      </c>
      <c r="H1022" s="75"/>
      <c r="I1022" s="75"/>
    </row>
    <row r="1023" spans="1:9" x14ac:dyDescent="0.6">
      <c r="A1023" t="s">
        <v>1618</v>
      </c>
      <c r="B1023" s="76" t="s">
        <v>1553</v>
      </c>
      <c r="C1023" t="s">
        <v>941</v>
      </c>
      <c r="D1023" t="s">
        <v>942</v>
      </c>
      <c r="E1023" s="75">
        <v>0.93055555555555558</v>
      </c>
      <c r="F1023" s="75">
        <v>0.94444444444444442</v>
      </c>
      <c r="H1023" s="75"/>
      <c r="I1023" s="75"/>
    </row>
    <row r="1024" spans="1:9" x14ac:dyDescent="0.6">
      <c r="A1024" t="s">
        <v>1619</v>
      </c>
      <c r="B1024" s="76">
        <v>1900</v>
      </c>
      <c r="C1024" t="s">
        <v>84</v>
      </c>
      <c r="D1024" t="s">
        <v>137</v>
      </c>
      <c r="E1024" s="75">
        <v>0.85416666666666663</v>
      </c>
      <c r="F1024" s="75">
        <v>0.86458333333333337</v>
      </c>
      <c r="H1024" s="75"/>
      <c r="I1024" s="75"/>
    </row>
    <row r="1025" spans="1:10" x14ac:dyDescent="0.6">
      <c r="A1025" t="s">
        <v>1619</v>
      </c>
      <c r="B1025" s="76">
        <v>1900</v>
      </c>
      <c r="C1025" t="s">
        <v>90</v>
      </c>
      <c r="D1025" t="s">
        <v>137</v>
      </c>
      <c r="E1025" s="75">
        <v>0.87152777777777779</v>
      </c>
      <c r="F1025" s="75">
        <v>0.87847222222222221</v>
      </c>
      <c r="H1025" s="75"/>
      <c r="I1025" s="75"/>
    </row>
    <row r="1026" spans="1:10" x14ac:dyDescent="0.6">
      <c r="A1026" t="s">
        <v>1619</v>
      </c>
      <c r="B1026" s="76">
        <v>1900</v>
      </c>
      <c r="C1026" t="s">
        <v>941</v>
      </c>
      <c r="D1026" t="s">
        <v>942</v>
      </c>
      <c r="E1026" s="75">
        <v>0.94791666666666663</v>
      </c>
      <c r="F1026" s="75">
        <v>0.96180555555555558</v>
      </c>
      <c r="H1026" s="75"/>
      <c r="I1026" s="75"/>
    </row>
    <row r="1027" spans="1:10" x14ac:dyDescent="0.6">
      <c r="A1027" t="s">
        <v>1620</v>
      </c>
      <c r="B1027" s="76">
        <v>1900</v>
      </c>
      <c r="C1027" t="s">
        <v>90</v>
      </c>
      <c r="D1027" t="s">
        <v>137</v>
      </c>
      <c r="E1027" s="75">
        <v>0.86111111111111116</v>
      </c>
      <c r="F1027" s="75">
        <v>0.87152777777777779</v>
      </c>
      <c r="H1027" s="75"/>
      <c r="I1027" s="75"/>
    </row>
    <row r="1028" spans="1:10" x14ac:dyDescent="0.6">
      <c r="A1028" t="s">
        <v>1620</v>
      </c>
      <c r="B1028" s="76">
        <v>1900</v>
      </c>
      <c r="C1028" t="s">
        <v>941</v>
      </c>
      <c r="D1028" t="s">
        <v>942</v>
      </c>
      <c r="E1028" s="75">
        <v>0.94791666666666663</v>
      </c>
      <c r="F1028" s="75">
        <v>0.96180555555555558</v>
      </c>
      <c r="H1028" s="75"/>
      <c r="I1028" s="75"/>
    </row>
    <row r="1029" spans="1:10" x14ac:dyDescent="0.6">
      <c r="A1029" t="s">
        <v>1621</v>
      </c>
      <c r="B1029" s="76">
        <v>1900</v>
      </c>
      <c r="C1029" t="s">
        <v>89</v>
      </c>
      <c r="D1029" t="s">
        <v>137</v>
      </c>
      <c r="E1029" s="75">
        <v>0.85416666666666663</v>
      </c>
      <c r="F1029" s="75">
        <v>0.86111111111111116</v>
      </c>
      <c r="H1029" s="75"/>
      <c r="I1029" s="75"/>
    </row>
    <row r="1030" spans="1:10" x14ac:dyDescent="0.6">
      <c r="A1030" t="s">
        <v>1621</v>
      </c>
      <c r="B1030" s="76">
        <v>1900</v>
      </c>
      <c r="C1030" t="s">
        <v>941</v>
      </c>
      <c r="D1030" t="s">
        <v>942</v>
      </c>
      <c r="E1030" s="75">
        <v>0.94444444444444442</v>
      </c>
      <c r="F1030" s="75">
        <v>0.95833333333333337</v>
      </c>
      <c r="H1030" s="75"/>
      <c r="I1030" s="75"/>
    </row>
    <row r="1031" spans="1:10" x14ac:dyDescent="0.6">
      <c r="A1031" t="s">
        <v>1622</v>
      </c>
      <c r="B1031" s="76">
        <v>1900</v>
      </c>
      <c r="C1031" t="s">
        <v>86</v>
      </c>
      <c r="D1031" t="s">
        <v>137</v>
      </c>
      <c r="E1031" s="75">
        <v>0.86111111111111116</v>
      </c>
      <c r="F1031" s="75">
        <v>0.87152777777777779</v>
      </c>
      <c r="H1031" s="75"/>
      <c r="I1031" s="75"/>
    </row>
    <row r="1032" spans="1:10" x14ac:dyDescent="0.6">
      <c r="A1032" t="s">
        <v>1622</v>
      </c>
      <c r="B1032" s="76">
        <v>1900</v>
      </c>
      <c r="C1032" t="s">
        <v>941</v>
      </c>
      <c r="D1032" t="s">
        <v>942</v>
      </c>
      <c r="E1032" s="75">
        <v>0.93402777777777779</v>
      </c>
      <c r="F1032" s="75">
        <v>0.94791666666666663</v>
      </c>
      <c r="H1032" s="75"/>
      <c r="I1032" s="75"/>
    </row>
    <row r="1033" spans="1:10" x14ac:dyDescent="0.6">
      <c r="A1033" t="s">
        <v>1623</v>
      </c>
      <c r="B1033" s="76">
        <v>1900</v>
      </c>
      <c r="C1033" t="s">
        <v>60</v>
      </c>
      <c r="D1033" t="s">
        <v>137</v>
      </c>
      <c r="E1033" s="75">
        <v>0.86458333333333337</v>
      </c>
      <c r="F1033" s="75">
        <v>0.875</v>
      </c>
      <c r="H1033" s="75"/>
      <c r="I1033" s="75"/>
    </row>
    <row r="1034" spans="1:10" x14ac:dyDescent="0.6">
      <c r="A1034" t="s">
        <v>1623</v>
      </c>
      <c r="B1034" s="76">
        <v>1900</v>
      </c>
      <c r="C1034" t="s">
        <v>941</v>
      </c>
      <c r="D1034" t="s">
        <v>942</v>
      </c>
      <c r="E1034" s="75">
        <v>0.94444444444444442</v>
      </c>
      <c r="F1034" s="75">
        <v>0.95833333333333337</v>
      </c>
      <c r="H1034" s="75"/>
      <c r="I1034" s="75"/>
    </row>
    <row r="1035" spans="1:10" x14ac:dyDescent="0.6">
      <c r="A1035" t="s">
        <v>1624</v>
      </c>
      <c r="B1035" s="76">
        <v>1900</v>
      </c>
      <c r="C1035" t="s">
        <v>146</v>
      </c>
      <c r="D1035" t="s">
        <v>137</v>
      </c>
      <c r="E1035" s="75">
        <v>0.85416666666666663</v>
      </c>
      <c r="F1035" s="75">
        <v>0.86458333333333337</v>
      </c>
      <c r="H1035" s="75"/>
      <c r="I1035" s="75"/>
    </row>
    <row r="1036" spans="1:10" x14ac:dyDescent="0.6">
      <c r="A1036" t="s">
        <v>1624</v>
      </c>
      <c r="B1036" s="76">
        <v>1900</v>
      </c>
      <c r="C1036" t="s">
        <v>941</v>
      </c>
      <c r="D1036" t="s">
        <v>942</v>
      </c>
      <c r="E1036" s="75">
        <v>0.92708333333333337</v>
      </c>
      <c r="F1036" s="75">
        <v>0.94097222222222221</v>
      </c>
      <c r="H1036" s="75"/>
      <c r="I1036" s="75"/>
    </row>
    <row r="1037" spans="1:10" x14ac:dyDescent="0.6">
      <c r="A1037" t="s">
        <v>1625</v>
      </c>
      <c r="B1037" s="76">
        <v>1900</v>
      </c>
      <c r="C1037" t="s">
        <v>132</v>
      </c>
      <c r="D1037" t="s">
        <v>137</v>
      </c>
      <c r="E1037" s="75">
        <v>0.85416666666666663</v>
      </c>
      <c r="F1037" s="75">
        <v>0.87152777777777779</v>
      </c>
      <c r="H1037" s="75"/>
      <c r="I1037" s="75"/>
    </row>
    <row r="1038" spans="1:10" x14ac:dyDescent="0.6">
      <c r="A1038" t="s">
        <v>1625</v>
      </c>
      <c r="B1038" s="76">
        <v>1900</v>
      </c>
      <c r="C1038" t="s">
        <v>941</v>
      </c>
      <c r="D1038" t="s">
        <v>942</v>
      </c>
      <c r="E1038" s="75">
        <v>0.92708333333333337</v>
      </c>
      <c r="F1038" s="75">
        <v>0.94097222222222221</v>
      </c>
      <c r="H1038" s="75"/>
      <c r="I1038" s="75"/>
    </row>
    <row r="1039" spans="1:10" x14ac:dyDescent="0.6">
      <c r="A1039" t="s">
        <v>1626</v>
      </c>
      <c r="B1039" s="76">
        <v>1900</v>
      </c>
      <c r="C1039" t="s">
        <v>147</v>
      </c>
      <c r="D1039" t="s">
        <v>137</v>
      </c>
      <c r="E1039" s="75">
        <v>0.85416666666666663</v>
      </c>
      <c r="F1039" s="75">
        <v>0.86458333333333337</v>
      </c>
      <c r="H1039" s="75"/>
      <c r="I1039" s="75"/>
      <c r="J1039" t="s">
        <v>1550</v>
      </c>
    </row>
    <row r="1040" spans="1:10" x14ac:dyDescent="0.6">
      <c r="A1040" t="s">
        <v>1626</v>
      </c>
      <c r="B1040" s="76">
        <v>1900</v>
      </c>
      <c r="C1040" t="s">
        <v>941</v>
      </c>
      <c r="D1040" t="s">
        <v>942</v>
      </c>
      <c r="E1040" s="75">
        <v>0.92708333333333337</v>
      </c>
      <c r="F1040" s="75">
        <v>0.94097222222222221</v>
      </c>
      <c r="H1040" s="75"/>
      <c r="I1040" s="75"/>
    </row>
    <row r="1041" spans="1:10" x14ac:dyDescent="0.6">
      <c r="A1041" t="s">
        <v>1627</v>
      </c>
      <c r="B1041" s="76">
        <v>1900</v>
      </c>
      <c r="C1041" t="s">
        <v>147</v>
      </c>
      <c r="D1041" t="s">
        <v>137</v>
      </c>
      <c r="E1041" s="75">
        <v>0.87152777777777779</v>
      </c>
      <c r="F1041" s="75">
        <v>0.88194444444444442</v>
      </c>
      <c r="H1041" s="75"/>
      <c r="I1041" s="75"/>
    </row>
    <row r="1042" spans="1:10" x14ac:dyDescent="0.6">
      <c r="A1042" t="s">
        <v>1627</v>
      </c>
      <c r="B1042" s="76">
        <v>1900</v>
      </c>
      <c r="C1042" t="s">
        <v>941</v>
      </c>
      <c r="D1042" t="s">
        <v>942</v>
      </c>
      <c r="E1042" s="75">
        <v>0.94444444444444442</v>
      </c>
      <c r="F1042" s="75">
        <v>0.95833333333333337</v>
      </c>
      <c r="H1042" s="75"/>
      <c r="I1042" s="75"/>
    </row>
    <row r="1043" spans="1:10" x14ac:dyDescent="0.6">
      <c r="A1043" t="s">
        <v>1628</v>
      </c>
      <c r="B1043" s="76">
        <v>1900</v>
      </c>
      <c r="C1043" t="s">
        <v>131</v>
      </c>
      <c r="D1043" t="s">
        <v>137</v>
      </c>
      <c r="E1043" s="75">
        <v>0.84027777777777779</v>
      </c>
      <c r="F1043" s="75">
        <v>0.85069444444444442</v>
      </c>
      <c r="H1043" s="75"/>
      <c r="I1043" s="75"/>
      <c r="J1043" t="s">
        <v>1550</v>
      </c>
    </row>
    <row r="1044" spans="1:10" x14ac:dyDescent="0.6">
      <c r="A1044" t="s">
        <v>1628</v>
      </c>
      <c r="B1044" s="76">
        <v>1900</v>
      </c>
      <c r="C1044" t="s">
        <v>941</v>
      </c>
      <c r="D1044" t="s">
        <v>942</v>
      </c>
      <c r="E1044" s="75">
        <v>0.91319444444444442</v>
      </c>
      <c r="F1044" s="75">
        <v>0.92708333333333337</v>
      </c>
      <c r="H1044" s="75"/>
      <c r="I1044" s="75"/>
    </row>
    <row r="1045" spans="1:10" x14ac:dyDescent="0.6">
      <c r="A1045" t="s">
        <v>1629</v>
      </c>
      <c r="B1045" s="76">
        <v>1900</v>
      </c>
      <c r="C1045" t="s">
        <v>131</v>
      </c>
      <c r="D1045" t="s">
        <v>137</v>
      </c>
      <c r="E1045" s="75">
        <v>0.85069444444444442</v>
      </c>
      <c r="F1045" s="75">
        <v>0.86111111111111116</v>
      </c>
      <c r="H1045" s="75"/>
      <c r="I1045" s="75"/>
    </row>
    <row r="1046" spans="1:10" x14ac:dyDescent="0.6">
      <c r="A1046" t="s">
        <v>1629</v>
      </c>
      <c r="B1046" s="76">
        <v>1900</v>
      </c>
      <c r="C1046" t="s">
        <v>941</v>
      </c>
      <c r="D1046" t="s">
        <v>942</v>
      </c>
      <c r="E1046" s="75">
        <v>0.92361111111111116</v>
      </c>
      <c r="F1046" s="75">
        <v>0.9375</v>
      </c>
      <c r="H1046" s="75"/>
      <c r="I1046" s="75"/>
    </row>
    <row r="1047" spans="1:10" x14ac:dyDescent="0.6">
      <c r="A1047" t="s">
        <v>1630</v>
      </c>
      <c r="B1047" s="76">
        <v>1900</v>
      </c>
      <c r="C1047" t="s">
        <v>75</v>
      </c>
      <c r="D1047" t="s">
        <v>137</v>
      </c>
      <c r="E1047" s="75">
        <v>0.85416666666666663</v>
      </c>
      <c r="F1047" s="75">
        <v>0.86458333333333337</v>
      </c>
      <c r="H1047" s="75"/>
      <c r="I1047" s="75"/>
    </row>
    <row r="1048" spans="1:10" x14ac:dyDescent="0.6">
      <c r="A1048" t="s">
        <v>1630</v>
      </c>
      <c r="B1048" s="76">
        <v>1900</v>
      </c>
      <c r="C1048" t="s">
        <v>941</v>
      </c>
      <c r="D1048" t="s">
        <v>942</v>
      </c>
      <c r="E1048" s="75">
        <v>0.93055555555555558</v>
      </c>
      <c r="F1048" s="75">
        <v>0.94444444444444442</v>
      </c>
      <c r="H1048" s="75"/>
      <c r="I1048" s="75"/>
    </row>
    <row r="1049" spans="1:10" x14ac:dyDescent="0.6">
      <c r="A1049" t="s">
        <v>1631</v>
      </c>
      <c r="B1049" s="76">
        <v>1900</v>
      </c>
      <c r="C1049" t="s">
        <v>76</v>
      </c>
      <c r="D1049" t="s">
        <v>137</v>
      </c>
      <c r="E1049" s="75">
        <v>0.86111111111111116</v>
      </c>
      <c r="F1049" s="75">
        <v>0.87152777777777779</v>
      </c>
      <c r="H1049" s="75"/>
      <c r="I1049" s="75"/>
    </row>
    <row r="1050" spans="1:10" x14ac:dyDescent="0.6">
      <c r="A1050" t="s">
        <v>1631</v>
      </c>
      <c r="B1050" s="76">
        <v>1900</v>
      </c>
      <c r="C1050" t="s">
        <v>941</v>
      </c>
      <c r="D1050" t="s">
        <v>942</v>
      </c>
      <c r="E1050" s="75">
        <v>0.93402777777777779</v>
      </c>
      <c r="F1050" s="75">
        <v>0.94791666666666663</v>
      </c>
      <c r="H1050" s="75"/>
      <c r="I1050" s="75"/>
    </row>
    <row r="1051" spans="1:10" x14ac:dyDescent="0.6">
      <c r="A1051" t="s">
        <v>1632</v>
      </c>
      <c r="B1051" s="76">
        <v>1900</v>
      </c>
      <c r="C1051" t="s">
        <v>77</v>
      </c>
      <c r="D1051" t="s">
        <v>137</v>
      </c>
      <c r="E1051" s="75">
        <v>0.83333333333333337</v>
      </c>
      <c r="F1051" s="75">
        <v>0.84027777777777779</v>
      </c>
      <c r="H1051" s="75"/>
      <c r="I1051" s="75"/>
    </row>
    <row r="1052" spans="1:10" x14ac:dyDescent="0.6">
      <c r="A1052" t="s">
        <v>1632</v>
      </c>
      <c r="B1052" s="76">
        <v>1900</v>
      </c>
      <c r="C1052" t="s">
        <v>74</v>
      </c>
      <c r="D1052" t="s">
        <v>137</v>
      </c>
      <c r="E1052" s="75">
        <v>0.85416666666666663</v>
      </c>
      <c r="F1052" s="75">
        <v>0.86111111111111116</v>
      </c>
      <c r="H1052" s="75"/>
      <c r="I1052" s="75"/>
    </row>
    <row r="1053" spans="1:10" x14ac:dyDescent="0.6">
      <c r="A1053" t="s">
        <v>1632</v>
      </c>
      <c r="B1053" s="76">
        <v>1900</v>
      </c>
      <c r="C1053" t="s">
        <v>941</v>
      </c>
      <c r="D1053" t="s">
        <v>942</v>
      </c>
      <c r="E1053" s="75">
        <v>0.93402777777777779</v>
      </c>
      <c r="F1053" s="75">
        <v>0.94791666666666663</v>
      </c>
      <c r="H1053" s="75"/>
      <c r="I1053" s="75"/>
    </row>
    <row r="1054" spans="1:10" x14ac:dyDescent="0.6">
      <c r="A1054" t="s">
        <v>1633</v>
      </c>
      <c r="B1054" s="76">
        <v>1900</v>
      </c>
      <c r="C1054" t="s">
        <v>38</v>
      </c>
      <c r="D1054" t="s">
        <v>137</v>
      </c>
      <c r="E1054" s="75">
        <v>0.86805555555555558</v>
      </c>
      <c r="F1054" s="75">
        <v>0.875</v>
      </c>
      <c r="H1054" s="75"/>
      <c r="I1054" s="75"/>
    </row>
    <row r="1055" spans="1:10" x14ac:dyDescent="0.6">
      <c r="A1055" t="s">
        <v>1633</v>
      </c>
      <c r="B1055" s="76">
        <v>1900</v>
      </c>
      <c r="C1055" t="s">
        <v>39</v>
      </c>
      <c r="D1055" t="s">
        <v>137</v>
      </c>
      <c r="E1055" s="75">
        <v>0.88541666666666663</v>
      </c>
      <c r="F1055" s="75">
        <v>0.89236111111111116</v>
      </c>
      <c r="H1055" s="75"/>
      <c r="I1055" s="75"/>
    </row>
    <row r="1056" spans="1:10" x14ac:dyDescent="0.6">
      <c r="A1056" t="s">
        <v>1633</v>
      </c>
      <c r="B1056" s="76">
        <v>1900</v>
      </c>
      <c r="C1056" t="s">
        <v>941</v>
      </c>
      <c r="D1056" t="s">
        <v>942</v>
      </c>
      <c r="E1056" s="75">
        <v>0.94791666666666663</v>
      </c>
      <c r="F1056" s="75">
        <v>0.96180555555555558</v>
      </c>
      <c r="H1056" s="75"/>
      <c r="I1056" s="75"/>
    </row>
    <row r="1057" spans="1:9" x14ac:dyDescent="0.6">
      <c r="A1057" t="s">
        <v>1634</v>
      </c>
      <c r="B1057" s="76">
        <v>1900</v>
      </c>
      <c r="C1057" t="s">
        <v>30</v>
      </c>
      <c r="D1057" t="s">
        <v>137</v>
      </c>
      <c r="E1057" s="75">
        <v>0.83333333333333337</v>
      </c>
      <c r="F1057" s="75">
        <v>0.84375</v>
      </c>
      <c r="H1057" s="75"/>
      <c r="I1057" s="75"/>
    </row>
    <row r="1058" spans="1:9" x14ac:dyDescent="0.6">
      <c r="A1058" t="s">
        <v>1634</v>
      </c>
      <c r="B1058" s="76">
        <v>1900</v>
      </c>
      <c r="C1058" t="s">
        <v>941</v>
      </c>
      <c r="D1058" t="s">
        <v>942</v>
      </c>
      <c r="E1058" s="75">
        <v>0.89583333333333337</v>
      </c>
      <c r="F1058" s="75">
        <v>0.90972222222222221</v>
      </c>
      <c r="H1058" s="75"/>
      <c r="I1058" s="75"/>
    </row>
    <row r="1059" spans="1:9" x14ac:dyDescent="0.6">
      <c r="A1059" t="s">
        <v>1635</v>
      </c>
      <c r="B1059" s="76">
        <v>1900</v>
      </c>
      <c r="C1059" t="s">
        <v>83</v>
      </c>
      <c r="D1059" t="s">
        <v>137</v>
      </c>
      <c r="E1059" s="75">
        <v>0.85416666666666663</v>
      </c>
      <c r="F1059" s="75">
        <v>0.86111111111111116</v>
      </c>
      <c r="H1059" s="75"/>
      <c r="I1059" s="75"/>
    </row>
    <row r="1060" spans="1:9" x14ac:dyDescent="0.6">
      <c r="A1060" t="s">
        <v>1635</v>
      </c>
      <c r="B1060" s="76">
        <v>1900</v>
      </c>
      <c r="C1060" t="s">
        <v>85</v>
      </c>
      <c r="D1060" t="s">
        <v>137</v>
      </c>
      <c r="E1060" s="75">
        <v>0.86111111111111116</v>
      </c>
      <c r="F1060" s="75">
        <v>0.86805555555555558</v>
      </c>
      <c r="H1060" s="75"/>
      <c r="I1060" s="75"/>
    </row>
    <row r="1061" spans="1:9" x14ac:dyDescent="0.6">
      <c r="A1061" t="s">
        <v>1635</v>
      </c>
      <c r="B1061" s="76">
        <v>1900</v>
      </c>
      <c r="C1061" t="s">
        <v>941</v>
      </c>
      <c r="D1061" t="s">
        <v>942</v>
      </c>
      <c r="E1061" s="75">
        <v>0.94444444444444442</v>
      </c>
      <c r="F1061" s="75">
        <v>0.95833333333333337</v>
      </c>
      <c r="H1061" s="75"/>
      <c r="I1061" s="75"/>
    </row>
    <row r="1062" spans="1:9" x14ac:dyDescent="0.6">
      <c r="A1062" t="s">
        <v>1636</v>
      </c>
      <c r="B1062" s="76" t="s">
        <v>1192</v>
      </c>
      <c r="C1062" t="s">
        <v>1572</v>
      </c>
      <c r="D1062" t="s">
        <v>137</v>
      </c>
      <c r="E1062" s="75">
        <v>0.9375</v>
      </c>
      <c r="F1062" s="75">
        <v>0.95138888888888884</v>
      </c>
      <c r="H1062" s="75"/>
      <c r="I1062" s="75"/>
    </row>
    <row r="1063" spans="1:9" x14ac:dyDescent="0.6">
      <c r="A1063" t="s">
        <v>1636</v>
      </c>
      <c r="B1063" s="76" t="s">
        <v>1192</v>
      </c>
      <c r="C1063" t="s">
        <v>56</v>
      </c>
      <c r="D1063" t="s">
        <v>137</v>
      </c>
      <c r="E1063" s="75">
        <v>0.96527777777777779</v>
      </c>
      <c r="F1063" s="75">
        <v>0.97222222222222221</v>
      </c>
      <c r="H1063" s="75"/>
      <c r="I1063" s="75"/>
    </row>
    <row r="1064" spans="1:9" x14ac:dyDescent="0.6">
      <c r="A1064" t="s">
        <v>1636</v>
      </c>
      <c r="B1064" s="76" t="s">
        <v>1192</v>
      </c>
      <c r="C1064" t="s">
        <v>941</v>
      </c>
      <c r="D1064" t="s">
        <v>942</v>
      </c>
      <c r="E1064" s="75">
        <v>1.3888888888888888E-2</v>
      </c>
      <c r="F1064" s="75">
        <v>2.7777777777777776E-2</v>
      </c>
      <c r="H1064" s="75"/>
      <c r="I1064" s="75"/>
    </row>
    <row r="1065" spans="1:9" x14ac:dyDescent="0.6">
      <c r="A1065" t="s">
        <v>1637</v>
      </c>
      <c r="B1065" s="76">
        <v>1900</v>
      </c>
      <c r="C1065" t="s">
        <v>93</v>
      </c>
      <c r="D1065" t="s">
        <v>137</v>
      </c>
      <c r="E1065" s="75">
        <v>0.84722222222222221</v>
      </c>
      <c r="F1065" s="75">
        <v>0.85763888888888884</v>
      </c>
      <c r="H1065" s="75"/>
      <c r="I1065" s="75"/>
    </row>
    <row r="1066" spans="1:9" x14ac:dyDescent="0.6">
      <c r="A1066" t="s">
        <v>1637</v>
      </c>
      <c r="B1066" s="76">
        <v>1900</v>
      </c>
      <c r="C1066" t="s">
        <v>941</v>
      </c>
      <c r="D1066" t="s">
        <v>942</v>
      </c>
      <c r="E1066" s="75">
        <v>0.90277777777777779</v>
      </c>
      <c r="F1066" s="75">
        <v>0.91666666666666663</v>
      </c>
      <c r="H1066" s="75"/>
      <c r="I1066" s="75"/>
    </row>
    <row r="1067" spans="1:9" x14ac:dyDescent="0.6">
      <c r="A1067" t="s">
        <v>1638</v>
      </c>
      <c r="B1067" s="76">
        <v>1900</v>
      </c>
      <c r="C1067" t="s">
        <v>1639</v>
      </c>
      <c r="D1067" t="s">
        <v>137</v>
      </c>
      <c r="E1067" s="75">
        <v>0.93055555555555558</v>
      </c>
      <c r="F1067" s="75">
        <v>0.94097222222222221</v>
      </c>
      <c r="H1067" s="75"/>
      <c r="I1067" s="75"/>
    </row>
    <row r="1068" spans="1:9" x14ac:dyDescent="0.6">
      <c r="A1068" t="s">
        <v>1638</v>
      </c>
      <c r="B1068" s="76">
        <v>1900</v>
      </c>
      <c r="C1068" t="s">
        <v>125</v>
      </c>
      <c r="D1068" t="s">
        <v>137</v>
      </c>
      <c r="E1068" s="75">
        <v>0.94791666666666663</v>
      </c>
      <c r="F1068" s="75">
        <v>0.95486111111111116</v>
      </c>
      <c r="H1068" s="75"/>
      <c r="I1068" s="75"/>
    </row>
    <row r="1069" spans="1:9" x14ac:dyDescent="0.6">
      <c r="A1069" t="s">
        <v>1638</v>
      </c>
      <c r="B1069" s="76">
        <v>1900</v>
      </c>
      <c r="C1069" t="s">
        <v>941</v>
      </c>
      <c r="D1069" t="s">
        <v>942</v>
      </c>
      <c r="E1069" s="75">
        <v>3.472222222222222E-3</v>
      </c>
      <c r="F1069" s="75">
        <v>1.7361111111111112E-2</v>
      </c>
      <c r="H1069" s="75"/>
      <c r="I1069" s="75"/>
    </row>
    <row r="1070" spans="1:9" x14ac:dyDescent="0.6">
      <c r="A1070" t="s">
        <v>1640</v>
      </c>
      <c r="B1070" s="76">
        <v>8000</v>
      </c>
      <c r="C1070" t="s">
        <v>941</v>
      </c>
      <c r="D1070" t="s">
        <v>942</v>
      </c>
      <c r="E1070" s="75">
        <v>0.70833333333333337</v>
      </c>
      <c r="F1070" s="75">
        <v>0.75</v>
      </c>
      <c r="H1070" s="75"/>
      <c r="I1070" s="75"/>
    </row>
    <row r="1071" spans="1:9" x14ac:dyDescent="0.6">
      <c r="A1071" t="s">
        <v>1640</v>
      </c>
      <c r="B1071" s="76">
        <v>8000</v>
      </c>
      <c r="C1071" t="s">
        <v>1641</v>
      </c>
      <c r="D1071" t="s">
        <v>137</v>
      </c>
      <c r="E1071" s="75">
        <v>0.79166666666666663</v>
      </c>
      <c r="F1071" s="75">
        <v>0.84722222222222221</v>
      </c>
      <c r="H1071" s="75"/>
      <c r="I1071" s="75"/>
    </row>
    <row r="1072" spans="1:9" x14ac:dyDescent="0.6">
      <c r="A1072" t="s">
        <v>1640</v>
      </c>
      <c r="B1072" s="76">
        <v>8000</v>
      </c>
      <c r="C1072" t="s">
        <v>941</v>
      </c>
      <c r="D1072" t="s">
        <v>942</v>
      </c>
      <c r="E1072" s="75">
        <v>0.88888888888888884</v>
      </c>
      <c r="F1072" s="75">
        <v>0.93055555555555558</v>
      </c>
      <c r="H1072" s="75"/>
      <c r="I1072" s="75"/>
    </row>
    <row r="1073" spans="1:10" x14ac:dyDescent="0.6">
      <c r="A1073" t="s">
        <v>1642</v>
      </c>
      <c r="B1073" s="76">
        <v>8000</v>
      </c>
      <c r="C1073" t="s">
        <v>941</v>
      </c>
      <c r="D1073" t="s">
        <v>942</v>
      </c>
      <c r="E1073" s="75">
        <v>0.8125</v>
      </c>
      <c r="F1073" s="75">
        <v>0.85416666666666663</v>
      </c>
      <c r="H1073" s="75"/>
      <c r="I1073" s="75"/>
    </row>
    <row r="1074" spans="1:10" x14ac:dyDescent="0.6">
      <c r="A1074" t="s">
        <v>1642</v>
      </c>
      <c r="B1074" s="76">
        <v>8000</v>
      </c>
      <c r="C1074" t="s">
        <v>1641</v>
      </c>
      <c r="D1074" t="s">
        <v>137</v>
      </c>
      <c r="E1074" s="75">
        <v>0.89583333333333337</v>
      </c>
      <c r="F1074" s="75">
        <v>0.95138888888888884</v>
      </c>
      <c r="H1074" s="75"/>
      <c r="I1074" s="75"/>
    </row>
    <row r="1075" spans="1:10" x14ac:dyDescent="0.6">
      <c r="A1075" t="s">
        <v>1642</v>
      </c>
      <c r="B1075" s="76">
        <v>8000</v>
      </c>
      <c r="C1075" t="s">
        <v>941</v>
      </c>
      <c r="D1075" t="s">
        <v>942</v>
      </c>
      <c r="E1075" s="75">
        <v>0.99305555555555558</v>
      </c>
      <c r="F1075" s="75">
        <v>3.4722222222222224E-2</v>
      </c>
      <c r="H1075" s="75"/>
      <c r="I1075" s="75"/>
    </row>
    <row r="1076" spans="1:10" x14ac:dyDescent="0.6">
      <c r="A1076" t="s">
        <v>1643</v>
      </c>
      <c r="B1076" s="76">
        <v>8000</v>
      </c>
      <c r="C1076" t="s">
        <v>1644</v>
      </c>
      <c r="D1076" t="s">
        <v>137</v>
      </c>
      <c r="E1076" s="75">
        <v>0.89583333333333337</v>
      </c>
      <c r="F1076" s="75">
        <v>0.9375</v>
      </c>
      <c r="H1076" s="75"/>
      <c r="I1076" s="75"/>
    </row>
    <row r="1077" spans="1:10" x14ac:dyDescent="0.6">
      <c r="A1077" t="s">
        <v>1643</v>
      </c>
      <c r="B1077" s="76">
        <v>8000</v>
      </c>
      <c r="C1077" t="s">
        <v>941</v>
      </c>
      <c r="D1077" t="s">
        <v>942</v>
      </c>
      <c r="E1077" s="75">
        <v>0.97916666666666663</v>
      </c>
      <c r="F1077" s="75">
        <v>2.0833333333333332E-2</v>
      </c>
      <c r="H1077" s="75"/>
      <c r="I1077" s="75"/>
    </row>
    <row r="1078" spans="1:10" x14ac:dyDescent="0.6">
      <c r="A1078" t="s">
        <v>1645</v>
      </c>
      <c r="B1078" s="76">
        <v>1900</v>
      </c>
      <c r="C1078" t="s">
        <v>1646</v>
      </c>
      <c r="D1078" t="s">
        <v>137</v>
      </c>
      <c r="E1078" s="75">
        <v>0.79166666666666663</v>
      </c>
      <c r="F1078" s="75">
        <v>0.8125</v>
      </c>
      <c r="H1078" s="75"/>
      <c r="I1078" s="75"/>
      <c r="J1078" t="s">
        <v>1647</v>
      </c>
    </row>
    <row r="1079" spans="1:10" x14ac:dyDescent="0.6">
      <c r="A1079" t="s">
        <v>1645</v>
      </c>
      <c r="B1079" s="76">
        <v>1900</v>
      </c>
      <c r="C1079" t="s">
        <v>131</v>
      </c>
      <c r="D1079" t="s">
        <v>137</v>
      </c>
      <c r="E1079" s="75">
        <v>0.81944444444444442</v>
      </c>
      <c r="F1079" s="75">
        <v>0.82986111111111116</v>
      </c>
      <c r="H1079" s="75"/>
      <c r="I1079" s="75"/>
      <c r="J1079" t="s">
        <v>1647</v>
      </c>
    </row>
    <row r="1080" spans="1:10" x14ac:dyDescent="0.6">
      <c r="A1080" t="s">
        <v>1645</v>
      </c>
      <c r="B1080" s="76">
        <v>1900</v>
      </c>
      <c r="C1080" t="s">
        <v>941</v>
      </c>
      <c r="D1080" t="s">
        <v>942</v>
      </c>
      <c r="E1080" s="75">
        <v>0.87847222222222221</v>
      </c>
      <c r="F1080" s="75">
        <v>0.89930555555555558</v>
      </c>
      <c r="H1080" s="75"/>
      <c r="I1080" s="75"/>
      <c r="J1080" t="s">
        <v>1647</v>
      </c>
    </row>
    <row r="1081" spans="1:10" x14ac:dyDescent="0.6">
      <c r="A1081" t="s">
        <v>1648</v>
      </c>
      <c r="B1081" s="76" t="s">
        <v>1553</v>
      </c>
      <c r="C1081" t="s">
        <v>96</v>
      </c>
      <c r="D1081" t="s">
        <v>137</v>
      </c>
      <c r="E1081" s="75">
        <v>0.84375</v>
      </c>
      <c r="F1081" s="75">
        <v>0.85416666666666663</v>
      </c>
      <c r="H1081" s="75"/>
      <c r="I1081" s="75"/>
    </row>
    <row r="1082" spans="1:10" x14ac:dyDescent="0.6">
      <c r="A1082" t="s">
        <v>1648</v>
      </c>
      <c r="B1082" s="76" t="s">
        <v>1553</v>
      </c>
      <c r="C1082" t="s">
        <v>1094</v>
      </c>
      <c r="D1082" t="s">
        <v>942</v>
      </c>
      <c r="E1082" s="75">
        <v>0.86458333333333337</v>
      </c>
      <c r="F1082" s="75">
        <v>0.87847222222222221</v>
      </c>
      <c r="H1082" s="75"/>
      <c r="I1082" s="75"/>
    </row>
    <row r="1083" spans="1:10" x14ac:dyDescent="0.6">
      <c r="A1083" t="s">
        <v>1649</v>
      </c>
      <c r="B1083" s="76" t="s">
        <v>1553</v>
      </c>
      <c r="C1083" t="s">
        <v>93</v>
      </c>
      <c r="D1083" t="s">
        <v>137</v>
      </c>
      <c r="E1083" s="75">
        <v>0.82638888888888884</v>
      </c>
      <c r="F1083" s="75">
        <v>0.83333333333333337</v>
      </c>
      <c r="H1083" s="75"/>
      <c r="I1083" s="75"/>
    </row>
    <row r="1084" spans="1:10" x14ac:dyDescent="0.6">
      <c r="A1084" t="s">
        <v>1649</v>
      </c>
      <c r="B1084" s="76" t="s">
        <v>1553</v>
      </c>
      <c r="C1084" t="s">
        <v>97</v>
      </c>
      <c r="D1084" t="s">
        <v>137</v>
      </c>
      <c r="E1084" s="75">
        <v>0.84375</v>
      </c>
      <c r="F1084" s="75">
        <v>0.85069444444444442</v>
      </c>
      <c r="H1084" s="75"/>
      <c r="I1084" s="75"/>
    </row>
    <row r="1085" spans="1:10" x14ac:dyDescent="0.6">
      <c r="A1085" t="s">
        <v>1649</v>
      </c>
      <c r="B1085" s="76" t="s">
        <v>1553</v>
      </c>
      <c r="C1085" t="s">
        <v>1094</v>
      </c>
      <c r="D1085" t="s">
        <v>942</v>
      </c>
      <c r="E1085" s="75">
        <v>0.86805555555555558</v>
      </c>
      <c r="F1085" s="75">
        <v>0.88194444444444442</v>
      </c>
      <c r="H1085" s="75"/>
      <c r="I1085" s="75"/>
    </row>
    <row r="1086" spans="1:10" x14ac:dyDescent="0.6">
      <c r="A1086" t="s">
        <v>1650</v>
      </c>
      <c r="B1086" s="76" t="s">
        <v>1553</v>
      </c>
      <c r="C1086" t="s">
        <v>1094</v>
      </c>
      <c r="D1086" t="s">
        <v>942</v>
      </c>
      <c r="E1086" s="75">
        <v>0.88541666666666663</v>
      </c>
      <c r="F1086" s="75">
        <v>0.89583333333333337</v>
      </c>
      <c r="H1086" s="75"/>
      <c r="I1086" s="75"/>
    </row>
    <row r="1087" spans="1:10" x14ac:dyDescent="0.6">
      <c r="A1087" t="s">
        <v>1650</v>
      </c>
      <c r="B1087" s="76" t="s">
        <v>1553</v>
      </c>
      <c r="C1087" t="s">
        <v>1571</v>
      </c>
      <c r="D1087" t="s">
        <v>1092</v>
      </c>
      <c r="E1087" s="75">
        <v>0.91666666666666663</v>
      </c>
      <c r="F1087" s="75">
        <v>0.93055555555555558</v>
      </c>
      <c r="H1087" s="75"/>
      <c r="I1087" s="75"/>
    </row>
    <row r="1088" spans="1:10" x14ac:dyDescent="0.6">
      <c r="A1088" t="s">
        <v>1650</v>
      </c>
      <c r="B1088" s="76" t="s">
        <v>1553</v>
      </c>
      <c r="C1088" t="s">
        <v>1572</v>
      </c>
      <c r="D1088" t="s">
        <v>1092</v>
      </c>
      <c r="E1088" s="75">
        <v>0.94097222222222221</v>
      </c>
      <c r="F1088" s="75">
        <v>0.95486111111111116</v>
      </c>
      <c r="H1088" s="75"/>
      <c r="I1088" s="75"/>
    </row>
    <row r="1089" spans="1:9" x14ac:dyDescent="0.6">
      <c r="A1089" t="s">
        <v>1650</v>
      </c>
      <c r="B1089" s="76" t="s">
        <v>1553</v>
      </c>
      <c r="C1089" t="s">
        <v>1094</v>
      </c>
      <c r="D1089" t="s">
        <v>942</v>
      </c>
      <c r="E1089" s="75">
        <v>0.97222222222222221</v>
      </c>
      <c r="F1089" s="75">
        <v>0.98611111111111116</v>
      </c>
      <c r="H1089" s="75"/>
      <c r="I1089" s="75"/>
    </row>
    <row r="1090" spans="1:9" x14ac:dyDescent="0.6">
      <c r="A1090" t="s">
        <v>1651</v>
      </c>
      <c r="B1090" s="76">
        <v>1900</v>
      </c>
      <c r="C1090" t="s">
        <v>127</v>
      </c>
      <c r="D1090" t="s">
        <v>137</v>
      </c>
      <c r="E1090" s="75">
        <v>0.86458333333333337</v>
      </c>
      <c r="F1090" s="75">
        <v>0.875</v>
      </c>
      <c r="H1090" s="75"/>
      <c r="I1090" s="75"/>
    </row>
    <row r="1091" spans="1:9" x14ac:dyDescent="0.6">
      <c r="A1091" t="s">
        <v>1651</v>
      </c>
      <c r="B1091" s="76">
        <v>1900</v>
      </c>
      <c r="C1091" t="s">
        <v>94</v>
      </c>
      <c r="D1091" t="s">
        <v>137</v>
      </c>
      <c r="E1091" s="75">
        <v>0.88194444444444442</v>
      </c>
      <c r="F1091" s="75">
        <v>0.88888888888888884</v>
      </c>
      <c r="H1091" s="75"/>
      <c r="I1091" s="75"/>
    </row>
    <row r="1092" spans="1:9" x14ac:dyDescent="0.6">
      <c r="A1092" t="s">
        <v>1651</v>
      </c>
      <c r="B1092" s="76">
        <v>1900</v>
      </c>
      <c r="C1092" t="s">
        <v>1094</v>
      </c>
      <c r="D1092" t="s">
        <v>942</v>
      </c>
      <c r="E1092" s="75">
        <v>0.89583333333333337</v>
      </c>
      <c r="F1092" s="75">
        <v>0.90972222222222221</v>
      </c>
      <c r="H1092" s="75"/>
      <c r="I1092" s="75"/>
    </row>
    <row r="1093" spans="1:9" x14ac:dyDescent="0.6">
      <c r="A1093" t="s">
        <v>1652</v>
      </c>
      <c r="B1093" s="76" t="s">
        <v>1553</v>
      </c>
      <c r="C1093" t="s">
        <v>51</v>
      </c>
      <c r="D1093" t="s">
        <v>137</v>
      </c>
      <c r="E1093" s="75">
        <v>0.83333333333333337</v>
      </c>
      <c r="F1093" s="75">
        <v>0.84375</v>
      </c>
      <c r="H1093" s="75"/>
      <c r="I1093" s="75"/>
    </row>
    <row r="1094" spans="1:9" x14ac:dyDescent="0.6">
      <c r="A1094" t="s">
        <v>1652</v>
      </c>
      <c r="B1094" s="76" t="s">
        <v>1553</v>
      </c>
      <c r="C1094" t="s">
        <v>55</v>
      </c>
      <c r="D1094" t="s">
        <v>137</v>
      </c>
      <c r="E1094" s="75">
        <v>0.85069444444444442</v>
      </c>
      <c r="F1094" s="75">
        <v>0.85763888888888884</v>
      </c>
      <c r="H1094" s="75"/>
      <c r="I1094" s="75"/>
    </row>
    <row r="1095" spans="1:9" x14ac:dyDescent="0.6">
      <c r="A1095" t="s">
        <v>1652</v>
      </c>
      <c r="B1095" s="76" t="s">
        <v>1553</v>
      </c>
      <c r="C1095" t="s">
        <v>1094</v>
      </c>
      <c r="D1095" t="s">
        <v>942</v>
      </c>
      <c r="E1095" s="75">
        <v>0.87152777777777779</v>
      </c>
      <c r="F1095" s="75">
        <v>0.88541666666666663</v>
      </c>
      <c r="H1095" s="75"/>
      <c r="I1095" s="75"/>
    </row>
    <row r="1096" spans="1:9" x14ac:dyDescent="0.6">
      <c r="A1096" t="s">
        <v>1653</v>
      </c>
      <c r="B1096" s="76">
        <v>1900</v>
      </c>
      <c r="C1096" t="s">
        <v>53</v>
      </c>
      <c r="D1096" t="s">
        <v>137</v>
      </c>
      <c r="E1096" s="75">
        <v>0.83333333333333337</v>
      </c>
      <c r="F1096" s="75">
        <v>0.84375</v>
      </c>
      <c r="H1096" s="75"/>
      <c r="I1096" s="75"/>
    </row>
    <row r="1097" spans="1:9" x14ac:dyDescent="0.6">
      <c r="A1097" t="s">
        <v>1653</v>
      </c>
      <c r="B1097" s="76">
        <v>1900</v>
      </c>
      <c r="C1097" t="s">
        <v>1094</v>
      </c>
      <c r="D1097" t="s">
        <v>942</v>
      </c>
      <c r="E1097" s="75">
        <v>0.86805555555555558</v>
      </c>
      <c r="F1097" s="75">
        <v>0.88194444444444442</v>
      </c>
      <c r="H1097" s="75"/>
      <c r="I1097" s="75"/>
    </row>
    <row r="1098" spans="1:9" x14ac:dyDescent="0.6">
      <c r="A1098" t="s">
        <v>1654</v>
      </c>
      <c r="B1098" s="76">
        <v>1900</v>
      </c>
      <c r="C1098" t="s">
        <v>56</v>
      </c>
      <c r="D1098" t="s">
        <v>137</v>
      </c>
      <c r="E1098" s="75">
        <v>0.83333333333333337</v>
      </c>
      <c r="F1098" s="75">
        <v>0.84375</v>
      </c>
      <c r="H1098" s="75"/>
      <c r="I1098" s="75"/>
    </row>
    <row r="1099" spans="1:9" x14ac:dyDescent="0.6">
      <c r="A1099" t="s">
        <v>1654</v>
      </c>
      <c r="B1099" s="76">
        <v>1900</v>
      </c>
      <c r="C1099" t="s">
        <v>1094</v>
      </c>
      <c r="D1099" t="s">
        <v>942</v>
      </c>
      <c r="E1099" s="75">
        <v>0.86111111111111116</v>
      </c>
      <c r="F1099" s="75">
        <v>0.875</v>
      </c>
      <c r="H1099" s="75"/>
      <c r="I1099" s="75"/>
    </row>
    <row r="1100" spans="1:9" x14ac:dyDescent="0.6">
      <c r="A1100" t="s">
        <v>1655</v>
      </c>
      <c r="B1100" s="76">
        <v>1900</v>
      </c>
      <c r="C1100" t="s">
        <v>92</v>
      </c>
      <c r="D1100" t="s">
        <v>137</v>
      </c>
      <c r="E1100" s="75">
        <v>0.84375</v>
      </c>
      <c r="F1100" s="75">
        <v>0.85416666666666663</v>
      </c>
      <c r="H1100" s="75"/>
      <c r="I1100" s="75"/>
    </row>
    <row r="1101" spans="1:9" x14ac:dyDescent="0.6">
      <c r="A1101" t="s">
        <v>1655</v>
      </c>
      <c r="B1101" s="76">
        <v>1900</v>
      </c>
      <c r="C1101" t="s">
        <v>1094</v>
      </c>
      <c r="D1101" t="s">
        <v>942</v>
      </c>
      <c r="E1101" s="75">
        <v>0.86111111111111116</v>
      </c>
      <c r="F1101" s="75">
        <v>0.875</v>
      </c>
      <c r="H1101" s="75"/>
      <c r="I1101" s="75"/>
    </row>
    <row r="1102" spans="1:9" x14ac:dyDescent="0.6">
      <c r="A1102" t="s">
        <v>1656</v>
      </c>
      <c r="B1102" s="76">
        <v>1900</v>
      </c>
      <c r="C1102" t="s">
        <v>100</v>
      </c>
      <c r="D1102" t="s">
        <v>137</v>
      </c>
      <c r="E1102" s="75">
        <v>0.86458333333333337</v>
      </c>
      <c r="F1102" s="75">
        <v>0.87152777777777779</v>
      </c>
      <c r="H1102" s="75"/>
      <c r="I1102" s="75"/>
    </row>
    <row r="1103" spans="1:9" x14ac:dyDescent="0.6">
      <c r="A1103" t="s">
        <v>1656</v>
      </c>
      <c r="B1103" s="76">
        <v>1900</v>
      </c>
      <c r="C1103" t="s">
        <v>128</v>
      </c>
      <c r="D1103" t="s">
        <v>137</v>
      </c>
      <c r="E1103" s="75">
        <v>0.88194444444444442</v>
      </c>
      <c r="F1103" s="75">
        <v>0.88888888888888884</v>
      </c>
      <c r="H1103" s="75"/>
      <c r="I1103" s="75"/>
    </row>
    <row r="1104" spans="1:9" x14ac:dyDescent="0.6">
      <c r="A1104" t="s">
        <v>1656</v>
      </c>
      <c r="B1104" s="76">
        <v>1900</v>
      </c>
      <c r="C1104" t="s">
        <v>1094</v>
      </c>
      <c r="D1104" t="s">
        <v>942</v>
      </c>
      <c r="E1104" s="75">
        <v>0.90625</v>
      </c>
      <c r="F1104" s="75">
        <v>0.92013888888888884</v>
      </c>
      <c r="H1104" s="75"/>
      <c r="I1104" s="75"/>
    </row>
    <row r="1105" spans="1:9" x14ac:dyDescent="0.6">
      <c r="A1105" t="s">
        <v>1657</v>
      </c>
      <c r="B1105" s="76">
        <v>1900</v>
      </c>
      <c r="C1105" t="s">
        <v>52</v>
      </c>
      <c r="D1105" t="s">
        <v>137</v>
      </c>
      <c r="E1105" s="75">
        <v>0.84722222222222221</v>
      </c>
      <c r="F1105" s="75">
        <v>0.85763888888888884</v>
      </c>
      <c r="H1105" s="75"/>
      <c r="I1105" s="75"/>
    </row>
    <row r="1106" spans="1:9" x14ac:dyDescent="0.6">
      <c r="A1106" t="s">
        <v>1657</v>
      </c>
      <c r="B1106" s="76">
        <v>1900</v>
      </c>
      <c r="C1106" t="s">
        <v>54</v>
      </c>
      <c r="D1106" t="s">
        <v>137</v>
      </c>
      <c r="E1106" s="75">
        <v>0.86458333333333337</v>
      </c>
      <c r="F1106" s="75">
        <v>0.875</v>
      </c>
      <c r="H1106" s="75"/>
      <c r="I1106" s="75"/>
    </row>
    <row r="1107" spans="1:9" x14ac:dyDescent="0.6">
      <c r="A1107" t="s">
        <v>1657</v>
      </c>
      <c r="B1107" s="76">
        <v>1900</v>
      </c>
      <c r="C1107" t="s">
        <v>1094</v>
      </c>
      <c r="D1107" t="s">
        <v>942</v>
      </c>
      <c r="E1107" s="75">
        <v>0.89583333333333337</v>
      </c>
      <c r="F1107" s="75">
        <v>0.90972222222222221</v>
      </c>
      <c r="H1107" s="75"/>
      <c r="I1107" s="75"/>
    </row>
    <row r="1108" spans="1:9" x14ac:dyDescent="0.6">
      <c r="A1108" t="s">
        <v>1658</v>
      </c>
      <c r="B1108" s="76">
        <v>1900</v>
      </c>
      <c r="C1108" t="s">
        <v>30</v>
      </c>
      <c r="D1108" t="s">
        <v>137</v>
      </c>
      <c r="E1108" s="75">
        <v>0.81944444444444442</v>
      </c>
      <c r="F1108" s="75">
        <v>0.82638888888888884</v>
      </c>
      <c r="H1108" s="75"/>
      <c r="I1108" s="75"/>
    </row>
    <row r="1109" spans="1:9" x14ac:dyDescent="0.6">
      <c r="A1109" t="s">
        <v>1658</v>
      </c>
      <c r="B1109" s="76">
        <v>1900</v>
      </c>
      <c r="C1109" t="s">
        <v>29</v>
      </c>
      <c r="D1109" t="s">
        <v>137</v>
      </c>
      <c r="E1109" s="75">
        <v>0.84027777777777779</v>
      </c>
      <c r="F1109" s="75">
        <v>0.84722222222222221</v>
      </c>
      <c r="H1109" s="75"/>
      <c r="I1109" s="75"/>
    </row>
    <row r="1110" spans="1:9" x14ac:dyDescent="0.6">
      <c r="A1110" t="s">
        <v>1658</v>
      </c>
      <c r="B1110" s="76">
        <v>1900</v>
      </c>
      <c r="C1110" t="s">
        <v>1094</v>
      </c>
      <c r="D1110" t="s">
        <v>942</v>
      </c>
      <c r="E1110" s="75">
        <v>0.88888888888888884</v>
      </c>
      <c r="F1110" s="75">
        <v>0.90277777777777779</v>
      </c>
      <c r="H1110" s="75"/>
      <c r="I1110" s="75"/>
    </row>
    <row r="1111" spans="1:9" x14ac:dyDescent="0.6">
      <c r="A1111" t="s">
        <v>1659</v>
      </c>
      <c r="B1111" s="76">
        <v>1900</v>
      </c>
      <c r="C1111" t="s">
        <v>34</v>
      </c>
      <c r="D1111" t="s">
        <v>137</v>
      </c>
      <c r="E1111" s="75">
        <v>0.85416666666666663</v>
      </c>
      <c r="F1111" s="75">
        <v>0.86458333333333337</v>
      </c>
      <c r="H1111" s="75"/>
      <c r="I1111" s="75"/>
    </row>
    <row r="1112" spans="1:9" x14ac:dyDescent="0.6">
      <c r="A1112" t="s">
        <v>1659</v>
      </c>
      <c r="B1112" s="76">
        <v>1900</v>
      </c>
      <c r="C1112" t="s">
        <v>1094</v>
      </c>
      <c r="D1112" t="s">
        <v>942</v>
      </c>
      <c r="E1112" s="75">
        <v>0.88541666666666663</v>
      </c>
      <c r="F1112" s="75">
        <v>0.89930555555555558</v>
      </c>
      <c r="H1112" s="75"/>
      <c r="I1112" s="75"/>
    </row>
    <row r="1113" spans="1:9" x14ac:dyDescent="0.6">
      <c r="A1113" t="s">
        <v>1660</v>
      </c>
      <c r="B1113" s="76">
        <v>1900</v>
      </c>
      <c r="C1113" t="s">
        <v>31</v>
      </c>
      <c r="D1113" t="s">
        <v>137</v>
      </c>
      <c r="E1113" s="75">
        <v>0.82291666666666663</v>
      </c>
      <c r="F1113" s="75">
        <v>0.83333333333333337</v>
      </c>
      <c r="H1113" s="75"/>
      <c r="I1113" s="75"/>
    </row>
    <row r="1114" spans="1:9" x14ac:dyDescent="0.6">
      <c r="A1114" t="s">
        <v>1660</v>
      </c>
      <c r="B1114" s="76">
        <v>1900</v>
      </c>
      <c r="C1114" t="s">
        <v>1094</v>
      </c>
      <c r="D1114" t="s">
        <v>942</v>
      </c>
      <c r="E1114" s="75">
        <v>0.84375</v>
      </c>
      <c r="F1114" s="75">
        <v>0.85763888888888884</v>
      </c>
      <c r="H1114" s="75"/>
      <c r="I1114" s="75"/>
    </row>
    <row r="1115" spans="1:9" x14ac:dyDescent="0.6">
      <c r="A1115" t="s">
        <v>1661</v>
      </c>
      <c r="B1115" s="76">
        <v>1900</v>
      </c>
      <c r="C1115" t="s">
        <v>32</v>
      </c>
      <c r="D1115" t="s">
        <v>137</v>
      </c>
      <c r="E1115" s="75">
        <v>0.8125</v>
      </c>
      <c r="F1115" s="75">
        <v>0.82291666666666663</v>
      </c>
      <c r="H1115" s="75"/>
      <c r="I1115" s="75"/>
    </row>
    <row r="1116" spans="1:9" x14ac:dyDescent="0.6">
      <c r="A1116" t="s">
        <v>1661</v>
      </c>
      <c r="B1116" s="76">
        <v>1900</v>
      </c>
      <c r="C1116" t="s">
        <v>33</v>
      </c>
      <c r="D1116" t="s">
        <v>137</v>
      </c>
      <c r="E1116" s="75">
        <v>0.83333333333333337</v>
      </c>
      <c r="F1116" s="75">
        <v>0.84027777777777779</v>
      </c>
      <c r="H1116" s="75"/>
      <c r="I1116" s="75"/>
    </row>
    <row r="1117" spans="1:9" x14ac:dyDescent="0.6">
      <c r="A1117" t="s">
        <v>1661</v>
      </c>
      <c r="B1117" s="76">
        <v>1900</v>
      </c>
      <c r="C1117" t="s">
        <v>1094</v>
      </c>
      <c r="D1117" t="s">
        <v>942</v>
      </c>
      <c r="E1117" s="75">
        <v>0.85069444444444442</v>
      </c>
      <c r="F1117" s="75">
        <v>0.86458333333333337</v>
      </c>
      <c r="H1117" s="75"/>
      <c r="I1117" s="75"/>
    </row>
    <row r="1118" spans="1:9" x14ac:dyDescent="0.6">
      <c r="A1118" t="s">
        <v>1662</v>
      </c>
      <c r="B1118" s="76">
        <v>1900</v>
      </c>
      <c r="C1118" t="s">
        <v>21</v>
      </c>
      <c r="D1118" t="s">
        <v>137</v>
      </c>
      <c r="E1118" s="75">
        <v>0.85416666666666663</v>
      </c>
      <c r="F1118" s="75">
        <v>0.86458333333333337</v>
      </c>
      <c r="H1118" s="75"/>
      <c r="I1118" s="75"/>
    </row>
    <row r="1119" spans="1:9" x14ac:dyDescent="0.6">
      <c r="A1119" t="s">
        <v>1662</v>
      </c>
      <c r="B1119" s="76">
        <v>1900</v>
      </c>
      <c r="C1119" t="s">
        <v>1094</v>
      </c>
      <c r="D1119" t="s">
        <v>942</v>
      </c>
      <c r="E1119" s="75">
        <v>0.875</v>
      </c>
      <c r="F1119" s="75">
        <v>0.88888888888888884</v>
      </c>
      <c r="H1119" s="75"/>
      <c r="I1119" s="75"/>
    </row>
    <row r="1120" spans="1:9" x14ac:dyDescent="0.6">
      <c r="A1120" t="s">
        <v>1663</v>
      </c>
      <c r="B1120" s="76">
        <v>1900</v>
      </c>
      <c r="C1120" t="s">
        <v>73</v>
      </c>
      <c r="D1120" t="s">
        <v>137</v>
      </c>
      <c r="E1120" s="75">
        <v>0.875</v>
      </c>
      <c r="F1120" s="75">
        <v>0.88541666666666663</v>
      </c>
      <c r="H1120" s="75"/>
      <c r="I1120" s="75"/>
    </row>
    <row r="1121" spans="1:10" x14ac:dyDescent="0.6">
      <c r="A1121" t="s">
        <v>1663</v>
      </c>
      <c r="B1121" s="76">
        <v>1900</v>
      </c>
      <c r="C1121" t="s">
        <v>1094</v>
      </c>
      <c r="D1121" t="s">
        <v>942</v>
      </c>
      <c r="E1121" s="75">
        <v>0.91319444444444442</v>
      </c>
      <c r="F1121" s="75">
        <v>0.92708333333333337</v>
      </c>
      <c r="H1121" s="75"/>
      <c r="I1121" s="75"/>
    </row>
    <row r="1122" spans="1:10" x14ac:dyDescent="0.6">
      <c r="A1122" t="s">
        <v>1664</v>
      </c>
      <c r="B1122" s="76">
        <v>1900</v>
      </c>
      <c r="C1122" t="s">
        <v>133</v>
      </c>
      <c r="D1122" t="s">
        <v>137</v>
      </c>
      <c r="E1122" s="75">
        <v>0.85416666666666663</v>
      </c>
      <c r="F1122" s="75">
        <v>0.86458333333333337</v>
      </c>
      <c r="H1122" s="75"/>
      <c r="I1122" s="75"/>
    </row>
    <row r="1123" spans="1:10" x14ac:dyDescent="0.6">
      <c r="A1123" t="s">
        <v>1664</v>
      </c>
      <c r="B1123" s="76">
        <v>1900</v>
      </c>
      <c r="C1123" t="s">
        <v>1094</v>
      </c>
      <c r="D1123" t="s">
        <v>942</v>
      </c>
      <c r="E1123" s="75">
        <v>0.90625</v>
      </c>
      <c r="F1123" s="75">
        <v>0.92013888888888884</v>
      </c>
      <c r="H1123" s="75"/>
      <c r="I1123" s="75"/>
    </row>
    <row r="1124" spans="1:10" x14ac:dyDescent="0.6">
      <c r="A1124" t="s">
        <v>1665</v>
      </c>
      <c r="B1124" s="76">
        <v>1900</v>
      </c>
      <c r="C1124" t="s">
        <v>46</v>
      </c>
      <c r="D1124" t="s">
        <v>137</v>
      </c>
      <c r="E1124" s="75">
        <v>0.875</v>
      </c>
      <c r="F1124" s="75">
        <v>0.88194444444444442</v>
      </c>
      <c r="H1124" s="75"/>
      <c r="I1124" s="75"/>
    </row>
    <row r="1125" spans="1:10" x14ac:dyDescent="0.6">
      <c r="A1125" t="s">
        <v>1665</v>
      </c>
      <c r="B1125" s="76">
        <v>1900</v>
      </c>
      <c r="C1125" t="s">
        <v>45</v>
      </c>
      <c r="D1125" t="s">
        <v>137</v>
      </c>
      <c r="E1125" s="75">
        <v>0.88888888888888884</v>
      </c>
      <c r="F1125" s="75">
        <v>0.89583333333333337</v>
      </c>
      <c r="H1125" s="75"/>
      <c r="I1125" s="75"/>
    </row>
    <row r="1126" spans="1:10" x14ac:dyDescent="0.6">
      <c r="A1126" t="s">
        <v>1665</v>
      </c>
      <c r="B1126" s="76">
        <v>1900</v>
      </c>
      <c r="C1126" t="s">
        <v>1094</v>
      </c>
      <c r="D1126" t="s">
        <v>942</v>
      </c>
      <c r="E1126" s="75">
        <v>0.91666666666666663</v>
      </c>
      <c r="F1126" s="75">
        <v>0.93055555555555558</v>
      </c>
      <c r="H1126" s="75"/>
      <c r="I1126" s="75"/>
    </row>
    <row r="1127" spans="1:10" x14ac:dyDescent="0.6">
      <c r="A1127" t="s">
        <v>1666</v>
      </c>
      <c r="B1127" s="76">
        <v>1900</v>
      </c>
      <c r="C1127" t="s">
        <v>1667</v>
      </c>
      <c r="D1127" t="s">
        <v>137</v>
      </c>
      <c r="E1127" s="75">
        <v>0.83333333333333337</v>
      </c>
      <c r="F1127" s="75">
        <v>0.84027777777777779</v>
      </c>
      <c r="H1127" s="75"/>
      <c r="I1127" s="75"/>
    </row>
    <row r="1128" spans="1:10" x14ac:dyDescent="0.6">
      <c r="A1128" t="s">
        <v>1666</v>
      </c>
      <c r="B1128" s="76">
        <v>1900</v>
      </c>
      <c r="C1128" t="s">
        <v>36</v>
      </c>
      <c r="D1128" t="s">
        <v>137</v>
      </c>
      <c r="E1128" s="75">
        <v>0.84722222222222221</v>
      </c>
      <c r="F1128" s="75">
        <v>0.85416666666666663</v>
      </c>
      <c r="H1128" s="75"/>
      <c r="I1128" s="75"/>
    </row>
    <row r="1129" spans="1:10" x14ac:dyDescent="0.6">
      <c r="A1129" t="s">
        <v>1666</v>
      </c>
      <c r="B1129" s="76">
        <v>1900</v>
      </c>
      <c r="C1129" t="s">
        <v>946</v>
      </c>
      <c r="D1129" t="s">
        <v>137</v>
      </c>
      <c r="E1129" s="75">
        <v>0.84722222222222221</v>
      </c>
      <c r="F1129" s="75">
        <v>0.85416666666666663</v>
      </c>
      <c r="H1129" s="75"/>
      <c r="I1129" s="75"/>
      <c r="J1129" t="s">
        <v>947</v>
      </c>
    </row>
    <row r="1130" spans="1:10" x14ac:dyDescent="0.6">
      <c r="A1130" t="s">
        <v>1666</v>
      </c>
      <c r="B1130" s="76">
        <v>1900</v>
      </c>
      <c r="C1130" t="s">
        <v>37</v>
      </c>
      <c r="D1130" t="s">
        <v>137</v>
      </c>
      <c r="E1130" s="75">
        <v>0.87152777777777779</v>
      </c>
      <c r="F1130" s="75">
        <v>0.87847222222222221</v>
      </c>
      <c r="H1130" s="75"/>
      <c r="I1130" s="75"/>
    </row>
    <row r="1131" spans="1:10" x14ac:dyDescent="0.6">
      <c r="A1131" t="s">
        <v>1666</v>
      </c>
      <c r="B1131" s="76">
        <v>1900</v>
      </c>
      <c r="C1131" t="s">
        <v>1094</v>
      </c>
      <c r="D1131" t="s">
        <v>942</v>
      </c>
      <c r="E1131" s="75">
        <v>0.92013888888888884</v>
      </c>
      <c r="F1131" s="75">
        <v>0.93402777777777779</v>
      </c>
      <c r="H1131" s="75"/>
      <c r="I1131" s="75"/>
    </row>
    <row r="1132" spans="1:10" x14ac:dyDescent="0.6">
      <c r="A1132" t="s">
        <v>1668</v>
      </c>
      <c r="B1132" s="76">
        <v>1900</v>
      </c>
      <c r="C1132" t="s">
        <v>1541</v>
      </c>
      <c r="D1132" t="s">
        <v>137</v>
      </c>
      <c r="E1132" s="75">
        <v>0.82291666666666663</v>
      </c>
      <c r="F1132" s="75">
        <v>0.82986111111111116</v>
      </c>
      <c r="H1132" s="75"/>
      <c r="I1132" s="75"/>
    </row>
    <row r="1133" spans="1:10" x14ac:dyDescent="0.6">
      <c r="A1133" t="s">
        <v>1668</v>
      </c>
      <c r="B1133" s="76">
        <v>1900</v>
      </c>
      <c r="C1133" t="s">
        <v>27</v>
      </c>
      <c r="D1133" t="s">
        <v>137</v>
      </c>
      <c r="E1133" s="75">
        <v>0.84375</v>
      </c>
      <c r="F1133" s="75">
        <v>0.85069444444444442</v>
      </c>
      <c r="H1133" s="75"/>
      <c r="I1133" s="75"/>
    </row>
    <row r="1134" spans="1:10" x14ac:dyDescent="0.6">
      <c r="A1134" t="s">
        <v>1668</v>
      </c>
      <c r="B1134" s="76">
        <v>1900</v>
      </c>
      <c r="C1134" t="s">
        <v>1094</v>
      </c>
      <c r="D1134" t="s">
        <v>942</v>
      </c>
      <c r="E1134" s="75">
        <v>0.89236111111111116</v>
      </c>
      <c r="F1134" s="75">
        <v>0.90625</v>
      </c>
      <c r="H1134" s="75"/>
      <c r="I1134" s="75"/>
    </row>
    <row r="1135" spans="1:10" x14ac:dyDescent="0.6">
      <c r="A1135" t="s">
        <v>1669</v>
      </c>
      <c r="B1135" s="76" t="s">
        <v>1553</v>
      </c>
      <c r="C1135" t="s">
        <v>123</v>
      </c>
      <c r="D1135" t="s">
        <v>137</v>
      </c>
      <c r="E1135" s="75">
        <v>0.86458333333333337</v>
      </c>
      <c r="F1135" s="75">
        <v>0.87152777777777779</v>
      </c>
      <c r="H1135" s="75"/>
      <c r="I1135" s="75"/>
    </row>
    <row r="1136" spans="1:10" x14ac:dyDescent="0.6">
      <c r="A1136" t="s">
        <v>1669</v>
      </c>
      <c r="B1136" s="76" t="s">
        <v>1553</v>
      </c>
      <c r="C1136" t="s">
        <v>121</v>
      </c>
      <c r="D1136" t="s">
        <v>137</v>
      </c>
      <c r="E1136" s="75">
        <v>0.87847222222222221</v>
      </c>
      <c r="F1136" s="75">
        <v>0.88541666666666663</v>
      </c>
      <c r="H1136" s="75"/>
      <c r="I1136" s="75"/>
    </row>
    <row r="1137" spans="1:9" x14ac:dyDescent="0.6">
      <c r="A1137" t="s">
        <v>1669</v>
      </c>
      <c r="B1137" s="76" t="s">
        <v>1553</v>
      </c>
      <c r="C1137" t="s">
        <v>1094</v>
      </c>
      <c r="D1137" t="s">
        <v>942</v>
      </c>
      <c r="E1137" s="75">
        <v>0.89583333333333337</v>
      </c>
      <c r="F1137" s="75">
        <v>0.90972222222222221</v>
      </c>
      <c r="H1137" s="75"/>
      <c r="I1137" s="75"/>
    </row>
    <row r="1138" spans="1:9" x14ac:dyDescent="0.6">
      <c r="A1138" t="s">
        <v>1670</v>
      </c>
      <c r="B1138" s="76" t="s">
        <v>1553</v>
      </c>
      <c r="C1138" t="s">
        <v>117</v>
      </c>
      <c r="D1138" t="s">
        <v>137</v>
      </c>
      <c r="E1138" s="75">
        <v>0.83333333333333337</v>
      </c>
      <c r="F1138" s="75">
        <v>0.84027777777777779</v>
      </c>
      <c r="H1138" s="75"/>
      <c r="I1138" s="75"/>
    </row>
    <row r="1139" spans="1:9" x14ac:dyDescent="0.6">
      <c r="A1139" t="s">
        <v>1670</v>
      </c>
      <c r="B1139" s="76" t="s">
        <v>1553</v>
      </c>
      <c r="C1139" t="s">
        <v>120</v>
      </c>
      <c r="D1139" t="s">
        <v>137</v>
      </c>
      <c r="E1139" s="75">
        <v>0.84722222222222221</v>
      </c>
      <c r="F1139" s="75">
        <v>0.85416666666666663</v>
      </c>
      <c r="H1139" s="75"/>
      <c r="I1139" s="75"/>
    </row>
    <row r="1140" spans="1:9" x14ac:dyDescent="0.6">
      <c r="A1140" t="s">
        <v>1670</v>
      </c>
      <c r="B1140" s="76" t="s">
        <v>1553</v>
      </c>
      <c r="C1140" t="s">
        <v>1094</v>
      </c>
      <c r="D1140" t="s">
        <v>942</v>
      </c>
      <c r="E1140" s="75">
        <v>0.86458333333333337</v>
      </c>
      <c r="F1140" s="75">
        <v>0.87847222222222221</v>
      </c>
      <c r="H1140" s="75"/>
      <c r="I1140" s="75"/>
    </row>
    <row r="1141" spans="1:9" x14ac:dyDescent="0.6">
      <c r="A1141" t="s">
        <v>1671</v>
      </c>
      <c r="B1141" s="76">
        <v>1900</v>
      </c>
      <c r="C1141" t="s">
        <v>113</v>
      </c>
      <c r="D1141" t="s">
        <v>137</v>
      </c>
      <c r="E1141" s="75">
        <v>0.86458333333333337</v>
      </c>
      <c r="F1141" s="75">
        <v>0.87152777777777779</v>
      </c>
      <c r="H1141" s="75"/>
      <c r="I1141" s="75"/>
    </row>
    <row r="1142" spans="1:9" x14ac:dyDescent="0.6">
      <c r="A1142" t="s">
        <v>1671</v>
      </c>
      <c r="B1142" s="76">
        <v>1900</v>
      </c>
      <c r="C1142" t="s">
        <v>109</v>
      </c>
      <c r="D1142" t="s">
        <v>137</v>
      </c>
      <c r="E1142" s="75">
        <v>0.87847222222222221</v>
      </c>
      <c r="F1142" s="75">
        <v>0.88541666666666663</v>
      </c>
      <c r="H1142" s="75"/>
      <c r="I1142" s="75"/>
    </row>
    <row r="1143" spans="1:9" x14ac:dyDescent="0.6">
      <c r="A1143" t="s">
        <v>1671</v>
      </c>
      <c r="B1143" s="76">
        <v>1900</v>
      </c>
      <c r="C1143" t="s">
        <v>1094</v>
      </c>
      <c r="D1143" t="s">
        <v>942</v>
      </c>
      <c r="E1143" s="75">
        <v>0.90625</v>
      </c>
      <c r="F1143" s="75">
        <v>0.92013888888888884</v>
      </c>
      <c r="H1143" s="75"/>
      <c r="I1143" s="75"/>
    </row>
    <row r="1144" spans="1:9" x14ac:dyDescent="0.6">
      <c r="A1144" t="s">
        <v>1672</v>
      </c>
      <c r="B1144" s="76" t="s">
        <v>1553</v>
      </c>
      <c r="C1144" t="s">
        <v>111</v>
      </c>
      <c r="D1144" t="s">
        <v>137</v>
      </c>
      <c r="E1144" s="75">
        <v>0.85069444444444442</v>
      </c>
      <c r="F1144" s="75">
        <v>0.85763888888888884</v>
      </c>
      <c r="H1144" s="75"/>
      <c r="I1144" s="75"/>
    </row>
    <row r="1145" spans="1:9" x14ac:dyDescent="0.6">
      <c r="A1145" t="s">
        <v>1672</v>
      </c>
      <c r="B1145" s="76" t="s">
        <v>1553</v>
      </c>
      <c r="C1145" t="s">
        <v>110</v>
      </c>
      <c r="D1145" t="s">
        <v>137</v>
      </c>
      <c r="E1145" s="75">
        <v>0.86458333333333337</v>
      </c>
      <c r="F1145" s="75">
        <v>0.87152777777777779</v>
      </c>
      <c r="H1145" s="75"/>
      <c r="I1145" s="75"/>
    </row>
    <row r="1146" spans="1:9" x14ac:dyDescent="0.6">
      <c r="A1146" t="s">
        <v>1672</v>
      </c>
      <c r="B1146" s="76" t="s">
        <v>1553</v>
      </c>
      <c r="C1146" t="s">
        <v>1094</v>
      </c>
      <c r="D1146" t="s">
        <v>942</v>
      </c>
      <c r="E1146" s="75">
        <v>0.89236111111111116</v>
      </c>
      <c r="F1146" s="75">
        <v>0.90625</v>
      </c>
      <c r="H1146" s="75"/>
      <c r="I1146" s="75"/>
    </row>
    <row r="1147" spans="1:9" x14ac:dyDescent="0.6">
      <c r="A1147" t="s">
        <v>1673</v>
      </c>
      <c r="B1147" s="76" t="s">
        <v>1553</v>
      </c>
      <c r="C1147" t="s">
        <v>65</v>
      </c>
      <c r="D1147" t="s">
        <v>137</v>
      </c>
      <c r="E1147" s="75">
        <v>0.83333333333333337</v>
      </c>
      <c r="F1147" s="75">
        <v>0.84027777777777779</v>
      </c>
      <c r="H1147" s="75"/>
      <c r="I1147" s="75"/>
    </row>
    <row r="1148" spans="1:9" x14ac:dyDescent="0.6">
      <c r="A1148" t="s">
        <v>1673</v>
      </c>
      <c r="B1148" s="76" t="s">
        <v>1553</v>
      </c>
      <c r="C1148" t="s">
        <v>128</v>
      </c>
      <c r="D1148" t="s">
        <v>137</v>
      </c>
      <c r="E1148" s="75">
        <v>0.85416666666666663</v>
      </c>
      <c r="F1148" s="75">
        <v>0.86111111111111116</v>
      </c>
      <c r="H1148" s="75"/>
      <c r="I1148" s="75"/>
    </row>
    <row r="1149" spans="1:9" x14ac:dyDescent="0.6">
      <c r="A1149" t="s">
        <v>1673</v>
      </c>
      <c r="B1149" s="76" t="s">
        <v>1553</v>
      </c>
      <c r="C1149" t="s">
        <v>1094</v>
      </c>
      <c r="D1149" t="s">
        <v>942</v>
      </c>
      <c r="E1149" s="75">
        <v>0.87847222222222221</v>
      </c>
      <c r="F1149" s="75">
        <v>0.89236111111111116</v>
      </c>
      <c r="H1149" s="75"/>
      <c r="I1149" s="75"/>
    </row>
    <row r="1150" spans="1:9" x14ac:dyDescent="0.6">
      <c r="A1150" t="s">
        <v>1674</v>
      </c>
      <c r="B1150" s="76" t="s">
        <v>1553</v>
      </c>
      <c r="C1150" t="s">
        <v>71</v>
      </c>
      <c r="D1150" t="s">
        <v>137</v>
      </c>
      <c r="E1150" s="75">
        <v>0.85416666666666663</v>
      </c>
      <c r="F1150" s="75">
        <v>0.86111111111111116</v>
      </c>
      <c r="H1150" s="75"/>
      <c r="I1150" s="75"/>
    </row>
    <row r="1151" spans="1:9" x14ac:dyDescent="0.6">
      <c r="A1151" t="s">
        <v>1674</v>
      </c>
      <c r="B1151" s="76" t="s">
        <v>1553</v>
      </c>
      <c r="C1151" t="s">
        <v>43</v>
      </c>
      <c r="D1151" t="s">
        <v>137</v>
      </c>
      <c r="E1151" s="75">
        <v>0.86805555555555558</v>
      </c>
      <c r="F1151" s="75">
        <v>0.875</v>
      </c>
      <c r="H1151" s="75"/>
      <c r="I1151" s="75"/>
    </row>
    <row r="1152" spans="1:9" x14ac:dyDescent="0.6">
      <c r="A1152" t="s">
        <v>1674</v>
      </c>
      <c r="B1152" s="76" t="s">
        <v>1553</v>
      </c>
      <c r="C1152" t="s">
        <v>1094</v>
      </c>
      <c r="D1152" t="s">
        <v>942</v>
      </c>
      <c r="E1152" s="75">
        <v>0.90277777777777779</v>
      </c>
      <c r="F1152" s="75">
        <v>0.91666666666666663</v>
      </c>
      <c r="H1152" s="75"/>
      <c r="I1152" s="75"/>
    </row>
    <row r="1153" spans="1:9" x14ac:dyDescent="0.6">
      <c r="A1153" t="s">
        <v>1675</v>
      </c>
      <c r="B1153" s="76" t="s">
        <v>1553</v>
      </c>
      <c r="C1153" t="s">
        <v>82</v>
      </c>
      <c r="D1153" t="s">
        <v>137</v>
      </c>
      <c r="E1153" s="75">
        <v>0.86458333333333337</v>
      </c>
      <c r="F1153" s="75">
        <v>0.87152777777777779</v>
      </c>
      <c r="H1153" s="75"/>
      <c r="I1153" s="75"/>
    </row>
    <row r="1154" spans="1:9" x14ac:dyDescent="0.6">
      <c r="A1154" t="s">
        <v>1675</v>
      </c>
      <c r="B1154" s="76" t="s">
        <v>1553</v>
      </c>
      <c r="C1154" t="s">
        <v>80</v>
      </c>
      <c r="D1154" t="s">
        <v>137</v>
      </c>
      <c r="E1154" s="75">
        <v>0.87847222222222221</v>
      </c>
      <c r="F1154" s="75">
        <v>0.88541666666666663</v>
      </c>
      <c r="H1154" s="75"/>
      <c r="I1154" s="75"/>
    </row>
    <row r="1155" spans="1:9" x14ac:dyDescent="0.6">
      <c r="A1155" t="s">
        <v>1675</v>
      </c>
      <c r="B1155" s="76" t="s">
        <v>1553</v>
      </c>
      <c r="C1155" t="s">
        <v>1094</v>
      </c>
      <c r="D1155" t="s">
        <v>942</v>
      </c>
      <c r="E1155" s="75">
        <v>0.90972222222222221</v>
      </c>
      <c r="F1155" s="75">
        <v>0.92361111111111116</v>
      </c>
      <c r="H1155" s="75"/>
      <c r="I1155" s="75"/>
    </row>
    <row r="1156" spans="1:9" x14ac:dyDescent="0.6">
      <c r="A1156" t="s">
        <v>1676</v>
      </c>
      <c r="B1156" s="76" t="s">
        <v>1553</v>
      </c>
      <c r="C1156" t="s">
        <v>102</v>
      </c>
      <c r="D1156" t="s">
        <v>137</v>
      </c>
      <c r="E1156" s="75">
        <v>0.84027777777777779</v>
      </c>
      <c r="F1156" s="75">
        <v>0.84722222222222221</v>
      </c>
      <c r="H1156" s="75"/>
      <c r="I1156" s="75"/>
    </row>
    <row r="1157" spans="1:9" x14ac:dyDescent="0.6">
      <c r="A1157" t="s">
        <v>1676</v>
      </c>
      <c r="B1157" s="76" t="s">
        <v>1553</v>
      </c>
      <c r="C1157" t="s">
        <v>122</v>
      </c>
      <c r="D1157" t="s">
        <v>137</v>
      </c>
      <c r="E1157" s="75">
        <v>0.86458333333333337</v>
      </c>
      <c r="F1157" s="75">
        <v>0.87152777777777779</v>
      </c>
      <c r="H1157" s="75"/>
      <c r="I1157" s="75"/>
    </row>
    <row r="1158" spans="1:9" x14ac:dyDescent="0.6">
      <c r="A1158" t="s">
        <v>1676</v>
      </c>
      <c r="B1158" s="76" t="s">
        <v>1553</v>
      </c>
      <c r="C1158" t="s">
        <v>1094</v>
      </c>
      <c r="D1158" t="s">
        <v>942</v>
      </c>
      <c r="E1158" s="75">
        <v>0.88194444444444442</v>
      </c>
      <c r="F1158" s="75">
        <v>0.89583333333333337</v>
      </c>
      <c r="H1158" s="75"/>
      <c r="I1158" s="75"/>
    </row>
    <row r="1159" spans="1:9" x14ac:dyDescent="0.6">
      <c r="A1159" t="s">
        <v>1677</v>
      </c>
      <c r="B1159" s="76" t="s">
        <v>1553</v>
      </c>
      <c r="C1159" t="s">
        <v>103</v>
      </c>
      <c r="D1159" t="s">
        <v>137</v>
      </c>
      <c r="E1159" s="75">
        <v>0.85763888888888884</v>
      </c>
      <c r="F1159" s="75">
        <v>0.86458333333333337</v>
      </c>
      <c r="H1159" s="75"/>
      <c r="I1159" s="75"/>
    </row>
    <row r="1160" spans="1:9" x14ac:dyDescent="0.6">
      <c r="A1160" t="s">
        <v>1677</v>
      </c>
      <c r="B1160" s="76" t="s">
        <v>1553</v>
      </c>
      <c r="C1160" t="s">
        <v>104</v>
      </c>
      <c r="D1160" t="s">
        <v>137</v>
      </c>
      <c r="E1160" s="75">
        <v>0.87152777777777779</v>
      </c>
      <c r="F1160" s="75">
        <v>0.87847222222222221</v>
      </c>
      <c r="H1160" s="75"/>
      <c r="I1160" s="75"/>
    </row>
    <row r="1161" spans="1:9" x14ac:dyDescent="0.6">
      <c r="A1161" t="s">
        <v>1677</v>
      </c>
      <c r="B1161" s="76" t="s">
        <v>1553</v>
      </c>
      <c r="C1161" t="s">
        <v>1094</v>
      </c>
      <c r="D1161" t="s">
        <v>942</v>
      </c>
      <c r="E1161" s="75">
        <v>0.90625</v>
      </c>
      <c r="F1161" s="75">
        <v>0.92013888888888884</v>
      </c>
      <c r="H1161" s="75"/>
      <c r="I1161" s="75"/>
    </row>
    <row r="1162" spans="1:9" x14ac:dyDescent="0.6">
      <c r="A1162" t="s">
        <v>1678</v>
      </c>
      <c r="B1162" s="76">
        <v>1900</v>
      </c>
      <c r="C1162" t="s">
        <v>19</v>
      </c>
      <c r="D1162" t="s">
        <v>137</v>
      </c>
      <c r="E1162" s="75">
        <v>0.83333333333333337</v>
      </c>
      <c r="F1162" s="75">
        <v>0.84027777777777779</v>
      </c>
      <c r="H1162" s="75"/>
      <c r="I1162" s="75"/>
    </row>
    <row r="1163" spans="1:9" x14ac:dyDescent="0.6">
      <c r="A1163" t="s">
        <v>1678</v>
      </c>
      <c r="B1163" s="76">
        <v>1900</v>
      </c>
      <c r="C1163" t="s">
        <v>18</v>
      </c>
      <c r="D1163" t="s">
        <v>137</v>
      </c>
      <c r="E1163" s="75">
        <v>0.85069444444444442</v>
      </c>
      <c r="F1163" s="75">
        <v>0.85763888888888884</v>
      </c>
      <c r="H1163" s="75"/>
      <c r="I1163" s="75"/>
    </row>
    <row r="1164" spans="1:9" x14ac:dyDescent="0.6">
      <c r="A1164" t="s">
        <v>1678</v>
      </c>
      <c r="B1164" s="76">
        <v>1900</v>
      </c>
      <c r="C1164" t="s">
        <v>1539</v>
      </c>
      <c r="D1164" t="s">
        <v>137</v>
      </c>
      <c r="E1164" s="75">
        <v>0.86805555555555558</v>
      </c>
      <c r="F1164" s="75">
        <v>0.875</v>
      </c>
      <c r="H1164" s="75"/>
      <c r="I1164" s="75"/>
    </row>
    <row r="1165" spans="1:9" x14ac:dyDescent="0.6">
      <c r="A1165" t="s">
        <v>1678</v>
      </c>
      <c r="B1165" s="76">
        <v>1900</v>
      </c>
      <c r="C1165" t="s">
        <v>1094</v>
      </c>
      <c r="D1165" t="s">
        <v>942</v>
      </c>
      <c r="E1165" s="75">
        <v>0.90277777777777779</v>
      </c>
      <c r="F1165" s="75">
        <v>0.91666666666666663</v>
      </c>
      <c r="H1165" s="75"/>
      <c r="I1165" s="75"/>
    </row>
    <row r="1166" spans="1:9" x14ac:dyDescent="0.6">
      <c r="A1166" t="s">
        <v>1679</v>
      </c>
      <c r="B1166" s="76">
        <v>1900</v>
      </c>
      <c r="C1166" t="s">
        <v>66</v>
      </c>
      <c r="D1166" t="s">
        <v>137</v>
      </c>
      <c r="E1166" s="75">
        <v>0.85763888888888884</v>
      </c>
      <c r="F1166" s="75">
        <v>0.86458333333333337</v>
      </c>
      <c r="H1166" s="75"/>
      <c r="I1166" s="75"/>
    </row>
    <row r="1167" spans="1:9" x14ac:dyDescent="0.6">
      <c r="A1167" t="s">
        <v>1679</v>
      </c>
      <c r="B1167" s="76">
        <v>1900</v>
      </c>
      <c r="C1167" t="s">
        <v>1605</v>
      </c>
      <c r="D1167" t="s">
        <v>137</v>
      </c>
      <c r="E1167" s="75">
        <v>0.86458333333333337</v>
      </c>
      <c r="F1167" s="75">
        <v>0.87152777777777779</v>
      </c>
      <c r="H1167" s="75"/>
      <c r="I1167" s="75"/>
    </row>
    <row r="1168" spans="1:9" x14ac:dyDescent="0.6">
      <c r="A1168" t="s">
        <v>1679</v>
      </c>
      <c r="B1168" s="76">
        <v>1900</v>
      </c>
      <c r="C1168" t="s">
        <v>1094</v>
      </c>
      <c r="D1168" t="s">
        <v>942</v>
      </c>
      <c r="E1168" s="75">
        <v>0.89236111111111116</v>
      </c>
      <c r="F1168" s="75">
        <v>0.90625</v>
      </c>
      <c r="H1168" s="75"/>
      <c r="I1168" s="75"/>
    </row>
    <row r="1169" spans="1:9" x14ac:dyDescent="0.6">
      <c r="A1169" t="s">
        <v>1680</v>
      </c>
      <c r="B1169" s="76">
        <v>1900</v>
      </c>
      <c r="C1169" t="s">
        <v>1034</v>
      </c>
      <c r="D1169" t="s">
        <v>137</v>
      </c>
      <c r="E1169" s="75">
        <v>0.86805555555555558</v>
      </c>
      <c r="F1169" s="75">
        <v>0.875</v>
      </c>
      <c r="H1169" s="75"/>
      <c r="I1169" s="75"/>
    </row>
    <row r="1170" spans="1:9" x14ac:dyDescent="0.6">
      <c r="A1170" t="s">
        <v>1680</v>
      </c>
      <c r="B1170" s="76">
        <v>1900</v>
      </c>
      <c r="C1170" t="s">
        <v>101</v>
      </c>
      <c r="D1170" t="s">
        <v>137</v>
      </c>
      <c r="E1170" s="75">
        <v>0.88541666666666663</v>
      </c>
      <c r="F1170" s="75">
        <v>0.89236111111111116</v>
      </c>
      <c r="H1170" s="75"/>
      <c r="I1170" s="75"/>
    </row>
    <row r="1171" spans="1:9" x14ac:dyDescent="0.6">
      <c r="A1171" t="s">
        <v>1680</v>
      </c>
      <c r="B1171" s="76">
        <v>1900</v>
      </c>
      <c r="C1171" t="s">
        <v>1094</v>
      </c>
      <c r="D1171" t="s">
        <v>942</v>
      </c>
      <c r="E1171" s="75">
        <v>0.91666666666666663</v>
      </c>
      <c r="F1171" s="75">
        <v>0.93055555555555558</v>
      </c>
      <c r="H1171" s="75"/>
      <c r="I1171" s="75"/>
    </row>
    <row r="1172" spans="1:9" x14ac:dyDescent="0.6">
      <c r="A1172" t="s">
        <v>1681</v>
      </c>
      <c r="B1172" s="76">
        <v>1900</v>
      </c>
      <c r="C1172" t="s">
        <v>118</v>
      </c>
      <c r="D1172" t="s">
        <v>137</v>
      </c>
      <c r="E1172" s="75">
        <v>0.86805555555555558</v>
      </c>
      <c r="F1172" s="75">
        <v>0.875</v>
      </c>
      <c r="H1172" s="75"/>
      <c r="I1172" s="75"/>
    </row>
    <row r="1173" spans="1:9" x14ac:dyDescent="0.6">
      <c r="A1173" t="s">
        <v>1681</v>
      </c>
      <c r="B1173" s="76">
        <v>1900</v>
      </c>
      <c r="C1173" t="s">
        <v>125</v>
      </c>
      <c r="D1173" t="s">
        <v>137</v>
      </c>
      <c r="E1173" s="75">
        <v>0.89236111111111116</v>
      </c>
      <c r="F1173" s="75">
        <v>0.89930555555555558</v>
      </c>
      <c r="H1173" s="75"/>
      <c r="I1173" s="75"/>
    </row>
    <row r="1174" spans="1:9" x14ac:dyDescent="0.6">
      <c r="A1174" t="s">
        <v>1681</v>
      </c>
      <c r="B1174" s="76">
        <v>1900</v>
      </c>
      <c r="C1174" t="s">
        <v>1094</v>
      </c>
      <c r="D1174" t="s">
        <v>942</v>
      </c>
      <c r="E1174" s="75">
        <v>0.91319444444444442</v>
      </c>
      <c r="F1174" s="75">
        <v>0.92708333333333337</v>
      </c>
      <c r="H1174" s="75"/>
      <c r="I1174" s="75"/>
    </row>
    <row r="1175" spans="1:9" x14ac:dyDescent="0.6">
      <c r="A1175" t="s">
        <v>1682</v>
      </c>
      <c r="B1175" s="76">
        <v>1900</v>
      </c>
      <c r="C1175" t="s">
        <v>126</v>
      </c>
      <c r="D1175" t="s">
        <v>137</v>
      </c>
      <c r="E1175" s="75">
        <v>0.86805555555555558</v>
      </c>
      <c r="F1175" s="75">
        <v>0.875</v>
      </c>
      <c r="H1175" s="75"/>
      <c r="I1175" s="75"/>
    </row>
    <row r="1176" spans="1:9" x14ac:dyDescent="0.6">
      <c r="A1176" t="s">
        <v>1682</v>
      </c>
      <c r="B1176" s="76">
        <v>1900</v>
      </c>
      <c r="C1176" t="s">
        <v>130</v>
      </c>
      <c r="D1176" t="s">
        <v>137</v>
      </c>
      <c r="E1176" s="75">
        <v>0.875</v>
      </c>
      <c r="F1176" s="75">
        <v>0.88194444444444442</v>
      </c>
      <c r="H1176" s="75"/>
      <c r="I1176" s="75"/>
    </row>
    <row r="1177" spans="1:9" x14ac:dyDescent="0.6">
      <c r="A1177" t="s">
        <v>1682</v>
      </c>
      <c r="B1177" s="76">
        <v>1900</v>
      </c>
      <c r="C1177" t="s">
        <v>1094</v>
      </c>
      <c r="D1177" t="s">
        <v>942</v>
      </c>
      <c r="E1177" s="75">
        <v>0.88888888888888884</v>
      </c>
      <c r="F1177" s="75">
        <v>0.90277777777777779</v>
      </c>
      <c r="H1177" s="75"/>
      <c r="I1177" s="75"/>
    </row>
    <row r="1178" spans="1:9" x14ac:dyDescent="0.6">
      <c r="A1178" t="s">
        <v>1683</v>
      </c>
      <c r="B1178" s="76">
        <v>1900</v>
      </c>
      <c r="C1178" t="s">
        <v>49</v>
      </c>
      <c r="D1178" t="s">
        <v>137</v>
      </c>
      <c r="E1178" s="75">
        <v>0.86458333333333337</v>
      </c>
      <c r="F1178" s="75">
        <v>0.87152777777777779</v>
      </c>
      <c r="H1178" s="75"/>
      <c r="I1178" s="75"/>
    </row>
    <row r="1179" spans="1:9" x14ac:dyDescent="0.6">
      <c r="A1179" t="s">
        <v>1683</v>
      </c>
      <c r="B1179" s="76">
        <v>1900</v>
      </c>
      <c r="C1179" t="s">
        <v>50</v>
      </c>
      <c r="D1179" t="s">
        <v>137</v>
      </c>
      <c r="E1179" s="75">
        <v>0.87847222222222221</v>
      </c>
      <c r="F1179" s="75">
        <v>0.88541666666666663</v>
      </c>
      <c r="H1179" s="75"/>
      <c r="I1179" s="75"/>
    </row>
    <row r="1180" spans="1:9" x14ac:dyDescent="0.6">
      <c r="A1180" t="s">
        <v>1683</v>
      </c>
      <c r="B1180" s="76">
        <v>1900</v>
      </c>
      <c r="C1180" t="s">
        <v>1094</v>
      </c>
      <c r="D1180" t="s">
        <v>942</v>
      </c>
      <c r="E1180" s="75">
        <v>0.89236111111111116</v>
      </c>
      <c r="F1180" s="75">
        <v>0.90625</v>
      </c>
      <c r="H1180" s="75"/>
      <c r="I1180" s="75"/>
    </row>
    <row r="1181" spans="1:9" x14ac:dyDescent="0.6">
      <c r="A1181" t="s">
        <v>1684</v>
      </c>
      <c r="B1181" s="76">
        <v>1900</v>
      </c>
      <c r="C1181" t="s">
        <v>22</v>
      </c>
      <c r="D1181" t="s">
        <v>137</v>
      </c>
      <c r="E1181" s="75">
        <v>0.85763888888888884</v>
      </c>
      <c r="F1181" s="75">
        <v>0.86458333333333337</v>
      </c>
      <c r="H1181" s="75"/>
      <c r="I1181" s="75"/>
    </row>
    <row r="1182" spans="1:9" x14ac:dyDescent="0.6">
      <c r="A1182" t="s">
        <v>1684</v>
      </c>
      <c r="B1182" s="76">
        <v>1900</v>
      </c>
      <c r="C1182" t="s">
        <v>24</v>
      </c>
      <c r="D1182" t="s">
        <v>137</v>
      </c>
      <c r="E1182" s="75">
        <v>0.88194444444444442</v>
      </c>
      <c r="F1182" s="75">
        <v>0.88888888888888884</v>
      </c>
      <c r="H1182" s="75"/>
      <c r="I1182" s="75"/>
    </row>
    <row r="1183" spans="1:9" x14ac:dyDescent="0.6">
      <c r="A1183" t="s">
        <v>1684</v>
      </c>
      <c r="B1183" s="76">
        <v>1900</v>
      </c>
      <c r="C1183" t="s">
        <v>1094</v>
      </c>
      <c r="D1183" t="s">
        <v>942</v>
      </c>
      <c r="E1183" s="75">
        <v>0.89930555555555558</v>
      </c>
      <c r="F1183" s="75">
        <v>0.91319444444444442</v>
      </c>
      <c r="H1183" s="75"/>
      <c r="I1183" s="75"/>
    </row>
    <row r="1184" spans="1:9" x14ac:dyDescent="0.6">
      <c r="A1184" t="s">
        <v>1685</v>
      </c>
      <c r="B1184" s="76">
        <v>1900</v>
      </c>
      <c r="C1184" t="s">
        <v>146</v>
      </c>
      <c r="D1184" t="s">
        <v>137</v>
      </c>
      <c r="E1184" s="75">
        <v>0.84722222222222221</v>
      </c>
      <c r="F1184" s="75">
        <v>0.85416666666666663</v>
      </c>
      <c r="H1184" s="75"/>
      <c r="I1184" s="75"/>
    </row>
    <row r="1185" spans="1:9" x14ac:dyDescent="0.6">
      <c r="A1185" t="s">
        <v>1685</v>
      </c>
      <c r="B1185" s="76">
        <v>1900</v>
      </c>
      <c r="C1185" t="s">
        <v>147</v>
      </c>
      <c r="D1185" t="s">
        <v>137</v>
      </c>
      <c r="E1185" s="75">
        <v>0.86458333333333337</v>
      </c>
      <c r="F1185" s="75">
        <v>0.87152777777777779</v>
      </c>
      <c r="H1185" s="75"/>
      <c r="I1185" s="75"/>
    </row>
    <row r="1186" spans="1:9" x14ac:dyDescent="0.6">
      <c r="A1186" t="s">
        <v>1685</v>
      </c>
      <c r="B1186" s="76">
        <v>1900</v>
      </c>
      <c r="C1186" t="s">
        <v>1094</v>
      </c>
      <c r="D1186" t="s">
        <v>942</v>
      </c>
      <c r="E1186" s="75">
        <v>0.90972222222222221</v>
      </c>
      <c r="F1186" s="75">
        <v>0.92361111111111116</v>
      </c>
      <c r="H1186" s="75"/>
      <c r="I1186" s="75"/>
    </row>
    <row r="1187" spans="1:9" x14ac:dyDescent="0.6">
      <c r="A1187" t="s">
        <v>1686</v>
      </c>
      <c r="B1187" s="76">
        <v>1900</v>
      </c>
      <c r="C1187" t="s">
        <v>114</v>
      </c>
      <c r="D1187" t="s">
        <v>137</v>
      </c>
      <c r="E1187" s="75">
        <v>0.87152777777777779</v>
      </c>
      <c r="F1187" s="75">
        <v>0.87847222222222221</v>
      </c>
      <c r="H1187" s="75"/>
      <c r="I1187" s="75"/>
    </row>
    <row r="1188" spans="1:9" x14ac:dyDescent="0.6">
      <c r="A1188" t="s">
        <v>1686</v>
      </c>
      <c r="B1188" s="76">
        <v>1900</v>
      </c>
      <c r="C1188" t="s">
        <v>116</v>
      </c>
      <c r="D1188" t="s">
        <v>137</v>
      </c>
      <c r="E1188" s="75">
        <v>0.88541666666666663</v>
      </c>
      <c r="F1188" s="75">
        <v>0.89236111111111116</v>
      </c>
      <c r="H1188" s="75"/>
      <c r="I1188" s="75"/>
    </row>
    <row r="1189" spans="1:9" x14ac:dyDescent="0.6">
      <c r="A1189" t="s">
        <v>1686</v>
      </c>
      <c r="B1189" s="76">
        <v>1900</v>
      </c>
      <c r="C1189" t="s">
        <v>1094</v>
      </c>
      <c r="D1189" t="s">
        <v>942</v>
      </c>
      <c r="E1189" s="75">
        <v>0.90277777777777779</v>
      </c>
      <c r="F1189" s="75">
        <v>0.91666666666666663</v>
      </c>
      <c r="H1189" s="75"/>
      <c r="I1189" s="75"/>
    </row>
    <row r="1190" spans="1:9" x14ac:dyDescent="0.6">
      <c r="A1190" t="s">
        <v>1687</v>
      </c>
      <c r="B1190" s="76">
        <v>1900</v>
      </c>
      <c r="C1190" t="s">
        <v>72</v>
      </c>
      <c r="D1190" t="s">
        <v>137</v>
      </c>
      <c r="E1190" s="75">
        <v>0.87152777777777779</v>
      </c>
      <c r="F1190" s="75">
        <v>0.87847222222222221</v>
      </c>
      <c r="H1190" s="75"/>
      <c r="I1190" s="75"/>
    </row>
    <row r="1191" spans="1:9" x14ac:dyDescent="0.6">
      <c r="A1191" t="s">
        <v>1687</v>
      </c>
      <c r="B1191" s="76">
        <v>1900</v>
      </c>
      <c r="C1191" t="s">
        <v>95</v>
      </c>
      <c r="D1191" t="s">
        <v>137</v>
      </c>
      <c r="E1191" s="75">
        <v>0.88541666666666663</v>
      </c>
      <c r="F1191" s="75">
        <v>0.89236111111111116</v>
      </c>
      <c r="H1191" s="75"/>
      <c r="I1191" s="75"/>
    </row>
    <row r="1192" spans="1:9" x14ac:dyDescent="0.6">
      <c r="A1192" t="s">
        <v>1687</v>
      </c>
      <c r="B1192" s="76">
        <v>1900</v>
      </c>
      <c r="C1192" t="s">
        <v>1094</v>
      </c>
      <c r="D1192" t="s">
        <v>942</v>
      </c>
      <c r="E1192" s="75">
        <v>0.90277777777777779</v>
      </c>
      <c r="F1192" s="75">
        <v>0.91666666666666663</v>
      </c>
      <c r="H1192" s="75"/>
      <c r="I1192" s="75"/>
    </row>
    <row r="1193" spans="1:9" x14ac:dyDescent="0.6">
      <c r="A1193" t="s">
        <v>1688</v>
      </c>
      <c r="B1193" s="76">
        <v>1900</v>
      </c>
      <c r="C1193" t="s">
        <v>76</v>
      </c>
      <c r="D1193" t="s">
        <v>137</v>
      </c>
      <c r="E1193" s="75">
        <v>0.85416666666666663</v>
      </c>
      <c r="F1193" s="75">
        <v>0.86111111111111116</v>
      </c>
      <c r="H1193" s="75"/>
      <c r="I1193" s="75"/>
    </row>
    <row r="1194" spans="1:9" x14ac:dyDescent="0.6">
      <c r="A1194" t="s">
        <v>1688</v>
      </c>
      <c r="B1194" s="76">
        <v>1900</v>
      </c>
      <c r="C1194" t="s">
        <v>75</v>
      </c>
      <c r="D1194" t="s">
        <v>137</v>
      </c>
      <c r="E1194" s="75">
        <v>0.86805555555555558</v>
      </c>
      <c r="F1194" s="75">
        <v>0.875</v>
      </c>
      <c r="H1194" s="75"/>
      <c r="I1194" s="75"/>
    </row>
    <row r="1195" spans="1:9" x14ac:dyDescent="0.6">
      <c r="A1195" t="s">
        <v>1688</v>
      </c>
      <c r="B1195" s="76">
        <v>1900</v>
      </c>
      <c r="C1195" t="s">
        <v>1094</v>
      </c>
      <c r="D1195" t="s">
        <v>942</v>
      </c>
      <c r="E1195" s="75">
        <v>0.91319444444444442</v>
      </c>
      <c r="F1195" s="75">
        <v>0.92708333333333337</v>
      </c>
      <c r="H1195" s="75"/>
      <c r="I1195" s="75"/>
    </row>
    <row r="1196" spans="1:9" x14ac:dyDescent="0.6">
      <c r="A1196" t="s">
        <v>1689</v>
      </c>
      <c r="B1196" s="76">
        <v>1900</v>
      </c>
      <c r="C1196" t="s">
        <v>77</v>
      </c>
      <c r="D1196" t="s">
        <v>137</v>
      </c>
      <c r="E1196" s="75">
        <v>0.85416666666666663</v>
      </c>
      <c r="F1196" s="75">
        <v>0.86111111111111116</v>
      </c>
      <c r="H1196" s="75"/>
      <c r="I1196" s="75"/>
    </row>
    <row r="1197" spans="1:9" x14ac:dyDescent="0.6">
      <c r="A1197" t="s">
        <v>1689</v>
      </c>
      <c r="B1197" s="76">
        <v>1900</v>
      </c>
      <c r="C1197" t="s">
        <v>78</v>
      </c>
      <c r="D1197" t="s">
        <v>137</v>
      </c>
      <c r="E1197" s="75">
        <v>0.86805555555555558</v>
      </c>
      <c r="F1197" s="75">
        <v>0.875</v>
      </c>
      <c r="H1197" s="75"/>
      <c r="I1197" s="75"/>
    </row>
    <row r="1198" spans="1:9" x14ac:dyDescent="0.6">
      <c r="A1198" t="s">
        <v>1689</v>
      </c>
      <c r="B1198" s="76">
        <v>1900</v>
      </c>
      <c r="C1198" t="s">
        <v>74</v>
      </c>
      <c r="D1198" t="s">
        <v>137</v>
      </c>
      <c r="E1198" s="75">
        <v>0.88194444444444442</v>
      </c>
      <c r="F1198" s="75">
        <v>0.88888888888888884</v>
      </c>
      <c r="H1198" s="75"/>
      <c r="I1198" s="75"/>
    </row>
    <row r="1199" spans="1:9" x14ac:dyDescent="0.6">
      <c r="A1199" t="s">
        <v>1689</v>
      </c>
      <c r="B1199" s="76">
        <v>1900</v>
      </c>
      <c r="C1199" t="s">
        <v>1094</v>
      </c>
      <c r="D1199" t="s">
        <v>942</v>
      </c>
      <c r="E1199" s="75">
        <v>0.92708333333333337</v>
      </c>
      <c r="F1199" s="75">
        <v>0.94097222222222221</v>
      </c>
      <c r="H1199" s="75"/>
      <c r="I1199" s="75"/>
    </row>
    <row r="1200" spans="1:9" x14ac:dyDescent="0.6">
      <c r="A1200" t="s">
        <v>1690</v>
      </c>
      <c r="B1200" s="76">
        <v>1900</v>
      </c>
      <c r="C1200" t="s">
        <v>85</v>
      </c>
      <c r="D1200" t="s">
        <v>137</v>
      </c>
      <c r="E1200" s="75">
        <v>0.85416666666666663</v>
      </c>
      <c r="F1200" s="75">
        <v>0.86111111111111116</v>
      </c>
      <c r="H1200" s="75"/>
      <c r="I1200" s="75"/>
    </row>
    <row r="1201" spans="1:9" x14ac:dyDescent="0.6">
      <c r="A1201" t="s">
        <v>1690</v>
      </c>
      <c r="B1201" s="76">
        <v>1900</v>
      </c>
      <c r="C1201" t="s">
        <v>83</v>
      </c>
      <c r="D1201" t="s">
        <v>137</v>
      </c>
      <c r="E1201" s="75">
        <v>0.86111111111111116</v>
      </c>
      <c r="F1201" s="75">
        <v>0.86805555555555558</v>
      </c>
      <c r="H1201" s="75"/>
      <c r="I1201" s="75"/>
    </row>
    <row r="1202" spans="1:9" x14ac:dyDescent="0.6">
      <c r="A1202" t="s">
        <v>1690</v>
      </c>
      <c r="B1202" s="76">
        <v>1900</v>
      </c>
      <c r="C1202" t="s">
        <v>89</v>
      </c>
      <c r="D1202" t="s">
        <v>137</v>
      </c>
      <c r="E1202" s="75">
        <v>0.875</v>
      </c>
      <c r="F1202" s="75">
        <v>0.88194444444444442</v>
      </c>
      <c r="H1202" s="75"/>
      <c r="I1202" s="75"/>
    </row>
    <row r="1203" spans="1:9" x14ac:dyDescent="0.6">
      <c r="A1203" t="s">
        <v>1690</v>
      </c>
      <c r="B1203" s="76">
        <v>1900</v>
      </c>
      <c r="C1203" t="s">
        <v>91</v>
      </c>
      <c r="D1203" t="s">
        <v>137</v>
      </c>
      <c r="E1203" s="75">
        <v>0.89236111111111116</v>
      </c>
      <c r="F1203" s="75">
        <v>0.89930555555555558</v>
      </c>
      <c r="H1203" s="75"/>
      <c r="I1203" s="75"/>
    </row>
    <row r="1204" spans="1:9" x14ac:dyDescent="0.6">
      <c r="A1204" t="s">
        <v>1690</v>
      </c>
      <c r="B1204" s="76">
        <v>1900</v>
      </c>
      <c r="C1204" t="s">
        <v>1094</v>
      </c>
      <c r="D1204" t="s">
        <v>942</v>
      </c>
      <c r="E1204" s="75">
        <v>0.94097222222222221</v>
      </c>
      <c r="F1204" s="75">
        <v>0.95486111111111116</v>
      </c>
      <c r="H1204" s="75"/>
      <c r="I1204" s="75"/>
    </row>
    <row r="1205" spans="1:9" x14ac:dyDescent="0.6">
      <c r="A1205" t="s">
        <v>1691</v>
      </c>
      <c r="B1205" s="76">
        <v>1900</v>
      </c>
      <c r="C1205" t="s">
        <v>90</v>
      </c>
      <c r="D1205" t="s">
        <v>137</v>
      </c>
      <c r="E1205" s="75">
        <v>0.86458333333333337</v>
      </c>
      <c r="F1205" s="75">
        <v>0.87152777777777779</v>
      </c>
      <c r="H1205" s="75"/>
      <c r="I1205" s="75"/>
    </row>
    <row r="1206" spans="1:9" x14ac:dyDescent="0.6">
      <c r="A1206" t="s">
        <v>1691</v>
      </c>
      <c r="B1206" s="76">
        <v>1900</v>
      </c>
      <c r="C1206" t="s">
        <v>86</v>
      </c>
      <c r="D1206" t="s">
        <v>137</v>
      </c>
      <c r="E1206" s="75">
        <v>0.88541666666666663</v>
      </c>
      <c r="F1206" s="75">
        <v>0.89236111111111116</v>
      </c>
      <c r="H1206" s="75"/>
      <c r="I1206" s="75"/>
    </row>
    <row r="1207" spans="1:9" x14ac:dyDescent="0.6">
      <c r="A1207" t="s">
        <v>1691</v>
      </c>
      <c r="B1207" s="76">
        <v>1900</v>
      </c>
      <c r="C1207" t="s">
        <v>1094</v>
      </c>
      <c r="D1207" t="s">
        <v>942</v>
      </c>
      <c r="E1207" s="75">
        <v>0.94097222222222221</v>
      </c>
      <c r="F1207" s="75">
        <v>0.95486111111111116</v>
      </c>
      <c r="H1207" s="75"/>
      <c r="I1207" s="75"/>
    </row>
    <row r="1208" spans="1:9" x14ac:dyDescent="0.6">
      <c r="A1208" t="s">
        <v>1692</v>
      </c>
      <c r="B1208" s="76">
        <v>1900</v>
      </c>
      <c r="C1208" t="s">
        <v>132</v>
      </c>
      <c r="D1208" t="s">
        <v>137</v>
      </c>
      <c r="E1208" s="75">
        <v>0.86458333333333337</v>
      </c>
      <c r="F1208" s="75">
        <v>0.87152777777777779</v>
      </c>
      <c r="H1208" s="75"/>
      <c r="I1208" s="75"/>
    </row>
    <row r="1209" spans="1:9" x14ac:dyDescent="0.6">
      <c r="A1209" t="s">
        <v>1692</v>
      </c>
      <c r="B1209" s="76">
        <v>1900</v>
      </c>
      <c r="C1209" t="s">
        <v>131</v>
      </c>
      <c r="D1209" t="s">
        <v>137</v>
      </c>
      <c r="E1209" s="75">
        <v>0.88194444444444442</v>
      </c>
      <c r="F1209" s="75">
        <v>0.88888888888888884</v>
      </c>
      <c r="H1209" s="75"/>
      <c r="I1209" s="75"/>
    </row>
    <row r="1210" spans="1:9" x14ac:dyDescent="0.6">
      <c r="A1210" t="s">
        <v>1692</v>
      </c>
      <c r="B1210" s="76">
        <v>1900</v>
      </c>
      <c r="C1210" t="s">
        <v>1094</v>
      </c>
      <c r="D1210" t="s">
        <v>942</v>
      </c>
      <c r="E1210" s="75">
        <v>0.92361111111111116</v>
      </c>
      <c r="F1210" s="75">
        <v>0.9375</v>
      </c>
      <c r="H1210" s="75"/>
      <c r="I1210" s="75"/>
    </row>
    <row r="1211" spans="1:9" x14ac:dyDescent="0.6">
      <c r="A1211" t="s">
        <v>1693</v>
      </c>
      <c r="B1211" s="76">
        <v>1900</v>
      </c>
      <c r="C1211" t="s">
        <v>60</v>
      </c>
      <c r="D1211" t="s">
        <v>137</v>
      </c>
      <c r="E1211" s="75">
        <v>0.85763888888888884</v>
      </c>
      <c r="F1211" s="75">
        <v>0.86458333333333337</v>
      </c>
      <c r="H1211" s="75"/>
      <c r="I1211" s="75"/>
    </row>
    <row r="1212" spans="1:9" x14ac:dyDescent="0.6">
      <c r="A1212" t="s">
        <v>1693</v>
      </c>
      <c r="B1212" s="76">
        <v>1900</v>
      </c>
      <c r="C1212" t="s">
        <v>84</v>
      </c>
      <c r="D1212" t="s">
        <v>137</v>
      </c>
      <c r="E1212" s="75">
        <v>0.87152777777777779</v>
      </c>
      <c r="F1212" s="75">
        <v>0.87847222222222221</v>
      </c>
      <c r="H1212" s="75"/>
      <c r="I1212" s="75"/>
    </row>
    <row r="1213" spans="1:9" x14ac:dyDescent="0.6">
      <c r="A1213" t="s">
        <v>1693</v>
      </c>
      <c r="B1213" s="76">
        <v>1900</v>
      </c>
      <c r="C1213" t="s">
        <v>1094</v>
      </c>
      <c r="D1213" t="s">
        <v>942</v>
      </c>
      <c r="E1213" s="75">
        <v>0.93402777777777779</v>
      </c>
      <c r="F1213" s="75">
        <v>0.94791666666666663</v>
      </c>
      <c r="H1213" s="75"/>
      <c r="I1213" s="75"/>
    </row>
    <row r="1214" spans="1:9" x14ac:dyDescent="0.6">
      <c r="A1214" t="s">
        <v>1694</v>
      </c>
      <c r="B1214" s="76" t="s">
        <v>1192</v>
      </c>
      <c r="C1214" t="s">
        <v>39</v>
      </c>
      <c r="D1214" t="s">
        <v>137</v>
      </c>
      <c r="E1214" s="75">
        <v>0.85416666666666663</v>
      </c>
      <c r="F1214" s="75">
        <v>0.86111111111111116</v>
      </c>
      <c r="H1214" s="75"/>
      <c r="I1214" s="75"/>
    </row>
    <row r="1215" spans="1:9" x14ac:dyDescent="0.6">
      <c r="A1215" t="s">
        <v>1694</v>
      </c>
      <c r="B1215" s="76" t="s">
        <v>1192</v>
      </c>
      <c r="C1215" t="s">
        <v>38</v>
      </c>
      <c r="D1215" t="s">
        <v>137</v>
      </c>
      <c r="E1215" s="75">
        <v>0.87152777777777779</v>
      </c>
      <c r="F1215" s="75">
        <v>0.87847222222222221</v>
      </c>
      <c r="H1215" s="75"/>
      <c r="I1215" s="75"/>
    </row>
    <row r="1216" spans="1:9" x14ac:dyDescent="0.6">
      <c r="A1216" t="s">
        <v>1694</v>
      </c>
      <c r="B1216" s="76" t="s">
        <v>1192</v>
      </c>
      <c r="C1216" t="s">
        <v>1094</v>
      </c>
      <c r="D1216" t="s">
        <v>942</v>
      </c>
      <c r="E1216" s="75">
        <v>0.91319444444444442</v>
      </c>
      <c r="F1216" s="75">
        <v>0.93402777777777779</v>
      </c>
      <c r="H1216" s="75"/>
      <c r="I1216" s="75"/>
    </row>
    <row r="1217" spans="1:10" x14ac:dyDescent="0.6">
      <c r="A1217" t="s">
        <v>1695</v>
      </c>
      <c r="B1217" s="76" t="s">
        <v>1192</v>
      </c>
      <c r="C1217" t="s">
        <v>1094</v>
      </c>
      <c r="D1217" t="s">
        <v>942</v>
      </c>
      <c r="E1217" s="75">
        <v>0.88541666666666663</v>
      </c>
      <c r="F1217" s="75">
        <v>0.89583333333333337</v>
      </c>
      <c r="H1217" s="75"/>
      <c r="I1217" s="75"/>
    </row>
    <row r="1218" spans="1:10" x14ac:dyDescent="0.6">
      <c r="A1218" t="s">
        <v>1695</v>
      </c>
      <c r="B1218" s="76" t="s">
        <v>1192</v>
      </c>
      <c r="C1218" t="s">
        <v>1639</v>
      </c>
      <c r="D1218" t="s">
        <v>1092</v>
      </c>
      <c r="E1218" s="75">
        <v>0.91666666666666663</v>
      </c>
      <c r="F1218" s="75">
        <v>0.92708333333333337</v>
      </c>
      <c r="H1218" s="75"/>
      <c r="I1218" s="75"/>
    </row>
    <row r="1219" spans="1:10" x14ac:dyDescent="0.6">
      <c r="A1219" t="s">
        <v>1695</v>
      </c>
      <c r="B1219" s="76" t="s">
        <v>1192</v>
      </c>
      <c r="C1219" t="s">
        <v>1548</v>
      </c>
      <c r="D1219" t="s">
        <v>1092</v>
      </c>
      <c r="E1219" s="75">
        <v>0.93402777777777779</v>
      </c>
      <c r="F1219" s="75">
        <v>0.94444444444444442</v>
      </c>
      <c r="H1219" s="75"/>
      <c r="I1219" s="75"/>
    </row>
    <row r="1220" spans="1:10" x14ac:dyDescent="0.6">
      <c r="A1220" t="s">
        <v>1695</v>
      </c>
      <c r="B1220" s="76" t="s">
        <v>1192</v>
      </c>
      <c r="C1220" t="s">
        <v>1094</v>
      </c>
      <c r="D1220" t="s">
        <v>942</v>
      </c>
      <c r="E1220" s="75">
        <v>0.95833333333333337</v>
      </c>
      <c r="F1220" s="75">
        <v>0.97222222222222221</v>
      </c>
      <c r="H1220" s="75"/>
      <c r="I1220" s="75"/>
    </row>
    <row r="1221" spans="1:10" x14ac:dyDescent="0.6">
      <c r="A1221" t="s">
        <v>1696</v>
      </c>
      <c r="B1221" s="76">
        <v>8000</v>
      </c>
      <c r="C1221" t="s">
        <v>941</v>
      </c>
      <c r="D1221" t="s">
        <v>942</v>
      </c>
      <c r="E1221" s="75">
        <v>0.79166666666666663</v>
      </c>
      <c r="F1221" s="75">
        <v>0.80555555555555558</v>
      </c>
      <c r="H1221" s="75"/>
      <c r="I1221" s="75"/>
    </row>
    <row r="1222" spans="1:10" x14ac:dyDescent="0.6">
      <c r="A1222" t="s">
        <v>1696</v>
      </c>
      <c r="B1222" s="76">
        <v>8000</v>
      </c>
      <c r="C1222" t="s">
        <v>1641</v>
      </c>
      <c r="D1222" t="s">
        <v>137</v>
      </c>
      <c r="E1222" s="75">
        <v>0.83333333333333337</v>
      </c>
      <c r="F1222" s="75">
        <v>0.86458333333333337</v>
      </c>
      <c r="H1222" s="75"/>
      <c r="I1222" s="75"/>
    </row>
    <row r="1223" spans="1:10" x14ac:dyDescent="0.6">
      <c r="A1223" t="s">
        <v>1696</v>
      </c>
      <c r="B1223" s="76">
        <v>8000</v>
      </c>
      <c r="C1223" t="s">
        <v>1094</v>
      </c>
      <c r="D1223" t="s">
        <v>942</v>
      </c>
      <c r="E1223" s="75">
        <v>0.88541666666666663</v>
      </c>
      <c r="F1223" s="75">
        <v>0.90625</v>
      </c>
      <c r="H1223" s="75"/>
      <c r="I1223" s="75"/>
    </row>
    <row r="1224" spans="1:10" x14ac:dyDescent="0.6">
      <c r="A1224" t="s">
        <v>1697</v>
      </c>
      <c r="B1224" s="76">
        <v>1900</v>
      </c>
      <c r="C1224" t="s">
        <v>119</v>
      </c>
      <c r="D1224" t="s">
        <v>137</v>
      </c>
      <c r="E1224" s="75">
        <v>0.84722222222222221</v>
      </c>
      <c r="F1224" s="75">
        <v>0.85763888888888884</v>
      </c>
      <c r="H1224" s="75"/>
      <c r="I1224" s="75"/>
    </row>
    <row r="1225" spans="1:10" x14ac:dyDescent="0.6">
      <c r="A1225" t="s">
        <v>1697</v>
      </c>
      <c r="B1225" s="76">
        <v>1900</v>
      </c>
      <c r="C1225" t="s">
        <v>1094</v>
      </c>
      <c r="D1225" t="s">
        <v>942</v>
      </c>
      <c r="E1225" s="75">
        <v>0.86805555555555558</v>
      </c>
      <c r="F1225" s="75">
        <v>0.88194444444444442</v>
      </c>
      <c r="H1225" s="75"/>
      <c r="I1225" s="75"/>
    </row>
    <row r="1226" spans="1:10" x14ac:dyDescent="0.6">
      <c r="A1226" t="s">
        <v>1697</v>
      </c>
      <c r="B1226" s="76">
        <v>1900</v>
      </c>
      <c r="C1226" t="s">
        <v>941</v>
      </c>
      <c r="D1226" t="s">
        <v>942</v>
      </c>
      <c r="E1226" s="75">
        <v>0.90277777777777779</v>
      </c>
      <c r="F1226" s="75">
        <v>0.91666666666666663</v>
      </c>
      <c r="H1226" s="75"/>
      <c r="I1226" s="75"/>
    </row>
    <row r="1227" spans="1:10" x14ac:dyDescent="0.6">
      <c r="A1227" t="s">
        <v>1698</v>
      </c>
      <c r="B1227" s="76">
        <v>1900</v>
      </c>
      <c r="C1227" t="s">
        <v>106</v>
      </c>
      <c r="D1227" t="s">
        <v>137</v>
      </c>
      <c r="E1227" s="75">
        <v>0.86458333333333337</v>
      </c>
      <c r="F1227" s="75">
        <v>0.875</v>
      </c>
      <c r="H1227" s="75"/>
      <c r="I1227" s="75"/>
    </row>
    <row r="1228" spans="1:10" x14ac:dyDescent="0.6">
      <c r="A1228" t="s">
        <v>1698</v>
      </c>
      <c r="B1228" s="76">
        <v>1900</v>
      </c>
      <c r="C1228" t="s">
        <v>1094</v>
      </c>
      <c r="D1228" t="s">
        <v>942</v>
      </c>
      <c r="E1228" s="75">
        <v>0.90277777777777779</v>
      </c>
      <c r="F1228" s="75">
        <v>0.91666666666666663</v>
      </c>
      <c r="H1228" s="75"/>
      <c r="I1228" s="75"/>
    </row>
    <row r="1229" spans="1:10" x14ac:dyDescent="0.6">
      <c r="A1229" t="s">
        <v>1698</v>
      </c>
      <c r="B1229" s="76">
        <v>1900</v>
      </c>
      <c r="C1229" t="s">
        <v>941</v>
      </c>
      <c r="D1229" t="s">
        <v>942</v>
      </c>
      <c r="E1229" s="75">
        <v>0.9375</v>
      </c>
      <c r="F1229" s="75">
        <v>0.95138888888888884</v>
      </c>
      <c r="H1229" s="75"/>
      <c r="I1229" s="75"/>
    </row>
    <row r="1230" spans="1:10" x14ac:dyDescent="0.6">
      <c r="A1230" t="s">
        <v>1699</v>
      </c>
      <c r="B1230" s="76">
        <v>1900</v>
      </c>
      <c r="C1230" t="s">
        <v>107</v>
      </c>
      <c r="D1230" t="s">
        <v>137</v>
      </c>
      <c r="E1230" s="75">
        <v>0.86111111111111116</v>
      </c>
      <c r="F1230" s="75">
        <v>0.87152777777777779</v>
      </c>
      <c r="H1230" s="75"/>
      <c r="I1230" s="75"/>
      <c r="J1230" t="s">
        <v>1700</v>
      </c>
    </row>
    <row r="1231" spans="1:10" x14ac:dyDescent="0.6">
      <c r="A1231" t="s">
        <v>1699</v>
      </c>
      <c r="B1231" s="76">
        <v>1900</v>
      </c>
      <c r="C1231" t="s">
        <v>1094</v>
      </c>
      <c r="D1231" t="s">
        <v>942</v>
      </c>
      <c r="E1231" s="75">
        <v>0.89583333333333337</v>
      </c>
      <c r="F1231" s="75">
        <v>0.90972222222222221</v>
      </c>
      <c r="H1231" s="75"/>
      <c r="I1231" s="75"/>
    </row>
    <row r="1232" spans="1:10" x14ac:dyDescent="0.6">
      <c r="A1232" t="s">
        <v>1699</v>
      </c>
      <c r="B1232" s="76">
        <v>1900</v>
      </c>
      <c r="C1232" t="s">
        <v>941</v>
      </c>
      <c r="D1232" t="s">
        <v>942</v>
      </c>
      <c r="E1232" s="75">
        <v>0.93055555555555558</v>
      </c>
      <c r="F1232" s="75">
        <v>0.94444444444444442</v>
      </c>
      <c r="H1232" s="75"/>
      <c r="I1232" s="75"/>
    </row>
    <row r="1233" spans="1:9" x14ac:dyDescent="0.6">
      <c r="A1233" t="s">
        <v>1701</v>
      </c>
      <c r="B1233" s="76">
        <v>1900</v>
      </c>
      <c r="C1233" t="s">
        <v>112</v>
      </c>
      <c r="D1233" t="s">
        <v>137</v>
      </c>
      <c r="E1233" s="75">
        <v>0.86111111111111116</v>
      </c>
      <c r="F1233" s="75">
        <v>0.87152777777777779</v>
      </c>
      <c r="H1233" s="75"/>
      <c r="I1233" s="75"/>
    </row>
    <row r="1234" spans="1:9" x14ac:dyDescent="0.6">
      <c r="A1234" t="s">
        <v>1701</v>
      </c>
      <c r="B1234" s="76">
        <v>1900</v>
      </c>
      <c r="C1234" t="s">
        <v>1094</v>
      </c>
      <c r="D1234" t="s">
        <v>942</v>
      </c>
      <c r="E1234" s="75">
        <v>0.88888888888888884</v>
      </c>
      <c r="F1234" s="75">
        <v>0.90277777777777779</v>
      </c>
      <c r="H1234" s="75"/>
      <c r="I1234" s="75"/>
    </row>
    <row r="1235" spans="1:9" x14ac:dyDescent="0.6">
      <c r="A1235" t="s">
        <v>1701</v>
      </c>
      <c r="B1235" s="76">
        <v>1900</v>
      </c>
      <c r="C1235" t="s">
        <v>941</v>
      </c>
      <c r="D1235" t="s">
        <v>942</v>
      </c>
      <c r="E1235" s="75">
        <v>0.92361111111111116</v>
      </c>
      <c r="F1235" s="75">
        <v>0.9375</v>
      </c>
      <c r="H1235" s="75"/>
      <c r="I1235" s="75"/>
    </row>
    <row r="1236" spans="1:9" x14ac:dyDescent="0.6">
      <c r="A1236" t="s">
        <v>1702</v>
      </c>
      <c r="B1236" s="76">
        <v>1900</v>
      </c>
      <c r="C1236" t="s">
        <v>69</v>
      </c>
      <c r="D1236" t="s">
        <v>137</v>
      </c>
      <c r="E1236" s="75">
        <v>0.86111111111111116</v>
      </c>
      <c r="F1236" s="75">
        <v>0.87152777777777779</v>
      </c>
      <c r="H1236" s="75"/>
      <c r="I1236" s="75"/>
    </row>
    <row r="1237" spans="1:9" x14ac:dyDescent="0.6">
      <c r="A1237" t="s">
        <v>1702</v>
      </c>
      <c r="B1237" s="76">
        <v>1900</v>
      </c>
      <c r="C1237" t="s">
        <v>1094</v>
      </c>
      <c r="D1237" t="s">
        <v>942</v>
      </c>
      <c r="E1237" s="75">
        <v>0.89930555555555558</v>
      </c>
      <c r="F1237" s="75">
        <v>0.91319444444444442</v>
      </c>
      <c r="H1237" s="75"/>
      <c r="I1237" s="75"/>
    </row>
    <row r="1238" spans="1:9" x14ac:dyDescent="0.6">
      <c r="A1238" t="s">
        <v>1702</v>
      </c>
      <c r="B1238" s="76">
        <v>1900</v>
      </c>
      <c r="C1238" t="s">
        <v>941</v>
      </c>
      <c r="D1238" t="s">
        <v>942</v>
      </c>
      <c r="E1238" s="75">
        <v>0.93402777777777779</v>
      </c>
      <c r="F1238" s="75">
        <v>0.94791666666666663</v>
      </c>
      <c r="H1238" s="75"/>
      <c r="I1238" s="75"/>
    </row>
    <row r="1239" spans="1:9" x14ac:dyDescent="0.6">
      <c r="A1239" t="s">
        <v>1703</v>
      </c>
      <c r="B1239" s="76">
        <v>1900</v>
      </c>
      <c r="C1239" t="s">
        <v>16</v>
      </c>
      <c r="D1239" t="s">
        <v>137</v>
      </c>
      <c r="E1239" s="75">
        <v>0.84375</v>
      </c>
      <c r="F1239" s="75">
        <v>0.85416666666666663</v>
      </c>
      <c r="H1239" s="75"/>
      <c r="I1239" s="75"/>
    </row>
    <row r="1240" spans="1:9" x14ac:dyDescent="0.6">
      <c r="A1240" t="s">
        <v>1703</v>
      </c>
      <c r="B1240" s="76">
        <v>1900</v>
      </c>
      <c r="C1240" t="s">
        <v>1094</v>
      </c>
      <c r="D1240" t="s">
        <v>942</v>
      </c>
      <c r="E1240" s="75">
        <v>0.89583333333333337</v>
      </c>
      <c r="F1240" s="75">
        <v>0.90972222222222221</v>
      </c>
      <c r="H1240" s="75"/>
      <c r="I1240" s="75"/>
    </row>
    <row r="1241" spans="1:9" x14ac:dyDescent="0.6">
      <c r="A1241" t="s">
        <v>1703</v>
      </c>
      <c r="B1241" s="76">
        <v>1900</v>
      </c>
      <c r="C1241" t="s">
        <v>941</v>
      </c>
      <c r="D1241" t="s">
        <v>942</v>
      </c>
      <c r="E1241" s="75">
        <v>0.93055555555555558</v>
      </c>
      <c r="F1241" s="75">
        <v>0.94444444444444442</v>
      </c>
      <c r="H1241" s="75"/>
      <c r="I1241" s="75"/>
    </row>
    <row r="1242" spans="1:9" x14ac:dyDescent="0.6">
      <c r="A1242" t="s">
        <v>1704</v>
      </c>
      <c r="B1242" s="76">
        <v>1900</v>
      </c>
      <c r="C1242" t="s">
        <v>20</v>
      </c>
      <c r="D1242" t="s">
        <v>137</v>
      </c>
      <c r="E1242" s="75">
        <v>0.86458333333333337</v>
      </c>
      <c r="F1242" s="75">
        <v>0.875</v>
      </c>
      <c r="H1242" s="75"/>
      <c r="I1242" s="75"/>
    </row>
    <row r="1243" spans="1:9" x14ac:dyDescent="0.6">
      <c r="A1243" t="s">
        <v>1704</v>
      </c>
      <c r="B1243" s="76">
        <v>1900</v>
      </c>
      <c r="C1243" t="s">
        <v>1094</v>
      </c>
      <c r="D1243" t="s">
        <v>942</v>
      </c>
      <c r="E1243" s="75">
        <v>0.91666666666666663</v>
      </c>
      <c r="F1243" s="75">
        <v>0.93055555555555558</v>
      </c>
      <c r="H1243" s="75"/>
      <c r="I1243" s="75"/>
    </row>
    <row r="1244" spans="1:9" x14ac:dyDescent="0.6">
      <c r="A1244" t="s">
        <v>1704</v>
      </c>
      <c r="B1244" s="76">
        <v>1900</v>
      </c>
      <c r="C1244" t="s">
        <v>941</v>
      </c>
      <c r="D1244" t="s">
        <v>942</v>
      </c>
      <c r="E1244" s="75">
        <v>0.95138888888888884</v>
      </c>
      <c r="F1244" s="75">
        <v>0.96527777777777779</v>
      </c>
      <c r="H1244" s="75"/>
      <c r="I1244" s="75"/>
    </row>
    <row r="1245" spans="1:9" x14ac:dyDescent="0.6">
      <c r="A1245" t="s">
        <v>1705</v>
      </c>
      <c r="B1245" s="76">
        <v>1900</v>
      </c>
      <c r="C1245" t="s">
        <v>81</v>
      </c>
      <c r="D1245" t="s">
        <v>137</v>
      </c>
      <c r="E1245" s="75">
        <v>0.875</v>
      </c>
      <c r="F1245" s="75">
        <v>0.88541666666666663</v>
      </c>
      <c r="H1245" s="75"/>
      <c r="I1245" s="75"/>
    </row>
    <row r="1246" spans="1:9" x14ac:dyDescent="0.6">
      <c r="A1246" t="s">
        <v>1705</v>
      </c>
      <c r="B1246" s="76">
        <v>1900</v>
      </c>
      <c r="C1246" t="s">
        <v>1094</v>
      </c>
      <c r="D1246" t="s">
        <v>942</v>
      </c>
      <c r="E1246" s="75">
        <v>0.92013888888888884</v>
      </c>
      <c r="F1246" s="75">
        <v>0.93402777777777779</v>
      </c>
      <c r="H1246" s="75"/>
      <c r="I1246" s="75"/>
    </row>
    <row r="1247" spans="1:9" x14ac:dyDescent="0.6">
      <c r="A1247" t="s">
        <v>1705</v>
      </c>
      <c r="B1247" s="76">
        <v>1900</v>
      </c>
      <c r="C1247" t="s">
        <v>941</v>
      </c>
      <c r="D1247" t="s">
        <v>942</v>
      </c>
      <c r="E1247" s="75">
        <v>0.95486111111111116</v>
      </c>
      <c r="F1247" s="75">
        <v>0.96875</v>
      </c>
      <c r="H1247" s="75"/>
      <c r="I1247" s="75"/>
    </row>
    <row r="1248" spans="1:9" x14ac:dyDescent="0.6">
      <c r="A1248" t="s">
        <v>1706</v>
      </c>
      <c r="B1248" s="76">
        <v>1900</v>
      </c>
      <c r="C1248" t="s">
        <v>134</v>
      </c>
      <c r="D1248" t="s">
        <v>137</v>
      </c>
      <c r="E1248" s="75">
        <v>0.84722222222222221</v>
      </c>
      <c r="F1248" s="75">
        <v>0.85763888888888884</v>
      </c>
      <c r="H1248" s="75"/>
      <c r="I1248" s="75"/>
    </row>
    <row r="1249" spans="1:9" x14ac:dyDescent="0.6">
      <c r="A1249" t="s">
        <v>1706</v>
      </c>
      <c r="B1249" s="76">
        <v>1900</v>
      </c>
      <c r="C1249" t="s">
        <v>1094</v>
      </c>
      <c r="D1249" t="s">
        <v>942</v>
      </c>
      <c r="E1249" s="75">
        <v>0.89930555555555558</v>
      </c>
      <c r="F1249" s="75">
        <v>0.91319444444444442</v>
      </c>
      <c r="H1249" s="75"/>
      <c r="I1249" s="75"/>
    </row>
    <row r="1250" spans="1:9" x14ac:dyDescent="0.6">
      <c r="A1250" t="s">
        <v>1706</v>
      </c>
      <c r="B1250" s="76">
        <v>1900</v>
      </c>
      <c r="C1250" t="s">
        <v>941</v>
      </c>
      <c r="D1250" t="s">
        <v>942</v>
      </c>
      <c r="E1250" s="75">
        <v>0.93402777777777779</v>
      </c>
      <c r="F1250" s="75">
        <v>0.94791666666666663</v>
      </c>
      <c r="H1250" s="75"/>
      <c r="I1250" s="75"/>
    </row>
    <row r="1251" spans="1:9" x14ac:dyDescent="0.6">
      <c r="A1251" t="s">
        <v>1707</v>
      </c>
      <c r="B1251" s="76">
        <v>1900</v>
      </c>
      <c r="C1251" t="s">
        <v>61</v>
      </c>
      <c r="D1251" t="s">
        <v>137</v>
      </c>
      <c r="E1251" s="75">
        <v>0.85416666666666663</v>
      </c>
      <c r="F1251" s="75">
        <v>0.86458333333333337</v>
      </c>
      <c r="H1251" s="75"/>
      <c r="I1251" s="75"/>
    </row>
    <row r="1252" spans="1:9" x14ac:dyDescent="0.6">
      <c r="A1252" t="s">
        <v>1707</v>
      </c>
      <c r="B1252" s="76">
        <v>1900</v>
      </c>
      <c r="C1252" t="s">
        <v>1094</v>
      </c>
      <c r="D1252" t="s">
        <v>942</v>
      </c>
      <c r="E1252" s="75">
        <v>0.89930555555555558</v>
      </c>
      <c r="F1252" s="75">
        <v>0.91319444444444442</v>
      </c>
      <c r="H1252" s="75"/>
      <c r="I1252" s="75"/>
    </row>
    <row r="1253" spans="1:9" x14ac:dyDescent="0.6">
      <c r="A1253" t="s">
        <v>1707</v>
      </c>
      <c r="B1253" s="76">
        <v>1900</v>
      </c>
      <c r="C1253" t="s">
        <v>941</v>
      </c>
      <c r="D1253" t="s">
        <v>942</v>
      </c>
      <c r="E1253" s="75">
        <v>0.93402777777777779</v>
      </c>
      <c r="F1253" s="75">
        <v>0.94791666666666663</v>
      </c>
      <c r="H1253" s="75"/>
      <c r="I1253" s="75"/>
    </row>
    <row r="1254" spans="1:9" x14ac:dyDescent="0.6">
      <c r="A1254" t="s">
        <v>1708</v>
      </c>
      <c r="B1254" s="76">
        <v>1900</v>
      </c>
      <c r="C1254" t="s">
        <v>64</v>
      </c>
      <c r="D1254" t="s">
        <v>137</v>
      </c>
      <c r="E1254" s="75">
        <v>0.85416666666666663</v>
      </c>
      <c r="F1254" s="75">
        <v>0.86458333333333337</v>
      </c>
      <c r="H1254" s="75"/>
      <c r="I1254" s="75"/>
    </row>
    <row r="1255" spans="1:9" x14ac:dyDescent="0.6">
      <c r="A1255" t="s">
        <v>1708</v>
      </c>
      <c r="B1255" s="76">
        <v>1900</v>
      </c>
      <c r="C1255" t="s">
        <v>1094</v>
      </c>
      <c r="D1255" t="s">
        <v>942</v>
      </c>
      <c r="E1255" s="75">
        <v>0.89930555555555558</v>
      </c>
      <c r="F1255" s="75">
        <v>0.91319444444444442</v>
      </c>
      <c r="H1255" s="75"/>
      <c r="I1255" s="75"/>
    </row>
    <row r="1256" spans="1:9" x14ac:dyDescent="0.6">
      <c r="A1256" t="s">
        <v>1708</v>
      </c>
      <c r="B1256" s="76">
        <v>1900</v>
      </c>
      <c r="C1256" t="s">
        <v>941</v>
      </c>
      <c r="D1256" t="s">
        <v>942</v>
      </c>
      <c r="E1256" s="75">
        <v>0.93402777777777779</v>
      </c>
      <c r="F1256" s="75">
        <v>0.94791666666666663</v>
      </c>
      <c r="H1256" s="75"/>
      <c r="I1256" s="75"/>
    </row>
    <row r="1257" spans="1:9" x14ac:dyDescent="0.6">
      <c r="A1257" t="s">
        <v>1709</v>
      </c>
      <c r="B1257" s="76" t="s">
        <v>1553</v>
      </c>
      <c r="C1257" t="s">
        <v>105</v>
      </c>
      <c r="D1257" t="s">
        <v>137</v>
      </c>
      <c r="E1257" s="75">
        <v>0.85763888888888884</v>
      </c>
      <c r="F1257" s="75">
        <v>0.86805555555555558</v>
      </c>
      <c r="H1257" s="75"/>
      <c r="I1257" s="75"/>
    </row>
    <row r="1258" spans="1:9" x14ac:dyDescent="0.6">
      <c r="A1258" t="s">
        <v>1709</v>
      </c>
      <c r="B1258" s="76" t="s">
        <v>1553</v>
      </c>
      <c r="C1258" t="s">
        <v>1094</v>
      </c>
      <c r="D1258" t="s">
        <v>942</v>
      </c>
      <c r="E1258" s="75">
        <v>0.89583333333333337</v>
      </c>
      <c r="F1258" s="75">
        <v>0.90972222222222221</v>
      </c>
      <c r="H1258" s="75"/>
      <c r="I1258" s="75"/>
    </row>
    <row r="1259" spans="1:9" x14ac:dyDescent="0.6">
      <c r="A1259" t="s">
        <v>1709</v>
      </c>
      <c r="B1259" s="76" t="s">
        <v>1553</v>
      </c>
      <c r="C1259" t="s">
        <v>941</v>
      </c>
      <c r="D1259" t="s">
        <v>942</v>
      </c>
      <c r="E1259" s="75">
        <v>0.93055555555555558</v>
      </c>
      <c r="F1259" s="75">
        <v>0.94444444444444442</v>
      </c>
      <c r="H1259" s="75"/>
      <c r="I1259" s="75"/>
    </row>
    <row r="1260" spans="1:9" x14ac:dyDescent="0.6">
      <c r="A1260" t="s">
        <v>1710</v>
      </c>
      <c r="B1260" s="76" t="s">
        <v>1553</v>
      </c>
      <c r="C1260" t="s">
        <v>47</v>
      </c>
      <c r="D1260" t="s">
        <v>137</v>
      </c>
      <c r="E1260" s="75">
        <v>0.85763888888888884</v>
      </c>
      <c r="F1260" s="75">
        <v>0.86805555555555558</v>
      </c>
      <c r="H1260" s="75"/>
      <c r="I1260" s="75"/>
    </row>
    <row r="1261" spans="1:9" x14ac:dyDescent="0.6">
      <c r="A1261" t="s">
        <v>1710</v>
      </c>
      <c r="B1261" s="76" t="s">
        <v>1553</v>
      </c>
      <c r="C1261" t="s">
        <v>1094</v>
      </c>
      <c r="D1261" t="s">
        <v>942</v>
      </c>
      <c r="E1261" s="75">
        <v>0.88888888888888884</v>
      </c>
      <c r="F1261" s="75">
        <v>0.90277777777777779</v>
      </c>
      <c r="H1261" s="75"/>
      <c r="I1261" s="75"/>
    </row>
    <row r="1262" spans="1:9" x14ac:dyDescent="0.6">
      <c r="A1262" t="s">
        <v>1710</v>
      </c>
      <c r="B1262" s="76" t="s">
        <v>1553</v>
      </c>
      <c r="C1262" t="s">
        <v>941</v>
      </c>
      <c r="D1262" t="s">
        <v>942</v>
      </c>
      <c r="E1262" s="75">
        <v>0.92361111111111116</v>
      </c>
      <c r="F1262" s="75">
        <v>0.9375</v>
      </c>
      <c r="H1262" s="75"/>
      <c r="I1262" s="75"/>
    </row>
    <row r="1263" spans="1:9" x14ac:dyDescent="0.6">
      <c r="A1263" t="s">
        <v>1711</v>
      </c>
      <c r="B1263" s="76" t="s">
        <v>1553</v>
      </c>
      <c r="C1263" t="s">
        <v>68</v>
      </c>
      <c r="D1263" t="s">
        <v>137</v>
      </c>
      <c r="E1263" s="75">
        <v>0.85763888888888884</v>
      </c>
      <c r="F1263" s="75">
        <v>0.86805555555555558</v>
      </c>
      <c r="H1263" s="75"/>
      <c r="I1263" s="75"/>
    </row>
    <row r="1264" spans="1:9" x14ac:dyDescent="0.6">
      <c r="A1264" t="s">
        <v>1711</v>
      </c>
      <c r="B1264" s="76" t="s">
        <v>1553</v>
      </c>
      <c r="C1264" t="s">
        <v>1094</v>
      </c>
      <c r="D1264" t="s">
        <v>942</v>
      </c>
      <c r="E1264" s="75">
        <v>0.89583333333333337</v>
      </c>
      <c r="F1264" s="75">
        <v>0.90972222222222221</v>
      </c>
      <c r="H1264" s="75"/>
      <c r="I1264" s="75"/>
    </row>
    <row r="1265" spans="1:9" x14ac:dyDescent="0.6">
      <c r="A1265" t="s">
        <v>1711</v>
      </c>
      <c r="B1265" s="76" t="s">
        <v>1553</v>
      </c>
      <c r="C1265" t="s">
        <v>941</v>
      </c>
      <c r="D1265" t="s">
        <v>942</v>
      </c>
      <c r="E1265" s="75">
        <v>0.93055555555555558</v>
      </c>
      <c r="F1265" s="75">
        <v>0.94444444444444442</v>
      </c>
      <c r="H1265" s="75"/>
      <c r="I1265" s="75"/>
    </row>
    <row r="1266" spans="1:9" x14ac:dyDescent="0.6">
      <c r="A1266" t="s">
        <v>1712</v>
      </c>
      <c r="B1266" s="76" t="s">
        <v>1553</v>
      </c>
      <c r="C1266" t="s">
        <v>70</v>
      </c>
      <c r="D1266" t="s">
        <v>137</v>
      </c>
      <c r="E1266" s="75">
        <v>0.85763888888888884</v>
      </c>
      <c r="F1266" s="75">
        <v>0.86805555555555558</v>
      </c>
      <c r="H1266" s="75"/>
      <c r="I1266" s="75"/>
    </row>
    <row r="1267" spans="1:9" x14ac:dyDescent="0.6">
      <c r="A1267" t="s">
        <v>1712</v>
      </c>
      <c r="B1267" s="76" t="s">
        <v>1553</v>
      </c>
      <c r="C1267" t="s">
        <v>1094</v>
      </c>
      <c r="D1267" t="s">
        <v>942</v>
      </c>
      <c r="E1267" s="75">
        <v>0.88888888888888884</v>
      </c>
      <c r="F1267" s="75">
        <v>0.90277777777777779</v>
      </c>
      <c r="H1267" s="75"/>
      <c r="I1267" s="75"/>
    </row>
    <row r="1268" spans="1:9" x14ac:dyDescent="0.6">
      <c r="A1268" t="s">
        <v>1712</v>
      </c>
      <c r="B1268" s="76" t="s">
        <v>1553</v>
      </c>
      <c r="C1268" t="s">
        <v>941</v>
      </c>
      <c r="D1268" t="s">
        <v>942</v>
      </c>
      <c r="E1268" s="75">
        <v>0.92361111111111116</v>
      </c>
      <c r="F1268" s="75">
        <v>0.9375</v>
      </c>
      <c r="H1268" s="75"/>
      <c r="I1268" s="75"/>
    </row>
    <row r="1269" spans="1:9" x14ac:dyDescent="0.6">
      <c r="A1269" t="s">
        <v>1713</v>
      </c>
      <c r="B1269" s="76" t="s">
        <v>1553</v>
      </c>
      <c r="C1269" t="s">
        <v>40</v>
      </c>
      <c r="D1269" t="s">
        <v>137</v>
      </c>
      <c r="E1269" s="75">
        <v>0.85763888888888884</v>
      </c>
      <c r="F1269" s="75">
        <v>0.86805555555555558</v>
      </c>
      <c r="H1269" s="75"/>
      <c r="I1269" s="75"/>
    </row>
    <row r="1270" spans="1:9" x14ac:dyDescent="0.6">
      <c r="A1270" t="s">
        <v>1713</v>
      </c>
      <c r="B1270" s="76" t="s">
        <v>1553</v>
      </c>
      <c r="C1270" t="s">
        <v>1094</v>
      </c>
      <c r="D1270" t="s">
        <v>942</v>
      </c>
      <c r="E1270" s="75">
        <v>0.89583333333333337</v>
      </c>
      <c r="F1270" s="75">
        <v>0.90972222222222221</v>
      </c>
      <c r="H1270" s="75"/>
      <c r="I1270" s="75"/>
    </row>
    <row r="1271" spans="1:9" x14ac:dyDescent="0.6">
      <c r="A1271" t="s">
        <v>1713</v>
      </c>
      <c r="B1271" s="76" t="s">
        <v>1553</v>
      </c>
      <c r="C1271" t="s">
        <v>941</v>
      </c>
      <c r="D1271" t="s">
        <v>942</v>
      </c>
      <c r="E1271" s="75">
        <v>0.93055555555555558</v>
      </c>
      <c r="F1271" s="75">
        <v>0.94444444444444442</v>
      </c>
      <c r="H1271" s="75"/>
      <c r="I1271" s="75"/>
    </row>
    <row r="1272" spans="1:9" x14ac:dyDescent="0.6">
      <c r="A1272" t="s">
        <v>1714</v>
      </c>
      <c r="B1272" s="76" t="s">
        <v>1553</v>
      </c>
      <c r="C1272" t="s">
        <v>41</v>
      </c>
      <c r="D1272" t="s">
        <v>137</v>
      </c>
      <c r="E1272" s="75">
        <v>0.85763888888888884</v>
      </c>
      <c r="F1272" s="75">
        <v>0.86805555555555558</v>
      </c>
      <c r="H1272" s="75"/>
      <c r="I1272" s="75"/>
    </row>
    <row r="1273" spans="1:9" x14ac:dyDescent="0.6">
      <c r="A1273" t="s">
        <v>1714</v>
      </c>
      <c r="B1273" s="76" t="s">
        <v>1553</v>
      </c>
      <c r="C1273" t="s">
        <v>1094</v>
      </c>
      <c r="D1273" t="s">
        <v>942</v>
      </c>
      <c r="E1273" s="75">
        <v>0.89583333333333337</v>
      </c>
      <c r="F1273" s="75">
        <v>0.90972222222222221</v>
      </c>
      <c r="H1273" s="75"/>
      <c r="I1273" s="75"/>
    </row>
    <row r="1274" spans="1:9" x14ac:dyDescent="0.6">
      <c r="A1274" t="s">
        <v>1714</v>
      </c>
      <c r="B1274" s="76" t="s">
        <v>1553</v>
      </c>
      <c r="C1274" t="s">
        <v>941</v>
      </c>
      <c r="D1274" t="s">
        <v>942</v>
      </c>
      <c r="E1274" s="75">
        <v>0.93055555555555558</v>
      </c>
      <c r="F1274" s="75">
        <v>0.94444444444444442</v>
      </c>
      <c r="H1274" s="75"/>
      <c r="I1274" s="75"/>
    </row>
    <row r="1275" spans="1:9" x14ac:dyDescent="0.6">
      <c r="A1275" t="s">
        <v>1715</v>
      </c>
      <c r="B1275" s="76">
        <v>8000</v>
      </c>
      <c r="C1275" t="s">
        <v>941</v>
      </c>
      <c r="D1275" t="s">
        <v>942</v>
      </c>
      <c r="E1275" s="75">
        <v>0.58333333333333337</v>
      </c>
      <c r="F1275" s="75">
        <v>0.625</v>
      </c>
      <c r="H1275" s="75"/>
      <c r="I1275" s="75"/>
    </row>
    <row r="1276" spans="1:9" x14ac:dyDescent="0.6">
      <c r="A1276" t="s">
        <v>1715</v>
      </c>
      <c r="B1276" s="76">
        <v>8000</v>
      </c>
      <c r="C1276" t="s">
        <v>1641</v>
      </c>
      <c r="D1276" t="s">
        <v>1092</v>
      </c>
      <c r="E1276" s="75">
        <v>0.67708333333333337</v>
      </c>
      <c r="F1276" s="75">
        <v>0.73263888888888884</v>
      </c>
      <c r="H1276" s="75"/>
      <c r="I1276" s="75"/>
    </row>
    <row r="1277" spans="1:9" x14ac:dyDescent="0.6">
      <c r="A1277" t="s">
        <v>1715</v>
      </c>
      <c r="B1277" s="76">
        <v>8000</v>
      </c>
      <c r="C1277" t="s">
        <v>941</v>
      </c>
      <c r="D1277" t="s">
        <v>942</v>
      </c>
      <c r="E1277" s="75">
        <v>0.78472222222222221</v>
      </c>
      <c r="F1277" s="75">
        <v>0.82638888888888884</v>
      </c>
      <c r="H1277" s="75"/>
      <c r="I1277" s="75"/>
    </row>
    <row r="1278" spans="1:9" x14ac:dyDescent="0.6">
      <c r="A1278" t="s">
        <v>1716</v>
      </c>
      <c r="B1278" s="76">
        <v>1900</v>
      </c>
      <c r="C1278" t="s">
        <v>109</v>
      </c>
      <c r="D1278" t="s">
        <v>137</v>
      </c>
      <c r="E1278" s="75">
        <v>0.70833333333333337</v>
      </c>
      <c r="F1278" s="75">
        <v>0.71527777777777779</v>
      </c>
      <c r="H1278" s="75"/>
      <c r="I1278" s="75"/>
    </row>
    <row r="1279" spans="1:9" x14ac:dyDescent="0.6">
      <c r="A1279" t="s">
        <v>1716</v>
      </c>
      <c r="B1279" s="76">
        <v>1900</v>
      </c>
      <c r="C1279" t="s">
        <v>110</v>
      </c>
      <c r="D1279" t="s">
        <v>137</v>
      </c>
      <c r="E1279" s="75">
        <v>0.72916666666666663</v>
      </c>
      <c r="F1279" s="75">
        <v>0.73611111111111116</v>
      </c>
      <c r="H1279" s="75"/>
      <c r="I1279" s="75"/>
    </row>
    <row r="1280" spans="1:9" x14ac:dyDescent="0.6">
      <c r="A1280" t="s">
        <v>1716</v>
      </c>
      <c r="B1280" s="76">
        <v>1900</v>
      </c>
      <c r="C1280" t="s">
        <v>941</v>
      </c>
      <c r="D1280" t="s">
        <v>942</v>
      </c>
      <c r="E1280" s="75">
        <v>0.79166666666666663</v>
      </c>
      <c r="F1280" s="75">
        <v>0.80555555555555558</v>
      </c>
      <c r="H1280" s="75"/>
      <c r="I1280" s="75"/>
    </row>
    <row r="1281" spans="1:9" x14ac:dyDescent="0.6">
      <c r="A1281" t="s">
        <v>1717</v>
      </c>
      <c r="B1281" s="76">
        <v>1900</v>
      </c>
      <c r="C1281" t="s">
        <v>128</v>
      </c>
      <c r="D1281" t="s">
        <v>137</v>
      </c>
      <c r="E1281" s="75">
        <v>0.70833333333333337</v>
      </c>
      <c r="F1281" s="75">
        <v>0.71527777777777779</v>
      </c>
      <c r="H1281" s="75"/>
      <c r="I1281" s="75"/>
    </row>
    <row r="1282" spans="1:9" x14ac:dyDescent="0.6">
      <c r="A1282" t="s">
        <v>1717</v>
      </c>
      <c r="B1282" s="76">
        <v>1900</v>
      </c>
      <c r="C1282" t="s">
        <v>941</v>
      </c>
      <c r="D1282" t="s">
        <v>942</v>
      </c>
      <c r="E1282" s="75">
        <v>0.76388888888888884</v>
      </c>
      <c r="F1282" s="75">
        <v>0.77777777777777779</v>
      </c>
      <c r="H1282" s="75"/>
      <c r="I1282" s="75"/>
    </row>
    <row r="1283" spans="1:9" x14ac:dyDescent="0.6">
      <c r="A1283" t="s">
        <v>1718</v>
      </c>
      <c r="B1283" s="76">
        <v>5000</v>
      </c>
      <c r="C1283" t="s">
        <v>941</v>
      </c>
      <c r="D1283" t="s">
        <v>942</v>
      </c>
      <c r="E1283" s="75">
        <v>0.67708333333333337</v>
      </c>
      <c r="F1283" s="75">
        <v>0.6875</v>
      </c>
      <c r="H1283" s="75"/>
      <c r="I1283" s="75"/>
    </row>
    <row r="1284" spans="1:9" x14ac:dyDescent="0.6">
      <c r="A1284" t="s">
        <v>1718</v>
      </c>
      <c r="B1284" s="76">
        <v>5000</v>
      </c>
      <c r="C1284" t="s">
        <v>21</v>
      </c>
      <c r="D1284" t="s">
        <v>1092</v>
      </c>
      <c r="E1284" s="75">
        <v>0.73263888888888884</v>
      </c>
      <c r="F1284" s="75">
        <v>0.75347222222222221</v>
      </c>
      <c r="H1284" s="75"/>
      <c r="I1284" s="75"/>
    </row>
    <row r="1285" spans="1:9" x14ac:dyDescent="0.6">
      <c r="A1285" t="s">
        <v>1718</v>
      </c>
      <c r="B1285" s="76">
        <v>5000</v>
      </c>
      <c r="C1285" t="s">
        <v>941</v>
      </c>
      <c r="D1285" t="s">
        <v>942</v>
      </c>
      <c r="E1285" s="75">
        <v>0.78819444444444442</v>
      </c>
      <c r="F1285" s="75">
        <v>0.80902777777777779</v>
      </c>
      <c r="H1285" s="75"/>
      <c r="I1285" s="75"/>
    </row>
    <row r="1286" spans="1:9" x14ac:dyDescent="0.6">
      <c r="A1286" t="s">
        <v>1719</v>
      </c>
      <c r="B1286" s="76">
        <v>1900</v>
      </c>
      <c r="C1286" t="s">
        <v>126</v>
      </c>
      <c r="D1286" t="s">
        <v>137</v>
      </c>
      <c r="E1286" s="75">
        <v>0.71875</v>
      </c>
      <c r="F1286" s="75">
        <v>0.72916666666666663</v>
      </c>
      <c r="H1286" s="75"/>
      <c r="I1286" s="75"/>
    </row>
    <row r="1287" spans="1:9" x14ac:dyDescent="0.6">
      <c r="A1287" t="s">
        <v>1719</v>
      </c>
      <c r="B1287" s="76">
        <v>1900</v>
      </c>
      <c r="C1287" t="s">
        <v>941</v>
      </c>
      <c r="D1287" t="s">
        <v>942</v>
      </c>
      <c r="E1287" s="75">
        <v>0.78472222222222221</v>
      </c>
      <c r="F1287" s="75">
        <v>0.79861111111111116</v>
      </c>
      <c r="H1287" s="75"/>
      <c r="I1287" s="75"/>
    </row>
    <row r="1288" spans="1:9" x14ac:dyDescent="0.6">
      <c r="A1288" t="s">
        <v>1720</v>
      </c>
      <c r="B1288" s="76">
        <v>1900</v>
      </c>
      <c r="C1288" t="s">
        <v>130</v>
      </c>
      <c r="D1288" t="s">
        <v>137</v>
      </c>
      <c r="E1288" s="75">
        <v>0.71875</v>
      </c>
      <c r="F1288" s="75">
        <v>0.72916666666666663</v>
      </c>
      <c r="H1288" s="75"/>
      <c r="I1288" s="75"/>
    </row>
    <row r="1289" spans="1:9" x14ac:dyDescent="0.6">
      <c r="A1289" t="s">
        <v>1720</v>
      </c>
      <c r="B1289" s="76">
        <v>1900</v>
      </c>
      <c r="C1289" t="s">
        <v>941</v>
      </c>
      <c r="D1289" t="s">
        <v>942</v>
      </c>
      <c r="E1289" s="75">
        <v>0.78472222222222221</v>
      </c>
      <c r="F1289" s="75">
        <v>0.79861111111111116</v>
      </c>
      <c r="H1289" s="75"/>
      <c r="I1289" s="75"/>
    </row>
    <row r="1290" spans="1:9" x14ac:dyDescent="0.6">
      <c r="A1290" t="s">
        <v>1721</v>
      </c>
      <c r="B1290" s="76">
        <v>1900</v>
      </c>
      <c r="C1290" t="s">
        <v>122</v>
      </c>
      <c r="D1290" t="s">
        <v>137</v>
      </c>
      <c r="E1290" s="75">
        <v>0.71875</v>
      </c>
      <c r="F1290" s="75">
        <v>0.72569444444444442</v>
      </c>
      <c r="H1290" s="75"/>
      <c r="I1290" s="75"/>
    </row>
    <row r="1291" spans="1:9" x14ac:dyDescent="0.6">
      <c r="A1291" t="s">
        <v>1721</v>
      </c>
      <c r="B1291" s="76">
        <v>1900</v>
      </c>
      <c r="C1291" t="s">
        <v>121</v>
      </c>
      <c r="D1291" t="s">
        <v>137</v>
      </c>
      <c r="E1291" s="75">
        <v>0.73611111111111116</v>
      </c>
      <c r="F1291" s="75">
        <v>0.74305555555555558</v>
      </c>
      <c r="H1291" s="75"/>
      <c r="I1291" s="75"/>
    </row>
    <row r="1292" spans="1:9" x14ac:dyDescent="0.6">
      <c r="A1292" t="s">
        <v>1721</v>
      </c>
      <c r="B1292" s="76">
        <v>1900</v>
      </c>
      <c r="C1292" t="s">
        <v>941</v>
      </c>
      <c r="D1292" t="s">
        <v>942</v>
      </c>
      <c r="E1292" s="75">
        <v>0.79861111111111116</v>
      </c>
      <c r="F1292" s="75">
        <v>0.8125</v>
      </c>
      <c r="H1292" s="75"/>
      <c r="I1292" s="75"/>
    </row>
    <row r="1293" spans="1:9" x14ac:dyDescent="0.6">
      <c r="A1293" t="s">
        <v>1722</v>
      </c>
      <c r="B1293" s="76">
        <v>1900</v>
      </c>
      <c r="C1293" t="s">
        <v>114</v>
      </c>
      <c r="D1293" t="s">
        <v>137</v>
      </c>
      <c r="E1293" s="75">
        <v>0.72222222222222221</v>
      </c>
      <c r="F1293" s="75">
        <v>0.73611111111111116</v>
      </c>
      <c r="H1293" s="75"/>
      <c r="I1293" s="75"/>
    </row>
    <row r="1294" spans="1:9" x14ac:dyDescent="0.6">
      <c r="A1294" t="s">
        <v>1722</v>
      </c>
      <c r="B1294" s="76">
        <v>1900</v>
      </c>
      <c r="C1294" t="s">
        <v>941</v>
      </c>
      <c r="D1294" t="s">
        <v>942</v>
      </c>
      <c r="E1294" s="75">
        <v>0.80208333333333337</v>
      </c>
      <c r="F1294" s="75">
        <v>0.81597222222222221</v>
      </c>
      <c r="H1294" s="75"/>
      <c r="I1294" s="75"/>
    </row>
    <row r="1295" spans="1:9" x14ac:dyDescent="0.6">
      <c r="A1295" t="s">
        <v>1723</v>
      </c>
      <c r="B1295" s="76">
        <v>1900</v>
      </c>
      <c r="C1295" t="s">
        <v>127</v>
      </c>
      <c r="D1295" t="s">
        <v>137</v>
      </c>
      <c r="E1295" s="75">
        <v>0.72569444444444442</v>
      </c>
      <c r="F1295" s="75">
        <v>0.73958333333333337</v>
      </c>
      <c r="H1295" s="75"/>
      <c r="I1295" s="75"/>
    </row>
    <row r="1296" spans="1:9" x14ac:dyDescent="0.6">
      <c r="A1296" t="s">
        <v>1723</v>
      </c>
      <c r="B1296" s="76">
        <v>1900</v>
      </c>
      <c r="C1296" t="s">
        <v>941</v>
      </c>
      <c r="D1296" t="s">
        <v>942</v>
      </c>
      <c r="E1296" s="75">
        <v>0.79513888888888884</v>
      </c>
      <c r="F1296" s="75">
        <v>0.80902777777777779</v>
      </c>
      <c r="H1296" s="75"/>
      <c r="I1296" s="75"/>
    </row>
    <row r="1297" spans="1:9" x14ac:dyDescent="0.6">
      <c r="A1297" t="s">
        <v>1724</v>
      </c>
      <c r="B1297" s="76">
        <v>1900</v>
      </c>
      <c r="C1297" t="s">
        <v>110</v>
      </c>
      <c r="D1297" t="s">
        <v>137</v>
      </c>
      <c r="E1297" s="75">
        <v>0.72916666666666663</v>
      </c>
      <c r="F1297" s="75">
        <v>0.74305555555555558</v>
      </c>
      <c r="H1297" s="75"/>
      <c r="I1297" s="75"/>
    </row>
    <row r="1298" spans="1:9" x14ac:dyDescent="0.6">
      <c r="A1298" t="s">
        <v>1724</v>
      </c>
      <c r="B1298" s="76">
        <v>1900</v>
      </c>
      <c r="C1298" t="s">
        <v>941</v>
      </c>
      <c r="D1298" t="s">
        <v>942</v>
      </c>
      <c r="E1298" s="75">
        <v>0.80902777777777779</v>
      </c>
      <c r="F1298" s="75">
        <v>0.82291666666666663</v>
      </c>
      <c r="H1298" s="75"/>
      <c r="I1298" s="75"/>
    </row>
    <row r="1299" spans="1:9" x14ac:dyDescent="0.6">
      <c r="A1299" t="s">
        <v>1725</v>
      </c>
      <c r="B1299" s="76">
        <v>1900</v>
      </c>
      <c r="C1299" t="s">
        <v>56</v>
      </c>
      <c r="D1299" t="s">
        <v>137</v>
      </c>
      <c r="E1299" s="75">
        <v>0.72916666666666663</v>
      </c>
      <c r="F1299" s="75">
        <v>0.74305555555555558</v>
      </c>
      <c r="H1299" s="75"/>
      <c r="I1299" s="75"/>
    </row>
    <row r="1300" spans="1:9" x14ac:dyDescent="0.6">
      <c r="A1300" t="s">
        <v>1725</v>
      </c>
      <c r="B1300" s="76">
        <v>1900</v>
      </c>
      <c r="C1300" t="s">
        <v>941</v>
      </c>
      <c r="D1300" t="s">
        <v>942</v>
      </c>
      <c r="E1300" s="75">
        <v>0.79861111111111116</v>
      </c>
      <c r="F1300" s="75">
        <v>0.8125</v>
      </c>
      <c r="H1300" s="75"/>
      <c r="I1300" s="75"/>
    </row>
    <row r="1301" spans="1:9" x14ac:dyDescent="0.6">
      <c r="A1301" t="s">
        <v>1726</v>
      </c>
      <c r="B1301" s="76">
        <v>1900</v>
      </c>
      <c r="C1301" t="s">
        <v>33</v>
      </c>
      <c r="D1301" t="s">
        <v>137</v>
      </c>
      <c r="E1301" s="75">
        <v>0.72916666666666663</v>
      </c>
      <c r="F1301" s="75">
        <v>0.74305555555555558</v>
      </c>
      <c r="H1301" s="75"/>
      <c r="I1301" s="75"/>
    </row>
    <row r="1302" spans="1:9" x14ac:dyDescent="0.6">
      <c r="A1302" t="s">
        <v>1726</v>
      </c>
      <c r="B1302" s="76">
        <v>1900</v>
      </c>
      <c r="C1302" t="s">
        <v>941</v>
      </c>
      <c r="D1302" t="s">
        <v>942</v>
      </c>
      <c r="E1302" s="75">
        <v>0.77777777777777779</v>
      </c>
      <c r="F1302" s="75">
        <v>0.79166666666666663</v>
      </c>
      <c r="H1302" s="75"/>
      <c r="I1302" s="75"/>
    </row>
    <row r="1303" spans="1:9" x14ac:dyDescent="0.6">
      <c r="A1303" t="s">
        <v>1727</v>
      </c>
      <c r="B1303" s="76">
        <v>1900</v>
      </c>
      <c r="C1303" t="s">
        <v>52</v>
      </c>
      <c r="D1303" t="s">
        <v>137</v>
      </c>
      <c r="E1303" s="75">
        <v>0.72916666666666663</v>
      </c>
      <c r="F1303" s="75">
        <v>0.74305555555555558</v>
      </c>
      <c r="H1303" s="75"/>
      <c r="I1303" s="75"/>
    </row>
    <row r="1304" spans="1:9" x14ac:dyDescent="0.6">
      <c r="A1304" t="s">
        <v>1727</v>
      </c>
      <c r="B1304" s="76">
        <v>1900</v>
      </c>
      <c r="C1304" t="s">
        <v>941</v>
      </c>
      <c r="D1304" t="s">
        <v>942</v>
      </c>
      <c r="E1304" s="75">
        <v>0.79166666666666663</v>
      </c>
      <c r="F1304" s="75">
        <v>0.80555555555555558</v>
      </c>
      <c r="H1304" s="75"/>
      <c r="I1304" s="75"/>
    </row>
    <row r="1305" spans="1:9" x14ac:dyDescent="0.6">
      <c r="A1305" t="s">
        <v>1728</v>
      </c>
      <c r="B1305" s="76">
        <v>5000</v>
      </c>
      <c r="C1305" t="s">
        <v>941</v>
      </c>
      <c r="D1305" t="s">
        <v>942</v>
      </c>
      <c r="E1305" s="75">
        <v>0.70833333333333337</v>
      </c>
      <c r="F1305" s="75">
        <v>0.72222222222222221</v>
      </c>
      <c r="H1305" s="75"/>
      <c r="I1305" s="75"/>
    </row>
    <row r="1306" spans="1:9" x14ac:dyDescent="0.6">
      <c r="A1306" t="s">
        <v>1728</v>
      </c>
      <c r="B1306" s="76">
        <v>5000</v>
      </c>
      <c r="C1306" t="s">
        <v>146</v>
      </c>
      <c r="D1306" t="s">
        <v>137</v>
      </c>
      <c r="E1306" s="75">
        <v>0.79166666666666663</v>
      </c>
      <c r="F1306" s="75">
        <v>0.8125</v>
      </c>
      <c r="H1306" s="75"/>
      <c r="I1306" s="75"/>
    </row>
    <row r="1307" spans="1:9" x14ac:dyDescent="0.6">
      <c r="A1307" t="s">
        <v>1728</v>
      </c>
      <c r="B1307" s="76">
        <v>5000</v>
      </c>
      <c r="C1307" t="s">
        <v>941</v>
      </c>
      <c r="D1307" t="s">
        <v>942</v>
      </c>
      <c r="E1307" s="75">
        <v>0.875</v>
      </c>
      <c r="F1307" s="75">
        <v>0.89583333333333337</v>
      </c>
      <c r="H1307" s="75"/>
      <c r="I1307" s="75"/>
    </row>
    <row r="1308" spans="1:9" x14ac:dyDescent="0.6">
      <c r="A1308" t="s">
        <v>1729</v>
      </c>
      <c r="B1308" s="76">
        <v>1900</v>
      </c>
      <c r="C1308" t="s">
        <v>22</v>
      </c>
      <c r="D1308" t="s">
        <v>137</v>
      </c>
      <c r="E1308" s="75">
        <v>0.75</v>
      </c>
      <c r="F1308" s="75">
        <v>0.76388888888888884</v>
      </c>
      <c r="H1308" s="75"/>
      <c r="I1308" s="75"/>
    </row>
    <row r="1309" spans="1:9" x14ac:dyDescent="0.6">
      <c r="A1309" t="s">
        <v>1729</v>
      </c>
      <c r="B1309" s="76">
        <v>1900</v>
      </c>
      <c r="C1309" t="s">
        <v>941</v>
      </c>
      <c r="D1309" t="s">
        <v>942</v>
      </c>
      <c r="E1309" s="75">
        <v>0.80555555555555558</v>
      </c>
      <c r="F1309" s="75">
        <v>0.81944444444444442</v>
      </c>
      <c r="H1309" s="75"/>
      <c r="I1309" s="75"/>
    </row>
    <row r="1310" spans="1:9" x14ac:dyDescent="0.6">
      <c r="A1310" t="s">
        <v>1730</v>
      </c>
      <c r="B1310" s="76">
        <v>1900</v>
      </c>
      <c r="C1310" t="s">
        <v>133</v>
      </c>
      <c r="D1310" t="s">
        <v>137</v>
      </c>
      <c r="E1310" s="75">
        <v>0.72916666666666663</v>
      </c>
      <c r="F1310" s="75">
        <v>0.74305555555555558</v>
      </c>
      <c r="H1310" s="75"/>
      <c r="I1310" s="75"/>
    </row>
    <row r="1311" spans="1:9" x14ac:dyDescent="0.6">
      <c r="A1311" t="s">
        <v>1730</v>
      </c>
      <c r="B1311" s="76">
        <v>1900</v>
      </c>
      <c r="C1311" t="s">
        <v>941</v>
      </c>
      <c r="D1311" t="s">
        <v>942</v>
      </c>
      <c r="E1311" s="75">
        <v>0.82638888888888884</v>
      </c>
      <c r="F1311" s="75">
        <v>0.84027777777777779</v>
      </c>
      <c r="H1311" s="75"/>
      <c r="I1311" s="75"/>
    </row>
    <row r="1312" spans="1:9" x14ac:dyDescent="0.6">
      <c r="A1312" t="s">
        <v>1731</v>
      </c>
      <c r="B1312" s="76">
        <v>1900</v>
      </c>
      <c r="C1312" t="s">
        <v>941</v>
      </c>
      <c r="D1312" t="s">
        <v>942</v>
      </c>
      <c r="E1312" s="75">
        <v>0.69444444444444442</v>
      </c>
      <c r="F1312" s="75">
        <v>0.70486111111111116</v>
      </c>
      <c r="H1312" s="75"/>
      <c r="I1312" s="75"/>
    </row>
    <row r="1313" spans="1:9" x14ac:dyDescent="0.6">
      <c r="A1313" t="s">
        <v>1731</v>
      </c>
      <c r="B1313" s="76">
        <v>1900</v>
      </c>
      <c r="C1313" t="s">
        <v>49</v>
      </c>
      <c r="D1313" t="s">
        <v>1092</v>
      </c>
      <c r="E1313" s="75">
        <v>0.73611111111111116</v>
      </c>
      <c r="F1313" s="75">
        <v>0.75</v>
      </c>
      <c r="H1313" s="75"/>
      <c r="I1313" s="75"/>
    </row>
    <row r="1314" spans="1:9" x14ac:dyDescent="0.6">
      <c r="A1314" t="s">
        <v>1731</v>
      </c>
      <c r="B1314" s="76">
        <v>1900</v>
      </c>
      <c r="C1314" t="s">
        <v>941</v>
      </c>
      <c r="D1314" t="s">
        <v>942</v>
      </c>
      <c r="E1314" s="75">
        <v>0.79166666666666663</v>
      </c>
      <c r="F1314" s="75">
        <v>0.80555555555555558</v>
      </c>
      <c r="H1314" s="75"/>
      <c r="I1314" s="75"/>
    </row>
    <row r="1315" spans="1:9" x14ac:dyDescent="0.6">
      <c r="A1315" t="s">
        <v>1732</v>
      </c>
      <c r="B1315" s="76">
        <v>1900</v>
      </c>
      <c r="C1315" t="s">
        <v>119</v>
      </c>
      <c r="D1315" t="s">
        <v>137</v>
      </c>
      <c r="E1315" s="75">
        <v>0.75</v>
      </c>
      <c r="F1315" s="75">
        <v>0.76388888888888884</v>
      </c>
      <c r="H1315" s="75"/>
      <c r="I1315" s="75"/>
    </row>
    <row r="1316" spans="1:9" x14ac:dyDescent="0.6">
      <c r="A1316" t="s">
        <v>1732</v>
      </c>
      <c r="B1316" s="76">
        <v>1900</v>
      </c>
      <c r="C1316" t="s">
        <v>941</v>
      </c>
      <c r="D1316" t="s">
        <v>942</v>
      </c>
      <c r="E1316" s="75">
        <v>0.80555555555555558</v>
      </c>
      <c r="F1316" s="75">
        <v>0.81944444444444442</v>
      </c>
      <c r="H1316" s="75"/>
      <c r="I1316" s="75"/>
    </row>
    <row r="1317" spans="1:9" x14ac:dyDescent="0.6">
      <c r="A1317" t="s">
        <v>1733</v>
      </c>
      <c r="B1317" s="76">
        <v>1900</v>
      </c>
      <c r="C1317" t="s">
        <v>941</v>
      </c>
      <c r="D1317" t="s">
        <v>942</v>
      </c>
      <c r="E1317" s="75">
        <v>0.67361111111111116</v>
      </c>
      <c r="F1317" s="75">
        <v>0.68402777777777779</v>
      </c>
      <c r="H1317" s="75"/>
      <c r="I1317" s="75"/>
    </row>
    <row r="1318" spans="1:9" x14ac:dyDescent="0.6">
      <c r="A1318" t="s">
        <v>1733</v>
      </c>
      <c r="B1318" s="76">
        <v>1900</v>
      </c>
      <c r="C1318" t="s">
        <v>23</v>
      </c>
      <c r="D1318" t="s">
        <v>1092</v>
      </c>
      <c r="E1318" s="75">
        <v>0.73611111111111116</v>
      </c>
      <c r="F1318" s="75">
        <v>0.75</v>
      </c>
      <c r="H1318" s="75"/>
      <c r="I1318" s="75"/>
    </row>
    <row r="1319" spans="1:9" x14ac:dyDescent="0.6">
      <c r="A1319" t="s">
        <v>1733</v>
      </c>
      <c r="B1319" s="76">
        <v>1900</v>
      </c>
      <c r="C1319" t="s">
        <v>941</v>
      </c>
      <c r="D1319" t="s">
        <v>942</v>
      </c>
      <c r="E1319" s="75">
        <v>0.80555555555555558</v>
      </c>
      <c r="F1319" s="75">
        <v>0.81944444444444442</v>
      </c>
      <c r="H1319" s="75"/>
      <c r="I1319" s="75"/>
    </row>
    <row r="1320" spans="1:9" x14ac:dyDescent="0.6">
      <c r="A1320" t="s">
        <v>1734</v>
      </c>
      <c r="B1320" s="76">
        <v>1900</v>
      </c>
      <c r="C1320" t="s">
        <v>1535</v>
      </c>
      <c r="D1320" t="s">
        <v>137</v>
      </c>
      <c r="E1320" s="75">
        <v>0.70833333333333337</v>
      </c>
      <c r="F1320" s="75">
        <v>0.72222222222222221</v>
      </c>
      <c r="H1320" s="75"/>
      <c r="I1320" s="75"/>
    </row>
    <row r="1321" spans="1:9" x14ac:dyDescent="0.6">
      <c r="A1321" t="s">
        <v>1734</v>
      </c>
      <c r="B1321" s="76">
        <v>1900</v>
      </c>
      <c r="C1321" t="s">
        <v>941</v>
      </c>
      <c r="D1321" t="s">
        <v>942</v>
      </c>
      <c r="E1321" s="75">
        <v>0.77083333333333337</v>
      </c>
      <c r="F1321" s="75">
        <v>0.78472222222222221</v>
      </c>
      <c r="H1321" s="75"/>
      <c r="I1321" s="75"/>
    </row>
    <row r="1322" spans="1:9" x14ac:dyDescent="0.6">
      <c r="A1322" t="s">
        <v>1735</v>
      </c>
      <c r="B1322" s="76">
        <v>1900</v>
      </c>
      <c r="C1322" t="s">
        <v>941</v>
      </c>
      <c r="D1322" t="s">
        <v>942</v>
      </c>
      <c r="E1322" s="75">
        <v>0.68402777777777779</v>
      </c>
      <c r="F1322" s="75">
        <v>0.69444444444444442</v>
      </c>
      <c r="H1322" s="75"/>
      <c r="I1322" s="75"/>
    </row>
    <row r="1323" spans="1:9" x14ac:dyDescent="0.6">
      <c r="A1323" t="s">
        <v>1735</v>
      </c>
      <c r="B1323" s="76">
        <v>1900</v>
      </c>
      <c r="C1323" t="s">
        <v>31</v>
      </c>
      <c r="D1323" t="s">
        <v>1092</v>
      </c>
      <c r="E1323" s="75">
        <v>0.73611111111111116</v>
      </c>
      <c r="F1323" s="75">
        <v>0.75</v>
      </c>
      <c r="H1323" s="75"/>
      <c r="I1323" s="75"/>
    </row>
    <row r="1324" spans="1:9" x14ac:dyDescent="0.6">
      <c r="A1324" t="s">
        <v>1735</v>
      </c>
      <c r="B1324" s="76">
        <v>1900</v>
      </c>
      <c r="C1324" t="s">
        <v>941</v>
      </c>
      <c r="D1324" t="s">
        <v>942</v>
      </c>
      <c r="E1324" s="75">
        <v>0.79166666666666663</v>
      </c>
      <c r="F1324" s="75">
        <v>0.80555555555555558</v>
      </c>
      <c r="H1324" s="75"/>
      <c r="I1324" s="75"/>
    </row>
    <row r="1325" spans="1:9" x14ac:dyDescent="0.6">
      <c r="A1325" t="s">
        <v>1736</v>
      </c>
      <c r="B1325" s="76">
        <v>1900</v>
      </c>
      <c r="C1325" t="s">
        <v>94</v>
      </c>
      <c r="D1325" t="s">
        <v>137</v>
      </c>
      <c r="E1325" s="75">
        <v>0.75</v>
      </c>
      <c r="F1325" s="75">
        <v>0.76388888888888884</v>
      </c>
      <c r="H1325" s="75"/>
      <c r="I1325" s="75"/>
    </row>
    <row r="1326" spans="1:9" x14ac:dyDescent="0.6">
      <c r="A1326" t="s">
        <v>1736</v>
      </c>
      <c r="B1326" s="76">
        <v>1900</v>
      </c>
      <c r="C1326" t="s">
        <v>941</v>
      </c>
      <c r="D1326" t="s">
        <v>942</v>
      </c>
      <c r="E1326" s="75">
        <v>0.8125</v>
      </c>
      <c r="F1326" s="75">
        <v>0.82638888888888884</v>
      </c>
      <c r="H1326" s="75"/>
      <c r="I1326" s="75"/>
    </row>
    <row r="1327" spans="1:9" x14ac:dyDescent="0.6">
      <c r="A1327" t="s">
        <v>1737</v>
      </c>
      <c r="B1327" s="76">
        <v>1900</v>
      </c>
      <c r="C1327" t="s">
        <v>77</v>
      </c>
      <c r="D1327" t="s">
        <v>137</v>
      </c>
      <c r="E1327" s="75">
        <v>0.77083333333333337</v>
      </c>
      <c r="F1327" s="75">
        <v>0.77777777777777779</v>
      </c>
      <c r="H1327" s="75"/>
      <c r="I1327" s="75"/>
    </row>
    <row r="1328" spans="1:9" x14ac:dyDescent="0.6">
      <c r="A1328" t="s">
        <v>1737</v>
      </c>
      <c r="B1328" s="76">
        <v>1900</v>
      </c>
      <c r="C1328" t="s">
        <v>78</v>
      </c>
      <c r="D1328" t="s">
        <v>137</v>
      </c>
      <c r="E1328" s="75">
        <v>0.78472222222222221</v>
      </c>
      <c r="F1328" s="75">
        <v>0.79166666666666663</v>
      </c>
      <c r="H1328" s="75"/>
      <c r="I1328" s="75"/>
    </row>
    <row r="1329" spans="1:9" x14ac:dyDescent="0.6">
      <c r="A1329" t="s">
        <v>1737</v>
      </c>
      <c r="B1329" s="76">
        <v>1900</v>
      </c>
      <c r="C1329" t="s">
        <v>941</v>
      </c>
      <c r="D1329" t="s">
        <v>942</v>
      </c>
      <c r="E1329" s="75">
        <v>0.85416666666666663</v>
      </c>
      <c r="F1329" s="75">
        <v>0.86805555555555558</v>
      </c>
      <c r="H1329" s="75"/>
      <c r="I1329" s="75"/>
    </row>
    <row r="1330" spans="1:9" x14ac:dyDescent="0.6">
      <c r="A1330" t="s">
        <v>1738</v>
      </c>
      <c r="B1330" s="76">
        <v>1900</v>
      </c>
      <c r="C1330" t="s">
        <v>92</v>
      </c>
      <c r="D1330" t="s">
        <v>137</v>
      </c>
      <c r="E1330" s="75">
        <v>0.75</v>
      </c>
      <c r="F1330" s="75">
        <v>0.76388888888888884</v>
      </c>
      <c r="H1330" s="75"/>
      <c r="I1330" s="75"/>
    </row>
    <row r="1331" spans="1:9" x14ac:dyDescent="0.6">
      <c r="A1331" t="s">
        <v>1738</v>
      </c>
      <c r="B1331" s="76">
        <v>1900</v>
      </c>
      <c r="C1331" t="s">
        <v>941</v>
      </c>
      <c r="D1331" t="s">
        <v>942</v>
      </c>
      <c r="E1331" s="75">
        <v>0.8125</v>
      </c>
      <c r="F1331" s="75">
        <v>0.82638888888888884</v>
      </c>
      <c r="H1331" s="75"/>
      <c r="I1331" s="75"/>
    </row>
    <row r="1332" spans="1:9" x14ac:dyDescent="0.6">
      <c r="A1332" t="s">
        <v>1739</v>
      </c>
      <c r="B1332" s="76">
        <v>1900</v>
      </c>
      <c r="C1332" t="s">
        <v>941</v>
      </c>
      <c r="D1332" t="s">
        <v>942</v>
      </c>
      <c r="E1332" s="75">
        <v>0.69791666666666663</v>
      </c>
      <c r="F1332" s="75">
        <v>0.70833333333333337</v>
      </c>
      <c r="H1332" s="75"/>
      <c r="I1332" s="75"/>
    </row>
    <row r="1333" spans="1:9" x14ac:dyDescent="0.6">
      <c r="A1333" t="s">
        <v>1739</v>
      </c>
      <c r="B1333" s="76">
        <v>1900</v>
      </c>
      <c r="C1333" t="s">
        <v>27</v>
      </c>
      <c r="D1333" t="s">
        <v>1092</v>
      </c>
      <c r="E1333" s="75">
        <v>0.75</v>
      </c>
      <c r="F1333" s="75">
        <v>0.76388888888888884</v>
      </c>
      <c r="H1333" s="75"/>
      <c r="I1333" s="75"/>
    </row>
    <row r="1334" spans="1:9" x14ac:dyDescent="0.6">
      <c r="A1334" t="s">
        <v>1739</v>
      </c>
      <c r="B1334" s="76">
        <v>1900</v>
      </c>
      <c r="C1334" t="s">
        <v>941</v>
      </c>
      <c r="D1334" t="s">
        <v>942</v>
      </c>
      <c r="E1334" s="75">
        <v>0.8125</v>
      </c>
      <c r="F1334" s="75">
        <v>0.82638888888888884</v>
      </c>
      <c r="H1334" s="75"/>
      <c r="I1334" s="75"/>
    </row>
    <row r="1335" spans="1:9" x14ac:dyDescent="0.6">
      <c r="A1335" t="s">
        <v>1740</v>
      </c>
      <c r="B1335" s="76">
        <v>1900</v>
      </c>
      <c r="C1335" t="s">
        <v>51</v>
      </c>
      <c r="D1335" t="s">
        <v>137</v>
      </c>
      <c r="E1335" s="75">
        <v>0.75</v>
      </c>
      <c r="F1335" s="75">
        <v>0.76388888888888884</v>
      </c>
      <c r="H1335" s="75"/>
      <c r="I1335" s="75"/>
    </row>
    <row r="1336" spans="1:9" x14ac:dyDescent="0.6">
      <c r="A1336" t="s">
        <v>1740</v>
      </c>
      <c r="B1336" s="76">
        <v>1900</v>
      </c>
      <c r="C1336" t="s">
        <v>941</v>
      </c>
      <c r="D1336" t="s">
        <v>942</v>
      </c>
      <c r="E1336" s="75">
        <v>0.8125</v>
      </c>
      <c r="F1336" s="75">
        <v>0.82638888888888884</v>
      </c>
      <c r="H1336" s="75"/>
      <c r="I1336" s="75"/>
    </row>
    <row r="1337" spans="1:9" x14ac:dyDescent="0.6">
      <c r="A1337" t="s">
        <v>1741</v>
      </c>
      <c r="B1337" s="76">
        <v>1900</v>
      </c>
      <c r="C1337" t="s">
        <v>16</v>
      </c>
      <c r="D1337" t="s">
        <v>137</v>
      </c>
      <c r="E1337" s="75">
        <v>0.75</v>
      </c>
      <c r="F1337" s="75">
        <v>0.75694444444444442</v>
      </c>
      <c r="H1337" s="75"/>
      <c r="I1337" s="75"/>
    </row>
    <row r="1338" spans="1:9" x14ac:dyDescent="0.6">
      <c r="A1338" t="s">
        <v>1741</v>
      </c>
      <c r="B1338" s="76">
        <v>1900</v>
      </c>
      <c r="C1338" t="s">
        <v>18</v>
      </c>
      <c r="D1338" t="s">
        <v>137</v>
      </c>
      <c r="E1338" s="75">
        <v>0.77083333333333337</v>
      </c>
      <c r="F1338" s="75">
        <v>0.77777777777777779</v>
      </c>
      <c r="H1338" s="75"/>
      <c r="I1338" s="75"/>
    </row>
    <row r="1339" spans="1:9" x14ac:dyDescent="0.6">
      <c r="A1339" t="s">
        <v>1741</v>
      </c>
      <c r="B1339" s="76">
        <v>1900</v>
      </c>
      <c r="C1339" t="s">
        <v>941</v>
      </c>
      <c r="D1339" t="s">
        <v>942</v>
      </c>
      <c r="E1339" s="75">
        <v>0.83333333333333337</v>
      </c>
      <c r="F1339" s="75">
        <v>0.84722222222222221</v>
      </c>
      <c r="H1339" s="75"/>
      <c r="I1339" s="75"/>
    </row>
    <row r="1340" spans="1:9" x14ac:dyDescent="0.6">
      <c r="A1340" t="s">
        <v>1742</v>
      </c>
      <c r="B1340" s="76">
        <v>1900</v>
      </c>
      <c r="C1340" t="s">
        <v>24</v>
      </c>
      <c r="D1340" t="s">
        <v>137</v>
      </c>
      <c r="E1340" s="75">
        <v>0.75694444444444442</v>
      </c>
      <c r="F1340" s="75">
        <v>0.77083333333333337</v>
      </c>
      <c r="H1340" s="75"/>
      <c r="I1340" s="75"/>
    </row>
    <row r="1341" spans="1:9" x14ac:dyDescent="0.6">
      <c r="A1341" t="s">
        <v>1742</v>
      </c>
      <c r="B1341" s="76">
        <v>1900</v>
      </c>
      <c r="C1341" t="s">
        <v>941</v>
      </c>
      <c r="D1341" t="s">
        <v>942</v>
      </c>
      <c r="E1341" s="75">
        <v>0.8125</v>
      </c>
      <c r="F1341" s="75">
        <v>0.82638888888888884</v>
      </c>
      <c r="H1341" s="75"/>
      <c r="I1341" s="75"/>
    </row>
    <row r="1342" spans="1:9" x14ac:dyDescent="0.6">
      <c r="A1342" t="s">
        <v>1743</v>
      </c>
      <c r="B1342" s="76">
        <v>5000</v>
      </c>
      <c r="C1342" t="s">
        <v>73</v>
      </c>
      <c r="D1342" t="s">
        <v>137</v>
      </c>
      <c r="E1342" s="75">
        <v>0.76041666666666663</v>
      </c>
      <c r="F1342" s="75">
        <v>0.78125</v>
      </c>
      <c r="H1342" s="75"/>
      <c r="I1342" s="75"/>
    </row>
    <row r="1343" spans="1:9" x14ac:dyDescent="0.6">
      <c r="A1343" t="s">
        <v>1743</v>
      </c>
      <c r="B1343" s="76">
        <v>5000</v>
      </c>
      <c r="C1343" t="s">
        <v>941</v>
      </c>
      <c r="D1343" t="s">
        <v>942</v>
      </c>
      <c r="E1343" s="75">
        <v>0.86458333333333337</v>
      </c>
      <c r="F1343" s="75">
        <v>0.88541666666666663</v>
      </c>
      <c r="H1343" s="75"/>
      <c r="I1343" s="75"/>
    </row>
    <row r="1344" spans="1:9" x14ac:dyDescent="0.6">
      <c r="A1344" t="s">
        <v>1744</v>
      </c>
      <c r="B1344" s="76">
        <v>5000</v>
      </c>
      <c r="C1344" t="s">
        <v>941</v>
      </c>
      <c r="D1344" t="s">
        <v>942</v>
      </c>
      <c r="E1344" s="75">
        <v>0.72916666666666663</v>
      </c>
      <c r="F1344" s="75">
        <v>0.73958333333333337</v>
      </c>
      <c r="H1344" s="75"/>
      <c r="I1344" s="75"/>
    </row>
    <row r="1345" spans="1:9" x14ac:dyDescent="0.6">
      <c r="A1345" t="s">
        <v>1744</v>
      </c>
      <c r="B1345" s="76">
        <v>5000</v>
      </c>
      <c r="C1345" t="s">
        <v>34</v>
      </c>
      <c r="D1345" t="s">
        <v>1092</v>
      </c>
      <c r="E1345" s="75">
        <v>0.76041666666666663</v>
      </c>
      <c r="F1345" s="75">
        <v>0.78125</v>
      </c>
      <c r="H1345" s="75"/>
      <c r="I1345" s="75"/>
    </row>
    <row r="1346" spans="1:9" x14ac:dyDescent="0.6">
      <c r="A1346" t="s">
        <v>1744</v>
      </c>
      <c r="B1346" s="76">
        <v>5000</v>
      </c>
      <c r="C1346" t="s">
        <v>941</v>
      </c>
      <c r="D1346" t="s">
        <v>942</v>
      </c>
      <c r="E1346" s="75">
        <v>0.80902777777777779</v>
      </c>
      <c r="F1346" s="75">
        <v>0.82291666666666663</v>
      </c>
      <c r="H1346" s="75"/>
      <c r="I1346" s="75"/>
    </row>
    <row r="1347" spans="1:9" x14ac:dyDescent="0.6">
      <c r="A1347" t="s">
        <v>1745</v>
      </c>
      <c r="B1347" s="76">
        <v>1900</v>
      </c>
      <c r="C1347" t="s">
        <v>84</v>
      </c>
      <c r="D1347" t="s">
        <v>137</v>
      </c>
      <c r="E1347" s="75">
        <v>0.76041666666666663</v>
      </c>
      <c r="F1347" s="75">
        <v>0.76736111111111116</v>
      </c>
      <c r="H1347" s="75"/>
      <c r="I1347" s="75"/>
    </row>
    <row r="1348" spans="1:9" x14ac:dyDescent="0.6">
      <c r="A1348" t="s">
        <v>1745</v>
      </c>
      <c r="B1348" s="76">
        <v>1900</v>
      </c>
      <c r="C1348" t="s">
        <v>60</v>
      </c>
      <c r="D1348" t="s">
        <v>137</v>
      </c>
      <c r="E1348" s="75">
        <v>0.78125</v>
      </c>
      <c r="F1348" s="75">
        <v>0.78819444444444442</v>
      </c>
      <c r="H1348" s="75"/>
      <c r="I1348" s="75"/>
    </row>
    <row r="1349" spans="1:9" x14ac:dyDescent="0.6">
      <c r="A1349" t="s">
        <v>1745</v>
      </c>
      <c r="B1349" s="76">
        <v>1900</v>
      </c>
      <c r="C1349" t="s">
        <v>941</v>
      </c>
      <c r="D1349" t="s">
        <v>942</v>
      </c>
      <c r="E1349" s="75">
        <v>0.87152777777777779</v>
      </c>
      <c r="F1349" s="75">
        <v>0.88541666666666663</v>
      </c>
      <c r="H1349" s="75"/>
      <c r="I1349" s="75"/>
    </row>
    <row r="1350" spans="1:9" x14ac:dyDescent="0.6">
      <c r="A1350" t="s">
        <v>1746</v>
      </c>
      <c r="B1350" s="76">
        <v>1900</v>
      </c>
      <c r="C1350" t="s">
        <v>72</v>
      </c>
      <c r="D1350" t="s">
        <v>137</v>
      </c>
      <c r="E1350" s="75">
        <v>0.76041666666666663</v>
      </c>
      <c r="F1350" s="75">
        <v>0.77430555555555558</v>
      </c>
      <c r="H1350" s="75"/>
      <c r="I1350" s="75"/>
    </row>
    <row r="1351" spans="1:9" x14ac:dyDescent="0.6">
      <c r="A1351" t="s">
        <v>1746</v>
      </c>
      <c r="B1351" s="76">
        <v>1900</v>
      </c>
      <c r="C1351" t="s">
        <v>941</v>
      </c>
      <c r="D1351" t="s">
        <v>942</v>
      </c>
      <c r="E1351" s="75">
        <v>0.83680555555555558</v>
      </c>
      <c r="F1351" s="75">
        <v>0.85069444444444442</v>
      </c>
      <c r="H1351" s="75"/>
      <c r="I1351" s="75"/>
    </row>
    <row r="1352" spans="1:9" x14ac:dyDescent="0.6">
      <c r="A1352" t="s">
        <v>1747</v>
      </c>
      <c r="B1352" s="76">
        <v>1900</v>
      </c>
      <c r="C1352" t="s">
        <v>86</v>
      </c>
      <c r="D1352" t="s">
        <v>137</v>
      </c>
      <c r="E1352" s="75">
        <v>0.76041666666666663</v>
      </c>
      <c r="F1352" s="75">
        <v>0.77430555555555558</v>
      </c>
      <c r="H1352" s="75"/>
      <c r="I1352" s="75"/>
    </row>
    <row r="1353" spans="1:9" x14ac:dyDescent="0.6">
      <c r="A1353" t="s">
        <v>1747</v>
      </c>
      <c r="B1353" s="76">
        <v>1900</v>
      </c>
      <c r="C1353" t="s">
        <v>941</v>
      </c>
      <c r="D1353" t="s">
        <v>942</v>
      </c>
      <c r="E1353" s="75">
        <v>0.85416666666666663</v>
      </c>
      <c r="F1353" s="75">
        <v>0.86805555555555558</v>
      </c>
      <c r="H1353" s="75"/>
      <c r="I1353" s="75"/>
    </row>
    <row r="1354" spans="1:9" x14ac:dyDescent="0.6">
      <c r="A1354" t="s">
        <v>1748</v>
      </c>
      <c r="B1354" s="76">
        <v>1900</v>
      </c>
      <c r="C1354" t="s">
        <v>131</v>
      </c>
      <c r="D1354" t="s">
        <v>137</v>
      </c>
      <c r="E1354" s="75">
        <v>0.77083333333333337</v>
      </c>
      <c r="F1354" s="75">
        <v>0.78472222222222221</v>
      </c>
      <c r="H1354" s="75"/>
      <c r="I1354" s="75"/>
    </row>
    <row r="1355" spans="1:9" x14ac:dyDescent="0.6">
      <c r="A1355" t="s">
        <v>1748</v>
      </c>
      <c r="B1355" s="76">
        <v>1900</v>
      </c>
      <c r="C1355" t="s">
        <v>941</v>
      </c>
      <c r="D1355" t="s">
        <v>942</v>
      </c>
      <c r="E1355" s="75">
        <v>0.84027777777777779</v>
      </c>
      <c r="F1355" s="75">
        <v>0.85416666666666663</v>
      </c>
      <c r="H1355" s="75"/>
      <c r="I1355" s="75"/>
    </row>
    <row r="1356" spans="1:9" x14ac:dyDescent="0.6">
      <c r="A1356" t="s">
        <v>1749</v>
      </c>
      <c r="B1356" s="76" t="s">
        <v>1192</v>
      </c>
      <c r="C1356" t="s">
        <v>50</v>
      </c>
      <c r="D1356" t="s">
        <v>137</v>
      </c>
      <c r="E1356" s="75">
        <v>0.78125</v>
      </c>
      <c r="F1356" s="75">
        <v>0.79166666666666663</v>
      </c>
      <c r="H1356" s="75"/>
      <c r="I1356" s="75"/>
    </row>
    <row r="1357" spans="1:9" x14ac:dyDescent="0.6">
      <c r="A1357" t="s">
        <v>1749</v>
      </c>
      <c r="B1357" s="76" t="s">
        <v>1192</v>
      </c>
      <c r="C1357" t="s">
        <v>1094</v>
      </c>
      <c r="D1357" t="s">
        <v>942</v>
      </c>
      <c r="E1357" s="75">
        <v>0.80555555555555558</v>
      </c>
      <c r="F1357" s="75">
        <v>0.81597222222222221</v>
      </c>
      <c r="H1357" s="75"/>
      <c r="I1357" s="75"/>
    </row>
    <row r="1358" spans="1:9" x14ac:dyDescent="0.6">
      <c r="A1358" t="s">
        <v>1750</v>
      </c>
      <c r="B1358" s="76" t="s">
        <v>1192</v>
      </c>
      <c r="C1358" t="s">
        <v>100</v>
      </c>
      <c r="D1358" t="s">
        <v>137</v>
      </c>
      <c r="E1358" s="75">
        <v>0.78125</v>
      </c>
      <c r="F1358" s="75">
        <v>0.79166666666666663</v>
      </c>
      <c r="H1358" s="75"/>
      <c r="I1358" s="75"/>
    </row>
    <row r="1359" spans="1:9" x14ac:dyDescent="0.6">
      <c r="A1359" t="s">
        <v>1750</v>
      </c>
      <c r="B1359" s="76" t="s">
        <v>1192</v>
      </c>
      <c r="C1359" t="s">
        <v>1094</v>
      </c>
      <c r="D1359" t="s">
        <v>942</v>
      </c>
      <c r="E1359" s="75">
        <v>0.80902777777777779</v>
      </c>
      <c r="F1359" s="75">
        <v>0.81944444444444442</v>
      </c>
      <c r="H1359" s="75"/>
      <c r="I1359" s="75"/>
    </row>
    <row r="1360" spans="1:9" x14ac:dyDescent="0.6">
      <c r="A1360" t="s">
        <v>1751</v>
      </c>
      <c r="B1360" s="76" t="s">
        <v>1192</v>
      </c>
      <c r="C1360" t="s">
        <v>116</v>
      </c>
      <c r="D1360" t="s">
        <v>137</v>
      </c>
      <c r="E1360" s="75">
        <v>0.78125</v>
      </c>
      <c r="F1360" s="75">
        <v>0.79166666666666663</v>
      </c>
      <c r="H1360" s="75"/>
      <c r="I1360" s="75"/>
    </row>
    <row r="1361" spans="1:9" x14ac:dyDescent="0.6">
      <c r="A1361" t="s">
        <v>1751</v>
      </c>
      <c r="B1361" s="76" t="s">
        <v>1192</v>
      </c>
      <c r="C1361" t="s">
        <v>1094</v>
      </c>
      <c r="D1361" t="s">
        <v>942</v>
      </c>
      <c r="E1361" s="75">
        <v>0.80902777777777779</v>
      </c>
      <c r="F1361" s="75">
        <v>0.81944444444444442</v>
      </c>
      <c r="H1361" s="75"/>
      <c r="I1361" s="75"/>
    </row>
    <row r="1362" spans="1:9" x14ac:dyDescent="0.6">
      <c r="A1362" t="s">
        <v>1752</v>
      </c>
      <c r="B1362" s="76" t="s">
        <v>1192</v>
      </c>
      <c r="C1362" t="s">
        <v>128</v>
      </c>
      <c r="D1362" t="s">
        <v>137</v>
      </c>
      <c r="E1362" s="75">
        <v>0.78472222222222221</v>
      </c>
      <c r="F1362" s="75">
        <v>0.79513888888888884</v>
      </c>
      <c r="H1362" s="75"/>
      <c r="I1362" s="75"/>
    </row>
    <row r="1363" spans="1:9" x14ac:dyDescent="0.6">
      <c r="A1363" t="s">
        <v>1752</v>
      </c>
      <c r="B1363" s="76" t="s">
        <v>1192</v>
      </c>
      <c r="C1363" t="s">
        <v>1094</v>
      </c>
      <c r="D1363" t="s">
        <v>942</v>
      </c>
      <c r="E1363" s="75">
        <v>0.8125</v>
      </c>
      <c r="F1363" s="75">
        <v>0.82291666666666663</v>
      </c>
      <c r="H1363" s="75"/>
      <c r="I1363" s="75"/>
    </row>
    <row r="1364" spans="1:9" x14ac:dyDescent="0.6">
      <c r="A1364" t="s">
        <v>1753</v>
      </c>
      <c r="B1364" s="76" t="s">
        <v>1192</v>
      </c>
      <c r="C1364" t="s">
        <v>95</v>
      </c>
      <c r="D1364" t="s">
        <v>137</v>
      </c>
      <c r="E1364" s="75">
        <v>0.78472222222222221</v>
      </c>
      <c r="F1364" s="75">
        <v>0.79513888888888884</v>
      </c>
      <c r="H1364" s="75"/>
      <c r="I1364" s="75"/>
    </row>
    <row r="1365" spans="1:9" x14ac:dyDescent="0.6">
      <c r="A1365" t="s">
        <v>1753</v>
      </c>
      <c r="B1365" s="76" t="s">
        <v>1192</v>
      </c>
      <c r="C1365" t="s">
        <v>1094</v>
      </c>
      <c r="D1365" t="s">
        <v>942</v>
      </c>
      <c r="E1365" s="75">
        <v>0.8125</v>
      </c>
      <c r="F1365" s="75">
        <v>0.82291666666666663</v>
      </c>
      <c r="H1365" s="75"/>
      <c r="I1365" s="75"/>
    </row>
    <row r="1366" spans="1:9" x14ac:dyDescent="0.6">
      <c r="A1366" t="s">
        <v>1754</v>
      </c>
      <c r="B1366" s="76" t="s">
        <v>1192</v>
      </c>
      <c r="C1366" t="s">
        <v>123</v>
      </c>
      <c r="D1366" t="s">
        <v>137</v>
      </c>
      <c r="E1366" s="75">
        <v>0.78472222222222221</v>
      </c>
      <c r="F1366" s="75">
        <v>0.79513888888888884</v>
      </c>
      <c r="H1366" s="75"/>
      <c r="I1366" s="75"/>
    </row>
    <row r="1367" spans="1:9" x14ac:dyDescent="0.6">
      <c r="A1367" t="s">
        <v>1754</v>
      </c>
      <c r="B1367" s="76" t="s">
        <v>1192</v>
      </c>
      <c r="C1367" t="s">
        <v>1094</v>
      </c>
      <c r="D1367" t="s">
        <v>942</v>
      </c>
      <c r="E1367" s="75">
        <v>0.8125</v>
      </c>
      <c r="F1367" s="75">
        <v>0.82291666666666663</v>
      </c>
      <c r="H1367" s="75"/>
      <c r="I1367" s="75"/>
    </row>
    <row r="1368" spans="1:9" x14ac:dyDescent="0.6">
      <c r="A1368" t="s">
        <v>1755</v>
      </c>
      <c r="B1368" s="76" t="s">
        <v>1192</v>
      </c>
      <c r="C1368" t="s">
        <v>125</v>
      </c>
      <c r="D1368" t="s">
        <v>137</v>
      </c>
      <c r="E1368" s="75">
        <v>0.78472222222222221</v>
      </c>
      <c r="F1368" s="75">
        <v>0.79513888888888884</v>
      </c>
      <c r="H1368" s="75"/>
      <c r="I1368" s="75"/>
    </row>
    <row r="1369" spans="1:9" x14ac:dyDescent="0.6">
      <c r="A1369" t="s">
        <v>1755</v>
      </c>
      <c r="B1369" s="76" t="s">
        <v>1192</v>
      </c>
      <c r="C1369" t="s">
        <v>1094</v>
      </c>
      <c r="D1369" t="s">
        <v>942</v>
      </c>
      <c r="E1369" s="75">
        <v>0.80902777777777779</v>
      </c>
      <c r="F1369" s="75">
        <v>0.81944444444444442</v>
      </c>
      <c r="H1369" s="75"/>
      <c r="I1369" s="75"/>
    </row>
    <row r="1370" spans="1:9" x14ac:dyDescent="0.6">
      <c r="A1370" t="s">
        <v>1756</v>
      </c>
      <c r="B1370" s="76" t="s">
        <v>1192</v>
      </c>
      <c r="C1370" t="s">
        <v>96</v>
      </c>
      <c r="D1370" t="s">
        <v>137</v>
      </c>
      <c r="E1370" s="75">
        <v>0.78472222222222221</v>
      </c>
      <c r="F1370" s="75">
        <v>0.79513888888888884</v>
      </c>
      <c r="H1370" s="75"/>
      <c r="I1370" s="75"/>
    </row>
    <row r="1371" spans="1:9" x14ac:dyDescent="0.6">
      <c r="A1371" t="s">
        <v>1756</v>
      </c>
      <c r="B1371" s="76" t="s">
        <v>1192</v>
      </c>
      <c r="C1371" t="s">
        <v>1094</v>
      </c>
      <c r="D1371" t="s">
        <v>942</v>
      </c>
      <c r="E1371" s="75">
        <v>0.80902777777777779</v>
      </c>
      <c r="F1371" s="75">
        <v>0.81944444444444442</v>
      </c>
      <c r="H1371" s="75"/>
      <c r="I1371" s="75"/>
    </row>
    <row r="1372" spans="1:9" x14ac:dyDescent="0.6">
      <c r="A1372" t="s">
        <v>1757</v>
      </c>
      <c r="B1372" s="76" t="s">
        <v>1192</v>
      </c>
      <c r="C1372" t="s">
        <v>72</v>
      </c>
      <c r="D1372" t="s">
        <v>137</v>
      </c>
      <c r="E1372" s="75">
        <v>0.79166666666666663</v>
      </c>
      <c r="F1372" s="75">
        <v>0.80208333333333337</v>
      </c>
      <c r="H1372" s="75"/>
      <c r="I1372" s="75"/>
    </row>
    <row r="1373" spans="1:9" x14ac:dyDescent="0.6">
      <c r="A1373" t="s">
        <v>1757</v>
      </c>
      <c r="B1373" s="76" t="s">
        <v>1192</v>
      </c>
      <c r="C1373" t="s">
        <v>1094</v>
      </c>
      <c r="D1373" t="s">
        <v>942</v>
      </c>
      <c r="E1373" s="75">
        <v>0.82291666666666663</v>
      </c>
      <c r="F1373" s="75">
        <v>0.83333333333333337</v>
      </c>
      <c r="H1373" s="75"/>
      <c r="I1373" s="75"/>
    </row>
    <row r="1374" spans="1:9" x14ac:dyDescent="0.6">
      <c r="A1374" t="s">
        <v>1758</v>
      </c>
      <c r="B1374" s="76" t="s">
        <v>1192</v>
      </c>
      <c r="C1374" t="s">
        <v>94</v>
      </c>
      <c r="D1374" t="s">
        <v>137</v>
      </c>
      <c r="E1374" s="75">
        <v>0.79166666666666663</v>
      </c>
      <c r="F1374" s="75">
        <v>0.80208333333333337</v>
      </c>
      <c r="H1374" s="75"/>
      <c r="I1374" s="75"/>
    </row>
    <row r="1375" spans="1:9" x14ac:dyDescent="0.6">
      <c r="A1375" t="s">
        <v>1758</v>
      </c>
      <c r="B1375" s="76" t="s">
        <v>1192</v>
      </c>
      <c r="C1375" t="s">
        <v>97</v>
      </c>
      <c r="D1375" t="s">
        <v>137</v>
      </c>
      <c r="E1375" s="75">
        <v>0.79166666666666663</v>
      </c>
      <c r="F1375" s="75">
        <v>0.80208333333333337</v>
      </c>
      <c r="H1375" s="75"/>
      <c r="I1375" s="75"/>
    </row>
    <row r="1376" spans="1:9" x14ac:dyDescent="0.6">
      <c r="A1376" t="s">
        <v>1758</v>
      </c>
      <c r="B1376" s="76" t="s">
        <v>1192</v>
      </c>
      <c r="C1376" t="s">
        <v>1094</v>
      </c>
      <c r="D1376" t="s">
        <v>942</v>
      </c>
      <c r="E1376" s="75">
        <v>0.8125</v>
      </c>
      <c r="F1376" s="75">
        <v>0.82291666666666663</v>
      </c>
      <c r="H1376" s="75"/>
      <c r="I1376" s="75"/>
    </row>
    <row r="1377" spans="1:9" x14ac:dyDescent="0.6">
      <c r="A1377" t="s">
        <v>1759</v>
      </c>
      <c r="B1377" s="76" t="s">
        <v>1192</v>
      </c>
      <c r="C1377" t="s">
        <v>86</v>
      </c>
      <c r="D1377" t="s">
        <v>137</v>
      </c>
      <c r="E1377" s="75">
        <v>0.79166666666666663</v>
      </c>
      <c r="F1377" s="75">
        <v>0.80208333333333337</v>
      </c>
      <c r="H1377" s="75"/>
      <c r="I1377" s="75"/>
    </row>
    <row r="1378" spans="1:9" x14ac:dyDescent="0.6">
      <c r="A1378" t="s">
        <v>1759</v>
      </c>
      <c r="B1378" s="76" t="s">
        <v>1192</v>
      </c>
      <c r="C1378" t="s">
        <v>1094</v>
      </c>
      <c r="D1378" t="s">
        <v>942</v>
      </c>
      <c r="E1378" s="75">
        <v>0.85069444444444442</v>
      </c>
      <c r="F1378" s="75">
        <v>0.86111111111111116</v>
      </c>
      <c r="H1378" s="75"/>
      <c r="I1378" s="75"/>
    </row>
    <row r="1379" spans="1:9" x14ac:dyDescent="0.6">
      <c r="A1379" t="s">
        <v>1760</v>
      </c>
      <c r="B1379" s="76">
        <v>1900</v>
      </c>
      <c r="C1379" t="s">
        <v>29</v>
      </c>
      <c r="D1379" t="s">
        <v>137</v>
      </c>
      <c r="E1379" s="75">
        <v>0.79166666666666663</v>
      </c>
      <c r="F1379" s="75">
        <v>0.80208333333333337</v>
      </c>
      <c r="H1379" s="75"/>
      <c r="I1379" s="75"/>
    </row>
    <row r="1380" spans="1:9" x14ac:dyDescent="0.6">
      <c r="A1380" t="s">
        <v>1760</v>
      </c>
      <c r="B1380" s="76">
        <v>1900</v>
      </c>
      <c r="C1380" t="s">
        <v>941</v>
      </c>
      <c r="D1380" t="s">
        <v>942</v>
      </c>
      <c r="E1380" s="75">
        <v>0.84375</v>
      </c>
      <c r="F1380" s="75">
        <v>0.85416666666666663</v>
      </c>
      <c r="H1380" s="75"/>
      <c r="I1380" s="75"/>
    </row>
    <row r="1381" spans="1:9" x14ac:dyDescent="0.6">
      <c r="A1381" t="s">
        <v>1761</v>
      </c>
      <c r="B1381" s="76" t="s">
        <v>1192</v>
      </c>
      <c r="C1381" t="s">
        <v>82</v>
      </c>
      <c r="D1381" t="s">
        <v>137</v>
      </c>
      <c r="E1381" s="75">
        <v>0.79166666666666663</v>
      </c>
      <c r="F1381" s="75">
        <v>0.80208333333333337</v>
      </c>
      <c r="H1381" s="75"/>
      <c r="I1381" s="75"/>
    </row>
    <row r="1382" spans="1:9" x14ac:dyDescent="0.6">
      <c r="A1382" t="s">
        <v>1761</v>
      </c>
      <c r="B1382" s="76" t="s">
        <v>1192</v>
      </c>
      <c r="C1382" t="s">
        <v>1094</v>
      </c>
      <c r="D1382" t="s">
        <v>942</v>
      </c>
      <c r="E1382" s="75">
        <v>0.83680555555555558</v>
      </c>
      <c r="F1382" s="75">
        <v>0.84722222222222221</v>
      </c>
      <c r="H1382" s="75"/>
      <c r="I1382" s="75"/>
    </row>
    <row r="1383" spans="1:9" x14ac:dyDescent="0.6">
      <c r="A1383" t="s">
        <v>1762</v>
      </c>
      <c r="B1383" s="76" t="s">
        <v>1192</v>
      </c>
      <c r="C1383" t="s">
        <v>47</v>
      </c>
      <c r="D1383" t="s">
        <v>137</v>
      </c>
      <c r="E1383" s="75">
        <v>0.79166666666666663</v>
      </c>
      <c r="F1383" s="75">
        <v>0.80208333333333337</v>
      </c>
      <c r="H1383" s="75"/>
      <c r="I1383" s="75"/>
    </row>
    <row r="1384" spans="1:9" x14ac:dyDescent="0.6">
      <c r="A1384" t="s">
        <v>1762</v>
      </c>
      <c r="B1384" s="76" t="s">
        <v>1192</v>
      </c>
      <c r="C1384" t="s">
        <v>1094</v>
      </c>
      <c r="D1384" t="s">
        <v>942</v>
      </c>
      <c r="E1384" s="75">
        <v>0.82986111111111116</v>
      </c>
      <c r="F1384" s="75">
        <v>0.84027777777777779</v>
      </c>
      <c r="H1384" s="75"/>
      <c r="I1384" s="75"/>
    </row>
    <row r="1385" spans="1:9" x14ac:dyDescent="0.6">
      <c r="A1385" t="s">
        <v>1763</v>
      </c>
      <c r="B1385" s="76" t="s">
        <v>1192</v>
      </c>
      <c r="C1385" t="s">
        <v>71</v>
      </c>
      <c r="D1385" t="s">
        <v>137</v>
      </c>
      <c r="E1385" s="75">
        <v>0.79166666666666663</v>
      </c>
      <c r="F1385" s="75">
        <v>0.80208333333333337</v>
      </c>
      <c r="H1385" s="75"/>
      <c r="I1385" s="75"/>
    </row>
    <row r="1386" spans="1:9" x14ac:dyDescent="0.6">
      <c r="A1386" t="s">
        <v>1763</v>
      </c>
      <c r="B1386" s="76" t="s">
        <v>1192</v>
      </c>
      <c r="C1386" t="s">
        <v>1094</v>
      </c>
      <c r="D1386" t="s">
        <v>942</v>
      </c>
      <c r="E1386" s="75">
        <v>0.82986111111111116</v>
      </c>
      <c r="F1386" s="75">
        <v>0.84027777777777779</v>
      </c>
      <c r="H1386" s="75"/>
      <c r="I1386" s="75"/>
    </row>
    <row r="1387" spans="1:9" x14ac:dyDescent="0.6">
      <c r="A1387" t="s">
        <v>1764</v>
      </c>
      <c r="B1387" s="76" t="s">
        <v>1192</v>
      </c>
      <c r="C1387" t="s">
        <v>134</v>
      </c>
      <c r="D1387" t="s">
        <v>137</v>
      </c>
      <c r="E1387" s="75">
        <v>0.79166666666666663</v>
      </c>
      <c r="F1387" s="75">
        <v>0.80208333333333337</v>
      </c>
      <c r="H1387" s="75"/>
      <c r="I1387" s="75"/>
    </row>
    <row r="1388" spans="1:9" x14ac:dyDescent="0.6">
      <c r="A1388" t="s">
        <v>1764</v>
      </c>
      <c r="B1388" s="76" t="s">
        <v>1192</v>
      </c>
      <c r="C1388" t="s">
        <v>1094</v>
      </c>
      <c r="D1388" t="s">
        <v>942</v>
      </c>
      <c r="E1388" s="75">
        <v>0.85069444444444442</v>
      </c>
      <c r="F1388" s="75">
        <v>0.86111111111111116</v>
      </c>
      <c r="H1388" s="75"/>
      <c r="I1388" s="75"/>
    </row>
    <row r="1389" spans="1:9" x14ac:dyDescent="0.6">
      <c r="A1389" t="s">
        <v>1765</v>
      </c>
      <c r="B1389" s="76" t="s">
        <v>1192</v>
      </c>
      <c r="C1389" t="s">
        <v>113</v>
      </c>
      <c r="D1389" t="s">
        <v>137</v>
      </c>
      <c r="E1389" s="75">
        <v>0.79166666666666663</v>
      </c>
      <c r="F1389" s="75">
        <v>0.80208333333333337</v>
      </c>
      <c r="H1389" s="75"/>
      <c r="I1389" s="75"/>
    </row>
    <row r="1390" spans="1:9" x14ac:dyDescent="0.6">
      <c r="A1390" t="s">
        <v>1765</v>
      </c>
      <c r="B1390" s="76" t="s">
        <v>1192</v>
      </c>
      <c r="C1390" t="s">
        <v>1094</v>
      </c>
      <c r="D1390" t="s">
        <v>942</v>
      </c>
      <c r="E1390" s="75">
        <v>0.82291666666666663</v>
      </c>
      <c r="F1390" s="75">
        <v>0.83333333333333337</v>
      </c>
      <c r="H1390" s="75"/>
      <c r="I1390" s="75"/>
    </row>
    <row r="1391" spans="1:9" x14ac:dyDescent="0.6">
      <c r="A1391" t="s">
        <v>1766</v>
      </c>
      <c r="B1391" s="76" t="s">
        <v>1192</v>
      </c>
      <c r="C1391" t="s">
        <v>46</v>
      </c>
      <c r="D1391" t="s">
        <v>137</v>
      </c>
      <c r="E1391" s="75">
        <v>0.79166666666666663</v>
      </c>
      <c r="F1391" s="75">
        <v>0.80208333333333337</v>
      </c>
      <c r="H1391" s="75"/>
      <c r="I1391" s="75"/>
    </row>
    <row r="1392" spans="1:9" x14ac:dyDescent="0.6">
      <c r="A1392" t="s">
        <v>1766</v>
      </c>
      <c r="B1392" s="76" t="s">
        <v>1192</v>
      </c>
      <c r="C1392" t="s">
        <v>1094</v>
      </c>
      <c r="D1392" t="s">
        <v>942</v>
      </c>
      <c r="E1392" s="75">
        <v>0.82291666666666663</v>
      </c>
      <c r="F1392" s="75">
        <v>0.83333333333333337</v>
      </c>
      <c r="H1392" s="75"/>
      <c r="I1392" s="75"/>
    </row>
    <row r="1393" spans="1:9" x14ac:dyDescent="0.6">
      <c r="A1393" t="s">
        <v>1767</v>
      </c>
      <c r="B1393" s="76" t="s">
        <v>1192</v>
      </c>
      <c r="C1393" t="s">
        <v>1605</v>
      </c>
      <c r="D1393" t="s">
        <v>137</v>
      </c>
      <c r="E1393" s="75">
        <v>0.79166666666666663</v>
      </c>
      <c r="F1393" s="75">
        <v>0.80208333333333337</v>
      </c>
      <c r="H1393" s="75"/>
      <c r="I1393" s="75"/>
    </row>
    <row r="1394" spans="1:9" x14ac:dyDescent="0.6">
      <c r="A1394" t="s">
        <v>1767</v>
      </c>
      <c r="B1394" s="76" t="s">
        <v>1192</v>
      </c>
      <c r="C1394" t="s">
        <v>1094</v>
      </c>
      <c r="D1394" t="s">
        <v>942</v>
      </c>
      <c r="E1394" s="75">
        <v>0.82986111111111116</v>
      </c>
      <c r="F1394" s="75">
        <v>0.84027777777777779</v>
      </c>
      <c r="H1394" s="75"/>
      <c r="I1394" s="75"/>
    </row>
    <row r="1395" spans="1:9" x14ac:dyDescent="0.6">
      <c r="A1395" t="s">
        <v>1768</v>
      </c>
      <c r="B1395" s="76" t="s">
        <v>1192</v>
      </c>
      <c r="C1395" t="s">
        <v>1667</v>
      </c>
      <c r="D1395" t="s">
        <v>137</v>
      </c>
      <c r="E1395" s="75">
        <v>0.77083333333333337</v>
      </c>
      <c r="F1395" s="75">
        <v>0.77777777777777779</v>
      </c>
      <c r="H1395" s="75"/>
      <c r="I1395" s="75"/>
    </row>
    <row r="1396" spans="1:9" x14ac:dyDescent="0.6">
      <c r="A1396" t="s">
        <v>1768</v>
      </c>
      <c r="B1396" s="76" t="s">
        <v>1192</v>
      </c>
      <c r="C1396" t="s">
        <v>35</v>
      </c>
      <c r="D1396" t="s">
        <v>137</v>
      </c>
      <c r="E1396" s="75">
        <v>0.79166666666666663</v>
      </c>
      <c r="F1396" s="75">
        <v>0.79861111111111116</v>
      </c>
      <c r="H1396" s="75"/>
      <c r="I1396" s="75"/>
    </row>
    <row r="1397" spans="1:9" x14ac:dyDescent="0.6">
      <c r="A1397" t="s">
        <v>1768</v>
      </c>
      <c r="B1397" s="76" t="s">
        <v>1192</v>
      </c>
      <c r="C1397" t="s">
        <v>1094</v>
      </c>
      <c r="D1397" t="s">
        <v>942</v>
      </c>
      <c r="E1397" s="75">
        <v>0.84722222222222221</v>
      </c>
      <c r="F1397" s="75">
        <v>0.86111111111111116</v>
      </c>
      <c r="H1397" s="75"/>
      <c r="I1397" s="75"/>
    </row>
    <row r="1398" spans="1:9" x14ac:dyDescent="0.6">
      <c r="A1398" t="s">
        <v>1769</v>
      </c>
      <c r="B1398" s="76" t="s">
        <v>1192</v>
      </c>
      <c r="C1398" t="s">
        <v>43</v>
      </c>
      <c r="D1398" t="s">
        <v>137</v>
      </c>
      <c r="E1398" s="75">
        <v>0.79166666666666663</v>
      </c>
      <c r="F1398" s="75">
        <v>0.79861111111111116</v>
      </c>
      <c r="H1398" s="75"/>
      <c r="I1398" s="75"/>
    </row>
    <row r="1399" spans="1:9" x14ac:dyDescent="0.6">
      <c r="A1399" t="s">
        <v>1769</v>
      </c>
      <c r="B1399" s="76" t="s">
        <v>1192</v>
      </c>
      <c r="C1399" t="s">
        <v>1094</v>
      </c>
      <c r="D1399" t="s">
        <v>942</v>
      </c>
      <c r="E1399" s="75">
        <v>0.82638888888888884</v>
      </c>
      <c r="F1399" s="75">
        <v>0.83680555555555558</v>
      </c>
      <c r="H1399" s="75"/>
      <c r="I1399" s="75"/>
    </row>
    <row r="1400" spans="1:9" x14ac:dyDescent="0.6">
      <c r="A1400" t="s">
        <v>1770</v>
      </c>
      <c r="B1400" s="76" t="s">
        <v>1192</v>
      </c>
      <c r="C1400" t="s">
        <v>91</v>
      </c>
      <c r="D1400" t="s">
        <v>137</v>
      </c>
      <c r="E1400" s="75">
        <v>0.79166666666666663</v>
      </c>
      <c r="F1400" s="75">
        <v>0.80208333333333337</v>
      </c>
      <c r="H1400" s="75"/>
      <c r="I1400" s="75"/>
    </row>
    <row r="1401" spans="1:9" x14ac:dyDescent="0.6">
      <c r="A1401" t="s">
        <v>1770</v>
      </c>
      <c r="B1401" s="76" t="s">
        <v>1192</v>
      </c>
      <c r="C1401" t="s">
        <v>1094</v>
      </c>
      <c r="D1401" t="s">
        <v>942</v>
      </c>
      <c r="E1401" s="75">
        <v>0.85763888888888884</v>
      </c>
      <c r="F1401" s="75">
        <v>0.86805555555555558</v>
      </c>
      <c r="H1401" s="75"/>
      <c r="I1401" s="75"/>
    </row>
    <row r="1402" spans="1:9" x14ac:dyDescent="0.6">
      <c r="A1402" t="s">
        <v>1771</v>
      </c>
      <c r="B1402" s="76" t="s">
        <v>1192</v>
      </c>
      <c r="C1402" t="s">
        <v>53</v>
      </c>
      <c r="D1402" t="s">
        <v>137</v>
      </c>
      <c r="E1402" s="75">
        <v>0.79166666666666663</v>
      </c>
      <c r="F1402" s="75">
        <v>0.80208333333333337</v>
      </c>
      <c r="H1402" s="75"/>
      <c r="I1402" s="75"/>
    </row>
    <row r="1403" spans="1:9" x14ac:dyDescent="0.6">
      <c r="A1403" t="s">
        <v>1771</v>
      </c>
      <c r="B1403" s="76" t="s">
        <v>1192</v>
      </c>
      <c r="C1403" t="s">
        <v>1094</v>
      </c>
      <c r="D1403" t="s">
        <v>942</v>
      </c>
      <c r="E1403" s="75">
        <v>0.82291666666666663</v>
      </c>
      <c r="F1403" s="75">
        <v>0.83333333333333337</v>
      </c>
      <c r="H1403" s="75"/>
      <c r="I1403" s="75"/>
    </row>
    <row r="1404" spans="1:9" x14ac:dyDescent="0.6">
      <c r="A1404" t="s">
        <v>1772</v>
      </c>
      <c r="B1404" s="76" t="s">
        <v>1192</v>
      </c>
      <c r="C1404" t="s">
        <v>133</v>
      </c>
      <c r="D1404" t="s">
        <v>137</v>
      </c>
      <c r="E1404" s="75">
        <v>0.79861111111111116</v>
      </c>
      <c r="F1404" s="75">
        <v>0.80902777777777779</v>
      </c>
      <c r="H1404" s="75"/>
      <c r="I1404" s="75"/>
    </row>
    <row r="1405" spans="1:9" x14ac:dyDescent="0.6">
      <c r="A1405" t="s">
        <v>1772</v>
      </c>
      <c r="B1405" s="76" t="s">
        <v>1192</v>
      </c>
      <c r="C1405" t="s">
        <v>1094</v>
      </c>
      <c r="D1405" t="s">
        <v>942</v>
      </c>
      <c r="E1405" s="75">
        <v>0.85763888888888884</v>
      </c>
      <c r="F1405" s="75">
        <v>0.87152777777777779</v>
      </c>
      <c r="H1405" s="75"/>
      <c r="I1405" s="75"/>
    </row>
    <row r="1406" spans="1:9" x14ac:dyDescent="0.6">
      <c r="A1406" t="s">
        <v>1773</v>
      </c>
      <c r="B1406" s="76" t="s">
        <v>1192</v>
      </c>
      <c r="C1406" t="s">
        <v>147</v>
      </c>
      <c r="D1406" t="s">
        <v>137</v>
      </c>
      <c r="E1406" s="75">
        <v>0.79861111111111116</v>
      </c>
      <c r="F1406" s="75">
        <v>0.80902777777777779</v>
      </c>
      <c r="H1406" s="75"/>
      <c r="I1406" s="75"/>
    </row>
    <row r="1407" spans="1:9" x14ac:dyDescent="0.6">
      <c r="A1407" t="s">
        <v>1773</v>
      </c>
      <c r="B1407" s="76" t="s">
        <v>1192</v>
      </c>
      <c r="C1407" t="s">
        <v>1094</v>
      </c>
      <c r="D1407" t="s">
        <v>942</v>
      </c>
      <c r="E1407" s="75">
        <v>0.85416666666666663</v>
      </c>
      <c r="F1407" s="75">
        <v>0.86805555555555558</v>
      </c>
      <c r="H1407" s="75"/>
      <c r="I1407" s="75"/>
    </row>
    <row r="1408" spans="1:9" x14ac:dyDescent="0.6">
      <c r="A1408" t="s">
        <v>1774</v>
      </c>
      <c r="B1408" s="76" t="s">
        <v>1192</v>
      </c>
      <c r="C1408" t="s">
        <v>101</v>
      </c>
      <c r="D1408" t="s">
        <v>137</v>
      </c>
      <c r="E1408" s="75">
        <v>0.79861111111111116</v>
      </c>
      <c r="F1408" s="75">
        <v>0.80902777777777779</v>
      </c>
      <c r="H1408" s="75"/>
      <c r="I1408" s="75"/>
    </row>
    <row r="1409" spans="1:9" x14ac:dyDescent="0.6">
      <c r="A1409" t="s">
        <v>1774</v>
      </c>
      <c r="B1409" s="76" t="s">
        <v>1192</v>
      </c>
      <c r="C1409" t="s">
        <v>1094</v>
      </c>
      <c r="D1409" t="s">
        <v>942</v>
      </c>
      <c r="E1409" s="75">
        <v>0.83680555555555558</v>
      </c>
      <c r="F1409" s="75">
        <v>0.84722222222222221</v>
      </c>
      <c r="H1409" s="75"/>
      <c r="I1409" s="75"/>
    </row>
    <row r="1410" spans="1:9" x14ac:dyDescent="0.6">
      <c r="A1410" t="s">
        <v>1775</v>
      </c>
      <c r="B1410" s="76" t="s">
        <v>1192</v>
      </c>
      <c r="C1410" t="s">
        <v>102</v>
      </c>
      <c r="D1410" t="s">
        <v>137</v>
      </c>
      <c r="E1410" s="75">
        <v>0.79861111111111116</v>
      </c>
      <c r="F1410" s="75">
        <v>0.80902777777777779</v>
      </c>
      <c r="H1410" s="75"/>
      <c r="I1410" s="75"/>
    </row>
    <row r="1411" spans="1:9" x14ac:dyDescent="0.6">
      <c r="A1411" t="s">
        <v>1775</v>
      </c>
      <c r="B1411" s="76" t="s">
        <v>1192</v>
      </c>
      <c r="C1411" t="s">
        <v>1094</v>
      </c>
      <c r="D1411" t="s">
        <v>942</v>
      </c>
      <c r="E1411" s="75">
        <v>0.84375</v>
      </c>
      <c r="F1411" s="75">
        <v>0.85416666666666663</v>
      </c>
      <c r="H1411" s="75"/>
      <c r="I1411" s="75"/>
    </row>
    <row r="1412" spans="1:9" x14ac:dyDescent="0.6">
      <c r="A1412" t="s">
        <v>1776</v>
      </c>
      <c r="B1412" s="76" t="s">
        <v>1192</v>
      </c>
      <c r="C1412" t="s">
        <v>45</v>
      </c>
      <c r="D1412" t="s">
        <v>137</v>
      </c>
      <c r="E1412" s="75">
        <v>0.79166666666666663</v>
      </c>
      <c r="F1412" s="75">
        <v>0.80208333333333337</v>
      </c>
      <c r="H1412" s="75"/>
      <c r="I1412" s="75"/>
    </row>
    <row r="1413" spans="1:9" x14ac:dyDescent="0.6">
      <c r="A1413" t="s">
        <v>1776</v>
      </c>
      <c r="B1413" s="76" t="s">
        <v>1192</v>
      </c>
      <c r="C1413" t="s">
        <v>1094</v>
      </c>
      <c r="D1413" t="s">
        <v>942</v>
      </c>
      <c r="E1413" s="75">
        <v>0.82291666666666663</v>
      </c>
      <c r="F1413" s="75">
        <v>0.83333333333333337</v>
      </c>
      <c r="H1413" s="75"/>
      <c r="I1413" s="75"/>
    </row>
    <row r="1414" spans="1:9" x14ac:dyDescent="0.6">
      <c r="A1414" t="s">
        <v>1777</v>
      </c>
      <c r="B1414" s="76" t="s">
        <v>1192</v>
      </c>
      <c r="C1414" t="s">
        <v>111</v>
      </c>
      <c r="D1414" t="s">
        <v>137</v>
      </c>
      <c r="E1414" s="75">
        <v>0.80208333333333337</v>
      </c>
      <c r="F1414" s="75">
        <v>0.8125</v>
      </c>
      <c r="H1414" s="75"/>
      <c r="I1414" s="75"/>
    </row>
    <row r="1415" spans="1:9" x14ac:dyDescent="0.6">
      <c r="A1415" t="s">
        <v>1777</v>
      </c>
      <c r="B1415" s="76" t="s">
        <v>1192</v>
      </c>
      <c r="C1415" t="s">
        <v>1094</v>
      </c>
      <c r="D1415" t="s">
        <v>942</v>
      </c>
      <c r="E1415" s="75">
        <v>0.83333333333333337</v>
      </c>
      <c r="F1415" s="75">
        <v>0.84375</v>
      </c>
      <c r="H1415" s="75"/>
      <c r="I1415" s="75"/>
    </row>
    <row r="1416" spans="1:9" x14ac:dyDescent="0.6">
      <c r="A1416" t="s">
        <v>1778</v>
      </c>
      <c r="B1416" s="76" t="s">
        <v>1192</v>
      </c>
      <c r="C1416" t="s">
        <v>132</v>
      </c>
      <c r="D1416" t="s">
        <v>137</v>
      </c>
      <c r="E1416" s="75">
        <v>0.80555555555555558</v>
      </c>
      <c r="F1416" s="75">
        <v>0.81597222222222221</v>
      </c>
      <c r="H1416" s="75"/>
      <c r="I1416" s="75"/>
    </row>
    <row r="1417" spans="1:9" x14ac:dyDescent="0.6">
      <c r="A1417" t="s">
        <v>1778</v>
      </c>
      <c r="B1417" s="76" t="s">
        <v>1192</v>
      </c>
      <c r="C1417" t="s">
        <v>1094</v>
      </c>
      <c r="D1417" t="s">
        <v>942</v>
      </c>
      <c r="E1417" s="75">
        <v>0.86458333333333337</v>
      </c>
      <c r="F1417" s="75">
        <v>0.87847222222222221</v>
      </c>
      <c r="H1417" s="75"/>
      <c r="I1417" s="75"/>
    </row>
    <row r="1418" spans="1:9" x14ac:dyDescent="0.6">
      <c r="A1418" t="s">
        <v>1779</v>
      </c>
      <c r="B1418" s="76" t="s">
        <v>1192</v>
      </c>
      <c r="C1418" t="s">
        <v>81</v>
      </c>
      <c r="D1418" t="s">
        <v>137</v>
      </c>
      <c r="E1418" s="75">
        <v>0.80555555555555558</v>
      </c>
      <c r="F1418" s="75">
        <v>0.81597222222222221</v>
      </c>
      <c r="H1418" s="75"/>
      <c r="I1418" s="75"/>
    </row>
    <row r="1419" spans="1:9" x14ac:dyDescent="0.6">
      <c r="A1419" t="s">
        <v>1779</v>
      </c>
      <c r="B1419" s="76" t="s">
        <v>1192</v>
      </c>
      <c r="C1419" t="s">
        <v>1094</v>
      </c>
      <c r="D1419" t="s">
        <v>942</v>
      </c>
      <c r="E1419" s="75">
        <v>0.86458333333333337</v>
      </c>
      <c r="F1419" s="75">
        <v>0.87847222222222221</v>
      </c>
      <c r="H1419" s="75"/>
      <c r="I1419" s="75"/>
    </row>
    <row r="1420" spans="1:9" x14ac:dyDescent="0.6">
      <c r="A1420" t="s">
        <v>1780</v>
      </c>
      <c r="B1420" s="76">
        <v>1900</v>
      </c>
      <c r="C1420" t="s">
        <v>1094</v>
      </c>
      <c r="D1420" t="s">
        <v>942</v>
      </c>
      <c r="E1420" s="75">
        <v>0.46875</v>
      </c>
      <c r="F1420" s="75">
        <v>0.47916666666666669</v>
      </c>
      <c r="H1420" s="75"/>
      <c r="I1420" s="75"/>
    </row>
    <row r="1421" spans="1:9" x14ac:dyDescent="0.6">
      <c r="A1421" t="s">
        <v>1780</v>
      </c>
      <c r="B1421" s="76">
        <v>1900</v>
      </c>
      <c r="C1421" t="s">
        <v>35</v>
      </c>
      <c r="D1421" t="s">
        <v>5</v>
      </c>
      <c r="E1421" s="75">
        <v>0.54166666666666663</v>
      </c>
      <c r="F1421" s="75">
        <v>0.54861111111111116</v>
      </c>
      <c r="H1421" s="75"/>
      <c r="I1421" s="75"/>
    </row>
    <row r="1422" spans="1:9" x14ac:dyDescent="0.6">
      <c r="A1422" t="s">
        <v>1780</v>
      </c>
      <c r="B1422" s="76">
        <v>1900</v>
      </c>
      <c r="C1422" t="s">
        <v>25</v>
      </c>
      <c r="D1422" t="s">
        <v>5</v>
      </c>
      <c r="E1422" s="75">
        <v>0.60416666666666663</v>
      </c>
      <c r="F1422" s="75">
        <v>0.61458333333333337</v>
      </c>
      <c r="H1422" s="75"/>
      <c r="I1422" s="75"/>
    </row>
    <row r="1423" spans="1:9" x14ac:dyDescent="0.6">
      <c r="A1423" t="s">
        <v>1780</v>
      </c>
      <c r="B1423" s="76">
        <v>1900</v>
      </c>
      <c r="C1423" t="s">
        <v>26</v>
      </c>
      <c r="D1423" t="s">
        <v>1092</v>
      </c>
      <c r="E1423" s="75">
        <v>0.65277777777777779</v>
      </c>
      <c r="F1423" s="75">
        <v>0.70833333333333337</v>
      </c>
      <c r="H1423" s="75"/>
      <c r="I1423" s="75"/>
    </row>
    <row r="1424" spans="1:9" x14ac:dyDescent="0.6">
      <c r="A1424" t="s">
        <v>1780</v>
      </c>
      <c r="B1424" s="76">
        <v>1900</v>
      </c>
      <c r="C1424" t="s">
        <v>25</v>
      </c>
      <c r="D1424" t="s">
        <v>137</v>
      </c>
      <c r="E1424" s="75">
        <v>0.75</v>
      </c>
      <c r="F1424" s="75">
        <v>0.75694444444444442</v>
      </c>
      <c r="H1424" s="75"/>
      <c r="I1424" s="75"/>
    </row>
    <row r="1425" spans="1:10" x14ac:dyDescent="0.6">
      <c r="A1425" t="s">
        <v>1780</v>
      </c>
      <c r="B1425" s="76">
        <v>1900</v>
      </c>
      <c r="C1425" t="s">
        <v>36</v>
      </c>
      <c r="D1425" t="s">
        <v>137</v>
      </c>
      <c r="E1425" s="75">
        <v>0.79166666666666663</v>
      </c>
      <c r="F1425" s="75">
        <v>0.79861111111111116</v>
      </c>
      <c r="H1425" s="75"/>
      <c r="I1425" s="75"/>
    </row>
    <row r="1426" spans="1:10" x14ac:dyDescent="0.6">
      <c r="A1426" t="s">
        <v>1780</v>
      </c>
      <c r="B1426" s="76">
        <v>1900</v>
      </c>
      <c r="C1426" t="s">
        <v>946</v>
      </c>
      <c r="D1426" t="s">
        <v>137</v>
      </c>
      <c r="E1426" s="75">
        <v>0.79861111111111116</v>
      </c>
      <c r="F1426" s="75">
        <v>0.80555555555555558</v>
      </c>
      <c r="H1426" s="75"/>
      <c r="I1426" s="75"/>
      <c r="J1426" t="s">
        <v>947</v>
      </c>
    </row>
    <row r="1427" spans="1:10" x14ac:dyDescent="0.6">
      <c r="A1427" t="s">
        <v>1780</v>
      </c>
      <c r="B1427" s="76">
        <v>1900</v>
      </c>
      <c r="C1427" t="s">
        <v>37</v>
      </c>
      <c r="D1427" t="s">
        <v>137</v>
      </c>
      <c r="E1427" s="75">
        <v>0.82638888888888884</v>
      </c>
      <c r="F1427" s="75">
        <v>0.83333333333333337</v>
      </c>
      <c r="H1427" s="75"/>
      <c r="I1427" s="75"/>
    </row>
    <row r="1428" spans="1:10" x14ac:dyDescent="0.6">
      <c r="A1428" t="s">
        <v>1780</v>
      </c>
      <c r="B1428" s="76">
        <v>1900</v>
      </c>
      <c r="C1428" t="s">
        <v>941</v>
      </c>
      <c r="D1428" t="s">
        <v>942</v>
      </c>
      <c r="E1428" s="75">
        <v>0.90277777777777779</v>
      </c>
      <c r="F1428" s="75">
        <v>0.91666666666666663</v>
      </c>
      <c r="H1428" s="75"/>
      <c r="I1428" s="75"/>
    </row>
    <row r="1429" spans="1:10" x14ac:dyDescent="0.6">
      <c r="A1429" t="s">
        <v>1781</v>
      </c>
      <c r="B1429" s="76">
        <v>1900</v>
      </c>
      <c r="C1429" t="s">
        <v>33</v>
      </c>
      <c r="D1429" t="s">
        <v>137</v>
      </c>
      <c r="E1429" s="75">
        <v>0.75</v>
      </c>
      <c r="F1429" s="75">
        <v>0.76388888888888884</v>
      </c>
      <c r="H1429" s="75"/>
      <c r="I1429" s="75"/>
    </row>
    <row r="1430" spans="1:10" x14ac:dyDescent="0.6">
      <c r="A1430" t="s">
        <v>1781</v>
      </c>
      <c r="B1430" s="76">
        <v>1900</v>
      </c>
      <c r="C1430" t="s">
        <v>941</v>
      </c>
      <c r="D1430" t="s">
        <v>942</v>
      </c>
      <c r="E1430" s="75">
        <v>0.79861111111111116</v>
      </c>
      <c r="F1430" s="75">
        <v>0.8125</v>
      </c>
      <c r="H1430" s="75"/>
      <c r="I1430" s="75"/>
    </row>
    <row r="1431" spans="1:10" x14ac:dyDescent="0.6">
      <c r="A1431" t="s">
        <v>1782</v>
      </c>
      <c r="B1431" s="76">
        <v>1900</v>
      </c>
      <c r="C1431" t="s">
        <v>54</v>
      </c>
      <c r="D1431" t="s">
        <v>137</v>
      </c>
      <c r="E1431" s="75">
        <v>0.70833333333333337</v>
      </c>
      <c r="F1431" s="75">
        <v>0.71875</v>
      </c>
      <c r="H1431" s="75"/>
      <c r="I1431" s="75"/>
    </row>
    <row r="1432" spans="1:10" x14ac:dyDescent="0.6">
      <c r="A1432" t="s">
        <v>1782</v>
      </c>
      <c r="B1432" s="76">
        <v>1900</v>
      </c>
      <c r="C1432" t="s">
        <v>32</v>
      </c>
      <c r="D1432" t="s">
        <v>137</v>
      </c>
      <c r="E1432" s="75">
        <v>0.73958333333333337</v>
      </c>
      <c r="F1432" s="75">
        <v>0.75</v>
      </c>
      <c r="H1432" s="75"/>
      <c r="I1432" s="75"/>
    </row>
    <row r="1433" spans="1:10" x14ac:dyDescent="0.6">
      <c r="A1433" t="s">
        <v>1782</v>
      </c>
      <c r="B1433" s="76">
        <v>1900</v>
      </c>
      <c r="C1433" t="s">
        <v>941</v>
      </c>
      <c r="D1433" t="s">
        <v>942</v>
      </c>
      <c r="E1433" s="75">
        <v>0.79166666666666663</v>
      </c>
      <c r="F1433" s="75">
        <v>0.80555555555555558</v>
      </c>
      <c r="H1433" s="75"/>
      <c r="I1433" s="75"/>
    </row>
    <row r="1434" spans="1:10" x14ac:dyDescent="0.6">
      <c r="A1434" t="s">
        <v>1783</v>
      </c>
      <c r="B1434" s="76">
        <v>1900</v>
      </c>
      <c r="C1434" t="s">
        <v>73</v>
      </c>
      <c r="D1434" t="s">
        <v>137</v>
      </c>
      <c r="E1434" s="75">
        <v>0.60416666666666663</v>
      </c>
      <c r="F1434" s="75">
        <v>0.61111111111111116</v>
      </c>
      <c r="H1434" s="75"/>
      <c r="I1434" s="75"/>
      <c r="J1434" t="s">
        <v>1784</v>
      </c>
    </row>
    <row r="1435" spans="1:10" x14ac:dyDescent="0.6">
      <c r="A1435" t="s">
        <v>1783</v>
      </c>
      <c r="B1435" s="76">
        <v>1900</v>
      </c>
      <c r="C1435" t="s">
        <v>92</v>
      </c>
      <c r="D1435" t="s">
        <v>137</v>
      </c>
      <c r="E1435" s="75">
        <v>0.63194444444444442</v>
      </c>
      <c r="F1435" s="75">
        <v>0.63888888888888884</v>
      </c>
      <c r="H1435" s="75"/>
      <c r="I1435" s="75"/>
    </row>
    <row r="1436" spans="1:10" x14ac:dyDescent="0.6">
      <c r="A1436" t="s">
        <v>1783</v>
      </c>
      <c r="B1436" s="76">
        <v>1900</v>
      </c>
      <c r="C1436" t="s">
        <v>1785</v>
      </c>
      <c r="D1436" t="s">
        <v>942</v>
      </c>
      <c r="E1436" s="75">
        <v>0.65277777777777779</v>
      </c>
      <c r="F1436" s="75">
        <v>0.66319444444444442</v>
      </c>
      <c r="H1436" s="75"/>
      <c r="I1436" s="75"/>
    </row>
    <row r="1437" spans="1:10" x14ac:dyDescent="0.6">
      <c r="A1437" t="s">
        <v>1786</v>
      </c>
      <c r="B1437" s="76">
        <v>1900</v>
      </c>
      <c r="C1437" t="s">
        <v>33</v>
      </c>
      <c r="D1437" t="s">
        <v>137</v>
      </c>
      <c r="E1437" s="75">
        <v>0.60416666666666663</v>
      </c>
      <c r="F1437" s="75">
        <v>0.61111111111111116</v>
      </c>
      <c r="H1437" s="75"/>
      <c r="I1437" s="75"/>
      <c r="J1437" t="s">
        <v>1784</v>
      </c>
    </row>
    <row r="1438" spans="1:10" x14ac:dyDescent="0.6">
      <c r="A1438" t="s">
        <v>1786</v>
      </c>
      <c r="B1438" s="76">
        <v>1900</v>
      </c>
      <c r="C1438" t="s">
        <v>49</v>
      </c>
      <c r="D1438" t="s">
        <v>137</v>
      </c>
      <c r="E1438" s="75">
        <v>0.63194444444444442</v>
      </c>
      <c r="F1438" s="75">
        <v>0.63888888888888884</v>
      </c>
      <c r="H1438" s="75"/>
      <c r="I1438" s="75"/>
    </row>
    <row r="1439" spans="1:10" x14ac:dyDescent="0.6">
      <c r="A1439" t="s">
        <v>1786</v>
      </c>
      <c r="B1439" s="76">
        <v>1900</v>
      </c>
      <c r="C1439" t="s">
        <v>50</v>
      </c>
      <c r="D1439" t="s">
        <v>137</v>
      </c>
      <c r="E1439" s="75">
        <v>0.64583333333333337</v>
      </c>
      <c r="F1439" s="75">
        <v>0.65277777777777779</v>
      </c>
      <c r="H1439" s="75"/>
      <c r="I1439" s="75"/>
    </row>
    <row r="1440" spans="1:10" x14ac:dyDescent="0.6">
      <c r="A1440" t="s">
        <v>1786</v>
      </c>
      <c r="B1440" s="76">
        <v>1900</v>
      </c>
      <c r="C1440" t="s">
        <v>1785</v>
      </c>
      <c r="D1440" t="s">
        <v>942</v>
      </c>
      <c r="E1440" s="75">
        <v>0.66666666666666663</v>
      </c>
      <c r="F1440" s="75">
        <v>0.68055555555555558</v>
      </c>
      <c r="H1440" s="75"/>
      <c r="I1440" s="75"/>
    </row>
    <row r="1441" spans="1:10" x14ac:dyDescent="0.6">
      <c r="A1441" t="s">
        <v>1787</v>
      </c>
      <c r="B1441" s="76">
        <v>1900</v>
      </c>
      <c r="C1441" t="s">
        <v>128</v>
      </c>
      <c r="D1441" t="s">
        <v>137</v>
      </c>
      <c r="E1441" s="75">
        <v>0.60416666666666663</v>
      </c>
      <c r="F1441" s="75">
        <v>0.61111111111111116</v>
      </c>
      <c r="H1441" s="75"/>
      <c r="I1441" s="75"/>
      <c r="J1441" t="s">
        <v>1784</v>
      </c>
    </row>
    <row r="1442" spans="1:10" x14ac:dyDescent="0.6">
      <c r="A1442" t="s">
        <v>1787</v>
      </c>
      <c r="B1442" s="76">
        <v>1900</v>
      </c>
      <c r="C1442" t="s">
        <v>94</v>
      </c>
      <c r="D1442" t="s">
        <v>137</v>
      </c>
      <c r="E1442" s="75">
        <v>0.63194444444444442</v>
      </c>
      <c r="F1442" s="75">
        <v>0.63888888888888884</v>
      </c>
      <c r="H1442" s="75"/>
      <c r="I1442" s="75"/>
      <c r="J1442" t="s">
        <v>1788</v>
      </c>
    </row>
    <row r="1443" spans="1:10" x14ac:dyDescent="0.6">
      <c r="A1443" t="s">
        <v>1787</v>
      </c>
      <c r="B1443" s="76">
        <v>1900</v>
      </c>
      <c r="C1443" t="s">
        <v>1785</v>
      </c>
      <c r="D1443" t="s">
        <v>942</v>
      </c>
      <c r="E1443" s="75">
        <v>0.65277777777777779</v>
      </c>
      <c r="F1443" s="75">
        <v>0.68402777777777779</v>
      </c>
      <c r="H1443" s="75"/>
      <c r="I1443" s="75"/>
    </row>
    <row r="1444" spans="1:10" x14ac:dyDescent="0.6">
      <c r="A1444" t="s">
        <v>1789</v>
      </c>
      <c r="B1444" s="76" t="s">
        <v>1192</v>
      </c>
      <c r="C1444" t="s">
        <v>92</v>
      </c>
      <c r="D1444" t="s">
        <v>137</v>
      </c>
      <c r="E1444" s="75">
        <v>0.82638888888888884</v>
      </c>
      <c r="F1444" s="75">
        <v>0.83333333333333337</v>
      </c>
      <c r="H1444" s="75"/>
      <c r="I1444" s="75"/>
      <c r="J1444" t="s">
        <v>1784</v>
      </c>
    </row>
    <row r="1445" spans="1:10" x14ac:dyDescent="0.6">
      <c r="A1445" t="s">
        <v>1789</v>
      </c>
      <c r="B1445" s="76" t="s">
        <v>1192</v>
      </c>
      <c r="C1445" t="s">
        <v>1785</v>
      </c>
      <c r="D1445" t="s">
        <v>942</v>
      </c>
      <c r="E1445" s="75">
        <v>0.84722222222222221</v>
      </c>
      <c r="F1445" s="75">
        <v>0.85763888888888884</v>
      </c>
      <c r="H1445" s="75"/>
      <c r="I1445" s="75"/>
    </row>
    <row r="1446" spans="1:10" x14ac:dyDescent="0.6">
      <c r="A1446" t="s">
        <v>1790</v>
      </c>
      <c r="B1446" s="76" t="s">
        <v>1192</v>
      </c>
      <c r="C1446" t="s">
        <v>49</v>
      </c>
      <c r="D1446" t="s">
        <v>137</v>
      </c>
      <c r="E1446" s="75">
        <v>0.82638888888888884</v>
      </c>
      <c r="F1446" s="75">
        <v>0.83680555555555558</v>
      </c>
      <c r="H1446" s="75"/>
      <c r="I1446" s="75"/>
      <c r="J1446" t="s">
        <v>1791</v>
      </c>
    </row>
    <row r="1447" spans="1:10" x14ac:dyDescent="0.6">
      <c r="A1447" t="s">
        <v>1790</v>
      </c>
      <c r="B1447" s="76" t="s">
        <v>1192</v>
      </c>
      <c r="C1447" t="s">
        <v>50</v>
      </c>
      <c r="D1447" t="s">
        <v>137</v>
      </c>
      <c r="E1447" s="75">
        <v>0.84375</v>
      </c>
      <c r="F1447" s="75">
        <v>0.85069444444444442</v>
      </c>
      <c r="H1447" s="75"/>
      <c r="I1447" s="75"/>
    </row>
    <row r="1448" spans="1:10" x14ac:dyDescent="0.6">
      <c r="A1448" t="s">
        <v>1790</v>
      </c>
      <c r="B1448" s="76" t="s">
        <v>1192</v>
      </c>
      <c r="C1448" t="s">
        <v>1785</v>
      </c>
      <c r="D1448" t="s">
        <v>942</v>
      </c>
      <c r="E1448" s="75">
        <v>0.85763888888888884</v>
      </c>
      <c r="F1448" s="75">
        <v>0.87152777777777779</v>
      </c>
      <c r="H1448" s="75"/>
      <c r="I1448" s="75"/>
    </row>
    <row r="1449" spans="1:10" x14ac:dyDescent="0.6">
      <c r="A1449" t="s">
        <v>1792</v>
      </c>
      <c r="B1449" s="76">
        <v>1900</v>
      </c>
      <c r="C1449" t="s">
        <v>56</v>
      </c>
      <c r="D1449" t="s">
        <v>137</v>
      </c>
      <c r="E1449" s="75">
        <v>0.81944444444444442</v>
      </c>
      <c r="F1449" s="75">
        <v>0.82986111111111116</v>
      </c>
      <c r="H1449" s="75"/>
      <c r="I1449" s="75"/>
      <c r="J1449" t="s">
        <v>1784</v>
      </c>
    </row>
    <row r="1450" spans="1:10" x14ac:dyDescent="0.6">
      <c r="A1450" t="s">
        <v>1792</v>
      </c>
      <c r="B1450" s="76">
        <v>1900</v>
      </c>
      <c r="C1450" t="s">
        <v>1785</v>
      </c>
      <c r="D1450" t="s">
        <v>942</v>
      </c>
      <c r="E1450" s="75">
        <v>0.84722222222222221</v>
      </c>
      <c r="F1450" s="75">
        <v>0.85763888888888884</v>
      </c>
      <c r="H1450" s="75"/>
      <c r="I1450" s="75"/>
    </row>
    <row r="1451" spans="1:10" x14ac:dyDescent="0.6">
      <c r="A1451" t="s">
        <v>1793</v>
      </c>
      <c r="B1451" s="76" t="s">
        <v>1192</v>
      </c>
      <c r="C1451" t="s">
        <v>1794</v>
      </c>
      <c r="D1451" t="s">
        <v>137</v>
      </c>
      <c r="E1451" s="75">
        <v>0.84722222222222221</v>
      </c>
      <c r="F1451" s="75">
        <v>0.85416666666666663</v>
      </c>
      <c r="H1451" s="75"/>
      <c r="I1451" s="75"/>
      <c r="J1451" t="s">
        <v>1784</v>
      </c>
    </row>
    <row r="1452" spans="1:10" x14ac:dyDescent="0.6">
      <c r="A1452" t="s">
        <v>1793</v>
      </c>
      <c r="B1452" s="76" t="s">
        <v>1192</v>
      </c>
      <c r="C1452" t="s">
        <v>130</v>
      </c>
      <c r="D1452" t="s">
        <v>137</v>
      </c>
      <c r="E1452" s="75">
        <v>0.85416666666666663</v>
      </c>
      <c r="F1452" s="75">
        <v>0.86111111111111116</v>
      </c>
      <c r="H1452" s="75"/>
      <c r="I1452" s="75"/>
    </row>
    <row r="1453" spans="1:10" x14ac:dyDescent="0.6">
      <c r="A1453" t="s">
        <v>1793</v>
      </c>
      <c r="B1453" s="76" t="s">
        <v>1192</v>
      </c>
      <c r="C1453" t="s">
        <v>1785</v>
      </c>
      <c r="D1453" t="s">
        <v>942</v>
      </c>
      <c r="E1453" s="75">
        <v>0.875</v>
      </c>
      <c r="F1453" s="75">
        <v>0.88541666666666663</v>
      </c>
      <c r="H1453" s="75"/>
      <c r="I1453" s="75"/>
    </row>
    <row r="1454" spans="1:10" x14ac:dyDescent="0.6">
      <c r="A1454" t="s">
        <v>1795</v>
      </c>
      <c r="B1454" s="76">
        <v>1900</v>
      </c>
      <c r="C1454" t="s">
        <v>21</v>
      </c>
      <c r="D1454" t="s">
        <v>137</v>
      </c>
      <c r="E1454" s="75">
        <v>0.82638888888888884</v>
      </c>
      <c r="F1454" s="75">
        <v>0.84027777777777779</v>
      </c>
      <c r="H1454" s="75"/>
      <c r="I1454" s="75"/>
      <c r="J1454" t="s">
        <v>1784</v>
      </c>
    </row>
    <row r="1455" spans="1:10" x14ac:dyDescent="0.6">
      <c r="A1455" t="s">
        <v>1795</v>
      </c>
      <c r="B1455" s="76">
        <v>1900</v>
      </c>
      <c r="C1455" t="s">
        <v>1548</v>
      </c>
      <c r="D1455" t="s">
        <v>137</v>
      </c>
      <c r="E1455" s="75">
        <v>0.82638888888888884</v>
      </c>
      <c r="F1455" s="75">
        <v>0.83680555555555558</v>
      </c>
      <c r="H1455" s="75"/>
      <c r="I1455" s="75"/>
    </row>
    <row r="1456" spans="1:10" x14ac:dyDescent="0.6">
      <c r="A1456" t="s">
        <v>1795</v>
      </c>
      <c r="B1456" s="76">
        <v>1900</v>
      </c>
      <c r="C1456" t="s">
        <v>1785</v>
      </c>
      <c r="D1456" t="s">
        <v>942</v>
      </c>
      <c r="E1456" s="75">
        <v>0.88541666666666663</v>
      </c>
      <c r="F1456" s="75">
        <v>0.89583333333333337</v>
      </c>
      <c r="H1456" s="75"/>
      <c r="I1456" s="75"/>
    </row>
    <row r="1457" spans="1:10" x14ac:dyDescent="0.6">
      <c r="A1457" t="s">
        <v>1796</v>
      </c>
      <c r="B1457" s="76" t="s">
        <v>1192</v>
      </c>
      <c r="C1457" t="s">
        <v>100</v>
      </c>
      <c r="D1457" t="s">
        <v>137</v>
      </c>
      <c r="E1457" s="75">
        <v>0.82638888888888884</v>
      </c>
      <c r="F1457" s="75">
        <v>0.83680555555555558</v>
      </c>
      <c r="H1457" s="75"/>
      <c r="I1457" s="75"/>
      <c r="J1457" t="s">
        <v>1784</v>
      </c>
    </row>
    <row r="1458" spans="1:10" x14ac:dyDescent="0.6">
      <c r="A1458" t="s">
        <v>1796</v>
      </c>
      <c r="B1458" s="76" t="s">
        <v>1192</v>
      </c>
      <c r="C1458" t="s">
        <v>1785</v>
      </c>
      <c r="D1458" t="s">
        <v>942</v>
      </c>
      <c r="E1458" s="75">
        <v>0.86805555555555558</v>
      </c>
      <c r="F1458" s="75">
        <v>0.875</v>
      </c>
      <c r="H1458" s="75"/>
      <c r="I1458" s="7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DEA5-110D-40C9-8BB4-E5F6938B9B0D}">
  <dimension ref="A1:Q27"/>
  <sheetViews>
    <sheetView topLeftCell="A10" workbookViewId="0">
      <selection activeCell="H11" sqref="H11"/>
    </sheetView>
  </sheetViews>
  <sheetFormatPr defaultRowHeight="13" x14ac:dyDescent="0.6"/>
  <cols>
    <col min="1" max="1" width="23.5" bestFit="1" customWidth="1"/>
    <col min="2" max="2" width="28.953125" bestFit="1" customWidth="1"/>
    <col min="3" max="3" width="6.58984375" bestFit="1" customWidth="1"/>
    <col min="4" max="4" width="9" bestFit="1" customWidth="1"/>
    <col min="5" max="5" width="11.2265625" customWidth="1"/>
    <col min="6" max="6" width="14.90625" bestFit="1" customWidth="1"/>
    <col min="7" max="7" width="63.1796875" bestFit="1" customWidth="1"/>
    <col min="8" max="8" width="70.40625" bestFit="1" customWidth="1"/>
    <col min="9" max="9" width="13" bestFit="1" customWidth="1"/>
    <col min="10" max="10" width="14.90625" bestFit="1" customWidth="1"/>
    <col min="11" max="11" width="15.2265625" bestFit="1" customWidth="1"/>
    <col min="12" max="12" width="7.6796875" bestFit="1" customWidth="1"/>
    <col min="13" max="13" width="16.1328125" bestFit="1" customWidth="1"/>
    <col min="14" max="14" width="11" bestFit="1" customWidth="1"/>
    <col min="15" max="15" width="39.08984375" customWidth="1"/>
    <col min="16" max="16" width="21.31640625" bestFit="1" customWidth="1"/>
    <col min="17" max="17" width="22.40625" bestFit="1" customWidth="1"/>
  </cols>
  <sheetData>
    <row r="1" spans="1:17" x14ac:dyDescent="0.6">
      <c r="A1" t="s">
        <v>1797</v>
      </c>
      <c r="B1" t="s">
        <v>1798</v>
      </c>
      <c r="C1" t="s">
        <v>1799</v>
      </c>
      <c r="D1" t="s">
        <v>1800</v>
      </c>
      <c r="E1" t="s">
        <v>1801</v>
      </c>
      <c r="F1" t="s">
        <v>1802</v>
      </c>
      <c r="G1" t="s">
        <v>1803</v>
      </c>
      <c r="H1" t="s">
        <v>1804</v>
      </c>
      <c r="I1" t="s">
        <v>1805</v>
      </c>
      <c r="J1" t="s">
        <v>1802</v>
      </c>
      <c r="K1" t="s">
        <v>1806</v>
      </c>
      <c r="L1" t="s">
        <v>1807</v>
      </c>
      <c r="M1" t="s">
        <v>1808</v>
      </c>
      <c r="N1" t="s">
        <v>1809</v>
      </c>
      <c r="O1" t="s">
        <v>1810</v>
      </c>
      <c r="P1" t="s">
        <v>1811</v>
      </c>
      <c r="Q1" t="s">
        <v>1812</v>
      </c>
    </row>
    <row r="2" spans="1:17" x14ac:dyDescent="0.6">
      <c r="A2" s="69">
        <v>45912</v>
      </c>
      <c r="B2" t="s">
        <v>1813</v>
      </c>
      <c r="C2" t="s">
        <v>1814</v>
      </c>
      <c r="D2" t="s">
        <v>568</v>
      </c>
      <c r="E2" t="s">
        <v>202</v>
      </c>
      <c r="F2" s="77">
        <v>45870.007421180555</v>
      </c>
      <c r="G2" t="s">
        <v>1815</v>
      </c>
      <c r="H2" t="s">
        <v>1816</v>
      </c>
      <c r="I2" s="78">
        <v>500000</v>
      </c>
      <c r="J2" s="75">
        <v>0.44513888888888886</v>
      </c>
      <c r="K2" t="s">
        <v>1817</v>
      </c>
      <c r="L2">
        <v>3136667</v>
      </c>
      <c r="M2" t="s">
        <v>1818</v>
      </c>
      <c r="N2" t="s">
        <v>1819</v>
      </c>
      <c r="O2" s="69">
        <v>45927</v>
      </c>
      <c r="Q2" t="s">
        <v>1820</v>
      </c>
    </row>
    <row r="3" spans="1:17" x14ac:dyDescent="0.6">
      <c r="A3" s="69">
        <v>45912</v>
      </c>
      <c r="B3" t="s">
        <v>1813</v>
      </c>
      <c r="C3" t="s">
        <v>1814</v>
      </c>
      <c r="D3" t="s">
        <v>735</v>
      </c>
      <c r="E3" t="s">
        <v>202</v>
      </c>
      <c r="F3" s="77">
        <v>45809.008845254626</v>
      </c>
      <c r="G3" t="s">
        <v>1821</v>
      </c>
      <c r="H3" t="s">
        <v>1822</v>
      </c>
      <c r="I3" s="78">
        <v>900000</v>
      </c>
      <c r="J3" s="75">
        <v>0.53055555555555556</v>
      </c>
      <c r="K3" t="s">
        <v>1817</v>
      </c>
      <c r="L3">
        <v>3135475</v>
      </c>
      <c r="M3" t="s">
        <v>1823</v>
      </c>
      <c r="N3" t="s">
        <v>1819</v>
      </c>
      <c r="O3" s="69">
        <v>45927</v>
      </c>
      <c r="Q3" t="s">
        <v>1824</v>
      </c>
    </row>
    <row r="4" spans="1:17" x14ac:dyDescent="0.6">
      <c r="A4" s="69">
        <v>45912</v>
      </c>
      <c r="B4" t="s">
        <v>1813</v>
      </c>
      <c r="C4" t="s">
        <v>1814</v>
      </c>
      <c r="D4" t="s">
        <v>638</v>
      </c>
      <c r="E4" t="s">
        <v>202</v>
      </c>
      <c r="F4" s="77">
        <v>45809.009793634257</v>
      </c>
      <c r="G4" t="s">
        <v>1825</v>
      </c>
      <c r="H4" t="s">
        <v>1816</v>
      </c>
      <c r="I4" s="78">
        <v>500000</v>
      </c>
      <c r="J4" s="75">
        <v>0.58750000000000002</v>
      </c>
      <c r="K4" t="s">
        <v>1817</v>
      </c>
      <c r="L4">
        <v>3133033</v>
      </c>
      <c r="M4" t="s">
        <v>1826</v>
      </c>
      <c r="N4" t="s">
        <v>1819</v>
      </c>
      <c r="O4" s="69">
        <v>45927</v>
      </c>
      <c r="Q4" t="s">
        <v>1824</v>
      </c>
    </row>
    <row r="5" spans="1:17" x14ac:dyDescent="0.6">
      <c r="A5" s="69">
        <v>45912</v>
      </c>
      <c r="B5" t="s">
        <v>1813</v>
      </c>
      <c r="C5" t="s">
        <v>1814</v>
      </c>
      <c r="D5" t="s">
        <v>596</v>
      </c>
      <c r="E5" t="s">
        <v>202</v>
      </c>
      <c r="F5" s="77">
        <v>45778.006241087962</v>
      </c>
      <c r="G5" t="s">
        <v>1827</v>
      </c>
      <c r="H5" t="s">
        <v>1828</v>
      </c>
      <c r="I5" s="78">
        <v>900000</v>
      </c>
      <c r="J5" s="75">
        <v>0.37430555555555556</v>
      </c>
      <c r="K5" t="s">
        <v>1817</v>
      </c>
      <c r="L5">
        <v>3130204</v>
      </c>
      <c r="M5" t="s">
        <v>1829</v>
      </c>
      <c r="N5" t="s">
        <v>1819</v>
      </c>
      <c r="O5" s="69">
        <v>45927</v>
      </c>
      <c r="Q5" t="s">
        <v>1824</v>
      </c>
    </row>
    <row r="6" spans="1:17" x14ac:dyDescent="0.6">
      <c r="A6" s="69">
        <v>45933</v>
      </c>
      <c r="B6" t="s">
        <v>1813</v>
      </c>
      <c r="C6" t="s">
        <v>1814</v>
      </c>
      <c r="D6" t="s">
        <v>617</v>
      </c>
      <c r="E6" t="s">
        <v>202</v>
      </c>
      <c r="F6" s="79">
        <v>45915.842361111114</v>
      </c>
      <c r="G6" t="s">
        <v>1830</v>
      </c>
      <c r="H6" t="s">
        <v>1822</v>
      </c>
      <c r="I6" s="78">
        <v>900000</v>
      </c>
      <c r="J6" s="75">
        <v>0.84236111111111112</v>
      </c>
      <c r="K6" t="s">
        <v>1831</v>
      </c>
      <c r="L6">
        <v>3133335</v>
      </c>
      <c r="M6" t="s">
        <v>1832</v>
      </c>
      <c r="N6" t="s">
        <v>1819</v>
      </c>
      <c r="O6" s="69">
        <v>45948</v>
      </c>
      <c r="Q6" t="s">
        <v>1833</v>
      </c>
    </row>
    <row r="7" spans="1:17" x14ac:dyDescent="0.6">
      <c r="A7" s="69">
        <v>45943</v>
      </c>
      <c r="B7" t="s">
        <v>1813</v>
      </c>
      <c r="C7" t="s">
        <v>1814</v>
      </c>
      <c r="D7" t="s">
        <v>614</v>
      </c>
      <c r="E7" t="s">
        <v>202</v>
      </c>
      <c r="F7" s="79">
        <v>45938.515972222223</v>
      </c>
      <c r="G7" t="s">
        <v>1834</v>
      </c>
      <c r="H7" t="s">
        <v>1828</v>
      </c>
      <c r="I7" s="78">
        <v>900000</v>
      </c>
      <c r="J7" s="75">
        <v>0.51597222222222228</v>
      </c>
      <c r="K7" t="s">
        <v>1817</v>
      </c>
      <c r="L7">
        <v>3145603</v>
      </c>
      <c r="M7" t="s">
        <v>1835</v>
      </c>
      <c r="N7" t="s">
        <v>1836</v>
      </c>
      <c r="O7" s="69">
        <v>45958</v>
      </c>
      <c r="Q7" t="s">
        <v>1833</v>
      </c>
    </row>
    <row r="8" spans="1:17" x14ac:dyDescent="0.6">
      <c r="A8" s="69">
        <v>45954</v>
      </c>
      <c r="B8" t="s">
        <v>1813</v>
      </c>
      <c r="C8" t="s">
        <v>1814</v>
      </c>
      <c r="D8" s="73" t="s">
        <v>882</v>
      </c>
      <c r="E8" t="s">
        <v>202</v>
      </c>
      <c r="F8" s="77">
        <v>45931.007975578701</v>
      </c>
      <c r="G8" t="s">
        <v>1837</v>
      </c>
      <c r="H8" t="s">
        <v>1816</v>
      </c>
      <c r="I8" s="78">
        <v>500000</v>
      </c>
      <c r="J8" s="75">
        <v>0.47847222222222224</v>
      </c>
      <c r="K8" t="s">
        <v>1817</v>
      </c>
      <c r="L8">
        <v>3141886</v>
      </c>
      <c r="M8" t="s">
        <v>1838</v>
      </c>
      <c r="N8" t="s">
        <v>1836</v>
      </c>
      <c r="O8" s="69">
        <v>45973</v>
      </c>
      <c r="Q8" t="s">
        <v>1833</v>
      </c>
    </row>
    <row r="9" spans="1:17" x14ac:dyDescent="0.6">
      <c r="A9" s="69">
        <v>45971</v>
      </c>
      <c r="B9" t="s">
        <v>1813</v>
      </c>
      <c r="C9" t="s">
        <v>1814</v>
      </c>
      <c r="D9" t="s">
        <v>687</v>
      </c>
      <c r="E9" t="s">
        <v>202</v>
      </c>
      <c r="F9" s="77">
        <v>45962.002558449072</v>
      </c>
      <c r="G9" t="s">
        <v>1839</v>
      </c>
      <c r="H9" t="s">
        <v>1840</v>
      </c>
      <c r="I9" s="78">
        <v>19000000</v>
      </c>
      <c r="J9" s="75">
        <v>0.15347222222222223</v>
      </c>
      <c r="K9" t="s">
        <v>1841</v>
      </c>
      <c r="L9">
        <v>3144366</v>
      </c>
      <c r="M9" t="s">
        <v>1842</v>
      </c>
      <c r="N9" t="s">
        <v>1819</v>
      </c>
      <c r="O9" s="69">
        <v>45991</v>
      </c>
      <c r="Q9" t="s">
        <v>1843</v>
      </c>
    </row>
    <row r="10" spans="1:17" x14ac:dyDescent="0.6">
      <c r="A10" s="69">
        <v>46153</v>
      </c>
      <c r="B10" t="s">
        <v>1813</v>
      </c>
      <c r="C10" t="s">
        <v>1814</v>
      </c>
      <c r="D10" t="s">
        <v>505</v>
      </c>
      <c r="E10" t="s">
        <v>202</v>
      </c>
      <c r="F10" s="77">
        <v>45992.006553009262</v>
      </c>
      <c r="G10" t="s">
        <v>1844</v>
      </c>
      <c r="H10" t="s">
        <v>1845</v>
      </c>
      <c r="I10" s="78">
        <v>7000000</v>
      </c>
      <c r="J10" s="75">
        <v>0.37638888888888888</v>
      </c>
      <c r="L10">
        <v>3102071</v>
      </c>
      <c r="M10" t="s">
        <v>1846</v>
      </c>
      <c r="N10" t="s">
        <v>1819</v>
      </c>
      <c r="Q10" t="s">
        <v>1843</v>
      </c>
    </row>
    <row r="11" spans="1:17" x14ac:dyDescent="0.6">
      <c r="A11" s="69">
        <v>46153</v>
      </c>
      <c r="B11" t="s">
        <v>1813</v>
      </c>
      <c r="C11" t="s">
        <v>1814</v>
      </c>
      <c r="D11" t="s">
        <v>687</v>
      </c>
      <c r="E11" t="s">
        <v>202</v>
      </c>
      <c r="F11" s="77">
        <v>45962.003114583335</v>
      </c>
      <c r="G11" t="s">
        <v>1847</v>
      </c>
      <c r="H11" t="s">
        <v>1828</v>
      </c>
      <c r="I11" s="78">
        <v>900000</v>
      </c>
      <c r="J11" s="75">
        <v>0.18680555555555556</v>
      </c>
      <c r="Q11" t="s">
        <v>1843</v>
      </c>
    </row>
    <row r="12" spans="1:17" x14ac:dyDescent="0.6">
      <c r="A12" s="69">
        <v>46153</v>
      </c>
      <c r="B12" t="s">
        <v>1813</v>
      </c>
      <c r="C12" t="s">
        <v>1814</v>
      </c>
      <c r="D12" s="73" t="s">
        <v>897</v>
      </c>
      <c r="E12" t="s">
        <v>202</v>
      </c>
      <c r="F12" s="79">
        <v>45972.822916666664</v>
      </c>
      <c r="G12" t="s">
        <v>1847</v>
      </c>
      <c r="H12" t="s">
        <v>1848</v>
      </c>
      <c r="I12" s="78">
        <v>5000000</v>
      </c>
      <c r="J12" s="75">
        <v>0.82291666666666663</v>
      </c>
      <c r="Q12" t="s">
        <v>1843</v>
      </c>
    </row>
    <row r="13" spans="1:17" x14ac:dyDescent="0.6">
      <c r="A13" s="69">
        <v>46153</v>
      </c>
      <c r="B13" t="s">
        <v>1813</v>
      </c>
      <c r="C13" t="s">
        <v>1814</v>
      </c>
      <c r="D13" t="s">
        <v>220</v>
      </c>
      <c r="E13" t="s">
        <v>202</v>
      </c>
      <c r="F13" s="79">
        <v>46049.556250000001</v>
      </c>
      <c r="G13" t="s">
        <v>1849</v>
      </c>
      <c r="H13" t="s">
        <v>1828</v>
      </c>
      <c r="I13" s="78">
        <v>900000</v>
      </c>
      <c r="J13" s="75">
        <v>0.55625000000000002</v>
      </c>
      <c r="Q13" t="s">
        <v>1843</v>
      </c>
    </row>
    <row r="14" spans="1:17" x14ac:dyDescent="0.6">
      <c r="A14" s="69">
        <v>46153</v>
      </c>
      <c r="B14" t="s">
        <v>1813</v>
      </c>
      <c r="C14" t="s">
        <v>1814</v>
      </c>
      <c r="D14" t="s">
        <v>230</v>
      </c>
      <c r="E14" t="s">
        <v>202</v>
      </c>
      <c r="F14" s="79">
        <v>45950.501388888886</v>
      </c>
      <c r="G14" t="s">
        <v>1850</v>
      </c>
      <c r="H14" t="s">
        <v>1828</v>
      </c>
      <c r="I14" s="78">
        <v>900000</v>
      </c>
      <c r="J14" s="75">
        <v>0.50138888888888888</v>
      </c>
      <c r="Q14" t="s">
        <v>1843</v>
      </c>
    </row>
    <row r="15" spans="1:17" x14ac:dyDescent="0.6">
      <c r="A15" s="69">
        <v>46153</v>
      </c>
      <c r="B15" t="s">
        <v>1813</v>
      </c>
      <c r="C15" t="s">
        <v>1814</v>
      </c>
      <c r="D15" t="s">
        <v>230</v>
      </c>
      <c r="E15" t="s">
        <v>202</v>
      </c>
      <c r="F15" s="79">
        <v>45949.5</v>
      </c>
      <c r="G15" t="s">
        <v>1851</v>
      </c>
      <c r="H15" t="s">
        <v>1828</v>
      </c>
      <c r="I15" s="78">
        <v>900000</v>
      </c>
      <c r="J15" s="75">
        <v>0.5</v>
      </c>
      <c r="Q15" t="s">
        <v>1843</v>
      </c>
    </row>
    <row r="16" spans="1:17" x14ac:dyDescent="0.6">
      <c r="A16" s="69">
        <v>46153</v>
      </c>
      <c r="B16" t="s">
        <v>1813</v>
      </c>
      <c r="C16" t="s">
        <v>1814</v>
      </c>
      <c r="D16" t="s">
        <v>293</v>
      </c>
      <c r="E16" t="s">
        <v>202</v>
      </c>
      <c r="F16" s="79">
        <v>46112.634027777778</v>
      </c>
      <c r="G16" t="s">
        <v>1852</v>
      </c>
      <c r="H16" t="s">
        <v>1853</v>
      </c>
      <c r="I16" s="78">
        <v>500000</v>
      </c>
      <c r="J16" s="75">
        <v>0.63402777777777775</v>
      </c>
      <c r="Q16" t="s">
        <v>1843</v>
      </c>
    </row>
    <row r="17" spans="1:17" x14ac:dyDescent="0.6">
      <c r="A17" s="69">
        <v>46153</v>
      </c>
      <c r="B17" t="s">
        <v>1813</v>
      </c>
      <c r="C17" t="s">
        <v>1814</v>
      </c>
      <c r="D17" t="s">
        <v>481</v>
      </c>
      <c r="E17" t="s">
        <v>202</v>
      </c>
      <c r="F17" s="79">
        <v>46013.585416666669</v>
      </c>
      <c r="G17" t="s">
        <v>1854</v>
      </c>
      <c r="H17" t="s">
        <v>1828</v>
      </c>
      <c r="I17" s="78">
        <v>900000</v>
      </c>
      <c r="J17" s="75">
        <v>0.5854166666666667</v>
      </c>
      <c r="Q17" t="s">
        <v>1843</v>
      </c>
    </row>
    <row r="18" spans="1:17" x14ac:dyDescent="0.6">
      <c r="A18" s="69">
        <v>46153</v>
      </c>
      <c r="B18" t="s">
        <v>1813</v>
      </c>
      <c r="C18" t="s">
        <v>1814</v>
      </c>
      <c r="D18" t="s">
        <v>614</v>
      </c>
      <c r="E18" t="s">
        <v>202</v>
      </c>
      <c r="F18" s="79">
        <v>46076.522222222222</v>
      </c>
      <c r="G18" t="s">
        <v>1855</v>
      </c>
      <c r="H18" t="s">
        <v>1828</v>
      </c>
      <c r="I18" s="78">
        <v>900000</v>
      </c>
      <c r="J18" s="75">
        <v>0.52222222222222225</v>
      </c>
      <c r="L18">
        <v>3145603</v>
      </c>
      <c r="M18" t="s">
        <v>1835</v>
      </c>
      <c r="N18" t="s">
        <v>1836</v>
      </c>
      <c r="Q18" t="s">
        <v>1843</v>
      </c>
    </row>
    <row r="19" spans="1:17" x14ac:dyDescent="0.6">
      <c r="A19" s="69">
        <v>46153</v>
      </c>
      <c r="B19" t="s">
        <v>1813</v>
      </c>
      <c r="C19" t="s">
        <v>1814</v>
      </c>
      <c r="D19" t="s">
        <v>614</v>
      </c>
      <c r="E19" t="s">
        <v>202</v>
      </c>
      <c r="F19" s="79">
        <v>46063.281944444447</v>
      </c>
      <c r="G19" t="s">
        <v>1847</v>
      </c>
      <c r="H19" t="s">
        <v>1828</v>
      </c>
      <c r="I19" s="78">
        <v>900000</v>
      </c>
      <c r="J19" s="75">
        <v>0.28194444444444444</v>
      </c>
      <c r="L19">
        <v>3145603</v>
      </c>
      <c r="M19" t="s">
        <v>1835</v>
      </c>
      <c r="N19" t="s">
        <v>1836</v>
      </c>
      <c r="Q19" t="s">
        <v>1843</v>
      </c>
    </row>
    <row r="20" spans="1:17" x14ac:dyDescent="0.6">
      <c r="A20" s="69">
        <v>46153</v>
      </c>
      <c r="B20" t="s">
        <v>1813</v>
      </c>
      <c r="C20" t="s">
        <v>1814</v>
      </c>
      <c r="D20" t="s">
        <v>614</v>
      </c>
      <c r="E20" t="s">
        <v>202</v>
      </c>
      <c r="F20" s="79">
        <v>46059.288194444445</v>
      </c>
      <c r="G20" t="s">
        <v>1847</v>
      </c>
      <c r="H20" t="s">
        <v>1828</v>
      </c>
      <c r="I20" s="78">
        <v>900000</v>
      </c>
      <c r="J20" s="75">
        <v>0.28819444444444442</v>
      </c>
      <c r="L20">
        <v>3145603</v>
      </c>
      <c r="M20" t="s">
        <v>1835</v>
      </c>
      <c r="N20" t="s">
        <v>1836</v>
      </c>
      <c r="Q20" t="s">
        <v>1843</v>
      </c>
    </row>
    <row r="21" spans="1:17" x14ac:dyDescent="0.6">
      <c r="A21" s="69">
        <v>46153</v>
      </c>
      <c r="B21" t="s">
        <v>1813</v>
      </c>
      <c r="C21" t="s">
        <v>1814</v>
      </c>
      <c r="D21" t="s">
        <v>605</v>
      </c>
      <c r="E21" t="s">
        <v>202</v>
      </c>
      <c r="F21" s="79">
        <v>46035.50277777778</v>
      </c>
      <c r="G21" t="s">
        <v>1856</v>
      </c>
      <c r="H21" t="s">
        <v>1828</v>
      </c>
      <c r="I21" s="78">
        <v>900000</v>
      </c>
      <c r="J21" s="75">
        <v>0.50277777777777777</v>
      </c>
      <c r="Q21" t="s">
        <v>1843</v>
      </c>
    </row>
    <row r="22" spans="1:17" x14ac:dyDescent="0.6">
      <c r="A22" s="69">
        <v>46153</v>
      </c>
      <c r="B22" t="s">
        <v>1813</v>
      </c>
      <c r="C22" t="s">
        <v>1814</v>
      </c>
      <c r="D22" t="s">
        <v>720</v>
      </c>
      <c r="E22" t="s">
        <v>202</v>
      </c>
      <c r="F22" s="79">
        <v>45889.50277777778</v>
      </c>
      <c r="G22" t="s">
        <v>1857</v>
      </c>
      <c r="H22" t="s">
        <v>1848</v>
      </c>
      <c r="I22" s="78">
        <v>5000000</v>
      </c>
      <c r="J22" s="75">
        <v>0.50277777777777777</v>
      </c>
      <c r="Q22" t="s">
        <v>1843</v>
      </c>
    </row>
    <row r="23" spans="1:17" x14ac:dyDescent="0.6">
      <c r="A23" s="69">
        <v>46153</v>
      </c>
      <c r="B23" t="s">
        <v>1813</v>
      </c>
      <c r="C23" t="s">
        <v>1814</v>
      </c>
      <c r="D23" t="s">
        <v>720</v>
      </c>
      <c r="E23" t="s">
        <v>202</v>
      </c>
      <c r="F23" s="79">
        <v>45888.504861111112</v>
      </c>
      <c r="G23" t="s">
        <v>1857</v>
      </c>
      <c r="H23" t="s">
        <v>1848</v>
      </c>
      <c r="I23" s="78">
        <v>5000000</v>
      </c>
      <c r="J23" s="75">
        <v>0.50486111111111109</v>
      </c>
      <c r="Q23" t="s">
        <v>1843</v>
      </c>
    </row>
    <row r="24" spans="1:17" x14ac:dyDescent="0.6">
      <c r="A24" s="69">
        <v>46153</v>
      </c>
      <c r="B24" t="s">
        <v>1813</v>
      </c>
      <c r="C24" t="s">
        <v>1814</v>
      </c>
      <c r="D24" t="s">
        <v>825</v>
      </c>
      <c r="E24" t="s">
        <v>202</v>
      </c>
      <c r="F24" s="79">
        <v>46097.537499999999</v>
      </c>
      <c r="G24" t="s">
        <v>1847</v>
      </c>
      <c r="H24" t="s">
        <v>1828</v>
      </c>
      <c r="I24" s="78">
        <v>900000</v>
      </c>
      <c r="J24" s="75">
        <v>0.53749999999999998</v>
      </c>
      <c r="Q24" t="s">
        <v>1843</v>
      </c>
    </row>
    <row r="25" spans="1:17" x14ac:dyDescent="0.6">
      <c r="A25" s="69">
        <v>46153</v>
      </c>
      <c r="B25" t="s">
        <v>1813</v>
      </c>
      <c r="C25" t="s">
        <v>1814</v>
      </c>
      <c r="D25" t="s">
        <v>792</v>
      </c>
      <c r="E25" t="s">
        <v>202</v>
      </c>
      <c r="F25" s="79">
        <v>45885.506944444445</v>
      </c>
      <c r="G25" t="s">
        <v>1858</v>
      </c>
      <c r="H25" t="s">
        <v>1848</v>
      </c>
      <c r="I25" s="78">
        <v>5000000</v>
      </c>
      <c r="J25" s="75">
        <v>0.50694444444444442</v>
      </c>
      <c r="Q25" t="s">
        <v>1843</v>
      </c>
    </row>
    <row r="26" spans="1:17" x14ac:dyDescent="0.6">
      <c r="A26" s="69">
        <v>46153</v>
      </c>
      <c r="B26" t="s">
        <v>1813</v>
      </c>
      <c r="C26" t="s">
        <v>1814</v>
      </c>
      <c r="D26" t="s">
        <v>653</v>
      </c>
      <c r="E26" t="s">
        <v>202</v>
      </c>
      <c r="F26" s="79">
        <v>45984.197222222225</v>
      </c>
      <c r="G26" t="s">
        <v>1847</v>
      </c>
      <c r="H26" t="s">
        <v>1848</v>
      </c>
      <c r="I26" s="78">
        <v>5000000</v>
      </c>
      <c r="J26" s="75">
        <v>0.19722222222222222</v>
      </c>
      <c r="Q26" t="s">
        <v>1843</v>
      </c>
    </row>
    <row r="27" spans="1:17" x14ac:dyDescent="0.6">
      <c r="A27" s="69">
        <v>46153</v>
      </c>
      <c r="B27" t="s">
        <v>1813</v>
      </c>
      <c r="C27" t="s">
        <v>1814</v>
      </c>
      <c r="D27" t="s">
        <v>768</v>
      </c>
      <c r="E27" t="s">
        <v>202</v>
      </c>
      <c r="F27" s="79">
        <v>46090.613888888889</v>
      </c>
      <c r="G27" t="s">
        <v>1859</v>
      </c>
      <c r="H27" t="s">
        <v>1816</v>
      </c>
      <c r="I27" s="78">
        <v>500000</v>
      </c>
      <c r="J27" s="75">
        <v>0.61388888888888893</v>
      </c>
      <c r="Q27" t="s">
        <v>1843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9063D-7BDE-495E-950C-090B60AF04B6}">
  <dimension ref="A1:Q256"/>
  <sheetViews>
    <sheetView workbookViewId="0">
      <selection activeCell="G25" sqref="G25"/>
    </sheetView>
  </sheetViews>
  <sheetFormatPr defaultRowHeight="13" x14ac:dyDescent="0.6"/>
  <cols>
    <col min="5" max="5" width="11.76953125" bestFit="1" customWidth="1"/>
    <col min="8" max="8" width="12.04296875" bestFit="1" customWidth="1"/>
    <col min="9" max="9" width="17.36328125" style="76" bestFit="1" customWidth="1"/>
  </cols>
  <sheetData>
    <row r="1" spans="1:17" x14ac:dyDescent="0.6">
      <c r="A1" t="s">
        <v>8</v>
      </c>
      <c r="B1" t="s">
        <v>151</v>
      </c>
      <c r="C1" t="s">
        <v>152</v>
      </c>
      <c r="D1" t="s">
        <v>153</v>
      </c>
      <c r="E1" t="s">
        <v>154</v>
      </c>
      <c r="F1" t="s">
        <v>155</v>
      </c>
      <c r="G1" t="s">
        <v>156</v>
      </c>
      <c r="H1" t="s">
        <v>157</v>
      </c>
      <c r="I1" s="76" t="s">
        <v>158</v>
      </c>
      <c r="J1" t="s">
        <v>159</v>
      </c>
      <c r="K1" t="s">
        <v>160</v>
      </c>
      <c r="L1" t="s">
        <v>161</v>
      </c>
      <c r="M1" t="s">
        <v>162</v>
      </c>
      <c r="N1" t="s">
        <v>163</v>
      </c>
      <c r="O1" t="s">
        <v>1860</v>
      </c>
      <c r="P1" t="s">
        <v>1861</v>
      </c>
      <c r="Q1" t="s">
        <v>1862</v>
      </c>
    </row>
    <row r="2" spans="1:17" x14ac:dyDescent="0.6">
      <c r="A2">
        <v>1</v>
      </c>
      <c r="B2" t="s">
        <v>178</v>
      </c>
      <c r="C2">
        <v>1100</v>
      </c>
      <c r="D2" t="s">
        <v>179</v>
      </c>
      <c r="E2" s="69">
        <v>2016</v>
      </c>
      <c r="F2" t="s">
        <v>180</v>
      </c>
      <c r="G2" t="s">
        <v>180</v>
      </c>
      <c r="H2">
        <v>11</v>
      </c>
      <c r="I2" s="76" t="s">
        <v>1863</v>
      </c>
      <c r="J2">
        <v>2016</v>
      </c>
      <c r="K2" t="s">
        <v>1864</v>
      </c>
      <c r="L2" t="s">
        <v>181</v>
      </c>
      <c r="M2" t="s">
        <v>182</v>
      </c>
      <c r="N2" t="s">
        <v>204</v>
      </c>
      <c r="O2" t="s">
        <v>1553</v>
      </c>
      <c r="P2" s="80">
        <v>0</v>
      </c>
      <c r="Q2" t="s">
        <v>1865</v>
      </c>
    </row>
    <row r="3" spans="1:17" x14ac:dyDescent="0.6">
      <c r="A3">
        <v>2</v>
      </c>
      <c r="B3" t="s">
        <v>189</v>
      </c>
      <c r="C3">
        <v>1100</v>
      </c>
      <c r="D3" t="s">
        <v>179</v>
      </c>
      <c r="E3" s="69">
        <v>2016</v>
      </c>
      <c r="F3" t="s">
        <v>180</v>
      </c>
      <c r="G3" t="s">
        <v>180</v>
      </c>
      <c r="H3">
        <v>11</v>
      </c>
      <c r="I3" s="76" t="s">
        <v>1863</v>
      </c>
      <c r="J3">
        <v>2016</v>
      </c>
      <c r="K3" t="s">
        <v>1864</v>
      </c>
      <c r="L3" t="s">
        <v>181</v>
      </c>
      <c r="M3" t="s">
        <v>182</v>
      </c>
      <c r="N3" t="s">
        <v>204</v>
      </c>
      <c r="O3" t="s">
        <v>1553</v>
      </c>
      <c r="P3" s="80">
        <v>0</v>
      </c>
      <c r="Q3" t="s">
        <v>1865</v>
      </c>
    </row>
    <row r="4" spans="1:17" x14ac:dyDescent="0.6">
      <c r="A4">
        <v>3</v>
      </c>
      <c r="B4" t="s">
        <v>191</v>
      </c>
      <c r="C4">
        <v>1100</v>
      </c>
      <c r="D4" t="s">
        <v>179</v>
      </c>
      <c r="E4" s="69">
        <v>2016</v>
      </c>
      <c r="F4" t="s">
        <v>180</v>
      </c>
      <c r="G4" t="s">
        <v>180</v>
      </c>
      <c r="H4">
        <v>11</v>
      </c>
      <c r="I4" s="76" t="s">
        <v>1863</v>
      </c>
      <c r="J4">
        <v>2016</v>
      </c>
      <c r="K4" t="s">
        <v>1864</v>
      </c>
      <c r="L4" t="s">
        <v>181</v>
      </c>
      <c r="M4" t="s">
        <v>182</v>
      </c>
      <c r="N4" t="s">
        <v>204</v>
      </c>
      <c r="O4" t="s">
        <v>1553</v>
      </c>
      <c r="P4" s="80">
        <v>0</v>
      </c>
      <c r="Q4" t="s">
        <v>1865</v>
      </c>
    </row>
    <row r="5" spans="1:17" x14ac:dyDescent="0.6">
      <c r="A5">
        <v>4</v>
      </c>
      <c r="B5" t="s">
        <v>193</v>
      </c>
      <c r="C5">
        <v>1100</v>
      </c>
      <c r="D5" t="s">
        <v>179</v>
      </c>
      <c r="E5" s="69">
        <v>2017</v>
      </c>
      <c r="F5" t="s">
        <v>180</v>
      </c>
      <c r="G5" t="s">
        <v>180</v>
      </c>
      <c r="H5">
        <v>11</v>
      </c>
      <c r="I5" s="76" t="s">
        <v>1863</v>
      </c>
      <c r="J5">
        <v>2017</v>
      </c>
      <c r="K5" t="s">
        <v>1866</v>
      </c>
      <c r="L5" t="s">
        <v>194</v>
      </c>
      <c r="M5" t="s">
        <v>182</v>
      </c>
      <c r="N5" t="s">
        <v>204</v>
      </c>
      <c r="O5" t="s">
        <v>1553</v>
      </c>
      <c r="P5" s="80">
        <v>0</v>
      </c>
      <c r="Q5" t="s">
        <v>1865</v>
      </c>
    </row>
    <row r="6" spans="1:17" x14ac:dyDescent="0.6">
      <c r="A6">
        <v>5</v>
      </c>
      <c r="B6" t="s">
        <v>196</v>
      </c>
      <c r="C6">
        <v>1100</v>
      </c>
      <c r="D6" t="s">
        <v>179</v>
      </c>
      <c r="E6" s="69">
        <v>2017</v>
      </c>
      <c r="F6" t="s">
        <v>180</v>
      </c>
      <c r="G6" t="s">
        <v>180</v>
      </c>
      <c r="H6">
        <v>11</v>
      </c>
      <c r="I6" s="76" t="s">
        <v>1863</v>
      </c>
      <c r="J6">
        <v>2017</v>
      </c>
      <c r="K6" t="s">
        <v>1866</v>
      </c>
      <c r="L6" t="s">
        <v>194</v>
      </c>
      <c r="M6" t="s">
        <v>182</v>
      </c>
      <c r="N6" t="s">
        <v>204</v>
      </c>
      <c r="O6" t="s">
        <v>1553</v>
      </c>
      <c r="P6" s="80">
        <v>0</v>
      </c>
      <c r="Q6" t="s">
        <v>1865</v>
      </c>
    </row>
    <row r="7" spans="1:17" x14ac:dyDescent="0.6">
      <c r="A7">
        <v>6</v>
      </c>
      <c r="B7" t="s">
        <v>198</v>
      </c>
      <c r="C7">
        <v>1100</v>
      </c>
      <c r="D7" t="s">
        <v>179</v>
      </c>
      <c r="E7" s="69">
        <v>2017</v>
      </c>
      <c r="F7" t="s">
        <v>180</v>
      </c>
      <c r="G7" t="s">
        <v>180</v>
      </c>
      <c r="H7">
        <v>11</v>
      </c>
      <c r="I7" s="76" t="s">
        <v>1863</v>
      </c>
      <c r="J7">
        <v>2017</v>
      </c>
      <c r="K7" t="s">
        <v>1866</v>
      </c>
      <c r="L7" t="s">
        <v>194</v>
      </c>
      <c r="M7" t="s">
        <v>182</v>
      </c>
      <c r="N7" t="s">
        <v>204</v>
      </c>
      <c r="O7" t="s">
        <v>1553</v>
      </c>
      <c r="P7" s="80">
        <v>0</v>
      </c>
      <c r="Q7" t="s">
        <v>1865</v>
      </c>
    </row>
    <row r="8" spans="1:17" x14ac:dyDescent="0.6">
      <c r="A8">
        <v>7</v>
      </c>
      <c r="B8" t="s">
        <v>200</v>
      </c>
      <c r="C8">
        <v>1900</v>
      </c>
      <c r="D8" t="s">
        <v>179</v>
      </c>
      <c r="E8" s="69">
        <v>2020</v>
      </c>
      <c r="F8" t="s">
        <v>201</v>
      </c>
      <c r="G8" t="s">
        <v>202</v>
      </c>
      <c r="H8">
        <v>14</v>
      </c>
      <c r="I8" s="81">
        <v>43898</v>
      </c>
      <c r="J8">
        <v>2020</v>
      </c>
      <c r="K8" t="s">
        <v>1867</v>
      </c>
      <c r="L8" t="s">
        <v>203</v>
      </c>
      <c r="M8" t="s">
        <v>182</v>
      </c>
      <c r="N8" t="s">
        <v>204</v>
      </c>
      <c r="O8" t="s">
        <v>1868</v>
      </c>
      <c r="P8" s="80">
        <v>0.28010000000000002</v>
      </c>
      <c r="Q8" t="s">
        <v>1869</v>
      </c>
    </row>
    <row r="9" spans="1:17" x14ac:dyDescent="0.6">
      <c r="A9">
        <v>8</v>
      </c>
      <c r="B9" t="s">
        <v>209</v>
      </c>
      <c r="C9">
        <v>1900</v>
      </c>
      <c r="D9" t="s">
        <v>179</v>
      </c>
      <c r="E9" s="69">
        <v>2020</v>
      </c>
      <c r="F9" t="s">
        <v>201</v>
      </c>
      <c r="G9" t="s">
        <v>202</v>
      </c>
      <c r="H9">
        <v>14</v>
      </c>
      <c r="I9" s="81">
        <v>43898</v>
      </c>
      <c r="J9">
        <v>2020</v>
      </c>
      <c r="K9" t="s">
        <v>1867</v>
      </c>
      <c r="L9" t="s">
        <v>203</v>
      </c>
      <c r="M9" t="s">
        <v>182</v>
      </c>
      <c r="N9" t="s">
        <v>204</v>
      </c>
      <c r="O9" t="s">
        <v>1868</v>
      </c>
      <c r="P9" s="80">
        <v>0.33200000000000002</v>
      </c>
      <c r="Q9" t="s">
        <v>1869</v>
      </c>
    </row>
    <row r="10" spans="1:17" x14ac:dyDescent="0.6">
      <c r="A10">
        <v>9</v>
      </c>
      <c r="B10" t="s">
        <v>212</v>
      </c>
      <c r="C10">
        <v>1900</v>
      </c>
      <c r="D10" t="s">
        <v>179</v>
      </c>
      <c r="E10" s="69">
        <v>2020</v>
      </c>
      <c r="F10" t="s">
        <v>201</v>
      </c>
      <c r="G10" t="s">
        <v>202</v>
      </c>
      <c r="H10">
        <v>14</v>
      </c>
      <c r="I10" s="81">
        <v>43898</v>
      </c>
      <c r="J10">
        <v>2020</v>
      </c>
      <c r="K10" t="s">
        <v>1867</v>
      </c>
      <c r="L10" t="s">
        <v>203</v>
      </c>
      <c r="M10" t="s">
        <v>182</v>
      </c>
      <c r="N10" t="s">
        <v>204</v>
      </c>
      <c r="O10" t="s">
        <v>1868</v>
      </c>
      <c r="P10" s="80">
        <v>0.1512</v>
      </c>
      <c r="Q10" t="s">
        <v>1869</v>
      </c>
    </row>
    <row r="11" spans="1:17" x14ac:dyDescent="0.6">
      <c r="A11">
        <v>10</v>
      </c>
      <c r="B11" t="s">
        <v>216</v>
      </c>
      <c r="C11">
        <v>1900</v>
      </c>
      <c r="D11" t="s">
        <v>179</v>
      </c>
      <c r="E11" s="69">
        <v>2020</v>
      </c>
      <c r="F11" t="s">
        <v>201</v>
      </c>
      <c r="G11" t="s">
        <v>202</v>
      </c>
      <c r="H11">
        <v>14</v>
      </c>
      <c r="I11" s="81">
        <v>43898</v>
      </c>
      <c r="J11">
        <v>2020</v>
      </c>
      <c r="K11" t="s">
        <v>1867</v>
      </c>
      <c r="L11" t="s">
        <v>203</v>
      </c>
      <c r="M11" t="s">
        <v>182</v>
      </c>
      <c r="N11" t="s">
        <v>204</v>
      </c>
      <c r="O11" t="s">
        <v>1868</v>
      </c>
      <c r="P11" s="80">
        <v>0.40229999999999999</v>
      </c>
      <c r="Q11" t="s">
        <v>1869</v>
      </c>
    </row>
    <row r="12" spans="1:17" x14ac:dyDescent="0.6">
      <c r="A12">
        <v>11</v>
      </c>
      <c r="B12" t="s">
        <v>220</v>
      </c>
      <c r="C12">
        <v>1900</v>
      </c>
      <c r="D12" t="s">
        <v>179</v>
      </c>
      <c r="E12" s="69">
        <v>2020</v>
      </c>
      <c r="F12" t="s">
        <v>201</v>
      </c>
      <c r="G12" t="s">
        <v>202</v>
      </c>
      <c r="H12">
        <v>14</v>
      </c>
      <c r="I12" s="81">
        <v>43898</v>
      </c>
      <c r="J12">
        <v>2020</v>
      </c>
      <c r="K12" t="s">
        <v>1867</v>
      </c>
      <c r="L12" t="s">
        <v>203</v>
      </c>
      <c r="M12" t="s">
        <v>182</v>
      </c>
      <c r="N12" t="s">
        <v>204</v>
      </c>
      <c r="O12" t="s">
        <v>1868</v>
      </c>
      <c r="P12" s="80">
        <v>5.3400000000000003E-2</v>
      </c>
    </row>
    <row r="13" spans="1:17" x14ac:dyDescent="0.6">
      <c r="A13">
        <v>12</v>
      </c>
      <c r="B13" t="s">
        <v>222</v>
      </c>
      <c r="C13">
        <v>1900</v>
      </c>
      <c r="D13" t="s">
        <v>179</v>
      </c>
      <c r="E13" s="69">
        <v>2020</v>
      </c>
      <c r="F13" t="s">
        <v>201</v>
      </c>
      <c r="G13" t="s">
        <v>202</v>
      </c>
      <c r="H13">
        <v>14</v>
      </c>
      <c r="I13" s="81">
        <v>43898</v>
      </c>
      <c r="J13">
        <v>2020</v>
      </c>
      <c r="K13" t="s">
        <v>1867</v>
      </c>
      <c r="L13" t="s">
        <v>203</v>
      </c>
      <c r="M13" t="s">
        <v>182</v>
      </c>
      <c r="N13" t="s">
        <v>204</v>
      </c>
      <c r="O13" t="s">
        <v>1868</v>
      </c>
      <c r="P13" s="80">
        <v>0.2591</v>
      </c>
      <c r="Q13" t="s">
        <v>1869</v>
      </c>
    </row>
    <row r="14" spans="1:17" x14ac:dyDescent="0.6">
      <c r="A14">
        <v>13</v>
      </c>
      <c r="B14" t="s">
        <v>225</v>
      </c>
      <c r="C14">
        <v>1900</v>
      </c>
      <c r="D14" t="s">
        <v>179</v>
      </c>
      <c r="E14" s="69">
        <v>2020</v>
      </c>
      <c r="F14" t="s">
        <v>201</v>
      </c>
      <c r="G14" t="s">
        <v>226</v>
      </c>
      <c r="H14">
        <v>14</v>
      </c>
      <c r="I14" s="81">
        <v>43898</v>
      </c>
      <c r="J14">
        <v>2020</v>
      </c>
      <c r="K14" t="s">
        <v>1867</v>
      </c>
      <c r="L14" t="s">
        <v>203</v>
      </c>
      <c r="M14" t="s">
        <v>182</v>
      </c>
      <c r="N14" t="s">
        <v>204</v>
      </c>
      <c r="O14" t="s">
        <v>1868</v>
      </c>
      <c r="P14" s="80">
        <v>0.27529999999999999</v>
      </c>
      <c r="Q14" t="s">
        <v>1869</v>
      </c>
    </row>
    <row r="15" spans="1:17" x14ac:dyDescent="0.6">
      <c r="A15">
        <v>14</v>
      </c>
      <c r="B15" t="s">
        <v>228</v>
      </c>
      <c r="C15">
        <v>1900</v>
      </c>
      <c r="D15" t="s">
        <v>179</v>
      </c>
      <c r="E15" s="69">
        <v>2020</v>
      </c>
      <c r="F15" t="s">
        <v>201</v>
      </c>
      <c r="G15" t="s">
        <v>226</v>
      </c>
      <c r="H15">
        <v>14</v>
      </c>
      <c r="I15" s="81">
        <v>43898</v>
      </c>
      <c r="J15">
        <v>2020</v>
      </c>
      <c r="K15" t="s">
        <v>1867</v>
      </c>
      <c r="L15" t="s">
        <v>203</v>
      </c>
      <c r="M15" t="s">
        <v>182</v>
      </c>
      <c r="N15" t="s">
        <v>204</v>
      </c>
      <c r="O15" t="s">
        <v>1868</v>
      </c>
      <c r="P15" s="80">
        <v>0.24360000000000001</v>
      </c>
      <c r="Q15" t="s">
        <v>1869</v>
      </c>
    </row>
    <row r="16" spans="1:17" x14ac:dyDescent="0.6">
      <c r="A16">
        <v>15</v>
      </c>
      <c r="B16" t="s">
        <v>230</v>
      </c>
      <c r="C16">
        <v>1900</v>
      </c>
      <c r="D16" t="s">
        <v>179</v>
      </c>
      <c r="E16" s="69">
        <v>2020</v>
      </c>
      <c r="F16" t="s">
        <v>201</v>
      </c>
      <c r="G16" t="s">
        <v>202</v>
      </c>
      <c r="H16">
        <v>14</v>
      </c>
      <c r="I16" s="81">
        <v>43898</v>
      </c>
      <c r="J16">
        <v>2020</v>
      </c>
      <c r="K16" t="s">
        <v>1867</v>
      </c>
      <c r="L16" t="s">
        <v>203</v>
      </c>
      <c r="M16" t="s">
        <v>182</v>
      </c>
      <c r="N16" t="s">
        <v>204</v>
      </c>
      <c r="O16" t="s">
        <v>1868</v>
      </c>
      <c r="P16" s="80">
        <v>0.2898</v>
      </c>
      <c r="Q16" t="s">
        <v>1869</v>
      </c>
    </row>
    <row r="17" spans="1:17" x14ac:dyDescent="0.6">
      <c r="A17">
        <v>16</v>
      </c>
      <c r="B17" t="s">
        <v>233</v>
      </c>
      <c r="C17">
        <v>1900</v>
      </c>
      <c r="D17" t="s">
        <v>179</v>
      </c>
      <c r="E17" s="69">
        <v>2020</v>
      </c>
      <c r="F17" t="s">
        <v>201</v>
      </c>
      <c r="G17" t="s">
        <v>202</v>
      </c>
      <c r="H17">
        <v>14</v>
      </c>
      <c r="I17" s="81">
        <v>43898</v>
      </c>
      <c r="J17">
        <v>2020</v>
      </c>
      <c r="K17" t="s">
        <v>1867</v>
      </c>
      <c r="L17" t="s">
        <v>203</v>
      </c>
      <c r="M17" t="s">
        <v>182</v>
      </c>
      <c r="N17" t="s">
        <v>204</v>
      </c>
      <c r="O17" t="s">
        <v>1868</v>
      </c>
      <c r="P17" s="80">
        <v>0.27179999999999999</v>
      </c>
      <c r="Q17" t="s">
        <v>1869</v>
      </c>
    </row>
    <row r="18" spans="1:17" x14ac:dyDescent="0.6">
      <c r="A18">
        <v>17</v>
      </c>
      <c r="B18" t="s">
        <v>236</v>
      </c>
      <c r="C18">
        <v>1900</v>
      </c>
      <c r="D18" t="s">
        <v>179</v>
      </c>
      <c r="E18" s="69">
        <v>2020</v>
      </c>
      <c r="F18" t="s">
        <v>201</v>
      </c>
      <c r="G18" t="s">
        <v>202</v>
      </c>
      <c r="H18">
        <v>14</v>
      </c>
      <c r="I18" s="81">
        <v>43898</v>
      </c>
      <c r="J18">
        <v>2020</v>
      </c>
      <c r="K18" t="s">
        <v>1867</v>
      </c>
      <c r="L18" t="s">
        <v>203</v>
      </c>
      <c r="M18" t="s">
        <v>182</v>
      </c>
      <c r="N18" t="s">
        <v>204</v>
      </c>
      <c r="O18" t="s">
        <v>1868</v>
      </c>
      <c r="P18" s="80">
        <v>0.12640000000000001</v>
      </c>
      <c r="Q18" t="s">
        <v>1869</v>
      </c>
    </row>
    <row r="19" spans="1:17" x14ac:dyDescent="0.6">
      <c r="A19">
        <v>18</v>
      </c>
      <c r="B19" t="s">
        <v>239</v>
      </c>
      <c r="C19">
        <v>1900</v>
      </c>
      <c r="D19" t="s">
        <v>179</v>
      </c>
      <c r="E19" s="69">
        <v>2020</v>
      </c>
      <c r="F19" t="s">
        <v>201</v>
      </c>
      <c r="G19" t="s">
        <v>226</v>
      </c>
      <c r="H19">
        <v>14</v>
      </c>
      <c r="I19" s="81">
        <v>43898</v>
      </c>
      <c r="J19">
        <v>2020</v>
      </c>
      <c r="K19" t="s">
        <v>1867</v>
      </c>
      <c r="L19" t="s">
        <v>203</v>
      </c>
      <c r="M19" t="s">
        <v>182</v>
      </c>
      <c r="N19" t="s">
        <v>204</v>
      </c>
      <c r="O19" t="s">
        <v>1868</v>
      </c>
      <c r="P19" s="80">
        <v>0.27400000000000002</v>
      </c>
      <c r="Q19" t="s">
        <v>1869</v>
      </c>
    </row>
    <row r="20" spans="1:17" x14ac:dyDescent="0.6">
      <c r="A20">
        <v>19</v>
      </c>
      <c r="B20" t="s">
        <v>241</v>
      </c>
      <c r="C20">
        <v>1900</v>
      </c>
      <c r="D20" t="s">
        <v>179</v>
      </c>
      <c r="E20" s="69">
        <v>2020</v>
      </c>
      <c r="F20" t="s">
        <v>180</v>
      </c>
      <c r="G20" t="s">
        <v>180</v>
      </c>
      <c r="H20">
        <v>14</v>
      </c>
      <c r="I20" s="81">
        <v>43898</v>
      </c>
      <c r="J20">
        <v>2020</v>
      </c>
      <c r="K20" t="s">
        <v>1867</v>
      </c>
      <c r="L20" t="s">
        <v>203</v>
      </c>
      <c r="M20" t="s">
        <v>182</v>
      </c>
      <c r="N20" t="s">
        <v>204</v>
      </c>
      <c r="O20" t="s">
        <v>1868</v>
      </c>
      <c r="P20" s="80">
        <v>0.24049999999999999</v>
      </c>
      <c r="Q20" t="s">
        <v>1869</v>
      </c>
    </row>
    <row r="21" spans="1:17" x14ac:dyDescent="0.6">
      <c r="A21">
        <v>20</v>
      </c>
      <c r="B21" t="s">
        <v>244</v>
      </c>
      <c r="C21">
        <v>1900</v>
      </c>
      <c r="D21" t="s">
        <v>179</v>
      </c>
      <c r="E21" s="69">
        <v>2020</v>
      </c>
      <c r="F21" t="s">
        <v>201</v>
      </c>
      <c r="G21" t="s">
        <v>202</v>
      </c>
      <c r="H21">
        <v>14</v>
      </c>
      <c r="I21" s="81">
        <v>43898</v>
      </c>
      <c r="J21">
        <v>2020</v>
      </c>
      <c r="K21" t="s">
        <v>1867</v>
      </c>
      <c r="L21" t="s">
        <v>203</v>
      </c>
      <c r="M21" t="s">
        <v>182</v>
      </c>
      <c r="N21" t="s">
        <v>204</v>
      </c>
      <c r="O21" t="s">
        <v>1868</v>
      </c>
      <c r="P21" s="80">
        <v>0.35659999999999997</v>
      </c>
      <c r="Q21" t="s">
        <v>1869</v>
      </c>
    </row>
    <row r="22" spans="1:17" x14ac:dyDescent="0.6">
      <c r="A22">
        <v>21</v>
      </c>
      <c r="B22" t="s">
        <v>247</v>
      </c>
      <c r="C22">
        <v>1900</v>
      </c>
      <c r="D22" t="s">
        <v>179</v>
      </c>
      <c r="E22" s="69">
        <v>2020</v>
      </c>
      <c r="F22" t="s">
        <v>201</v>
      </c>
      <c r="G22" t="s">
        <v>226</v>
      </c>
      <c r="H22">
        <v>14</v>
      </c>
      <c r="I22" s="81">
        <v>43898</v>
      </c>
      <c r="J22">
        <v>2020</v>
      </c>
      <c r="K22" t="s">
        <v>1867</v>
      </c>
      <c r="L22" t="s">
        <v>203</v>
      </c>
      <c r="M22" t="s">
        <v>182</v>
      </c>
      <c r="N22" t="s">
        <v>204</v>
      </c>
      <c r="O22" t="s">
        <v>1868</v>
      </c>
      <c r="P22" s="80">
        <v>0.23699999999999999</v>
      </c>
      <c r="Q22" t="s">
        <v>1869</v>
      </c>
    </row>
    <row r="23" spans="1:17" x14ac:dyDescent="0.6">
      <c r="A23">
        <v>22</v>
      </c>
      <c r="B23" t="s">
        <v>249</v>
      </c>
      <c r="C23">
        <v>1900</v>
      </c>
      <c r="D23" t="s">
        <v>179</v>
      </c>
      <c r="E23" s="69">
        <v>2020</v>
      </c>
      <c r="F23" t="s">
        <v>201</v>
      </c>
      <c r="G23" t="s">
        <v>202</v>
      </c>
      <c r="H23">
        <v>14</v>
      </c>
      <c r="I23" s="81">
        <v>43930</v>
      </c>
      <c r="J23">
        <v>2020</v>
      </c>
      <c r="K23" t="s">
        <v>1870</v>
      </c>
      <c r="L23" t="s">
        <v>203</v>
      </c>
      <c r="M23" t="s">
        <v>182</v>
      </c>
      <c r="N23" t="s">
        <v>204</v>
      </c>
      <c r="O23" t="s">
        <v>1868</v>
      </c>
      <c r="P23" s="80">
        <v>0.43459999999999999</v>
      </c>
      <c r="Q23" t="s">
        <v>1869</v>
      </c>
    </row>
    <row r="24" spans="1:17" x14ac:dyDescent="0.6">
      <c r="A24">
        <v>23</v>
      </c>
      <c r="B24" t="s">
        <v>251</v>
      </c>
      <c r="C24">
        <v>1900</v>
      </c>
      <c r="D24" t="s">
        <v>179</v>
      </c>
      <c r="E24" s="69">
        <v>2020</v>
      </c>
      <c r="F24" t="s">
        <v>201</v>
      </c>
      <c r="G24" t="s">
        <v>202</v>
      </c>
      <c r="H24">
        <v>14</v>
      </c>
      <c r="I24" s="81">
        <v>43930</v>
      </c>
      <c r="J24">
        <v>2020</v>
      </c>
      <c r="K24" t="s">
        <v>1870</v>
      </c>
      <c r="L24" t="s">
        <v>203</v>
      </c>
      <c r="M24" t="s">
        <v>182</v>
      </c>
      <c r="N24" t="s">
        <v>204</v>
      </c>
      <c r="O24" t="s">
        <v>1868</v>
      </c>
      <c r="P24" s="80">
        <v>4.2700000000000002E-2</v>
      </c>
      <c r="Q24" t="s">
        <v>1871</v>
      </c>
    </row>
    <row r="25" spans="1:17" x14ac:dyDescent="0.6">
      <c r="A25">
        <v>24</v>
      </c>
      <c r="B25" t="s">
        <v>253</v>
      </c>
      <c r="C25">
        <v>1900</v>
      </c>
      <c r="D25" t="s">
        <v>179</v>
      </c>
      <c r="E25" s="69">
        <v>2020</v>
      </c>
      <c r="F25" t="s">
        <v>201</v>
      </c>
      <c r="G25" t="s">
        <v>202</v>
      </c>
      <c r="H25">
        <v>14</v>
      </c>
      <c r="I25" s="81">
        <v>43930</v>
      </c>
      <c r="J25">
        <v>2020</v>
      </c>
      <c r="K25" t="s">
        <v>1870</v>
      </c>
      <c r="L25" t="s">
        <v>203</v>
      </c>
      <c r="M25" t="s">
        <v>182</v>
      </c>
      <c r="N25" t="s">
        <v>204</v>
      </c>
      <c r="O25" t="s">
        <v>1868</v>
      </c>
      <c r="P25" s="80">
        <v>0.2576</v>
      </c>
      <c r="Q25" t="s">
        <v>1869</v>
      </c>
    </row>
    <row r="26" spans="1:17" x14ac:dyDescent="0.6">
      <c r="A26">
        <v>25</v>
      </c>
      <c r="B26" t="s">
        <v>255</v>
      </c>
      <c r="C26">
        <v>1900</v>
      </c>
      <c r="D26" t="s">
        <v>179</v>
      </c>
      <c r="E26" s="69">
        <v>2020</v>
      </c>
      <c r="F26" t="s">
        <v>201</v>
      </c>
      <c r="G26" t="s">
        <v>202</v>
      </c>
      <c r="H26">
        <v>14</v>
      </c>
      <c r="I26" s="81">
        <v>43930</v>
      </c>
      <c r="J26">
        <v>2020</v>
      </c>
      <c r="K26" t="s">
        <v>1870</v>
      </c>
      <c r="L26" t="s">
        <v>203</v>
      </c>
      <c r="M26" t="s">
        <v>182</v>
      </c>
      <c r="N26" t="s">
        <v>204</v>
      </c>
      <c r="O26" t="s">
        <v>1868</v>
      </c>
      <c r="P26" s="80">
        <v>0.19620000000000001</v>
      </c>
      <c r="Q26" t="s">
        <v>1872</v>
      </c>
    </row>
    <row r="27" spans="1:17" x14ac:dyDescent="0.6">
      <c r="A27">
        <v>26</v>
      </c>
      <c r="B27" t="s">
        <v>258</v>
      </c>
      <c r="C27">
        <v>1900</v>
      </c>
      <c r="D27" t="s">
        <v>179</v>
      </c>
      <c r="E27" s="69">
        <v>2020</v>
      </c>
      <c r="F27" t="s">
        <v>180</v>
      </c>
      <c r="G27" t="s">
        <v>180</v>
      </c>
      <c r="H27">
        <v>14</v>
      </c>
      <c r="I27" s="81">
        <v>43930</v>
      </c>
      <c r="J27">
        <v>2020</v>
      </c>
      <c r="K27" t="s">
        <v>1870</v>
      </c>
      <c r="L27" t="s">
        <v>203</v>
      </c>
      <c r="M27" t="s">
        <v>182</v>
      </c>
      <c r="N27" t="s">
        <v>204</v>
      </c>
      <c r="O27" t="s">
        <v>1868</v>
      </c>
      <c r="P27" s="80">
        <v>0.22220000000000001</v>
      </c>
      <c r="Q27" t="s">
        <v>1869</v>
      </c>
    </row>
    <row r="28" spans="1:17" x14ac:dyDescent="0.6">
      <c r="A28">
        <v>27</v>
      </c>
      <c r="B28" t="s">
        <v>260</v>
      </c>
      <c r="C28">
        <v>1900</v>
      </c>
      <c r="D28" t="s">
        <v>179</v>
      </c>
      <c r="E28" s="69">
        <v>2020</v>
      </c>
      <c r="F28" t="s">
        <v>180</v>
      </c>
      <c r="G28" t="s">
        <v>180</v>
      </c>
      <c r="H28">
        <v>14</v>
      </c>
      <c r="I28" s="81">
        <v>43930</v>
      </c>
      <c r="J28">
        <v>2020</v>
      </c>
      <c r="K28" t="s">
        <v>1870</v>
      </c>
      <c r="L28" t="s">
        <v>203</v>
      </c>
      <c r="M28" t="s">
        <v>182</v>
      </c>
      <c r="N28" t="s">
        <v>204</v>
      </c>
      <c r="O28" t="s">
        <v>1868</v>
      </c>
      <c r="P28" s="80">
        <v>0.1426</v>
      </c>
      <c r="Q28" t="s">
        <v>1869</v>
      </c>
    </row>
    <row r="29" spans="1:17" x14ac:dyDescent="0.6">
      <c r="A29">
        <v>28</v>
      </c>
      <c r="B29" t="s">
        <v>262</v>
      </c>
      <c r="C29">
        <v>1900</v>
      </c>
      <c r="D29" t="s">
        <v>179</v>
      </c>
      <c r="E29" s="69">
        <v>2020</v>
      </c>
      <c r="F29" t="s">
        <v>180</v>
      </c>
      <c r="G29" t="s">
        <v>180</v>
      </c>
      <c r="H29">
        <v>14</v>
      </c>
      <c r="I29" s="81">
        <v>43930</v>
      </c>
      <c r="J29">
        <v>2020</v>
      </c>
      <c r="K29" t="s">
        <v>1870</v>
      </c>
      <c r="L29" t="s">
        <v>203</v>
      </c>
      <c r="M29" t="s">
        <v>182</v>
      </c>
      <c r="N29" t="s">
        <v>204</v>
      </c>
      <c r="O29" t="s">
        <v>1868</v>
      </c>
      <c r="P29" s="80">
        <v>0.23519999999999999</v>
      </c>
      <c r="Q29" t="s">
        <v>1869</v>
      </c>
    </row>
    <row r="30" spans="1:17" x14ac:dyDescent="0.6">
      <c r="A30">
        <v>29</v>
      </c>
      <c r="B30" t="s">
        <v>264</v>
      </c>
      <c r="C30">
        <v>1900</v>
      </c>
      <c r="D30" t="s">
        <v>179</v>
      </c>
      <c r="E30" s="69">
        <v>2020</v>
      </c>
      <c r="F30" t="s">
        <v>201</v>
      </c>
      <c r="G30" t="s">
        <v>202</v>
      </c>
      <c r="H30">
        <v>14</v>
      </c>
      <c r="I30" s="81">
        <v>43930</v>
      </c>
      <c r="J30">
        <v>2020</v>
      </c>
      <c r="K30" t="s">
        <v>1870</v>
      </c>
      <c r="L30" t="s">
        <v>203</v>
      </c>
      <c r="M30" t="s">
        <v>182</v>
      </c>
      <c r="N30" t="s">
        <v>204</v>
      </c>
      <c r="O30" t="s">
        <v>1868</v>
      </c>
      <c r="P30" s="80">
        <v>0.26219999999999999</v>
      </c>
      <c r="Q30" t="s">
        <v>1872</v>
      </c>
    </row>
    <row r="31" spans="1:17" x14ac:dyDescent="0.6">
      <c r="A31">
        <v>30</v>
      </c>
      <c r="B31" t="s">
        <v>267</v>
      </c>
      <c r="C31">
        <v>1900</v>
      </c>
      <c r="D31" t="s">
        <v>179</v>
      </c>
      <c r="E31" s="69">
        <v>2020</v>
      </c>
      <c r="F31" t="s">
        <v>201</v>
      </c>
      <c r="G31" t="s">
        <v>226</v>
      </c>
      <c r="H31">
        <v>14</v>
      </c>
      <c r="I31" s="81">
        <v>43930</v>
      </c>
      <c r="J31">
        <v>2020</v>
      </c>
      <c r="K31" t="s">
        <v>1870</v>
      </c>
      <c r="L31" t="s">
        <v>203</v>
      </c>
      <c r="M31" t="s">
        <v>182</v>
      </c>
      <c r="N31" t="s">
        <v>204</v>
      </c>
      <c r="O31" t="s">
        <v>1868</v>
      </c>
      <c r="P31" s="80">
        <v>0.2492</v>
      </c>
      <c r="Q31" t="s">
        <v>1869</v>
      </c>
    </row>
    <row r="32" spans="1:17" x14ac:dyDescent="0.6">
      <c r="A32">
        <v>31</v>
      </c>
      <c r="B32" t="s">
        <v>269</v>
      </c>
      <c r="C32">
        <v>1900</v>
      </c>
      <c r="D32" t="s">
        <v>179</v>
      </c>
      <c r="E32" s="69">
        <v>2020</v>
      </c>
      <c r="F32" t="s">
        <v>201</v>
      </c>
      <c r="G32" t="s">
        <v>202</v>
      </c>
      <c r="H32">
        <v>14</v>
      </c>
      <c r="I32" s="81">
        <v>43930</v>
      </c>
      <c r="J32">
        <v>2020</v>
      </c>
      <c r="K32" t="s">
        <v>1870</v>
      </c>
      <c r="L32" t="s">
        <v>203</v>
      </c>
      <c r="M32" t="s">
        <v>182</v>
      </c>
      <c r="N32" t="s">
        <v>204</v>
      </c>
      <c r="O32" t="s">
        <v>1868</v>
      </c>
      <c r="P32" s="80">
        <v>0.34860000000000002</v>
      </c>
      <c r="Q32" t="s">
        <v>1869</v>
      </c>
    </row>
    <row r="33" spans="1:17" x14ac:dyDescent="0.6">
      <c r="A33">
        <v>32</v>
      </c>
      <c r="B33" t="s">
        <v>271</v>
      </c>
      <c r="C33">
        <v>1900</v>
      </c>
      <c r="D33" t="s">
        <v>179</v>
      </c>
      <c r="E33" s="69">
        <v>2020</v>
      </c>
      <c r="F33" t="s">
        <v>201</v>
      </c>
      <c r="G33" t="s">
        <v>202</v>
      </c>
      <c r="H33">
        <v>14</v>
      </c>
      <c r="I33" s="81">
        <v>43930</v>
      </c>
      <c r="J33">
        <v>2020</v>
      </c>
      <c r="K33" t="s">
        <v>1870</v>
      </c>
      <c r="L33" t="s">
        <v>203</v>
      </c>
      <c r="M33" t="s">
        <v>182</v>
      </c>
      <c r="N33" t="s">
        <v>204</v>
      </c>
      <c r="O33" t="s">
        <v>1868</v>
      </c>
      <c r="P33" s="80">
        <v>0.32719999999999999</v>
      </c>
      <c r="Q33" t="s">
        <v>1869</v>
      </c>
    </row>
    <row r="34" spans="1:17" x14ac:dyDescent="0.6">
      <c r="A34">
        <v>33</v>
      </c>
      <c r="B34" t="s">
        <v>274</v>
      </c>
      <c r="C34">
        <v>1900</v>
      </c>
      <c r="D34" t="s">
        <v>179</v>
      </c>
      <c r="E34" s="69">
        <v>2020</v>
      </c>
      <c r="F34" t="s">
        <v>201</v>
      </c>
      <c r="G34" t="s">
        <v>202</v>
      </c>
      <c r="H34">
        <v>14</v>
      </c>
      <c r="I34" s="81">
        <v>43930</v>
      </c>
      <c r="J34">
        <v>2020</v>
      </c>
      <c r="K34" t="s">
        <v>1870</v>
      </c>
      <c r="L34" t="s">
        <v>203</v>
      </c>
      <c r="M34" t="s">
        <v>182</v>
      </c>
      <c r="N34" t="s">
        <v>204</v>
      </c>
      <c r="O34" t="s">
        <v>1868</v>
      </c>
      <c r="P34" s="80">
        <v>0.1133</v>
      </c>
      <c r="Q34" t="s">
        <v>1869</v>
      </c>
    </row>
    <row r="35" spans="1:17" x14ac:dyDescent="0.6">
      <c r="A35">
        <v>34</v>
      </c>
      <c r="B35" t="s">
        <v>276</v>
      </c>
      <c r="C35">
        <v>1900</v>
      </c>
      <c r="D35" t="s">
        <v>179</v>
      </c>
      <c r="E35" s="69">
        <v>2020</v>
      </c>
      <c r="F35" t="s">
        <v>201</v>
      </c>
      <c r="G35" t="s">
        <v>202</v>
      </c>
      <c r="H35">
        <v>14</v>
      </c>
      <c r="I35" s="81">
        <v>43930</v>
      </c>
      <c r="J35">
        <v>2020</v>
      </c>
      <c r="K35" t="s">
        <v>1870</v>
      </c>
      <c r="L35" t="s">
        <v>203</v>
      </c>
      <c r="M35" t="s">
        <v>182</v>
      </c>
      <c r="N35" t="s">
        <v>204</v>
      </c>
      <c r="O35" t="s">
        <v>1868</v>
      </c>
      <c r="P35" s="80">
        <v>0.40129999999999999</v>
      </c>
      <c r="Q35" t="s">
        <v>1869</v>
      </c>
    </row>
    <row r="36" spans="1:17" x14ac:dyDescent="0.6">
      <c r="A36">
        <v>35</v>
      </c>
      <c r="B36" t="s">
        <v>279</v>
      </c>
      <c r="C36">
        <v>1900</v>
      </c>
      <c r="D36" t="s">
        <v>179</v>
      </c>
      <c r="E36" s="69">
        <v>2020</v>
      </c>
      <c r="F36" t="s">
        <v>201</v>
      </c>
      <c r="G36" t="s">
        <v>202</v>
      </c>
      <c r="H36">
        <v>14</v>
      </c>
      <c r="I36" s="81">
        <v>43930</v>
      </c>
      <c r="J36">
        <v>2020</v>
      </c>
      <c r="K36" t="s">
        <v>1870</v>
      </c>
      <c r="L36" t="s">
        <v>203</v>
      </c>
      <c r="M36" t="s">
        <v>182</v>
      </c>
      <c r="N36" t="s">
        <v>204</v>
      </c>
      <c r="O36" t="s">
        <v>1868</v>
      </c>
      <c r="P36" s="80">
        <v>0.13370000000000001</v>
      </c>
      <c r="Q36" t="s">
        <v>1873</v>
      </c>
    </row>
    <row r="37" spans="1:17" x14ac:dyDescent="0.6">
      <c r="A37">
        <v>36</v>
      </c>
      <c r="B37" t="s">
        <v>282</v>
      </c>
      <c r="C37">
        <v>1900</v>
      </c>
      <c r="D37" t="s">
        <v>179</v>
      </c>
      <c r="E37" s="69">
        <v>2020</v>
      </c>
      <c r="F37" t="s">
        <v>201</v>
      </c>
      <c r="G37" t="s">
        <v>202</v>
      </c>
      <c r="H37">
        <v>14</v>
      </c>
      <c r="I37" s="81">
        <v>43930</v>
      </c>
      <c r="J37">
        <v>2020</v>
      </c>
      <c r="K37" t="s">
        <v>1870</v>
      </c>
      <c r="L37" t="s">
        <v>203</v>
      </c>
      <c r="M37" t="s">
        <v>182</v>
      </c>
      <c r="N37" t="s">
        <v>204</v>
      </c>
      <c r="O37" t="s">
        <v>1868</v>
      </c>
      <c r="P37" s="80">
        <v>0.28410000000000002</v>
      </c>
      <c r="Q37" t="s">
        <v>1869</v>
      </c>
    </row>
    <row r="38" spans="1:17" x14ac:dyDescent="0.6">
      <c r="A38">
        <v>37</v>
      </c>
      <c r="B38" t="s">
        <v>285</v>
      </c>
      <c r="C38">
        <v>1900</v>
      </c>
      <c r="D38" t="s">
        <v>179</v>
      </c>
      <c r="E38" s="69">
        <v>2020</v>
      </c>
      <c r="F38" t="s">
        <v>201</v>
      </c>
      <c r="G38" t="s">
        <v>202</v>
      </c>
      <c r="H38">
        <v>14</v>
      </c>
      <c r="I38" s="81">
        <v>43930</v>
      </c>
      <c r="J38">
        <v>2020</v>
      </c>
      <c r="K38" t="s">
        <v>1870</v>
      </c>
      <c r="L38" t="s">
        <v>203</v>
      </c>
      <c r="M38" t="s">
        <v>182</v>
      </c>
      <c r="N38" t="s">
        <v>204</v>
      </c>
      <c r="O38" t="s">
        <v>1868</v>
      </c>
      <c r="P38" s="80">
        <v>0.29139999999999999</v>
      </c>
      <c r="Q38" t="s">
        <v>1869</v>
      </c>
    </row>
    <row r="39" spans="1:17" x14ac:dyDescent="0.6">
      <c r="A39">
        <v>38</v>
      </c>
      <c r="B39" t="s">
        <v>287</v>
      </c>
      <c r="C39">
        <v>1900</v>
      </c>
      <c r="D39" t="s">
        <v>179</v>
      </c>
      <c r="E39" s="69">
        <v>2020</v>
      </c>
      <c r="F39" t="s">
        <v>201</v>
      </c>
      <c r="G39" t="s">
        <v>226</v>
      </c>
      <c r="H39">
        <v>14</v>
      </c>
      <c r="I39" s="81">
        <v>43930</v>
      </c>
      <c r="J39">
        <v>2020</v>
      </c>
      <c r="K39" t="s">
        <v>1870</v>
      </c>
      <c r="L39" t="s">
        <v>203</v>
      </c>
      <c r="M39" t="s">
        <v>182</v>
      </c>
      <c r="N39" t="s">
        <v>204</v>
      </c>
      <c r="O39" t="s">
        <v>1868</v>
      </c>
      <c r="P39" s="80">
        <v>0.22420000000000001</v>
      </c>
      <c r="Q39" t="s">
        <v>1869</v>
      </c>
    </row>
    <row r="40" spans="1:17" x14ac:dyDescent="0.6">
      <c r="A40">
        <v>39</v>
      </c>
      <c r="B40" t="s">
        <v>290</v>
      </c>
      <c r="C40">
        <v>1900</v>
      </c>
      <c r="D40" t="s">
        <v>179</v>
      </c>
      <c r="E40" s="69">
        <v>2020</v>
      </c>
      <c r="F40" t="s">
        <v>201</v>
      </c>
      <c r="G40" t="s">
        <v>202</v>
      </c>
      <c r="H40">
        <v>14</v>
      </c>
      <c r="I40" s="81">
        <v>43930</v>
      </c>
      <c r="J40">
        <v>2020</v>
      </c>
      <c r="K40" t="s">
        <v>1870</v>
      </c>
      <c r="L40" t="s">
        <v>203</v>
      </c>
      <c r="M40" t="s">
        <v>182</v>
      </c>
      <c r="N40" t="s">
        <v>204</v>
      </c>
      <c r="O40" t="s">
        <v>1868</v>
      </c>
      <c r="P40" s="80">
        <v>7.7899999999999997E-2</v>
      </c>
      <c r="Q40" t="s">
        <v>1872</v>
      </c>
    </row>
    <row r="41" spans="1:17" x14ac:dyDescent="0.6">
      <c r="A41">
        <v>40</v>
      </c>
      <c r="B41" t="s">
        <v>293</v>
      </c>
      <c r="C41">
        <v>1900</v>
      </c>
      <c r="D41" t="s">
        <v>179</v>
      </c>
      <c r="E41" s="69">
        <v>2020</v>
      </c>
      <c r="F41" t="s">
        <v>201</v>
      </c>
      <c r="G41" t="s">
        <v>202</v>
      </c>
      <c r="H41">
        <v>14</v>
      </c>
      <c r="I41" s="81">
        <v>44024</v>
      </c>
      <c r="J41">
        <v>2020</v>
      </c>
      <c r="K41" t="s">
        <v>1874</v>
      </c>
      <c r="L41" t="s">
        <v>203</v>
      </c>
      <c r="M41" t="s">
        <v>182</v>
      </c>
      <c r="N41" t="s">
        <v>204</v>
      </c>
      <c r="O41" t="s">
        <v>1868</v>
      </c>
      <c r="P41" s="80">
        <v>0.23250000000000001</v>
      </c>
      <c r="Q41" t="s">
        <v>1869</v>
      </c>
    </row>
    <row r="42" spans="1:17" x14ac:dyDescent="0.6">
      <c r="A42">
        <v>41</v>
      </c>
      <c r="B42" t="s">
        <v>296</v>
      </c>
      <c r="C42">
        <v>1900</v>
      </c>
      <c r="D42" t="s">
        <v>179</v>
      </c>
      <c r="E42" s="69">
        <v>2020</v>
      </c>
      <c r="F42" t="s">
        <v>201</v>
      </c>
      <c r="G42" t="s">
        <v>202</v>
      </c>
      <c r="H42">
        <v>14</v>
      </c>
      <c r="I42" s="81">
        <v>44024</v>
      </c>
      <c r="J42">
        <v>2020</v>
      </c>
      <c r="K42" t="s">
        <v>1874</v>
      </c>
      <c r="L42" t="s">
        <v>203</v>
      </c>
      <c r="M42" t="s">
        <v>182</v>
      </c>
      <c r="N42" t="s">
        <v>204</v>
      </c>
      <c r="O42" t="s">
        <v>1868</v>
      </c>
      <c r="P42" s="80">
        <v>0.33019999999999999</v>
      </c>
      <c r="Q42" t="s">
        <v>1869</v>
      </c>
    </row>
    <row r="43" spans="1:17" x14ac:dyDescent="0.6">
      <c r="A43">
        <v>42</v>
      </c>
      <c r="B43" t="s">
        <v>299</v>
      </c>
      <c r="C43">
        <v>1900</v>
      </c>
      <c r="D43" t="s">
        <v>179</v>
      </c>
      <c r="E43" s="69">
        <v>2020</v>
      </c>
      <c r="F43" t="s">
        <v>201</v>
      </c>
      <c r="G43" t="s">
        <v>202</v>
      </c>
      <c r="H43">
        <v>14</v>
      </c>
      <c r="I43" s="76" t="s">
        <v>1875</v>
      </c>
      <c r="J43">
        <v>2020</v>
      </c>
      <c r="K43" t="s">
        <v>1876</v>
      </c>
      <c r="L43" t="s">
        <v>203</v>
      </c>
      <c r="M43" t="s">
        <v>182</v>
      </c>
      <c r="N43" t="s">
        <v>204</v>
      </c>
      <c r="O43" t="s">
        <v>1868</v>
      </c>
      <c r="P43" s="80">
        <v>0.31609999999999999</v>
      </c>
      <c r="Q43" t="s">
        <v>1869</v>
      </c>
    </row>
    <row r="44" spans="1:17" x14ac:dyDescent="0.6">
      <c r="A44">
        <v>43</v>
      </c>
      <c r="B44" t="s">
        <v>302</v>
      </c>
      <c r="C44">
        <v>1900</v>
      </c>
      <c r="D44" t="s">
        <v>179</v>
      </c>
      <c r="E44" s="69">
        <v>2020</v>
      </c>
      <c r="F44" t="s">
        <v>201</v>
      </c>
      <c r="G44" t="s">
        <v>202</v>
      </c>
      <c r="H44">
        <v>14</v>
      </c>
      <c r="I44" s="76" t="s">
        <v>1875</v>
      </c>
      <c r="J44">
        <v>2020</v>
      </c>
      <c r="K44" t="s">
        <v>1876</v>
      </c>
      <c r="L44" t="s">
        <v>203</v>
      </c>
      <c r="M44" t="s">
        <v>182</v>
      </c>
      <c r="N44" t="s">
        <v>204</v>
      </c>
      <c r="O44" t="s">
        <v>1868</v>
      </c>
      <c r="P44" s="80">
        <v>7.4999999999999997E-2</v>
      </c>
      <c r="Q44" t="s">
        <v>1872</v>
      </c>
    </row>
    <row r="45" spans="1:17" x14ac:dyDescent="0.6">
      <c r="A45">
        <v>44</v>
      </c>
      <c r="B45" t="s">
        <v>305</v>
      </c>
      <c r="C45">
        <v>1900</v>
      </c>
      <c r="D45" t="s">
        <v>179</v>
      </c>
      <c r="E45" s="69">
        <v>2020</v>
      </c>
      <c r="F45" t="s">
        <v>201</v>
      </c>
      <c r="G45" t="s">
        <v>202</v>
      </c>
      <c r="H45">
        <v>14</v>
      </c>
      <c r="I45" s="76" t="s">
        <v>1875</v>
      </c>
      <c r="J45">
        <v>2020</v>
      </c>
      <c r="K45" t="s">
        <v>1876</v>
      </c>
      <c r="L45" t="s">
        <v>203</v>
      </c>
      <c r="M45" t="s">
        <v>182</v>
      </c>
      <c r="N45" t="s">
        <v>204</v>
      </c>
      <c r="O45" t="s">
        <v>1868</v>
      </c>
      <c r="P45" s="80">
        <v>0.1152</v>
      </c>
      <c r="Q45" t="s">
        <v>1869</v>
      </c>
    </row>
    <row r="46" spans="1:17" x14ac:dyDescent="0.6">
      <c r="A46">
        <v>45</v>
      </c>
      <c r="B46" t="s">
        <v>308</v>
      </c>
      <c r="C46">
        <v>1900</v>
      </c>
      <c r="D46" t="s">
        <v>179</v>
      </c>
      <c r="E46" s="69">
        <v>2020</v>
      </c>
      <c r="F46" t="s">
        <v>201</v>
      </c>
      <c r="G46" t="s">
        <v>202</v>
      </c>
      <c r="H46">
        <v>14</v>
      </c>
      <c r="I46" s="76" t="s">
        <v>1875</v>
      </c>
      <c r="J46">
        <v>2020</v>
      </c>
      <c r="K46" t="s">
        <v>1876</v>
      </c>
      <c r="L46" t="s">
        <v>203</v>
      </c>
      <c r="M46" t="s">
        <v>182</v>
      </c>
      <c r="N46" t="s">
        <v>204</v>
      </c>
      <c r="O46" t="s">
        <v>1868</v>
      </c>
      <c r="P46" s="80">
        <v>0.21029999999999999</v>
      </c>
      <c r="Q46" t="s">
        <v>1869</v>
      </c>
    </row>
    <row r="47" spans="1:17" x14ac:dyDescent="0.6">
      <c r="A47">
        <v>46</v>
      </c>
      <c r="B47" t="s">
        <v>311</v>
      </c>
      <c r="C47">
        <v>1900</v>
      </c>
      <c r="D47" t="s">
        <v>179</v>
      </c>
      <c r="E47" s="69">
        <v>2020</v>
      </c>
      <c r="F47" t="s">
        <v>201</v>
      </c>
      <c r="G47" t="s">
        <v>202</v>
      </c>
      <c r="H47">
        <v>14</v>
      </c>
      <c r="I47" s="76" t="s">
        <v>1875</v>
      </c>
      <c r="J47">
        <v>2020</v>
      </c>
      <c r="K47" t="s">
        <v>1876</v>
      </c>
      <c r="L47" t="s">
        <v>203</v>
      </c>
      <c r="M47" t="s">
        <v>182</v>
      </c>
      <c r="N47" t="s">
        <v>204</v>
      </c>
      <c r="O47" t="s">
        <v>1868</v>
      </c>
      <c r="P47" s="80">
        <v>0.41189999999999999</v>
      </c>
      <c r="Q47" t="s">
        <v>1869</v>
      </c>
    </row>
    <row r="48" spans="1:17" x14ac:dyDescent="0.6">
      <c r="A48">
        <v>47</v>
      </c>
      <c r="B48" t="s">
        <v>314</v>
      </c>
      <c r="C48">
        <v>1900</v>
      </c>
      <c r="D48" t="s">
        <v>179</v>
      </c>
      <c r="E48" s="69">
        <v>2020</v>
      </c>
      <c r="F48" t="s">
        <v>201</v>
      </c>
      <c r="G48" t="s">
        <v>202</v>
      </c>
      <c r="H48">
        <v>14</v>
      </c>
      <c r="I48" s="81">
        <v>44024</v>
      </c>
      <c r="J48">
        <v>2020</v>
      </c>
      <c r="K48" t="s">
        <v>1874</v>
      </c>
      <c r="L48" t="s">
        <v>203</v>
      </c>
      <c r="M48" t="s">
        <v>182</v>
      </c>
      <c r="N48" t="s">
        <v>204</v>
      </c>
      <c r="O48" t="s">
        <v>1868</v>
      </c>
      <c r="P48" s="80">
        <v>0.27260000000000001</v>
      </c>
      <c r="Q48" t="s">
        <v>1869</v>
      </c>
    </row>
    <row r="49" spans="1:17" x14ac:dyDescent="0.6">
      <c r="A49">
        <v>48</v>
      </c>
      <c r="B49" t="s">
        <v>317</v>
      </c>
      <c r="C49">
        <v>1900</v>
      </c>
      <c r="D49" t="s">
        <v>179</v>
      </c>
      <c r="E49" s="69">
        <v>2020</v>
      </c>
      <c r="F49" t="s">
        <v>201</v>
      </c>
      <c r="G49" t="s">
        <v>226</v>
      </c>
      <c r="H49">
        <v>14</v>
      </c>
      <c r="I49" s="76" t="s">
        <v>1875</v>
      </c>
      <c r="J49">
        <v>2020</v>
      </c>
      <c r="K49" t="s">
        <v>1876</v>
      </c>
      <c r="L49" t="s">
        <v>203</v>
      </c>
      <c r="M49" t="s">
        <v>182</v>
      </c>
      <c r="N49" t="s">
        <v>204</v>
      </c>
      <c r="O49" t="s">
        <v>1868</v>
      </c>
      <c r="P49" s="80">
        <v>0.12509999999999999</v>
      </c>
      <c r="Q49" t="s">
        <v>1869</v>
      </c>
    </row>
    <row r="50" spans="1:17" x14ac:dyDescent="0.6">
      <c r="A50">
        <v>49</v>
      </c>
      <c r="B50" t="s">
        <v>320</v>
      </c>
      <c r="C50">
        <v>1900</v>
      </c>
      <c r="D50" t="s">
        <v>179</v>
      </c>
      <c r="E50" s="69">
        <v>2020</v>
      </c>
      <c r="F50" t="s">
        <v>201</v>
      </c>
      <c r="G50" t="s">
        <v>202</v>
      </c>
      <c r="H50">
        <v>14</v>
      </c>
      <c r="I50" s="81">
        <v>44024</v>
      </c>
      <c r="J50">
        <v>2020</v>
      </c>
      <c r="K50" t="s">
        <v>1874</v>
      </c>
      <c r="L50" t="s">
        <v>203</v>
      </c>
      <c r="M50" t="s">
        <v>182</v>
      </c>
      <c r="N50" t="s">
        <v>204</v>
      </c>
      <c r="O50" t="s">
        <v>1868</v>
      </c>
      <c r="P50" s="80">
        <v>1.6899999999999998E-2</v>
      </c>
      <c r="Q50" t="s">
        <v>1872</v>
      </c>
    </row>
    <row r="51" spans="1:17" x14ac:dyDescent="0.6">
      <c r="A51">
        <v>50</v>
      </c>
      <c r="B51" t="s">
        <v>324</v>
      </c>
      <c r="C51">
        <v>1900</v>
      </c>
      <c r="D51" t="s">
        <v>179</v>
      </c>
      <c r="E51" s="69">
        <v>2020</v>
      </c>
      <c r="F51" t="s">
        <v>201</v>
      </c>
      <c r="G51" t="s">
        <v>226</v>
      </c>
      <c r="H51">
        <v>14</v>
      </c>
      <c r="I51" s="81">
        <v>44024</v>
      </c>
      <c r="J51">
        <v>2020</v>
      </c>
      <c r="K51" t="s">
        <v>1874</v>
      </c>
      <c r="L51" t="s">
        <v>203</v>
      </c>
      <c r="M51" t="s">
        <v>182</v>
      </c>
      <c r="N51" t="s">
        <v>204</v>
      </c>
      <c r="O51" t="s">
        <v>1868</v>
      </c>
      <c r="P51" s="80">
        <v>0.28639999999999999</v>
      </c>
      <c r="Q51" t="s">
        <v>1869</v>
      </c>
    </row>
    <row r="52" spans="1:17" x14ac:dyDescent="0.6">
      <c r="A52">
        <v>51</v>
      </c>
      <c r="B52" t="s">
        <v>327</v>
      </c>
      <c r="C52">
        <v>1900</v>
      </c>
      <c r="D52" t="s">
        <v>179</v>
      </c>
      <c r="E52" s="69">
        <v>2020</v>
      </c>
      <c r="F52" t="s">
        <v>201</v>
      </c>
      <c r="G52" t="s">
        <v>202</v>
      </c>
      <c r="H52">
        <v>14</v>
      </c>
      <c r="I52" s="76" t="s">
        <v>1875</v>
      </c>
      <c r="J52">
        <v>2020</v>
      </c>
      <c r="K52" t="s">
        <v>1876</v>
      </c>
      <c r="L52" t="s">
        <v>203</v>
      </c>
      <c r="M52" t="s">
        <v>182</v>
      </c>
      <c r="N52" t="s">
        <v>204</v>
      </c>
      <c r="O52" t="s">
        <v>1868</v>
      </c>
      <c r="P52" s="80">
        <v>8.7800000000000003E-2</v>
      </c>
      <c r="Q52" t="s">
        <v>1869</v>
      </c>
    </row>
    <row r="53" spans="1:17" x14ac:dyDescent="0.6">
      <c r="A53">
        <v>52</v>
      </c>
      <c r="B53" t="s">
        <v>330</v>
      </c>
      <c r="C53">
        <v>1900</v>
      </c>
      <c r="D53" t="s">
        <v>179</v>
      </c>
      <c r="E53" s="69">
        <v>2020</v>
      </c>
      <c r="F53" t="s">
        <v>201</v>
      </c>
      <c r="G53" t="s">
        <v>202</v>
      </c>
      <c r="H53">
        <v>14</v>
      </c>
      <c r="I53" s="76" t="s">
        <v>1875</v>
      </c>
      <c r="J53">
        <v>2020</v>
      </c>
      <c r="K53" t="s">
        <v>1876</v>
      </c>
      <c r="L53" t="s">
        <v>203</v>
      </c>
      <c r="M53" t="s">
        <v>182</v>
      </c>
      <c r="N53" t="s">
        <v>204</v>
      </c>
      <c r="O53" t="s">
        <v>1868</v>
      </c>
      <c r="P53" s="80">
        <v>0.3422</v>
      </c>
      <c r="Q53" t="s">
        <v>1869</v>
      </c>
    </row>
    <row r="54" spans="1:17" x14ac:dyDescent="0.6">
      <c r="A54">
        <v>53</v>
      </c>
      <c r="B54" t="s">
        <v>333</v>
      </c>
      <c r="C54">
        <v>1900</v>
      </c>
      <c r="D54" t="s">
        <v>179</v>
      </c>
      <c r="E54" s="69">
        <v>2020</v>
      </c>
      <c r="F54" t="s">
        <v>201</v>
      </c>
      <c r="G54" t="s">
        <v>202</v>
      </c>
      <c r="H54">
        <v>14</v>
      </c>
      <c r="I54" s="76" t="s">
        <v>1875</v>
      </c>
      <c r="J54">
        <v>2020</v>
      </c>
      <c r="K54" t="s">
        <v>1876</v>
      </c>
      <c r="L54" t="s">
        <v>203</v>
      </c>
      <c r="M54" t="s">
        <v>182</v>
      </c>
      <c r="N54" t="s">
        <v>204</v>
      </c>
      <c r="O54" t="s">
        <v>1868</v>
      </c>
      <c r="P54" s="80">
        <v>0.22170000000000001</v>
      </c>
      <c r="Q54" t="s">
        <v>1869</v>
      </c>
    </row>
    <row r="55" spans="1:17" x14ac:dyDescent="0.6">
      <c r="A55">
        <v>54</v>
      </c>
      <c r="B55" t="s">
        <v>336</v>
      </c>
      <c r="C55">
        <v>1900</v>
      </c>
      <c r="D55" t="s">
        <v>179</v>
      </c>
      <c r="E55" s="69">
        <v>2020</v>
      </c>
      <c r="F55" t="s">
        <v>201</v>
      </c>
      <c r="G55" t="s">
        <v>202</v>
      </c>
      <c r="H55">
        <v>14</v>
      </c>
      <c r="I55" s="76" t="s">
        <v>1875</v>
      </c>
      <c r="J55">
        <v>2020</v>
      </c>
      <c r="K55" t="s">
        <v>1876</v>
      </c>
      <c r="L55" t="s">
        <v>203</v>
      </c>
      <c r="M55" t="s">
        <v>182</v>
      </c>
      <c r="N55" t="s">
        <v>204</v>
      </c>
      <c r="O55" t="s">
        <v>1868</v>
      </c>
      <c r="P55" s="80">
        <v>0.33879999999999999</v>
      </c>
      <c r="Q55" t="s">
        <v>1869</v>
      </c>
    </row>
    <row r="56" spans="1:17" x14ac:dyDescent="0.6">
      <c r="A56">
        <v>55</v>
      </c>
      <c r="B56" t="s">
        <v>339</v>
      </c>
      <c r="C56">
        <v>1900</v>
      </c>
      <c r="D56" t="s">
        <v>179</v>
      </c>
      <c r="E56" s="69">
        <v>2020</v>
      </c>
      <c r="F56" t="s">
        <v>201</v>
      </c>
      <c r="G56" t="s">
        <v>202</v>
      </c>
      <c r="H56">
        <v>14</v>
      </c>
      <c r="I56" s="81">
        <v>44024</v>
      </c>
      <c r="J56">
        <v>2020</v>
      </c>
      <c r="K56" t="s">
        <v>1874</v>
      </c>
      <c r="L56" t="s">
        <v>203</v>
      </c>
      <c r="M56" t="s">
        <v>182</v>
      </c>
      <c r="N56" t="s">
        <v>204</v>
      </c>
      <c r="O56" t="s">
        <v>1868</v>
      </c>
      <c r="P56" s="80">
        <v>0.1802</v>
      </c>
      <c r="Q56" t="s">
        <v>1869</v>
      </c>
    </row>
    <row r="57" spans="1:17" x14ac:dyDescent="0.6">
      <c r="A57">
        <v>56</v>
      </c>
      <c r="B57" t="s">
        <v>342</v>
      </c>
      <c r="C57">
        <v>1900</v>
      </c>
      <c r="D57" t="s">
        <v>179</v>
      </c>
      <c r="E57" s="69">
        <v>2020</v>
      </c>
      <c r="F57" t="s">
        <v>201</v>
      </c>
      <c r="G57" t="s">
        <v>202</v>
      </c>
      <c r="H57">
        <v>14</v>
      </c>
      <c r="I57" s="81">
        <v>44024</v>
      </c>
      <c r="J57">
        <v>2020</v>
      </c>
      <c r="K57" t="s">
        <v>1874</v>
      </c>
      <c r="L57" t="s">
        <v>203</v>
      </c>
      <c r="M57" t="s">
        <v>182</v>
      </c>
      <c r="N57" t="s">
        <v>204</v>
      </c>
      <c r="O57" t="s">
        <v>1868</v>
      </c>
      <c r="P57" s="80">
        <v>0.15670000000000001</v>
      </c>
      <c r="Q57" t="s">
        <v>1869</v>
      </c>
    </row>
    <row r="58" spans="1:17" x14ac:dyDescent="0.6">
      <c r="A58">
        <v>57</v>
      </c>
      <c r="B58" t="s">
        <v>345</v>
      </c>
      <c r="C58">
        <v>1900</v>
      </c>
      <c r="D58" t="s">
        <v>179</v>
      </c>
      <c r="E58" s="69">
        <v>2020</v>
      </c>
      <c r="F58" t="s">
        <v>201</v>
      </c>
      <c r="G58" t="s">
        <v>202</v>
      </c>
      <c r="H58">
        <v>14</v>
      </c>
      <c r="I58" s="81">
        <v>44024</v>
      </c>
      <c r="J58">
        <v>2020</v>
      </c>
      <c r="K58" t="s">
        <v>1874</v>
      </c>
      <c r="L58" t="s">
        <v>203</v>
      </c>
      <c r="M58" t="s">
        <v>182</v>
      </c>
      <c r="N58" t="s">
        <v>204</v>
      </c>
      <c r="O58" t="s">
        <v>1868</v>
      </c>
      <c r="P58" s="80">
        <v>0.43290000000000001</v>
      </c>
      <c r="Q58" t="s">
        <v>1869</v>
      </c>
    </row>
    <row r="59" spans="1:17" x14ac:dyDescent="0.6">
      <c r="A59">
        <v>58</v>
      </c>
      <c r="B59" t="s">
        <v>347</v>
      </c>
      <c r="C59">
        <v>1900</v>
      </c>
      <c r="D59" t="s">
        <v>179</v>
      </c>
      <c r="E59" s="69">
        <v>2020</v>
      </c>
      <c r="F59" t="s">
        <v>201</v>
      </c>
      <c r="G59" t="s">
        <v>202</v>
      </c>
      <c r="H59">
        <v>14</v>
      </c>
      <c r="I59" s="81">
        <v>44024</v>
      </c>
      <c r="J59">
        <v>2020</v>
      </c>
      <c r="K59" t="s">
        <v>1874</v>
      </c>
      <c r="L59" t="s">
        <v>203</v>
      </c>
      <c r="M59" t="s">
        <v>182</v>
      </c>
      <c r="N59" t="s">
        <v>204</v>
      </c>
      <c r="O59" t="s">
        <v>1868</v>
      </c>
      <c r="P59" s="80">
        <v>0.13109999999999999</v>
      </c>
      <c r="Q59" t="s">
        <v>1869</v>
      </c>
    </row>
    <row r="60" spans="1:17" x14ac:dyDescent="0.6">
      <c r="A60">
        <v>59</v>
      </c>
      <c r="B60" t="s">
        <v>350</v>
      </c>
      <c r="C60">
        <v>1900</v>
      </c>
      <c r="D60" t="s">
        <v>179</v>
      </c>
      <c r="E60" s="69">
        <v>2020</v>
      </c>
      <c r="F60" t="s">
        <v>201</v>
      </c>
      <c r="G60" t="s">
        <v>202</v>
      </c>
      <c r="H60">
        <v>14</v>
      </c>
      <c r="I60" s="81">
        <v>44024</v>
      </c>
      <c r="J60">
        <v>2020</v>
      </c>
      <c r="K60" t="s">
        <v>1874</v>
      </c>
      <c r="L60" t="s">
        <v>203</v>
      </c>
      <c r="M60" t="s">
        <v>182</v>
      </c>
      <c r="N60" t="s">
        <v>204</v>
      </c>
      <c r="O60" t="s">
        <v>1868</v>
      </c>
      <c r="P60" s="80">
        <v>0.29580000000000001</v>
      </c>
      <c r="Q60" t="s">
        <v>1869</v>
      </c>
    </row>
    <row r="61" spans="1:17" x14ac:dyDescent="0.6">
      <c r="A61">
        <v>60</v>
      </c>
      <c r="B61" t="s">
        <v>353</v>
      </c>
      <c r="C61">
        <v>1900</v>
      </c>
      <c r="D61" t="s">
        <v>179</v>
      </c>
      <c r="E61" s="69">
        <v>2020</v>
      </c>
      <c r="F61" t="s">
        <v>201</v>
      </c>
      <c r="G61" t="s">
        <v>202</v>
      </c>
      <c r="H61">
        <v>14</v>
      </c>
      <c r="I61" s="81">
        <v>43963</v>
      </c>
      <c r="J61">
        <v>2020</v>
      </c>
      <c r="K61" t="s">
        <v>1877</v>
      </c>
      <c r="L61" t="s">
        <v>203</v>
      </c>
      <c r="M61" t="s">
        <v>182</v>
      </c>
      <c r="N61" t="s">
        <v>204</v>
      </c>
      <c r="O61" t="s">
        <v>1868</v>
      </c>
      <c r="P61" s="80">
        <v>0.17030000000000001</v>
      </c>
      <c r="Q61" t="s">
        <v>1869</v>
      </c>
    </row>
    <row r="62" spans="1:17" x14ac:dyDescent="0.6">
      <c r="A62">
        <v>61</v>
      </c>
      <c r="B62" t="s">
        <v>356</v>
      </c>
      <c r="C62">
        <v>1900</v>
      </c>
      <c r="D62" t="s">
        <v>179</v>
      </c>
      <c r="E62" s="69">
        <v>2020</v>
      </c>
      <c r="F62" t="s">
        <v>201</v>
      </c>
      <c r="G62" t="s">
        <v>226</v>
      </c>
      <c r="H62">
        <v>14</v>
      </c>
      <c r="I62" s="81">
        <v>44024</v>
      </c>
      <c r="J62">
        <v>2020</v>
      </c>
      <c r="K62" t="s">
        <v>1874</v>
      </c>
      <c r="L62" t="s">
        <v>203</v>
      </c>
      <c r="M62" t="s">
        <v>182</v>
      </c>
      <c r="N62" t="s">
        <v>204</v>
      </c>
      <c r="O62" t="s">
        <v>1868</v>
      </c>
      <c r="P62" s="80">
        <v>0.26069999999999999</v>
      </c>
      <c r="Q62" t="s">
        <v>1869</v>
      </c>
    </row>
    <row r="63" spans="1:17" x14ac:dyDescent="0.6">
      <c r="A63">
        <v>62</v>
      </c>
      <c r="B63" t="s">
        <v>358</v>
      </c>
      <c r="C63">
        <v>1900</v>
      </c>
      <c r="D63" t="s">
        <v>179</v>
      </c>
      <c r="E63" s="69">
        <v>2020</v>
      </c>
      <c r="F63" t="s">
        <v>201</v>
      </c>
      <c r="G63" t="s">
        <v>202</v>
      </c>
      <c r="H63">
        <v>14</v>
      </c>
      <c r="I63" s="81">
        <v>43963</v>
      </c>
      <c r="J63">
        <v>2020</v>
      </c>
      <c r="K63" t="s">
        <v>1877</v>
      </c>
      <c r="L63" t="s">
        <v>203</v>
      </c>
      <c r="M63" t="s">
        <v>182</v>
      </c>
      <c r="N63" t="s">
        <v>204</v>
      </c>
      <c r="O63" t="s">
        <v>1868</v>
      </c>
      <c r="P63" s="80">
        <v>0.29580000000000001</v>
      </c>
      <c r="Q63" t="s">
        <v>1869</v>
      </c>
    </row>
    <row r="64" spans="1:17" x14ac:dyDescent="0.6">
      <c r="A64">
        <v>63</v>
      </c>
      <c r="B64" t="s">
        <v>361</v>
      </c>
      <c r="C64">
        <v>1900</v>
      </c>
      <c r="D64" t="s">
        <v>179</v>
      </c>
      <c r="E64" s="69">
        <v>2020</v>
      </c>
      <c r="F64" t="s">
        <v>201</v>
      </c>
      <c r="G64" t="s">
        <v>202</v>
      </c>
      <c r="H64">
        <v>14</v>
      </c>
      <c r="I64" s="81">
        <v>44024</v>
      </c>
      <c r="J64">
        <v>2020</v>
      </c>
      <c r="K64" t="s">
        <v>1874</v>
      </c>
      <c r="L64" t="s">
        <v>203</v>
      </c>
      <c r="M64" t="s">
        <v>182</v>
      </c>
      <c r="N64" t="s">
        <v>204</v>
      </c>
      <c r="O64" t="s">
        <v>1868</v>
      </c>
      <c r="P64" s="80">
        <v>0.24790000000000001</v>
      </c>
      <c r="Q64" t="s">
        <v>1869</v>
      </c>
    </row>
    <row r="65" spans="1:17" x14ac:dyDescent="0.6">
      <c r="A65">
        <v>64</v>
      </c>
      <c r="B65" t="s">
        <v>364</v>
      </c>
      <c r="C65">
        <v>1900</v>
      </c>
      <c r="D65" t="s">
        <v>179</v>
      </c>
      <c r="E65" s="69">
        <v>2020</v>
      </c>
      <c r="F65" t="s">
        <v>201</v>
      </c>
      <c r="G65" t="s">
        <v>226</v>
      </c>
      <c r="H65">
        <v>14</v>
      </c>
      <c r="I65" s="81">
        <v>43963</v>
      </c>
      <c r="J65">
        <v>2020</v>
      </c>
      <c r="K65" t="s">
        <v>1877</v>
      </c>
      <c r="L65" t="s">
        <v>203</v>
      </c>
      <c r="M65" t="s">
        <v>182</v>
      </c>
      <c r="N65" t="s">
        <v>204</v>
      </c>
      <c r="O65" t="s">
        <v>1868</v>
      </c>
      <c r="P65" s="80">
        <v>0.2707</v>
      </c>
      <c r="Q65" t="s">
        <v>1869</v>
      </c>
    </row>
    <row r="66" spans="1:17" x14ac:dyDescent="0.6">
      <c r="A66">
        <v>65</v>
      </c>
      <c r="B66" t="s">
        <v>367</v>
      </c>
      <c r="C66">
        <v>1900</v>
      </c>
      <c r="D66" t="s">
        <v>179</v>
      </c>
      <c r="E66" s="69">
        <v>2020</v>
      </c>
      <c r="F66" t="s">
        <v>180</v>
      </c>
      <c r="G66" t="s">
        <v>180</v>
      </c>
      <c r="H66">
        <v>14</v>
      </c>
      <c r="I66" s="81">
        <v>43963</v>
      </c>
      <c r="J66">
        <v>2020</v>
      </c>
      <c r="K66" t="s">
        <v>1877</v>
      </c>
      <c r="L66" t="s">
        <v>203</v>
      </c>
      <c r="M66" t="s">
        <v>182</v>
      </c>
      <c r="N66" t="s">
        <v>204</v>
      </c>
      <c r="O66" t="s">
        <v>1868</v>
      </c>
      <c r="P66" s="80">
        <v>0.25619999999999998</v>
      </c>
      <c r="Q66" t="s">
        <v>1869</v>
      </c>
    </row>
    <row r="67" spans="1:17" x14ac:dyDescent="0.6">
      <c r="A67">
        <v>66</v>
      </c>
      <c r="B67" t="s">
        <v>370</v>
      </c>
      <c r="C67">
        <v>1900</v>
      </c>
      <c r="D67" t="s">
        <v>179</v>
      </c>
      <c r="E67" s="69">
        <v>2020</v>
      </c>
      <c r="F67" t="s">
        <v>201</v>
      </c>
      <c r="G67" t="s">
        <v>226</v>
      </c>
      <c r="H67">
        <v>14</v>
      </c>
      <c r="I67" s="81">
        <v>44024</v>
      </c>
      <c r="J67">
        <v>2020</v>
      </c>
      <c r="K67" t="s">
        <v>1874</v>
      </c>
      <c r="L67" t="s">
        <v>203</v>
      </c>
      <c r="M67" t="s">
        <v>182</v>
      </c>
      <c r="N67" t="s">
        <v>204</v>
      </c>
      <c r="O67" t="s">
        <v>1868</v>
      </c>
      <c r="P67" s="80">
        <v>0.2298</v>
      </c>
      <c r="Q67" t="s">
        <v>1869</v>
      </c>
    </row>
    <row r="68" spans="1:17" x14ac:dyDescent="0.6">
      <c r="A68">
        <v>67</v>
      </c>
      <c r="B68" t="s">
        <v>373</v>
      </c>
      <c r="C68">
        <v>1900</v>
      </c>
      <c r="D68" t="s">
        <v>179</v>
      </c>
      <c r="E68" s="69">
        <v>2020</v>
      </c>
      <c r="F68" t="s">
        <v>201</v>
      </c>
      <c r="G68" t="s">
        <v>202</v>
      </c>
      <c r="H68">
        <v>14</v>
      </c>
      <c r="I68" s="81">
        <v>44024</v>
      </c>
      <c r="J68">
        <v>2020</v>
      </c>
      <c r="K68" t="s">
        <v>1874</v>
      </c>
      <c r="L68" t="s">
        <v>203</v>
      </c>
      <c r="M68" t="s">
        <v>182</v>
      </c>
      <c r="N68" t="s">
        <v>204</v>
      </c>
      <c r="O68" t="s">
        <v>1868</v>
      </c>
      <c r="P68" s="80">
        <v>0.32279999999999998</v>
      </c>
      <c r="Q68" t="s">
        <v>1869</v>
      </c>
    </row>
    <row r="69" spans="1:17" x14ac:dyDescent="0.6">
      <c r="A69">
        <v>68</v>
      </c>
      <c r="B69" t="s">
        <v>375</v>
      </c>
      <c r="C69">
        <v>1900</v>
      </c>
      <c r="D69" t="s">
        <v>179</v>
      </c>
      <c r="E69" s="69">
        <v>2021</v>
      </c>
      <c r="F69" t="s">
        <v>180</v>
      </c>
      <c r="G69" t="s">
        <v>180</v>
      </c>
      <c r="H69">
        <v>14</v>
      </c>
      <c r="I69" s="76" t="s">
        <v>1878</v>
      </c>
      <c r="J69">
        <v>2021</v>
      </c>
      <c r="K69" s="69">
        <v>44350</v>
      </c>
      <c r="L69" t="s">
        <v>376</v>
      </c>
      <c r="M69" t="s">
        <v>182</v>
      </c>
      <c r="N69" t="s">
        <v>204</v>
      </c>
      <c r="O69" t="s">
        <v>1868</v>
      </c>
      <c r="P69" s="80">
        <v>0.1153</v>
      </c>
      <c r="Q69" t="s">
        <v>1869</v>
      </c>
    </row>
    <row r="70" spans="1:17" x14ac:dyDescent="0.6">
      <c r="A70">
        <v>69</v>
      </c>
      <c r="B70" t="s">
        <v>379</v>
      </c>
      <c r="C70">
        <v>1900</v>
      </c>
      <c r="D70" t="s">
        <v>179</v>
      </c>
      <c r="E70" s="69">
        <v>2021</v>
      </c>
      <c r="F70" t="s">
        <v>201</v>
      </c>
      <c r="G70" t="s">
        <v>202</v>
      </c>
      <c r="H70">
        <v>14</v>
      </c>
      <c r="I70" s="76" t="s">
        <v>1879</v>
      </c>
      <c r="J70">
        <v>2021</v>
      </c>
      <c r="K70" s="69">
        <v>44319</v>
      </c>
      <c r="L70" t="s">
        <v>376</v>
      </c>
      <c r="M70" t="s">
        <v>182</v>
      </c>
      <c r="N70" t="s">
        <v>204</v>
      </c>
      <c r="O70" t="s">
        <v>1868</v>
      </c>
      <c r="P70" s="80">
        <v>0.2233</v>
      </c>
      <c r="Q70" t="s">
        <v>1869</v>
      </c>
    </row>
    <row r="71" spans="1:17" x14ac:dyDescent="0.6">
      <c r="A71">
        <v>70</v>
      </c>
      <c r="B71" t="s">
        <v>382</v>
      </c>
      <c r="C71">
        <v>1900</v>
      </c>
      <c r="D71" t="s">
        <v>179</v>
      </c>
      <c r="E71" s="69">
        <v>2021</v>
      </c>
      <c r="F71" t="s">
        <v>201</v>
      </c>
      <c r="G71" t="s">
        <v>202</v>
      </c>
      <c r="H71">
        <v>14</v>
      </c>
      <c r="I71" s="76" t="s">
        <v>1879</v>
      </c>
      <c r="J71">
        <v>2021</v>
      </c>
      <c r="K71" s="69">
        <v>44319</v>
      </c>
      <c r="L71" t="s">
        <v>376</v>
      </c>
      <c r="M71" t="s">
        <v>182</v>
      </c>
      <c r="N71" t="s">
        <v>204</v>
      </c>
      <c r="O71" t="s">
        <v>1868</v>
      </c>
      <c r="P71" s="80">
        <v>0.26240000000000002</v>
      </c>
      <c r="Q71" t="s">
        <v>1869</v>
      </c>
    </row>
    <row r="72" spans="1:17" x14ac:dyDescent="0.6">
      <c r="A72">
        <v>71</v>
      </c>
      <c r="B72" t="s">
        <v>385</v>
      </c>
      <c r="C72">
        <v>1900</v>
      </c>
      <c r="D72" t="s">
        <v>179</v>
      </c>
      <c r="E72" s="69">
        <v>2021</v>
      </c>
      <c r="F72" t="s">
        <v>201</v>
      </c>
      <c r="G72" t="s">
        <v>202</v>
      </c>
      <c r="H72">
        <v>14</v>
      </c>
      <c r="I72" s="76" t="s">
        <v>1879</v>
      </c>
      <c r="J72">
        <v>2021</v>
      </c>
      <c r="K72" s="69">
        <v>44319</v>
      </c>
      <c r="L72" t="s">
        <v>376</v>
      </c>
      <c r="M72" t="s">
        <v>182</v>
      </c>
      <c r="N72" t="s">
        <v>204</v>
      </c>
      <c r="O72" t="s">
        <v>1868</v>
      </c>
      <c r="P72" s="80">
        <v>0.14280000000000001</v>
      </c>
      <c r="Q72" t="s">
        <v>1869</v>
      </c>
    </row>
    <row r="73" spans="1:17" x14ac:dyDescent="0.6">
      <c r="A73">
        <v>72</v>
      </c>
      <c r="B73" t="s">
        <v>387</v>
      </c>
      <c r="C73">
        <v>1900</v>
      </c>
      <c r="D73" t="s">
        <v>179</v>
      </c>
      <c r="E73" s="69">
        <v>2021</v>
      </c>
      <c r="F73" t="s">
        <v>180</v>
      </c>
      <c r="G73" t="s">
        <v>180</v>
      </c>
      <c r="H73">
        <v>14</v>
      </c>
      <c r="I73" s="76" t="s">
        <v>1879</v>
      </c>
      <c r="J73">
        <v>2021</v>
      </c>
      <c r="K73" s="69">
        <v>44319</v>
      </c>
      <c r="L73" t="s">
        <v>376</v>
      </c>
      <c r="M73" t="s">
        <v>182</v>
      </c>
      <c r="N73" t="s">
        <v>204</v>
      </c>
      <c r="O73" t="s">
        <v>1868</v>
      </c>
      <c r="P73" s="80">
        <v>0.24779999999999999</v>
      </c>
      <c r="Q73" t="s">
        <v>1869</v>
      </c>
    </row>
    <row r="74" spans="1:17" x14ac:dyDescent="0.6">
      <c r="A74">
        <v>73</v>
      </c>
      <c r="B74" t="s">
        <v>388</v>
      </c>
      <c r="C74">
        <v>1900</v>
      </c>
      <c r="D74" t="s">
        <v>179</v>
      </c>
      <c r="E74" s="69">
        <v>2021</v>
      </c>
      <c r="F74" t="s">
        <v>180</v>
      </c>
      <c r="G74" t="s">
        <v>180</v>
      </c>
      <c r="H74">
        <v>14</v>
      </c>
      <c r="I74" s="76" t="s">
        <v>1879</v>
      </c>
      <c r="J74">
        <v>2021</v>
      </c>
      <c r="K74" s="69">
        <v>44319</v>
      </c>
      <c r="L74" t="s">
        <v>376</v>
      </c>
      <c r="M74" t="s">
        <v>182</v>
      </c>
      <c r="N74" t="s">
        <v>204</v>
      </c>
      <c r="O74" t="s">
        <v>1868</v>
      </c>
      <c r="P74" s="80">
        <v>0.18959999999999999</v>
      </c>
      <c r="Q74" t="s">
        <v>1869</v>
      </c>
    </row>
    <row r="75" spans="1:17" x14ac:dyDescent="0.6">
      <c r="A75">
        <v>74</v>
      </c>
      <c r="B75" t="s">
        <v>390</v>
      </c>
      <c r="C75">
        <v>1900</v>
      </c>
      <c r="D75" t="s">
        <v>179</v>
      </c>
      <c r="E75" s="69">
        <v>2021</v>
      </c>
      <c r="F75" t="s">
        <v>180</v>
      </c>
      <c r="G75" t="s">
        <v>180</v>
      </c>
      <c r="H75">
        <v>14</v>
      </c>
      <c r="I75" s="76" t="s">
        <v>1878</v>
      </c>
      <c r="J75">
        <v>2021</v>
      </c>
      <c r="K75" s="69">
        <v>44350</v>
      </c>
      <c r="L75" t="s">
        <v>376</v>
      </c>
      <c r="M75" t="s">
        <v>182</v>
      </c>
      <c r="N75" t="s">
        <v>204</v>
      </c>
      <c r="O75" t="s">
        <v>1868</v>
      </c>
      <c r="P75" s="80">
        <v>0.22950000000000001</v>
      </c>
      <c r="Q75" t="s">
        <v>1869</v>
      </c>
    </row>
    <row r="76" spans="1:17" x14ac:dyDescent="0.6">
      <c r="A76">
        <v>75</v>
      </c>
      <c r="B76" t="s">
        <v>392</v>
      </c>
      <c r="C76">
        <v>1900</v>
      </c>
      <c r="D76" t="s">
        <v>179</v>
      </c>
      <c r="E76" s="69">
        <v>2021</v>
      </c>
      <c r="F76" t="s">
        <v>180</v>
      </c>
      <c r="G76" t="s">
        <v>180</v>
      </c>
      <c r="H76">
        <v>14</v>
      </c>
      <c r="I76" s="76" t="s">
        <v>1878</v>
      </c>
      <c r="J76">
        <v>2021</v>
      </c>
      <c r="K76" s="69">
        <v>44350</v>
      </c>
      <c r="L76" t="s">
        <v>376</v>
      </c>
      <c r="M76" t="s">
        <v>182</v>
      </c>
      <c r="N76" t="s">
        <v>204</v>
      </c>
      <c r="O76" t="s">
        <v>1868</v>
      </c>
      <c r="P76" s="80">
        <v>0.21940000000000001</v>
      </c>
      <c r="Q76" t="s">
        <v>1869</v>
      </c>
    </row>
    <row r="77" spans="1:17" x14ac:dyDescent="0.6">
      <c r="A77">
        <v>76</v>
      </c>
      <c r="B77" t="s">
        <v>393</v>
      </c>
      <c r="C77">
        <v>1900</v>
      </c>
      <c r="D77" t="s">
        <v>179</v>
      </c>
      <c r="E77" s="69">
        <v>2021</v>
      </c>
      <c r="F77" t="s">
        <v>180</v>
      </c>
      <c r="G77" t="s">
        <v>180</v>
      </c>
      <c r="H77">
        <v>14</v>
      </c>
      <c r="I77" s="76" t="s">
        <v>1878</v>
      </c>
      <c r="J77">
        <v>2021</v>
      </c>
      <c r="K77" s="69">
        <v>44350</v>
      </c>
      <c r="L77" t="s">
        <v>376</v>
      </c>
      <c r="M77" t="s">
        <v>182</v>
      </c>
      <c r="N77" t="s">
        <v>204</v>
      </c>
      <c r="O77" t="s">
        <v>1868</v>
      </c>
      <c r="P77" s="80">
        <v>0.23319999999999999</v>
      </c>
      <c r="Q77" t="s">
        <v>1869</v>
      </c>
    </row>
    <row r="78" spans="1:17" x14ac:dyDescent="0.6">
      <c r="A78">
        <v>77</v>
      </c>
      <c r="B78" t="s">
        <v>394</v>
      </c>
      <c r="C78">
        <v>1900</v>
      </c>
      <c r="D78" t="s">
        <v>179</v>
      </c>
      <c r="E78" s="69">
        <v>2021</v>
      </c>
      <c r="F78" t="s">
        <v>180</v>
      </c>
      <c r="G78" t="s">
        <v>180</v>
      </c>
      <c r="H78">
        <v>14</v>
      </c>
      <c r="I78" s="76" t="s">
        <v>1878</v>
      </c>
      <c r="J78">
        <v>2021</v>
      </c>
      <c r="K78" s="69">
        <v>44350</v>
      </c>
      <c r="L78" t="s">
        <v>376</v>
      </c>
      <c r="M78" t="s">
        <v>182</v>
      </c>
      <c r="N78" t="s">
        <v>204</v>
      </c>
      <c r="O78" t="s">
        <v>1868</v>
      </c>
      <c r="P78" s="80">
        <v>0.25290000000000001</v>
      </c>
      <c r="Q78" t="s">
        <v>1869</v>
      </c>
    </row>
    <row r="79" spans="1:17" x14ac:dyDescent="0.6">
      <c r="A79">
        <v>78</v>
      </c>
      <c r="B79" t="s">
        <v>396</v>
      </c>
      <c r="C79">
        <v>1900</v>
      </c>
      <c r="D79" t="s">
        <v>179</v>
      </c>
      <c r="E79" s="69">
        <v>2021</v>
      </c>
      <c r="F79" t="s">
        <v>180</v>
      </c>
      <c r="G79" t="s">
        <v>180</v>
      </c>
      <c r="H79">
        <v>14</v>
      </c>
      <c r="I79" s="76" t="s">
        <v>1878</v>
      </c>
      <c r="J79">
        <v>2021</v>
      </c>
      <c r="K79" s="69">
        <v>44350</v>
      </c>
      <c r="L79" t="s">
        <v>376</v>
      </c>
      <c r="M79" t="s">
        <v>182</v>
      </c>
      <c r="N79" t="s">
        <v>204</v>
      </c>
      <c r="O79" t="s">
        <v>1868</v>
      </c>
      <c r="P79" s="80">
        <v>0.24360000000000001</v>
      </c>
      <c r="Q79" t="s">
        <v>1869</v>
      </c>
    </row>
    <row r="80" spans="1:17" x14ac:dyDescent="0.6">
      <c r="A80">
        <v>79</v>
      </c>
      <c r="B80" t="s">
        <v>398</v>
      </c>
      <c r="C80">
        <v>1900</v>
      </c>
      <c r="D80" t="s">
        <v>179</v>
      </c>
      <c r="E80" s="69">
        <v>2021</v>
      </c>
      <c r="F80" t="s">
        <v>180</v>
      </c>
      <c r="G80" t="s">
        <v>180</v>
      </c>
      <c r="H80">
        <v>14</v>
      </c>
      <c r="I80" s="76" t="s">
        <v>1880</v>
      </c>
      <c r="J80">
        <v>2021</v>
      </c>
      <c r="K80" s="69">
        <v>44380</v>
      </c>
      <c r="L80" t="s">
        <v>376</v>
      </c>
      <c r="M80" t="s">
        <v>182</v>
      </c>
      <c r="N80" t="s">
        <v>204</v>
      </c>
      <c r="O80" t="s">
        <v>1868</v>
      </c>
      <c r="P80" s="80">
        <v>0.2616</v>
      </c>
      <c r="Q80" t="s">
        <v>1869</v>
      </c>
    </row>
    <row r="81" spans="1:17" x14ac:dyDescent="0.6">
      <c r="A81">
        <v>80</v>
      </c>
      <c r="B81" t="s">
        <v>399</v>
      </c>
      <c r="C81">
        <v>1900</v>
      </c>
      <c r="D81" t="s">
        <v>179</v>
      </c>
      <c r="E81" s="69">
        <v>2021</v>
      </c>
      <c r="F81" t="s">
        <v>180</v>
      </c>
      <c r="G81" t="s">
        <v>180</v>
      </c>
      <c r="H81">
        <v>14</v>
      </c>
      <c r="I81" s="76" t="s">
        <v>1878</v>
      </c>
      <c r="J81">
        <v>2021</v>
      </c>
      <c r="K81" s="69">
        <v>44350</v>
      </c>
      <c r="L81" t="s">
        <v>376</v>
      </c>
      <c r="M81" t="s">
        <v>182</v>
      </c>
      <c r="N81" t="s">
        <v>204</v>
      </c>
      <c r="O81" t="s">
        <v>1868</v>
      </c>
      <c r="P81" s="80">
        <v>0.21970000000000001</v>
      </c>
      <c r="Q81" t="s">
        <v>1869</v>
      </c>
    </row>
    <row r="82" spans="1:17" x14ac:dyDescent="0.6">
      <c r="A82">
        <v>81</v>
      </c>
      <c r="B82" t="s">
        <v>401</v>
      </c>
      <c r="C82">
        <v>1900</v>
      </c>
      <c r="D82" t="s">
        <v>179</v>
      </c>
      <c r="E82" s="69">
        <v>2021</v>
      </c>
      <c r="F82" t="s">
        <v>180</v>
      </c>
      <c r="G82" t="s">
        <v>180</v>
      </c>
      <c r="H82">
        <v>14</v>
      </c>
      <c r="I82" s="76" t="s">
        <v>1878</v>
      </c>
      <c r="J82">
        <v>2021</v>
      </c>
      <c r="K82" s="69">
        <v>44350</v>
      </c>
      <c r="L82" t="s">
        <v>376</v>
      </c>
      <c r="M82" t="s">
        <v>182</v>
      </c>
      <c r="N82" t="s">
        <v>204</v>
      </c>
      <c r="O82" t="s">
        <v>1868</v>
      </c>
      <c r="P82" s="80">
        <v>0.18909999999999999</v>
      </c>
      <c r="Q82" t="s">
        <v>1869</v>
      </c>
    </row>
    <row r="83" spans="1:17" x14ac:dyDescent="0.6">
      <c r="A83">
        <v>82</v>
      </c>
      <c r="B83" t="s">
        <v>403</v>
      </c>
      <c r="C83">
        <v>1900</v>
      </c>
      <c r="D83" t="s">
        <v>179</v>
      </c>
      <c r="E83" s="69">
        <v>2021</v>
      </c>
      <c r="F83" t="s">
        <v>180</v>
      </c>
      <c r="G83" t="s">
        <v>180</v>
      </c>
      <c r="H83">
        <v>14</v>
      </c>
      <c r="I83" s="76" t="s">
        <v>1879</v>
      </c>
      <c r="J83">
        <v>2021</v>
      </c>
      <c r="K83" s="69">
        <v>44319</v>
      </c>
      <c r="L83" t="s">
        <v>376</v>
      </c>
      <c r="M83" t="s">
        <v>182</v>
      </c>
      <c r="N83" t="s">
        <v>204</v>
      </c>
      <c r="O83" t="s">
        <v>1868</v>
      </c>
      <c r="P83" s="80">
        <v>0.2457</v>
      </c>
      <c r="Q83" t="s">
        <v>1869</v>
      </c>
    </row>
    <row r="84" spans="1:17" x14ac:dyDescent="0.6">
      <c r="A84">
        <v>83</v>
      </c>
      <c r="B84" t="s">
        <v>406</v>
      </c>
      <c r="C84">
        <v>1900</v>
      </c>
      <c r="D84" t="s">
        <v>179</v>
      </c>
      <c r="E84" s="69">
        <v>2021</v>
      </c>
      <c r="F84" t="s">
        <v>180</v>
      </c>
      <c r="G84" t="s">
        <v>180</v>
      </c>
      <c r="H84">
        <v>14</v>
      </c>
      <c r="I84" s="76" t="s">
        <v>1878</v>
      </c>
      <c r="J84">
        <v>2021</v>
      </c>
      <c r="K84" s="69">
        <v>44350</v>
      </c>
      <c r="L84" t="s">
        <v>376</v>
      </c>
      <c r="M84" t="s">
        <v>182</v>
      </c>
      <c r="N84" t="s">
        <v>204</v>
      </c>
      <c r="O84" t="s">
        <v>1868</v>
      </c>
      <c r="P84" s="80">
        <v>0.24199999999999999</v>
      </c>
      <c r="Q84" t="s">
        <v>1869</v>
      </c>
    </row>
    <row r="85" spans="1:17" x14ac:dyDescent="0.6">
      <c r="A85">
        <v>84</v>
      </c>
      <c r="B85" t="s">
        <v>408</v>
      </c>
      <c r="C85">
        <v>1900</v>
      </c>
      <c r="D85" t="s">
        <v>179</v>
      </c>
      <c r="E85" s="69">
        <v>44700</v>
      </c>
      <c r="F85" t="s">
        <v>201</v>
      </c>
      <c r="G85" t="s">
        <v>202</v>
      </c>
      <c r="H85">
        <v>14</v>
      </c>
      <c r="I85" s="76" t="s">
        <v>1881</v>
      </c>
      <c r="J85">
        <v>2022</v>
      </c>
      <c r="K85" t="s">
        <v>1882</v>
      </c>
      <c r="L85" t="s">
        <v>409</v>
      </c>
      <c r="M85" t="s">
        <v>182</v>
      </c>
      <c r="N85" t="s">
        <v>204</v>
      </c>
      <c r="O85" t="s">
        <v>1868</v>
      </c>
      <c r="P85" s="80">
        <v>0.30730000000000002</v>
      </c>
      <c r="Q85" t="s">
        <v>1869</v>
      </c>
    </row>
    <row r="86" spans="1:17" x14ac:dyDescent="0.6">
      <c r="A86">
        <v>85</v>
      </c>
      <c r="B86" t="s">
        <v>412</v>
      </c>
      <c r="C86">
        <v>1900</v>
      </c>
      <c r="D86" t="s">
        <v>179</v>
      </c>
      <c r="E86" s="69">
        <v>44700</v>
      </c>
      <c r="F86" t="s">
        <v>201</v>
      </c>
      <c r="G86" t="s">
        <v>202</v>
      </c>
      <c r="H86">
        <v>14</v>
      </c>
      <c r="I86" s="76" t="s">
        <v>1883</v>
      </c>
      <c r="J86">
        <v>2022</v>
      </c>
      <c r="K86" t="s">
        <v>1884</v>
      </c>
      <c r="L86" t="s">
        <v>409</v>
      </c>
      <c r="M86" t="s">
        <v>182</v>
      </c>
      <c r="N86" t="s">
        <v>204</v>
      </c>
      <c r="O86" t="s">
        <v>1868</v>
      </c>
      <c r="P86" s="80">
        <v>0.3085</v>
      </c>
      <c r="Q86" t="s">
        <v>1869</v>
      </c>
    </row>
    <row r="87" spans="1:17" x14ac:dyDescent="0.6">
      <c r="A87">
        <v>86</v>
      </c>
      <c r="B87" t="s">
        <v>415</v>
      </c>
      <c r="C87">
        <v>1900</v>
      </c>
      <c r="D87" t="s">
        <v>179</v>
      </c>
      <c r="E87" s="69">
        <v>44700</v>
      </c>
      <c r="F87" t="s">
        <v>201</v>
      </c>
      <c r="G87" t="s">
        <v>226</v>
      </c>
      <c r="H87">
        <v>14</v>
      </c>
      <c r="I87" s="76" t="s">
        <v>1881</v>
      </c>
      <c r="J87">
        <v>2022</v>
      </c>
      <c r="K87" t="s">
        <v>1882</v>
      </c>
      <c r="L87" t="s">
        <v>409</v>
      </c>
      <c r="M87" t="s">
        <v>182</v>
      </c>
      <c r="N87" t="s">
        <v>204</v>
      </c>
      <c r="O87" t="s">
        <v>1868</v>
      </c>
      <c r="P87" s="80">
        <v>0.22370000000000001</v>
      </c>
      <c r="Q87" t="s">
        <v>1869</v>
      </c>
    </row>
    <row r="88" spans="1:17" x14ac:dyDescent="0.6">
      <c r="A88">
        <v>87</v>
      </c>
      <c r="B88" t="s">
        <v>418</v>
      </c>
      <c r="C88">
        <v>1900</v>
      </c>
      <c r="D88" t="s">
        <v>179</v>
      </c>
      <c r="E88" s="69">
        <v>44700</v>
      </c>
      <c r="F88" t="s">
        <v>201</v>
      </c>
      <c r="G88" t="s">
        <v>202</v>
      </c>
      <c r="H88">
        <v>14</v>
      </c>
      <c r="I88" s="76" t="s">
        <v>1881</v>
      </c>
      <c r="J88">
        <v>2022</v>
      </c>
      <c r="K88" t="s">
        <v>1882</v>
      </c>
      <c r="L88" t="s">
        <v>409</v>
      </c>
      <c r="M88" t="s">
        <v>182</v>
      </c>
      <c r="N88" t="s">
        <v>204</v>
      </c>
      <c r="O88" t="s">
        <v>1868</v>
      </c>
      <c r="P88" s="80">
        <v>0.39069999999999999</v>
      </c>
      <c r="Q88" t="s">
        <v>1869</v>
      </c>
    </row>
    <row r="89" spans="1:17" x14ac:dyDescent="0.6">
      <c r="A89">
        <v>88</v>
      </c>
      <c r="B89" t="s">
        <v>421</v>
      </c>
      <c r="C89">
        <v>1900</v>
      </c>
      <c r="D89" t="s">
        <v>179</v>
      </c>
      <c r="E89" s="69">
        <v>44700</v>
      </c>
      <c r="F89" t="s">
        <v>201</v>
      </c>
      <c r="G89" t="s">
        <v>202</v>
      </c>
      <c r="H89">
        <v>14</v>
      </c>
      <c r="I89" s="76" t="s">
        <v>1881</v>
      </c>
      <c r="J89">
        <v>2022</v>
      </c>
      <c r="K89" t="s">
        <v>1882</v>
      </c>
      <c r="L89" t="s">
        <v>409</v>
      </c>
      <c r="M89" t="s">
        <v>182</v>
      </c>
      <c r="N89" t="s">
        <v>204</v>
      </c>
      <c r="O89" t="s">
        <v>1868</v>
      </c>
      <c r="P89" s="80">
        <v>0.1925</v>
      </c>
      <c r="Q89" t="s">
        <v>1869</v>
      </c>
    </row>
    <row r="90" spans="1:17" x14ac:dyDescent="0.6">
      <c r="A90">
        <v>89</v>
      </c>
      <c r="B90" t="s">
        <v>424</v>
      </c>
      <c r="C90">
        <v>1900</v>
      </c>
      <c r="D90" t="s">
        <v>179</v>
      </c>
      <c r="E90" s="69">
        <v>44700</v>
      </c>
      <c r="F90" t="s">
        <v>201</v>
      </c>
      <c r="G90" t="s">
        <v>202</v>
      </c>
      <c r="H90">
        <v>14</v>
      </c>
      <c r="I90" s="76" t="s">
        <v>1883</v>
      </c>
      <c r="J90">
        <v>2022</v>
      </c>
      <c r="K90" t="s">
        <v>1884</v>
      </c>
      <c r="L90" t="s">
        <v>409</v>
      </c>
      <c r="M90" t="s">
        <v>182</v>
      </c>
      <c r="N90" t="s">
        <v>204</v>
      </c>
      <c r="O90" t="s">
        <v>1868</v>
      </c>
      <c r="P90" s="80">
        <v>0.3579</v>
      </c>
      <c r="Q90" t="s">
        <v>1869</v>
      </c>
    </row>
    <row r="91" spans="1:17" x14ac:dyDescent="0.6">
      <c r="A91">
        <v>90</v>
      </c>
      <c r="B91" t="s">
        <v>427</v>
      </c>
      <c r="C91">
        <v>1900</v>
      </c>
      <c r="D91" t="s">
        <v>179</v>
      </c>
      <c r="E91" s="69">
        <v>44700</v>
      </c>
      <c r="F91" t="s">
        <v>201</v>
      </c>
      <c r="G91" t="s">
        <v>202</v>
      </c>
      <c r="H91">
        <v>14</v>
      </c>
      <c r="I91" s="76" t="s">
        <v>1883</v>
      </c>
      <c r="J91">
        <v>2022</v>
      </c>
      <c r="K91" t="s">
        <v>1884</v>
      </c>
      <c r="L91" t="s">
        <v>409</v>
      </c>
      <c r="M91" t="s">
        <v>182</v>
      </c>
      <c r="N91" t="s">
        <v>204</v>
      </c>
      <c r="O91" t="s">
        <v>1868</v>
      </c>
      <c r="P91" s="80">
        <v>0.24740000000000001</v>
      </c>
      <c r="Q91" t="s">
        <v>1869</v>
      </c>
    </row>
    <row r="92" spans="1:17" x14ac:dyDescent="0.6">
      <c r="A92">
        <v>91</v>
      </c>
      <c r="B92" t="s">
        <v>430</v>
      </c>
      <c r="C92">
        <v>1900</v>
      </c>
      <c r="D92" t="s">
        <v>179</v>
      </c>
      <c r="E92" s="69">
        <v>44700</v>
      </c>
      <c r="F92" t="s">
        <v>201</v>
      </c>
      <c r="G92" t="s">
        <v>202</v>
      </c>
      <c r="H92">
        <v>14</v>
      </c>
      <c r="I92" s="76" t="s">
        <v>1883</v>
      </c>
      <c r="J92">
        <v>2022</v>
      </c>
      <c r="K92" t="s">
        <v>1884</v>
      </c>
      <c r="L92" t="s">
        <v>409</v>
      </c>
      <c r="M92" t="s">
        <v>182</v>
      </c>
      <c r="N92" t="s">
        <v>204</v>
      </c>
      <c r="O92" t="s">
        <v>1868</v>
      </c>
      <c r="P92" s="80">
        <v>0.31919999999999998</v>
      </c>
      <c r="Q92" t="s">
        <v>1869</v>
      </c>
    </row>
    <row r="93" spans="1:17" x14ac:dyDescent="0.6">
      <c r="A93">
        <v>92</v>
      </c>
      <c r="B93" t="s">
        <v>433</v>
      </c>
      <c r="C93">
        <v>1900</v>
      </c>
      <c r="D93" t="s">
        <v>179</v>
      </c>
      <c r="E93" s="69">
        <v>44700</v>
      </c>
      <c r="F93" t="s">
        <v>201</v>
      </c>
      <c r="G93" t="s">
        <v>202</v>
      </c>
      <c r="H93">
        <v>14</v>
      </c>
      <c r="I93" s="76" t="s">
        <v>1883</v>
      </c>
      <c r="J93">
        <v>2022</v>
      </c>
      <c r="K93" t="s">
        <v>1884</v>
      </c>
      <c r="L93" t="s">
        <v>409</v>
      </c>
      <c r="M93" t="s">
        <v>182</v>
      </c>
      <c r="N93" t="s">
        <v>204</v>
      </c>
      <c r="O93" t="s">
        <v>1868</v>
      </c>
      <c r="P93" s="80">
        <v>0.2399</v>
      </c>
      <c r="Q93" t="s">
        <v>1869</v>
      </c>
    </row>
    <row r="94" spans="1:17" x14ac:dyDescent="0.6">
      <c r="A94">
        <v>93</v>
      </c>
      <c r="B94" t="s">
        <v>436</v>
      </c>
      <c r="C94">
        <v>1900</v>
      </c>
      <c r="D94" t="s">
        <v>179</v>
      </c>
      <c r="E94" s="69">
        <v>44700</v>
      </c>
      <c r="F94" t="s">
        <v>201</v>
      </c>
      <c r="G94" t="s">
        <v>202</v>
      </c>
      <c r="H94">
        <v>14</v>
      </c>
      <c r="I94" s="76" t="s">
        <v>1883</v>
      </c>
      <c r="J94">
        <v>2022</v>
      </c>
      <c r="K94" t="s">
        <v>1884</v>
      </c>
      <c r="L94" t="s">
        <v>409</v>
      </c>
      <c r="M94" t="s">
        <v>182</v>
      </c>
      <c r="N94" t="s">
        <v>204</v>
      </c>
      <c r="O94" t="s">
        <v>1868</v>
      </c>
      <c r="P94" s="80">
        <v>0.30530000000000002</v>
      </c>
      <c r="Q94" t="s">
        <v>1869</v>
      </c>
    </row>
    <row r="95" spans="1:17" x14ac:dyDescent="0.6">
      <c r="A95">
        <v>94</v>
      </c>
      <c r="B95" t="s">
        <v>439</v>
      </c>
      <c r="C95">
        <v>1900</v>
      </c>
      <c r="D95" t="s">
        <v>179</v>
      </c>
      <c r="E95" s="69">
        <v>44700</v>
      </c>
      <c r="F95" t="s">
        <v>201</v>
      </c>
      <c r="G95" t="s">
        <v>202</v>
      </c>
      <c r="H95">
        <v>14</v>
      </c>
      <c r="I95" s="76" t="s">
        <v>1883</v>
      </c>
      <c r="J95">
        <v>2022</v>
      </c>
      <c r="K95" t="s">
        <v>1884</v>
      </c>
      <c r="L95" t="s">
        <v>409</v>
      </c>
      <c r="M95" t="s">
        <v>182</v>
      </c>
      <c r="N95" t="s">
        <v>204</v>
      </c>
      <c r="O95" t="s">
        <v>1868</v>
      </c>
      <c r="P95" s="80">
        <v>0.2656</v>
      </c>
      <c r="Q95" t="s">
        <v>1869</v>
      </c>
    </row>
    <row r="96" spans="1:17" x14ac:dyDescent="0.6">
      <c r="A96">
        <v>95</v>
      </c>
      <c r="B96" t="s">
        <v>442</v>
      </c>
      <c r="C96">
        <v>1900</v>
      </c>
      <c r="D96" t="s">
        <v>179</v>
      </c>
      <c r="E96" s="69">
        <v>44700</v>
      </c>
      <c r="F96" t="s">
        <v>201</v>
      </c>
      <c r="G96" t="s">
        <v>202</v>
      </c>
      <c r="H96">
        <v>14</v>
      </c>
      <c r="I96" s="81">
        <v>44748</v>
      </c>
      <c r="J96">
        <v>2022</v>
      </c>
      <c r="K96" t="s">
        <v>1885</v>
      </c>
      <c r="L96" t="s">
        <v>409</v>
      </c>
      <c r="M96" t="s">
        <v>182</v>
      </c>
      <c r="N96" t="s">
        <v>204</v>
      </c>
      <c r="O96" t="s">
        <v>1868</v>
      </c>
      <c r="P96" s="80">
        <v>0.27289999999999998</v>
      </c>
      <c r="Q96" t="s">
        <v>1869</v>
      </c>
    </row>
    <row r="97" spans="1:17" x14ac:dyDescent="0.6">
      <c r="A97">
        <v>96</v>
      </c>
      <c r="B97" t="s">
        <v>445</v>
      </c>
      <c r="C97">
        <v>1900</v>
      </c>
      <c r="D97" t="s">
        <v>179</v>
      </c>
      <c r="E97" s="69">
        <v>44700</v>
      </c>
      <c r="F97" t="s">
        <v>201</v>
      </c>
      <c r="G97" t="s">
        <v>202</v>
      </c>
      <c r="H97">
        <v>14</v>
      </c>
      <c r="I97" s="76" t="s">
        <v>1883</v>
      </c>
      <c r="J97">
        <v>2022</v>
      </c>
      <c r="K97" t="s">
        <v>1884</v>
      </c>
      <c r="L97" t="s">
        <v>409</v>
      </c>
      <c r="M97" t="s">
        <v>182</v>
      </c>
      <c r="N97" t="s">
        <v>204</v>
      </c>
      <c r="O97" t="s">
        <v>1868</v>
      </c>
      <c r="P97" s="80">
        <v>0.13880000000000001</v>
      </c>
      <c r="Q97" t="s">
        <v>1869</v>
      </c>
    </row>
    <row r="98" spans="1:17" x14ac:dyDescent="0.6">
      <c r="A98">
        <v>97</v>
      </c>
      <c r="B98" t="s">
        <v>448</v>
      </c>
      <c r="C98">
        <v>1900</v>
      </c>
      <c r="D98" t="s">
        <v>179</v>
      </c>
      <c r="E98" s="69">
        <v>44700</v>
      </c>
      <c r="F98" t="s">
        <v>201</v>
      </c>
      <c r="G98" t="s">
        <v>449</v>
      </c>
      <c r="H98">
        <v>14</v>
      </c>
      <c r="I98" s="76" t="s">
        <v>1883</v>
      </c>
      <c r="J98">
        <v>2022</v>
      </c>
      <c r="K98" t="s">
        <v>1884</v>
      </c>
      <c r="L98" t="s">
        <v>409</v>
      </c>
      <c r="M98" t="s">
        <v>182</v>
      </c>
      <c r="N98" t="s">
        <v>204</v>
      </c>
      <c r="O98" t="s">
        <v>1868</v>
      </c>
      <c r="P98" s="80">
        <v>0.2344</v>
      </c>
      <c r="Q98" t="s">
        <v>1869</v>
      </c>
    </row>
    <row r="99" spans="1:17" x14ac:dyDescent="0.6">
      <c r="A99">
        <v>98</v>
      </c>
      <c r="B99" t="s">
        <v>452</v>
      </c>
      <c r="C99">
        <v>1900</v>
      </c>
      <c r="D99" t="s">
        <v>179</v>
      </c>
      <c r="E99" s="69">
        <v>44700</v>
      </c>
      <c r="F99" t="s">
        <v>201</v>
      </c>
      <c r="G99" t="s">
        <v>202</v>
      </c>
      <c r="H99">
        <v>14</v>
      </c>
      <c r="I99" s="76" t="s">
        <v>1881</v>
      </c>
      <c r="J99">
        <v>2022</v>
      </c>
      <c r="K99" t="s">
        <v>1882</v>
      </c>
      <c r="L99" t="s">
        <v>409</v>
      </c>
      <c r="M99" t="s">
        <v>182</v>
      </c>
      <c r="N99" t="s">
        <v>204</v>
      </c>
      <c r="O99" t="s">
        <v>1868</v>
      </c>
      <c r="P99" s="80">
        <v>0.2009</v>
      </c>
      <c r="Q99" t="s">
        <v>1869</v>
      </c>
    </row>
    <row r="100" spans="1:17" x14ac:dyDescent="0.6">
      <c r="A100">
        <v>99</v>
      </c>
      <c r="B100" t="s">
        <v>455</v>
      </c>
      <c r="C100">
        <v>1900</v>
      </c>
      <c r="D100" t="s">
        <v>179</v>
      </c>
      <c r="E100" s="69">
        <v>44727</v>
      </c>
      <c r="F100" t="s">
        <v>201</v>
      </c>
      <c r="G100" t="s">
        <v>202</v>
      </c>
      <c r="H100">
        <v>14</v>
      </c>
      <c r="I100" s="81">
        <v>44779</v>
      </c>
      <c r="J100">
        <v>2022</v>
      </c>
      <c r="K100" t="s">
        <v>1886</v>
      </c>
      <c r="L100" t="s">
        <v>409</v>
      </c>
      <c r="M100" t="s">
        <v>182</v>
      </c>
      <c r="N100" t="s">
        <v>204</v>
      </c>
      <c r="O100" t="s">
        <v>1868</v>
      </c>
      <c r="P100" s="80">
        <v>0.2954</v>
      </c>
      <c r="Q100" t="s">
        <v>1869</v>
      </c>
    </row>
    <row r="101" spans="1:17" x14ac:dyDescent="0.6">
      <c r="A101">
        <v>100</v>
      </c>
      <c r="B101" t="s">
        <v>458</v>
      </c>
      <c r="C101">
        <v>1900</v>
      </c>
      <c r="D101" t="s">
        <v>179</v>
      </c>
      <c r="E101" s="69">
        <v>44727</v>
      </c>
      <c r="F101" t="s">
        <v>201</v>
      </c>
      <c r="G101" t="s">
        <v>202</v>
      </c>
      <c r="H101">
        <v>14</v>
      </c>
      <c r="I101" s="81">
        <v>44626</v>
      </c>
      <c r="J101">
        <v>2022</v>
      </c>
      <c r="K101" t="s">
        <v>1887</v>
      </c>
      <c r="L101" t="s">
        <v>409</v>
      </c>
      <c r="M101" t="s">
        <v>182</v>
      </c>
      <c r="N101" t="s">
        <v>204</v>
      </c>
      <c r="O101" t="s">
        <v>1868</v>
      </c>
      <c r="P101" s="80">
        <v>0.19750000000000001</v>
      </c>
      <c r="Q101" t="s">
        <v>1869</v>
      </c>
    </row>
    <row r="102" spans="1:17" x14ac:dyDescent="0.6">
      <c r="A102">
        <v>101</v>
      </c>
      <c r="B102" t="s">
        <v>461</v>
      </c>
      <c r="C102">
        <v>1900</v>
      </c>
      <c r="D102" t="s">
        <v>179</v>
      </c>
      <c r="E102" s="69">
        <v>44727</v>
      </c>
      <c r="F102" t="s">
        <v>201</v>
      </c>
      <c r="G102" t="s">
        <v>226</v>
      </c>
      <c r="H102">
        <v>14</v>
      </c>
      <c r="I102" s="81">
        <v>44626</v>
      </c>
      <c r="J102">
        <v>2022</v>
      </c>
      <c r="K102" t="s">
        <v>1887</v>
      </c>
      <c r="L102" t="s">
        <v>409</v>
      </c>
      <c r="M102" t="s">
        <v>182</v>
      </c>
      <c r="N102" t="s">
        <v>204</v>
      </c>
      <c r="O102" t="s">
        <v>1868</v>
      </c>
      <c r="P102" s="80">
        <v>0.21029999999999999</v>
      </c>
      <c r="Q102" t="s">
        <v>1869</v>
      </c>
    </row>
    <row r="103" spans="1:17" x14ac:dyDescent="0.6">
      <c r="A103">
        <v>102</v>
      </c>
      <c r="B103" t="s">
        <v>464</v>
      </c>
      <c r="C103">
        <v>1900</v>
      </c>
      <c r="D103" t="s">
        <v>179</v>
      </c>
      <c r="E103" s="69">
        <v>44727</v>
      </c>
      <c r="F103" t="s">
        <v>201</v>
      </c>
      <c r="G103" t="s">
        <v>202</v>
      </c>
      <c r="H103">
        <v>14</v>
      </c>
      <c r="I103" s="76" t="s">
        <v>1888</v>
      </c>
      <c r="J103">
        <v>2022</v>
      </c>
      <c r="K103" s="69">
        <v>44871</v>
      </c>
      <c r="L103" t="s">
        <v>409</v>
      </c>
      <c r="M103" t="s">
        <v>182</v>
      </c>
      <c r="N103" t="s">
        <v>204</v>
      </c>
      <c r="O103" t="s">
        <v>1868</v>
      </c>
      <c r="P103" s="80">
        <v>0.33079999999999998</v>
      </c>
      <c r="Q103" t="s">
        <v>1869</v>
      </c>
    </row>
    <row r="104" spans="1:17" x14ac:dyDescent="0.6">
      <c r="A104">
        <v>103</v>
      </c>
      <c r="B104" t="s">
        <v>468</v>
      </c>
      <c r="C104">
        <v>1900</v>
      </c>
      <c r="D104" t="s">
        <v>179</v>
      </c>
      <c r="E104" s="69">
        <v>44790</v>
      </c>
      <c r="F104" t="s">
        <v>201</v>
      </c>
      <c r="G104" t="s">
        <v>202</v>
      </c>
      <c r="H104">
        <v>14</v>
      </c>
      <c r="I104" s="81">
        <v>44812</v>
      </c>
      <c r="J104">
        <v>2022</v>
      </c>
      <c r="K104" t="s">
        <v>1889</v>
      </c>
      <c r="L104" t="s">
        <v>409</v>
      </c>
      <c r="M104" t="s">
        <v>182</v>
      </c>
      <c r="N104" t="s">
        <v>204</v>
      </c>
      <c r="O104" t="s">
        <v>1868</v>
      </c>
      <c r="P104" s="80">
        <v>0.29949999999999999</v>
      </c>
      <c r="Q104" t="s">
        <v>1869</v>
      </c>
    </row>
    <row r="105" spans="1:17" x14ac:dyDescent="0.6">
      <c r="A105">
        <v>104</v>
      </c>
      <c r="B105" t="s">
        <v>471</v>
      </c>
      <c r="C105">
        <v>1900</v>
      </c>
      <c r="D105" t="s">
        <v>179</v>
      </c>
      <c r="E105" s="69">
        <v>44790</v>
      </c>
      <c r="F105" t="s">
        <v>201</v>
      </c>
      <c r="G105" t="s">
        <v>449</v>
      </c>
      <c r="H105">
        <v>14</v>
      </c>
      <c r="I105" s="81">
        <v>44812</v>
      </c>
      <c r="J105">
        <v>2022</v>
      </c>
      <c r="K105" t="s">
        <v>1889</v>
      </c>
      <c r="L105" t="s">
        <v>409</v>
      </c>
      <c r="M105" t="s">
        <v>182</v>
      </c>
      <c r="N105" t="s">
        <v>204</v>
      </c>
      <c r="O105" t="s">
        <v>1868</v>
      </c>
      <c r="P105" s="80">
        <v>0.37119999999999997</v>
      </c>
      <c r="Q105" t="s">
        <v>1869</v>
      </c>
    </row>
    <row r="106" spans="1:17" x14ac:dyDescent="0.6">
      <c r="A106">
        <v>105</v>
      </c>
      <c r="B106" t="s">
        <v>474</v>
      </c>
      <c r="C106">
        <v>1900</v>
      </c>
      <c r="D106" t="s">
        <v>179</v>
      </c>
      <c r="E106" s="69">
        <v>44790</v>
      </c>
      <c r="F106" t="s">
        <v>201</v>
      </c>
      <c r="G106" t="s">
        <v>202</v>
      </c>
      <c r="H106">
        <v>14</v>
      </c>
      <c r="I106" s="81">
        <v>44812</v>
      </c>
      <c r="J106">
        <v>2022</v>
      </c>
      <c r="K106" t="s">
        <v>1889</v>
      </c>
      <c r="L106" t="s">
        <v>409</v>
      </c>
      <c r="M106" t="s">
        <v>182</v>
      </c>
      <c r="N106" t="s">
        <v>204</v>
      </c>
      <c r="O106" t="s">
        <v>1868</v>
      </c>
      <c r="P106" s="80">
        <v>0.42780000000000001</v>
      </c>
      <c r="Q106" t="s">
        <v>1869</v>
      </c>
    </row>
    <row r="107" spans="1:17" x14ac:dyDescent="0.6">
      <c r="A107">
        <v>106</v>
      </c>
      <c r="B107" t="s">
        <v>476</v>
      </c>
      <c r="C107">
        <v>1900</v>
      </c>
      <c r="D107" t="s">
        <v>179</v>
      </c>
      <c r="E107" s="69">
        <v>44790</v>
      </c>
      <c r="F107" t="s">
        <v>201</v>
      </c>
      <c r="G107" t="s">
        <v>449</v>
      </c>
      <c r="H107">
        <v>14</v>
      </c>
      <c r="I107" s="81">
        <v>44812</v>
      </c>
      <c r="J107">
        <v>2022</v>
      </c>
      <c r="K107" t="s">
        <v>1889</v>
      </c>
      <c r="L107" t="s">
        <v>409</v>
      </c>
      <c r="M107" t="s">
        <v>182</v>
      </c>
      <c r="N107" t="s">
        <v>204</v>
      </c>
      <c r="O107" t="s">
        <v>1868</v>
      </c>
      <c r="P107" s="80">
        <v>0.32369999999999999</v>
      </c>
      <c r="Q107" t="s">
        <v>1869</v>
      </c>
    </row>
    <row r="108" spans="1:17" x14ac:dyDescent="0.6">
      <c r="A108">
        <v>107</v>
      </c>
      <c r="B108" t="s">
        <v>479</v>
      </c>
      <c r="C108">
        <v>1900</v>
      </c>
      <c r="D108" t="s">
        <v>179</v>
      </c>
      <c r="E108" s="69">
        <v>44790</v>
      </c>
      <c r="F108" t="s">
        <v>201</v>
      </c>
      <c r="G108" t="s">
        <v>226</v>
      </c>
      <c r="H108">
        <v>14</v>
      </c>
      <c r="I108" s="81">
        <v>44812</v>
      </c>
      <c r="J108">
        <v>2022</v>
      </c>
      <c r="K108" t="s">
        <v>1889</v>
      </c>
      <c r="L108" t="s">
        <v>409</v>
      </c>
      <c r="M108" t="s">
        <v>182</v>
      </c>
      <c r="N108" t="s">
        <v>204</v>
      </c>
      <c r="O108" t="s">
        <v>1868</v>
      </c>
      <c r="P108" s="80">
        <v>0.2288</v>
      </c>
      <c r="Q108" t="s">
        <v>1869</v>
      </c>
    </row>
    <row r="109" spans="1:17" x14ac:dyDescent="0.6">
      <c r="A109">
        <v>108</v>
      </c>
      <c r="B109" t="s">
        <v>481</v>
      </c>
      <c r="C109">
        <v>1900</v>
      </c>
      <c r="D109" t="s">
        <v>179</v>
      </c>
      <c r="E109" s="69">
        <v>44790</v>
      </c>
      <c r="F109" t="s">
        <v>201</v>
      </c>
      <c r="G109" t="s">
        <v>202</v>
      </c>
      <c r="H109">
        <v>14</v>
      </c>
      <c r="I109" s="81">
        <v>44812</v>
      </c>
      <c r="J109">
        <v>2022</v>
      </c>
      <c r="K109" t="s">
        <v>1889</v>
      </c>
      <c r="L109" t="s">
        <v>409</v>
      </c>
      <c r="M109" t="s">
        <v>182</v>
      </c>
      <c r="N109" t="s">
        <v>204</v>
      </c>
      <c r="O109" t="s">
        <v>1868</v>
      </c>
      <c r="P109" s="80">
        <v>0.1835</v>
      </c>
      <c r="Q109" t="s">
        <v>1869</v>
      </c>
    </row>
    <row r="110" spans="1:17" x14ac:dyDescent="0.6">
      <c r="A110">
        <v>109</v>
      </c>
      <c r="B110" t="s">
        <v>483</v>
      </c>
      <c r="C110">
        <v>1900</v>
      </c>
      <c r="D110" t="s">
        <v>179</v>
      </c>
      <c r="E110" s="69">
        <v>44790</v>
      </c>
      <c r="F110" t="s">
        <v>201</v>
      </c>
      <c r="G110" t="s">
        <v>449</v>
      </c>
      <c r="H110">
        <v>14</v>
      </c>
      <c r="I110" s="81">
        <v>44812</v>
      </c>
      <c r="J110">
        <v>2022</v>
      </c>
      <c r="K110" t="s">
        <v>1889</v>
      </c>
      <c r="L110" t="s">
        <v>409</v>
      </c>
      <c r="M110" t="s">
        <v>182</v>
      </c>
      <c r="N110" t="s">
        <v>204</v>
      </c>
      <c r="O110" t="s">
        <v>1868</v>
      </c>
      <c r="P110" s="80">
        <v>0.44529999999999997</v>
      </c>
      <c r="Q110" t="s">
        <v>1869</v>
      </c>
    </row>
    <row r="111" spans="1:17" x14ac:dyDescent="0.6">
      <c r="A111">
        <v>110</v>
      </c>
      <c r="B111" t="s">
        <v>486</v>
      </c>
      <c r="C111">
        <v>1900</v>
      </c>
      <c r="D111" t="s">
        <v>179</v>
      </c>
      <c r="E111" s="69">
        <v>44790</v>
      </c>
      <c r="F111" t="s">
        <v>201</v>
      </c>
      <c r="G111" t="s">
        <v>202</v>
      </c>
      <c r="H111">
        <v>14</v>
      </c>
      <c r="I111" s="81">
        <v>44812</v>
      </c>
      <c r="J111">
        <v>2022</v>
      </c>
      <c r="K111" t="s">
        <v>1889</v>
      </c>
      <c r="L111" t="s">
        <v>409</v>
      </c>
      <c r="M111" t="s">
        <v>182</v>
      </c>
      <c r="N111" t="s">
        <v>204</v>
      </c>
      <c r="O111" t="s">
        <v>1868</v>
      </c>
      <c r="P111" s="80">
        <v>0.2802</v>
      </c>
      <c r="Q111" t="s">
        <v>1869</v>
      </c>
    </row>
    <row r="112" spans="1:17" x14ac:dyDescent="0.6">
      <c r="A112">
        <v>111</v>
      </c>
      <c r="B112" t="s">
        <v>488</v>
      </c>
      <c r="C112">
        <v>1900</v>
      </c>
      <c r="D112" t="s">
        <v>179</v>
      </c>
      <c r="E112" s="69">
        <v>44790</v>
      </c>
      <c r="F112" t="s">
        <v>201</v>
      </c>
      <c r="G112" t="s">
        <v>202</v>
      </c>
      <c r="H112">
        <v>14</v>
      </c>
      <c r="I112" s="81">
        <v>44812</v>
      </c>
      <c r="J112">
        <v>2022</v>
      </c>
      <c r="K112" t="s">
        <v>1889</v>
      </c>
      <c r="L112" t="s">
        <v>409</v>
      </c>
      <c r="M112" t="s">
        <v>182</v>
      </c>
      <c r="N112" t="s">
        <v>204</v>
      </c>
      <c r="O112" t="s">
        <v>1868</v>
      </c>
      <c r="P112" s="80">
        <v>0.2732</v>
      </c>
      <c r="Q112" t="s">
        <v>1869</v>
      </c>
    </row>
    <row r="113" spans="1:17" x14ac:dyDescent="0.6">
      <c r="A113">
        <v>112</v>
      </c>
      <c r="B113" t="s">
        <v>491</v>
      </c>
      <c r="C113">
        <v>1900</v>
      </c>
      <c r="D113" t="s">
        <v>179</v>
      </c>
      <c r="E113" s="69">
        <v>44790</v>
      </c>
      <c r="F113" t="s">
        <v>201</v>
      </c>
      <c r="G113" t="s">
        <v>449</v>
      </c>
      <c r="H113">
        <v>14</v>
      </c>
      <c r="I113" s="81">
        <v>44812</v>
      </c>
      <c r="J113">
        <v>2022</v>
      </c>
      <c r="K113" t="s">
        <v>1889</v>
      </c>
      <c r="L113" t="s">
        <v>409</v>
      </c>
      <c r="M113" t="s">
        <v>182</v>
      </c>
      <c r="N113" t="s">
        <v>204</v>
      </c>
      <c r="O113" t="s">
        <v>1868</v>
      </c>
      <c r="P113" s="80">
        <v>0.31769999999999998</v>
      </c>
      <c r="Q113" t="s">
        <v>1869</v>
      </c>
    </row>
    <row r="114" spans="1:17" x14ac:dyDescent="0.6">
      <c r="A114">
        <v>113</v>
      </c>
      <c r="B114" t="s">
        <v>494</v>
      </c>
      <c r="C114">
        <v>1900</v>
      </c>
      <c r="D114" t="s">
        <v>179</v>
      </c>
      <c r="E114" s="69">
        <v>44790</v>
      </c>
      <c r="F114" t="s">
        <v>201</v>
      </c>
      <c r="G114" t="s">
        <v>449</v>
      </c>
      <c r="H114">
        <v>14</v>
      </c>
      <c r="I114" s="81">
        <v>44812</v>
      </c>
      <c r="J114">
        <v>2022</v>
      </c>
      <c r="K114" t="s">
        <v>1889</v>
      </c>
      <c r="L114" t="s">
        <v>409</v>
      </c>
      <c r="M114" t="s">
        <v>182</v>
      </c>
      <c r="N114" t="s">
        <v>204</v>
      </c>
      <c r="O114" t="s">
        <v>1868</v>
      </c>
      <c r="P114" s="80">
        <v>0.34820000000000001</v>
      </c>
      <c r="Q114" t="s">
        <v>1869</v>
      </c>
    </row>
    <row r="115" spans="1:17" x14ac:dyDescent="0.6">
      <c r="A115">
        <v>114</v>
      </c>
      <c r="B115" t="s">
        <v>497</v>
      </c>
      <c r="C115">
        <v>1700</v>
      </c>
      <c r="D115" t="s">
        <v>498</v>
      </c>
      <c r="E115" s="69">
        <v>45211</v>
      </c>
      <c r="F115" t="s">
        <v>201</v>
      </c>
      <c r="G115" t="s">
        <v>226</v>
      </c>
      <c r="H115">
        <v>15</v>
      </c>
      <c r="I115" s="76" t="s">
        <v>1890</v>
      </c>
      <c r="J115">
        <v>2023</v>
      </c>
      <c r="K115" s="69">
        <v>45056</v>
      </c>
      <c r="L115" t="s">
        <v>499</v>
      </c>
      <c r="M115" t="s">
        <v>182</v>
      </c>
      <c r="N115" t="s">
        <v>204</v>
      </c>
      <c r="O115" t="s">
        <v>1868</v>
      </c>
      <c r="P115" s="80">
        <v>0.19670000000000001</v>
      </c>
      <c r="Q115" t="s">
        <v>1869</v>
      </c>
    </row>
    <row r="116" spans="1:17" x14ac:dyDescent="0.6">
      <c r="A116">
        <v>115</v>
      </c>
      <c r="B116" t="s">
        <v>502</v>
      </c>
      <c r="C116">
        <v>1700</v>
      </c>
      <c r="D116" t="s">
        <v>498</v>
      </c>
      <c r="E116" s="69">
        <v>45211</v>
      </c>
      <c r="F116" t="s">
        <v>201</v>
      </c>
      <c r="G116" t="s">
        <v>226</v>
      </c>
      <c r="H116">
        <v>15</v>
      </c>
      <c r="I116" s="81">
        <v>45211</v>
      </c>
      <c r="J116">
        <v>2023</v>
      </c>
      <c r="K116" t="s">
        <v>1891</v>
      </c>
      <c r="L116" t="s">
        <v>499</v>
      </c>
      <c r="M116" t="s">
        <v>182</v>
      </c>
      <c r="N116" t="s">
        <v>204</v>
      </c>
      <c r="O116" t="s">
        <v>1868</v>
      </c>
      <c r="P116" s="80">
        <v>0.19650000000000001</v>
      </c>
      <c r="Q116" t="s">
        <v>1869</v>
      </c>
    </row>
    <row r="117" spans="1:17" x14ac:dyDescent="0.6">
      <c r="A117">
        <v>116</v>
      </c>
      <c r="B117" t="s">
        <v>505</v>
      </c>
      <c r="C117">
        <v>1700</v>
      </c>
      <c r="D117" t="s">
        <v>498</v>
      </c>
      <c r="E117" s="69">
        <v>45211</v>
      </c>
      <c r="F117" t="s">
        <v>201</v>
      </c>
      <c r="G117" t="s">
        <v>202</v>
      </c>
      <c r="H117">
        <v>15</v>
      </c>
      <c r="I117" s="76" t="s">
        <v>1892</v>
      </c>
      <c r="J117">
        <v>2023</v>
      </c>
      <c r="K117" s="69">
        <v>44995</v>
      </c>
      <c r="L117" t="s">
        <v>499</v>
      </c>
      <c r="M117" t="s">
        <v>182</v>
      </c>
      <c r="N117" t="s">
        <v>204</v>
      </c>
      <c r="O117" t="s">
        <v>1868</v>
      </c>
      <c r="P117" s="80">
        <v>0</v>
      </c>
      <c r="Q117" t="s">
        <v>1893</v>
      </c>
    </row>
    <row r="118" spans="1:17" x14ac:dyDescent="0.6">
      <c r="A118">
        <v>117</v>
      </c>
      <c r="B118" t="s">
        <v>510</v>
      </c>
      <c r="C118">
        <v>1700</v>
      </c>
      <c r="D118" t="s">
        <v>498</v>
      </c>
      <c r="E118" s="69">
        <v>45211</v>
      </c>
      <c r="F118" t="s">
        <v>201</v>
      </c>
      <c r="G118" t="s">
        <v>202</v>
      </c>
      <c r="H118">
        <v>15</v>
      </c>
      <c r="I118" s="76" t="s">
        <v>1892</v>
      </c>
      <c r="J118">
        <v>2023</v>
      </c>
      <c r="K118" s="69">
        <v>44995</v>
      </c>
      <c r="L118" t="s">
        <v>499</v>
      </c>
      <c r="M118" t="s">
        <v>182</v>
      </c>
      <c r="N118" t="s">
        <v>204</v>
      </c>
      <c r="O118" t="s">
        <v>1868</v>
      </c>
      <c r="P118" s="80">
        <v>0.29149999999999998</v>
      </c>
      <c r="Q118" t="s">
        <v>1869</v>
      </c>
    </row>
    <row r="119" spans="1:17" x14ac:dyDescent="0.6">
      <c r="A119">
        <v>118</v>
      </c>
      <c r="B119" t="s">
        <v>514</v>
      </c>
      <c r="C119">
        <v>1700</v>
      </c>
      <c r="D119" t="s">
        <v>498</v>
      </c>
      <c r="E119" s="69">
        <v>45211</v>
      </c>
      <c r="F119" t="s">
        <v>201</v>
      </c>
      <c r="G119" t="s">
        <v>226</v>
      </c>
      <c r="H119">
        <v>15</v>
      </c>
      <c r="I119" s="76" t="s">
        <v>1892</v>
      </c>
      <c r="J119">
        <v>2023</v>
      </c>
      <c r="K119" s="69">
        <v>44995</v>
      </c>
      <c r="L119" t="s">
        <v>499</v>
      </c>
      <c r="M119" t="s">
        <v>182</v>
      </c>
      <c r="N119" t="s">
        <v>204</v>
      </c>
      <c r="O119" t="s">
        <v>1868</v>
      </c>
      <c r="P119" s="80">
        <v>0.2306</v>
      </c>
      <c r="Q119" t="s">
        <v>1869</v>
      </c>
    </row>
    <row r="120" spans="1:17" x14ac:dyDescent="0.6">
      <c r="A120">
        <v>119</v>
      </c>
      <c r="B120" t="s">
        <v>517</v>
      </c>
      <c r="C120">
        <v>1700</v>
      </c>
      <c r="D120" t="s">
        <v>498</v>
      </c>
      <c r="E120" s="69">
        <v>45211</v>
      </c>
      <c r="F120" t="s">
        <v>201</v>
      </c>
      <c r="G120" t="s">
        <v>226</v>
      </c>
      <c r="H120">
        <v>15</v>
      </c>
      <c r="I120" s="76" t="s">
        <v>1892</v>
      </c>
      <c r="J120">
        <v>2023</v>
      </c>
      <c r="K120" s="69">
        <v>44995</v>
      </c>
      <c r="L120" t="s">
        <v>499</v>
      </c>
      <c r="M120" t="s">
        <v>182</v>
      </c>
      <c r="N120" t="s">
        <v>204</v>
      </c>
      <c r="O120" t="s">
        <v>1868</v>
      </c>
      <c r="P120" s="80">
        <v>0.26340000000000002</v>
      </c>
      <c r="Q120" t="s">
        <v>1869</v>
      </c>
    </row>
    <row r="121" spans="1:17" x14ac:dyDescent="0.6">
      <c r="A121">
        <v>120</v>
      </c>
      <c r="B121" t="s">
        <v>520</v>
      </c>
      <c r="C121">
        <v>1700</v>
      </c>
      <c r="D121" t="s">
        <v>498</v>
      </c>
      <c r="E121" s="69">
        <v>45211</v>
      </c>
      <c r="F121" t="s">
        <v>201</v>
      </c>
      <c r="G121" t="s">
        <v>202</v>
      </c>
      <c r="H121">
        <v>15</v>
      </c>
      <c r="I121" s="76" t="s">
        <v>1892</v>
      </c>
      <c r="J121">
        <v>2023</v>
      </c>
      <c r="K121" s="69">
        <v>44995</v>
      </c>
      <c r="L121" t="s">
        <v>499</v>
      </c>
      <c r="M121" t="s">
        <v>182</v>
      </c>
      <c r="N121" t="s">
        <v>204</v>
      </c>
      <c r="O121" t="s">
        <v>1868</v>
      </c>
      <c r="P121" s="80">
        <v>0.42070000000000002</v>
      </c>
      <c r="Q121" t="s">
        <v>1869</v>
      </c>
    </row>
    <row r="122" spans="1:17" x14ac:dyDescent="0.6">
      <c r="A122">
        <v>121</v>
      </c>
      <c r="B122" t="s">
        <v>522</v>
      </c>
      <c r="C122">
        <v>1700</v>
      </c>
      <c r="D122" t="s">
        <v>498</v>
      </c>
      <c r="E122" s="69">
        <v>45211</v>
      </c>
      <c r="F122" t="s">
        <v>201</v>
      </c>
      <c r="G122" t="s">
        <v>226</v>
      </c>
      <c r="H122">
        <v>15</v>
      </c>
      <c r="I122" s="76" t="s">
        <v>1890</v>
      </c>
      <c r="J122">
        <v>2023</v>
      </c>
      <c r="K122" s="69">
        <v>45056</v>
      </c>
      <c r="L122" t="s">
        <v>499</v>
      </c>
      <c r="M122" t="s">
        <v>182</v>
      </c>
      <c r="N122" t="s">
        <v>204</v>
      </c>
      <c r="O122" t="s">
        <v>1868</v>
      </c>
      <c r="P122" s="80">
        <v>0.21360000000000001</v>
      </c>
      <c r="Q122" t="s">
        <v>1869</v>
      </c>
    </row>
    <row r="123" spans="1:17" x14ac:dyDescent="0.6">
      <c r="A123">
        <v>122</v>
      </c>
      <c r="B123" t="s">
        <v>525</v>
      </c>
      <c r="C123">
        <v>1700</v>
      </c>
      <c r="D123" t="s">
        <v>498</v>
      </c>
      <c r="E123" s="69">
        <v>45211</v>
      </c>
      <c r="F123" t="s">
        <v>201</v>
      </c>
      <c r="G123" t="s">
        <v>202</v>
      </c>
      <c r="H123">
        <v>15</v>
      </c>
      <c r="I123" s="76" t="s">
        <v>1890</v>
      </c>
      <c r="J123">
        <v>2023</v>
      </c>
      <c r="K123" s="69">
        <v>45056</v>
      </c>
      <c r="L123" t="s">
        <v>499</v>
      </c>
      <c r="M123" t="s">
        <v>182</v>
      </c>
      <c r="N123" t="s">
        <v>204</v>
      </c>
      <c r="O123" t="s">
        <v>1868</v>
      </c>
      <c r="P123" s="80">
        <v>0.2883</v>
      </c>
      <c r="Q123" t="s">
        <v>1869</v>
      </c>
    </row>
    <row r="124" spans="1:17" x14ac:dyDescent="0.6">
      <c r="A124">
        <v>123</v>
      </c>
      <c r="B124" t="s">
        <v>529</v>
      </c>
      <c r="C124">
        <v>1700</v>
      </c>
      <c r="D124" t="s">
        <v>498</v>
      </c>
      <c r="E124" s="69">
        <v>45211</v>
      </c>
      <c r="F124" t="s">
        <v>201</v>
      </c>
      <c r="G124" t="s">
        <v>202</v>
      </c>
      <c r="H124">
        <v>15</v>
      </c>
      <c r="I124" s="76" t="s">
        <v>1894</v>
      </c>
      <c r="J124">
        <v>2023</v>
      </c>
      <c r="K124" s="69">
        <v>45026</v>
      </c>
      <c r="L124" t="s">
        <v>499</v>
      </c>
      <c r="M124" t="s">
        <v>182</v>
      </c>
      <c r="N124" t="s">
        <v>204</v>
      </c>
      <c r="O124" t="s">
        <v>1868</v>
      </c>
      <c r="P124" s="80">
        <v>0.2823</v>
      </c>
      <c r="Q124" t="s">
        <v>1869</v>
      </c>
    </row>
    <row r="125" spans="1:17" x14ac:dyDescent="0.6">
      <c r="A125">
        <v>124</v>
      </c>
      <c r="B125" t="s">
        <v>533</v>
      </c>
      <c r="C125">
        <v>1700</v>
      </c>
      <c r="D125" t="s">
        <v>498</v>
      </c>
      <c r="E125" s="69">
        <v>45211</v>
      </c>
      <c r="F125" t="s">
        <v>201</v>
      </c>
      <c r="G125" t="s">
        <v>202</v>
      </c>
      <c r="H125">
        <v>15</v>
      </c>
      <c r="I125" s="76" t="s">
        <v>1890</v>
      </c>
      <c r="J125">
        <v>2023</v>
      </c>
      <c r="K125" s="69">
        <v>45056</v>
      </c>
      <c r="L125" t="s">
        <v>499</v>
      </c>
      <c r="M125" t="s">
        <v>182</v>
      </c>
      <c r="N125" t="s">
        <v>204</v>
      </c>
      <c r="O125" t="s">
        <v>1868</v>
      </c>
      <c r="P125" s="80">
        <v>0.3639</v>
      </c>
      <c r="Q125" t="s">
        <v>1869</v>
      </c>
    </row>
    <row r="126" spans="1:17" x14ac:dyDescent="0.6">
      <c r="A126">
        <v>125</v>
      </c>
      <c r="B126" t="s">
        <v>537</v>
      </c>
      <c r="C126">
        <v>1700</v>
      </c>
      <c r="D126" t="s">
        <v>498</v>
      </c>
      <c r="E126" s="69">
        <v>45211</v>
      </c>
      <c r="F126" t="s">
        <v>201</v>
      </c>
      <c r="G126" t="s">
        <v>202</v>
      </c>
      <c r="H126">
        <v>15</v>
      </c>
      <c r="I126" s="76" t="s">
        <v>1890</v>
      </c>
      <c r="J126">
        <v>2023</v>
      </c>
      <c r="K126" s="69">
        <v>45056</v>
      </c>
      <c r="L126" t="s">
        <v>499</v>
      </c>
      <c r="M126" t="s">
        <v>182</v>
      </c>
      <c r="N126" t="s">
        <v>204</v>
      </c>
      <c r="O126" t="s">
        <v>1868</v>
      </c>
      <c r="P126" s="80">
        <v>0.1389</v>
      </c>
      <c r="Q126" t="s">
        <v>1869</v>
      </c>
    </row>
    <row r="127" spans="1:17" x14ac:dyDescent="0.6">
      <c r="A127">
        <v>126</v>
      </c>
      <c r="B127" t="s">
        <v>541</v>
      </c>
      <c r="C127">
        <v>1700</v>
      </c>
      <c r="D127" t="s">
        <v>498</v>
      </c>
      <c r="E127" s="69">
        <v>45211</v>
      </c>
      <c r="F127" t="s">
        <v>201</v>
      </c>
      <c r="G127" t="s">
        <v>226</v>
      </c>
      <c r="H127">
        <v>15</v>
      </c>
      <c r="I127" s="76" t="s">
        <v>1895</v>
      </c>
      <c r="J127">
        <v>2023</v>
      </c>
      <c r="K127" s="69">
        <v>45209</v>
      </c>
      <c r="L127" t="s">
        <v>499</v>
      </c>
      <c r="M127" t="s">
        <v>182</v>
      </c>
      <c r="N127" t="s">
        <v>204</v>
      </c>
      <c r="O127" t="s">
        <v>1868</v>
      </c>
      <c r="P127" s="80">
        <v>0.21870000000000001</v>
      </c>
      <c r="Q127" t="s">
        <v>1869</v>
      </c>
    </row>
    <row r="128" spans="1:17" x14ac:dyDescent="0.6">
      <c r="A128">
        <v>127</v>
      </c>
      <c r="B128" t="s">
        <v>544</v>
      </c>
      <c r="C128">
        <v>1700</v>
      </c>
      <c r="D128" t="s">
        <v>498</v>
      </c>
      <c r="E128" s="69">
        <v>45211</v>
      </c>
      <c r="F128" t="s">
        <v>201</v>
      </c>
      <c r="G128" t="s">
        <v>202</v>
      </c>
      <c r="H128">
        <v>15</v>
      </c>
      <c r="I128" s="81">
        <v>45211</v>
      </c>
      <c r="J128">
        <v>2023</v>
      </c>
      <c r="K128" t="s">
        <v>1891</v>
      </c>
      <c r="L128" t="s">
        <v>499</v>
      </c>
      <c r="M128" t="s">
        <v>182</v>
      </c>
      <c r="N128" t="s">
        <v>204</v>
      </c>
      <c r="O128" t="s">
        <v>1868</v>
      </c>
      <c r="P128" s="80">
        <v>0.25430000000000003</v>
      </c>
      <c r="Q128" t="s">
        <v>1869</v>
      </c>
    </row>
    <row r="129" spans="1:17" x14ac:dyDescent="0.6">
      <c r="A129">
        <v>128</v>
      </c>
      <c r="B129" t="s">
        <v>548</v>
      </c>
      <c r="C129">
        <v>1700</v>
      </c>
      <c r="D129" t="s">
        <v>498</v>
      </c>
      <c r="E129" s="69">
        <v>45211</v>
      </c>
      <c r="F129" t="s">
        <v>201</v>
      </c>
      <c r="G129" t="s">
        <v>202</v>
      </c>
      <c r="H129">
        <v>15</v>
      </c>
      <c r="I129" s="76" t="s">
        <v>1890</v>
      </c>
      <c r="J129">
        <v>2023</v>
      </c>
      <c r="K129" s="69">
        <v>45056</v>
      </c>
      <c r="L129" t="s">
        <v>499</v>
      </c>
      <c r="M129" t="s">
        <v>182</v>
      </c>
      <c r="N129" t="s">
        <v>204</v>
      </c>
      <c r="O129" t="s">
        <v>1868</v>
      </c>
      <c r="P129" s="80">
        <v>0.46029999999999999</v>
      </c>
      <c r="Q129" t="s">
        <v>1869</v>
      </c>
    </row>
    <row r="130" spans="1:17" x14ac:dyDescent="0.6">
      <c r="A130">
        <v>129</v>
      </c>
      <c r="B130" t="s">
        <v>551</v>
      </c>
      <c r="C130">
        <v>1700</v>
      </c>
      <c r="D130" t="s">
        <v>498</v>
      </c>
      <c r="E130" s="69">
        <v>45211</v>
      </c>
      <c r="F130" t="s">
        <v>201</v>
      </c>
      <c r="G130" t="s">
        <v>202</v>
      </c>
      <c r="H130">
        <v>15</v>
      </c>
      <c r="I130" s="76" t="s">
        <v>1890</v>
      </c>
      <c r="J130">
        <v>2023</v>
      </c>
      <c r="K130" s="69">
        <v>45056</v>
      </c>
      <c r="L130" t="s">
        <v>499</v>
      </c>
      <c r="M130" t="s">
        <v>182</v>
      </c>
      <c r="N130" t="s">
        <v>204</v>
      </c>
      <c r="O130" t="s">
        <v>1868</v>
      </c>
      <c r="P130" s="80">
        <v>0.31269999999999998</v>
      </c>
      <c r="Q130" t="s">
        <v>1869</v>
      </c>
    </row>
    <row r="131" spans="1:17" x14ac:dyDescent="0.6">
      <c r="A131">
        <v>130</v>
      </c>
      <c r="B131" t="s">
        <v>554</v>
      </c>
      <c r="C131">
        <v>1700</v>
      </c>
      <c r="D131" t="s">
        <v>498</v>
      </c>
      <c r="E131" s="69">
        <v>45211</v>
      </c>
      <c r="F131" t="s">
        <v>201</v>
      </c>
      <c r="G131" t="s">
        <v>226</v>
      </c>
      <c r="H131">
        <v>15</v>
      </c>
      <c r="I131" s="76" t="s">
        <v>1890</v>
      </c>
      <c r="J131">
        <v>2023</v>
      </c>
      <c r="K131" s="69">
        <v>45056</v>
      </c>
      <c r="L131" t="s">
        <v>499</v>
      </c>
      <c r="M131" t="s">
        <v>182</v>
      </c>
      <c r="N131" t="s">
        <v>204</v>
      </c>
      <c r="O131" t="s">
        <v>1868</v>
      </c>
      <c r="P131" s="80">
        <v>0.27589999999999998</v>
      </c>
      <c r="Q131" t="s">
        <v>1869</v>
      </c>
    </row>
    <row r="132" spans="1:17" x14ac:dyDescent="0.6">
      <c r="A132">
        <v>131</v>
      </c>
      <c r="B132" t="s">
        <v>556</v>
      </c>
      <c r="C132">
        <v>1700</v>
      </c>
      <c r="D132" t="s">
        <v>498</v>
      </c>
      <c r="E132" s="69">
        <v>45211</v>
      </c>
      <c r="F132" t="s">
        <v>201</v>
      </c>
      <c r="G132" t="s">
        <v>449</v>
      </c>
      <c r="H132">
        <v>15</v>
      </c>
      <c r="I132" s="76" t="s">
        <v>1892</v>
      </c>
      <c r="J132">
        <v>2023</v>
      </c>
      <c r="K132" s="69">
        <v>44995</v>
      </c>
      <c r="L132" t="s">
        <v>499</v>
      </c>
      <c r="M132" t="s">
        <v>182</v>
      </c>
      <c r="N132" t="s">
        <v>204</v>
      </c>
      <c r="O132" t="s">
        <v>1868</v>
      </c>
      <c r="P132" s="80">
        <v>0.42080000000000001</v>
      </c>
      <c r="Q132" t="s">
        <v>1869</v>
      </c>
    </row>
    <row r="133" spans="1:17" x14ac:dyDescent="0.6">
      <c r="A133">
        <v>132</v>
      </c>
      <c r="B133" t="s">
        <v>560</v>
      </c>
      <c r="C133">
        <v>1700</v>
      </c>
      <c r="D133" t="s">
        <v>498</v>
      </c>
      <c r="E133" s="69">
        <v>45211</v>
      </c>
      <c r="F133" t="s">
        <v>201</v>
      </c>
      <c r="G133" t="s">
        <v>449</v>
      </c>
      <c r="H133">
        <v>15</v>
      </c>
      <c r="I133" s="76" t="s">
        <v>1892</v>
      </c>
      <c r="J133">
        <v>2023</v>
      </c>
      <c r="K133" s="69">
        <v>44995</v>
      </c>
      <c r="L133" t="s">
        <v>499</v>
      </c>
      <c r="M133" t="s">
        <v>182</v>
      </c>
      <c r="N133" t="s">
        <v>204</v>
      </c>
      <c r="O133" t="s">
        <v>1868</v>
      </c>
      <c r="P133" s="80">
        <v>0.33329999999999999</v>
      </c>
      <c r="Q133" t="s">
        <v>1869</v>
      </c>
    </row>
    <row r="134" spans="1:17" x14ac:dyDescent="0.6">
      <c r="A134">
        <v>133</v>
      </c>
      <c r="B134" t="s">
        <v>564</v>
      </c>
      <c r="C134">
        <v>1700</v>
      </c>
      <c r="D134" t="s">
        <v>498</v>
      </c>
      <c r="E134" s="69">
        <v>45211</v>
      </c>
      <c r="F134" t="s">
        <v>201</v>
      </c>
      <c r="G134" t="s">
        <v>449</v>
      </c>
      <c r="H134">
        <v>15</v>
      </c>
      <c r="I134" s="76" t="s">
        <v>1892</v>
      </c>
      <c r="J134">
        <v>2023</v>
      </c>
      <c r="K134" s="69">
        <v>44995</v>
      </c>
      <c r="L134" t="s">
        <v>499</v>
      </c>
      <c r="M134" t="s">
        <v>182</v>
      </c>
      <c r="N134" t="s">
        <v>204</v>
      </c>
      <c r="O134" t="s">
        <v>1868</v>
      </c>
      <c r="P134" s="80">
        <v>0.42349999999999999</v>
      </c>
      <c r="Q134" t="s">
        <v>1869</v>
      </c>
    </row>
    <row r="135" spans="1:17" x14ac:dyDescent="0.6">
      <c r="A135">
        <v>134</v>
      </c>
      <c r="B135" t="s">
        <v>568</v>
      </c>
      <c r="C135">
        <v>950</v>
      </c>
      <c r="D135" t="s">
        <v>569</v>
      </c>
      <c r="E135" s="69">
        <v>45586</v>
      </c>
      <c r="F135" t="s">
        <v>201</v>
      </c>
      <c r="G135" t="s">
        <v>202</v>
      </c>
      <c r="H135">
        <v>13</v>
      </c>
      <c r="I135" s="76" t="s">
        <v>1896</v>
      </c>
      <c r="J135">
        <v>2024</v>
      </c>
      <c r="K135" t="s">
        <v>1897</v>
      </c>
      <c r="L135" t="s">
        <v>570</v>
      </c>
      <c r="M135" t="s">
        <v>571</v>
      </c>
      <c r="N135" t="s">
        <v>204</v>
      </c>
      <c r="O135" t="s">
        <v>1553</v>
      </c>
      <c r="P135" s="80">
        <v>0.2157</v>
      </c>
      <c r="Q135" t="s">
        <v>1869</v>
      </c>
    </row>
    <row r="136" spans="1:17" x14ac:dyDescent="0.6">
      <c r="A136">
        <v>135</v>
      </c>
      <c r="B136" t="s">
        <v>574</v>
      </c>
      <c r="C136">
        <v>950</v>
      </c>
      <c r="D136" t="s">
        <v>569</v>
      </c>
      <c r="E136" s="69">
        <v>45586</v>
      </c>
      <c r="F136" t="s">
        <v>201</v>
      </c>
      <c r="G136" t="s">
        <v>202</v>
      </c>
      <c r="H136">
        <v>13</v>
      </c>
      <c r="I136" s="76" t="s">
        <v>1896</v>
      </c>
      <c r="J136">
        <v>2024</v>
      </c>
      <c r="K136" t="s">
        <v>1897</v>
      </c>
      <c r="L136" t="s">
        <v>570</v>
      </c>
      <c r="M136" t="s">
        <v>571</v>
      </c>
      <c r="N136" t="s">
        <v>204</v>
      </c>
      <c r="O136" t="s">
        <v>1553</v>
      </c>
      <c r="P136" s="80">
        <v>0.1009</v>
      </c>
      <c r="Q136" t="s">
        <v>1869</v>
      </c>
    </row>
    <row r="137" spans="1:17" x14ac:dyDescent="0.6">
      <c r="A137">
        <v>136</v>
      </c>
      <c r="B137" t="s">
        <v>578</v>
      </c>
      <c r="C137">
        <v>950</v>
      </c>
      <c r="D137" t="s">
        <v>569</v>
      </c>
      <c r="E137" s="69">
        <v>45586</v>
      </c>
      <c r="F137" t="s">
        <v>201</v>
      </c>
      <c r="G137" t="s">
        <v>202</v>
      </c>
      <c r="H137">
        <v>13</v>
      </c>
      <c r="I137" s="76" t="s">
        <v>1896</v>
      </c>
      <c r="J137">
        <v>2024</v>
      </c>
      <c r="K137" t="s">
        <v>1897</v>
      </c>
      <c r="L137" t="s">
        <v>570</v>
      </c>
      <c r="M137" t="s">
        <v>571</v>
      </c>
      <c r="N137" t="s">
        <v>204</v>
      </c>
      <c r="O137" t="s">
        <v>1553</v>
      </c>
      <c r="P137" s="80">
        <v>0.13100000000000001</v>
      </c>
      <c r="Q137" t="s">
        <v>1869</v>
      </c>
    </row>
    <row r="138" spans="1:17" x14ac:dyDescent="0.6">
      <c r="A138">
        <v>137</v>
      </c>
      <c r="B138" t="s">
        <v>581</v>
      </c>
      <c r="C138">
        <v>1800</v>
      </c>
      <c r="D138" t="s">
        <v>582</v>
      </c>
      <c r="E138" s="69">
        <v>45597</v>
      </c>
      <c r="F138" t="s">
        <v>180</v>
      </c>
      <c r="G138" t="s">
        <v>180</v>
      </c>
      <c r="H138">
        <v>11</v>
      </c>
      <c r="I138" s="76" t="s">
        <v>1898</v>
      </c>
      <c r="J138">
        <v>2024</v>
      </c>
      <c r="K138" t="s">
        <v>1896</v>
      </c>
      <c r="L138" t="s">
        <v>570</v>
      </c>
      <c r="M138" t="s">
        <v>571</v>
      </c>
      <c r="N138" t="s">
        <v>204</v>
      </c>
      <c r="O138" t="s">
        <v>1868</v>
      </c>
      <c r="P138" s="80">
        <v>0.25369999999999998</v>
      </c>
      <c r="Q138" t="s">
        <v>1869</v>
      </c>
    </row>
    <row r="139" spans="1:17" x14ac:dyDescent="0.6">
      <c r="A139">
        <v>138</v>
      </c>
      <c r="B139" t="s">
        <v>583</v>
      </c>
      <c r="C139">
        <v>1800</v>
      </c>
      <c r="D139" t="s">
        <v>582</v>
      </c>
      <c r="E139" s="69">
        <v>45597</v>
      </c>
      <c r="F139" t="s">
        <v>180</v>
      </c>
      <c r="G139" t="s">
        <v>180</v>
      </c>
      <c r="H139">
        <v>11</v>
      </c>
      <c r="I139" s="76" t="s">
        <v>1898</v>
      </c>
      <c r="J139">
        <v>2024</v>
      </c>
      <c r="K139" t="s">
        <v>1896</v>
      </c>
      <c r="L139" t="s">
        <v>570</v>
      </c>
      <c r="M139" t="s">
        <v>571</v>
      </c>
      <c r="N139" t="s">
        <v>204</v>
      </c>
      <c r="O139" t="s">
        <v>1868</v>
      </c>
      <c r="P139" s="80">
        <v>0.23569999999999999</v>
      </c>
      <c r="Q139" t="s">
        <v>1869</v>
      </c>
    </row>
    <row r="140" spans="1:17" x14ac:dyDescent="0.6">
      <c r="A140">
        <v>139</v>
      </c>
      <c r="B140" t="s">
        <v>584</v>
      </c>
      <c r="C140">
        <v>1800</v>
      </c>
      <c r="D140" t="s">
        <v>582</v>
      </c>
      <c r="E140" s="69">
        <v>45597</v>
      </c>
      <c r="F140" t="s">
        <v>180</v>
      </c>
      <c r="G140" t="s">
        <v>180</v>
      </c>
      <c r="H140">
        <v>11</v>
      </c>
      <c r="I140" s="76" t="s">
        <v>1898</v>
      </c>
      <c r="J140">
        <v>2024</v>
      </c>
      <c r="K140" t="s">
        <v>1896</v>
      </c>
      <c r="L140" t="s">
        <v>570</v>
      </c>
      <c r="M140" t="s">
        <v>571</v>
      </c>
      <c r="N140" t="s">
        <v>204</v>
      </c>
      <c r="O140" t="s">
        <v>1868</v>
      </c>
      <c r="P140" s="80">
        <v>0.27310000000000001</v>
      </c>
      <c r="Q140" t="s">
        <v>1869</v>
      </c>
    </row>
    <row r="141" spans="1:17" x14ac:dyDescent="0.6">
      <c r="A141">
        <v>140</v>
      </c>
      <c r="B141" t="s">
        <v>585</v>
      </c>
      <c r="C141">
        <v>1800</v>
      </c>
      <c r="D141" t="s">
        <v>582</v>
      </c>
      <c r="E141" s="69">
        <v>45597</v>
      </c>
      <c r="F141" t="s">
        <v>180</v>
      </c>
      <c r="G141" t="s">
        <v>180</v>
      </c>
      <c r="H141">
        <v>11</v>
      </c>
      <c r="I141" s="81">
        <v>45332</v>
      </c>
      <c r="J141">
        <v>2024</v>
      </c>
      <c r="K141" t="s">
        <v>1899</v>
      </c>
      <c r="L141" t="s">
        <v>570</v>
      </c>
      <c r="M141" t="s">
        <v>571</v>
      </c>
      <c r="N141" t="s">
        <v>204</v>
      </c>
      <c r="O141" t="s">
        <v>1868</v>
      </c>
      <c r="P141" s="80">
        <v>0.2364</v>
      </c>
      <c r="Q141" t="s">
        <v>1869</v>
      </c>
    </row>
    <row r="142" spans="1:17" x14ac:dyDescent="0.6">
      <c r="A142">
        <v>141</v>
      </c>
      <c r="B142" t="s">
        <v>586</v>
      </c>
      <c r="C142">
        <v>1900</v>
      </c>
      <c r="D142" t="s">
        <v>179</v>
      </c>
      <c r="E142" s="69">
        <v>45758</v>
      </c>
      <c r="F142" t="s">
        <v>201</v>
      </c>
      <c r="G142" t="s">
        <v>202</v>
      </c>
      <c r="H142">
        <v>15.5</v>
      </c>
      <c r="I142" s="81">
        <v>45873</v>
      </c>
      <c r="J142">
        <v>2025</v>
      </c>
      <c r="K142" t="s">
        <v>1900</v>
      </c>
      <c r="L142" t="s">
        <v>654</v>
      </c>
      <c r="M142" t="s">
        <v>571</v>
      </c>
      <c r="N142" t="s">
        <v>204</v>
      </c>
      <c r="O142" t="s">
        <v>1868</v>
      </c>
      <c r="P142" s="80">
        <v>0.15840000000000001</v>
      </c>
      <c r="Q142" t="s">
        <v>1869</v>
      </c>
    </row>
    <row r="143" spans="1:17" x14ac:dyDescent="0.6">
      <c r="A143">
        <v>142</v>
      </c>
      <c r="B143" t="s">
        <v>589</v>
      </c>
      <c r="C143">
        <v>1900</v>
      </c>
      <c r="D143" t="s">
        <v>179</v>
      </c>
      <c r="E143" s="69">
        <v>45758</v>
      </c>
      <c r="F143" t="s">
        <v>201</v>
      </c>
      <c r="G143" t="s">
        <v>202</v>
      </c>
      <c r="H143">
        <v>15.5</v>
      </c>
      <c r="I143" s="81">
        <v>45873</v>
      </c>
      <c r="J143">
        <v>2025</v>
      </c>
      <c r="K143" t="s">
        <v>1900</v>
      </c>
      <c r="L143" t="s">
        <v>654</v>
      </c>
      <c r="M143" t="s">
        <v>571</v>
      </c>
      <c r="N143" t="s">
        <v>204</v>
      </c>
      <c r="O143" t="s">
        <v>1868</v>
      </c>
      <c r="P143" s="80">
        <v>0.27229999999999999</v>
      </c>
      <c r="Q143" t="s">
        <v>1869</v>
      </c>
    </row>
    <row r="144" spans="1:17" x14ac:dyDescent="0.6">
      <c r="A144">
        <v>143</v>
      </c>
      <c r="B144" t="s">
        <v>592</v>
      </c>
      <c r="C144">
        <v>1900</v>
      </c>
      <c r="D144" t="s">
        <v>179</v>
      </c>
      <c r="E144" s="69">
        <v>45758</v>
      </c>
      <c r="F144" t="s">
        <v>201</v>
      </c>
      <c r="G144" t="s">
        <v>202</v>
      </c>
      <c r="H144">
        <v>15.5</v>
      </c>
      <c r="I144" s="81">
        <v>45873</v>
      </c>
      <c r="J144">
        <v>2025</v>
      </c>
      <c r="K144" t="s">
        <v>1900</v>
      </c>
      <c r="L144" t="s">
        <v>654</v>
      </c>
      <c r="M144" t="s">
        <v>571</v>
      </c>
      <c r="N144" t="s">
        <v>204</v>
      </c>
      <c r="O144" t="s">
        <v>1868</v>
      </c>
      <c r="P144" s="80">
        <v>0.22739999999999999</v>
      </c>
      <c r="Q144" t="s">
        <v>1869</v>
      </c>
    </row>
    <row r="145" spans="1:17" x14ac:dyDescent="0.6">
      <c r="A145">
        <v>144</v>
      </c>
      <c r="B145" t="s">
        <v>596</v>
      </c>
      <c r="C145">
        <v>1900</v>
      </c>
      <c r="D145" t="s">
        <v>179</v>
      </c>
      <c r="E145" s="69">
        <v>45758</v>
      </c>
      <c r="F145" t="s">
        <v>201</v>
      </c>
      <c r="G145" t="s">
        <v>202</v>
      </c>
      <c r="H145">
        <v>15.5</v>
      </c>
      <c r="I145" s="81">
        <v>45873</v>
      </c>
      <c r="J145">
        <v>2025</v>
      </c>
      <c r="K145" t="s">
        <v>1900</v>
      </c>
      <c r="L145" t="s">
        <v>654</v>
      </c>
      <c r="M145" t="s">
        <v>571</v>
      </c>
      <c r="N145" t="s">
        <v>204</v>
      </c>
      <c r="O145" t="s">
        <v>1868</v>
      </c>
      <c r="P145" s="80">
        <v>0.1565</v>
      </c>
      <c r="Q145" t="s">
        <v>1869</v>
      </c>
    </row>
    <row r="146" spans="1:17" x14ac:dyDescent="0.6">
      <c r="A146">
        <v>145</v>
      </c>
      <c r="B146" t="s">
        <v>599</v>
      </c>
      <c r="C146">
        <v>1900</v>
      </c>
      <c r="D146" t="s">
        <v>179</v>
      </c>
      <c r="E146" s="69">
        <v>45758</v>
      </c>
      <c r="F146" t="s">
        <v>201</v>
      </c>
      <c r="G146" t="s">
        <v>202</v>
      </c>
      <c r="H146">
        <v>15.5</v>
      </c>
      <c r="I146" s="81">
        <v>45873</v>
      </c>
      <c r="J146">
        <v>2025</v>
      </c>
      <c r="K146" t="s">
        <v>1900</v>
      </c>
      <c r="L146" t="s">
        <v>654</v>
      </c>
      <c r="M146" t="s">
        <v>571</v>
      </c>
      <c r="N146" t="s">
        <v>204</v>
      </c>
      <c r="O146" t="s">
        <v>1868</v>
      </c>
      <c r="P146" s="80">
        <v>0.2581</v>
      </c>
      <c r="Q146" t="s">
        <v>1869</v>
      </c>
    </row>
    <row r="147" spans="1:17" x14ac:dyDescent="0.6">
      <c r="A147">
        <v>146</v>
      </c>
      <c r="B147" t="s">
        <v>602</v>
      </c>
      <c r="C147">
        <v>1900</v>
      </c>
      <c r="D147" t="s">
        <v>179</v>
      </c>
      <c r="E147" s="69">
        <v>45758</v>
      </c>
      <c r="F147" t="s">
        <v>201</v>
      </c>
      <c r="G147" t="s">
        <v>202</v>
      </c>
      <c r="H147">
        <v>15.5</v>
      </c>
      <c r="I147" s="81">
        <v>45873</v>
      </c>
      <c r="J147">
        <v>2025</v>
      </c>
      <c r="K147" t="s">
        <v>1900</v>
      </c>
      <c r="L147" t="s">
        <v>654</v>
      </c>
      <c r="M147" t="s">
        <v>571</v>
      </c>
      <c r="N147" t="s">
        <v>204</v>
      </c>
      <c r="O147" t="s">
        <v>1868</v>
      </c>
      <c r="P147" s="80">
        <v>0.28260000000000002</v>
      </c>
      <c r="Q147" t="s">
        <v>1869</v>
      </c>
    </row>
    <row r="148" spans="1:17" x14ac:dyDescent="0.6">
      <c r="A148">
        <v>147</v>
      </c>
      <c r="B148" t="s">
        <v>605</v>
      </c>
      <c r="C148">
        <v>1900</v>
      </c>
      <c r="D148" t="s">
        <v>179</v>
      </c>
      <c r="E148" s="69">
        <v>45758</v>
      </c>
      <c r="F148" t="s">
        <v>201</v>
      </c>
      <c r="G148" t="s">
        <v>202</v>
      </c>
      <c r="H148">
        <v>15.5</v>
      </c>
      <c r="I148" s="81">
        <v>45873</v>
      </c>
      <c r="J148">
        <v>2025</v>
      </c>
      <c r="K148" t="s">
        <v>1900</v>
      </c>
      <c r="L148" t="s">
        <v>654</v>
      </c>
      <c r="M148" t="s">
        <v>571</v>
      </c>
      <c r="N148" t="s">
        <v>204</v>
      </c>
      <c r="O148" t="s">
        <v>1868</v>
      </c>
      <c r="P148" s="80">
        <v>0.29820000000000002</v>
      </c>
      <c r="Q148" t="s">
        <v>1869</v>
      </c>
    </row>
    <row r="149" spans="1:17" x14ac:dyDescent="0.6">
      <c r="A149">
        <v>148</v>
      </c>
      <c r="B149" t="s">
        <v>608</v>
      </c>
      <c r="C149">
        <v>1900</v>
      </c>
      <c r="D149" t="s">
        <v>179</v>
      </c>
      <c r="E149" s="69">
        <v>45758</v>
      </c>
      <c r="F149" t="s">
        <v>201</v>
      </c>
      <c r="G149" t="s">
        <v>202</v>
      </c>
      <c r="H149">
        <v>15.5</v>
      </c>
      <c r="I149" s="81">
        <v>45873</v>
      </c>
      <c r="J149">
        <v>2025</v>
      </c>
      <c r="K149" t="s">
        <v>1900</v>
      </c>
      <c r="L149" t="s">
        <v>654</v>
      </c>
      <c r="M149" t="s">
        <v>571</v>
      </c>
      <c r="N149" t="s">
        <v>204</v>
      </c>
      <c r="O149" t="s">
        <v>1868</v>
      </c>
      <c r="P149" s="80">
        <v>0.23949999999999999</v>
      </c>
      <c r="Q149" t="s">
        <v>1869</v>
      </c>
    </row>
    <row r="150" spans="1:17" x14ac:dyDescent="0.6">
      <c r="A150">
        <v>149</v>
      </c>
      <c r="B150" t="s">
        <v>611</v>
      </c>
      <c r="C150">
        <v>1900</v>
      </c>
      <c r="D150" t="s">
        <v>179</v>
      </c>
      <c r="E150" s="69">
        <v>45758</v>
      </c>
      <c r="F150" t="s">
        <v>201</v>
      </c>
      <c r="G150" t="s">
        <v>202</v>
      </c>
      <c r="H150">
        <v>15.5</v>
      </c>
      <c r="I150" s="81">
        <v>45873</v>
      </c>
      <c r="J150">
        <v>2025</v>
      </c>
      <c r="K150" t="s">
        <v>1900</v>
      </c>
      <c r="L150" t="s">
        <v>654</v>
      </c>
      <c r="M150" t="s">
        <v>571</v>
      </c>
      <c r="N150" t="s">
        <v>204</v>
      </c>
      <c r="O150" t="s">
        <v>1868</v>
      </c>
      <c r="P150" s="80">
        <v>0.1464</v>
      </c>
      <c r="Q150" t="s">
        <v>1869</v>
      </c>
    </row>
    <row r="151" spans="1:17" x14ac:dyDescent="0.6">
      <c r="A151">
        <v>150</v>
      </c>
      <c r="B151" t="s">
        <v>614</v>
      </c>
      <c r="C151">
        <v>1900</v>
      </c>
      <c r="D151" t="s">
        <v>179</v>
      </c>
      <c r="E151" s="69">
        <v>45758</v>
      </c>
      <c r="F151" t="s">
        <v>201</v>
      </c>
      <c r="G151" t="s">
        <v>202</v>
      </c>
      <c r="H151">
        <v>15.5</v>
      </c>
      <c r="I151" s="81">
        <v>45873</v>
      </c>
      <c r="J151">
        <v>2025</v>
      </c>
      <c r="K151" t="s">
        <v>1900</v>
      </c>
      <c r="L151" t="s">
        <v>654</v>
      </c>
      <c r="M151" t="s">
        <v>571</v>
      </c>
      <c r="N151" t="s">
        <v>204</v>
      </c>
      <c r="O151" t="s">
        <v>1868</v>
      </c>
      <c r="P151" s="80">
        <v>0.17599999999999999</v>
      </c>
      <c r="Q151" t="s">
        <v>1869</v>
      </c>
    </row>
    <row r="152" spans="1:17" x14ac:dyDescent="0.6">
      <c r="A152">
        <v>151</v>
      </c>
      <c r="B152" t="s">
        <v>617</v>
      </c>
      <c r="C152">
        <v>1900</v>
      </c>
      <c r="D152" t="s">
        <v>179</v>
      </c>
      <c r="E152" s="69">
        <v>45772</v>
      </c>
      <c r="F152" t="s">
        <v>201</v>
      </c>
      <c r="G152" t="s">
        <v>202</v>
      </c>
      <c r="H152">
        <v>15.5</v>
      </c>
      <c r="I152" s="76" t="s">
        <v>1901</v>
      </c>
      <c r="J152">
        <v>2025</v>
      </c>
      <c r="K152" s="69">
        <v>45721</v>
      </c>
      <c r="L152" t="s">
        <v>654</v>
      </c>
      <c r="M152" t="s">
        <v>571</v>
      </c>
      <c r="N152" t="s">
        <v>204</v>
      </c>
      <c r="O152" t="s">
        <v>1868</v>
      </c>
      <c r="P152" s="80">
        <v>0.22270000000000001</v>
      </c>
      <c r="Q152" t="s">
        <v>1869</v>
      </c>
    </row>
    <row r="153" spans="1:17" x14ac:dyDescent="0.6">
      <c r="A153">
        <v>152</v>
      </c>
      <c r="B153" t="s">
        <v>620</v>
      </c>
      <c r="C153">
        <v>1900</v>
      </c>
      <c r="D153" t="s">
        <v>179</v>
      </c>
      <c r="E153" s="69">
        <v>45772</v>
      </c>
      <c r="F153" t="s">
        <v>201</v>
      </c>
      <c r="G153" t="s">
        <v>202</v>
      </c>
      <c r="H153">
        <v>15.5</v>
      </c>
      <c r="I153" s="76" t="s">
        <v>1901</v>
      </c>
      <c r="J153">
        <v>2025</v>
      </c>
      <c r="K153" s="69">
        <v>45721</v>
      </c>
      <c r="L153" t="s">
        <v>654</v>
      </c>
      <c r="M153" t="s">
        <v>571</v>
      </c>
      <c r="N153" t="s">
        <v>204</v>
      </c>
      <c r="O153" t="s">
        <v>1868</v>
      </c>
      <c r="P153" s="80">
        <v>0.16009999999999999</v>
      </c>
      <c r="Q153" t="s">
        <v>1869</v>
      </c>
    </row>
    <row r="154" spans="1:17" x14ac:dyDescent="0.6">
      <c r="A154">
        <v>153</v>
      </c>
      <c r="B154" t="s">
        <v>623</v>
      </c>
      <c r="C154">
        <v>1900</v>
      </c>
      <c r="D154" t="s">
        <v>179</v>
      </c>
      <c r="E154" s="69">
        <v>45772</v>
      </c>
      <c r="F154" t="s">
        <v>201</v>
      </c>
      <c r="G154" t="s">
        <v>202</v>
      </c>
      <c r="H154">
        <v>15.5</v>
      </c>
      <c r="I154" s="76" t="s">
        <v>1901</v>
      </c>
      <c r="J154">
        <v>2025</v>
      </c>
      <c r="K154" s="69">
        <v>45721</v>
      </c>
      <c r="L154" t="s">
        <v>654</v>
      </c>
      <c r="M154" t="s">
        <v>571</v>
      </c>
      <c r="N154" t="s">
        <v>204</v>
      </c>
      <c r="O154" t="s">
        <v>1868</v>
      </c>
      <c r="P154" s="80">
        <v>0.17630000000000001</v>
      </c>
      <c r="Q154" t="s">
        <v>1869</v>
      </c>
    </row>
    <row r="155" spans="1:17" x14ac:dyDescent="0.6">
      <c r="A155">
        <v>154</v>
      </c>
      <c r="B155" t="s">
        <v>626</v>
      </c>
      <c r="C155">
        <v>1900</v>
      </c>
      <c r="D155" t="s">
        <v>179</v>
      </c>
      <c r="E155" s="69">
        <v>45772</v>
      </c>
      <c r="F155" t="s">
        <v>201</v>
      </c>
      <c r="G155" t="s">
        <v>202</v>
      </c>
      <c r="H155">
        <v>15.5</v>
      </c>
      <c r="I155" s="76" t="s">
        <v>1901</v>
      </c>
      <c r="J155">
        <v>2025</v>
      </c>
      <c r="K155" s="69">
        <v>45721</v>
      </c>
      <c r="L155" t="s">
        <v>654</v>
      </c>
      <c r="M155" t="s">
        <v>571</v>
      </c>
      <c r="N155" t="s">
        <v>204</v>
      </c>
      <c r="O155" t="s">
        <v>1868</v>
      </c>
      <c r="P155" s="80">
        <v>9.1800000000000007E-2</v>
      </c>
      <c r="Q155" t="s">
        <v>1869</v>
      </c>
    </row>
    <row r="156" spans="1:17" x14ac:dyDescent="0.6">
      <c r="A156">
        <v>155</v>
      </c>
      <c r="B156" t="s">
        <v>629</v>
      </c>
      <c r="C156">
        <v>1900</v>
      </c>
      <c r="D156" t="s">
        <v>179</v>
      </c>
      <c r="E156" s="69">
        <v>45772</v>
      </c>
      <c r="F156" t="s">
        <v>201</v>
      </c>
      <c r="G156" t="s">
        <v>202</v>
      </c>
      <c r="H156">
        <v>15.5</v>
      </c>
      <c r="I156" s="76" t="s">
        <v>1901</v>
      </c>
      <c r="J156">
        <v>2025</v>
      </c>
      <c r="K156" s="69">
        <v>45721</v>
      </c>
      <c r="L156" t="s">
        <v>654</v>
      </c>
      <c r="M156" t="s">
        <v>571</v>
      </c>
      <c r="N156" t="s">
        <v>204</v>
      </c>
      <c r="O156" t="s">
        <v>1868</v>
      </c>
      <c r="P156" s="80">
        <v>0.24310000000000001</v>
      </c>
      <c r="Q156" t="s">
        <v>1869</v>
      </c>
    </row>
    <row r="157" spans="1:17" x14ac:dyDescent="0.6">
      <c r="A157">
        <v>156</v>
      </c>
      <c r="B157" t="s">
        <v>632</v>
      </c>
      <c r="C157">
        <v>950</v>
      </c>
      <c r="D157" t="s">
        <v>569</v>
      </c>
      <c r="E157" s="69">
        <v>45783</v>
      </c>
      <c r="F157" t="s">
        <v>201</v>
      </c>
      <c r="G157" t="s">
        <v>202</v>
      </c>
      <c r="H157">
        <v>13</v>
      </c>
      <c r="I157" s="76" t="s">
        <v>1902</v>
      </c>
      <c r="J157">
        <v>2025</v>
      </c>
      <c r="K157" t="s">
        <v>1903</v>
      </c>
      <c r="L157" t="s">
        <v>654</v>
      </c>
      <c r="M157" t="s">
        <v>571</v>
      </c>
      <c r="N157" t="s">
        <v>204</v>
      </c>
      <c r="O157" t="s">
        <v>1553</v>
      </c>
      <c r="P157" s="80">
        <v>0.19289999999999999</v>
      </c>
      <c r="Q157" t="s">
        <v>1869</v>
      </c>
    </row>
    <row r="158" spans="1:17" x14ac:dyDescent="0.6">
      <c r="A158">
        <v>157</v>
      </c>
      <c r="B158" t="s">
        <v>635</v>
      </c>
      <c r="C158">
        <v>950</v>
      </c>
      <c r="D158" t="s">
        <v>569</v>
      </c>
      <c r="E158" s="69">
        <v>45783</v>
      </c>
      <c r="F158" t="s">
        <v>201</v>
      </c>
      <c r="G158" t="s">
        <v>202</v>
      </c>
      <c r="H158">
        <v>13</v>
      </c>
      <c r="I158" s="76" t="s">
        <v>1902</v>
      </c>
      <c r="J158">
        <v>2025</v>
      </c>
      <c r="K158" t="s">
        <v>1903</v>
      </c>
      <c r="L158" t="s">
        <v>654</v>
      </c>
      <c r="M158" t="s">
        <v>571</v>
      </c>
      <c r="N158" t="s">
        <v>204</v>
      </c>
      <c r="O158" t="s">
        <v>1553</v>
      </c>
      <c r="P158" s="80">
        <v>0.2135</v>
      </c>
      <c r="Q158" t="s">
        <v>1869</v>
      </c>
    </row>
    <row r="159" spans="1:17" x14ac:dyDescent="0.6">
      <c r="A159">
        <v>158</v>
      </c>
      <c r="B159" t="s">
        <v>638</v>
      </c>
      <c r="C159">
        <v>950</v>
      </c>
      <c r="D159" t="s">
        <v>569</v>
      </c>
      <c r="E159" s="69">
        <v>45783</v>
      </c>
      <c r="F159" t="s">
        <v>201</v>
      </c>
      <c r="G159" t="s">
        <v>202</v>
      </c>
      <c r="H159">
        <v>13</v>
      </c>
      <c r="I159" s="76" t="s">
        <v>1902</v>
      </c>
      <c r="J159">
        <v>2025</v>
      </c>
      <c r="K159" t="s">
        <v>1903</v>
      </c>
      <c r="L159" t="s">
        <v>654</v>
      </c>
      <c r="M159" t="s">
        <v>571</v>
      </c>
      <c r="N159" t="s">
        <v>204</v>
      </c>
      <c r="O159" t="s">
        <v>1553</v>
      </c>
      <c r="P159" s="80">
        <v>0.1694</v>
      </c>
      <c r="Q159" t="s">
        <v>1869</v>
      </c>
    </row>
    <row r="160" spans="1:17" x14ac:dyDescent="0.6">
      <c r="A160">
        <v>159</v>
      </c>
      <c r="B160" t="s">
        <v>641</v>
      </c>
      <c r="C160">
        <v>950</v>
      </c>
      <c r="D160" t="s">
        <v>569</v>
      </c>
      <c r="E160" s="69">
        <v>45783</v>
      </c>
      <c r="F160" t="s">
        <v>201</v>
      </c>
      <c r="G160" t="s">
        <v>202</v>
      </c>
      <c r="H160">
        <v>13</v>
      </c>
      <c r="I160" s="76" t="s">
        <v>1902</v>
      </c>
      <c r="J160">
        <v>2025</v>
      </c>
      <c r="K160" t="s">
        <v>1903</v>
      </c>
      <c r="L160" t="s">
        <v>654</v>
      </c>
      <c r="M160" t="s">
        <v>571</v>
      </c>
      <c r="N160" t="s">
        <v>204</v>
      </c>
      <c r="O160" t="s">
        <v>1553</v>
      </c>
      <c r="P160" s="80">
        <v>0.16889999999999999</v>
      </c>
      <c r="Q160" t="s">
        <v>1869</v>
      </c>
    </row>
    <row r="161" spans="1:17" x14ac:dyDescent="0.6">
      <c r="A161">
        <v>160</v>
      </c>
      <c r="B161" t="s">
        <v>644</v>
      </c>
      <c r="C161">
        <v>950</v>
      </c>
      <c r="D161" t="s">
        <v>569</v>
      </c>
      <c r="E161" s="69">
        <v>45783</v>
      </c>
      <c r="F161" t="s">
        <v>201</v>
      </c>
      <c r="G161" t="s">
        <v>202</v>
      </c>
      <c r="H161">
        <v>13</v>
      </c>
      <c r="I161" s="76" t="s">
        <v>1902</v>
      </c>
      <c r="J161">
        <v>2025</v>
      </c>
      <c r="K161" t="s">
        <v>1903</v>
      </c>
      <c r="L161" t="s">
        <v>654</v>
      </c>
      <c r="M161" t="s">
        <v>571</v>
      </c>
      <c r="N161" t="s">
        <v>204</v>
      </c>
      <c r="O161" t="s">
        <v>1553</v>
      </c>
      <c r="P161" s="80">
        <v>7.0999999999999994E-2</v>
      </c>
      <c r="Q161" t="s">
        <v>1872</v>
      </c>
    </row>
    <row r="162" spans="1:17" x14ac:dyDescent="0.6">
      <c r="A162">
        <v>161</v>
      </c>
      <c r="B162" t="s">
        <v>647</v>
      </c>
      <c r="C162">
        <v>950</v>
      </c>
      <c r="D162" t="s">
        <v>569</v>
      </c>
      <c r="E162" s="69">
        <v>45783</v>
      </c>
      <c r="F162" t="s">
        <v>201</v>
      </c>
      <c r="G162" t="s">
        <v>202</v>
      </c>
      <c r="H162">
        <v>13</v>
      </c>
      <c r="I162" s="76" t="s">
        <v>1902</v>
      </c>
      <c r="J162">
        <v>2025</v>
      </c>
      <c r="K162" t="s">
        <v>1903</v>
      </c>
      <c r="L162" t="s">
        <v>654</v>
      </c>
      <c r="M162" t="s">
        <v>571</v>
      </c>
      <c r="N162" t="s">
        <v>204</v>
      </c>
      <c r="O162" t="s">
        <v>1553</v>
      </c>
      <c r="P162" s="80">
        <v>0.1978</v>
      </c>
      <c r="Q162" t="s">
        <v>1871</v>
      </c>
    </row>
    <row r="163" spans="1:17" x14ac:dyDescent="0.6">
      <c r="A163">
        <v>162</v>
      </c>
      <c r="B163" t="s">
        <v>650</v>
      </c>
      <c r="C163">
        <v>950</v>
      </c>
      <c r="D163" t="s">
        <v>569</v>
      </c>
      <c r="E163" s="69">
        <v>45783</v>
      </c>
      <c r="F163" t="s">
        <v>201</v>
      </c>
      <c r="G163" t="s">
        <v>202</v>
      </c>
      <c r="H163">
        <v>13</v>
      </c>
      <c r="I163" s="76" t="s">
        <v>1902</v>
      </c>
      <c r="J163">
        <v>2025</v>
      </c>
      <c r="K163" t="s">
        <v>1903</v>
      </c>
      <c r="L163" t="s">
        <v>654</v>
      </c>
      <c r="M163" t="s">
        <v>571</v>
      </c>
      <c r="N163" t="s">
        <v>204</v>
      </c>
      <c r="O163" t="s">
        <v>1553</v>
      </c>
      <c r="P163" s="80">
        <v>0.1993</v>
      </c>
      <c r="Q163" t="s">
        <v>1869</v>
      </c>
    </row>
    <row r="164" spans="1:17" x14ac:dyDescent="0.6">
      <c r="A164">
        <v>163</v>
      </c>
      <c r="B164" t="s">
        <v>653</v>
      </c>
      <c r="C164">
        <v>1900</v>
      </c>
      <c r="D164" t="s">
        <v>179</v>
      </c>
      <c r="E164" s="69">
        <v>45790</v>
      </c>
      <c r="F164" t="s">
        <v>201</v>
      </c>
      <c r="G164" t="s">
        <v>202</v>
      </c>
      <c r="H164">
        <v>15.5</v>
      </c>
      <c r="I164" s="81">
        <v>45874</v>
      </c>
      <c r="J164">
        <v>2025</v>
      </c>
      <c r="K164" t="s">
        <v>1904</v>
      </c>
      <c r="L164" t="s">
        <v>654</v>
      </c>
      <c r="M164" t="s">
        <v>571</v>
      </c>
      <c r="N164" t="s">
        <v>204</v>
      </c>
      <c r="O164" t="s">
        <v>1868</v>
      </c>
      <c r="P164" s="80">
        <v>0.24979999999999999</v>
      </c>
      <c r="Q164" t="s">
        <v>1869</v>
      </c>
    </row>
    <row r="165" spans="1:17" x14ac:dyDescent="0.6">
      <c r="A165">
        <v>164</v>
      </c>
      <c r="B165" t="s">
        <v>657</v>
      </c>
      <c r="C165">
        <v>1900</v>
      </c>
      <c r="D165" t="s">
        <v>179</v>
      </c>
      <c r="E165" s="69">
        <v>45790</v>
      </c>
      <c r="F165" t="s">
        <v>201</v>
      </c>
      <c r="G165" t="s">
        <v>202</v>
      </c>
      <c r="H165">
        <v>15.5</v>
      </c>
      <c r="I165" s="81">
        <v>45874</v>
      </c>
      <c r="J165">
        <v>2025</v>
      </c>
      <c r="K165" t="s">
        <v>1904</v>
      </c>
      <c r="L165" t="s">
        <v>654</v>
      </c>
      <c r="M165" t="s">
        <v>571</v>
      </c>
      <c r="N165" t="s">
        <v>204</v>
      </c>
      <c r="O165" t="s">
        <v>1868</v>
      </c>
      <c r="P165" s="80">
        <v>0.30270000000000002</v>
      </c>
      <c r="Q165" t="s">
        <v>1869</v>
      </c>
    </row>
    <row r="166" spans="1:17" x14ac:dyDescent="0.6">
      <c r="A166">
        <v>165</v>
      </c>
      <c r="B166" t="s">
        <v>660</v>
      </c>
      <c r="C166">
        <v>1900</v>
      </c>
      <c r="D166" t="s">
        <v>179</v>
      </c>
      <c r="E166" s="69">
        <v>45790</v>
      </c>
      <c r="F166" t="s">
        <v>201</v>
      </c>
      <c r="G166" t="s">
        <v>226</v>
      </c>
      <c r="H166">
        <v>15.5</v>
      </c>
      <c r="I166" s="81">
        <v>45874</v>
      </c>
      <c r="J166">
        <v>2025</v>
      </c>
      <c r="K166" t="s">
        <v>1904</v>
      </c>
      <c r="L166" t="s">
        <v>654</v>
      </c>
      <c r="M166" t="s">
        <v>571</v>
      </c>
      <c r="N166" t="s">
        <v>204</v>
      </c>
      <c r="O166" t="s">
        <v>1868</v>
      </c>
      <c r="P166" s="80">
        <v>0.23699999999999999</v>
      </c>
      <c r="Q166" t="s">
        <v>1869</v>
      </c>
    </row>
    <row r="167" spans="1:17" x14ac:dyDescent="0.6">
      <c r="A167">
        <v>166</v>
      </c>
      <c r="B167" t="s">
        <v>663</v>
      </c>
      <c r="C167">
        <v>1900</v>
      </c>
      <c r="D167" t="s">
        <v>179</v>
      </c>
      <c r="E167" s="69">
        <v>45790</v>
      </c>
      <c r="F167" t="s">
        <v>201</v>
      </c>
      <c r="G167" t="s">
        <v>202</v>
      </c>
      <c r="H167">
        <v>15.5</v>
      </c>
      <c r="I167" s="81">
        <v>45874</v>
      </c>
      <c r="J167">
        <v>2025</v>
      </c>
      <c r="K167" t="s">
        <v>1904</v>
      </c>
      <c r="L167" t="s">
        <v>654</v>
      </c>
      <c r="M167" t="s">
        <v>571</v>
      </c>
      <c r="N167" t="s">
        <v>204</v>
      </c>
      <c r="O167" t="s">
        <v>1868</v>
      </c>
      <c r="P167" s="80">
        <v>0.21759999999999999</v>
      </c>
      <c r="Q167" t="s">
        <v>1869</v>
      </c>
    </row>
    <row r="168" spans="1:17" x14ac:dyDescent="0.6">
      <c r="A168">
        <v>167</v>
      </c>
      <c r="B168" t="s">
        <v>666</v>
      </c>
      <c r="C168">
        <v>1900</v>
      </c>
      <c r="D168" t="s">
        <v>179</v>
      </c>
      <c r="E168" s="69">
        <v>45790</v>
      </c>
      <c r="F168" t="s">
        <v>201</v>
      </c>
      <c r="G168" t="s">
        <v>202</v>
      </c>
      <c r="H168">
        <v>15.5</v>
      </c>
      <c r="I168" s="81">
        <v>45874</v>
      </c>
      <c r="J168">
        <v>2025</v>
      </c>
      <c r="K168" t="s">
        <v>1904</v>
      </c>
      <c r="L168" t="s">
        <v>654</v>
      </c>
      <c r="M168" t="s">
        <v>571</v>
      </c>
      <c r="N168" t="s">
        <v>204</v>
      </c>
      <c r="O168" t="s">
        <v>1868</v>
      </c>
      <c r="P168" s="80">
        <v>0.17580000000000001</v>
      </c>
      <c r="Q168" t="s">
        <v>1869</v>
      </c>
    </row>
    <row r="169" spans="1:17" x14ac:dyDescent="0.6">
      <c r="A169">
        <v>168</v>
      </c>
      <c r="B169" t="s">
        <v>669</v>
      </c>
      <c r="C169">
        <v>1900</v>
      </c>
      <c r="D169" t="s">
        <v>179</v>
      </c>
      <c r="E169" s="69">
        <v>45790</v>
      </c>
      <c r="F169" t="s">
        <v>180</v>
      </c>
      <c r="G169" t="s">
        <v>180</v>
      </c>
      <c r="H169">
        <v>15.5</v>
      </c>
      <c r="I169" s="81">
        <v>45874</v>
      </c>
      <c r="J169">
        <v>2025</v>
      </c>
      <c r="K169" t="s">
        <v>1904</v>
      </c>
      <c r="L169" t="s">
        <v>654</v>
      </c>
      <c r="M169" t="s">
        <v>571</v>
      </c>
      <c r="N169" t="s">
        <v>204</v>
      </c>
      <c r="O169" t="s">
        <v>1868</v>
      </c>
      <c r="P169" s="80">
        <v>0.19620000000000001</v>
      </c>
      <c r="Q169" t="s">
        <v>1869</v>
      </c>
    </row>
    <row r="170" spans="1:17" x14ac:dyDescent="0.6">
      <c r="A170">
        <v>169</v>
      </c>
      <c r="B170" t="s">
        <v>672</v>
      </c>
      <c r="C170">
        <v>1900</v>
      </c>
      <c r="D170" t="s">
        <v>179</v>
      </c>
      <c r="E170" s="69">
        <v>45790</v>
      </c>
      <c r="F170" t="s">
        <v>201</v>
      </c>
      <c r="G170" t="s">
        <v>202</v>
      </c>
      <c r="H170">
        <v>15.5</v>
      </c>
      <c r="I170" s="81">
        <v>45874</v>
      </c>
      <c r="J170">
        <v>2025</v>
      </c>
      <c r="K170" t="s">
        <v>1904</v>
      </c>
      <c r="L170" t="s">
        <v>654</v>
      </c>
      <c r="M170" t="s">
        <v>571</v>
      </c>
      <c r="N170" t="s">
        <v>204</v>
      </c>
      <c r="O170" t="s">
        <v>1868</v>
      </c>
      <c r="P170" s="80">
        <v>0.20480000000000001</v>
      </c>
      <c r="Q170" t="s">
        <v>1869</v>
      </c>
    </row>
    <row r="171" spans="1:17" x14ac:dyDescent="0.6">
      <c r="A171">
        <v>170</v>
      </c>
      <c r="B171" t="s">
        <v>675</v>
      </c>
      <c r="C171">
        <v>1900</v>
      </c>
      <c r="D171" t="s">
        <v>179</v>
      </c>
      <c r="E171" s="69">
        <v>45793</v>
      </c>
      <c r="F171" t="s">
        <v>201</v>
      </c>
      <c r="G171" t="s">
        <v>202</v>
      </c>
      <c r="H171">
        <v>15.5</v>
      </c>
      <c r="I171" s="76" t="s">
        <v>1905</v>
      </c>
      <c r="J171">
        <v>2025</v>
      </c>
      <c r="K171" t="s">
        <v>1906</v>
      </c>
      <c r="L171" t="s">
        <v>654</v>
      </c>
      <c r="M171" t="s">
        <v>571</v>
      </c>
      <c r="N171" t="s">
        <v>204</v>
      </c>
      <c r="O171" t="s">
        <v>1868</v>
      </c>
      <c r="P171" s="80">
        <v>0.2069</v>
      </c>
      <c r="Q171" t="s">
        <v>1869</v>
      </c>
    </row>
    <row r="172" spans="1:17" x14ac:dyDescent="0.6">
      <c r="A172">
        <v>171</v>
      </c>
      <c r="B172" t="s">
        <v>678</v>
      </c>
      <c r="C172">
        <v>1900</v>
      </c>
      <c r="D172" t="s">
        <v>179</v>
      </c>
      <c r="E172" s="69">
        <v>45793</v>
      </c>
      <c r="F172" t="s">
        <v>201</v>
      </c>
      <c r="G172" t="s">
        <v>202</v>
      </c>
      <c r="H172">
        <v>15.5</v>
      </c>
      <c r="I172" s="76" t="s">
        <v>1905</v>
      </c>
      <c r="J172">
        <v>2025</v>
      </c>
      <c r="K172" t="s">
        <v>1906</v>
      </c>
      <c r="L172" t="s">
        <v>654</v>
      </c>
      <c r="M172" t="s">
        <v>571</v>
      </c>
      <c r="N172" t="s">
        <v>204</v>
      </c>
      <c r="O172" t="s">
        <v>1868</v>
      </c>
      <c r="P172" s="80">
        <v>0.18029999999999999</v>
      </c>
      <c r="Q172" t="s">
        <v>1869</v>
      </c>
    </row>
    <row r="173" spans="1:17" x14ac:dyDescent="0.6">
      <c r="A173">
        <v>172</v>
      </c>
      <c r="B173" t="s">
        <v>681</v>
      </c>
      <c r="C173">
        <v>1900</v>
      </c>
      <c r="D173" t="s">
        <v>179</v>
      </c>
      <c r="E173" s="69">
        <v>45793</v>
      </c>
      <c r="F173" t="s">
        <v>201</v>
      </c>
      <c r="G173" t="s">
        <v>202</v>
      </c>
      <c r="H173">
        <v>15.5</v>
      </c>
      <c r="I173" s="76" t="s">
        <v>1905</v>
      </c>
      <c r="J173">
        <v>2025</v>
      </c>
      <c r="K173" t="s">
        <v>1906</v>
      </c>
      <c r="L173" t="s">
        <v>654</v>
      </c>
      <c r="M173" t="s">
        <v>571</v>
      </c>
      <c r="N173" t="s">
        <v>204</v>
      </c>
      <c r="O173" t="s">
        <v>1868</v>
      </c>
      <c r="P173" s="80">
        <v>0.1807</v>
      </c>
      <c r="Q173" t="s">
        <v>1869</v>
      </c>
    </row>
    <row r="174" spans="1:17" x14ac:dyDescent="0.6">
      <c r="A174">
        <v>173</v>
      </c>
      <c r="B174" t="s">
        <v>684</v>
      </c>
      <c r="C174">
        <v>1900</v>
      </c>
      <c r="D174" t="s">
        <v>179</v>
      </c>
      <c r="E174" s="69">
        <v>45793</v>
      </c>
      <c r="F174" t="s">
        <v>201</v>
      </c>
      <c r="G174" t="s">
        <v>202</v>
      </c>
      <c r="H174">
        <v>15.5</v>
      </c>
      <c r="I174" s="76" t="s">
        <v>1905</v>
      </c>
      <c r="J174">
        <v>2025</v>
      </c>
      <c r="K174" t="s">
        <v>1906</v>
      </c>
      <c r="L174" t="s">
        <v>654</v>
      </c>
      <c r="M174" t="s">
        <v>571</v>
      </c>
      <c r="N174" t="s">
        <v>204</v>
      </c>
      <c r="O174" t="s">
        <v>1868</v>
      </c>
      <c r="P174" s="80">
        <v>0.25069999999999998</v>
      </c>
      <c r="Q174" t="s">
        <v>1869</v>
      </c>
    </row>
    <row r="175" spans="1:17" x14ac:dyDescent="0.6">
      <c r="A175">
        <v>174</v>
      </c>
      <c r="B175" t="s">
        <v>687</v>
      </c>
      <c r="C175">
        <v>1900</v>
      </c>
      <c r="D175" t="s">
        <v>179</v>
      </c>
      <c r="E175" s="69">
        <v>45793</v>
      </c>
      <c r="F175" t="s">
        <v>201</v>
      </c>
      <c r="G175" t="s">
        <v>202</v>
      </c>
      <c r="H175">
        <v>15.5</v>
      </c>
      <c r="I175" s="76" t="s">
        <v>1905</v>
      </c>
      <c r="J175">
        <v>2025</v>
      </c>
      <c r="K175" t="s">
        <v>1906</v>
      </c>
      <c r="L175" t="s">
        <v>654</v>
      </c>
      <c r="M175" t="s">
        <v>571</v>
      </c>
      <c r="N175" t="s">
        <v>204</v>
      </c>
      <c r="O175" t="s">
        <v>1868</v>
      </c>
      <c r="P175" s="80">
        <v>0.2001</v>
      </c>
      <c r="Q175" t="s">
        <v>1869</v>
      </c>
    </row>
    <row r="176" spans="1:17" x14ac:dyDescent="0.6">
      <c r="A176">
        <v>175</v>
      </c>
      <c r="B176" t="s">
        <v>690</v>
      </c>
      <c r="C176">
        <v>1900</v>
      </c>
      <c r="D176" t="s">
        <v>179</v>
      </c>
      <c r="E176" s="69">
        <v>45793</v>
      </c>
      <c r="F176" t="s">
        <v>201</v>
      </c>
      <c r="G176" t="s">
        <v>226</v>
      </c>
      <c r="H176">
        <v>15.5</v>
      </c>
      <c r="I176" s="76" t="s">
        <v>1905</v>
      </c>
      <c r="J176">
        <v>2025</v>
      </c>
      <c r="K176" t="s">
        <v>1906</v>
      </c>
      <c r="L176" t="s">
        <v>654</v>
      </c>
      <c r="M176" t="s">
        <v>571</v>
      </c>
      <c r="N176" t="s">
        <v>204</v>
      </c>
      <c r="O176" t="s">
        <v>1868</v>
      </c>
      <c r="P176" s="80">
        <v>0.2671</v>
      </c>
      <c r="Q176" t="s">
        <v>1869</v>
      </c>
    </row>
    <row r="177" spans="1:17" x14ac:dyDescent="0.6">
      <c r="A177">
        <v>176</v>
      </c>
      <c r="B177" t="s">
        <v>693</v>
      </c>
      <c r="C177">
        <v>1900</v>
      </c>
      <c r="D177" t="s">
        <v>179</v>
      </c>
      <c r="E177" s="69">
        <v>45793</v>
      </c>
      <c r="F177" t="s">
        <v>201</v>
      </c>
      <c r="G177" t="s">
        <v>202</v>
      </c>
      <c r="H177">
        <v>15.5</v>
      </c>
      <c r="I177" s="76" t="s">
        <v>1905</v>
      </c>
      <c r="J177">
        <v>2025</v>
      </c>
      <c r="K177" t="s">
        <v>1906</v>
      </c>
      <c r="L177" t="s">
        <v>654</v>
      </c>
      <c r="M177" t="s">
        <v>571</v>
      </c>
      <c r="N177" t="s">
        <v>204</v>
      </c>
      <c r="O177" t="s">
        <v>1868</v>
      </c>
      <c r="P177" s="80">
        <v>0.2999</v>
      </c>
      <c r="Q177" t="s">
        <v>1869</v>
      </c>
    </row>
    <row r="178" spans="1:17" x14ac:dyDescent="0.6">
      <c r="A178">
        <v>177</v>
      </c>
      <c r="B178" t="s">
        <v>696</v>
      </c>
      <c r="C178">
        <v>1900</v>
      </c>
      <c r="D178" t="s">
        <v>179</v>
      </c>
      <c r="E178" s="69">
        <v>45793</v>
      </c>
      <c r="F178" t="s">
        <v>201</v>
      </c>
      <c r="G178" t="s">
        <v>202</v>
      </c>
      <c r="H178">
        <v>15.5</v>
      </c>
      <c r="I178" s="76" t="s">
        <v>1905</v>
      </c>
      <c r="J178">
        <v>2025</v>
      </c>
      <c r="K178" t="s">
        <v>1906</v>
      </c>
      <c r="L178" t="s">
        <v>654</v>
      </c>
      <c r="M178" t="s">
        <v>571</v>
      </c>
      <c r="N178" t="s">
        <v>204</v>
      </c>
      <c r="O178" t="s">
        <v>1868</v>
      </c>
      <c r="P178" s="80">
        <v>0.23699999999999999</v>
      </c>
      <c r="Q178" t="s">
        <v>1869</v>
      </c>
    </row>
    <row r="179" spans="1:17" x14ac:dyDescent="0.6">
      <c r="A179">
        <v>178</v>
      </c>
      <c r="B179" t="s">
        <v>699</v>
      </c>
      <c r="C179">
        <v>1900</v>
      </c>
      <c r="D179" t="s">
        <v>179</v>
      </c>
      <c r="E179" s="69">
        <v>45793</v>
      </c>
      <c r="F179" t="s">
        <v>201</v>
      </c>
      <c r="G179" t="s">
        <v>226</v>
      </c>
      <c r="H179">
        <v>15.5</v>
      </c>
      <c r="I179" s="76" t="s">
        <v>1905</v>
      </c>
      <c r="J179">
        <v>2025</v>
      </c>
      <c r="K179" t="s">
        <v>1906</v>
      </c>
      <c r="L179" t="s">
        <v>654</v>
      </c>
      <c r="M179" t="s">
        <v>571</v>
      </c>
      <c r="N179" t="s">
        <v>204</v>
      </c>
      <c r="O179" t="s">
        <v>1868</v>
      </c>
      <c r="P179" s="80">
        <v>0.24440000000000001</v>
      </c>
      <c r="Q179" t="s">
        <v>1869</v>
      </c>
    </row>
    <row r="180" spans="1:17" x14ac:dyDescent="0.6">
      <c r="A180">
        <v>179</v>
      </c>
      <c r="B180" t="s">
        <v>702</v>
      </c>
      <c r="C180">
        <v>1900</v>
      </c>
      <c r="D180" t="s">
        <v>179</v>
      </c>
      <c r="E180" s="69">
        <v>45800</v>
      </c>
      <c r="F180" t="s">
        <v>201</v>
      </c>
      <c r="G180" t="s">
        <v>202</v>
      </c>
      <c r="H180">
        <v>15.5</v>
      </c>
      <c r="I180" s="76" t="s">
        <v>1907</v>
      </c>
      <c r="J180">
        <v>2025</v>
      </c>
      <c r="K180" s="69">
        <v>45753</v>
      </c>
      <c r="L180" t="s">
        <v>654</v>
      </c>
      <c r="M180" t="s">
        <v>571</v>
      </c>
      <c r="N180" t="s">
        <v>204</v>
      </c>
      <c r="O180" t="s">
        <v>1868</v>
      </c>
      <c r="P180" s="80">
        <v>0.16109999999999999</v>
      </c>
      <c r="Q180" t="s">
        <v>1869</v>
      </c>
    </row>
    <row r="181" spans="1:17" x14ac:dyDescent="0.6">
      <c r="A181">
        <v>180</v>
      </c>
      <c r="B181" t="s">
        <v>705</v>
      </c>
      <c r="C181">
        <v>1900</v>
      </c>
      <c r="D181" t="s">
        <v>179</v>
      </c>
      <c r="E181" s="69">
        <v>45800</v>
      </c>
      <c r="F181" t="s">
        <v>201</v>
      </c>
      <c r="G181" t="s">
        <v>202</v>
      </c>
      <c r="H181">
        <v>15.5</v>
      </c>
      <c r="I181" s="76" t="s">
        <v>1907</v>
      </c>
      <c r="J181">
        <v>2025</v>
      </c>
      <c r="K181" s="69">
        <v>45753</v>
      </c>
      <c r="L181" t="s">
        <v>654</v>
      </c>
      <c r="M181" t="s">
        <v>571</v>
      </c>
      <c r="N181" t="s">
        <v>204</v>
      </c>
      <c r="O181" t="s">
        <v>1868</v>
      </c>
      <c r="P181" s="80">
        <v>0.1358</v>
      </c>
      <c r="Q181" t="s">
        <v>1869</v>
      </c>
    </row>
    <row r="182" spans="1:17" x14ac:dyDescent="0.6">
      <c r="A182">
        <v>181</v>
      </c>
      <c r="B182" t="s">
        <v>708</v>
      </c>
      <c r="C182">
        <v>1900</v>
      </c>
      <c r="D182" t="s">
        <v>179</v>
      </c>
      <c r="E182" s="69">
        <v>45800</v>
      </c>
      <c r="F182" t="s">
        <v>201</v>
      </c>
      <c r="G182" t="s">
        <v>202</v>
      </c>
      <c r="H182">
        <v>15.5</v>
      </c>
      <c r="I182" s="76" t="s">
        <v>1907</v>
      </c>
      <c r="J182">
        <v>2025</v>
      </c>
      <c r="K182" s="69">
        <v>45753</v>
      </c>
      <c r="L182" t="s">
        <v>654</v>
      </c>
      <c r="M182" t="s">
        <v>571</v>
      </c>
      <c r="N182" t="s">
        <v>204</v>
      </c>
      <c r="O182" t="s">
        <v>1868</v>
      </c>
      <c r="P182" s="80">
        <v>0.15920000000000001</v>
      </c>
      <c r="Q182" t="s">
        <v>1869</v>
      </c>
    </row>
    <row r="183" spans="1:17" x14ac:dyDescent="0.6">
      <c r="A183">
        <v>182</v>
      </c>
      <c r="B183" t="s">
        <v>711</v>
      </c>
      <c r="C183">
        <v>1900</v>
      </c>
      <c r="D183" t="s">
        <v>179</v>
      </c>
      <c r="E183" s="69">
        <v>45800</v>
      </c>
      <c r="F183" t="s">
        <v>201</v>
      </c>
      <c r="G183" t="s">
        <v>202</v>
      </c>
      <c r="H183">
        <v>15.5</v>
      </c>
      <c r="I183" s="76" t="s">
        <v>1907</v>
      </c>
      <c r="J183">
        <v>2025</v>
      </c>
      <c r="K183" s="69">
        <v>45753</v>
      </c>
      <c r="L183" t="s">
        <v>654</v>
      </c>
      <c r="M183" t="s">
        <v>571</v>
      </c>
      <c r="N183" t="s">
        <v>204</v>
      </c>
      <c r="O183" t="s">
        <v>1868</v>
      </c>
      <c r="P183" s="80">
        <v>0.36349999999999999</v>
      </c>
      <c r="Q183" t="s">
        <v>1869</v>
      </c>
    </row>
    <row r="184" spans="1:17" x14ac:dyDescent="0.6">
      <c r="A184">
        <v>183</v>
      </c>
      <c r="B184" t="s">
        <v>714</v>
      </c>
      <c r="C184">
        <v>1900</v>
      </c>
      <c r="D184" t="s">
        <v>179</v>
      </c>
      <c r="E184" s="69">
        <v>45800</v>
      </c>
      <c r="F184" t="s">
        <v>201</v>
      </c>
      <c r="G184" t="s">
        <v>202</v>
      </c>
      <c r="H184">
        <v>15.5</v>
      </c>
      <c r="I184" s="76" t="s">
        <v>1907</v>
      </c>
      <c r="J184">
        <v>2025</v>
      </c>
      <c r="K184" s="69">
        <v>45753</v>
      </c>
      <c r="L184" t="s">
        <v>654</v>
      </c>
      <c r="M184" t="s">
        <v>571</v>
      </c>
      <c r="N184" t="s">
        <v>204</v>
      </c>
      <c r="O184" t="s">
        <v>1868</v>
      </c>
      <c r="P184" s="80">
        <v>0.16320000000000001</v>
      </c>
      <c r="Q184" t="s">
        <v>1869</v>
      </c>
    </row>
    <row r="185" spans="1:17" x14ac:dyDescent="0.6">
      <c r="A185">
        <v>184</v>
      </c>
      <c r="B185" t="s">
        <v>717</v>
      </c>
      <c r="C185">
        <v>1900</v>
      </c>
      <c r="D185" t="s">
        <v>179</v>
      </c>
      <c r="E185" s="69">
        <v>45800</v>
      </c>
      <c r="F185" t="s">
        <v>201</v>
      </c>
      <c r="G185" t="s">
        <v>202</v>
      </c>
      <c r="H185">
        <v>15.5</v>
      </c>
      <c r="I185" s="76" t="s">
        <v>1907</v>
      </c>
      <c r="J185">
        <v>2025</v>
      </c>
      <c r="K185" s="69">
        <v>45753</v>
      </c>
      <c r="L185" t="s">
        <v>654</v>
      </c>
      <c r="M185" t="s">
        <v>571</v>
      </c>
      <c r="N185" t="s">
        <v>204</v>
      </c>
      <c r="O185" t="s">
        <v>1868</v>
      </c>
      <c r="P185" s="80">
        <v>0.2286</v>
      </c>
      <c r="Q185" t="s">
        <v>1869</v>
      </c>
    </row>
    <row r="186" spans="1:17" x14ac:dyDescent="0.6">
      <c r="A186">
        <v>185</v>
      </c>
      <c r="B186" t="s">
        <v>720</v>
      </c>
      <c r="C186">
        <v>1900</v>
      </c>
      <c r="D186" t="s">
        <v>179</v>
      </c>
      <c r="E186" s="69">
        <v>45800</v>
      </c>
      <c r="F186" t="s">
        <v>201</v>
      </c>
      <c r="G186" t="s">
        <v>202</v>
      </c>
      <c r="H186">
        <v>15.5</v>
      </c>
      <c r="I186" s="76" t="s">
        <v>1907</v>
      </c>
      <c r="J186">
        <v>2025</v>
      </c>
      <c r="K186" s="69">
        <v>45753</v>
      </c>
      <c r="L186" t="s">
        <v>654</v>
      </c>
      <c r="M186" t="s">
        <v>571</v>
      </c>
      <c r="N186" t="s">
        <v>204</v>
      </c>
      <c r="O186" t="s">
        <v>1868</v>
      </c>
      <c r="P186" s="80">
        <v>0.15359999999999999</v>
      </c>
      <c r="Q186" t="s">
        <v>1869</v>
      </c>
    </row>
    <row r="187" spans="1:17" x14ac:dyDescent="0.6">
      <c r="A187">
        <v>186</v>
      </c>
      <c r="B187" t="s">
        <v>723</v>
      </c>
      <c r="C187">
        <v>1900</v>
      </c>
      <c r="D187" t="s">
        <v>179</v>
      </c>
      <c r="E187" s="69">
        <v>45800</v>
      </c>
      <c r="F187" t="s">
        <v>201</v>
      </c>
      <c r="G187" t="s">
        <v>202</v>
      </c>
      <c r="H187">
        <v>15.5</v>
      </c>
      <c r="I187" s="76" t="s">
        <v>1907</v>
      </c>
      <c r="J187">
        <v>2025</v>
      </c>
      <c r="K187" s="69">
        <v>45753</v>
      </c>
      <c r="L187" t="s">
        <v>654</v>
      </c>
      <c r="M187" t="s">
        <v>571</v>
      </c>
      <c r="N187" t="s">
        <v>204</v>
      </c>
      <c r="O187" t="s">
        <v>1868</v>
      </c>
      <c r="P187" s="80">
        <v>0.18709999999999999</v>
      </c>
      <c r="Q187" t="s">
        <v>1869</v>
      </c>
    </row>
    <row r="188" spans="1:17" x14ac:dyDescent="0.6">
      <c r="A188">
        <v>187</v>
      </c>
      <c r="B188" t="s">
        <v>726</v>
      </c>
      <c r="C188">
        <v>950</v>
      </c>
      <c r="D188" t="s">
        <v>569</v>
      </c>
      <c r="E188" s="69">
        <v>45810</v>
      </c>
      <c r="F188" t="s">
        <v>201</v>
      </c>
      <c r="G188" t="s">
        <v>202</v>
      </c>
      <c r="H188">
        <v>13</v>
      </c>
      <c r="I188" s="76" t="s">
        <v>1908</v>
      </c>
      <c r="J188">
        <v>2025</v>
      </c>
      <c r="K188" s="69">
        <v>45966</v>
      </c>
      <c r="L188" t="s">
        <v>654</v>
      </c>
      <c r="M188" t="s">
        <v>571</v>
      </c>
      <c r="N188" t="s">
        <v>204</v>
      </c>
      <c r="O188" t="s">
        <v>1553</v>
      </c>
      <c r="P188" s="80">
        <v>0.1293</v>
      </c>
      <c r="Q188" t="s">
        <v>1869</v>
      </c>
    </row>
    <row r="189" spans="1:17" x14ac:dyDescent="0.6">
      <c r="A189">
        <v>188</v>
      </c>
      <c r="B189" t="s">
        <v>729</v>
      </c>
      <c r="C189">
        <v>950</v>
      </c>
      <c r="D189" t="s">
        <v>569</v>
      </c>
      <c r="E189" s="69">
        <v>45810</v>
      </c>
      <c r="F189" t="s">
        <v>201</v>
      </c>
      <c r="G189" t="s">
        <v>202</v>
      </c>
      <c r="H189">
        <v>13</v>
      </c>
      <c r="I189" s="76" t="s">
        <v>1908</v>
      </c>
      <c r="J189">
        <v>2025</v>
      </c>
      <c r="K189" s="69">
        <v>45966</v>
      </c>
      <c r="L189" t="s">
        <v>654</v>
      </c>
      <c r="M189" t="s">
        <v>571</v>
      </c>
      <c r="N189" t="s">
        <v>204</v>
      </c>
      <c r="O189" t="s">
        <v>1553</v>
      </c>
      <c r="P189" s="80">
        <v>0.17199999999999999</v>
      </c>
      <c r="Q189" t="s">
        <v>1869</v>
      </c>
    </row>
    <row r="190" spans="1:17" x14ac:dyDescent="0.6">
      <c r="A190">
        <v>189</v>
      </c>
      <c r="B190" t="s">
        <v>732</v>
      </c>
      <c r="C190">
        <v>950</v>
      </c>
      <c r="D190" t="s">
        <v>569</v>
      </c>
      <c r="E190" s="69">
        <v>45810</v>
      </c>
      <c r="F190" t="s">
        <v>201</v>
      </c>
      <c r="G190" t="s">
        <v>202</v>
      </c>
      <c r="H190">
        <v>13</v>
      </c>
      <c r="I190" s="76" t="s">
        <v>1908</v>
      </c>
      <c r="J190">
        <v>2025</v>
      </c>
      <c r="K190" s="69">
        <v>45966</v>
      </c>
      <c r="L190" t="s">
        <v>654</v>
      </c>
      <c r="M190" t="s">
        <v>571</v>
      </c>
      <c r="N190" t="s">
        <v>204</v>
      </c>
      <c r="O190" t="s">
        <v>1553</v>
      </c>
      <c r="P190" s="80">
        <v>0.1734</v>
      </c>
      <c r="Q190" t="s">
        <v>1869</v>
      </c>
    </row>
    <row r="191" spans="1:17" x14ac:dyDescent="0.6">
      <c r="A191">
        <v>190</v>
      </c>
      <c r="B191" t="s">
        <v>735</v>
      </c>
      <c r="C191">
        <v>950</v>
      </c>
      <c r="D191" t="s">
        <v>569</v>
      </c>
      <c r="E191" s="69">
        <v>45810</v>
      </c>
      <c r="F191" t="s">
        <v>201</v>
      </c>
      <c r="G191" t="s">
        <v>202</v>
      </c>
      <c r="H191">
        <v>13</v>
      </c>
      <c r="I191" s="76" t="s">
        <v>1908</v>
      </c>
      <c r="J191">
        <v>2025</v>
      </c>
      <c r="K191" s="69">
        <v>45966</v>
      </c>
      <c r="L191" t="s">
        <v>654</v>
      </c>
      <c r="M191" t="s">
        <v>571</v>
      </c>
      <c r="N191" t="s">
        <v>204</v>
      </c>
      <c r="O191" t="s">
        <v>1553</v>
      </c>
      <c r="P191" s="80">
        <v>0.1489</v>
      </c>
      <c r="Q191" t="s">
        <v>1869</v>
      </c>
    </row>
    <row r="192" spans="1:17" x14ac:dyDescent="0.6">
      <c r="A192">
        <v>191</v>
      </c>
      <c r="B192" t="s">
        <v>738</v>
      </c>
      <c r="C192">
        <v>950</v>
      </c>
      <c r="D192" t="s">
        <v>569</v>
      </c>
      <c r="E192" s="69">
        <v>45810</v>
      </c>
      <c r="F192" t="s">
        <v>201</v>
      </c>
      <c r="G192" t="s">
        <v>202</v>
      </c>
      <c r="H192">
        <v>13</v>
      </c>
      <c r="I192" s="76" t="s">
        <v>1908</v>
      </c>
      <c r="J192">
        <v>2025</v>
      </c>
      <c r="K192" s="69">
        <v>45966</v>
      </c>
      <c r="L192" t="s">
        <v>654</v>
      </c>
      <c r="M192" t="s">
        <v>571</v>
      </c>
      <c r="N192" t="s">
        <v>204</v>
      </c>
      <c r="O192" t="s">
        <v>1553</v>
      </c>
      <c r="P192" s="80">
        <v>0.20399999999999999</v>
      </c>
      <c r="Q192" t="s">
        <v>1869</v>
      </c>
    </row>
    <row r="193" spans="1:17" x14ac:dyDescent="0.6">
      <c r="A193">
        <v>192</v>
      </c>
      <c r="B193" t="s">
        <v>741</v>
      </c>
      <c r="C193">
        <v>950</v>
      </c>
      <c r="D193" t="s">
        <v>569</v>
      </c>
      <c r="E193" s="69">
        <v>45810</v>
      </c>
      <c r="F193" t="s">
        <v>201</v>
      </c>
      <c r="G193" t="s">
        <v>202</v>
      </c>
      <c r="H193">
        <v>13</v>
      </c>
      <c r="I193" s="76" t="s">
        <v>1908</v>
      </c>
      <c r="J193">
        <v>2025</v>
      </c>
      <c r="K193" s="69">
        <v>45966</v>
      </c>
      <c r="L193" t="s">
        <v>654</v>
      </c>
      <c r="M193" t="s">
        <v>571</v>
      </c>
      <c r="N193" t="s">
        <v>204</v>
      </c>
      <c r="O193" t="s">
        <v>1553</v>
      </c>
      <c r="P193" s="80">
        <v>0.182</v>
      </c>
      <c r="Q193" t="s">
        <v>1869</v>
      </c>
    </row>
    <row r="194" spans="1:17" x14ac:dyDescent="0.6">
      <c r="A194">
        <v>193</v>
      </c>
      <c r="B194" t="s">
        <v>744</v>
      </c>
      <c r="C194">
        <v>950</v>
      </c>
      <c r="D194" t="s">
        <v>569</v>
      </c>
      <c r="E194" s="69">
        <v>45810</v>
      </c>
      <c r="F194" t="s">
        <v>201</v>
      </c>
      <c r="G194" t="s">
        <v>202</v>
      </c>
      <c r="H194">
        <v>13</v>
      </c>
      <c r="I194" s="76" t="s">
        <v>1908</v>
      </c>
      <c r="J194">
        <v>2025</v>
      </c>
      <c r="K194" s="69">
        <v>45966</v>
      </c>
      <c r="L194" t="s">
        <v>654</v>
      </c>
      <c r="M194" t="s">
        <v>571</v>
      </c>
      <c r="N194" t="s">
        <v>204</v>
      </c>
      <c r="O194" t="s">
        <v>1553</v>
      </c>
      <c r="P194" s="80">
        <v>0.16869999999999999</v>
      </c>
      <c r="Q194" t="s">
        <v>1869</v>
      </c>
    </row>
    <row r="195" spans="1:17" x14ac:dyDescent="0.6">
      <c r="A195">
        <v>194</v>
      </c>
      <c r="B195" t="s">
        <v>747</v>
      </c>
      <c r="C195">
        <v>950</v>
      </c>
      <c r="D195" t="s">
        <v>569</v>
      </c>
      <c r="E195" s="69">
        <v>45810</v>
      </c>
      <c r="F195" t="s">
        <v>201</v>
      </c>
      <c r="G195" t="s">
        <v>202</v>
      </c>
      <c r="H195">
        <v>13</v>
      </c>
      <c r="I195" s="76" t="s">
        <v>1908</v>
      </c>
      <c r="J195">
        <v>2025</v>
      </c>
      <c r="K195" s="69">
        <v>45966</v>
      </c>
      <c r="L195" t="s">
        <v>654</v>
      </c>
      <c r="M195" t="s">
        <v>571</v>
      </c>
      <c r="N195" t="s">
        <v>204</v>
      </c>
      <c r="O195" t="s">
        <v>1553</v>
      </c>
      <c r="P195" s="80">
        <v>0.2046</v>
      </c>
      <c r="Q195" t="s">
        <v>1869</v>
      </c>
    </row>
    <row r="196" spans="1:17" x14ac:dyDescent="0.6">
      <c r="A196">
        <v>195</v>
      </c>
      <c r="B196" t="s">
        <v>750</v>
      </c>
      <c r="C196">
        <v>950</v>
      </c>
      <c r="D196" t="s">
        <v>569</v>
      </c>
      <c r="E196" s="69">
        <v>45810</v>
      </c>
      <c r="F196" t="s">
        <v>201</v>
      </c>
      <c r="G196" t="s">
        <v>202</v>
      </c>
      <c r="H196">
        <v>13</v>
      </c>
      <c r="I196" s="76" t="s">
        <v>1908</v>
      </c>
      <c r="J196">
        <v>2025</v>
      </c>
      <c r="K196" s="69">
        <v>45966</v>
      </c>
      <c r="L196" t="s">
        <v>654</v>
      </c>
      <c r="M196" t="s">
        <v>571</v>
      </c>
      <c r="N196" t="s">
        <v>204</v>
      </c>
      <c r="O196" t="s">
        <v>1553</v>
      </c>
      <c r="P196" s="80">
        <v>0.161</v>
      </c>
      <c r="Q196" t="s">
        <v>1869</v>
      </c>
    </row>
    <row r="197" spans="1:17" x14ac:dyDescent="0.6">
      <c r="A197">
        <v>196</v>
      </c>
      <c r="B197" t="s">
        <v>753</v>
      </c>
      <c r="C197">
        <v>950</v>
      </c>
      <c r="D197" t="s">
        <v>569</v>
      </c>
      <c r="E197" s="69">
        <v>45810</v>
      </c>
      <c r="F197" t="s">
        <v>201</v>
      </c>
      <c r="G197" t="s">
        <v>202</v>
      </c>
      <c r="H197">
        <v>13</v>
      </c>
      <c r="I197" s="76" t="s">
        <v>1908</v>
      </c>
      <c r="J197">
        <v>2025</v>
      </c>
      <c r="K197" s="69">
        <v>45966</v>
      </c>
      <c r="L197" t="s">
        <v>654</v>
      </c>
      <c r="M197" t="s">
        <v>571</v>
      </c>
      <c r="N197" t="s">
        <v>204</v>
      </c>
      <c r="O197" t="s">
        <v>1553</v>
      </c>
      <c r="P197" s="80">
        <v>0.1154</v>
      </c>
      <c r="Q197" t="s">
        <v>1869</v>
      </c>
    </row>
    <row r="198" spans="1:17" x14ac:dyDescent="0.6">
      <c r="A198">
        <v>197</v>
      </c>
      <c r="B198" t="s">
        <v>756</v>
      </c>
      <c r="C198">
        <v>950</v>
      </c>
      <c r="D198" t="s">
        <v>569</v>
      </c>
      <c r="E198" s="69">
        <v>45833</v>
      </c>
      <c r="F198" t="s">
        <v>201</v>
      </c>
      <c r="G198" t="s">
        <v>202</v>
      </c>
      <c r="H198">
        <v>13</v>
      </c>
      <c r="I198" s="76" t="s">
        <v>1906</v>
      </c>
      <c r="J198">
        <v>2025</v>
      </c>
      <c r="K198" t="s">
        <v>1909</v>
      </c>
      <c r="L198" t="s">
        <v>654</v>
      </c>
      <c r="M198" t="s">
        <v>571</v>
      </c>
      <c r="N198" t="s">
        <v>204</v>
      </c>
      <c r="O198" t="s">
        <v>1553</v>
      </c>
      <c r="P198" s="80">
        <v>0.15279999999999999</v>
      </c>
      <c r="Q198" t="s">
        <v>1869</v>
      </c>
    </row>
    <row r="199" spans="1:17" x14ac:dyDescent="0.6">
      <c r="A199">
        <v>198</v>
      </c>
      <c r="B199" t="s">
        <v>759</v>
      </c>
      <c r="C199">
        <v>950</v>
      </c>
      <c r="D199" t="s">
        <v>569</v>
      </c>
      <c r="E199" s="69">
        <v>45833</v>
      </c>
      <c r="F199" t="s">
        <v>201</v>
      </c>
      <c r="G199" t="s">
        <v>202</v>
      </c>
      <c r="H199">
        <v>13</v>
      </c>
      <c r="I199" s="76" t="s">
        <v>1906</v>
      </c>
      <c r="J199">
        <v>2025</v>
      </c>
      <c r="K199" t="s">
        <v>1909</v>
      </c>
      <c r="L199" t="s">
        <v>654</v>
      </c>
      <c r="M199" t="s">
        <v>571</v>
      </c>
      <c r="N199" t="s">
        <v>204</v>
      </c>
      <c r="O199" t="s">
        <v>1553</v>
      </c>
      <c r="P199" s="80">
        <v>0.1603</v>
      </c>
      <c r="Q199" t="s">
        <v>1869</v>
      </c>
    </row>
    <row r="200" spans="1:17" x14ac:dyDescent="0.6">
      <c r="A200">
        <v>199</v>
      </c>
      <c r="B200" t="s">
        <v>762</v>
      </c>
      <c r="C200">
        <v>950</v>
      </c>
      <c r="D200" t="s">
        <v>569</v>
      </c>
      <c r="E200" s="69">
        <v>45833</v>
      </c>
      <c r="F200" t="s">
        <v>201</v>
      </c>
      <c r="G200" t="s">
        <v>202</v>
      </c>
      <c r="H200">
        <v>13</v>
      </c>
      <c r="I200" s="76" t="s">
        <v>1906</v>
      </c>
      <c r="J200">
        <v>2025</v>
      </c>
      <c r="K200" t="s">
        <v>1909</v>
      </c>
      <c r="L200" t="s">
        <v>654</v>
      </c>
      <c r="M200" t="s">
        <v>571</v>
      </c>
      <c r="N200" t="s">
        <v>204</v>
      </c>
      <c r="O200" t="s">
        <v>1553</v>
      </c>
      <c r="P200" s="80">
        <v>0.1114</v>
      </c>
      <c r="Q200" t="s">
        <v>1869</v>
      </c>
    </row>
    <row r="201" spans="1:17" x14ac:dyDescent="0.6">
      <c r="A201">
        <v>200</v>
      </c>
      <c r="B201" t="s">
        <v>765</v>
      </c>
      <c r="C201">
        <v>950</v>
      </c>
      <c r="D201" t="s">
        <v>569</v>
      </c>
      <c r="E201" s="69">
        <v>45833</v>
      </c>
      <c r="F201" t="s">
        <v>201</v>
      </c>
      <c r="G201" t="s">
        <v>202</v>
      </c>
      <c r="H201">
        <v>13</v>
      </c>
      <c r="I201" s="76" t="s">
        <v>1906</v>
      </c>
      <c r="J201">
        <v>2025</v>
      </c>
      <c r="K201" t="s">
        <v>1909</v>
      </c>
      <c r="L201" t="s">
        <v>654</v>
      </c>
      <c r="M201" t="s">
        <v>571</v>
      </c>
      <c r="N201" t="s">
        <v>204</v>
      </c>
      <c r="O201" t="s">
        <v>1553</v>
      </c>
      <c r="P201" s="80">
        <v>0.14699999999999999</v>
      </c>
      <c r="Q201" t="s">
        <v>1869</v>
      </c>
    </row>
    <row r="202" spans="1:17" x14ac:dyDescent="0.6">
      <c r="A202">
        <v>201</v>
      </c>
      <c r="B202" t="s">
        <v>768</v>
      </c>
      <c r="C202">
        <v>950</v>
      </c>
      <c r="D202" t="s">
        <v>569</v>
      </c>
      <c r="E202" s="69">
        <v>45833</v>
      </c>
      <c r="F202" t="s">
        <v>201</v>
      </c>
      <c r="G202" t="s">
        <v>202</v>
      </c>
      <c r="H202">
        <v>13</v>
      </c>
      <c r="I202" s="76" t="s">
        <v>1906</v>
      </c>
      <c r="J202">
        <v>2025</v>
      </c>
      <c r="K202" t="s">
        <v>1909</v>
      </c>
      <c r="L202" t="s">
        <v>654</v>
      </c>
      <c r="M202" t="s">
        <v>571</v>
      </c>
      <c r="N202" t="s">
        <v>204</v>
      </c>
      <c r="O202" t="s">
        <v>1553</v>
      </c>
      <c r="P202" s="80">
        <v>0.14580000000000001</v>
      </c>
      <c r="Q202" t="s">
        <v>1869</v>
      </c>
    </row>
    <row r="203" spans="1:17" x14ac:dyDescent="0.6">
      <c r="A203">
        <v>202</v>
      </c>
      <c r="B203" t="s">
        <v>771</v>
      </c>
      <c r="C203">
        <v>950</v>
      </c>
      <c r="D203" t="s">
        <v>569</v>
      </c>
      <c r="E203" s="69">
        <v>45833</v>
      </c>
      <c r="F203" t="s">
        <v>201</v>
      </c>
      <c r="G203" t="s">
        <v>202</v>
      </c>
      <c r="H203">
        <v>13</v>
      </c>
      <c r="I203" s="76" t="s">
        <v>1906</v>
      </c>
      <c r="J203">
        <v>2025</v>
      </c>
      <c r="K203" t="s">
        <v>1909</v>
      </c>
      <c r="L203" t="s">
        <v>654</v>
      </c>
      <c r="M203" t="s">
        <v>571</v>
      </c>
      <c r="N203" t="s">
        <v>204</v>
      </c>
      <c r="O203" t="s">
        <v>1553</v>
      </c>
      <c r="P203" s="80">
        <v>9.3299999999999994E-2</v>
      </c>
      <c r="Q203" t="s">
        <v>1869</v>
      </c>
    </row>
    <row r="204" spans="1:17" x14ac:dyDescent="0.6">
      <c r="A204">
        <v>203</v>
      </c>
      <c r="B204" t="s">
        <v>774</v>
      </c>
      <c r="C204">
        <v>950</v>
      </c>
      <c r="D204" t="s">
        <v>569</v>
      </c>
      <c r="E204" s="69">
        <v>45833</v>
      </c>
      <c r="F204" t="s">
        <v>201</v>
      </c>
      <c r="G204" t="s">
        <v>202</v>
      </c>
      <c r="H204">
        <v>13</v>
      </c>
      <c r="I204" s="76" t="s">
        <v>1906</v>
      </c>
      <c r="J204">
        <v>2025</v>
      </c>
      <c r="K204" t="s">
        <v>1909</v>
      </c>
      <c r="L204" t="s">
        <v>654</v>
      </c>
      <c r="M204" t="s">
        <v>571</v>
      </c>
      <c r="N204" t="s">
        <v>204</v>
      </c>
      <c r="O204" t="s">
        <v>1553</v>
      </c>
      <c r="P204" s="80">
        <v>0.1331</v>
      </c>
      <c r="Q204" t="s">
        <v>1869</v>
      </c>
    </row>
    <row r="205" spans="1:17" x14ac:dyDescent="0.6">
      <c r="A205">
        <v>204</v>
      </c>
      <c r="B205" t="s">
        <v>777</v>
      </c>
      <c r="C205">
        <v>950</v>
      </c>
      <c r="D205" t="s">
        <v>569</v>
      </c>
      <c r="E205" s="69">
        <v>45833</v>
      </c>
      <c r="F205" t="s">
        <v>201</v>
      </c>
      <c r="G205" t="s">
        <v>202</v>
      </c>
      <c r="H205">
        <v>13</v>
      </c>
      <c r="I205" s="76" t="s">
        <v>1906</v>
      </c>
      <c r="J205">
        <v>2025</v>
      </c>
      <c r="K205" t="s">
        <v>1909</v>
      </c>
      <c r="L205" t="s">
        <v>654</v>
      </c>
      <c r="M205" t="s">
        <v>571</v>
      </c>
      <c r="N205" t="s">
        <v>204</v>
      </c>
      <c r="O205" t="s">
        <v>1553</v>
      </c>
      <c r="P205" s="80">
        <v>0.24199999999999999</v>
      </c>
      <c r="Q205" t="s">
        <v>1869</v>
      </c>
    </row>
    <row r="206" spans="1:17" x14ac:dyDescent="0.6">
      <c r="A206">
        <v>205</v>
      </c>
      <c r="B206" t="s">
        <v>780</v>
      </c>
      <c r="C206">
        <v>950</v>
      </c>
      <c r="D206" t="s">
        <v>569</v>
      </c>
      <c r="E206" s="69">
        <v>45833</v>
      </c>
      <c r="F206" t="s">
        <v>201</v>
      </c>
      <c r="G206" t="s">
        <v>202</v>
      </c>
      <c r="H206">
        <v>13</v>
      </c>
      <c r="I206" s="76" t="s">
        <v>1906</v>
      </c>
      <c r="J206">
        <v>2025</v>
      </c>
      <c r="K206" t="s">
        <v>1909</v>
      </c>
      <c r="L206" t="s">
        <v>654</v>
      </c>
      <c r="M206" t="s">
        <v>571</v>
      </c>
      <c r="N206" t="s">
        <v>204</v>
      </c>
      <c r="O206" t="s">
        <v>1553</v>
      </c>
      <c r="P206" s="80">
        <v>9.1700000000000004E-2</v>
      </c>
      <c r="Q206" t="s">
        <v>1869</v>
      </c>
    </row>
    <row r="207" spans="1:17" x14ac:dyDescent="0.6">
      <c r="A207">
        <v>206</v>
      </c>
      <c r="B207" t="s">
        <v>783</v>
      </c>
      <c r="C207">
        <v>950</v>
      </c>
      <c r="D207" t="s">
        <v>569</v>
      </c>
      <c r="E207" s="69">
        <v>45833</v>
      </c>
      <c r="F207" t="s">
        <v>201</v>
      </c>
      <c r="G207" t="s">
        <v>202</v>
      </c>
      <c r="H207">
        <v>13</v>
      </c>
      <c r="I207" s="76" t="s">
        <v>1906</v>
      </c>
      <c r="J207">
        <v>2025</v>
      </c>
      <c r="K207" t="s">
        <v>1909</v>
      </c>
      <c r="L207" t="s">
        <v>654</v>
      </c>
      <c r="M207" t="s">
        <v>571</v>
      </c>
      <c r="N207" t="s">
        <v>204</v>
      </c>
      <c r="O207" t="s">
        <v>1553</v>
      </c>
      <c r="P207" s="80">
        <v>0.2417</v>
      </c>
      <c r="Q207" t="s">
        <v>1869</v>
      </c>
    </row>
    <row r="208" spans="1:17" x14ac:dyDescent="0.6">
      <c r="A208">
        <v>207</v>
      </c>
      <c r="B208" t="s">
        <v>786</v>
      </c>
      <c r="C208">
        <v>1900</v>
      </c>
      <c r="D208" t="s">
        <v>179</v>
      </c>
      <c r="E208" s="69">
        <v>45817</v>
      </c>
      <c r="F208" t="s">
        <v>201</v>
      </c>
      <c r="G208" t="s">
        <v>202</v>
      </c>
      <c r="H208">
        <v>15.5</v>
      </c>
      <c r="I208" s="76" t="s">
        <v>1910</v>
      </c>
      <c r="J208">
        <v>2025</v>
      </c>
      <c r="K208" s="69">
        <v>45936</v>
      </c>
      <c r="L208" t="s">
        <v>654</v>
      </c>
      <c r="M208" t="s">
        <v>571</v>
      </c>
      <c r="N208" t="s">
        <v>204</v>
      </c>
      <c r="O208" t="s">
        <v>1868</v>
      </c>
      <c r="P208" s="80">
        <v>0.1507</v>
      </c>
      <c r="Q208" t="s">
        <v>1869</v>
      </c>
    </row>
    <row r="209" spans="1:17" x14ac:dyDescent="0.6">
      <c r="A209">
        <v>208</v>
      </c>
      <c r="B209" t="s">
        <v>789</v>
      </c>
      <c r="C209">
        <v>1900</v>
      </c>
      <c r="D209" t="s">
        <v>179</v>
      </c>
      <c r="E209" s="69">
        <v>45817</v>
      </c>
      <c r="F209" t="s">
        <v>201</v>
      </c>
      <c r="G209" t="s">
        <v>202</v>
      </c>
      <c r="H209">
        <v>15.5</v>
      </c>
      <c r="I209" s="76" t="s">
        <v>1910</v>
      </c>
      <c r="J209">
        <v>2025</v>
      </c>
      <c r="K209" s="69">
        <v>45936</v>
      </c>
      <c r="L209" t="s">
        <v>654</v>
      </c>
      <c r="M209" t="s">
        <v>571</v>
      </c>
      <c r="N209" t="s">
        <v>204</v>
      </c>
      <c r="O209" t="s">
        <v>1868</v>
      </c>
      <c r="P209" s="80">
        <v>0.12670000000000001</v>
      </c>
      <c r="Q209" t="s">
        <v>1869</v>
      </c>
    </row>
    <row r="210" spans="1:17" x14ac:dyDescent="0.6">
      <c r="A210">
        <v>209</v>
      </c>
      <c r="B210" t="s">
        <v>792</v>
      </c>
      <c r="C210">
        <v>1900</v>
      </c>
      <c r="D210" t="s">
        <v>179</v>
      </c>
      <c r="E210" s="69">
        <v>45817</v>
      </c>
      <c r="F210" t="s">
        <v>201</v>
      </c>
      <c r="G210" t="s">
        <v>202</v>
      </c>
      <c r="H210">
        <v>15.5</v>
      </c>
      <c r="I210" s="76" t="s">
        <v>1910</v>
      </c>
      <c r="J210">
        <v>2025</v>
      </c>
      <c r="K210" s="69">
        <v>45936</v>
      </c>
      <c r="L210" t="s">
        <v>654</v>
      </c>
      <c r="M210" t="s">
        <v>571</v>
      </c>
      <c r="N210" t="s">
        <v>204</v>
      </c>
      <c r="O210" t="s">
        <v>1868</v>
      </c>
      <c r="P210" s="80">
        <v>0.22670000000000001</v>
      </c>
      <c r="Q210" t="s">
        <v>1869</v>
      </c>
    </row>
    <row r="211" spans="1:17" x14ac:dyDescent="0.6">
      <c r="A211">
        <v>210</v>
      </c>
      <c r="B211" t="s">
        <v>795</v>
      </c>
      <c r="C211">
        <v>1900</v>
      </c>
      <c r="D211" t="s">
        <v>179</v>
      </c>
      <c r="E211" s="69">
        <v>45817</v>
      </c>
      <c r="F211" t="s">
        <v>201</v>
      </c>
      <c r="G211" t="s">
        <v>202</v>
      </c>
      <c r="H211">
        <v>15.5</v>
      </c>
      <c r="I211" s="76" t="s">
        <v>1910</v>
      </c>
      <c r="J211">
        <v>2025</v>
      </c>
      <c r="K211" s="69">
        <v>45936</v>
      </c>
      <c r="L211" t="s">
        <v>654</v>
      </c>
      <c r="M211" t="s">
        <v>571</v>
      </c>
      <c r="N211" t="s">
        <v>204</v>
      </c>
      <c r="O211" t="s">
        <v>1868</v>
      </c>
      <c r="P211" s="80">
        <v>0.18179999999999999</v>
      </c>
      <c r="Q211" t="s">
        <v>1869</v>
      </c>
    </row>
    <row r="212" spans="1:17" x14ac:dyDescent="0.6">
      <c r="A212">
        <v>211</v>
      </c>
      <c r="B212" t="s">
        <v>798</v>
      </c>
      <c r="C212">
        <v>1900</v>
      </c>
      <c r="D212" t="s">
        <v>179</v>
      </c>
      <c r="E212" s="69">
        <v>45817</v>
      </c>
      <c r="F212" t="s">
        <v>201</v>
      </c>
      <c r="G212" t="s">
        <v>202</v>
      </c>
      <c r="H212">
        <v>15.5</v>
      </c>
      <c r="I212" s="76" t="s">
        <v>1910</v>
      </c>
      <c r="J212">
        <v>2025</v>
      </c>
      <c r="K212" s="69">
        <v>45936</v>
      </c>
      <c r="L212" t="s">
        <v>654</v>
      </c>
      <c r="M212" t="s">
        <v>571</v>
      </c>
      <c r="N212" t="s">
        <v>204</v>
      </c>
      <c r="O212" t="s">
        <v>1868</v>
      </c>
      <c r="P212" s="80">
        <v>0.15190000000000001</v>
      </c>
      <c r="Q212" t="s">
        <v>1869</v>
      </c>
    </row>
    <row r="213" spans="1:17" x14ac:dyDescent="0.6">
      <c r="A213">
        <v>212</v>
      </c>
      <c r="B213" t="s">
        <v>801</v>
      </c>
      <c r="C213">
        <v>1900</v>
      </c>
      <c r="D213" t="s">
        <v>179</v>
      </c>
      <c r="E213" s="69">
        <v>45817</v>
      </c>
      <c r="F213" t="s">
        <v>201</v>
      </c>
      <c r="G213" t="s">
        <v>202</v>
      </c>
      <c r="H213">
        <v>15.5</v>
      </c>
      <c r="I213" s="76" t="s">
        <v>1910</v>
      </c>
      <c r="J213">
        <v>2025</v>
      </c>
      <c r="K213" s="69">
        <v>45936</v>
      </c>
      <c r="L213" t="s">
        <v>654</v>
      </c>
      <c r="M213" t="s">
        <v>571</v>
      </c>
      <c r="N213" t="s">
        <v>204</v>
      </c>
      <c r="O213" t="s">
        <v>1868</v>
      </c>
      <c r="P213" s="80">
        <v>0.14990000000000001</v>
      </c>
      <c r="Q213" t="s">
        <v>1869</v>
      </c>
    </row>
    <row r="214" spans="1:17" x14ac:dyDescent="0.6">
      <c r="A214">
        <v>213</v>
      </c>
      <c r="B214" t="s">
        <v>804</v>
      </c>
      <c r="C214">
        <v>1900</v>
      </c>
      <c r="D214" t="s">
        <v>179</v>
      </c>
      <c r="E214" s="69">
        <v>45817</v>
      </c>
      <c r="F214" t="s">
        <v>201</v>
      </c>
      <c r="G214" t="s">
        <v>202</v>
      </c>
      <c r="H214">
        <v>15.5</v>
      </c>
      <c r="I214" s="76" t="s">
        <v>1910</v>
      </c>
      <c r="J214">
        <v>2025</v>
      </c>
      <c r="K214" s="69">
        <v>45936</v>
      </c>
      <c r="L214" t="s">
        <v>654</v>
      </c>
      <c r="M214" t="s">
        <v>571</v>
      </c>
      <c r="N214" t="s">
        <v>204</v>
      </c>
      <c r="O214" t="s">
        <v>1868</v>
      </c>
      <c r="P214" s="80">
        <v>0.21579999999999999</v>
      </c>
      <c r="Q214" t="s">
        <v>1869</v>
      </c>
    </row>
    <row r="215" spans="1:17" x14ac:dyDescent="0.6">
      <c r="A215">
        <v>214</v>
      </c>
      <c r="B215" t="s">
        <v>807</v>
      </c>
      <c r="C215">
        <v>1900</v>
      </c>
      <c r="D215" t="s">
        <v>179</v>
      </c>
      <c r="E215" s="69">
        <v>45817</v>
      </c>
      <c r="F215" t="s">
        <v>201</v>
      </c>
      <c r="G215" t="s">
        <v>202</v>
      </c>
      <c r="H215">
        <v>15.5</v>
      </c>
      <c r="I215" s="76" t="s">
        <v>1910</v>
      </c>
      <c r="J215">
        <v>2025</v>
      </c>
      <c r="K215" s="69">
        <v>45936</v>
      </c>
      <c r="L215" t="s">
        <v>654</v>
      </c>
      <c r="M215" t="s">
        <v>571</v>
      </c>
      <c r="N215" t="s">
        <v>204</v>
      </c>
      <c r="O215" t="s">
        <v>1868</v>
      </c>
      <c r="P215" s="80">
        <v>0.22209999999999999</v>
      </c>
      <c r="Q215" t="s">
        <v>1869</v>
      </c>
    </row>
    <row r="216" spans="1:17" x14ac:dyDescent="0.6">
      <c r="A216">
        <v>215</v>
      </c>
      <c r="B216" t="s">
        <v>810</v>
      </c>
      <c r="C216">
        <v>1900</v>
      </c>
      <c r="D216" t="s">
        <v>179</v>
      </c>
      <c r="E216" s="69">
        <v>45839</v>
      </c>
      <c r="F216" t="s">
        <v>201</v>
      </c>
      <c r="G216" t="s">
        <v>202</v>
      </c>
      <c r="H216">
        <v>15.5</v>
      </c>
      <c r="I216" s="76" t="s">
        <v>1911</v>
      </c>
      <c r="J216">
        <v>2025</v>
      </c>
      <c r="K216" s="69">
        <v>45784</v>
      </c>
      <c r="L216" t="s">
        <v>654</v>
      </c>
      <c r="M216" t="s">
        <v>571</v>
      </c>
      <c r="N216" t="s">
        <v>204</v>
      </c>
      <c r="O216" t="s">
        <v>1868</v>
      </c>
      <c r="P216" s="80">
        <v>0.23219999999999999</v>
      </c>
      <c r="Q216" t="s">
        <v>1869</v>
      </c>
    </row>
    <row r="217" spans="1:17" x14ac:dyDescent="0.6">
      <c r="A217">
        <v>216</v>
      </c>
      <c r="B217" t="s">
        <v>813</v>
      </c>
      <c r="C217">
        <v>1900</v>
      </c>
      <c r="D217" t="s">
        <v>179</v>
      </c>
      <c r="E217" s="69">
        <v>45839</v>
      </c>
      <c r="F217" t="s">
        <v>201</v>
      </c>
      <c r="G217" t="s">
        <v>226</v>
      </c>
      <c r="H217">
        <v>15.5</v>
      </c>
      <c r="I217" s="76" t="s">
        <v>1911</v>
      </c>
      <c r="J217">
        <v>2025</v>
      </c>
      <c r="K217" s="69">
        <v>45784</v>
      </c>
      <c r="L217" t="s">
        <v>654</v>
      </c>
      <c r="M217" t="s">
        <v>571</v>
      </c>
      <c r="N217" t="s">
        <v>204</v>
      </c>
      <c r="O217" t="s">
        <v>1868</v>
      </c>
      <c r="P217" s="80">
        <v>0.23519999999999999</v>
      </c>
      <c r="Q217" t="s">
        <v>1869</v>
      </c>
    </row>
    <row r="218" spans="1:17" x14ac:dyDescent="0.6">
      <c r="A218">
        <v>217</v>
      </c>
      <c r="B218" t="s">
        <v>816</v>
      </c>
      <c r="C218">
        <v>1900</v>
      </c>
      <c r="D218" t="s">
        <v>179</v>
      </c>
      <c r="E218" s="69">
        <v>45839</v>
      </c>
      <c r="F218" t="s">
        <v>180</v>
      </c>
      <c r="G218" t="s">
        <v>180</v>
      </c>
      <c r="H218">
        <v>15.5</v>
      </c>
      <c r="I218" s="76" t="s">
        <v>1911</v>
      </c>
      <c r="J218">
        <v>2025</v>
      </c>
      <c r="K218" s="69">
        <v>45784</v>
      </c>
      <c r="L218" t="s">
        <v>654</v>
      </c>
      <c r="M218" t="s">
        <v>571</v>
      </c>
      <c r="N218" t="s">
        <v>204</v>
      </c>
      <c r="O218" t="s">
        <v>1868</v>
      </c>
      <c r="P218" s="80">
        <v>0.2379</v>
      </c>
      <c r="Q218" t="s">
        <v>1869</v>
      </c>
    </row>
    <row r="219" spans="1:17" x14ac:dyDescent="0.6">
      <c r="A219">
        <v>218</v>
      </c>
      <c r="B219" t="s">
        <v>819</v>
      </c>
      <c r="C219">
        <v>1900</v>
      </c>
      <c r="D219" t="s">
        <v>179</v>
      </c>
      <c r="E219" s="69">
        <v>45839</v>
      </c>
      <c r="F219" t="s">
        <v>201</v>
      </c>
      <c r="G219" t="s">
        <v>202</v>
      </c>
      <c r="H219">
        <v>15.5</v>
      </c>
      <c r="I219" s="76" t="s">
        <v>1911</v>
      </c>
      <c r="J219">
        <v>2025</v>
      </c>
      <c r="K219" s="69">
        <v>45784</v>
      </c>
      <c r="L219" t="s">
        <v>654</v>
      </c>
      <c r="M219" t="s">
        <v>571</v>
      </c>
      <c r="N219" t="s">
        <v>204</v>
      </c>
      <c r="O219" t="s">
        <v>1868</v>
      </c>
      <c r="P219" s="80">
        <v>0.185</v>
      </c>
      <c r="Q219" t="s">
        <v>1869</v>
      </c>
    </row>
    <row r="220" spans="1:17" x14ac:dyDescent="0.6">
      <c r="A220">
        <v>219</v>
      </c>
      <c r="B220" t="s">
        <v>822</v>
      </c>
      <c r="C220">
        <v>1900</v>
      </c>
      <c r="D220" t="s">
        <v>179</v>
      </c>
      <c r="E220" s="69">
        <v>45839</v>
      </c>
      <c r="F220" t="s">
        <v>201</v>
      </c>
      <c r="G220" t="s">
        <v>202</v>
      </c>
      <c r="H220">
        <v>15.5</v>
      </c>
      <c r="I220" s="76" t="s">
        <v>1911</v>
      </c>
      <c r="J220">
        <v>2025</v>
      </c>
      <c r="K220" s="69">
        <v>45784</v>
      </c>
      <c r="L220" t="s">
        <v>654</v>
      </c>
      <c r="M220" t="s">
        <v>571</v>
      </c>
      <c r="N220" t="s">
        <v>204</v>
      </c>
      <c r="O220" t="s">
        <v>1868</v>
      </c>
      <c r="P220" s="80">
        <v>0.14330000000000001</v>
      </c>
      <c r="Q220" t="s">
        <v>1869</v>
      </c>
    </row>
    <row r="221" spans="1:17" x14ac:dyDescent="0.6">
      <c r="A221">
        <v>220</v>
      </c>
      <c r="B221" t="s">
        <v>825</v>
      </c>
      <c r="C221">
        <v>1900</v>
      </c>
      <c r="D221" t="s">
        <v>179</v>
      </c>
      <c r="E221" s="69">
        <v>45839</v>
      </c>
      <c r="F221" t="s">
        <v>201</v>
      </c>
      <c r="G221" t="s">
        <v>202</v>
      </c>
      <c r="H221">
        <v>15.5</v>
      </c>
      <c r="I221" s="76" t="s">
        <v>1911</v>
      </c>
      <c r="J221">
        <v>2025</v>
      </c>
      <c r="K221" s="69">
        <v>45784</v>
      </c>
      <c r="L221" t="s">
        <v>654</v>
      </c>
      <c r="M221" t="s">
        <v>571</v>
      </c>
      <c r="N221" t="s">
        <v>204</v>
      </c>
      <c r="O221" t="s">
        <v>1868</v>
      </c>
      <c r="P221" s="80">
        <v>0.2175</v>
      </c>
      <c r="Q221" t="s">
        <v>1869</v>
      </c>
    </row>
    <row r="222" spans="1:17" x14ac:dyDescent="0.6">
      <c r="A222">
        <v>221</v>
      </c>
      <c r="B222" s="73" t="s">
        <v>828</v>
      </c>
      <c r="C222">
        <v>1900</v>
      </c>
      <c r="D222" t="s">
        <v>179</v>
      </c>
      <c r="E222" s="69">
        <v>45847</v>
      </c>
      <c r="F222" t="s">
        <v>201</v>
      </c>
      <c r="G222" t="s">
        <v>202</v>
      </c>
      <c r="H222">
        <v>15.5</v>
      </c>
      <c r="I222" s="76" t="s">
        <v>1912</v>
      </c>
      <c r="J222">
        <v>2025</v>
      </c>
      <c r="K222" s="69">
        <v>45968</v>
      </c>
      <c r="L222" t="s">
        <v>654</v>
      </c>
      <c r="M222" t="s">
        <v>571</v>
      </c>
      <c r="N222" t="s">
        <v>204</v>
      </c>
      <c r="O222" t="s">
        <v>1868</v>
      </c>
      <c r="P222" s="80">
        <v>0.16669999999999999</v>
      </c>
      <c r="Q222" t="s">
        <v>1869</v>
      </c>
    </row>
    <row r="223" spans="1:17" x14ac:dyDescent="0.6">
      <c r="A223">
        <v>222</v>
      </c>
      <c r="B223" t="s">
        <v>831</v>
      </c>
      <c r="C223">
        <v>1900</v>
      </c>
      <c r="D223" t="s">
        <v>179</v>
      </c>
      <c r="E223" s="69">
        <v>45847</v>
      </c>
      <c r="F223" t="s">
        <v>201</v>
      </c>
      <c r="G223" t="s">
        <v>202</v>
      </c>
      <c r="H223">
        <v>15.5</v>
      </c>
      <c r="I223" s="76" t="s">
        <v>1911</v>
      </c>
      <c r="J223">
        <v>2025</v>
      </c>
      <c r="K223" s="69">
        <v>45784</v>
      </c>
      <c r="L223" t="s">
        <v>654</v>
      </c>
      <c r="M223" t="s">
        <v>571</v>
      </c>
      <c r="N223" t="s">
        <v>204</v>
      </c>
      <c r="O223" t="s">
        <v>1868</v>
      </c>
      <c r="P223" s="80">
        <v>0.1993</v>
      </c>
      <c r="Q223" t="s">
        <v>1869</v>
      </c>
    </row>
    <row r="224" spans="1:17" x14ac:dyDescent="0.6">
      <c r="A224">
        <v>223</v>
      </c>
      <c r="B224" t="s">
        <v>834</v>
      </c>
      <c r="C224">
        <v>1900</v>
      </c>
      <c r="D224" t="s">
        <v>179</v>
      </c>
      <c r="E224" s="69">
        <v>45847</v>
      </c>
      <c r="F224" t="s">
        <v>180</v>
      </c>
      <c r="G224" t="s">
        <v>180</v>
      </c>
      <c r="H224">
        <v>15.5</v>
      </c>
      <c r="I224" s="76" t="s">
        <v>1911</v>
      </c>
      <c r="J224">
        <v>2025</v>
      </c>
      <c r="K224" s="69">
        <v>45784</v>
      </c>
      <c r="L224" t="s">
        <v>654</v>
      </c>
      <c r="M224" t="s">
        <v>571</v>
      </c>
      <c r="N224" t="s">
        <v>204</v>
      </c>
      <c r="O224" t="s">
        <v>1868</v>
      </c>
      <c r="P224" s="80">
        <v>0.24779999999999999</v>
      </c>
      <c r="Q224" t="s">
        <v>1869</v>
      </c>
    </row>
    <row r="225" spans="1:17" x14ac:dyDescent="0.6">
      <c r="A225">
        <v>224</v>
      </c>
      <c r="B225" t="s">
        <v>837</v>
      </c>
      <c r="C225">
        <v>1900</v>
      </c>
      <c r="D225" t="s">
        <v>179</v>
      </c>
      <c r="E225" s="69">
        <v>45847</v>
      </c>
      <c r="F225" t="s">
        <v>201</v>
      </c>
      <c r="G225" t="s">
        <v>202</v>
      </c>
      <c r="H225">
        <v>15.5</v>
      </c>
      <c r="I225" s="76" t="s">
        <v>1911</v>
      </c>
      <c r="J225">
        <v>2025</v>
      </c>
      <c r="K225" s="69">
        <v>45784</v>
      </c>
      <c r="L225" t="s">
        <v>654</v>
      </c>
      <c r="M225" t="s">
        <v>571</v>
      </c>
      <c r="N225" t="s">
        <v>204</v>
      </c>
      <c r="O225" t="s">
        <v>1868</v>
      </c>
      <c r="P225" s="80">
        <v>0.25700000000000001</v>
      </c>
      <c r="Q225" t="s">
        <v>1869</v>
      </c>
    </row>
    <row r="226" spans="1:17" x14ac:dyDescent="0.6">
      <c r="A226">
        <v>225</v>
      </c>
      <c r="B226" s="73" t="s">
        <v>840</v>
      </c>
      <c r="C226">
        <v>1900</v>
      </c>
      <c r="D226" t="s">
        <v>179</v>
      </c>
      <c r="E226" s="69">
        <v>45847</v>
      </c>
      <c r="F226" t="s">
        <v>201</v>
      </c>
      <c r="G226" t="s">
        <v>202</v>
      </c>
      <c r="H226">
        <v>15.5</v>
      </c>
      <c r="I226" s="76" t="s">
        <v>1912</v>
      </c>
      <c r="J226">
        <v>2025</v>
      </c>
      <c r="K226" s="69">
        <v>45968</v>
      </c>
      <c r="L226" t="s">
        <v>654</v>
      </c>
      <c r="M226" t="s">
        <v>571</v>
      </c>
      <c r="N226" t="s">
        <v>204</v>
      </c>
      <c r="O226" t="s">
        <v>1868</v>
      </c>
      <c r="P226" s="80">
        <v>0.23139999999999999</v>
      </c>
      <c r="Q226" t="s">
        <v>1869</v>
      </c>
    </row>
    <row r="227" spans="1:17" x14ac:dyDescent="0.6">
      <c r="A227">
        <v>226</v>
      </c>
      <c r="B227" s="73" t="s">
        <v>843</v>
      </c>
      <c r="C227">
        <v>1900</v>
      </c>
      <c r="D227" t="s">
        <v>179</v>
      </c>
      <c r="E227" s="69">
        <v>45847</v>
      </c>
      <c r="F227" t="s">
        <v>201</v>
      </c>
      <c r="G227" t="s">
        <v>202</v>
      </c>
      <c r="H227">
        <v>15.5</v>
      </c>
      <c r="I227" s="76" t="s">
        <v>1912</v>
      </c>
      <c r="J227">
        <v>2025</v>
      </c>
      <c r="K227" s="69">
        <v>45968</v>
      </c>
      <c r="L227" t="s">
        <v>654</v>
      </c>
      <c r="M227" t="s">
        <v>571</v>
      </c>
      <c r="N227" t="s">
        <v>204</v>
      </c>
      <c r="O227" t="s">
        <v>1868</v>
      </c>
      <c r="P227" s="80">
        <v>0.1769</v>
      </c>
      <c r="Q227" t="s">
        <v>1869</v>
      </c>
    </row>
    <row r="228" spans="1:17" x14ac:dyDescent="0.6">
      <c r="A228">
        <v>227</v>
      </c>
      <c r="B228" s="73" t="s">
        <v>846</v>
      </c>
      <c r="C228">
        <v>1900</v>
      </c>
      <c r="D228" t="s">
        <v>179</v>
      </c>
      <c r="E228" s="69">
        <v>45847</v>
      </c>
      <c r="F228" t="s">
        <v>201</v>
      </c>
      <c r="G228" t="s">
        <v>226</v>
      </c>
      <c r="H228">
        <v>15.5</v>
      </c>
      <c r="I228" s="76" t="s">
        <v>1912</v>
      </c>
      <c r="J228">
        <v>2025</v>
      </c>
      <c r="K228" s="69">
        <v>45968</v>
      </c>
      <c r="L228" t="s">
        <v>654</v>
      </c>
      <c r="M228" t="s">
        <v>571</v>
      </c>
      <c r="N228" t="s">
        <v>204</v>
      </c>
      <c r="O228" t="s">
        <v>1868</v>
      </c>
      <c r="P228" s="80">
        <v>0.23830000000000001</v>
      </c>
      <c r="Q228" t="s">
        <v>1869</v>
      </c>
    </row>
    <row r="229" spans="1:17" x14ac:dyDescent="0.6">
      <c r="A229">
        <v>228</v>
      </c>
      <c r="B229" s="73" t="s">
        <v>849</v>
      </c>
      <c r="C229">
        <v>1900</v>
      </c>
      <c r="D229" t="s">
        <v>179</v>
      </c>
      <c r="E229" s="69">
        <v>45847</v>
      </c>
      <c r="F229" t="s">
        <v>201</v>
      </c>
      <c r="G229" t="s">
        <v>202</v>
      </c>
      <c r="H229">
        <v>15.5</v>
      </c>
      <c r="I229" s="76" t="s">
        <v>1912</v>
      </c>
      <c r="J229">
        <v>2025</v>
      </c>
      <c r="K229" s="69">
        <v>45968</v>
      </c>
      <c r="L229" t="s">
        <v>654</v>
      </c>
      <c r="M229" t="s">
        <v>571</v>
      </c>
      <c r="N229" t="s">
        <v>204</v>
      </c>
      <c r="O229" t="s">
        <v>1868</v>
      </c>
      <c r="P229" s="80">
        <v>4.5999999999999999E-2</v>
      </c>
      <c r="Q229" t="s">
        <v>1869</v>
      </c>
    </row>
    <row r="230" spans="1:17" x14ac:dyDescent="0.6">
      <c r="A230">
        <v>229</v>
      </c>
      <c r="B230" t="s">
        <v>852</v>
      </c>
      <c r="C230">
        <v>1900</v>
      </c>
      <c r="D230" t="s">
        <v>179</v>
      </c>
      <c r="E230" s="69">
        <v>45847</v>
      </c>
      <c r="F230" t="s">
        <v>201</v>
      </c>
      <c r="G230" t="s">
        <v>202</v>
      </c>
      <c r="H230">
        <v>15.5</v>
      </c>
      <c r="I230" s="81">
        <v>45828</v>
      </c>
      <c r="J230">
        <v>2025</v>
      </c>
      <c r="K230" s="69">
        <v>45843</v>
      </c>
      <c r="L230" t="s">
        <v>654</v>
      </c>
      <c r="M230" t="s">
        <v>571</v>
      </c>
      <c r="N230" t="s">
        <v>204</v>
      </c>
      <c r="O230" t="s">
        <v>1868</v>
      </c>
      <c r="P230" s="80">
        <v>0.22489999999999999</v>
      </c>
      <c r="Q230" t="s">
        <v>1869</v>
      </c>
    </row>
    <row r="231" spans="1:17" x14ac:dyDescent="0.6">
      <c r="A231">
        <v>230</v>
      </c>
      <c r="B231" t="s">
        <v>855</v>
      </c>
      <c r="C231">
        <v>950</v>
      </c>
      <c r="D231" t="s">
        <v>569</v>
      </c>
      <c r="E231" s="69">
        <v>45862</v>
      </c>
      <c r="F231" t="s">
        <v>201</v>
      </c>
      <c r="G231" t="s">
        <v>202</v>
      </c>
      <c r="H231">
        <v>13</v>
      </c>
      <c r="I231" s="81">
        <v>45831</v>
      </c>
      <c r="J231">
        <v>2025</v>
      </c>
      <c r="K231" s="69">
        <v>45846</v>
      </c>
      <c r="L231" t="s">
        <v>654</v>
      </c>
      <c r="M231" t="s">
        <v>571</v>
      </c>
      <c r="N231" t="s">
        <v>204</v>
      </c>
      <c r="O231" t="s">
        <v>1553</v>
      </c>
      <c r="P231" s="80">
        <v>0.22550000000000001</v>
      </c>
      <c r="Q231" t="s">
        <v>1869</v>
      </c>
    </row>
    <row r="232" spans="1:17" x14ac:dyDescent="0.6">
      <c r="A232">
        <v>231</v>
      </c>
      <c r="B232" s="73" t="s">
        <v>858</v>
      </c>
      <c r="C232">
        <v>950</v>
      </c>
      <c r="D232" t="s">
        <v>569</v>
      </c>
      <c r="E232" s="69">
        <v>45862</v>
      </c>
      <c r="F232" t="s">
        <v>201</v>
      </c>
      <c r="G232" t="s">
        <v>202</v>
      </c>
      <c r="H232">
        <v>13</v>
      </c>
      <c r="I232" s="81">
        <v>45831</v>
      </c>
      <c r="J232">
        <v>2025</v>
      </c>
      <c r="K232" s="69">
        <v>45846</v>
      </c>
      <c r="L232" t="s">
        <v>654</v>
      </c>
      <c r="M232" t="s">
        <v>571</v>
      </c>
      <c r="N232" t="s">
        <v>204</v>
      </c>
      <c r="O232" t="s">
        <v>1553</v>
      </c>
      <c r="P232" s="80">
        <v>0.17929999999999999</v>
      </c>
      <c r="Q232" t="s">
        <v>1869</v>
      </c>
    </row>
    <row r="233" spans="1:17" x14ac:dyDescent="0.6">
      <c r="A233">
        <v>232</v>
      </c>
      <c r="B233" s="73" t="s">
        <v>861</v>
      </c>
      <c r="C233">
        <v>950</v>
      </c>
      <c r="D233" t="s">
        <v>569</v>
      </c>
      <c r="E233" s="69">
        <v>45862</v>
      </c>
      <c r="F233" t="s">
        <v>201</v>
      </c>
      <c r="G233" t="s">
        <v>202</v>
      </c>
      <c r="H233">
        <v>13</v>
      </c>
      <c r="I233" s="81">
        <v>45831</v>
      </c>
      <c r="J233">
        <v>2025</v>
      </c>
      <c r="K233" s="69">
        <v>45846</v>
      </c>
      <c r="L233" t="s">
        <v>654</v>
      </c>
      <c r="M233" t="s">
        <v>571</v>
      </c>
      <c r="N233" t="s">
        <v>204</v>
      </c>
      <c r="O233" t="s">
        <v>1553</v>
      </c>
      <c r="P233" s="80">
        <v>0.20039999999999999</v>
      </c>
      <c r="Q233" t="s">
        <v>1869</v>
      </c>
    </row>
    <row r="234" spans="1:17" x14ac:dyDescent="0.6">
      <c r="A234">
        <v>233</v>
      </c>
      <c r="B234" s="73" t="s">
        <v>864</v>
      </c>
      <c r="C234">
        <v>950</v>
      </c>
      <c r="D234" t="s">
        <v>569</v>
      </c>
      <c r="E234" s="69">
        <v>45862</v>
      </c>
      <c r="F234" t="s">
        <v>201</v>
      </c>
      <c r="G234" t="s">
        <v>202</v>
      </c>
      <c r="H234">
        <v>13</v>
      </c>
      <c r="I234" s="81">
        <v>45831</v>
      </c>
      <c r="J234">
        <v>2025</v>
      </c>
      <c r="K234" s="69">
        <v>45846</v>
      </c>
      <c r="L234" t="s">
        <v>654</v>
      </c>
      <c r="M234" t="s">
        <v>571</v>
      </c>
      <c r="N234" t="s">
        <v>204</v>
      </c>
      <c r="O234" t="s">
        <v>1553</v>
      </c>
      <c r="P234" s="80">
        <v>0.12139999999999999</v>
      </c>
      <c r="Q234" t="s">
        <v>1869</v>
      </c>
    </row>
    <row r="235" spans="1:17" x14ac:dyDescent="0.6">
      <c r="A235">
        <v>234</v>
      </c>
      <c r="B235" s="73" t="s">
        <v>867</v>
      </c>
      <c r="C235">
        <v>950</v>
      </c>
      <c r="D235" t="s">
        <v>569</v>
      </c>
      <c r="E235" s="69">
        <v>45862</v>
      </c>
      <c r="F235" t="s">
        <v>201</v>
      </c>
      <c r="G235" t="s">
        <v>202</v>
      </c>
      <c r="H235">
        <v>13</v>
      </c>
      <c r="I235" s="81">
        <v>45831</v>
      </c>
      <c r="J235">
        <v>2025</v>
      </c>
      <c r="K235" s="69">
        <v>45846</v>
      </c>
      <c r="L235" t="s">
        <v>654</v>
      </c>
      <c r="M235" t="s">
        <v>571</v>
      </c>
      <c r="N235" t="s">
        <v>204</v>
      </c>
      <c r="O235" t="s">
        <v>1553</v>
      </c>
      <c r="P235" s="80">
        <v>6.0900000000000003E-2</v>
      </c>
      <c r="Q235" t="s">
        <v>1872</v>
      </c>
    </row>
    <row r="236" spans="1:17" x14ac:dyDescent="0.6">
      <c r="A236">
        <v>235</v>
      </c>
      <c r="B236" t="s">
        <v>870</v>
      </c>
      <c r="C236">
        <v>950</v>
      </c>
      <c r="D236" t="s">
        <v>569</v>
      </c>
      <c r="E236" s="69">
        <v>45862</v>
      </c>
      <c r="F236" t="s">
        <v>201</v>
      </c>
      <c r="G236" t="s">
        <v>202</v>
      </c>
      <c r="H236">
        <v>13</v>
      </c>
      <c r="I236" s="81">
        <v>45831</v>
      </c>
      <c r="J236">
        <v>2025</v>
      </c>
      <c r="K236" s="69">
        <v>45846</v>
      </c>
      <c r="L236" t="s">
        <v>654</v>
      </c>
      <c r="M236" t="s">
        <v>571</v>
      </c>
      <c r="N236" t="s">
        <v>204</v>
      </c>
      <c r="O236" t="s">
        <v>1553</v>
      </c>
      <c r="P236" s="80">
        <v>0.1794</v>
      </c>
      <c r="Q236" t="s">
        <v>1869</v>
      </c>
    </row>
    <row r="237" spans="1:17" x14ac:dyDescent="0.6">
      <c r="A237">
        <v>236</v>
      </c>
      <c r="B237" s="73" t="s">
        <v>873</v>
      </c>
      <c r="C237">
        <v>950</v>
      </c>
      <c r="D237" t="s">
        <v>569</v>
      </c>
      <c r="E237" s="69">
        <v>45862</v>
      </c>
      <c r="F237" t="s">
        <v>201</v>
      </c>
      <c r="G237" t="s">
        <v>202</v>
      </c>
      <c r="H237">
        <v>13</v>
      </c>
      <c r="I237" s="81">
        <v>45831</v>
      </c>
      <c r="J237">
        <v>2025</v>
      </c>
      <c r="K237" s="69">
        <v>45846</v>
      </c>
      <c r="L237" t="s">
        <v>654</v>
      </c>
      <c r="M237" t="s">
        <v>571</v>
      </c>
      <c r="N237" t="s">
        <v>204</v>
      </c>
      <c r="O237" t="s">
        <v>1553</v>
      </c>
      <c r="P237" s="80">
        <v>0.16370000000000001</v>
      </c>
      <c r="Q237" t="s">
        <v>1869</v>
      </c>
    </row>
    <row r="238" spans="1:17" x14ac:dyDescent="0.6">
      <c r="A238">
        <v>237</v>
      </c>
      <c r="B238" s="73" t="s">
        <v>876</v>
      </c>
      <c r="C238">
        <v>950</v>
      </c>
      <c r="D238" t="s">
        <v>569</v>
      </c>
      <c r="E238" s="69">
        <v>45862</v>
      </c>
      <c r="F238" t="s">
        <v>201</v>
      </c>
      <c r="G238" t="s">
        <v>202</v>
      </c>
      <c r="H238">
        <v>13</v>
      </c>
      <c r="I238" s="81">
        <v>45831</v>
      </c>
      <c r="J238">
        <v>2025</v>
      </c>
      <c r="K238" s="69">
        <v>45846</v>
      </c>
      <c r="L238" t="s">
        <v>654</v>
      </c>
      <c r="M238" t="s">
        <v>571</v>
      </c>
      <c r="N238" t="s">
        <v>204</v>
      </c>
      <c r="O238" t="s">
        <v>1553</v>
      </c>
      <c r="P238" s="80">
        <v>0.2397</v>
      </c>
      <c r="Q238" t="s">
        <v>1869</v>
      </c>
    </row>
    <row r="239" spans="1:17" x14ac:dyDescent="0.6">
      <c r="A239">
        <v>238</v>
      </c>
      <c r="B239" s="73" t="s">
        <v>879</v>
      </c>
      <c r="C239">
        <v>950</v>
      </c>
      <c r="D239" t="s">
        <v>569</v>
      </c>
      <c r="E239" s="69">
        <v>45862</v>
      </c>
      <c r="F239" t="s">
        <v>201</v>
      </c>
      <c r="G239" t="s">
        <v>202</v>
      </c>
      <c r="H239">
        <v>13</v>
      </c>
      <c r="I239" s="81">
        <v>45831</v>
      </c>
      <c r="J239">
        <v>2025</v>
      </c>
      <c r="K239" s="69">
        <v>45846</v>
      </c>
      <c r="L239" t="s">
        <v>654</v>
      </c>
      <c r="M239" t="s">
        <v>571</v>
      </c>
      <c r="N239" t="s">
        <v>204</v>
      </c>
      <c r="O239" t="s">
        <v>1553</v>
      </c>
      <c r="P239" s="80">
        <v>0.1487</v>
      </c>
      <c r="Q239" t="s">
        <v>1869</v>
      </c>
    </row>
    <row r="240" spans="1:17" x14ac:dyDescent="0.6">
      <c r="A240">
        <v>239</v>
      </c>
      <c r="B240" s="73" t="s">
        <v>882</v>
      </c>
      <c r="C240">
        <v>950</v>
      </c>
      <c r="D240" t="s">
        <v>569</v>
      </c>
      <c r="E240" s="69">
        <v>45862</v>
      </c>
      <c r="F240" t="s">
        <v>201</v>
      </c>
      <c r="G240" t="s">
        <v>202</v>
      </c>
      <c r="H240">
        <v>13</v>
      </c>
      <c r="I240" s="81">
        <v>45831</v>
      </c>
      <c r="J240">
        <v>2025</v>
      </c>
      <c r="K240" s="69">
        <v>45846</v>
      </c>
      <c r="L240" t="s">
        <v>654</v>
      </c>
      <c r="M240" t="s">
        <v>571</v>
      </c>
      <c r="N240" t="s">
        <v>204</v>
      </c>
      <c r="O240" t="s">
        <v>1553</v>
      </c>
      <c r="P240" s="80">
        <v>0.22900000000000001</v>
      </c>
      <c r="Q240" t="s">
        <v>1869</v>
      </c>
    </row>
    <row r="241" spans="1:17" x14ac:dyDescent="0.6">
      <c r="A241">
        <v>240</v>
      </c>
      <c r="B241" s="73" t="s">
        <v>885</v>
      </c>
      <c r="C241">
        <v>1900</v>
      </c>
      <c r="D241" t="s">
        <v>179</v>
      </c>
      <c r="E241" s="69">
        <v>45873</v>
      </c>
      <c r="F241" t="s">
        <v>201</v>
      </c>
      <c r="G241" t="s">
        <v>202</v>
      </c>
      <c r="H241">
        <v>15.5</v>
      </c>
      <c r="I241" s="81">
        <v>45860</v>
      </c>
      <c r="J241">
        <v>2025</v>
      </c>
      <c r="K241" s="69">
        <v>45875</v>
      </c>
      <c r="L241" t="s">
        <v>654</v>
      </c>
      <c r="M241" t="s">
        <v>571</v>
      </c>
      <c r="N241" t="s">
        <v>204</v>
      </c>
      <c r="O241" t="s">
        <v>1868</v>
      </c>
      <c r="P241" s="80">
        <v>0.19320000000000001</v>
      </c>
      <c r="Q241" t="s">
        <v>1869</v>
      </c>
    </row>
    <row r="242" spans="1:17" x14ac:dyDescent="0.6">
      <c r="A242">
        <v>241</v>
      </c>
      <c r="B242" s="73" t="s">
        <v>888</v>
      </c>
      <c r="C242">
        <v>1900</v>
      </c>
      <c r="D242" t="s">
        <v>179</v>
      </c>
      <c r="E242" s="69">
        <v>45873</v>
      </c>
      <c r="F242" t="s">
        <v>180</v>
      </c>
      <c r="G242" t="s">
        <v>180</v>
      </c>
      <c r="H242">
        <v>15.5</v>
      </c>
      <c r="I242" s="81">
        <v>45860</v>
      </c>
      <c r="J242">
        <v>2025</v>
      </c>
      <c r="K242" s="69">
        <v>45875</v>
      </c>
      <c r="L242" t="s">
        <v>654</v>
      </c>
      <c r="M242" t="s">
        <v>571</v>
      </c>
      <c r="N242" t="s">
        <v>204</v>
      </c>
      <c r="O242" t="s">
        <v>1868</v>
      </c>
      <c r="P242" s="80">
        <v>0.2316</v>
      </c>
      <c r="Q242" t="s">
        <v>1869</v>
      </c>
    </row>
    <row r="243" spans="1:17" x14ac:dyDescent="0.6">
      <c r="A243">
        <v>242</v>
      </c>
      <c r="B243" s="73" t="s">
        <v>891</v>
      </c>
      <c r="C243">
        <v>1900</v>
      </c>
      <c r="D243" t="s">
        <v>179</v>
      </c>
      <c r="E243" s="69">
        <v>45873</v>
      </c>
      <c r="F243" t="s">
        <v>201</v>
      </c>
      <c r="G243" t="s">
        <v>202</v>
      </c>
      <c r="H243">
        <v>15.5</v>
      </c>
      <c r="I243" s="81">
        <v>45860</v>
      </c>
      <c r="J243">
        <v>2025</v>
      </c>
      <c r="K243" s="69">
        <v>45875</v>
      </c>
      <c r="L243" t="s">
        <v>654</v>
      </c>
      <c r="M243" t="s">
        <v>571</v>
      </c>
      <c r="N243" t="s">
        <v>204</v>
      </c>
      <c r="O243" t="s">
        <v>1868</v>
      </c>
      <c r="P243" s="80">
        <v>0.14699999999999999</v>
      </c>
      <c r="Q243" t="s">
        <v>1869</v>
      </c>
    </row>
    <row r="244" spans="1:17" x14ac:dyDescent="0.6">
      <c r="A244">
        <v>243</v>
      </c>
      <c r="B244" s="73" t="s">
        <v>894</v>
      </c>
      <c r="C244">
        <v>1900</v>
      </c>
      <c r="D244" t="s">
        <v>179</v>
      </c>
      <c r="E244" s="69">
        <v>45873</v>
      </c>
      <c r="F244" t="s">
        <v>201</v>
      </c>
      <c r="G244" t="s">
        <v>202</v>
      </c>
      <c r="H244">
        <v>15.5</v>
      </c>
      <c r="I244" s="81">
        <v>45860</v>
      </c>
      <c r="J244">
        <v>2025</v>
      </c>
      <c r="K244" s="69">
        <v>45875</v>
      </c>
      <c r="L244" t="s">
        <v>654</v>
      </c>
      <c r="M244" t="s">
        <v>571</v>
      </c>
      <c r="N244" t="s">
        <v>204</v>
      </c>
      <c r="O244" t="s">
        <v>1868</v>
      </c>
      <c r="P244" s="80">
        <v>0.22090000000000001</v>
      </c>
      <c r="Q244" t="s">
        <v>1869</v>
      </c>
    </row>
    <row r="245" spans="1:17" x14ac:dyDescent="0.6">
      <c r="A245">
        <v>244</v>
      </c>
      <c r="B245" s="73" t="s">
        <v>897</v>
      </c>
      <c r="C245">
        <v>1900</v>
      </c>
      <c r="D245" t="s">
        <v>179</v>
      </c>
      <c r="E245" s="69">
        <v>45873</v>
      </c>
      <c r="F245" t="s">
        <v>201</v>
      </c>
      <c r="G245" t="s">
        <v>202</v>
      </c>
      <c r="H245">
        <v>15.5</v>
      </c>
      <c r="I245" s="81">
        <v>45860</v>
      </c>
      <c r="J245">
        <v>2025</v>
      </c>
      <c r="K245" s="69">
        <v>45875</v>
      </c>
      <c r="L245" t="s">
        <v>654</v>
      </c>
      <c r="M245" t="s">
        <v>571</v>
      </c>
      <c r="N245" t="s">
        <v>204</v>
      </c>
      <c r="O245" t="s">
        <v>1868</v>
      </c>
      <c r="P245" s="80">
        <v>0.1825</v>
      </c>
      <c r="Q245" t="s">
        <v>1869</v>
      </c>
    </row>
    <row r="246" spans="1:17" x14ac:dyDescent="0.6">
      <c r="A246">
        <v>245</v>
      </c>
      <c r="B246" s="73" t="s">
        <v>900</v>
      </c>
      <c r="C246">
        <v>1900</v>
      </c>
      <c r="D246" t="s">
        <v>179</v>
      </c>
      <c r="E246" s="69">
        <v>45873</v>
      </c>
      <c r="F246" t="s">
        <v>201</v>
      </c>
      <c r="G246" t="s">
        <v>202</v>
      </c>
      <c r="H246">
        <v>15.5</v>
      </c>
      <c r="I246" s="81">
        <v>45860</v>
      </c>
      <c r="J246">
        <v>2025</v>
      </c>
      <c r="K246" s="69">
        <v>45875</v>
      </c>
      <c r="L246" t="s">
        <v>654</v>
      </c>
      <c r="M246" t="s">
        <v>571</v>
      </c>
      <c r="N246" t="s">
        <v>204</v>
      </c>
      <c r="O246" t="s">
        <v>1868</v>
      </c>
      <c r="P246" s="80">
        <v>0.18149999999999999</v>
      </c>
      <c r="Q246" t="s">
        <v>1869</v>
      </c>
    </row>
    <row r="247" spans="1:17" x14ac:dyDescent="0.6">
      <c r="A247">
        <v>246</v>
      </c>
      <c r="B247" s="73" t="s">
        <v>903</v>
      </c>
      <c r="C247">
        <v>1900</v>
      </c>
      <c r="D247" t="s">
        <v>179</v>
      </c>
      <c r="E247" s="69">
        <v>45873</v>
      </c>
      <c r="F247" t="s">
        <v>201</v>
      </c>
      <c r="G247" t="s">
        <v>202</v>
      </c>
      <c r="H247">
        <v>15.5</v>
      </c>
      <c r="I247" s="81">
        <v>45860</v>
      </c>
      <c r="J247">
        <v>2025</v>
      </c>
      <c r="K247" s="69">
        <v>45875</v>
      </c>
      <c r="L247" t="s">
        <v>654</v>
      </c>
      <c r="M247" t="s">
        <v>571</v>
      </c>
      <c r="N247" t="s">
        <v>204</v>
      </c>
      <c r="O247" t="s">
        <v>1868</v>
      </c>
      <c r="P247" s="80">
        <v>0.14410000000000001</v>
      </c>
      <c r="Q247" t="s">
        <v>1869</v>
      </c>
    </row>
    <row r="248" spans="1:17" x14ac:dyDescent="0.6">
      <c r="A248">
        <v>247</v>
      </c>
      <c r="B248" s="73" t="s">
        <v>906</v>
      </c>
      <c r="C248">
        <v>1900</v>
      </c>
      <c r="D248" t="s">
        <v>179</v>
      </c>
      <c r="E248" s="69">
        <v>45873</v>
      </c>
      <c r="F248" t="s">
        <v>201</v>
      </c>
      <c r="G248" t="s">
        <v>202</v>
      </c>
      <c r="H248">
        <v>15.5</v>
      </c>
      <c r="I248" s="81">
        <v>45860</v>
      </c>
      <c r="J248">
        <v>2025</v>
      </c>
      <c r="K248" s="69">
        <v>45875</v>
      </c>
      <c r="L248" t="s">
        <v>654</v>
      </c>
      <c r="M248" t="s">
        <v>571</v>
      </c>
      <c r="N248" t="s">
        <v>204</v>
      </c>
      <c r="O248" t="s">
        <v>1868</v>
      </c>
      <c r="P248" s="80">
        <v>0.18840000000000001</v>
      </c>
      <c r="Q248" t="s">
        <v>1869</v>
      </c>
    </row>
    <row r="249" spans="1:17" x14ac:dyDescent="0.6">
      <c r="A249">
        <v>248</v>
      </c>
      <c r="B249" s="73" t="s">
        <v>909</v>
      </c>
      <c r="C249">
        <v>1900</v>
      </c>
      <c r="D249" t="s">
        <v>179</v>
      </c>
      <c r="E249" s="69">
        <v>45873</v>
      </c>
      <c r="F249" t="s">
        <v>201</v>
      </c>
      <c r="G249" t="s">
        <v>202</v>
      </c>
      <c r="H249">
        <v>15.5</v>
      </c>
      <c r="I249" s="81">
        <v>45860</v>
      </c>
      <c r="J249">
        <v>2025</v>
      </c>
      <c r="K249" s="69">
        <v>45875</v>
      </c>
      <c r="L249" t="s">
        <v>654</v>
      </c>
      <c r="M249" t="s">
        <v>571</v>
      </c>
      <c r="N249" t="s">
        <v>204</v>
      </c>
      <c r="O249" t="s">
        <v>1868</v>
      </c>
      <c r="P249" s="80">
        <v>0.128</v>
      </c>
      <c r="Q249" t="s">
        <v>1869</v>
      </c>
    </row>
    <row r="250" spans="1:17" x14ac:dyDescent="0.6">
      <c r="A250">
        <v>249</v>
      </c>
      <c r="B250" s="73" t="s">
        <v>912</v>
      </c>
      <c r="C250">
        <v>1900</v>
      </c>
      <c r="D250" t="s">
        <v>179</v>
      </c>
      <c r="E250" s="69">
        <v>45890</v>
      </c>
      <c r="F250" t="s">
        <v>201</v>
      </c>
      <c r="G250" t="s">
        <v>449</v>
      </c>
      <c r="H250">
        <v>15.5</v>
      </c>
      <c r="I250" s="81">
        <v>45860</v>
      </c>
      <c r="J250">
        <v>2025</v>
      </c>
      <c r="K250" s="69">
        <v>45875</v>
      </c>
      <c r="L250" t="s">
        <v>654</v>
      </c>
      <c r="M250" t="s">
        <v>571</v>
      </c>
      <c r="N250" t="s">
        <v>204</v>
      </c>
      <c r="O250" t="s">
        <v>1868</v>
      </c>
      <c r="P250" s="80">
        <v>0.38969999999999999</v>
      </c>
      <c r="Q250" t="s">
        <v>1869</v>
      </c>
    </row>
    <row r="251" spans="1:17" x14ac:dyDescent="0.6">
      <c r="A251">
        <v>250</v>
      </c>
      <c r="B251" s="73" t="s">
        <v>915</v>
      </c>
      <c r="C251">
        <v>1900</v>
      </c>
      <c r="D251" t="s">
        <v>179</v>
      </c>
      <c r="E251" s="69">
        <v>45890</v>
      </c>
      <c r="F251" t="s">
        <v>201</v>
      </c>
      <c r="G251" t="s">
        <v>226</v>
      </c>
      <c r="H251">
        <v>15.5</v>
      </c>
      <c r="I251" s="81">
        <v>45860</v>
      </c>
      <c r="J251">
        <v>2025</v>
      </c>
      <c r="K251" s="69">
        <v>45875</v>
      </c>
      <c r="L251" t="s">
        <v>654</v>
      </c>
      <c r="M251" t="s">
        <v>571</v>
      </c>
      <c r="N251" t="s">
        <v>204</v>
      </c>
      <c r="O251" t="s">
        <v>1868</v>
      </c>
      <c r="P251" s="80">
        <v>0.24160000000000001</v>
      </c>
      <c r="Q251" t="s">
        <v>1869</v>
      </c>
    </row>
    <row r="252" spans="1:17" x14ac:dyDescent="0.6">
      <c r="A252">
        <v>251</v>
      </c>
      <c r="B252" s="73" t="s">
        <v>918</v>
      </c>
      <c r="C252">
        <v>1900</v>
      </c>
      <c r="D252" t="s">
        <v>179</v>
      </c>
      <c r="E252" s="69">
        <v>45890</v>
      </c>
      <c r="F252" t="s">
        <v>201</v>
      </c>
      <c r="G252" t="s">
        <v>226</v>
      </c>
      <c r="H252">
        <v>15.5</v>
      </c>
      <c r="I252" s="81">
        <v>45860</v>
      </c>
      <c r="J252">
        <v>2025</v>
      </c>
      <c r="K252" s="69">
        <v>45875</v>
      </c>
      <c r="L252" t="s">
        <v>654</v>
      </c>
      <c r="M252" t="s">
        <v>571</v>
      </c>
      <c r="N252" t="s">
        <v>204</v>
      </c>
      <c r="O252" t="s">
        <v>1868</v>
      </c>
      <c r="P252" s="80">
        <v>0.23799999999999999</v>
      </c>
      <c r="Q252" t="s">
        <v>1869</v>
      </c>
    </row>
    <row r="253" spans="1:17" x14ac:dyDescent="0.6">
      <c r="A253">
        <v>252</v>
      </c>
      <c r="B253" s="73" t="s">
        <v>921</v>
      </c>
      <c r="C253">
        <v>1900</v>
      </c>
      <c r="D253" t="s">
        <v>179</v>
      </c>
      <c r="E253" s="69">
        <v>45890</v>
      </c>
      <c r="F253" t="s">
        <v>201</v>
      </c>
      <c r="G253" t="s">
        <v>449</v>
      </c>
      <c r="H253">
        <v>15.5</v>
      </c>
      <c r="I253" s="81">
        <v>45860</v>
      </c>
      <c r="J253">
        <v>2025</v>
      </c>
      <c r="K253" s="69">
        <v>45875</v>
      </c>
      <c r="L253" t="s">
        <v>654</v>
      </c>
      <c r="M253" t="s">
        <v>571</v>
      </c>
      <c r="N253" t="s">
        <v>204</v>
      </c>
      <c r="O253" t="s">
        <v>1868</v>
      </c>
      <c r="P253" s="80">
        <v>0.3659</v>
      </c>
      <c r="Q253" t="s">
        <v>1869</v>
      </c>
    </row>
    <row r="254" spans="1:17" x14ac:dyDescent="0.6">
      <c r="A254">
        <v>253</v>
      </c>
      <c r="B254" s="73" t="s">
        <v>924</v>
      </c>
      <c r="C254">
        <v>1900</v>
      </c>
      <c r="D254" t="s">
        <v>179</v>
      </c>
      <c r="E254" s="69">
        <v>45890</v>
      </c>
      <c r="F254" t="s">
        <v>201</v>
      </c>
      <c r="G254" t="s">
        <v>449</v>
      </c>
      <c r="H254">
        <v>15.5</v>
      </c>
      <c r="I254" s="81">
        <v>45860</v>
      </c>
      <c r="J254">
        <v>2025</v>
      </c>
      <c r="K254" s="69">
        <v>45875</v>
      </c>
      <c r="L254" t="s">
        <v>654</v>
      </c>
      <c r="M254" t="s">
        <v>571</v>
      </c>
      <c r="N254" t="s">
        <v>204</v>
      </c>
      <c r="O254" t="s">
        <v>1868</v>
      </c>
      <c r="P254" s="80">
        <v>0.4168</v>
      </c>
      <c r="Q254" t="s">
        <v>1869</v>
      </c>
    </row>
    <row r="255" spans="1:17" x14ac:dyDescent="0.6">
      <c r="A255">
        <v>254</v>
      </c>
      <c r="B255" s="73" t="s">
        <v>927</v>
      </c>
      <c r="C255">
        <v>1900</v>
      </c>
      <c r="D255" t="s">
        <v>179</v>
      </c>
      <c r="E255" s="69">
        <v>45890</v>
      </c>
      <c r="F255" t="s">
        <v>201</v>
      </c>
      <c r="G255" t="s">
        <v>226</v>
      </c>
      <c r="H255">
        <v>15.5</v>
      </c>
      <c r="I255" s="81">
        <v>45860</v>
      </c>
      <c r="J255">
        <v>2025</v>
      </c>
      <c r="K255" s="69">
        <v>45875</v>
      </c>
      <c r="L255" t="s">
        <v>654</v>
      </c>
      <c r="M255" t="s">
        <v>571</v>
      </c>
      <c r="N255" t="s">
        <v>204</v>
      </c>
      <c r="O255" t="s">
        <v>1868</v>
      </c>
      <c r="P255" s="80">
        <v>0.19589999999999999</v>
      </c>
      <c r="Q255" t="s">
        <v>1869</v>
      </c>
    </row>
    <row r="256" spans="1:17" x14ac:dyDescent="0.6">
      <c r="A256">
        <v>255</v>
      </c>
      <c r="B256" s="73" t="s">
        <v>930</v>
      </c>
      <c r="C256">
        <v>1900</v>
      </c>
      <c r="D256" t="s">
        <v>179</v>
      </c>
      <c r="E256" s="69">
        <v>45890</v>
      </c>
      <c r="F256" t="s">
        <v>201</v>
      </c>
      <c r="G256" t="s">
        <v>226</v>
      </c>
      <c r="H256">
        <v>15.5</v>
      </c>
      <c r="I256" s="81">
        <v>45860</v>
      </c>
      <c r="J256">
        <v>2025</v>
      </c>
      <c r="K256" s="69">
        <v>45875</v>
      </c>
      <c r="L256" t="s">
        <v>654</v>
      </c>
      <c r="M256" t="s">
        <v>571</v>
      </c>
      <c r="N256" t="s">
        <v>204</v>
      </c>
      <c r="O256" t="s">
        <v>1868</v>
      </c>
      <c r="P256" s="80">
        <v>0.24249999999999999</v>
      </c>
      <c r="Q256" t="s">
        <v>1869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F832F-E2F2-4A9E-AF24-2A1CDC361D6F}">
  <dimension ref="A1:T488"/>
  <sheetViews>
    <sheetView topLeftCell="A183" zoomScale="80" zoomScaleNormal="80" workbookViewId="0">
      <selection activeCell="F213" sqref="F213"/>
    </sheetView>
  </sheetViews>
  <sheetFormatPr defaultRowHeight="18" customHeight="1" x14ac:dyDescent="0.6"/>
  <cols>
    <col min="1" max="1" width="4.953125" style="84" bestFit="1" customWidth="1"/>
    <col min="2" max="2" width="8.5" style="84" bestFit="1" customWidth="1"/>
    <col min="3" max="3" width="20.08984375" style="84" customWidth="1"/>
    <col min="4" max="4" width="12.04296875" style="84" bestFit="1" customWidth="1"/>
    <col min="5" max="5" width="27.1796875" style="84" bestFit="1" customWidth="1"/>
    <col min="6" max="6" width="17.2265625" style="84" bestFit="1" customWidth="1"/>
    <col min="7" max="7" width="16.6796875" style="84" bestFit="1" customWidth="1"/>
    <col min="8" max="8" width="7.26953125" style="84" bestFit="1" customWidth="1"/>
    <col min="9" max="9" width="11.76953125" style="84" bestFit="1" customWidth="1"/>
    <col min="10" max="10" width="12.04296875" style="84" bestFit="1" customWidth="1"/>
    <col min="11" max="11" width="13.26953125" style="84" bestFit="1" customWidth="1"/>
    <col min="12" max="12" width="12.7265625" style="84" bestFit="1" customWidth="1"/>
    <col min="13" max="13" width="13.953125" style="84" bestFit="1" customWidth="1"/>
    <col min="14" max="14" width="22.54296875" style="84" bestFit="1" customWidth="1"/>
    <col min="15" max="15" width="9.31640625" style="84" bestFit="1" customWidth="1"/>
    <col min="16" max="16" width="13.81640625" style="84" bestFit="1" customWidth="1"/>
    <col min="17" max="17" width="13.1328125" style="84" bestFit="1" customWidth="1"/>
    <col min="18" max="20" width="13.6796875" style="84" bestFit="1" customWidth="1"/>
    <col min="21" max="16384" width="8.7265625" style="84"/>
  </cols>
  <sheetData>
    <row r="1" spans="1:20" ht="18" customHeight="1" x14ac:dyDescent="0.7">
      <c r="A1" s="82" t="s">
        <v>8</v>
      </c>
      <c r="B1" s="83" t="s">
        <v>1913</v>
      </c>
      <c r="C1" s="83" t="s">
        <v>1914</v>
      </c>
      <c r="D1" s="83" t="s">
        <v>1915</v>
      </c>
      <c r="E1" s="83" t="s">
        <v>1916</v>
      </c>
      <c r="F1" s="83" t="s">
        <v>1917</v>
      </c>
      <c r="G1" s="83" t="s">
        <v>1918</v>
      </c>
      <c r="H1" s="82" t="s">
        <v>1919</v>
      </c>
      <c r="I1" s="82" t="s">
        <v>1920</v>
      </c>
      <c r="J1" s="83" t="s">
        <v>1921</v>
      </c>
      <c r="K1" s="83" t="s">
        <v>1922</v>
      </c>
      <c r="L1" s="82" t="s">
        <v>163</v>
      </c>
      <c r="M1" s="82" t="s">
        <v>1923</v>
      </c>
      <c r="N1" s="82" t="s">
        <v>1924</v>
      </c>
      <c r="O1" s="82" t="s">
        <v>1925</v>
      </c>
      <c r="P1" s="82" t="s">
        <v>1926</v>
      </c>
      <c r="Q1" s="82" t="s">
        <v>1927</v>
      </c>
      <c r="R1" s="82" t="s">
        <v>1928</v>
      </c>
      <c r="S1" s="82" t="s">
        <v>1929</v>
      </c>
      <c r="T1" s="82" t="s">
        <v>1930</v>
      </c>
    </row>
    <row r="2" spans="1:20" ht="18" customHeight="1" x14ac:dyDescent="0.7">
      <c r="A2" s="85">
        <v>1</v>
      </c>
      <c r="B2" s="86">
        <v>3138766</v>
      </c>
      <c r="C2" s="87" t="s">
        <v>1931</v>
      </c>
      <c r="D2" s="87">
        <v>866383770</v>
      </c>
      <c r="E2" s="87" t="s">
        <v>1932</v>
      </c>
      <c r="F2" s="87" t="s">
        <v>1933</v>
      </c>
      <c r="G2" s="87" t="s">
        <v>1934</v>
      </c>
      <c r="H2" s="87"/>
      <c r="I2" s="88" t="s">
        <v>1935</v>
      </c>
      <c r="J2" s="89">
        <v>45861</v>
      </c>
      <c r="K2" s="89">
        <v>45986</v>
      </c>
      <c r="L2" s="87" t="s">
        <v>1819</v>
      </c>
      <c r="M2" s="87" t="s">
        <v>654</v>
      </c>
      <c r="N2" s="90" t="s">
        <v>1936</v>
      </c>
      <c r="O2" s="91" t="s">
        <v>1937</v>
      </c>
      <c r="P2" s="91" t="s">
        <v>1938</v>
      </c>
      <c r="Q2" s="92">
        <v>2025</v>
      </c>
      <c r="R2" s="88" t="s">
        <v>1939</v>
      </c>
      <c r="S2" s="93" t="s">
        <v>1940</v>
      </c>
      <c r="T2" s="88">
        <v>2025</v>
      </c>
    </row>
    <row r="3" spans="1:20" ht="18" customHeight="1" x14ac:dyDescent="0.7">
      <c r="A3" s="85">
        <v>2</v>
      </c>
      <c r="B3" s="85">
        <v>3138765</v>
      </c>
      <c r="C3" s="87" t="s">
        <v>1941</v>
      </c>
      <c r="D3" s="87">
        <v>395228801</v>
      </c>
      <c r="E3" s="87" t="s">
        <v>1932</v>
      </c>
      <c r="F3" s="87" t="s">
        <v>1933</v>
      </c>
      <c r="G3" s="87" t="s">
        <v>1934</v>
      </c>
      <c r="H3" s="87"/>
      <c r="I3" s="88" t="s">
        <v>1935</v>
      </c>
      <c r="J3" s="89">
        <v>45861</v>
      </c>
      <c r="K3" s="87"/>
      <c r="L3" s="87" t="s">
        <v>1942</v>
      </c>
      <c r="M3" s="87" t="s">
        <v>654</v>
      </c>
      <c r="N3" s="90" t="s">
        <v>1943</v>
      </c>
      <c r="O3" s="91" t="s">
        <v>1944</v>
      </c>
      <c r="P3" s="91" t="s">
        <v>1938</v>
      </c>
      <c r="Q3" s="92">
        <v>2025</v>
      </c>
      <c r="R3" s="88" t="s">
        <v>1942</v>
      </c>
      <c r="S3" s="88" t="s">
        <v>1942</v>
      </c>
      <c r="T3" s="88" t="s">
        <v>1942</v>
      </c>
    </row>
    <row r="4" spans="1:20" ht="18" customHeight="1" x14ac:dyDescent="0.7">
      <c r="A4" s="85">
        <v>3</v>
      </c>
      <c r="B4" s="85">
        <v>3138754</v>
      </c>
      <c r="C4" s="88" t="s">
        <v>1945</v>
      </c>
      <c r="D4" s="87">
        <v>789572334</v>
      </c>
      <c r="E4" s="87" t="s">
        <v>1932</v>
      </c>
      <c r="F4" s="87" t="s">
        <v>1933</v>
      </c>
      <c r="G4" s="87" t="s">
        <v>1934</v>
      </c>
      <c r="H4" s="87"/>
      <c r="I4" s="88" t="s">
        <v>1935</v>
      </c>
      <c r="J4" s="89">
        <v>45861</v>
      </c>
      <c r="K4" s="94">
        <v>45895</v>
      </c>
      <c r="L4" s="87" t="s">
        <v>1819</v>
      </c>
      <c r="M4" s="87" t="s">
        <v>654</v>
      </c>
      <c r="N4" s="90" t="s">
        <v>1946</v>
      </c>
      <c r="O4" s="91" t="s">
        <v>1947</v>
      </c>
      <c r="P4" s="91" t="s">
        <v>1938</v>
      </c>
      <c r="Q4" s="92">
        <v>2025</v>
      </c>
      <c r="R4" s="88" t="s">
        <v>1948</v>
      </c>
      <c r="S4" s="88" t="s">
        <v>1949</v>
      </c>
      <c r="T4" s="95">
        <v>2025</v>
      </c>
    </row>
    <row r="5" spans="1:20" ht="18" customHeight="1" x14ac:dyDescent="0.7">
      <c r="A5" s="85">
        <v>4</v>
      </c>
      <c r="B5" s="86">
        <v>3138753</v>
      </c>
      <c r="C5" s="87" t="s">
        <v>1950</v>
      </c>
      <c r="D5" s="87">
        <v>898522249</v>
      </c>
      <c r="E5" s="87" t="s">
        <v>1932</v>
      </c>
      <c r="F5" s="87" t="s">
        <v>1933</v>
      </c>
      <c r="G5" s="87" t="s">
        <v>1934</v>
      </c>
      <c r="H5" s="87"/>
      <c r="I5" s="87"/>
      <c r="J5" s="89">
        <v>45861</v>
      </c>
      <c r="K5" s="94">
        <v>45882</v>
      </c>
      <c r="L5" s="87" t="s">
        <v>1819</v>
      </c>
      <c r="M5" s="87" t="s">
        <v>654</v>
      </c>
      <c r="N5" s="90" t="s">
        <v>1951</v>
      </c>
      <c r="O5" s="91" t="s">
        <v>1952</v>
      </c>
      <c r="P5" s="91" t="s">
        <v>1938</v>
      </c>
      <c r="Q5" s="92">
        <v>2025</v>
      </c>
      <c r="R5" s="88" t="s">
        <v>1953</v>
      </c>
      <c r="S5" s="88" t="s">
        <v>1949</v>
      </c>
      <c r="T5" s="95">
        <v>2025</v>
      </c>
    </row>
    <row r="6" spans="1:20" ht="18" customHeight="1" x14ac:dyDescent="0.7">
      <c r="A6" s="85">
        <v>5</v>
      </c>
      <c r="B6" s="86">
        <v>3138742</v>
      </c>
      <c r="C6" s="87" t="s">
        <v>1954</v>
      </c>
      <c r="D6" s="87">
        <v>976680620</v>
      </c>
      <c r="E6" s="87" t="s">
        <v>1932</v>
      </c>
      <c r="F6" s="87" t="s">
        <v>1933</v>
      </c>
      <c r="G6" s="87" t="s">
        <v>1934</v>
      </c>
      <c r="H6" s="87"/>
      <c r="I6" s="88" t="s">
        <v>1935</v>
      </c>
      <c r="J6" s="89">
        <v>45861</v>
      </c>
      <c r="K6" s="87"/>
      <c r="L6" s="87" t="s">
        <v>1942</v>
      </c>
      <c r="M6" s="87" t="s">
        <v>654</v>
      </c>
      <c r="N6" s="90" t="s">
        <v>1943</v>
      </c>
      <c r="O6" s="91" t="s">
        <v>1944</v>
      </c>
      <c r="P6" s="91" t="s">
        <v>1938</v>
      </c>
      <c r="Q6" s="92">
        <v>2025</v>
      </c>
      <c r="R6" s="88" t="s">
        <v>1942</v>
      </c>
      <c r="S6" s="88" t="s">
        <v>1942</v>
      </c>
      <c r="T6" s="88" t="s">
        <v>1942</v>
      </c>
    </row>
    <row r="7" spans="1:20" ht="18" customHeight="1" x14ac:dyDescent="0.7">
      <c r="A7" s="85">
        <v>6</v>
      </c>
      <c r="B7" s="86">
        <v>3138687</v>
      </c>
      <c r="C7" s="87" t="s">
        <v>1955</v>
      </c>
      <c r="D7" s="87">
        <v>905444600</v>
      </c>
      <c r="E7" s="87" t="s">
        <v>1932</v>
      </c>
      <c r="F7" s="87" t="s">
        <v>1933</v>
      </c>
      <c r="G7" s="87" t="s">
        <v>1934</v>
      </c>
      <c r="H7" s="87"/>
      <c r="I7" s="88" t="s">
        <v>1935</v>
      </c>
      <c r="J7" s="89">
        <v>45860</v>
      </c>
      <c r="K7" s="87"/>
      <c r="L7" s="87" t="s">
        <v>1942</v>
      </c>
      <c r="M7" s="87" t="s">
        <v>654</v>
      </c>
      <c r="N7" s="90" t="s">
        <v>1956</v>
      </c>
      <c r="O7" s="91" t="s">
        <v>1944</v>
      </c>
      <c r="P7" s="91" t="s">
        <v>1938</v>
      </c>
      <c r="Q7" s="92">
        <v>2025</v>
      </c>
      <c r="R7" s="88" t="s">
        <v>1942</v>
      </c>
      <c r="S7" s="88" t="s">
        <v>1942</v>
      </c>
      <c r="T7" s="88" t="s">
        <v>1942</v>
      </c>
    </row>
    <row r="8" spans="1:20" ht="18" customHeight="1" x14ac:dyDescent="0.7">
      <c r="A8" s="85">
        <v>7</v>
      </c>
      <c r="B8" s="86">
        <v>3138669</v>
      </c>
      <c r="C8" s="87" t="s">
        <v>1957</v>
      </c>
      <c r="D8" s="87">
        <v>978382837</v>
      </c>
      <c r="E8" s="87" t="s">
        <v>1932</v>
      </c>
      <c r="F8" s="87" t="s">
        <v>1933</v>
      </c>
      <c r="G8" s="87" t="s">
        <v>1934</v>
      </c>
      <c r="H8" s="87"/>
      <c r="I8" s="87"/>
      <c r="J8" s="89">
        <v>45860</v>
      </c>
      <c r="K8" s="94">
        <v>45882</v>
      </c>
      <c r="L8" s="87" t="s">
        <v>1819</v>
      </c>
      <c r="M8" s="87" t="s">
        <v>654</v>
      </c>
      <c r="N8" s="90" t="s">
        <v>1958</v>
      </c>
      <c r="O8" s="91" t="s">
        <v>1952</v>
      </c>
      <c r="P8" s="91" t="s">
        <v>1938</v>
      </c>
      <c r="Q8" s="92">
        <v>2025</v>
      </c>
      <c r="R8" s="88" t="s">
        <v>1953</v>
      </c>
      <c r="S8" s="88" t="s">
        <v>1949</v>
      </c>
      <c r="T8" s="95">
        <v>2025</v>
      </c>
    </row>
    <row r="9" spans="1:20" ht="18" customHeight="1" x14ac:dyDescent="0.7">
      <c r="A9" s="85">
        <v>8</v>
      </c>
      <c r="B9" s="86">
        <v>3138598</v>
      </c>
      <c r="C9" s="87" t="s">
        <v>1959</v>
      </c>
      <c r="D9" s="87">
        <v>971611318</v>
      </c>
      <c r="E9" s="87" t="s">
        <v>1932</v>
      </c>
      <c r="F9" s="87" t="s">
        <v>1933</v>
      </c>
      <c r="G9" s="87" t="s">
        <v>1934</v>
      </c>
      <c r="H9" s="87"/>
      <c r="I9" s="88" t="s">
        <v>208</v>
      </c>
      <c r="J9" s="89">
        <v>45859</v>
      </c>
      <c r="K9" s="94">
        <v>45974</v>
      </c>
      <c r="L9" s="87" t="s">
        <v>1819</v>
      </c>
      <c r="M9" s="87" t="s">
        <v>654</v>
      </c>
      <c r="N9" s="90" t="s">
        <v>1960</v>
      </c>
      <c r="O9" s="91" t="s">
        <v>1961</v>
      </c>
      <c r="P9" s="91" t="s">
        <v>1938</v>
      </c>
      <c r="Q9" s="92">
        <v>2025</v>
      </c>
      <c r="R9" s="88" t="s">
        <v>1962</v>
      </c>
      <c r="S9" s="88" t="s">
        <v>1940</v>
      </c>
      <c r="T9" s="95">
        <v>2025</v>
      </c>
    </row>
    <row r="10" spans="1:20" ht="18" customHeight="1" x14ac:dyDescent="0.7">
      <c r="A10" s="85">
        <v>9</v>
      </c>
      <c r="B10" s="85">
        <v>3138018</v>
      </c>
      <c r="C10" s="87" t="s">
        <v>1963</v>
      </c>
      <c r="D10" s="87">
        <v>932117249</v>
      </c>
      <c r="E10" s="87" t="s">
        <v>1932</v>
      </c>
      <c r="F10" s="87" t="s">
        <v>1933</v>
      </c>
      <c r="G10" s="87" t="s">
        <v>1934</v>
      </c>
      <c r="H10" s="87"/>
      <c r="I10" s="88" t="s">
        <v>208</v>
      </c>
      <c r="J10" s="89">
        <v>45854</v>
      </c>
      <c r="K10" s="94">
        <v>45895</v>
      </c>
      <c r="L10" s="87" t="s">
        <v>1819</v>
      </c>
      <c r="M10" s="87" t="s">
        <v>654</v>
      </c>
      <c r="N10" s="90" t="s">
        <v>1964</v>
      </c>
      <c r="O10" s="91" t="s">
        <v>1947</v>
      </c>
      <c r="P10" s="91" t="s">
        <v>1965</v>
      </c>
      <c r="Q10" s="92">
        <v>2025</v>
      </c>
      <c r="R10" s="88" t="s">
        <v>1948</v>
      </c>
      <c r="S10" s="88" t="s">
        <v>1949</v>
      </c>
      <c r="T10" s="95">
        <v>2025</v>
      </c>
    </row>
    <row r="11" spans="1:20" ht="18" customHeight="1" x14ac:dyDescent="0.7">
      <c r="A11" s="85">
        <v>10</v>
      </c>
      <c r="B11" s="86">
        <v>3138014</v>
      </c>
      <c r="C11" s="87" t="s">
        <v>1966</v>
      </c>
      <c r="D11" s="87">
        <v>838176257</v>
      </c>
      <c r="E11" s="87" t="s">
        <v>1932</v>
      </c>
      <c r="F11" s="87" t="s">
        <v>1933</v>
      </c>
      <c r="G11" s="87" t="s">
        <v>1934</v>
      </c>
      <c r="H11" s="87"/>
      <c r="I11" s="88" t="s">
        <v>1935</v>
      </c>
      <c r="J11" s="89">
        <v>45854</v>
      </c>
      <c r="K11" s="87"/>
      <c r="L11" s="87" t="s">
        <v>1942</v>
      </c>
      <c r="M11" s="87" t="s">
        <v>654</v>
      </c>
      <c r="N11" s="90" t="s">
        <v>1967</v>
      </c>
      <c r="O11" s="91" t="s">
        <v>1944</v>
      </c>
      <c r="P11" s="91" t="s">
        <v>1965</v>
      </c>
      <c r="Q11" s="92">
        <v>2025</v>
      </c>
      <c r="R11" s="88" t="s">
        <v>1942</v>
      </c>
      <c r="S11" s="88" t="s">
        <v>1942</v>
      </c>
      <c r="T11" s="88" t="s">
        <v>1942</v>
      </c>
    </row>
    <row r="12" spans="1:20" ht="18" customHeight="1" x14ac:dyDescent="0.7">
      <c r="A12" s="85">
        <v>11</v>
      </c>
      <c r="B12" s="86">
        <v>3138009</v>
      </c>
      <c r="C12" s="87" t="s">
        <v>1968</v>
      </c>
      <c r="D12" s="87">
        <v>902744347</v>
      </c>
      <c r="E12" s="87" t="s">
        <v>1932</v>
      </c>
      <c r="F12" s="87" t="s">
        <v>1933</v>
      </c>
      <c r="G12" s="87" t="s">
        <v>1934</v>
      </c>
      <c r="H12" s="87"/>
      <c r="I12" s="88" t="s">
        <v>208</v>
      </c>
      <c r="J12" s="89">
        <v>45854</v>
      </c>
      <c r="K12" s="89">
        <v>45986</v>
      </c>
      <c r="L12" s="87" t="s">
        <v>1819</v>
      </c>
      <c r="M12" s="87" t="s">
        <v>654</v>
      </c>
      <c r="N12" s="90" t="s">
        <v>1969</v>
      </c>
      <c r="O12" s="91" t="s">
        <v>1937</v>
      </c>
      <c r="P12" s="91" t="s">
        <v>1965</v>
      </c>
      <c r="Q12" s="92">
        <v>2025</v>
      </c>
      <c r="R12" s="88" t="s">
        <v>1939</v>
      </c>
      <c r="S12" s="88" t="s">
        <v>1940</v>
      </c>
      <c r="T12" s="95">
        <v>2025</v>
      </c>
    </row>
    <row r="13" spans="1:20" ht="18" customHeight="1" x14ac:dyDescent="0.7">
      <c r="A13" s="85">
        <v>12</v>
      </c>
      <c r="B13" s="86">
        <v>3138008</v>
      </c>
      <c r="C13" s="87" t="s">
        <v>1970</v>
      </c>
      <c r="D13" s="87">
        <v>982925670</v>
      </c>
      <c r="E13" s="87" t="s">
        <v>1932</v>
      </c>
      <c r="F13" s="87" t="s">
        <v>1933</v>
      </c>
      <c r="G13" s="87" t="s">
        <v>1934</v>
      </c>
      <c r="H13" s="87"/>
      <c r="I13" s="87"/>
      <c r="J13" s="89">
        <v>45854</v>
      </c>
      <c r="K13" s="94">
        <v>45868</v>
      </c>
      <c r="L13" s="87" t="s">
        <v>1819</v>
      </c>
      <c r="M13" s="87" t="s">
        <v>654</v>
      </c>
      <c r="N13" s="90" t="s">
        <v>1971</v>
      </c>
      <c r="O13" s="91" t="s">
        <v>1952</v>
      </c>
      <c r="P13" s="91" t="s">
        <v>1965</v>
      </c>
      <c r="Q13" s="92">
        <v>2025</v>
      </c>
      <c r="R13" s="88" t="s">
        <v>1972</v>
      </c>
      <c r="S13" s="88" t="s">
        <v>1973</v>
      </c>
      <c r="T13" s="95">
        <v>2025</v>
      </c>
    </row>
    <row r="14" spans="1:20" ht="18" customHeight="1" x14ac:dyDescent="0.7">
      <c r="A14" s="85">
        <v>13</v>
      </c>
      <c r="B14" s="86">
        <v>3138007</v>
      </c>
      <c r="C14" s="87" t="s">
        <v>1974</v>
      </c>
      <c r="D14" s="87">
        <v>914437500</v>
      </c>
      <c r="E14" s="87" t="s">
        <v>1932</v>
      </c>
      <c r="F14" s="87" t="s">
        <v>1933</v>
      </c>
      <c r="G14" s="87" t="s">
        <v>1934</v>
      </c>
      <c r="H14" s="87"/>
      <c r="I14" s="88" t="s">
        <v>1935</v>
      </c>
      <c r="J14" s="89">
        <v>45854</v>
      </c>
      <c r="K14" s="87"/>
      <c r="L14" s="87" t="s">
        <v>1942</v>
      </c>
      <c r="M14" s="87" t="s">
        <v>654</v>
      </c>
      <c r="N14" s="90" t="s">
        <v>1967</v>
      </c>
      <c r="O14" s="91" t="s">
        <v>1944</v>
      </c>
      <c r="P14" s="91" t="s">
        <v>1965</v>
      </c>
      <c r="Q14" s="92">
        <v>2025</v>
      </c>
      <c r="R14" s="88" t="s">
        <v>1942</v>
      </c>
      <c r="S14" s="88" t="s">
        <v>1942</v>
      </c>
      <c r="T14" s="88" t="s">
        <v>1942</v>
      </c>
    </row>
    <row r="15" spans="1:20" ht="18" customHeight="1" x14ac:dyDescent="0.7">
      <c r="A15" s="85">
        <v>14</v>
      </c>
      <c r="B15" s="86">
        <v>3138006</v>
      </c>
      <c r="C15" s="87" t="s">
        <v>1975</v>
      </c>
      <c r="D15" s="87">
        <v>333689328</v>
      </c>
      <c r="E15" s="87" t="s">
        <v>1932</v>
      </c>
      <c r="F15" s="87" t="s">
        <v>1933</v>
      </c>
      <c r="G15" s="87" t="s">
        <v>1934</v>
      </c>
      <c r="H15" s="87"/>
      <c r="I15" s="88" t="s">
        <v>208</v>
      </c>
      <c r="J15" s="89">
        <v>45854</v>
      </c>
      <c r="K15" s="89">
        <v>46080</v>
      </c>
      <c r="L15" s="87" t="s">
        <v>1819</v>
      </c>
      <c r="M15" s="87" t="s">
        <v>654</v>
      </c>
      <c r="N15" s="90" t="s">
        <v>1967</v>
      </c>
      <c r="O15" s="91" t="s">
        <v>1944</v>
      </c>
      <c r="P15" s="91" t="s">
        <v>1965</v>
      </c>
      <c r="Q15" s="92">
        <v>2025</v>
      </c>
      <c r="R15" s="88" t="s">
        <v>1976</v>
      </c>
      <c r="S15" s="88" t="s">
        <v>1977</v>
      </c>
      <c r="T15" s="95">
        <v>2026</v>
      </c>
    </row>
    <row r="16" spans="1:20" ht="18" customHeight="1" x14ac:dyDescent="0.7">
      <c r="A16" s="85">
        <v>15</v>
      </c>
      <c r="B16" s="86">
        <v>3138005</v>
      </c>
      <c r="C16" s="87" t="s">
        <v>1978</v>
      </c>
      <c r="D16" s="87">
        <v>947639833</v>
      </c>
      <c r="E16" s="87" t="s">
        <v>1932</v>
      </c>
      <c r="F16" s="87" t="s">
        <v>1933</v>
      </c>
      <c r="G16" s="87" t="s">
        <v>1934</v>
      </c>
      <c r="H16" s="87"/>
      <c r="I16" s="88" t="s">
        <v>1935</v>
      </c>
      <c r="J16" s="89">
        <v>45854</v>
      </c>
      <c r="K16" s="89">
        <v>45986</v>
      </c>
      <c r="L16" s="87" t="s">
        <v>1819</v>
      </c>
      <c r="M16" s="87" t="s">
        <v>654</v>
      </c>
      <c r="N16" s="90" t="s">
        <v>1969</v>
      </c>
      <c r="O16" s="91" t="s">
        <v>1937</v>
      </c>
      <c r="P16" s="91" t="s">
        <v>1965</v>
      </c>
      <c r="Q16" s="92">
        <v>2025</v>
      </c>
      <c r="R16" s="88" t="s">
        <v>1939</v>
      </c>
      <c r="S16" s="88" t="s">
        <v>1940</v>
      </c>
      <c r="T16" s="95">
        <v>2025</v>
      </c>
    </row>
    <row r="17" spans="1:20" ht="18" customHeight="1" x14ac:dyDescent="0.7">
      <c r="A17" s="85">
        <v>16</v>
      </c>
      <c r="B17" s="86">
        <v>3137892</v>
      </c>
      <c r="C17" s="87" t="s">
        <v>1979</v>
      </c>
      <c r="D17" s="87">
        <v>938110291</v>
      </c>
      <c r="E17" s="87" t="s">
        <v>1980</v>
      </c>
      <c r="F17" s="87" t="s">
        <v>1933</v>
      </c>
      <c r="G17" s="87" t="s">
        <v>1934</v>
      </c>
      <c r="H17" s="87"/>
      <c r="I17" s="88" t="s">
        <v>1981</v>
      </c>
      <c r="J17" s="89">
        <v>45853</v>
      </c>
      <c r="K17" s="94">
        <v>45889</v>
      </c>
      <c r="L17" s="87" t="s">
        <v>1819</v>
      </c>
      <c r="M17" s="87" t="s">
        <v>654</v>
      </c>
      <c r="N17" s="90" t="s">
        <v>1982</v>
      </c>
      <c r="O17" s="91" t="s">
        <v>1947</v>
      </c>
      <c r="P17" s="91" t="s">
        <v>1965</v>
      </c>
      <c r="Q17" s="92">
        <v>2025</v>
      </c>
      <c r="R17" s="88" t="s">
        <v>1983</v>
      </c>
      <c r="S17" s="88" t="s">
        <v>1949</v>
      </c>
      <c r="T17" s="95">
        <v>2025</v>
      </c>
    </row>
    <row r="18" spans="1:20" ht="18" customHeight="1" x14ac:dyDescent="0.7">
      <c r="A18" s="85">
        <v>17</v>
      </c>
      <c r="B18" s="86">
        <v>3137617</v>
      </c>
      <c r="C18" s="87" t="s">
        <v>1984</v>
      </c>
      <c r="D18" s="87">
        <v>931804372</v>
      </c>
      <c r="E18" s="87" t="s">
        <v>1932</v>
      </c>
      <c r="F18" s="87" t="s">
        <v>1933</v>
      </c>
      <c r="G18" s="87" t="s">
        <v>1934</v>
      </c>
      <c r="H18" s="87"/>
      <c r="I18" s="87"/>
      <c r="J18" s="89">
        <v>45849</v>
      </c>
      <c r="K18" s="94">
        <v>45868</v>
      </c>
      <c r="L18" s="87" t="s">
        <v>1819</v>
      </c>
      <c r="M18" s="87" t="s">
        <v>654</v>
      </c>
      <c r="N18" s="90" t="s">
        <v>1985</v>
      </c>
      <c r="O18" s="91" t="s">
        <v>1952</v>
      </c>
      <c r="P18" s="91" t="s">
        <v>1986</v>
      </c>
      <c r="Q18" s="92">
        <v>2025</v>
      </c>
      <c r="R18" s="88" t="s">
        <v>1972</v>
      </c>
      <c r="S18" s="88" t="s">
        <v>1973</v>
      </c>
      <c r="T18" s="95">
        <v>2025</v>
      </c>
    </row>
    <row r="19" spans="1:20" ht="18" customHeight="1" x14ac:dyDescent="0.7">
      <c r="A19" s="85">
        <v>18</v>
      </c>
      <c r="B19" s="85">
        <v>3137547</v>
      </c>
      <c r="C19" s="87" t="s">
        <v>1987</v>
      </c>
      <c r="D19" s="87">
        <v>933542839</v>
      </c>
      <c r="E19" s="87" t="s">
        <v>1932</v>
      </c>
      <c r="F19" s="87" t="s">
        <v>1933</v>
      </c>
      <c r="G19" s="87" t="s">
        <v>1934</v>
      </c>
      <c r="H19" s="87"/>
      <c r="I19" s="88" t="s">
        <v>1935</v>
      </c>
      <c r="J19" s="89">
        <v>45848</v>
      </c>
      <c r="K19" s="94">
        <v>45895</v>
      </c>
      <c r="L19" s="87" t="s">
        <v>1819</v>
      </c>
      <c r="M19" s="87" t="s">
        <v>654</v>
      </c>
      <c r="N19" s="90" t="s">
        <v>1988</v>
      </c>
      <c r="O19" s="91" t="s">
        <v>1947</v>
      </c>
      <c r="P19" s="91" t="s">
        <v>1986</v>
      </c>
      <c r="Q19" s="92">
        <v>2025</v>
      </c>
      <c r="R19" s="88" t="s">
        <v>1948</v>
      </c>
      <c r="S19" s="88" t="s">
        <v>1949</v>
      </c>
      <c r="T19" s="95">
        <v>2025</v>
      </c>
    </row>
    <row r="20" spans="1:20" ht="18" customHeight="1" x14ac:dyDescent="0.7">
      <c r="A20" s="85">
        <v>19</v>
      </c>
      <c r="B20" s="86">
        <v>3137545</v>
      </c>
      <c r="C20" s="87" t="s">
        <v>1989</v>
      </c>
      <c r="D20" s="87">
        <v>934030916</v>
      </c>
      <c r="E20" s="87" t="s">
        <v>1932</v>
      </c>
      <c r="F20" s="87" t="s">
        <v>1933</v>
      </c>
      <c r="G20" s="87" t="s">
        <v>1934</v>
      </c>
      <c r="H20" s="87"/>
      <c r="I20" s="87"/>
      <c r="J20" s="89">
        <v>45848</v>
      </c>
      <c r="K20" s="94">
        <v>45867</v>
      </c>
      <c r="L20" s="87" t="s">
        <v>1819</v>
      </c>
      <c r="M20" s="87" t="s">
        <v>654</v>
      </c>
      <c r="N20" s="90" t="s">
        <v>1985</v>
      </c>
      <c r="O20" s="91" t="s">
        <v>1952</v>
      </c>
      <c r="P20" s="91" t="s">
        <v>1986</v>
      </c>
      <c r="Q20" s="92">
        <v>2025</v>
      </c>
      <c r="R20" s="88" t="s">
        <v>1972</v>
      </c>
      <c r="S20" s="88" t="s">
        <v>1973</v>
      </c>
      <c r="T20" s="95">
        <v>2025</v>
      </c>
    </row>
    <row r="21" spans="1:20" ht="18" customHeight="1" x14ac:dyDescent="0.7">
      <c r="A21" s="85">
        <v>20</v>
      </c>
      <c r="B21" s="86">
        <v>3137257</v>
      </c>
      <c r="C21" s="87" t="s">
        <v>1990</v>
      </c>
      <c r="D21" s="87">
        <v>799986655</v>
      </c>
      <c r="E21" s="87" t="s">
        <v>1932</v>
      </c>
      <c r="F21" s="87" t="s">
        <v>1933</v>
      </c>
      <c r="G21" s="87" t="s">
        <v>1934</v>
      </c>
      <c r="H21" s="87"/>
      <c r="I21" s="88" t="s">
        <v>1935</v>
      </c>
      <c r="J21" s="89">
        <v>45845</v>
      </c>
      <c r="K21" s="87"/>
      <c r="L21" s="87" t="s">
        <v>1942</v>
      </c>
      <c r="M21" s="87" t="s">
        <v>654</v>
      </c>
      <c r="N21" s="90" t="s">
        <v>1991</v>
      </c>
      <c r="O21" s="91" t="s">
        <v>1992</v>
      </c>
      <c r="P21" s="91" t="s">
        <v>1986</v>
      </c>
      <c r="Q21" s="92">
        <v>2025</v>
      </c>
      <c r="R21" s="88" t="s">
        <v>1942</v>
      </c>
      <c r="S21" s="88" t="s">
        <v>1942</v>
      </c>
      <c r="T21" s="88" t="s">
        <v>1942</v>
      </c>
    </row>
    <row r="22" spans="1:20" ht="18" customHeight="1" x14ac:dyDescent="0.7">
      <c r="A22" s="85">
        <v>21</v>
      </c>
      <c r="B22" s="86">
        <v>3137253</v>
      </c>
      <c r="C22" s="87" t="s">
        <v>1993</v>
      </c>
      <c r="D22" s="87">
        <v>896228687</v>
      </c>
      <c r="E22" s="87" t="s">
        <v>1932</v>
      </c>
      <c r="F22" s="87" t="s">
        <v>1933</v>
      </c>
      <c r="G22" s="87" t="s">
        <v>1934</v>
      </c>
      <c r="H22" s="87"/>
      <c r="I22" s="88" t="s">
        <v>208</v>
      </c>
      <c r="J22" s="89">
        <v>45845</v>
      </c>
      <c r="K22" s="94">
        <v>45960</v>
      </c>
      <c r="L22" s="87" t="s">
        <v>1819</v>
      </c>
      <c r="M22" s="87" t="s">
        <v>654</v>
      </c>
      <c r="N22" s="90" t="s">
        <v>1960</v>
      </c>
      <c r="O22" s="91" t="s">
        <v>1961</v>
      </c>
      <c r="P22" s="91" t="s">
        <v>1986</v>
      </c>
      <c r="Q22" s="92">
        <v>2025</v>
      </c>
      <c r="R22" s="88" t="s">
        <v>1994</v>
      </c>
      <c r="S22" s="88" t="s">
        <v>1995</v>
      </c>
      <c r="T22" s="95">
        <v>2025</v>
      </c>
    </row>
    <row r="23" spans="1:20" ht="18" customHeight="1" x14ac:dyDescent="0.7">
      <c r="A23" s="85">
        <v>22</v>
      </c>
      <c r="B23" s="85">
        <v>3136860</v>
      </c>
      <c r="C23" s="87" t="s">
        <v>1996</v>
      </c>
      <c r="D23" s="87">
        <v>902368514</v>
      </c>
      <c r="E23" s="87" t="s">
        <v>1932</v>
      </c>
      <c r="F23" s="87" t="s">
        <v>1933</v>
      </c>
      <c r="G23" s="87" t="s">
        <v>1934</v>
      </c>
      <c r="H23" s="87"/>
      <c r="I23" s="88" t="s">
        <v>208</v>
      </c>
      <c r="J23" s="89">
        <v>45840</v>
      </c>
      <c r="K23" s="87"/>
      <c r="L23" s="87" t="s">
        <v>1942</v>
      </c>
      <c r="M23" s="87" t="s">
        <v>654</v>
      </c>
      <c r="N23" s="90" t="s">
        <v>1997</v>
      </c>
      <c r="O23" s="91" t="s">
        <v>1992</v>
      </c>
      <c r="P23" s="91" t="s">
        <v>1998</v>
      </c>
      <c r="Q23" s="92">
        <v>2025</v>
      </c>
      <c r="R23" s="88" t="s">
        <v>1942</v>
      </c>
      <c r="S23" s="88" t="s">
        <v>1942</v>
      </c>
      <c r="T23" s="88" t="s">
        <v>1942</v>
      </c>
    </row>
    <row r="24" spans="1:20" ht="18" customHeight="1" x14ac:dyDescent="0.7">
      <c r="A24" s="85">
        <v>23</v>
      </c>
      <c r="B24" s="86">
        <v>3136856</v>
      </c>
      <c r="C24" s="87" t="s">
        <v>1999</v>
      </c>
      <c r="D24" s="87">
        <v>965261617</v>
      </c>
      <c r="E24" s="87" t="s">
        <v>1932</v>
      </c>
      <c r="F24" s="87" t="s">
        <v>1933</v>
      </c>
      <c r="G24" s="87" t="s">
        <v>1934</v>
      </c>
      <c r="H24" s="87"/>
      <c r="I24" s="88" t="s">
        <v>1935</v>
      </c>
      <c r="J24" s="89">
        <v>45840</v>
      </c>
      <c r="K24" s="94">
        <v>45938</v>
      </c>
      <c r="L24" s="87" t="s">
        <v>1819</v>
      </c>
      <c r="M24" s="87" t="s">
        <v>654</v>
      </c>
      <c r="N24" s="90" t="s">
        <v>2000</v>
      </c>
      <c r="O24" s="91" t="s">
        <v>1961</v>
      </c>
      <c r="P24" s="91" t="s">
        <v>1998</v>
      </c>
      <c r="Q24" s="92">
        <v>2025</v>
      </c>
      <c r="R24" s="88" t="s">
        <v>2001</v>
      </c>
      <c r="S24" s="88" t="s">
        <v>1995</v>
      </c>
      <c r="T24" s="95">
        <v>2025</v>
      </c>
    </row>
    <row r="25" spans="1:20" ht="18" customHeight="1" x14ac:dyDescent="0.7">
      <c r="A25" s="85">
        <v>24</v>
      </c>
      <c r="B25" s="85">
        <v>3136855</v>
      </c>
      <c r="C25" s="87" t="s">
        <v>2002</v>
      </c>
      <c r="D25" s="87">
        <v>983305253</v>
      </c>
      <c r="E25" s="87" t="s">
        <v>1932</v>
      </c>
      <c r="F25" s="87" t="s">
        <v>1933</v>
      </c>
      <c r="G25" s="87" t="s">
        <v>1934</v>
      </c>
      <c r="H25" s="87"/>
      <c r="I25" s="88" t="s">
        <v>1935</v>
      </c>
      <c r="J25" s="89">
        <v>45840</v>
      </c>
      <c r="K25" s="94">
        <v>45895</v>
      </c>
      <c r="L25" s="87" t="s">
        <v>1819</v>
      </c>
      <c r="M25" s="87" t="s">
        <v>654</v>
      </c>
      <c r="N25" s="90" t="s">
        <v>2003</v>
      </c>
      <c r="O25" s="91" t="s">
        <v>1947</v>
      </c>
      <c r="P25" s="91" t="s">
        <v>1998</v>
      </c>
      <c r="Q25" s="92">
        <v>2025</v>
      </c>
      <c r="R25" s="88" t="s">
        <v>1948</v>
      </c>
      <c r="S25" s="88" t="s">
        <v>1949</v>
      </c>
      <c r="T25" s="95">
        <v>2025</v>
      </c>
    </row>
    <row r="26" spans="1:20" ht="18" customHeight="1" x14ac:dyDescent="0.7">
      <c r="A26" s="85">
        <v>25</v>
      </c>
      <c r="B26" s="86">
        <v>3136836</v>
      </c>
      <c r="C26" s="87" t="s">
        <v>2004</v>
      </c>
      <c r="D26" s="87">
        <v>366822765</v>
      </c>
      <c r="E26" s="87" t="s">
        <v>1932</v>
      </c>
      <c r="F26" s="87" t="s">
        <v>1933</v>
      </c>
      <c r="G26" s="87" t="s">
        <v>1934</v>
      </c>
      <c r="H26" s="87"/>
      <c r="I26" s="88" t="s">
        <v>1935</v>
      </c>
      <c r="J26" s="89">
        <v>45840</v>
      </c>
      <c r="K26" s="87"/>
      <c r="L26" s="87" t="s">
        <v>1942</v>
      </c>
      <c r="M26" s="87" t="s">
        <v>654</v>
      </c>
      <c r="N26" s="90" t="s">
        <v>1997</v>
      </c>
      <c r="O26" s="91" t="s">
        <v>1992</v>
      </c>
      <c r="P26" s="91" t="s">
        <v>1998</v>
      </c>
      <c r="Q26" s="92">
        <v>2025</v>
      </c>
      <c r="R26" s="88" t="s">
        <v>1942</v>
      </c>
      <c r="S26" s="88" t="s">
        <v>1942</v>
      </c>
      <c r="T26" s="88" t="s">
        <v>1942</v>
      </c>
    </row>
    <row r="27" spans="1:20" ht="18" customHeight="1" x14ac:dyDescent="0.7">
      <c r="A27" s="85">
        <v>26</v>
      </c>
      <c r="B27" s="86">
        <v>3136832</v>
      </c>
      <c r="C27" s="87" t="s">
        <v>2005</v>
      </c>
      <c r="D27" s="87">
        <v>932767618</v>
      </c>
      <c r="E27" s="87" t="s">
        <v>1932</v>
      </c>
      <c r="F27" s="87" t="s">
        <v>1933</v>
      </c>
      <c r="G27" s="87" t="s">
        <v>1934</v>
      </c>
      <c r="H27" s="87"/>
      <c r="I27" s="88" t="s">
        <v>1935</v>
      </c>
      <c r="J27" s="89">
        <v>45840</v>
      </c>
      <c r="K27" s="89">
        <v>46091</v>
      </c>
      <c r="L27" s="87" t="s">
        <v>1819</v>
      </c>
      <c r="M27" s="87" t="s">
        <v>654</v>
      </c>
      <c r="N27" s="90" t="s">
        <v>1997</v>
      </c>
      <c r="O27" s="91" t="s">
        <v>1992</v>
      </c>
      <c r="P27" s="91" t="s">
        <v>1998</v>
      </c>
      <c r="Q27" s="92">
        <v>2025</v>
      </c>
      <c r="R27" s="88" t="s">
        <v>2006</v>
      </c>
      <c r="S27" s="88" t="s">
        <v>2007</v>
      </c>
      <c r="T27" s="95">
        <v>2026</v>
      </c>
    </row>
    <row r="28" spans="1:20" ht="18" customHeight="1" x14ac:dyDescent="0.7">
      <c r="A28" s="85">
        <v>27</v>
      </c>
      <c r="B28" s="86">
        <v>3136781</v>
      </c>
      <c r="C28" s="87" t="s">
        <v>2008</v>
      </c>
      <c r="D28" s="87">
        <v>972833024</v>
      </c>
      <c r="E28" s="87" t="s">
        <v>1932</v>
      </c>
      <c r="F28" s="87" t="s">
        <v>1933</v>
      </c>
      <c r="G28" s="87" t="s">
        <v>1934</v>
      </c>
      <c r="H28" s="87"/>
      <c r="I28" s="88" t="s">
        <v>1935</v>
      </c>
      <c r="J28" s="89">
        <v>45839</v>
      </c>
      <c r="K28" s="89">
        <v>45986</v>
      </c>
      <c r="L28" s="87" t="s">
        <v>1819</v>
      </c>
      <c r="M28" s="87" t="s">
        <v>654</v>
      </c>
      <c r="N28" s="90" t="s">
        <v>2009</v>
      </c>
      <c r="O28" s="91" t="s">
        <v>1937</v>
      </c>
      <c r="P28" s="91" t="s">
        <v>1998</v>
      </c>
      <c r="Q28" s="92">
        <v>2025</v>
      </c>
      <c r="R28" s="88" t="s">
        <v>1939</v>
      </c>
      <c r="S28" s="88" t="s">
        <v>1940</v>
      </c>
      <c r="T28" s="95">
        <v>2025</v>
      </c>
    </row>
    <row r="29" spans="1:20" ht="18" customHeight="1" x14ac:dyDescent="0.7">
      <c r="A29" s="85">
        <v>28</v>
      </c>
      <c r="B29" s="86">
        <v>3136777</v>
      </c>
      <c r="C29" s="87" t="s">
        <v>2010</v>
      </c>
      <c r="D29" s="87">
        <v>794770450</v>
      </c>
      <c r="E29" s="87" t="s">
        <v>1932</v>
      </c>
      <c r="F29" s="87" t="s">
        <v>1933</v>
      </c>
      <c r="G29" s="87" t="s">
        <v>1934</v>
      </c>
      <c r="H29" s="87"/>
      <c r="I29" s="88" t="s">
        <v>1935</v>
      </c>
      <c r="J29" s="89">
        <v>45839</v>
      </c>
      <c r="K29" s="87"/>
      <c r="L29" s="87" t="s">
        <v>1942</v>
      </c>
      <c r="M29" s="87" t="s">
        <v>654</v>
      </c>
      <c r="N29" s="90" t="s">
        <v>2011</v>
      </c>
      <c r="O29" s="91" t="s">
        <v>1992</v>
      </c>
      <c r="P29" s="91" t="s">
        <v>1998</v>
      </c>
      <c r="Q29" s="92">
        <v>2025</v>
      </c>
      <c r="R29" s="88" t="s">
        <v>1942</v>
      </c>
      <c r="S29" s="88" t="s">
        <v>1942</v>
      </c>
      <c r="T29" s="88" t="s">
        <v>1942</v>
      </c>
    </row>
    <row r="30" spans="1:20" ht="18" customHeight="1" x14ac:dyDescent="0.7">
      <c r="A30" s="85">
        <v>29</v>
      </c>
      <c r="B30" s="86">
        <v>3136668</v>
      </c>
      <c r="C30" s="87" t="s">
        <v>2012</v>
      </c>
      <c r="D30" s="87">
        <v>767203446</v>
      </c>
      <c r="E30" s="87" t="s">
        <v>1932</v>
      </c>
      <c r="F30" s="87" t="s">
        <v>1933</v>
      </c>
      <c r="G30" s="87" t="s">
        <v>1934</v>
      </c>
      <c r="H30" s="87"/>
      <c r="I30" s="87"/>
      <c r="J30" s="89">
        <v>45838</v>
      </c>
      <c r="K30" s="94">
        <v>45882</v>
      </c>
      <c r="L30" s="87" t="s">
        <v>1819</v>
      </c>
      <c r="M30" s="87" t="s">
        <v>654</v>
      </c>
      <c r="N30" s="90" t="s">
        <v>2013</v>
      </c>
      <c r="O30" s="91" t="s">
        <v>1947</v>
      </c>
      <c r="P30" s="91" t="s">
        <v>1998</v>
      </c>
      <c r="Q30" s="92">
        <v>2025</v>
      </c>
      <c r="R30" s="88" t="s">
        <v>1953</v>
      </c>
      <c r="S30" s="88" t="s">
        <v>1949</v>
      </c>
      <c r="T30" s="95">
        <v>2025</v>
      </c>
    </row>
    <row r="31" spans="1:20" ht="18" customHeight="1" x14ac:dyDescent="0.7">
      <c r="A31" s="85">
        <v>30</v>
      </c>
      <c r="B31" s="85">
        <v>3136667</v>
      </c>
      <c r="C31" s="87" t="s">
        <v>1818</v>
      </c>
      <c r="D31" s="87">
        <v>909427753</v>
      </c>
      <c r="E31" s="87" t="s">
        <v>1932</v>
      </c>
      <c r="F31" s="87" t="s">
        <v>1933</v>
      </c>
      <c r="G31" s="87" t="s">
        <v>1934</v>
      </c>
      <c r="H31" s="87"/>
      <c r="I31" s="88" t="s">
        <v>1935</v>
      </c>
      <c r="J31" s="89">
        <v>45838</v>
      </c>
      <c r="K31" s="94">
        <v>45905</v>
      </c>
      <c r="L31" s="87" t="s">
        <v>1819</v>
      </c>
      <c r="M31" s="87" t="s">
        <v>654</v>
      </c>
      <c r="N31" s="90" t="s">
        <v>2014</v>
      </c>
      <c r="O31" s="91" t="s">
        <v>2015</v>
      </c>
      <c r="P31" s="91" t="s">
        <v>1998</v>
      </c>
      <c r="Q31" s="92">
        <v>2025</v>
      </c>
      <c r="R31" s="88" t="s">
        <v>2016</v>
      </c>
      <c r="S31" s="88" t="s">
        <v>2017</v>
      </c>
      <c r="T31" s="95">
        <v>2025</v>
      </c>
    </row>
    <row r="32" spans="1:20" ht="18" customHeight="1" x14ac:dyDescent="0.7">
      <c r="A32" s="85">
        <v>31</v>
      </c>
      <c r="B32" s="86">
        <v>3136664</v>
      </c>
      <c r="C32" s="87" t="s">
        <v>2018</v>
      </c>
      <c r="D32" s="87">
        <v>773676154</v>
      </c>
      <c r="E32" s="87" t="s">
        <v>1932</v>
      </c>
      <c r="F32" s="87" t="s">
        <v>1933</v>
      </c>
      <c r="G32" s="87" t="s">
        <v>1934</v>
      </c>
      <c r="H32" s="87"/>
      <c r="I32" s="88" t="s">
        <v>1935</v>
      </c>
      <c r="J32" s="89">
        <v>45838</v>
      </c>
      <c r="K32" s="94">
        <v>45926</v>
      </c>
      <c r="L32" s="87" t="s">
        <v>1819</v>
      </c>
      <c r="M32" s="87" t="s">
        <v>654</v>
      </c>
      <c r="N32" s="90" t="s">
        <v>2019</v>
      </c>
      <c r="O32" s="91" t="s">
        <v>2015</v>
      </c>
      <c r="P32" s="91" t="s">
        <v>1998</v>
      </c>
      <c r="Q32" s="92">
        <v>2025</v>
      </c>
      <c r="R32" s="88" t="s">
        <v>2020</v>
      </c>
      <c r="S32" s="88" t="s">
        <v>2017</v>
      </c>
      <c r="T32" s="95">
        <v>2025</v>
      </c>
    </row>
    <row r="33" spans="1:20" ht="18" customHeight="1" x14ac:dyDescent="0.7">
      <c r="A33" s="85">
        <v>32</v>
      </c>
      <c r="B33" s="86">
        <v>3136658</v>
      </c>
      <c r="C33" s="87" t="s">
        <v>2021</v>
      </c>
      <c r="D33" s="87">
        <v>939941161</v>
      </c>
      <c r="E33" s="87" t="s">
        <v>1932</v>
      </c>
      <c r="F33" s="87" t="s">
        <v>1933</v>
      </c>
      <c r="G33" s="87" t="s">
        <v>1934</v>
      </c>
      <c r="H33" s="87"/>
      <c r="I33" s="88" t="s">
        <v>208</v>
      </c>
      <c r="J33" s="89">
        <v>45838</v>
      </c>
      <c r="K33" s="94">
        <v>45895</v>
      </c>
      <c r="L33" s="87" t="s">
        <v>1819</v>
      </c>
      <c r="M33" s="87" t="s">
        <v>654</v>
      </c>
      <c r="N33" s="90" t="s">
        <v>2022</v>
      </c>
      <c r="O33" s="91" t="s">
        <v>1947</v>
      </c>
      <c r="P33" s="91" t="s">
        <v>1998</v>
      </c>
      <c r="Q33" s="92">
        <v>2025</v>
      </c>
      <c r="R33" s="88" t="s">
        <v>1948</v>
      </c>
      <c r="S33" s="88" t="s">
        <v>1949</v>
      </c>
      <c r="T33" s="95">
        <v>2025</v>
      </c>
    </row>
    <row r="34" spans="1:20" ht="18" customHeight="1" x14ac:dyDescent="0.7">
      <c r="A34" s="85">
        <v>33</v>
      </c>
      <c r="B34" s="86">
        <v>3136657</v>
      </c>
      <c r="C34" s="87" t="s">
        <v>2023</v>
      </c>
      <c r="D34" s="87">
        <v>939802898</v>
      </c>
      <c r="E34" s="87" t="s">
        <v>1932</v>
      </c>
      <c r="F34" s="87" t="s">
        <v>1933</v>
      </c>
      <c r="G34" s="87" t="s">
        <v>1934</v>
      </c>
      <c r="H34" s="87"/>
      <c r="I34" s="88" t="s">
        <v>1935</v>
      </c>
      <c r="J34" s="89">
        <v>45838</v>
      </c>
      <c r="K34" s="89">
        <v>46034</v>
      </c>
      <c r="L34" s="87" t="s">
        <v>1819</v>
      </c>
      <c r="M34" s="87" t="s">
        <v>654</v>
      </c>
      <c r="N34" s="90" t="s">
        <v>2024</v>
      </c>
      <c r="O34" s="91" t="s">
        <v>1992</v>
      </c>
      <c r="P34" s="91" t="s">
        <v>1998</v>
      </c>
      <c r="Q34" s="92">
        <v>2025</v>
      </c>
      <c r="R34" s="88" t="s">
        <v>2025</v>
      </c>
      <c r="S34" s="88" t="s">
        <v>2026</v>
      </c>
      <c r="T34" s="95">
        <v>2026</v>
      </c>
    </row>
    <row r="35" spans="1:20" ht="18" customHeight="1" x14ac:dyDescent="0.7">
      <c r="A35" s="85">
        <v>34</v>
      </c>
      <c r="B35" s="86">
        <v>3136446</v>
      </c>
      <c r="C35" s="87" t="s">
        <v>2027</v>
      </c>
      <c r="D35" s="87">
        <v>987894647</v>
      </c>
      <c r="E35" s="87" t="s">
        <v>1932</v>
      </c>
      <c r="F35" s="87" t="s">
        <v>1933</v>
      </c>
      <c r="G35" s="87" t="s">
        <v>1934</v>
      </c>
      <c r="H35" s="87"/>
      <c r="I35" s="87"/>
      <c r="J35" s="89">
        <v>45834</v>
      </c>
      <c r="K35" s="94">
        <v>45868</v>
      </c>
      <c r="L35" s="87" t="s">
        <v>1819</v>
      </c>
      <c r="M35" s="87" t="s">
        <v>654</v>
      </c>
      <c r="N35" s="90" t="s">
        <v>2028</v>
      </c>
      <c r="O35" s="91" t="s">
        <v>1947</v>
      </c>
      <c r="P35" s="91" t="s">
        <v>2029</v>
      </c>
      <c r="Q35" s="92">
        <v>2025</v>
      </c>
      <c r="R35" s="88" t="s">
        <v>1972</v>
      </c>
      <c r="S35" s="88" t="s">
        <v>1973</v>
      </c>
      <c r="T35" s="95">
        <v>2025</v>
      </c>
    </row>
    <row r="36" spans="1:20" ht="18" customHeight="1" x14ac:dyDescent="0.7">
      <c r="A36" s="85">
        <v>35</v>
      </c>
      <c r="B36" s="86">
        <v>3136444</v>
      </c>
      <c r="C36" s="87" t="s">
        <v>2030</v>
      </c>
      <c r="D36" s="87">
        <v>888954167</v>
      </c>
      <c r="E36" s="87" t="s">
        <v>1932</v>
      </c>
      <c r="F36" s="87" t="s">
        <v>1933</v>
      </c>
      <c r="G36" s="87" t="s">
        <v>1934</v>
      </c>
      <c r="H36" s="87"/>
      <c r="I36" s="87"/>
      <c r="J36" s="89">
        <v>45834</v>
      </c>
      <c r="K36" s="94">
        <v>45863</v>
      </c>
      <c r="L36" s="87" t="s">
        <v>1819</v>
      </c>
      <c r="M36" s="87" t="s">
        <v>654</v>
      </c>
      <c r="N36" s="90" t="s">
        <v>2031</v>
      </c>
      <c r="O36" s="91" t="s">
        <v>1952</v>
      </c>
      <c r="P36" s="91" t="s">
        <v>2029</v>
      </c>
      <c r="Q36" s="92">
        <v>2025</v>
      </c>
      <c r="R36" s="88" t="s">
        <v>1938</v>
      </c>
      <c r="S36" s="88" t="s">
        <v>1973</v>
      </c>
      <c r="T36" s="95">
        <v>2025</v>
      </c>
    </row>
    <row r="37" spans="1:20" ht="18" customHeight="1" x14ac:dyDescent="0.7">
      <c r="A37" s="85">
        <v>36</v>
      </c>
      <c r="B37" s="85">
        <v>3136432</v>
      </c>
      <c r="C37" s="87" t="s">
        <v>2032</v>
      </c>
      <c r="D37" s="87">
        <v>866884459</v>
      </c>
      <c r="E37" s="87" t="s">
        <v>1932</v>
      </c>
      <c r="F37" s="87" t="s">
        <v>1933</v>
      </c>
      <c r="G37" s="87" t="s">
        <v>1934</v>
      </c>
      <c r="H37" s="87"/>
      <c r="I37" s="88" t="s">
        <v>1935</v>
      </c>
      <c r="J37" s="89">
        <v>45834</v>
      </c>
      <c r="K37" s="94">
        <v>45930</v>
      </c>
      <c r="L37" s="87" t="s">
        <v>1819</v>
      </c>
      <c r="M37" s="87" t="s">
        <v>654</v>
      </c>
      <c r="N37" s="90" t="s">
        <v>2033</v>
      </c>
      <c r="O37" s="91" t="s">
        <v>1961</v>
      </c>
      <c r="P37" s="91" t="s">
        <v>2029</v>
      </c>
      <c r="Q37" s="92">
        <v>2025</v>
      </c>
      <c r="R37" s="88" t="s">
        <v>2034</v>
      </c>
      <c r="S37" s="88" t="s">
        <v>2017</v>
      </c>
      <c r="T37" s="95">
        <v>2025</v>
      </c>
    </row>
    <row r="38" spans="1:20" ht="18" customHeight="1" x14ac:dyDescent="0.7">
      <c r="A38" s="85">
        <v>37</v>
      </c>
      <c r="B38" s="86">
        <v>3136431</v>
      </c>
      <c r="C38" s="87" t="s">
        <v>2035</v>
      </c>
      <c r="D38" s="87">
        <v>388039604</v>
      </c>
      <c r="E38" s="87" t="s">
        <v>1932</v>
      </c>
      <c r="F38" s="87" t="s">
        <v>1933</v>
      </c>
      <c r="G38" s="87" t="s">
        <v>1934</v>
      </c>
      <c r="H38" s="87"/>
      <c r="I38" s="88" t="s">
        <v>208</v>
      </c>
      <c r="J38" s="89">
        <v>45834</v>
      </c>
      <c r="K38" s="89">
        <v>45986</v>
      </c>
      <c r="L38" s="87" t="s">
        <v>1819</v>
      </c>
      <c r="M38" s="87" t="s">
        <v>654</v>
      </c>
      <c r="N38" s="90" t="s">
        <v>2036</v>
      </c>
      <c r="O38" s="91" t="s">
        <v>1937</v>
      </c>
      <c r="P38" s="91" t="s">
        <v>2029</v>
      </c>
      <c r="Q38" s="92">
        <v>2025</v>
      </c>
      <c r="R38" s="88" t="s">
        <v>1939</v>
      </c>
      <c r="S38" s="88" t="s">
        <v>1940</v>
      </c>
      <c r="T38" s="95">
        <v>2025</v>
      </c>
    </row>
    <row r="39" spans="1:20" ht="18" customHeight="1" x14ac:dyDescent="0.7">
      <c r="A39" s="85">
        <v>38</v>
      </c>
      <c r="B39" s="86">
        <v>3136371</v>
      </c>
      <c r="C39" s="87" t="s">
        <v>2037</v>
      </c>
      <c r="D39" s="87">
        <v>901819983</v>
      </c>
      <c r="E39" s="87" t="s">
        <v>1932</v>
      </c>
      <c r="F39" s="87" t="s">
        <v>1933</v>
      </c>
      <c r="G39" s="87" t="s">
        <v>1934</v>
      </c>
      <c r="H39" s="87"/>
      <c r="I39" s="88" t="s">
        <v>208</v>
      </c>
      <c r="J39" s="89">
        <v>45833</v>
      </c>
      <c r="K39" s="94">
        <v>45895</v>
      </c>
      <c r="L39" s="87" t="s">
        <v>1819</v>
      </c>
      <c r="M39" s="87" t="s">
        <v>654</v>
      </c>
      <c r="N39" s="90" t="s">
        <v>2038</v>
      </c>
      <c r="O39" s="91" t="s">
        <v>2015</v>
      </c>
      <c r="P39" s="91" t="s">
        <v>2029</v>
      </c>
      <c r="Q39" s="92">
        <v>2025</v>
      </c>
      <c r="R39" s="88" t="s">
        <v>1948</v>
      </c>
      <c r="S39" s="88" t="s">
        <v>1949</v>
      </c>
      <c r="T39" s="95">
        <v>2025</v>
      </c>
    </row>
    <row r="40" spans="1:20" ht="18" customHeight="1" x14ac:dyDescent="0.7">
      <c r="A40" s="85">
        <v>39</v>
      </c>
      <c r="B40" s="86">
        <v>3136369</v>
      </c>
      <c r="C40" s="87" t="s">
        <v>2039</v>
      </c>
      <c r="D40" s="87">
        <v>355504239</v>
      </c>
      <c r="E40" s="87" t="s">
        <v>1932</v>
      </c>
      <c r="F40" s="87" t="s">
        <v>1933</v>
      </c>
      <c r="G40" s="87" t="s">
        <v>1934</v>
      </c>
      <c r="H40" s="87"/>
      <c r="I40" s="87"/>
      <c r="J40" s="89">
        <v>45833</v>
      </c>
      <c r="K40" s="94">
        <v>45882</v>
      </c>
      <c r="L40" s="87" t="s">
        <v>1819</v>
      </c>
      <c r="M40" s="87" t="s">
        <v>654</v>
      </c>
      <c r="N40" s="90" t="s">
        <v>2040</v>
      </c>
      <c r="O40" s="91" t="s">
        <v>1947</v>
      </c>
      <c r="P40" s="91" t="s">
        <v>2029</v>
      </c>
      <c r="Q40" s="92">
        <v>2025</v>
      </c>
      <c r="R40" s="88" t="s">
        <v>1953</v>
      </c>
      <c r="S40" s="88" t="s">
        <v>1949</v>
      </c>
      <c r="T40" s="95">
        <v>2025</v>
      </c>
    </row>
    <row r="41" spans="1:20" ht="18" customHeight="1" x14ac:dyDescent="0.7">
      <c r="A41" s="85">
        <v>40</v>
      </c>
      <c r="B41" s="86">
        <v>3136368</v>
      </c>
      <c r="C41" s="87" t="s">
        <v>2041</v>
      </c>
      <c r="D41" s="87">
        <v>901065777</v>
      </c>
      <c r="E41" s="87" t="s">
        <v>1932</v>
      </c>
      <c r="F41" s="87" t="s">
        <v>1933</v>
      </c>
      <c r="G41" s="87" t="s">
        <v>1934</v>
      </c>
      <c r="H41" s="87"/>
      <c r="I41" s="88" t="s">
        <v>208</v>
      </c>
      <c r="J41" s="89">
        <v>45833</v>
      </c>
      <c r="K41" s="94">
        <v>45926</v>
      </c>
      <c r="L41" s="87" t="s">
        <v>1819</v>
      </c>
      <c r="M41" s="87" t="s">
        <v>654</v>
      </c>
      <c r="N41" s="90" t="s">
        <v>2042</v>
      </c>
      <c r="O41" s="91" t="s">
        <v>1961</v>
      </c>
      <c r="P41" s="91" t="s">
        <v>2029</v>
      </c>
      <c r="Q41" s="92">
        <v>2025</v>
      </c>
      <c r="R41" s="88" t="s">
        <v>2020</v>
      </c>
      <c r="S41" s="88" t="s">
        <v>2017</v>
      </c>
      <c r="T41" s="95">
        <v>2025</v>
      </c>
    </row>
    <row r="42" spans="1:20" ht="18" customHeight="1" x14ac:dyDescent="0.7">
      <c r="A42" s="85">
        <v>41</v>
      </c>
      <c r="B42" s="86">
        <v>3136361</v>
      </c>
      <c r="C42" s="87" t="s">
        <v>2043</v>
      </c>
      <c r="D42" s="87">
        <v>971515817</v>
      </c>
      <c r="E42" s="87" t="s">
        <v>1932</v>
      </c>
      <c r="F42" s="87" t="s">
        <v>1933</v>
      </c>
      <c r="G42" s="87" t="s">
        <v>1934</v>
      </c>
      <c r="H42" s="87"/>
      <c r="I42" s="88" t="s">
        <v>208</v>
      </c>
      <c r="J42" s="89">
        <v>45833</v>
      </c>
      <c r="K42" s="94">
        <v>45986</v>
      </c>
      <c r="L42" s="87" t="s">
        <v>1819</v>
      </c>
      <c r="M42" s="87" t="s">
        <v>654</v>
      </c>
      <c r="N42" s="90" t="s">
        <v>2044</v>
      </c>
      <c r="O42" s="91" t="s">
        <v>2045</v>
      </c>
      <c r="P42" s="91" t="s">
        <v>2029</v>
      </c>
      <c r="Q42" s="92">
        <v>2025</v>
      </c>
      <c r="R42" s="88" t="s">
        <v>1939</v>
      </c>
      <c r="S42" s="88" t="s">
        <v>1940</v>
      </c>
      <c r="T42" s="95">
        <v>2025</v>
      </c>
    </row>
    <row r="43" spans="1:20" ht="18" customHeight="1" x14ac:dyDescent="0.7">
      <c r="A43" s="85">
        <v>42</v>
      </c>
      <c r="B43" s="86">
        <v>3136358</v>
      </c>
      <c r="C43" s="87" t="s">
        <v>2046</v>
      </c>
      <c r="D43" s="87">
        <v>906958602</v>
      </c>
      <c r="E43" s="87" t="s">
        <v>1932</v>
      </c>
      <c r="F43" s="87" t="s">
        <v>1933</v>
      </c>
      <c r="G43" s="87" t="s">
        <v>1934</v>
      </c>
      <c r="H43" s="87"/>
      <c r="I43" s="88" t="s">
        <v>208</v>
      </c>
      <c r="J43" s="89">
        <v>45833</v>
      </c>
      <c r="K43" s="94">
        <v>45926</v>
      </c>
      <c r="L43" s="87" t="s">
        <v>1819</v>
      </c>
      <c r="M43" s="87" t="s">
        <v>654</v>
      </c>
      <c r="N43" s="90" t="s">
        <v>2042</v>
      </c>
      <c r="O43" s="91" t="s">
        <v>1961</v>
      </c>
      <c r="P43" s="91" t="s">
        <v>2029</v>
      </c>
      <c r="Q43" s="92">
        <v>2025</v>
      </c>
      <c r="R43" s="88" t="s">
        <v>2020</v>
      </c>
      <c r="S43" s="88" t="s">
        <v>2017</v>
      </c>
      <c r="T43" s="95">
        <v>2025</v>
      </c>
    </row>
    <row r="44" spans="1:20" ht="18" customHeight="1" x14ac:dyDescent="0.7">
      <c r="A44" s="85">
        <v>43</v>
      </c>
      <c r="B44" s="86">
        <v>3136275</v>
      </c>
      <c r="C44" s="87" t="s">
        <v>2047</v>
      </c>
      <c r="D44" s="87">
        <v>376648685</v>
      </c>
      <c r="E44" s="87" t="s">
        <v>1932</v>
      </c>
      <c r="F44" s="87" t="s">
        <v>1933</v>
      </c>
      <c r="G44" s="87" t="s">
        <v>1934</v>
      </c>
      <c r="H44" s="87"/>
      <c r="I44" s="88" t="s">
        <v>208</v>
      </c>
      <c r="J44" s="89">
        <v>45832</v>
      </c>
      <c r="K44" s="94">
        <v>45938</v>
      </c>
      <c r="L44" s="87" t="s">
        <v>1819</v>
      </c>
      <c r="M44" s="87" t="s">
        <v>654</v>
      </c>
      <c r="N44" s="90" t="s">
        <v>2048</v>
      </c>
      <c r="O44" s="91" t="s">
        <v>1961</v>
      </c>
      <c r="P44" s="91" t="s">
        <v>2029</v>
      </c>
      <c r="Q44" s="92">
        <v>2025</v>
      </c>
      <c r="R44" s="88" t="s">
        <v>2001</v>
      </c>
      <c r="S44" s="88" t="s">
        <v>1995</v>
      </c>
      <c r="T44" s="95">
        <v>2025</v>
      </c>
    </row>
    <row r="45" spans="1:20" ht="18" customHeight="1" x14ac:dyDescent="0.7">
      <c r="A45" s="85">
        <v>44</v>
      </c>
      <c r="B45" s="86">
        <v>3136262</v>
      </c>
      <c r="C45" s="87" t="s">
        <v>2049</v>
      </c>
      <c r="D45" s="87">
        <v>933575630</v>
      </c>
      <c r="E45" s="87" t="s">
        <v>1932</v>
      </c>
      <c r="F45" s="87" t="s">
        <v>1933</v>
      </c>
      <c r="G45" s="87" t="s">
        <v>1934</v>
      </c>
      <c r="H45" s="87"/>
      <c r="I45" s="88" t="s">
        <v>1935</v>
      </c>
      <c r="J45" s="89">
        <v>45832</v>
      </c>
      <c r="K45" s="94">
        <v>45964</v>
      </c>
      <c r="L45" s="87" t="s">
        <v>1819</v>
      </c>
      <c r="M45" s="87" t="s">
        <v>654</v>
      </c>
      <c r="N45" s="90" t="s">
        <v>2050</v>
      </c>
      <c r="O45" s="91" t="s">
        <v>1937</v>
      </c>
      <c r="P45" s="91" t="s">
        <v>2029</v>
      </c>
      <c r="Q45" s="92">
        <v>2025</v>
      </c>
      <c r="R45" s="88" t="s">
        <v>2051</v>
      </c>
      <c r="S45" s="88" t="s">
        <v>1940</v>
      </c>
      <c r="T45" s="95">
        <v>2025</v>
      </c>
    </row>
    <row r="46" spans="1:20" ht="18" customHeight="1" x14ac:dyDescent="0.7">
      <c r="A46" s="85">
        <v>45</v>
      </c>
      <c r="B46" s="86">
        <v>3136261</v>
      </c>
      <c r="C46" s="87" t="s">
        <v>2052</v>
      </c>
      <c r="D46" s="87">
        <v>938922976</v>
      </c>
      <c r="E46" s="87" t="s">
        <v>1932</v>
      </c>
      <c r="F46" s="87" t="s">
        <v>1933</v>
      </c>
      <c r="G46" s="87" t="s">
        <v>1934</v>
      </c>
      <c r="H46" s="87"/>
      <c r="I46" s="88" t="s">
        <v>1935</v>
      </c>
      <c r="J46" s="89">
        <v>45832</v>
      </c>
      <c r="K46" s="87"/>
      <c r="L46" s="87" t="s">
        <v>1942</v>
      </c>
      <c r="M46" s="87" t="s">
        <v>654</v>
      </c>
      <c r="N46" s="90" t="s">
        <v>2053</v>
      </c>
      <c r="O46" s="91" t="s">
        <v>1992</v>
      </c>
      <c r="P46" s="91" t="s">
        <v>2029</v>
      </c>
      <c r="Q46" s="92">
        <v>2025</v>
      </c>
      <c r="R46" s="88" t="s">
        <v>1942</v>
      </c>
      <c r="S46" s="88" t="s">
        <v>1942</v>
      </c>
      <c r="T46" s="88" t="s">
        <v>1942</v>
      </c>
    </row>
    <row r="47" spans="1:20" ht="18" customHeight="1" x14ac:dyDescent="0.7">
      <c r="A47" s="85">
        <v>46</v>
      </c>
      <c r="B47" s="86">
        <v>3136258</v>
      </c>
      <c r="C47" s="87" t="s">
        <v>2054</v>
      </c>
      <c r="D47" s="87">
        <v>971423291</v>
      </c>
      <c r="E47" s="87" t="s">
        <v>1932</v>
      </c>
      <c r="F47" s="87" t="s">
        <v>1933</v>
      </c>
      <c r="G47" s="87" t="s">
        <v>1934</v>
      </c>
      <c r="H47" s="87"/>
      <c r="I47" s="88" t="s">
        <v>1935</v>
      </c>
      <c r="J47" s="89">
        <v>45832</v>
      </c>
      <c r="K47" s="89">
        <v>46098</v>
      </c>
      <c r="L47" s="87" t="s">
        <v>1819</v>
      </c>
      <c r="M47" s="87" t="s">
        <v>654</v>
      </c>
      <c r="N47" s="90" t="s">
        <v>2053</v>
      </c>
      <c r="O47" s="91" t="s">
        <v>1992</v>
      </c>
      <c r="P47" s="91" t="s">
        <v>2029</v>
      </c>
      <c r="Q47" s="92">
        <v>2025</v>
      </c>
      <c r="R47" s="88" t="s">
        <v>2055</v>
      </c>
      <c r="S47" s="88" t="s">
        <v>2007</v>
      </c>
      <c r="T47" s="95">
        <v>2026</v>
      </c>
    </row>
    <row r="48" spans="1:20" ht="18" customHeight="1" x14ac:dyDescent="0.7">
      <c r="A48" s="85">
        <v>47</v>
      </c>
      <c r="B48" s="86">
        <v>3136173</v>
      </c>
      <c r="C48" s="87" t="s">
        <v>2056</v>
      </c>
      <c r="D48" s="87">
        <v>367052398</v>
      </c>
      <c r="E48" s="87" t="s">
        <v>1932</v>
      </c>
      <c r="F48" s="87" t="s">
        <v>1933</v>
      </c>
      <c r="G48" s="87" t="s">
        <v>1934</v>
      </c>
      <c r="H48" s="87"/>
      <c r="I48" s="87"/>
      <c r="J48" s="89">
        <v>45831</v>
      </c>
      <c r="K48" s="94">
        <v>45868</v>
      </c>
      <c r="L48" s="87" t="s">
        <v>1819</v>
      </c>
      <c r="M48" s="87" t="s">
        <v>654</v>
      </c>
      <c r="N48" s="90" t="s">
        <v>2057</v>
      </c>
      <c r="O48" s="91" t="s">
        <v>1947</v>
      </c>
      <c r="P48" s="91" t="s">
        <v>2029</v>
      </c>
      <c r="Q48" s="92">
        <v>2025</v>
      </c>
      <c r="R48" s="88" t="s">
        <v>1972</v>
      </c>
      <c r="S48" s="88" t="s">
        <v>1973</v>
      </c>
      <c r="T48" s="95">
        <v>2025</v>
      </c>
    </row>
    <row r="49" spans="1:20" ht="18" customHeight="1" x14ac:dyDescent="0.7">
      <c r="A49" s="85">
        <v>48</v>
      </c>
      <c r="B49" s="86">
        <v>3136171</v>
      </c>
      <c r="C49" s="87" t="s">
        <v>2058</v>
      </c>
      <c r="D49" s="87">
        <v>933426553</v>
      </c>
      <c r="E49" s="87" t="s">
        <v>1932</v>
      </c>
      <c r="F49" s="87" t="s">
        <v>1933</v>
      </c>
      <c r="G49" s="87" t="s">
        <v>1934</v>
      </c>
      <c r="H49" s="87"/>
      <c r="I49" s="88" t="s">
        <v>1935</v>
      </c>
      <c r="J49" s="89">
        <v>45831</v>
      </c>
      <c r="K49" s="87"/>
      <c r="L49" s="87" t="s">
        <v>1942</v>
      </c>
      <c r="M49" s="87" t="s">
        <v>654</v>
      </c>
      <c r="N49" s="90" t="s">
        <v>2059</v>
      </c>
      <c r="O49" s="91" t="s">
        <v>1992</v>
      </c>
      <c r="P49" s="91" t="s">
        <v>2029</v>
      </c>
      <c r="Q49" s="92">
        <v>2025</v>
      </c>
      <c r="R49" s="88" t="s">
        <v>1942</v>
      </c>
      <c r="S49" s="88" t="s">
        <v>1942</v>
      </c>
      <c r="T49" s="88" t="s">
        <v>1942</v>
      </c>
    </row>
    <row r="50" spans="1:20" ht="18" customHeight="1" x14ac:dyDescent="0.7">
      <c r="A50" s="85">
        <v>49</v>
      </c>
      <c r="B50" s="86">
        <v>3136154</v>
      </c>
      <c r="C50" s="87" t="s">
        <v>2060</v>
      </c>
      <c r="D50" s="87">
        <v>345250883</v>
      </c>
      <c r="E50" s="87" t="s">
        <v>1932</v>
      </c>
      <c r="F50" s="87" t="s">
        <v>1933</v>
      </c>
      <c r="G50" s="87" t="s">
        <v>1934</v>
      </c>
      <c r="H50" s="87"/>
      <c r="I50" s="88" t="s">
        <v>1935</v>
      </c>
      <c r="J50" s="89">
        <v>45831</v>
      </c>
      <c r="K50" s="94">
        <v>45938</v>
      </c>
      <c r="L50" s="87" t="s">
        <v>1819</v>
      </c>
      <c r="M50" s="87" t="s">
        <v>654</v>
      </c>
      <c r="N50" s="90" t="s">
        <v>2061</v>
      </c>
      <c r="O50" s="91" t="s">
        <v>1961</v>
      </c>
      <c r="P50" s="91" t="s">
        <v>2029</v>
      </c>
      <c r="Q50" s="92">
        <v>2025</v>
      </c>
      <c r="R50" s="88" t="s">
        <v>2001</v>
      </c>
      <c r="S50" s="88" t="s">
        <v>1995</v>
      </c>
      <c r="T50" s="95">
        <v>2025</v>
      </c>
    </row>
    <row r="51" spans="1:20" ht="18" customHeight="1" x14ac:dyDescent="0.7">
      <c r="A51" s="85">
        <v>50</v>
      </c>
      <c r="B51" s="85">
        <v>3136147</v>
      </c>
      <c r="C51" s="87" t="s">
        <v>2062</v>
      </c>
      <c r="D51" s="87">
        <v>332743433</v>
      </c>
      <c r="E51" s="87" t="s">
        <v>1932</v>
      </c>
      <c r="F51" s="87" t="s">
        <v>1933</v>
      </c>
      <c r="G51" s="87" t="s">
        <v>1934</v>
      </c>
      <c r="H51" s="87"/>
      <c r="I51" s="88" t="s">
        <v>1935</v>
      </c>
      <c r="J51" s="89">
        <v>45831</v>
      </c>
      <c r="K51" s="94">
        <v>45964</v>
      </c>
      <c r="L51" s="87" t="s">
        <v>1819</v>
      </c>
      <c r="M51" s="87" t="s">
        <v>654</v>
      </c>
      <c r="N51" s="90" t="s">
        <v>2063</v>
      </c>
      <c r="O51" s="91" t="s">
        <v>1937</v>
      </c>
      <c r="P51" s="91" t="s">
        <v>2029</v>
      </c>
      <c r="Q51" s="92">
        <v>2025</v>
      </c>
      <c r="R51" s="88" t="s">
        <v>2051</v>
      </c>
      <c r="S51" s="88" t="s">
        <v>1940</v>
      </c>
      <c r="T51" s="95">
        <v>2025</v>
      </c>
    </row>
    <row r="52" spans="1:20" ht="18" customHeight="1" x14ac:dyDescent="0.7">
      <c r="A52" s="85">
        <v>51</v>
      </c>
      <c r="B52" s="86">
        <v>3136146</v>
      </c>
      <c r="C52" s="87" t="s">
        <v>2064</v>
      </c>
      <c r="D52" s="87">
        <v>932793547</v>
      </c>
      <c r="E52" s="87" t="s">
        <v>1932</v>
      </c>
      <c r="F52" s="87" t="s">
        <v>1933</v>
      </c>
      <c r="G52" s="87" t="s">
        <v>1934</v>
      </c>
      <c r="H52" s="87"/>
      <c r="I52" s="88" t="s">
        <v>1935</v>
      </c>
      <c r="J52" s="89">
        <v>45831</v>
      </c>
      <c r="K52" s="94">
        <v>45926</v>
      </c>
      <c r="L52" s="87" t="s">
        <v>1819</v>
      </c>
      <c r="M52" s="87" t="s">
        <v>654</v>
      </c>
      <c r="N52" s="90" t="s">
        <v>2065</v>
      </c>
      <c r="O52" s="91" t="s">
        <v>1961</v>
      </c>
      <c r="P52" s="91" t="s">
        <v>2029</v>
      </c>
      <c r="Q52" s="92">
        <v>2025</v>
      </c>
      <c r="R52" s="88" t="s">
        <v>2020</v>
      </c>
      <c r="S52" s="88" t="s">
        <v>2017</v>
      </c>
      <c r="T52" s="95">
        <v>2025</v>
      </c>
    </row>
    <row r="53" spans="1:20" ht="18" customHeight="1" x14ac:dyDescent="0.7">
      <c r="A53" s="85">
        <v>52</v>
      </c>
      <c r="B53" s="86">
        <v>3135932</v>
      </c>
      <c r="C53" s="87" t="s">
        <v>2066</v>
      </c>
      <c r="D53" s="87">
        <v>903891795</v>
      </c>
      <c r="E53" s="87" t="s">
        <v>1932</v>
      </c>
      <c r="F53" s="87" t="s">
        <v>1933</v>
      </c>
      <c r="G53" s="87" t="s">
        <v>1934</v>
      </c>
      <c r="H53" s="87"/>
      <c r="I53" s="88" t="s">
        <v>208</v>
      </c>
      <c r="J53" s="89">
        <v>45828</v>
      </c>
      <c r="K53" s="94">
        <v>45953</v>
      </c>
      <c r="L53" s="87" t="s">
        <v>1819</v>
      </c>
      <c r="M53" s="87" t="s">
        <v>654</v>
      </c>
      <c r="N53" s="90" t="s">
        <v>2067</v>
      </c>
      <c r="O53" s="91" t="s">
        <v>1937</v>
      </c>
      <c r="P53" s="91" t="s">
        <v>2068</v>
      </c>
      <c r="Q53" s="92">
        <v>2025</v>
      </c>
      <c r="R53" s="88" t="s">
        <v>2069</v>
      </c>
      <c r="S53" s="88" t="s">
        <v>1995</v>
      </c>
      <c r="T53" s="95">
        <v>2025</v>
      </c>
    </row>
    <row r="54" spans="1:20" ht="18" customHeight="1" x14ac:dyDescent="0.7">
      <c r="A54" s="85">
        <v>53</v>
      </c>
      <c r="B54" s="85">
        <v>3135726</v>
      </c>
      <c r="C54" s="88" t="s">
        <v>2070</v>
      </c>
      <c r="D54" s="87">
        <v>938905341</v>
      </c>
      <c r="E54" s="87" t="s">
        <v>1932</v>
      </c>
      <c r="F54" s="87" t="s">
        <v>1933</v>
      </c>
      <c r="G54" s="87" t="s">
        <v>1934</v>
      </c>
      <c r="H54" s="87"/>
      <c r="I54" s="88" t="s">
        <v>1935</v>
      </c>
      <c r="J54" s="89">
        <v>45826</v>
      </c>
      <c r="K54" s="89">
        <v>46062</v>
      </c>
      <c r="L54" s="87" t="s">
        <v>1819</v>
      </c>
      <c r="M54" s="87" t="s">
        <v>654</v>
      </c>
      <c r="N54" s="90" t="s">
        <v>2071</v>
      </c>
      <c r="O54" s="91" t="s">
        <v>1992</v>
      </c>
      <c r="P54" s="91" t="s">
        <v>2068</v>
      </c>
      <c r="Q54" s="92">
        <v>2025</v>
      </c>
      <c r="R54" s="88" t="s">
        <v>2072</v>
      </c>
      <c r="S54" s="88" t="s">
        <v>1977</v>
      </c>
      <c r="T54" s="95">
        <v>2026</v>
      </c>
    </row>
    <row r="55" spans="1:20" ht="18" customHeight="1" x14ac:dyDescent="0.7">
      <c r="A55" s="85">
        <v>54</v>
      </c>
      <c r="B55" s="86">
        <v>3135718</v>
      </c>
      <c r="C55" s="87" t="s">
        <v>2073</v>
      </c>
      <c r="D55" s="87">
        <v>962246978</v>
      </c>
      <c r="E55" s="87" t="s">
        <v>1932</v>
      </c>
      <c r="F55" s="87" t="s">
        <v>1933</v>
      </c>
      <c r="G55" s="87" t="s">
        <v>1934</v>
      </c>
      <c r="H55" s="87"/>
      <c r="I55" s="88" t="s">
        <v>1935</v>
      </c>
      <c r="J55" s="89">
        <v>45826</v>
      </c>
      <c r="K55" s="87"/>
      <c r="L55" s="87" t="s">
        <v>1942</v>
      </c>
      <c r="M55" s="87" t="s">
        <v>654</v>
      </c>
      <c r="N55" s="90" t="s">
        <v>2071</v>
      </c>
      <c r="O55" s="91" t="s">
        <v>1992</v>
      </c>
      <c r="P55" s="91" t="s">
        <v>2068</v>
      </c>
      <c r="Q55" s="92">
        <v>2025</v>
      </c>
      <c r="R55" s="88" t="s">
        <v>1942</v>
      </c>
      <c r="S55" s="88" t="s">
        <v>1942</v>
      </c>
      <c r="T55" s="88" t="s">
        <v>1942</v>
      </c>
    </row>
    <row r="56" spans="1:20" ht="18" customHeight="1" x14ac:dyDescent="0.7">
      <c r="A56" s="85">
        <v>55</v>
      </c>
      <c r="B56" s="86">
        <v>3135704</v>
      </c>
      <c r="C56" s="87" t="s">
        <v>2074</v>
      </c>
      <c r="D56" s="87">
        <v>906905960</v>
      </c>
      <c r="E56" s="87" t="s">
        <v>1932</v>
      </c>
      <c r="F56" s="87" t="s">
        <v>1933</v>
      </c>
      <c r="G56" s="87" t="s">
        <v>1934</v>
      </c>
      <c r="H56" s="87"/>
      <c r="I56" s="88" t="s">
        <v>1935</v>
      </c>
      <c r="J56" s="89">
        <v>45826</v>
      </c>
      <c r="K56" s="94">
        <v>45938</v>
      </c>
      <c r="L56" s="87" t="s">
        <v>1819</v>
      </c>
      <c r="M56" s="87" t="s">
        <v>654</v>
      </c>
      <c r="N56" s="90" t="s">
        <v>2075</v>
      </c>
      <c r="O56" s="91" t="s">
        <v>1961</v>
      </c>
      <c r="P56" s="91" t="s">
        <v>2068</v>
      </c>
      <c r="Q56" s="92">
        <v>2025</v>
      </c>
      <c r="R56" s="88" t="s">
        <v>2001</v>
      </c>
      <c r="S56" s="88" t="s">
        <v>1995</v>
      </c>
      <c r="T56" s="95">
        <v>2025</v>
      </c>
    </row>
    <row r="57" spans="1:20" ht="18" customHeight="1" x14ac:dyDescent="0.7">
      <c r="A57" s="85">
        <v>56</v>
      </c>
      <c r="B57" s="86">
        <v>3135597</v>
      </c>
      <c r="C57" s="87" t="s">
        <v>2076</v>
      </c>
      <c r="D57" s="87">
        <v>799538534</v>
      </c>
      <c r="E57" s="87" t="s">
        <v>1932</v>
      </c>
      <c r="F57" s="87" t="s">
        <v>1933</v>
      </c>
      <c r="G57" s="87" t="s">
        <v>1934</v>
      </c>
      <c r="H57" s="87"/>
      <c r="I57" s="87"/>
      <c r="J57" s="89">
        <v>45825</v>
      </c>
      <c r="K57" s="94">
        <v>45882</v>
      </c>
      <c r="L57" s="87" t="s">
        <v>1819</v>
      </c>
      <c r="M57" s="87" t="s">
        <v>654</v>
      </c>
      <c r="N57" s="90" t="s">
        <v>2022</v>
      </c>
      <c r="O57" s="91" t="s">
        <v>1947</v>
      </c>
      <c r="P57" s="91" t="s">
        <v>2068</v>
      </c>
      <c r="Q57" s="92">
        <v>2025</v>
      </c>
      <c r="R57" s="88" t="s">
        <v>1953</v>
      </c>
      <c r="S57" s="88" t="s">
        <v>1949</v>
      </c>
      <c r="T57" s="95">
        <v>2025</v>
      </c>
    </row>
    <row r="58" spans="1:20" ht="18" customHeight="1" x14ac:dyDescent="0.7">
      <c r="A58" s="85">
        <v>57</v>
      </c>
      <c r="B58" s="86">
        <v>3135497</v>
      </c>
      <c r="C58" s="87" t="s">
        <v>2077</v>
      </c>
      <c r="D58" s="87">
        <v>947091193</v>
      </c>
      <c r="E58" s="87" t="s">
        <v>1932</v>
      </c>
      <c r="F58" s="87" t="s">
        <v>1933</v>
      </c>
      <c r="G58" s="87" t="s">
        <v>1934</v>
      </c>
      <c r="H58" s="87"/>
      <c r="I58" s="88" t="s">
        <v>1935</v>
      </c>
      <c r="J58" s="89">
        <v>45824</v>
      </c>
      <c r="K58" s="94">
        <v>45938</v>
      </c>
      <c r="L58" s="87" t="s">
        <v>1819</v>
      </c>
      <c r="M58" s="87" t="s">
        <v>654</v>
      </c>
      <c r="N58" s="90" t="s">
        <v>2078</v>
      </c>
      <c r="O58" s="91" t="s">
        <v>1961</v>
      </c>
      <c r="P58" s="91" t="s">
        <v>2068</v>
      </c>
      <c r="Q58" s="92">
        <v>2025</v>
      </c>
      <c r="R58" s="88" t="s">
        <v>2001</v>
      </c>
      <c r="S58" s="88" t="s">
        <v>1995</v>
      </c>
      <c r="T58" s="95">
        <v>2025</v>
      </c>
    </row>
    <row r="59" spans="1:20" ht="18" customHeight="1" x14ac:dyDescent="0.7">
      <c r="A59" s="85">
        <v>58</v>
      </c>
      <c r="B59" s="85">
        <v>3135489</v>
      </c>
      <c r="C59" s="87" t="s">
        <v>2079</v>
      </c>
      <c r="D59" s="87">
        <v>385755445</v>
      </c>
      <c r="E59" s="87" t="s">
        <v>1932</v>
      </c>
      <c r="F59" s="87" t="s">
        <v>1933</v>
      </c>
      <c r="G59" s="87" t="s">
        <v>1934</v>
      </c>
      <c r="H59" s="87"/>
      <c r="I59" s="88" t="s">
        <v>1935</v>
      </c>
      <c r="J59" s="89">
        <v>45824</v>
      </c>
      <c r="K59" s="87"/>
      <c r="L59" s="87" t="s">
        <v>1942</v>
      </c>
      <c r="M59" s="87" t="s">
        <v>654</v>
      </c>
      <c r="N59" s="90" t="s">
        <v>2080</v>
      </c>
      <c r="O59" s="91" t="s">
        <v>1992</v>
      </c>
      <c r="P59" s="91" t="s">
        <v>2068</v>
      </c>
      <c r="Q59" s="92">
        <v>2025</v>
      </c>
      <c r="R59" s="88" t="s">
        <v>1942</v>
      </c>
      <c r="S59" s="88" t="s">
        <v>1942</v>
      </c>
      <c r="T59" s="88" t="s">
        <v>1942</v>
      </c>
    </row>
    <row r="60" spans="1:20" ht="18" customHeight="1" x14ac:dyDescent="0.7">
      <c r="A60" s="85">
        <v>59</v>
      </c>
      <c r="B60" s="85">
        <v>3135482</v>
      </c>
      <c r="C60" s="88" t="s">
        <v>2081</v>
      </c>
      <c r="D60" s="87">
        <v>944522592</v>
      </c>
      <c r="E60" s="87" t="s">
        <v>1932</v>
      </c>
      <c r="F60" s="87" t="s">
        <v>1933</v>
      </c>
      <c r="G60" s="87" t="s">
        <v>1934</v>
      </c>
      <c r="H60" s="87"/>
      <c r="I60" s="88" t="s">
        <v>208</v>
      </c>
      <c r="J60" s="94">
        <v>45824</v>
      </c>
      <c r="K60" s="94">
        <v>45915</v>
      </c>
      <c r="L60" s="87" t="s">
        <v>1819</v>
      </c>
      <c r="M60" s="87" t="s">
        <v>654</v>
      </c>
      <c r="N60" s="90" t="s">
        <v>2082</v>
      </c>
      <c r="O60" s="91" t="s">
        <v>2015</v>
      </c>
      <c r="P60" s="91" t="s">
        <v>2068</v>
      </c>
      <c r="Q60" s="92">
        <v>2025</v>
      </c>
      <c r="R60" s="88" t="s">
        <v>2083</v>
      </c>
      <c r="S60" s="88" t="s">
        <v>2017</v>
      </c>
      <c r="T60" s="95">
        <v>2025</v>
      </c>
    </row>
    <row r="61" spans="1:20" ht="18" customHeight="1" x14ac:dyDescent="0.7">
      <c r="A61" s="85">
        <v>60</v>
      </c>
      <c r="B61" s="86">
        <v>3135477</v>
      </c>
      <c r="C61" s="87" t="s">
        <v>2084</v>
      </c>
      <c r="D61" s="87">
        <v>382279274</v>
      </c>
      <c r="E61" s="87" t="s">
        <v>1932</v>
      </c>
      <c r="F61" s="87" t="s">
        <v>1933</v>
      </c>
      <c r="G61" s="87" t="s">
        <v>1934</v>
      </c>
      <c r="H61" s="87"/>
      <c r="I61" s="88" t="s">
        <v>1935</v>
      </c>
      <c r="J61" s="89">
        <v>45824</v>
      </c>
      <c r="K61" s="94">
        <v>45926</v>
      </c>
      <c r="L61" s="87" t="s">
        <v>1819</v>
      </c>
      <c r="M61" s="87" t="s">
        <v>654</v>
      </c>
      <c r="N61" s="90" t="s">
        <v>2085</v>
      </c>
      <c r="O61" s="91" t="s">
        <v>1961</v>
      </c>
      <c r="P61" s="91" t="s">
        <v>2068</v>
      </c>
      <c r="Q61" s="92">
        <v>2025</v>
      </c>
      <c r="R61" s="88" t="s">
        <v>2020</v>
      </c>
      <c r="S61" s="88" t="s">
        <v>2017</v>
      </c>
      <c r="T61" s="95">
        <v>2025</v>
      </c>
    </row>
    <row r="62" spans="1:20" ht="18" customHeight="1" x14ac:dyDescent="0.7">
      <c r="A62" s="85">
        <v>61</v>
      </c>
      <c r="B62" s="86">
        <v>3135475</v>
      </c>
      <c r="C62" s="87" t="s">
        <v>1823</v>
      </c>
      <c r="D62" s="87">
        <v>935428073</v>
      </c>
      <c r="E62" s="87" t="s">
        <v>1932</v>
      </c>
      <c r="F62" s="87" t="s">
        <v>1933</v>
      </c>
      <c r="G62" s="87" t="s">
        <v>1934</v>
      </c>
      <c r="H62" s="87"/>
      <c r="I62" s="88" t="s">
        <v>1935</v>
      </c>
      <c r="J62" s="89">
        <v>45824</v>
      </c>
      <c r="K62" s="94">
        <v>45926</v>
      </c>
      <c r="L62" s="87" t="s">
        <v>1819</v>
      </c>
      <c r="M62" s="87" t="s">
        <v>654</v>
      </c>
      <c r="N62" s="90" t="s">
        <v>2085</v>
      </c>
      <c r="O62" s="91" t="s">
        <v>1961</v>
      </c>
      <c r="P62" s="91" t="s">
        <v>2068</v>
      </c>
      <c r="Q62" s="92">
        <v>2025</v>
      </c>
      <c r="R62" s="88" t="s">
        <v>2020</v>
      </c>
      <c r="S62" s="88" t="s">
        <v>2017</v>
      </c>
      <c r="T62" s="95">
        <v>2025</v>
      </c>
    </row>
    <row r="63" spans="1:20" ht="18" customHeight="1" x14ac:dyDescent="0.7">
      <c r="A63" s="85">
        <v>62</v>
      </c>
      <c r="B63" s="86">
        <v>3135473</v>
      </c>
      <c r="C63" s="87" t="s">
        <v>2086</v>
      </c>
      <c r="D63" s="87">
        <v>338564041</v>
      </c>
      <c r="E63" s="87" t="s">
        <v>1932</v>
      </c>
      <c r="F63" s="87" t="s">
        <v>1933</v>
      </c>
      <c r="G63" s="87" t="s">
        <v>1934</v>
      </c>
      <c r="H63" s="87"/>
      <c r="I63" s="88" t="s">
        <v>1935</v>
      </c>
      <c r="J63" s="89">
        <v>45824</v>
      </c>
      <c r="K63" s="87"/>
      <c r="L63" s="87" t="s">
        <v>1942</v>
      </c>
      <c r="M63" s="87" t="s">
        <v>654</v>
      </c>
      <c r="N63" s="90" t="s">
        <v>2080</v>
      </c>
      <c r="O63" s="91" t="s">
        <v>1992</v>
      </c>
      <c r="P63" s="91" t="s">
        <v>2068</v>
      </c>
      <c r="Q63" s="92">
        <v>2025</v>
      </c>
      <c r="R63" s="88" t="s">
        <v>1942</v>
      </c>
      <c r="S63" s="88" t="s">
        <v>1942</v>
      </c>
      <c r="T63" s="88" t="s">
        <v>1942</v>
      </c>
    </row>
    <row r="64" spans="1:20" ht="18" customHeight="1" x14ac:dyDescent="0.7">
      <c r="A64" s="85">
        <v>63</v>
      </c>
      <c r="B64" s="86">
        <v>3135098</v>
      </c>
      <c r="C64" s="87" t="s">
        <v>2087</v>
      </c>
      <c r="D64" s="87">
        <v>707544556</v>
      </c>
      <c r="E64" s="87" t="s">
        <v>1932</v>
      </c>
      <c r="F64" s="87" t="s">
        <v>1933</v>
      </c>
      <c r="G64" s="87" t="s">
        <v>1934</v>
      </c>
      <c r="H64" s="87"/>
      <c r="I64" s="87"/>
      <c r="J64" s="89">
        <v>45820</v>
      </c>
      <c r="K64" s="94">
        <v>45868</v>
      </c>
      <c r="L64" s="87" t="s">
        <v>1819</v>
      </c>
      <c r="M64" s="87" t="s">
        <v>654</v>
      </c>
      <c r="N64" s="90" t="s">
        <v>2088</v>
      </c>
      <c r="O64" s="91" t="s">
        <v>1947</v>
      </c>
      <c r="P64" s="91" t="s">
        <v>2089</v>
      </c>
      <c r="Q64" s="92">
        <v>2025</v>
      </c>
      <c r="R64" s="88" t="s">
        <v>1972</v>
      </c>
      <c r="S64" s="88" t="s">
        <v>1973</v>
      </c>
      <c r="T64" s="95">
        <v>2025</v>
      </c>
    </row>
    <row r="65" spans="1:20" ht="18" customHeight="1" x14ac:dyDescent="0.7">
      <c r="A65" s="85">
        <v>64</v>
      </c>
      <c r="B65" s="86">
        <v>3134973</v>
      </c>
      <c r="C65" s="87" t="s">
        <v>2090</v>
      </c>
      <c r="D65" s="87">
        <v>934112822</v>
      </c>
      <c r="E65" s="87" t="s">
        <v>1932</v>
      </c>
      <c r="F65" s="87" t="s">
        <v>1933</v>
      </c>
      <c r="G65" s="87" t="s">
        <v>1934</v>
      </c>
      <c r="H65" s="87"/>
      <c r="I65" s="88" t="s">
        <v>1935</v>
      </c>
      <c r="J65" s="89">
        <v>45819</v>
      </c>
      <c r="K65" s="87"/>
      <c r="L65" s="87" t="s">
        <v>1942</v>
      </c>
      <c r="M65" s="87" t="s">
        <v>654</v>
      </c>
      <c r="N65" s="90" t="s">
        <v>2091</v>
      </c>
      <c r="O65" s="91" t="s">
        <v>2092</v>
      </c>
      <c r="P65" s="91" t="s">
        <v>2089</v>
      </c>
      <c r="Q65" s="92">
        <v>2025</v>
      </c>
      <c r="R65" s="88" t="s">
        <v>1942</v>
      </c>
      <c r="S65" s="88" t="s">
        <v>1942</v>
      </c>
      <c r="T65" s="88" t="s">
        <v>1942</v>
      </c>
    </row>
    <row r="66" spans="1:20" ht="18" customHeight="1" x14ac:dyDescent="0.7">
      <c r="A66" s="85">
        <v>65</v>
      </c>
      <c r="B66" s="86">
        <v>3134856</v>
      </c>
      <c r="C66" s="87" t="s">
        <v>2093</v>
      </c>
      <c r="D66" s="87">
        <v>947366361</v>
      </c>
      <c r="E66" s="87" t="s">
        <v>1932</v>
      </c>
      <c r="F66" s="87" t="s">
        <v>1933</v>
      </c>
      <c r="G66" s="87" t="s">
        <v>1934</v>
      </c>
      <c r="H66" s="87"/>
      <c r="I66" s="88" t="s">
        <v>1935</v>
      </c>
      <c r="J66" s="89">
        <v>45818</v>
      </c>
      <c r="K66" s="87"/>
      <c r="L66" s="87" t="s">
        <v>1942</v>
      </c>
      <c r="M66" s="87" t="s">
        <v>654</v>
      </c>
      <c r="N66" s="90" t="s">
        <v>2094</v>
      </c>
      <c r="O66" s="91" t="s">
        <v>2092</v>
      </c>
      <c r="P66" s="91" t="s">
        <v>2089</v>
      </c>
      <c r="Q66" s="92">
        <v>2025</v>
      </c>
      <c r="R66" s="88" t="s">
        <v>1942</v>
      </c>
      <c r="S66" s="88" t="s">
        <v>1942</v>
      </c>
      <c r="T66" s="88" t="s">
        <v>1942</v>
      </c>
    </row>
    <row r="67" spans="1:20" ht="18" customHeight="1" x14ac:dyDescent="0.7">
      <c r="A67" s="85">
        <v>66</v>
      </c>
      <c r="B67" s="86">
        <v>3134737</v>
      </c>
      <c r="C67" s="87" t="s">
        <v>2095</v>
      </c>
      <c r="D67" s="87">
        <v>389758150</v>
      </c>
      <c r="E67" s="87" t="s">
        <v>1932</v>
      </c>
      <c r="F67" s="87" t="s">
        <v>1933</v>
      </c>
      <c r="G67" s="87" t="s">
        <v>1934</v>
      </c>
      <c r="H67" s="87"/>
      <c r="I67" s="88" t="s">
        <v>1935</v>
      </c>
      <c r="J67" s="89">
        <v>45817</v>
      </c>
      <c r="K67" s="89">
        <v>46001</v>
      </c>
      <c r="L67" s="87" t="s">
        <v>1819</v>
      </c>
      <c r="M67" s="87" t="s">
        <v>654</v>
      </c>
      <c r="N67" s="90" t="s">
        <v>2096</v>
      </c>
      <c r="O67" s="91" t="s">
        <v>2097</v>
      </c>
      <c r="P67" s="91" t="s">
        <v>2089</v>
      </c>
      <c r="Q67" s="92">
        <v>2025</v>
      </c>
      <c r="R67" s="88" t="s">
        <v>2098</v>
      </c>
      <c r="S67" s="88" t="s">
        <v>2099</v>
      </c>
      <c r="T67" s="95">
        <v>2025</v>
      </c>
    </row>
    <row r="68" spans="1:20" ht="18" customHeight="1" x14ac:dyDescent="0.7">
      <c r="A68" s="85">
        <v>67</v>
      </c>
      <c r="B68" s="85">
        <v>3134734</v>
      </c>
      <c r="C68" s="87" t="s">
        <v>2100</v>
      </c>
      <c r="D68" s="87">
        <v>877572208</v>
      </c>
      <c r="E68" s="87" t="s">
        <v>1932</v>
      </c>
      <c r="F68" s="87" t="s">
        <v>1933</v>
      </c>
      <c r="G68" s="87" t="s">
        <v>1934</v>
      </c>
      <c r="H68" s="87"/>
      <c r="I68" s="88" t="s">
        <v>1935</v>
      </c>
      <c r="J68" s="94">
        <v>45817</v>
      </c>
      <c r="K68" s="94">
        <v>45915</v>
      </c>
      <c r="L68" s="87" t="s">
        <v>1819</v>
      </c>
      <c r="M68" s="87" t="s">
        <v>654</v>
      </c>
      <c r="N68" s="90" t="s">
        <v>2000</v>
      </c>
      <c r="O68" s="91" t="s">
        <v>1961</v>
      </c>
      <c r="P68" s="91" t="s">
        <v>2089</v>
      </c>
      <c r="Q68" s="92">
        <v>2025</v>
      </c>
      <c r="R68" s="88" t="s">
        <v>2083</v>
      </c>
      <c r="S68" s="88" t="s">
        <v>2017</v>
      </c>
      <c r="T68" s="95">
        <v>2025</v>
      </c>
    </row>
    <row r="69" spans="1:20" ht="18" customHeight="1" x14ac:dyDescent="0.7">
      <c r="A69" s="85">
        <v>68</v>
      </c>
      <c r="B69" s="86">
        <v>3134520</v>
      </c>
      <c r="C69" s="87" t="s">
        <v>2101</v>
      </c>
      <c r="D69" s="87">
        <v>814276278</v>
      </c>
      <c r="E69" s="87" t="s">
        <v>1932</v>
      </c>
      <c r="F69" s="87" t="s">
        <v>1933</v>
      </c>
      <c r="G69" s="87" t="s">
        <v>1934</v>
      </c>
      <c r="H69" s="87"/>
      <c r="I69" s="88" t="s">
        <v>1935</v>
      </c>
      <c r="J69" s="89">
        <v>45814</v>
      </c>
      <c r="K69" s="94">
        <v>45938</v>
      </c>
      <c r="L69" s="87" t="s">
        <v>1819</v>
      </c>
      <c r="M69" s="87" t="s">
        <v>654</v>
      </c>
      <c r="N69" s="90" t="s">
        <v>1936</v>
      </c>
      <c r="O69" s="91" t="s">
        <v>1937</v>
      </c>
      <c r="P69" s="91" t="s">
        <v>2102</v>
      </c>
      <c r="Q69" s="92">
        <v>2025</v>
      </c>
      <c r="R69" s="88" t="s">
        <v>2001</v>
      </c>
      <c r="S69" s="88" t="s">
        <v>1995</v>
      </c>
      <c r="T69" s="95">
        <v>2025</v>
      </c>
    </row>
    <row r="70" spans="1:20" ht="18" customHeight="1" x14ac:dyDescent="0.7">
      <c r="A70" s="85">
        <v>69</v>
      </c>
      <c r="B70" s="86">
        <v>3134512</v>
      </c>
      <c r="C70" s="87" t="s">
        <v>2103</v>
      </c>
      <c r="D70" s="87">
        <v>969279494</v>
      </c>
      <c r="E70" s="87" t="s">
        <v>1932</v>
      </c>
      <c r="F70" s="87" t="s">
        <v>1933</v>
      </c>
      <c r="G70" s="87" t="s">
        <v>1934</v>
      </c>
      <c r="H70" s="87"/>
      <c r="I70" s="88" t="s">
        <v>1935</v>
      </c>
      <c r="J70" s="89">
        <v>45814</v>
      </c>
      <c r="K70" s="94">
        <v>45938</v>
      </c>
      <c r="L70" s="87" t="s">
        <v>1819</v>
      </c>
      <c r="M70" s="87" t="s">
        <v>654</v>
      </c>
      <c r="N70" s="90" t="s">
        <v>1936</v>
      </c>
      <c r="O70" s="91" t="s">
        <v>1937</v>
      </c>
      <c r="P70" s="91" t="s">
        <v>2102</v>
      </c>
      <c r="Q70" s="92">
        <v>2025</v>
      </c>
      <c r="R70" s="88" t="s">
        <v>2001</v>
      </c>
      <c r="S70" s="88" t="s">
        <v>1995</v>
      </c>
      <c r="T70" s="95">
        <v>2025</v>
      </c>
    </row>
    <row r="71" spans="1:20" ht="18" customHeight="1" x14ac:dyDescent="0.7">
      <c r="A71" s="85">
        <v>70</v>
      </c>
      <c r="B71" s="85">
        <v>3134376</v>
      </c>
      <c r="C71" s="88" t="s">
        <v>2104</v>
      </c>
      <c r="D71" s="87">
        <v>823079738</v>
      </c>
      <c r="E71" s="87" t="s">
        <v>1932</v>
      </c>
      <c r="F71" s="87" t="s">
        <v>1933</v>
      </c>
      <c r="G71" s="87" t="s">
        <v>1934</v>
      </c>
      <c r="H71" s="87"/>
      <c r="I71" s="88" t="s">
        <v>208</v>
      </c>
      <c r="J71" s="94">
        <v>45813</v>
      </c>
      <c r="K71" s="94">
        <v>45915</v>
      </c>
      <c r="L71" s="87" t="s">
        <v>1819</v>
      </c>
      <c r="M71" s="87" t="s">
        <v>654</v>
      </c>
      <c r="N71" s="90" t="s">
        <v>2085</v>
      </c>
      <c r="O71" s="91" t="s">
        <v>1961</v>
      </c>
      <c r="P71" s="91" t="s">
        <v>2102</v>
      </c>
      <c r="Q71" s="92">
        <v>2025</v>
      </c>
      <c r="R71" s="88" t="s">
        <v>2083</v>
      </c>
      <c r="S71" s="88" t="s">
        <v>2017</v>
      </c>
      <c r="T71" s="95">
        <v>2025</v>
      </c>
    </row>
    <row r="72" spans="1:20" ht="18" customHeight="1" x14ac:dyDescent="0.7">
      <c r="A72" s="85">
        <v>71</v>
      </c>
      <c r="B72" s="86">
        <v>3134253</v>
      </c>
      <c r="C72" s="87" t="s">
        <v>2105</v>
      </c>
      <c r="D72" s="87">
        <v>373119485</v>
      </c>
      <c r="E72" s="87" t="s">
        <v>1932</v>
      </c>
      <c r="F72" s="87" t="s">
        <v>1933</v>
      </c>
      <c r="G72" s="87" t="s">
        <v>1934</v>
      </c>
      <c r="H72" s="87"/>
      <c r="I72" s="88" t="s">
        <v>208</v>
      </c>
      <c r="J72" s="89">
        <v>45812</v>
      </c>
      <c r="K72" s="94">
        <v>45926</v>
      </c>
      <c r="L72" s="87" t="s">
        <v>1819</v>
      </c>
      <c r="M72" s="87" t="s">
        <v>654</v>
      </c>
      <c r="N72" s="90" t="s">
        <v>2078</v>
      </c>
      <c r="O72" s="91" t="s">
        <v>1961</v>
      </c>
      <c r="P72" s="91" t="s">
        <v>2102</v>
      </c>
      <c r="Q72" s="92">
        <v>2025</v>
      </c>
      <c r="R72" s="88" t="s">
        <v>2020</v>
      </c>
      <c r="S72" s="88" t="s">
        <v>2017</v>
      </c>
      <c r="T72" s="95">
        <v>2025</v>
      </c>
    </row>
    <row r="73" spans="1:20" ht="18" customHeight="1" x14ac:dyDescent="0.7">
      <c r="A73" s="85">
        <v>72</v>
      </c>
      <c r="B73" s="85">
        <v>3134246</v>
      </c>
      <c r="C73" s="87" t="s">
        <v>2106</v>
      </c>
      <c r="D73" s="87">
        <v>394501239</v>
      </c>
      <c r="E73" s="87" t="s">
        <v>1932</v>
      </c>
      <c r="F73" s="87" t="s">
        <v>1933</v>
      </c>
      <c r="G73" s="87" t="s">
        <v>1934</v>
      </c>
      <c r="H73" s="87"/>
      <c r="I73" s="88" t="s">
        <v>1935</v>
      </c>
      <c r="J73" s="89">
        <v>45812</v>
      </c>
      <c r="K73" s="94">
        <v>45915</v>
      </c>
      <c r="L73" s="87" t="s">
        <v>1819</v>
      </c>
      <c r="M73" s="87" t="s">
        <v>654</v>
      </c>
      <c r="N73" s="90" t="s">
        <v>2107</v>
      </c>
      <c r="O73" s="91" t="s">
        <v>1961</v>
      </c>
      <c r="P73" s="91" t="s">
        <v>2102</v>
      </c>
      <c r="Q73" s="92">
        <v>2025</v>
      </c>
      <c r="R73" s="88" t="s">
        <v>2083</v>
      </c>
      <c r="S73" s="88" t="s">
        <v>2017</v>
      </c>
      <c r="T73" s="95">
        <v>2025</v>
      </c>
    </row>
    <row r="74" spans="1:20" ht="18" customHeight="1" x14ac:dyDescent="0.7">
      <c r="A74" s="85">
        <v>73</v>
      </c>
      <c r="B74" s="86">
        <v>3134106</v>
      </c>
      <c r="C74" s="87" t="s">
        <v>2108</v>
      </c>
      <c r="D74" s="87">
        <v>789694119</v>
      </c>
      <c r="E74" s="87" t="s">
        <v>1932</v>
      </c>
      <c r="F74" s="87" t="s">
        <v>1933</v>
      </c>
      <c r="G74" s="87" t="s">
        <v>1934</v>
      </c>
      <c r="H74" s="87"/>
      <c r="I74" s="88" t="s">
        <v>1935</v>
      </c>
      <c r="J74" s="89">
        <v>45811</v>
      </c>
      <c r="K74" s="94">
        <v>45926</v>
      </c>
      <c r="L74" s="87" t="s">
        <v>1819</v>
      </c>
      <c r="M74" s="87" t="s">
        <v>654</v>
      </c>
      <c r="N74" s="90" t="s">
        <v>1960</v>
      </c>
      <c r="O74" s="91" t="s">
        <v>1961</v>
      </c>
      <c r="P74" s="91" t="s">
        <v>2102</v>
      </c>
      <c r="Q74" s="92">
        <v>2025</v>
      </c>
      <c r="R74" s="88" t="s">
        <v>2020</v>
      </c>
      <c r="S74" s="88" t="s">
        <v>2017</v>
      </c>
      <c r="T74" s="95">
        <v>2025</v>
      </c>
    </row>
    <row r="75" spans="1:20" ht="18" customHeight="1" x14ac:dyDescent="0.7">
      <c r="A75" s="85">
        <v>74</v>
      </c>
      <c r="B75" s="86">
        <v>3133965</v>
      </c>
      <c r="C75" s="87" t="s">
        <v>2109</v>
      </c>
      <c r="D75" s="87">
        <v>396715787</v>
      </c>
      <c r="E75" s="87" t="s">
        <v>1932</v>
      </c>
      <c r="F75" s="87" t="s">
        <v>1933</v>
      </c>
      <c r="G75" s="87" t="s">
        <v>1934</v>
      </c>
      <c r="H75" s="87"/>
      <c r="I75" s="88" t="s">
        <v>1935</v>
      </c>
      <c r="J75" s="89">
        <v>45810</v>
      </c>
      <c r="K75" s="87"/>
      <c r="L75" s="87" t="s">
        <v>1942</v>
      </c>
      <c r="M75" s="87" t="s">
        <v>654</v>
      </c>
      <c r="N75" s="90" t="s">
        <v>2110</v>
      </c>
      <c r="O75" s="91" t="s">
        <v>2092</v>
      </c>
      <c r="P75" s="91" t="s">
        <v>2102</v>
      </c>
      <c r="Q75" s="92">
        <v>2025</v>
      </c>
      <c r="R75" s="88" t="s">
        <v>1942</v>
      </c>
      <c r="S75" s="88" t="s">
        <v>1942</v>
      </c>
      <c r="T75" s="88" t="s">
        <v>1942</v>
      </c>
    </row>
    <row r="76" spans="1:20" ht="18" customHeight="1" x14ac:dyDescent="0.7">
      <c r="A76" s="85">
        <v>75</v>
      </c>
      <c r="B76" s="85">
        <v>3133957</v>
      </c>
      <c r="C76" s="88" t="s">
        <v>2111</v>
      </c>
      <c r="D76" s="87">
        <v>917319316</v>
      </c>
      <c r="E76" s="87" t="s">
        <v>1932</v>
      </c>
      <c r="F76" s="87" t="s">
        <v>1933</v>
      </c>
      <c r="G76" s="87" t="s">
        <v>1934</v>
      </c>
      <c r="H76" s="87"/>
      <c r="I76" s="88" t="s">
        <v>1935</v>
      </c>
      <c r="J76" s="89">
        <v>45810</v>
      </c>
      <c r="K76" s="94">
        <v>45868</v>
      </c>
      <c r="L76" s="87" t="s">
        <v>1819</v>
      </c>
      <c r="M76" s="87" t="s">
        <v>654</v>
      </c>
      <c r="N76" s="90" t="s">
        <v>2112</v>
      </c>
      <c r="O76" s="91" t="s">
        <v>1947</v>
      </c>
      <c r="P76" s="91" t="s">
        <v>2102</v>
      </c>
      <c r="Q76" s="92">
        <v>2025</v>
      </c>
      <c r="R76" s="88" t="s">
        <v>1972</v>
      </c>
      <c r="S76" s="88" t="s">
        <v>1973</v>
      </c>
      <c r="T76" s="95">
        <v>2025</v>
      </c>
    </row>
    <row r="77" spans="1:20" ht="18" customHeight="1" x14ac:dyDescent="0.7">
      <c r="A77" s="85">
        <v>76</v>
      </c>
      <c r="B77" s="86">
        <v>3133618</v>
      </c>
      <c r="C77" s="87" t="s">
        <v>2113</v>
      </c>
      <c r="D77" s="87">
        <v>989915577</v>
      </c>
      <c r="E77" s="87" t="s">
        <v>1932</v>
      </c>
      <c r="F77" s="87" t="s">
        <v>1933</v>
      </c>
      <c r="G77" s="87" t="s">
        <v>1934</v>
      </c>
      <c r="H77" s="87"/>
      <c r="I77" s="88" t="s">
        <v>1935</v>
      </c>
      <c r="J77" s="89">
        <v>45806</v>
      </c>
      <c r="K77" s="94">
        <v>45896</v>
      </c>
      <c r="L77" s="87" t="s">
        <v>1819</v>
      </c>
      <c r="M77" s="87" t="s">
        <v>654</v>
      </c>
      <c r="N77" s="90" t="s">
        <v>2114</v>
      </c>
      <c r="O77" s="91" t="s">
        <v>2015</v>
      </c>
      <c r="P77" s="91" t="s">
        <v>2115</v>
      </c>
      <c r="Q77" s="92">
        <v>2025</v>
      </c>
      <c r="R77" s="88" t="s">
        <v>1948</v>
      </c>
      <c r="S77" s="88" t="s">
        <v>1949</v>
      </c>
      <c r="T77" s="95">
        <v>2025</v>
      </c>
    </row>
    <row r="78" spans="1:20" ht="18" customHeight="1" x14ac:dyDescent="0.7">
      <c r="A78" s="85">
        <v>77</v>
      </c>
      <c r="B78" s="86">
        <v>3133521</v>
      </c>
      <c r="C78" s="87" t="s">
        <v>2116</v>
      </c>
      <c r="D78" s="87">
        <v>909377207</v>
      </c>
      <c r="E78" s="87" t="s">
        <v>1932</v>
      </c>
      <c r="F78" s="87" t="s">
        <v>1933</v>
      </c>
      <c r="G78" s="87" t="s">
        <v>1934</v>
      </c>
      <c r="H78" s="87"/>
      <c r="I78" s="88" t="s">
        <v>1935</v>
      </c>
      <c r="J78" s="89">
        <v>45805</v>
      </c>
      <c r="K78" s="94">
        <v>45877</v>
      </c>
      <c r="L78" s="87" t="s">
        <v>1819</v>
      </c>
      <c r="M78" s="87" t="s">
        <v>654</v>
      </c>
      <c r="N78" s="90" t="s">
        <v>2117</v>
      </c>
      <c r="O78" s="91" t="s">
        <v>2015</v>
      </c>
      <c r="P78" s="91" t="s">
        <v>2115</v>
      </c>
      <c r="Q78" s="92">
        <v>2025</v>
      </c>
      <c r="R78" s="88" t="s">
        <v>2118</v>
      </c>
      <c r="S78" s="88" t="s">
        <v>1949</v>
      </c>
      <c r="T78" s="95">
        <v>2025</v>
      </c>
    </row>
    <row r="79" spans="1:20" ht="18" customHeight="1" x14ac:dyDescent="0.7">
      <c r="A79" s="85">
        <v>78</v>
      </c>
      <c r="B79" s="86">
        <v>3133335</v>
      </c>
      <c r="C79" s="87" t="s">
        <v>1832</v>
      </c>
      <c r="D79" s="87">
        <v>362424117</v>
      </c>
      <c r="E79" s="87" t="s">
        <v>1932</v>
      </c>
      <c r="F79" s="87" t="s">
        <v>1933</v>
      </c>
      <c r="G79" s="87" t="s">
        <v>1934</v>
      </c>
      <c r="H79" s="87"/>
      <c r="I79" s="88" t="s">
        <v>1935</v>
      </c>
      <c r="J79" s="89">
        <v>45803</v>
      </c>
      <c r="K79" s="89">
        <v>46098</v>
      </c>
      <c r="L79" s="87" t="s">
        <v>1819</v>
      </c>
      <c r="M79" s="87" t="s">
        <v>654</v>
      </c>
      <c r="N79" s="90" t="s">
        <v>2119</v>
      </c>
      <c r="O79" s="91" t="s">
        <v>2092</v>
      </c>
      <c r="P79" s="91" t="s">
        <v>2115</v>
      </c>
      <c r="Q79" s="92">
        <v>2025</v>
      </c>
      <c r="R79" s="88" t="s">
        <v>2055</v>
      </c>
      <c r="S79" s="88" t="s">
        <v>2007</v>
      </c>
      <c r="T79" s="95">
        <v>2026</v>
      </c>
    </row>
    <row r="80" spans="1:20" ht="18" customHeight="1" x14ac:dyDescent="0.7">
      <c r="A80" s="85">
        <v>79</v>
      </c>
      <c r="B80" s="86">
        <v>3133033</v>
      </c>
      <c r="C80" s="87" t="s">
        <v>1826</v>
      </c>
      <c r="D80" s="87">
        <v>937023963</v>
      </c>
      <c r="E80" s="87" t="s">
        <v>1932</v>
      </c>
      <c r="F80" s="87" t="s">
        <v>1933</v>
      </c>
      <c r="G80" s="87" t="s">
        <v>1934</v>
      </c>
      <c r="H80" s="87"/>
      <c r="I80" s="88" t="s">
        <v>1935</v>
      </c>
      <c r="J80" s="89">
        <v>45799</v>
      </c>
      <c r="K80" s="94">
        <v>45926</v>
      </c>
      <c r="L80" s="87" t="s">
        <v>1819</v>
      </c>
      <c r="M80" s="87" t="s">
        <v>654</v>
      </c>
      <c r="N80" s="90" t="s">
        <v>2120</v>
      </c>
      <c r="O80" s="91" t="s">
        <v>1937</v>
      </c>
      <c r="P80" s="91" t="s">
        <v>2121</v>
      </c>
      <c r="Q80" s="92">
        <v>2025</v>
      </c>
      <c r="R80" s="88" t="s">
        <v>2020</v>
      </c>
      <c r="S80" s="88" t="s">
        <v>2017</v>
      </c>
      <c r="T80" s="95">
        <v>2025</v>
      </c>
    </row>
    <row r="81" spans="1:20" ht="18" customHeight="1" x14ac:dyDescent="0.7">
      <c r="A81" s="85">
        <v>80</v>
      </c>
      <c r="B81" s="86">
        <v>3132918</v>
      </c>
      <c r="C81" s="87" t="s">
        <v>2122</v>
      </c>
      <c r="D81" s="87">
        <v>347566001</v>
      </c>
      <c r="E81" s="87" t="s">
        <v>1932</v>
      </c>
      <c r="F81" s="87" t="s">
        <v>1933</v>
      </c>
      <c r="G81" s="87" t="s">
        <v>1934</v>
      </c>
      <c r="H81" s="87"/>
      <c r="I81" s="88" t="s">
        <v>1935</v>
      </c>
      <c r="J81" s="89">
        <v>45798</v>
      </c>
      <c r="K81" s="87"/>
      <c r="L81" s="87" t="s">
        <v>1942</v>
      </c>
      <c r="M81" s="87" t="s">
        <v>654</v>
      </c>
      <c r="N81" s="90" t="s">
        <v>2123</v>
      </c>
      <c r="O81" s="91" t="s">
        <v>2092</v>
      </c>
      <c r="P81" s="91" t="s">
        <v>2121</v>
      </c>
      <c r="Q81" s="92">
        <v>2025</v>
      </c>
      <c r="R81" s="88" t="s">
        <v>1942</v>
      </c>
      <c r="S81" s="88" t="s">
        <v>1942</v>
      </c>
      <c r="T81" s="88" t="s">
        <v>1942</v>
      </c>
    </row>
    <row r="82" spans="1:20" ht="18" customHeight="1" x14ac:dyDescent="0.7">
      <c r="A82" s="85">
        <v>81</v>
      </c>
      <c r="B82" s="86">
        <v>3132913</v>
      </c>
      <c r="C82" s="87" t="s">
        <v>2124</v>
      </c>
      <c r="D82" s="87">
        <v>938916059</v>
      </c>
      <c r="E82" s="87" t="s">
        <v>1932</v>
      </c>
      <c r="F82" s="87" t="s">
        <v>1933</v>
      </c>
      <c r="G82" s="87" t="s">
        <v>1934</v>
      </c>
      <c r="H82" s="87"/>
      <c r="I82" s="88" t="s">
        <v>1935</v>
      </c>
      <c r="J82" s="89">
        <v>45798</v>
      </c>
      <c r="K82" s="87"/>
      <c r="L82" s="87" t="s">
        <v>1942</v>
      </c>
      <c r="M82" s="87" t="s">
        <v>654</v>
      </c>
      <c r="N82" s="90" t="s">
        <v>2123</v>
      </c>
      <c r="O82" s="91" t="s">
        <v>2092</v>
      </c>
      <c r="P82" s="91" t="s">
        <v>2121</v>
      </c>
      <c r="Q82" s="92">
        <v>2025</v>
      </c>
      <c r="R82" s="88" t="s">
        <v>1942</v>
      </c>
      <c r="S82" s="88" t="s">
        <v>1942</v>
      </c>
      <c r="T82" s="88" t="s">
        <v>1942</v>
      </c>
    </row>
    <row r="83" spans="1:20" ht="18" customHeight="1" x14ac:dyDescent="0.7">
      <c r="A83" s="85">
        <v>82</v>
      </c>
      <c r="B83" s="86">
        <v>3132500</v>
      </c>
      <c r="C83" s="87" t="s">
        <v>2125</v>
      </c>
      <c r="D83" s="87">
        <v>792899577</v>
      </c>
      <c r="E83" s="87" t="s">
        <v>1932</v>
      </c>
      <c r="F83" s="87" t="s">
        <v>1933</v>
      </c>
      <c r="G83" s="87" t="s">
        <v>1934</v>
      </c>
      <c r="H83" s="87"/>
      <c r="I83" s="88" t="s">
        <v>1935</v>
      </c>
      <c r="J83" s="89">
        <v>45793</v>
      </c>
      <c r="K83" s="94">
        <v>45882</v>
      </c>
      <c r="L83" s="87" t="s">
        <v>1819</v>
      </c>
      <c r="M83" s="87" t="s">
        <v>654</v>
      </c>
      <c r="N83" s="90" t="s">
        <v>2126</v>
      </c>
      <c r="O83" s="91" t="s">
        <v>2015</v>
      </c>
      <c r="P83" s="91" t="s">
        <v>2127</v>
      </c>
      <c r="Q83" s="92">
        <v>2025</v>
      </c>
      <c r="R83" s="88" t="s">
        <v>1953</v>
      </c>
      <c r="S83" s="88" t="s">
        <v>1949</v>
      </c>
      <c r="T83" s="95">
        <v>2025</v>
      </c>
    </row>
    <row r="84" spans="1:20" ht="18" customHeight="1" x14ac:dyDescent="0.7">
      <c r="A84" s="85">
        <v>83</v>
      </c>
      <c r="B84" s="86">
        <v>3132326</v>
      </c>
      <c r="C84" s="87" t="s">
        <v>2128</v>
      </c>
      <c r="D84" s="87">
        <v>345607112</v>
      </c>
      <c r="E84" s="87" t="s">
        <v>1932</v>
      </c>
      <c r="F84" s="87" t="s">
        <v>1933</v>
      </c>
      <c r="G84" s="87" t="s">
        <v>1934</v>
      </c>
      <c r="H84" s="87"/>
      <c r="I84" s="88" t="s">
        <v>208</v>
      </c>
      <c r="J84" s="89">
        <v>45791</v>
      </c>
      <c r="K84" s="89">
        <v>46022</v>
      </c>
      <c r="L84" s="87" t="s">
        <v>1819</v>
      </c>
      <c r="M84" s="87" t="s">
        <v>654</v>
      </c>
      <c r="N84" s="90" t="s">
        <v>2129</v>
      </c>
      <c r="O84" s="91" t="s">
        <v>2092</v>
      </c>
      <c r="P84" s="91" t="s">
        <v>2127</v>
      </c>
      <c r="Q84" s="92">
        <v>2025</v>
      </c>
      <c r="R84" s="88" t="s">
        <v>2130</v>
      </c>
      <c r="S84" s="88" t="s">
        <v>2099</v>
      </c>
      <c r="T84" s="95">
        <v>2025</v>
      </c>
    </row>
    <row r="85" spans="1:20" ht="18" customHeight="1" x14ac:dyDescent="0.7">
      <c r="A85" s="85">
        <v>84</v>
      </c>
      <c r="B85" s="86">
        <v>3132297</v>
      </c>
      <c r="C85" s="87" t="s">
        <v>2131</v>
      </c>
      <c r="D85" s="87">
        <v>825097558</v>
      </c>
      <c r="E85" s="87" t="s">
        <v>1932</v>
      </c>
      <c r="F85" s="87" t="s">
        <v>1933</v>
      </c>
      <c r="G85" s="87" t="s">
        <v>1934</v>
      </c>
      <c r="H85" s="87"/>
      <c r="I85" s="88" t="s">
        <v>1935</v>
      </c>
      <c r="J85" s="89">
        <v>45791</v>
      </c>
      <c r="K85" s="94">
        <v>45964</v>
      </c>
      <c r="L85" s="87" t="s">
        <v>1819</v>
      </c>
      <c r="M85" s="87" t="s">
        <v>654</v>
      </c>
      <c r="N85" s="90" t="s">
        <v>2132</v>
      </c>
      <c r="O85" s="91" t="s">
        <v>2045</v>
      </c>
      <c r="P85" s="91" t="s">
        <v>2127</v>
      </c>
      <c r="Q85" s="92">
        <v>2025</v>
      </c>
      <c r="R85" s="88" t="s">
        <v>2051</v>
      </c>
      <c r="S85" s="88" t="s">
        <v>1940</v>
      </c>
      <c r="T85" s="95">
        <v>2025</v>
      </c>
    </row>
    <row r="86" spans="1:20" ht="18" customHeight="1" x14ac:dyDescent="0.7">
      <c r="A86" s="85">
        <v>85</v>
      </c>
      <c r="B86" s="86">
        <v>3132286</v>
      </c>
      <c r="C86" s="87" t="s">
        <v>2133</v>
      </c>
      <c r="D86" s="87">
        <v>938226771</v>
      </c>
      <c r="E86" s="87" t="s">
        <v>1932</v>
      </c>
      <c r="F86" s="87" t="s">
        <v>1933</v>
      </c>
      <c r="G86" s="87" t="s">
        <v>1934</v>
      </c>
      <c r="H86" s="87"/>
      <c r="I86" s="88" t="s">
        <v>1935</v>
      </c>
      <c r="J86" s="89">
        <v>45791</v>
      </c>
      <c r="K86" s="94">
        <v>45896</v>
      </c>
      <c r="L86" s="87" t="s">
        <v>1819</v>
      </c>
      <c r="M86" s="87" t="s">
        <v>654</v>
      </c>
      <c r="N86" s="90" t="s">
        <v>2134</v>
      </c>
      <c r="O86" s="91" t="s">
        <v>1961</v>
      </c>
      <c r="P86" s="91" t="s">
        <v>2127</v>
      </c>
      <c r="Q86" s="92">
        <v>2025</v>
      </c>
      <c r="R86" s="88" t="s">
        <v>1948</v>
      </c>
      <c r="S86" s="88" t="s">
        <v>1949</v>
      </c>
      <c r="T86" s="95">
        <v>2025</v>
      </c>
    </row>
    <row r="87" spans="1:20" ht="18" customHeight="1" x14ac:dyDescent="0.7">
      <c r="A87" s="85">
        <v>86</v>
      </c>
      <c r="B87" s="86">
        <v>3132285</v>
      </c>
      <c r="C87" s="87" t="s">
        <v>2135</v>
      </c>
      <c r="D87" s="87">
        <v>876613014</v>
      </c>
      <c r="E87" s="87" t="s">
        <v>1932</v>
      </c>
      <c r="F87" s="87" t="s">
        <v>1933</v>
      </c>
      <c r="G87" s="87" t="s">
        <v>1934</v>
      </c>
      <c r="H87" s="87"/>
      <c r="I87" s="88" t="s">
        <v>208</v>
      </c>
      <c r="J87" s="89">
        <v>45791</v>
      </c>
      <c r="K87" s="87"/>
      <c r="L87" s="87" t="s">
        <v>1942</v>
      </c>
      <c r="M87" s="87" t="s">
        <v>654</v>
      </c>
      <c r="N87" s="90" t="s">
        <v>2129</v>
      </c>
      <c r="O87" s="91" t="s">
        <v>2092</v>
      </c>
      <c r="P87" s="91" t="s">
        <v>2127</v>
      </c>
      <c r="Q87" s="92">
        <v>2025</v>
      </c>
      <c r="R87" s="88" t="s">
        <v>1942</v>
      </c>
      <c r="S87" s="88" t="s">
        <v>1942</v>
      </c>
      <c r="T87" s="88" t="s">
        <v>1942</v>
      </c>
    </row>
    <row r="88" spans="1:20" ht="18" customHeight="1" x14ac:dyDescent="0.7">
      <c r="A88" s="85">
        <v>87</v>
      </c>
      <c r="B88" s="86">
        <v>3132283</v>
      </c>
      <c r="C88" s="87" t="s">
        <v>2136</v>
      </c>
      <c r="D88" s="87">
        <v>328376785</v>
      </c>
      <c r="E88" s="87" t="s">
        <v>1932</v>
      </c>
      <c r="F88" s="87" t="s">
        <v>1933</v>
      </c>
      <c r="G88" s="87" t="s">
        <v>1934</v>
      </c>
      <c r="H88" s="87"/>
      <c r="I88" s="88" t="s">
        <v>208</v>
      </c>
      <c r="J88" s="89">
        <v>45791</v>
      </c>
      <c r="K88" s="89">
        <v>45982</v>
      </c>
      <c r="L88" s="87" t="s">
        <v>1819</v>
      </c>
      <c r="M88" s="87" t="s">
        <v>654</v>
      </c>
      <c r="N88" s="90" t="s">
        <v>2137</v>
      </c>
      <c r="O88" s="91" t="s">
        <v>2097</v>
      </c>
      <c r="P88" s="91" t="s">
        <v>2127</v>
      </c>
      <c r="Q88" s="92">
        <v>2025</v>
      </c>
      <c r="R88" s="88" t="s">
        <v>2138</v>
      </c>
      <c r="S88" s="88" t="s">
        <v>1940</v>
      </c>
      <c r="T88" s="95">
        <v>2025</v>
      </c>
    </row>
    <row r="89" spans="1:20" ht="18" customHeight="1" x14ac:dyDescent="0.7">
      <c r="A89" s="85">
        <v>88</v>
      </c>
      <c r="B89" s="86">
        <v>3131889</v>
      </c>
      <c r="C89" s="87" t="s">
        <v>2139</v>
      </c>
      <c r="D89" s="87">
        <v>933224774</v>
      </c>
      <c r="E89" s="87" t="s">
        <v>1932</v>
      </c>
      <c r="F89" s="87" t="s">
        <v>1933</v>
      </c>
      <c r="G89" s="87" t="s">
        <v>1934</v>
      </c>
      <c r="H89" s="87"/>
      <c r="I89" s="88" t="s">
        <v>208</v>
      </c>
      <c r="J89" s="89">
        <v>45786</v>
      </c>
      <c r="K89" s="94">
        <v>45926</v>
      </c>
      <c r="L89" s="87" t="s">
        <v>1819</v>
      </c>
      <c r="M89" s="87" t="s">
        <v>654</v>
      </c>
      <c r="N89" s="90" t="s">
        <v>2140</v>
      </c>
      <c r="O89" s="91" t="s">
        <v>1937</v>
      </c>
      <c r="P89" s="91" t="s">
        <v>2141</v>
      </c>
      <c r="Q89" s="92">
        <v>2025</v>
      </c>
      <c r="R89" s="88" t="s">
        <v>2020</v>
      </c>
      <c r="S89" s="88" t="s">
        <v>2017</v>
      </c>
      <c r="T89" s="95">
        <v>2025</v>
      </c>
    </row>
    <row r="90" spans="1:20" ht="18" customHeight="1" x14ac:dyDescent="0.7">
      <c r="A90" s="85">
        <v>89</v>
      </c>
      <c r="B90" s="86">
        <v>3131793</v>
      </c>
      <c r="C90" s="87" t="s">
        <v>2142</v>
      </c>
      <c r="D90" s="87">
        <v>938391916</v>
      </c>
      <c r="E90" s="87" t="s">
        <v>1932</v>
      </c>
      <c r="F90" s="87" t="s">
        <v>1933</v>
      </c>
      <c r="G90" s="87" t="s">
        <v>1934</v>
      </c>
      <c r="H90" s="87"/>
      <c r="I90" s="88" t="s">
        <v>1935</v>
      </c>
      <c r="J90" s="89">
        <v>45785</v>
      </c>
      <c r="K90" s="94">
        <v>45926</v>
      </c>
      <c r="L90" s="87" t="s">
        <v>1819</v>
      </c>
      <c r="M90" s="87" t="s">
        <v>654</v>
      </c>
      <c r="N90" s="90" t="s">
        <v>2143</v>
      </c>
      <c r="O90" s="91" t="s">
        <v>1937</v>
      </c>
      <c r="P90" s="91" t="s">
        <v>2141</v>
      </c>
      <c r="Q90" s="92">
        <v>2025</v>
      </c>
      <c r="R90" s="88" t="s">
        <v>2020</v>
      </c>
      <c r="S90" s="88" t="s">
        <v>2017</v>
      </c>
      <c r="T90" s="95">
        <v>2025</v>
      </c>
    </row>
    <row r="91" spans="1:20" ht="18" customHeight="1" x14ac:dyDescent="0.7">
      <c r="A91" s="85">
        <v>90</v>
      </c>
      <c r="B91" s="86">
        <v>3131584</v>
      </c>
      <c r="C91" s="87" t="s">
        <v>2144</v>
      </c>
      <c r="D91" s="87">
        <v>383554289</v>
      </c>
      <c r="E91" s="87" t="s">
        <v>1932</v>
      </c>
      <c r="F91" s="87" t="s">
        <v>1933</v>
      </c>
      <c r="G91" s="87" t="s">
        <v>1934</v>
      </c>
      <c r="H91" s="87"/>
      <c r="I91" s="87"/>
      <c r="J91" s="89">
        <v>45783</v>
      </c>
      <c r="K91" s="87"/>
      <c r="L91" s="87" t="s">
        <v>1942</v>
      </c>
      <c r="M91" s="87" t="s">
        <v>2145</v>
      </c>
      <c r="N91" s="90" t="s">
        <v>2146</v>
      </c>
      <c r="O91" s="91" t="s">
        <v>2147</v>
      </c>
      <c r="P91" s="91" t="s">
        <v>2141</v>
      </c>
      <c r="Q91" s="92">
        <v>2025</v>
      </c>
      <c r="R91" s="88" t="s">
        <v>1942</v>
      </c>
      <c r="S91" s="88" t="s">
        <v>1942</v>
      </c>
      <c r="T91" s="88" t="s">
        <v>1942</v>
      </c>
    </row>
    <row r="92" spans="1:20" ht="18" customHeight="1" x14ac:dyDescent="0.7">
      <c r="A92" s="85">
        <v>91</v>
      </c>
      <c r="B92" s="86">
        <v>3131460</v>
      </c>
      <c r="C92" s="87" t="s">
        <v>2148</v>
      </c>
      <c r="D92" s="87">
        <v>345631031</v>
      </c>
      <c r="E92" s="87" t="s">
        <v>1932</v>
      </c>
      <c r="F92" s="87" t="s">
        <v>1933</v>
      </c>
      <c r="G92" s="87" t="s">
        <v>1934</v>
      </c>
      <c r="H92" s="87"/>
      <c r="I92" s="88" t="s">
        <v>1935</v>
      </c>
      <c r="J92" s="89">
        <v>45782</v>
      </c>
      <c r="K92" s="87"/>
      <c r="L92" s="87" t="s">
        <v>1942</v>
      </c>
      <c r="M92" s="87" t="s">
        <v>2145</v>
      </c>
      <c r="N92" s="90" t="s">
        <v>2149</v>
      </c>
      <c r="O92" s="91" t="s">
        <v>2147</v>
      </c>
      <c r="P92" s="91" t="s">
        <v>2141</v>
      </c>
      <c r="Q92" s="92">
        <v>2025</v>
      </c>
      <c r="R92" s="88" t="s">
        <v>1942</v>
      </c>
      <c r="S92" s="88" t="s">
        <v>1942</v>
      </c>
      <c r="T92" s="88" t="s">
        <v>1942</v>
      </c>
    </row>
    <row r="93" spans="1:20" ht="18" customHeight="1" x14ac:dyDescent="0.7">
      <c r="A93" s="85">
        <v>92</v>
      </c>
      <c r="B93" s="86">
        <v>3130978</v>
      </c>
      <c r="C93" s="87" t="s">
        <v>2150</v>
      </c>
      <c r="D93" s="87">
        <v>946885112</v>
      </c>
      <c r="E93" s="88" t="s">
        <v>2151</v>
      </c>
      <c r="F93" s="87" t="s">
        <v>1933</v>
      </c>
      <c r="G93" s="87" t="s">
        <v>1934</v>
      </c>
      <c r="H93" s="87"/>
      <c r="I93" s="88" t="s">
        <v>1981</v>
      </c>
      <c r="J93" s="89">
        <v>45773</v>
      </c>
      <c r="K93" s="87"/>
      <c r="L93" s="87" t="s">
        <v>1942</v>
      </c>
      <c r="M93" s="87" t="s">
        <v>2145</v>
      </c>
      <c r="N93" s="90" t="s">
        <v>2152</v>
      </c>
      <c r="O93" s="91" t="s">
        <v>2147</v>
      </c>
      <c r="P93" s="91" t="s">
        <v>2153</v>
      </c>
      <c r="Q93" s="92">
        <v>2025</v>
      </c>
      <c r="R93" s="88" t="s">
        <v>1942</v>
      </c>
      <c r="S93" s="88" t="s">
        <v>1942</v>
      </c>
      <c r="T93" s="88" t="s">
        <v>1942</v>
      </c>
    </row>
    <row r="94" spans="1:20" ht="18" customHeight="1" x14ac:dyDescent="0.7">
      <c r="A94" s="85">
        <v>93</v>
      </c>
      <c r="B94" s="86">
        <v>3130397</v>
      </c>
      <c r="C94" s="87" t="s">
        <v>2154</v>
      </c>
      <c r="D94" s="87">
        <v>876971683</v>
      </c>
      <c r="E94" s="87" t="s">
        <v>1932</v>
      </c>
      <c r="F94" s="87" t="s">
        <v>1933</v>
      </c>
      <c r="G94" s="87" t="s">
        <v>1934</v>
      </c>
      <c r="H94" s="87"/>
      <c r="I94" s="87"/>
      <c r="J94" s="89">
        <v>45765</v>
      </c>
      <c r="K94" s="87"/>
      <c r="L94" s="87" t="s">
        <v>1942</v>
      </c>
      <c r="M94" s="87" t="s">
        <v>2145</v>
      </c>
      <c r="N94" s="90" t="s">
        <v>2155</v>
      </c>
      <c r="O94" s="91" t="s">
        <v>2147</v>
      </c>
      <c r="P94" s="91" t="s">
        <v>2156</v>
      </c>
      <c r="Q94" s="92">
        <v>2025</v>
      </c>
      <c r="R94" s="88" t="s">
        <v>1942</v>
      </c>
      <c r="S94" s="88" t="s">
        <v>1942</v>
      </c>
      <c r="T94" s="88" t="s">
        <v>1942</v>
      </c>
    </row>
    <row r="95" spans="1:20" ht="18" customHeight="1" x14ac:dyDescent="0.7">
      <c r="A95" s="85">
        <v>94</v>
      </c>
      <c r="B95" s="86">
        <v>3130204</v>
      </c>
      <c r="C95" s="87" t="s">
        <v>1829</v>
      </c>
      <c r="D95" s="87">
        <v>974836519</v>
      </c>
      <c r="E95" s="87" t="s">
        <v>1932</v>
      </c>
      <c r="F95" s="87" t="s">
        <v>1933</v>
      </c>
      <c r="G95" s="87" t="s">
        <v>1934</v>
      </c>
      <c r="H95" s="87"/>
      <c r="I95" s="88" t="s">
        <v>1935</v>
      </c>
      <c r="J95" s="89">
        <v>45763</v>
      </c>
      <c r="K95" s="94">
        <v>45926</v>
      </c>
      <c r="L95" s="87" t="s">
        <v>1819</v>
      </c>
      <c r="M95" s="87" t="s">
        <v>654</v>
      </c>
      <c r="N95" s="90" t="s">
        <v>2157</v>
      </c>
      <c r="O95" s="91" t="s">
        <v>2045</v>
      </c>
      <c r="P95" s="91" t="s">
        <v>2156</v>
      </c>
      <c r="Q95" s="92">
        <v>2025</v>
      </c>
      <c r="R95" s="88" t="s">
        <v>2020</v>
      </c>
      <c r="S95" s="88" t="s">
        <v>2017</v>
      </c>
      <c r="T95" s="95">
        <v>2025</v>
      </c>
    </row>
    <row r="96" spans="1:20" ht="18" customHeight="1" x14ac:dyDescent="0.7">
      <c r="A96" s="85">
        <v>95</v>
      </c>
      <c r="B96" s="86">
        <v>3130092</v>
      </c>
      <c r="C96" s="87" t="s">
        <v>2158</v>
      </c>
      <c r="D96" s="87">
        <v>779408471</v>
      </c>
      <c r="E96" s="87" t="s">
        <v>1932</v>
      </c>
      <c r="F96" s="87" t="s">
        <v>1933</v>
      </c>
      <c r="G96" s="87" t="s">
        <v>1934</v>
      </c>
      <c r="H96" s="87"/>
      <c r="I96" s="88" t="s">
        <v>1935</v>
      </c>
      <c r="J96" s="89">
        <v>45762</v>
      </c>
      <c r="K96" s="87"/>
      <c r="L96" s="87" t="s">
        <v>1942</v>
      </c>
      <c r="M96" s="87" t="s">
        <v>2145</v>
      </c>
      <c r="N96" s="90" t="s">
        <v>2159</v>
      </c>
      <c r="O96" s="91" t="s">
        <v>2147</v>
      </c>
      <c r="P96" s="91" t="s">
        <v>2156</v>
      </c>
      <c r="Q96" s="92">
        <v>2025</v>
      </c>
      <c r="R96" s="88" t="s">
        <v>1942</v>
      </c>
      <c r="S96" s="88" t="s">
        <v>1942</v>
      </c>
      <c r="T96" s="88" t="s">
        <v>1942</v>
      </c>
    </row>
    <row r="97" spans="1:20" ht="18" customHeight="1" x14ac:dyDescent="0.7">
      <c r="A97" s="85">
        <v>96</v>
      </c>
      <c r="B97" s="86">
        <v>3130087</v>
      </c>
      <c r="C97" s="87" t="s">
        <v>2160</v>
      </c>
      <c r="D97" s="87">
        <v>975867146</v>
      </c>
      <c r="E97" s="87" t="s">
        <v>1932</v>
      </c>
      <c r="F97" s="87" t="s">
        <v>1933</v>
      </c>
      <c r="G97" s="87" t="s">
        <v>1934</v>
      </c>
      <c r="H97" s="87"/>
      <c r="I97" s="88" t="s">
        <v>1935</v>
      </c>
      <c r="J97" s="89">
        <v>45762</v>
      </c>
      <c r="K97" s="94">
        <v>45895</v>
      </c>
      <c r="L97" s="87" t="s">
        <v>1819</v>
      </c>
      <c r="M97" s="87" t="s">
        <v>654</v>
      </c>
      <c r="N97" s="90" t="s">
        <v>2063</v>
      </c>
      <c r="O97" s="91" t="s">
        <v>1937</v>
      </c>
      <c r="P97" s="91" t="s">
        <v>2156</v>
      </c>
      <c r="Q97" s="92">
        <v>2025</v>
      </c>
      <c r="R97" s="88" t="s">
        <v>1948</v>
      </c>
      <c r="S97" s="88" t="s">
        <v>1949</v>
      </c>
      <c r="T97" s="95">
        <v>2025</v>
      </c>
    </row>
    <row r="98" spans="1:20" ht="18" customHeight="1" x14ac:dyDescent="0.7">
      <c r="A98" s="85">
        <v>97</v>
      </c>
      <c r="B98" s="86">
        <v>3130085</v>
      </c>
      <c r="C98" s="87" t="s">
        <v>2161</v>
      </c>
      <c r="D98" s="87">
        <v>867287513</v>
      </c>
      <c r="E98" s="87" t="s">
        <v>1932</v>
      </c>
      <c r="F98" s="87" t="s">
        <v>1933</v>
      </c>
      <c r="G98" s="87" t="s">
        <v>1934</v>
      </c>
      <c r="H98" s="87"/>
      <c r="I98" s="88" t="s">
        <v>1935</v>
      </c>
      <c r="J98" s="89">
        <v>45762</v>
      </c>
      <c r="K98" s="87"/>
      <c r="L98" s="87" t="s">
        <v>1942</v>
      </c>
      <c r="M98" s="87" t="s">
        <v>2145</v>
      </c>
      <c r="N98" s="90" t="s">
        <v>2159</v>
      </c>
      <c r="O98" s="91" t="s">
        <v>2147</v>
      </c>
      <c r="P98" s="91" t="s">
        <v>2156</v>
      </c>
      <c r="Q98" s="92">
        <v>2025</v>
      </c>
      <c r="R98" s="88" t="s">
        <v>1942</v>
      </c>
      <c r="S98" s="88" t="s">
        <v>1942</v>
      </c>
      <c r="T98" s="88" t="s">
        <v>1942</v>
      </c>
    </row>
    <row r="99" spans="1:20" ht="18" customHeight="1" x14ac:dyDescent="0.7">
      <c r="A99" s="85">
        <v>98</v>
      </c>
      <c r="B99" s="86">
        <v>3130004</v>
      </c>
      <c r="C99" s="87" t="s">
        <v>2162</v>
      </c>
      <c r="D99" s="87">
        <v>967780714</v>
      </c>
      <c r="E99" s="87" t="s">
        <v>1932</v>
      </c>
      <c r="F99" s="87" t="s">
        <v>1933</v>
      </c>
      <c r="G99" s="87" t="s">
        <v>1934</v>
      </c>
      <c r="H99" s="87"/>
      <c r="I99" s="88" t="s">
        <v>208</v>
      </c>
      <c r="J99" s="89">
        <v>45761</v>
      </c>
      <c r="K99" s="87"/>
      <c r="L99" s="87" t="s">
        <v>1942</v>
      </c>
      <c r="M99" s="87" t="s">
        <v>2145</v>
      </c>
      <c r="N99" s="90" t="s">
        <v>2163</v>
      </c>
      <c r="O99" s="91" t="s">
        <v>2147</v>
      </c>
      <c r="P99" s="91" t="s">
        <v>2156</v>
      </c>
      <c r="Q99" s="92">
        <v>2025</v>
      </c>
      <c r="R99" s="88" t="s">
        <v>1942</v>
      </c>
      <c r="S99" s="88" t="s">
        <v>1942</v>
      </c>
      <c r="T99" s="88" t="s">
        <v>1942</v>
      </c>
    </row>
    <row r="100" spans="1:20" ht="18" customHeight="1" x14ac:dyDescent="0.7">
      <c r="A100" s="85">
        <v>99</v>
      </c>
      <c r="B100" s="86">
        <v>3129826</v>
      </c>
      <c r="C100" s="87" t="s">
        <v>2164</v>
      </c>
      <c r="D100" s="87">
        <v>899489743</v>
      </c>
      <c r="E100" s="87" t="s">
        <v>1932</v>
      </c>
      <c r="F100" s="87" t="s">
        <v>1933</v>
      </c>
      <c r="G100" s="87" t="s">
        <v>1934</v>
      </c>
      <c r="H100" s="87"/>
      <c r="I100" s="88" t="s">
        <v>1935</v>
      </c>
      <c r="J100" s="89">
        <v>45758</v>
      </c>
      <c r="K100" s="87"/>
      <c r="L100" s="87" t="s">
        <v>1942</v>
      </c>
      <c r="M100" s="87" t="s">
        <v>2145</v>
      </c>
      <c r="N100" s="90" t="s">
        <v>2165</v>
      </c>
      <c r="O100" s="91" t="s">
        <v>2166</v>
      </c>
      <c r="P100" s="91" t="s">
        <v>2167</v>
      </c>
      <c r="Q100" s="92">
        <v>2025</v>
      </c>
      <c r="R100" s="88" t="s">
        <v>1942</v>
      </c>
      <c r="S100" s="88" t="s">
        <v>1942</v>
      </c>
      <c r="T100" s="88" t="s">
        <v>1942</v>
      </c>
    </row>
    <row r="101" spans="1:20" ht="18" customHeight="1" x14ac:dyDescent="0.7">
      <c r="A101" s="85">
        <v>100</v>
      </c>
      <c r="B101" s="86">
        <v>3129812</v>
      </c>
      <c r="C101" s="87" t="s">
        <v>2168</v>
      </c>
      <c r="D101" s="87">
        <v>394179418</v>
      </c>
      <c r="E101" s="87" t="s">
        <v>1932</v>
      </c>
      <c r="F101" s="87" t="s">
        <v>1933</v>
      </c>
      <c r="G101" s="87" t="s">
        <v>1934</v>
      </c>
      <c r="H101" s="87"/>
      <c r="I101" s="88" t="s">
        <v>208</v>
      </c>
      <c r="J101" s="89">
        <v>45758</v>
      </c>
      <c r="K101" s="89">
        <v>46116</v>
      </c>
      <c r="L101" s="87" t="s">
        <v>1819</v>
      </c>
      <c r="M101" s="87" t="s">
        <v>2145</v>
      </c>
      <c r="N101" s="90" t="s">
        <v>2165</v>
      </c>
      <c r="O101" s="91" t="s">
        <v>2166</v>
      </c>
      <c r="P101" s="91" t="s">
        <v>2167</v>
      </c>
      <c r="Q101" s="92">
        <v>2025</v>
      </c>
      <c r="R101" s="88" t="s">
        <v>2169</v>
      </c>
      <c r="S101" s="88" t="s">
        <v>2170</v>
      </c>
      <c r="T101" s="95">
        <v>2026</v>
      </c>
    </row>
    <row r="102" spans="1:20" ht="18" customHeight="1" x14ac:dyDescent="0.7">
      <c r="A102" s="85">
        <v>101</v>
      </c>
      <c r="B102" s="86">
        <v>3129762</v>
      </c>
      <c r="C102" s="87" t="s">
        <v>2171</v>
      </c>
      <c r="D102" s="87">
        <v>333722568</v>
      </c>
      <c r="E102" s="87" t="s">
        <v>1932</v>
      </c>
      <c r="F102" s="87" t="s">
        <v>1933</v>
      </c>
      <c r="G102" s="87" t="s">
        <v>1934</v>
      </c>
      <c r="H102" s="87"/>
      <c r="I102" s="88" t="s">
        <v>208</v>
      </c>
      <c r="J102" s="89">
        <v>45757</v>
      </c>
      <c r="K102" s="89">
        <v>46116</v>
      </c>
      <c r="L102" s="87" t="s">
        <v>1819</v>
      </c>
      <c r="M102" s="87" t="s">
        <v>2145</v>
      </c>
      <c r="N102" s="90" t="s">
        <v>2172</v>
      </c>
      <c r="O102" s="91" t="s">
        <v>2166</v>
      </c>
      <c r="P102" s="91" t="s">
        <v>2167</v>
      </c>
      <c r="Q102" s="92">
        <v>2025</v>
      </c>
      <c r="R102" s="88" t="s">
        <v>2169</v>
      </c>
      <c r="S102" s="88" t="s">
        <v>2170</v>
      </c>
      <c r="T102" s="95">
        <v>2026</v>
      </c>
    </row>
    <row r="103" spans="1:20" ht="18" customHeight="1" x14ac:dyDescent="0.7">
      <c r="A103" s="85">
        <v>102</v>
      </c>
      <c r="B103" s="86">
        <v>3129758</v>
      </c>
      <c r="C103" s="87" t="s">
        <v>2173</v>
      </c>
      <c r="D103" s="87">
        <v>326249034</v>
      </c>
      <c r="E103" s="87" t="s">
        <v>1932</v>
      </c>
      <c r="F103" s="87" t="s">
        <v>1933</v>
      </c>
      <c r="G103" s="87" t="s">
        <v>1934</v>
      </c>
      <c r="H103" s="87"/>
      <c r="I103" s="88" t="s">
        <v>208</v>
      </c>
      <c r="J103" s="89">
        <v>45757</v>
      </c>
      <c r="K103" s="87"/>
      <c r="L103" s="87" t="s">
        <v>1942</v>
      </c>
      <c r="M103" s="87" t="s">
        <v>2145</v>
      </c>
      <c r="N103" s="90" t="s">
        <v>2172</v>
      </c>
      <c r="O103" s="91" t="s">
        <v>2166</v>
      </c>
      <c r="P103" s="91" t="s">
        <v>2167</v>
      </c>
      <c r="Q103" s="92">
        <v>2025</v>
      </c>
      <c r="R103" s="88" t="s">
        <v>1942</v>
      </c>
      <c r="S103" s="88" t="s">
        <v>1942</v>
      </c>
      <c r="T103" s="88" t="s">
        <v>1942</v>
      </c>
    </row>
    <row r="104" spans="1:20" ht="18" customHeight="1" x14ac:dyDescent="0.7">
      <c r="A104" s="85">
        <v>103</v>
      </c>
      <c r="B104" s="86">
        <v>3129745</v>
      </c>
      <c r="C104" s="87" t="s">
        <v>2174</v>
      </c>
      <c r="D104" s="87">
        <v>878781212</v>
      </c>
      <c r="E104" s="87" t="s">
        <v>1932</v>
      </c>
      <c r="F104" s="87" t="s">
        <v>1933</v>
      </c>
      <c r="G104" s="87" t="s">
        <v>1934</v>
      </c>
      <c r="H104" s="87"/>
      <c r="I104" s="88" t="s">
        <v>1935</v>
      </c>
      <c r="J104" s="89">
        <v>45757</v>
      </c>
      <c r="K104" s="87"/>
      <c r="L104" s="87" t="s">
        <v>1942</v>
      </c>
      <c r="M104" s="87" t="s">
        <v>2145</v>
      </c>
      <c r="N104" s="90" t="s">
        <v>2172</v>
      </c>
      <c r="O104" s="91" t="s">
        <v>2166</v>
      </c>
      <c r="P104" s="91" t="s">
        <v>2167</v>
      </c>
      <c r="Q104" s="92">
        <v>2025</v>
      </c>
      <c r="R104" s="88" t="s">
        <v>1942</v>
      </c>
      <c r="S104" s="88" t="s">
        <v>1942</v>
      </c>
      <c r="T104" s="88" t="s">
        <v>1942</v>
      </c>
    </row>
    <row r="105" spans="1:20" ht="18" customHeight="1" x14ac:dyDescent="0.7">
      <c r="A105" s="85">
        <v>104</v>
      </c>
      <c r="B105" s="86">
        <v>3129735</v>
      </c>
      <c r="C105" s="87" t="s">
        <v>2175</v>
      </c>
      <c r="D105" s="87">
        <v>905454830</v>
      </c>
      <c r="E105" s="87" t="s">
        <v>1932</v>
      </c>
      <c r="F105" s="87" t="s">
        <v>1933</v>
      </c>
      <c r="G105" s="87" t="s">
        <v>1934</v>
      </c>
      <c r="H105" s="87"/>
      <c r="I105" s="87"/>
      <c r="J105" s="89">
        <v>45757</v>
      </c>
      <c r="K105" s="94">
        <v>45868</v>
      </c>
      <c r="L105" s="87" t="s">
        <v>1819</v>
      </c>
      <c r="M105" s="87" t="s">
        <v>654</v>
      </c>
      <c r="N105" s="90" t="s">
        <v>2075</v>
      </c>
      <c r="O105" s="91" t="s">
        <v>1961</v>
      </c>
      <c r="P105" s="91" t="s">
        <v>2167</v>
      </c>
      <c r="Q105" s="92">
        <v>2025</v>
      </c>
      <c r="R105" s="88" t="s">
        <v>1972</v>
      </c>
      <c r="S105" s="88" t="s">
        <v>1973</v>
      </c>
      <c r="T105" s="95">
        <v>2025</v>
      </c>
    </row>
    <row r="106" spans="1:20" ht="18" customHeight="1" x14ac:dyDescent="0.7">
      <c r="A106" s="85">
        <v>105</v>
      </c>
      <c r="B106" s="86">
        <v>3129546</v>
      </c>
      <c r="C106" s="87" t="s">
        <v>2176</v>
      </c>
      <c r="D106" s="87">
        <v>779461121</v>
      </c>
      <c r="E106" s="87" t="s">
        <v>1932</v>
      </c>
      <c r="F106" s="87" t="s">
        <v>1933</v>
      </c>
      <c r="G106" s="87" t="s">
        <v>1934</v>
      </c>
      <c r="H106" s="87"/>
      <c r="I106" s="88" t="s">
        <v>1935</v>
      </c>
      <c r="J106" s="89">
        <v>45755</v>
      </c>
      <c r="K106" s="87"/>
      <c r="L106" s="87" t="s">
        <v>1942</v>
      </c>
      <c r="M106" s="87" t="s">
        <v>2145</v>
      </c>
      <c r="N106" s="90" t="s">
        <v>2177</v>
      </c>
      <c r="O106" s="91" t="s">
        <v>2166</v>
      </c>
      <c r="P106" s="91" t="s">
        <v>2167</v>
      </c>
      <c r="Q106" s="92">
        <v>2025</v>
      </c>
      <c r="R106" s="88" t="s">
        <v>1942</v>
      </c>
      <c r="S106" s="88" t="s">
        <v>1942</v>
      </c>
      <c r="T106" s="88" t="s">
        <v>1942</v>
      </c>
    </row>
    <row r="107" spans="1:20" ht="18" customHeight="1" x14ac:dyDescent="0.7">
      <c r="A107" s="85">
        <v>106</v>
      </c>
      <c r="B107" s="86">
        <v>3129545</v>
      </c>
      <c r="C107" s="87" t="s">
        <v>2178</v>
      </c>
      <c r="D107" s="87">
        <v>961674257</v>
      </c>
      <c r="E107" s="87" t="s">
        <v>1932</v>
      </c>
      <c r="F107" s="87" t="s">
        <v>1933</v>
      </c>
      <c r="G107" s="87" t="s">
        <v>1934</v>
      </c>
      <c r="H107" s="87"/>
      <c r="I107" s="88" t="s">
        <v>208</v>
      </c>
      <c r="J107" s="89">
        <v>45755</v>
      </c>
      <c r="K107" s="87"/>
      <c r="L107" s="87" t="s">
        <v>1942</v>
      </c>
      <c r="M107" s="87" t="s">
        <v>2145</v>
      </c>
      <c r="N107" s="90" t="s">
        <v>2177</v>
      </c>
      <c r="O107" s="91" t="s">
        <v>2166</v>
      </c>
      <c r="P107" s="91" t="s">
        <v>2167</v>
      </c>
      <c r="Q107" s="92">
        <v>2025</v>
      </c>
      <c r="R107" s="88" t="s">
        <v>1942</v>
      </c>
      <c r="S107" s="88" t="s">
        <v>1942</v>
      </c>
      <c r="T107" s="88" t="s">
        <v>1942</v>
      </c>
    </row>
    <row r="108" spans="1:20" ht="18" customHeight="1" x14ac:dyDescent="0.7">
      <c r="A108" s="85">
        <v>107</v>
      </c>
      <c r="B108" s="86">
        <v>3129455</v>
      </c>
      <c r="C108" s="87" t="s">
        <v>2108</v>
      </c>
      <c r="D108" s="87">
        <v>849404047</v>
      </c>
      <c r="E108" s="87" t="s">
        <v>1932</v>
      </c>
      <c r="F108" s="87" t="s">
        <v>1933</v>
      </c>
      <c r="G108" s="87" t="s">
        <v>1934</v>
      </c>
      <c r="H108" s="87"/>
      <c r="I108" s="87"/>
      <c r="J108" s="89">
        <v>45753</v>
      </c>
      <c r="K108" s="94">
        <v>45926</v>
      </c>
      <c r="L108" s="87" t="s">
        <v>1819</v>
      </c>
      <c r="M108" s="87" t="s">
        <v>654</v>
      </c>
      <c r="N108" s="90" t="s">
        <v>2132</v>
      </c>
      <c r="O108" s="91" t="s">
        <v>2045</v>
      </c>
      <c r="P108" s="91" t="s">
        <v>2167</v>
      </c>
      <c r="Q108" s="92">
        <v>2025</v>
      </c>
      <c r="R108" s="88" t="s">
        <v>2020</v>
      </c>
      <c r="S108" s="88" t="s">
        <v>2017</v>
      </c>
      <c r="T108" s="95">
        <v>2025</v>
      </c>
    </row>
    <row r="109" spans="1:20" ht="18" customHeight="1" x14ac:dyDescent="0.7">
      <c r="A109" s="85">
        <v>108</v>
      </c>
      <c r="B109" s="86">
        <v>3129271</v>
      </c>
      <c r="C109" s="87" t="s">
        <v>2179</v>
      </c>
      <c r="D109" s="87">
        <v>987144260</v>
      </c>
      <c r="E109" s="87" t="s">
        <v>1932</v>
      </c>
      <c r="F109" s="87" t="s">
        <v>1933</v>
      </c>
      <c r="G109" s="87" t="s">
        <v>1934</v>
      </c>
      <c r="H109" s="87"/>
      <c r="I109" s="88" t="s">
        <v>208</v>
      </c>
      <c r="J109" s="89">
        <v>45750</v>
      </c>
      <c r="K109" s="94">
        <v>45974</v>
      </c>
      <c r="L109" s="87" t="s">
        <v>1819</v>
      </c>
      <c r="M109" s="87" t="s">
        <v>2145</v>
      </c>
      <c r="N109" s="90" t="s">
        <v>2180</v>
      </c>
      <c r="O109" s="91" t="s">
        <v>2181</v>
      </c>
      <c r="P109" s="91" t="s">
        <v>2182</v>
      </c>
      <c r="Q109" s="92">
        <v>2025</v>
      </c>
      <c r="R109" s="88" t="s">
        <v>1962</v>
      </c>
      <c r="S109" s="88" t="s">
        <v>1940</v>
      </c>
      <c r="T109" s="95">
        <v>2025</v>
      </c>
    </row>
    <row r="110" spans="1:20" ht="18" customHeight="1" x14ac:dyDescent="0.7">
      <c r="A110" s="85">
        <v>109</v>
      </c>
      <c r="B110" s="86">
        <v>3128775</v>
      </c>
      <c r="C110" s="87" t="s">
        <v>2183</v>
      </c>
      <c r="D110" s="87">
        <v>901807827</v>
      </c>
      <c r="E110" s="87" t="s">
        <v>1932</v>
      </c>
      <c r="F110" s="87" t="s">
        <v>1933</v>
      </c>
      <c r="G110" s="87" t="s">
        <v>1934</v>
      </c>
      <c r="H110" s="87"/>
      <c r="I110" s="88" t="s">
        <v>208</v>
      </c>
      <c r="J110" s="89">
        <v>45746</v>
      </c>
      <c r="K110" s="89">
        <v>45986</v>
      </c>
      <c r="L110" s="87" t="s">
        <v>1819</v>
      </c>
      <c r="M110" s="87" t="s">
        <v>2145</v>
      </c>
      <c r="N110" s="90" t="s">
        <v>2184</v>
      </c>
      <c r="O110" s="91" t="s">
        <v>2181</v>
      </c>
      <c r="P110" s="91" t="s">
        <v>2182</v>
      </c>
      <c r="Q110" s="92">
        <v>2025</v>
      </c>
      <c r="R110" s="88" t="s">
        <v>1939</v>
      </c>
      <c r="S110" s="88" t="s">
        <v>1940</v>
      </c>
      <c r="T110" s="95">
        <v>2025</v>
      </c>
    </row>
    <row r="111" spans="1:20" ht="18" customHeight="1" x14ac:dyDescent="0.7">
      <c r="A111" s="85">
        <v>110</v>
      </c>
      <c r="B111" s="86">
        <v>3128588</v>
      </c>
      <c r="C111" s="87" t="s">
        <v>2185</v>
      </c>
      <c r="D111" s="87">
        <v>343433629</v>
      </c>
      <c r="E111" s="87" t="s">
        <v>1932</v>
      </c>
      <c r="F111" s="87" t="s">
        <v>1933</v>
      </c>
      <c r="G111" s="87" t="s">
        <v>1934</v>
      </c>
      <c r="H111" s="87"/>
      <c r="I111" s="88" t="s">
        <v>1935</v>
      </c>
      <c r="J111" s="89">
        <v>45743</v>
      </c>
      <c r="K111" s="87"/>
      <c r="L111" s="87" t="s">
        <v>1942</v>
      </c>
      <c r="M111" s="87" t="s">
        <v>2145</v>
      </c>
      <c r="N111" s="90" t="s">
        <v>2186</v>
      </c>
      <c r="O111" s="91" t="s">
        <v>2166</v>
      </c>
      <c r="P111" s="91" t="s">
        <v>2187</v>
      </c>
      <c r="Q111" s="92">
        <v>2025</v>
      </c>
      <c r="R111" s="88" t="s">
        <v>1942</v>
      </c>
      <c r="S111" s="88" t="s">
        <v>1942</v>
      </c>
      <c r="T111" s="88" t="s">
        <v>1942</v>
      </c>
    </row>
    <row r="112" spans="1:20" ht="18" customHeight="1" x14ac:dyDescent="0.7">
      <c r="A112" s="85">
        <v>111</v>
      </c>
      <c r="B112" s="86">
        <v>3128181</v>
      </c>
      <c r="C112" s="87" t="s">
        <v>2188</v>
      </c>
      <c r="D112" s="87">
        <v>896594532</v>
      </c>
      <c r="E112" s="87" t="s">
        <v>1932</v>
      </c>
      <c r="F112" s="87" t="s">
        <v>1933</v>
      </c>
      <c r="G112" s="87" t="s">
        <v>1934</v>
      </c>
      <c r="H112" s="87"/>
      <c r="I112" s="88" t="s">
        <v>1935</v>
      </c>
      <c r="J112" s="89">
        <v>45739</v>
      </c>
      <c r="K112" s="87"/>
      <c r="L112" s="87" t="s">
        <v>1942</v>
      </c>
      <c r="M112" s="87" t="s">
        <v>2145</v>
      </c>
      <c r="N112" s="90" t="s">
        <v>2189</v>
      </c>
      <c r="O112" s="91" t="s">
        <v>2166</v>
      </c>
      <c r="P112" s="91" t="s">
        <v>2187</v>
      </c>
      <c r="Q112" s="92">
        <v>2025</v>
      </c>
      <c r="R112" s="88" t="s">
        <v>1942</v>
      </c>
      <c r="S112" s="88" t="s">
        <v>1942</v>
      </c>
      <c r="T112" s="88" t="s">
        <v>1942</v>
      </c>
    </row>
    <row r="113" spans="1:20" ht="18" customHeight="1" x14ac:dyDescent="0.7">
      <c r="A113" s="85">
        <v>112</v>
      </c>
      <c r="B113" s="86">
        <v>3127868</v>
      </c>
      <c r="C113" s="87" t="s">
        <v>2190</v>
      </c>
      <c r="D113" s="87">
        <v>962743044</v>
      </c>
      <c r="E113" s="87" t="s">
        <v>1932</v>
      </c>
      <c r="F113" s="87" t="s">
        <v>1933</v>
      </c>
      <c r="G113" s="87" t="s">
        <v>1934</v>
      </c>
      <c r="H113" s="87"/>
      <c r="I113" s="87"/>
      <c r="J113" s="89">
        <v>45736</v>
      </c>
      <c r="K113" s="94">
        <v>45926</v>
      </c>
      <c r="L113" s="87" t="s">
        <v>1819</v>
      </c>
      <c r="M113" s="87" t="s">
        <v>654</v>
      </c>
      <c r="N113" s="90" t="s">
        <v>2191</v>
      </c>
      <c r="O113" s="91" t="s">
        <v>2097</v>
      </c>
      <c r="P113" s="91" t="s">
        <v>2192</v>
      </c>
      <c r="Q113" s="92">
        <v>2025</v>
      </c>
      <c r="R113" s="88" t="s">
        <v>2020</v>
      </c>
      <c r="S113" s="88" t="s">
        <v>2017</v>
      </c>
      <c r="T113" s="95">
        <v>2025</v>
      </c>
    </row>
    <row r="114" spans="1:20" ht="18" customHeight="1" x14ac:dyDescent="0.7">
      <c r="A114" s="85">
        <v>113</v>
      </c>
      <c r="B114" s="86">
        <v>3127542</v>
      </c>
      <c r="C114" s="87" t="s">
        <v>1817</v>
      </c>
      <c r="D114" s="87">
        <v>961574483</v>
      </c>
      <c r="E114" s="87" t="s">
        <v>1980</v>
      </c>
      <c r="F114" s="87" t="s">
        <v>1933</v>
      </c>
      <c r="G114" s="87" t="s">
        <v>1934</v>
      </c>
      <c r="H114" s="87"/>
      <c r="I114" s="88" t="s">
        <v>1981</v>
      </c>
      <c r="J114" s="89">
        <v>45733</v>
      </c>
      <c r="K114" s="87"/>
      <c r="L114" s="87" t="s">
        <v>1942</v>
      </c>
      <c r="M114" s="87" t="s">
        <v>2145</v>
      </c>
      <c r="N114" s="90" t="s">
        <v>2193</v>
      </c>
      <c r="O114" s="91" t="s">
        <v>2166</v>
      </c>
      <c r="P114" s="91" t="s">
        <v>2192</v>
      </c>
      <c r="Q114" s="92">
        <v>2025</v>
      </c>
      <c r="R114" s="88" t="s">
        <v>1942</v>
      </c>
      <c r="S114" s="88" t="s">
        <v>1942</v>
      </c>
      <c r="T114" s="88" t="s">
        <v>1942</v>
      </c>
    </row>
    <row r="115" spans="1:20" ht="18" customHeight="1" x14ac:dyDescent="0.7">
      <c r="A115" s="85">
        <v>114</v>
      </c>
      <c r="B115" s="86">
        <v>3127034</v>
      </c>
      <c r="C115" s="87" t="s">
        <v>2194</v>
      </c>
      <c r="D115" s="87">
        <v>339320710</v>
      </c>
      <c r="E115" s="87" t="s">
        <v>1932</v>
      </c>
      <c r="F115" s="87" t="s">
        <v>1933</v>
      </c>
      <c r="G115" s="87" t="s">
        <v>1934</v>
      </c>
      <c r="H115" s="87"/>
      <c r="I115" s="88" t="s">
        <v>208</v>
      </c>
      <c r="J115" s="89">
        <v>45728</v>
      </c>
      <c r="K115" s="87"/>
      <c r="L115" s="87" t="s">
        <v>1942</v>
      </c>
      <c r="M115" s="87" t="s">
        <v>2145</v>
      </c>
      <c r="N115" s="90" t="s">
        <v>2195</v>
      </c>
      <c r="O115" s="91" t="s">
        <v>2166</v>
      </c>
      <c r="P115" s="91" t="s">
        <v>2196</v>
      </c>
      <c r="Q115" s="92">
        <v>2025</v>
      </c>
      <c r="R115" s="88" t="s">
        <v>1942</v>
      </c>
      <c r="S115" s="88" t="s">
        <v>1942</v>
      </c>
      <c r="T115" s="88" t="s">
        <v>1942</v>
      </c>
    </row>
    <row r="116" spans="1:20" ht="18" customHeight="1" x14ac:dyDescent="0.7">
      <c r="A116" s="85">
        <v>115</v>
      </c>
      <c r="B116" s="86">
        <v>3126908</v>
      </c>
      <c r="C116" s="87" t="s">
        <v>2197</v>
      </c>
      <c r="D116" s="87">
        <v>963056898</v>
      </c>
      <c r="E116" s="87" t="s">
        <v>1932</v>
      </c>
      <c r="F116" s="87" t="s">
        <v>1933</v>
      </c>
      <c r="G116" s="87" t="s">
        <v>1934</v>
      </c>
      <c r="H116" s="87"/>
      <c r="I116" s="87"/>
      <c r="J116" s="89">
        <v>45727</v>
      </c>
      <c r="K116" s="94">
        <v>45938</v>
      </c>
      <c r="L116" s="87" t="s">
        <v>1819</v>
      </c>
      <c r="M116" s="87" t="s">
        <v>654</v>
      </c>
      <c r="N116" s="90" t="s">
        <v>2198</v>
      </c>
      <c r="O116" s="91" t="s">
        <v>2097</v>
      </c>
      <c r="P116" s="91" t="s">
        <v>2196</v>
      </c>
      <c r="Q116" s="92">
        <v>2025</v>
      </c>
      <c r="R116" s="88" t="s">
        <v>2001</v>
      </c>
      <c r="S116" s="88" t="s">
        <v>1995</v>
      </c>
      <c r="T116" s="95">
        <v>2025</v>
      </c>
    </row>
    <row r="117" spans="1:20" ht="18" customHeight="1" x14ac:dyDescent="0.7">
      <c r="A117" s="85">
        <v>116</v>
      </c>
      <c r="B117" s="86">
        <v>3126594</v>
      </c>
      <c r="C117" s="87" t="s">
        <v>2199</v>
      </c>
      <c r="D117" s="87">
        <v>867741087</v>
      </c>
      <c r="E117" s="87" t="s">
        <v>1932</v>
      </c>
      <c r="F117" s="87" t="s">
        <v>1933</v>
      </c>
      <c r="G117" s="87" t="s">
        <v>1934</v>
      </c>
      <c r="H117" s="87"/>
      <c r="I117" s="88" t="s">
        <v>208</v>
      </c>
      <c r="J117" s="89">
        <v>45724</v>
      </c>
      <c r="K117" s="89">
        <v>45979</v>
      </c>
      <c r="L117" s="87" t="s">
        <v>1819</v>
      </c>
      <c r="M117" s="87" t="s">
        <v>2145</v>
      </c>
      <c r="N117" s="90" t="s">
        <v>2200</v>
      </c>
      <c r="O117" s="91" t="s">
        <v>2201</v>
      </c>
      <c r="P117" s="91" t="s">
        <v>2202</v>
      </c>
      <c r="Q117" s="92">
        <v>2025</v>
      </c>
      <c r="R117" s="88" t="s">
        <v>2138</v>
      </c>
      <c r="S117" s="88" t="s">
        <v>1940</v>
      </c>
      <c r="T117" s="95">
        <v>2025</v>
      </c>
    </row>
    <row r="118" spans="1:20" ht="18" customHeight="1" x14ac:dyDescent="0.7">
      <c r="A118" s="85">
        <v>117</v>
      </c>
      <c r="B118" s="86">
        <v>3126485</v>
      </c>
      <c r="C118" s="87" t="s">
        <v>2203</v>
      </c>
      <c r="D118" s="87">
        <v>363005671</v>
      </c>
      <c r="E118" s="87" t="s">
        <v>1932</v>
      </c>
      <c r="F118" s="87" t="s">
        <v>1933</v>
      </c>
      <c r="G118" s="87" t="s">
        <v>1934</v>
      </c>
      <c r="H118" s="87"/>
      <c r="I118" s="88" t="s">
        <v>208</v>
      </c>
      <c r="J118" s="89">
        <v>45723</v>
      </c>
      <c r="K118" s="87"/>
      <c r="L118" s="87" t="s">
        <v>1942</v>
      </c>
      <c r="M118" s="87" t="s">
        <v>2145</v>
      </c>
      <c r="N118" s="90" t="s">
        <v>2204</v>
      </c>
      <c r="O118" s="91" t="s">
        <v>2205</v>
      </c>
      <c r="P118" s="91" t="s">
        <v>2202</v>
      </c>
      <c r="Q118" s="92">
        <v>2025</v>
      </c>
      <c r="R118" s="88" t="s">
        <v>1942</v>
      </c>
      <c r="S118" s="88" t="s">
        <v>1942</v>
      </c>
      <c r="T118" s="88" t="s">
        <v>1942</v>
      </c>
    </row>
    <row r="119" spans="1:20" ht="18" customHeight="1" x14ac:dyDescent="0.7">
      <c r="A119" s="85">
        <v>118</v>
      </c>
      <c r="B119" s="86">
        <v>3126136</v>
      </c>
      <c r="C119" s="87" t="s">
        <v>2206</v>
      </c>
      <c r="D119" s="87">
        <v>338715791</v>
      </c>
      <c r="E119" s="87" t="s">
        <v>1932</v>
      </c>
      <c r="F119" s="87" t="s">
        <v>1933</v>
      </c>
      <c r="G119" s="87" t="s">
        <v>1934</v>
      </c>
      <c r="H119" s="87"/>
      <c r="I119" s="88" t="s">
        <v>208</v>
      </c>
      <c r="J119" s="89">
        <v>45721</v>
      </c>
      <c r="K119" s="87"/>
      <c r="L119" s="87" t="s">
        <v>1942</v>
      </c>
      <c r="M119" s="87" t="s">
        <v>2145</v>
      </c>
      <c r="N119" s="90" t="s">
        <v>2207</v>
      </c>
      <c r="O119" s="91" t="s">
        <v>2205</v>
      </c>
      <c r="P119" s="91" t="s">
        <v>2202</v>
      </c>
      <c r="Q119" s="92">
        <v>2025</v>
      </c>
      <c r="R119" s="88" t="s">
        <v>1942</v>
      </c>
      <c r="S119" s="88" t="s">
        <v>1942</v>
      </c>
      <c r="T119" s="88" t="s">
        <v>1942</v>
      </c>
    </row>
    <row r="120" spans="1:20" ht="18" customHeight="1" x14ac:dyDescent="0.7">
      <c r="A120" s="85">
        <v>119</v>
      </c>
      <c r="B120" s="86">
        <v>3126031</v>
      </c>
      <c r="C120" s="87" t="s">
        <v>2208</v>
      </c>
      <c r="D120" s="87">
        <v>777260684</v>
      </c>
      <c r="E120" s="87" t="s">
        <v>1932</v>
      </c>
      <c r="F120" s="87" t="s">
        <v>1933</v>
      </c>
      <c r="G120" s="88" t="s">
        <v>2209</v>
      </c>
      <c r="H120" s="87"/>
      <c r="I120" s="88" t="s">
        <v>449</v>
      </c>
      <c r="J120" s="89">
        <v>45720</v>
      </c>
      <c r="K120" s="87"/>
      <c r="L120" s="87" t="s">
        <v>1942</v>
      </c>
      <c r="M120" s="87" t="s">
        <v>2145</v>
      </c>
      <c r="N120" s="90" t="s">
        <v>2210</v>
      </c>
      <c r="O120" s="91" t="s">
        <v>2205</v>
      </c>
      <c r="P120" s="91" t="s">
        <v>2202</v>
      </c>
      <c r="Q120" s="92">
        <v>2025</v>
      </c>
      <c r="R120" s="88" t="s">
        <v>1942</v>
      </c>
      <c r="S120" s="88" t="s">
        <v>1942</v>
      </c>
      <c r="T120" s="88" t="s">
        <v>1942</v>
      </c>
    </row>
    <row r="121" spans="1:20" ht="18" customHeight="1" x14ac:dyDescent="0.7">
      <c r="A121" s="85">
        <v>120</v>
      </c>
      <c r="B121" s="86">
        <v>3124475</v>
      </c>
      <c r="C121" s="87" t="s">
        <v>2211</v>
      </c>
      <c r="D121" s="87">
        <v>354112701</v>
      </c>
      <c r="E121" s="87" t="s">
        <v>1932</v>
      </c>
      <c r="F121" s="87" t="s">
        <v>1933</v>
      </c>
      <c r="G121" s="87" t="s">
        <v>1934</v>
      </c>
      <c r="H121" s="87"/>
      <c r="I121" s="88" t="s">
        <v>208</v>
      </c>
      <c r="J121" s="89">
        <v>45709</v>
      </c>
      <c r="K121" s="87"/>
      <c r="L121" s="87" t="s">
        <v>1942</v>
      </c>
      <c r="M121" s="87" t="s">
        <v>2145</v>
      </c>
      <c r="N121" s="90" t="s">
        <v>2212</v>
      </c>
      <c r="O121" s="91" t="s">
        <v>2205</v>
      </c>
      <c r="P121" s="91" t="s">
        <v>2213</v>
      </c>
      <c r="Q121" s="92">
        <v>2025</v>
      </c>
      <c r="R121" s="88" t="s">
        <v>1942</v>
      </c>
      <c r="S121" s="88" t="s">
        <v>1942</v>
      </c>
      <c r="T121" s="88" t="s">
        <v>1942</v>
      </c>
    </row>
    <row r="122" spans="1:20" ht="18" customHeight="1" x14ac:dyDescent="0.7">
      <c r="A122" s="85">
        <v>121</v>
      </c>
      <c r="B122" s="86">
        <v>3124283</v>
      </c>
      <c r="C122" s="87" t="s">
        <v>2214</v>
      </c>
      <c r="D122" s="87">
        <v>363565651</v>
      </c>
      <c r="E122" s="87" t="s">
        <v>1932</v>
      </c>
      <c r="F122" s="87" t="s">
        <v>1933</v>
      </c>
      <c r="G122" s="87" t="s">
        <v>1934</v>
      </c>
      <c r="H122" s="87"/>
      <c r="I122" s="88" t="s">
        <v>1935</v>
      </c>
      <c r="J122" s="89">
        <v>45708</v>
      </c>
      <c r="K122" s="89">
        <v>45987</v>
      </c>
      <c r="L122" s="87" t="s">
        <v>1819</v>
      </c>
      <c r="M122" s="87" t="s">
        <v>2145</v>
      </c>
      <c r="N122" s="90" t="s">
        <v>2215</v>
      </c>
      <c r="O122" s="91" t="s">
        <v>1944</v>
      </c>
      <c r="P122" s="91" t="s">
        <v>2213</v>
      </c>
      <c r="Q122" s="92">
        <v>2025</v>
      </c>
      <c r="R122" s="88" t="s">
        <v>1939</v>
      </c>
      <c r="S122" s="88" t="s">
        <v>1940</v>
      </c>
      <c r="T122" s="95">
        <v>2025</v>
      </c>
    </row>
    <row r="123" spans="1:20" ht="18" customHeight="1" x14ac:dyDescent="0.7">
      <c r="A123" s="85">
        <v>122</v>
      </c>
      <c r="B123" s="86">
        <v>3123657</v>
      </c>
      <c r="C123" s="87" t="s">
        <v>2216</v>
      </c>
      <c r="D123" s="87">
        <v>876436268</v>
      </c>
      <c r="E123" s="87" t="s">
        <v>1932</v>
      </c>
      <c r="F123" s="87" t="s">
        <v>1933</v>
      </c>
      <c r="G123" s="87" t="s">
        <v>1934</v>
      </c>
      <c r="H123" s="87"/>
      <c r="I123" s="88" t="s">
        <v>208</v>
      </c>
      <c r="J123" s="89">
        <v>45705</v>
      </c>
      <c r="K123" s="87"/>
      <c r="L123" s="87" t="s">
        <v>1942</v>
      </c>
      <c r="M123" s="87" t="s">
        <v>2145</v>
      </c>
      <c r="N123" s="90" t="s">
        <v>2217</v>
      </c>
      <c r="O123" s="91" t="s">
        <v>2205</v>
      </c>
      <c r="P123" s="91" t="s">
        <v>2213</v>
      </c>
      <c r="Q123" s="92">
        <v>2025</v>
      </c>
      <c r="R123" s="88" t="s">
        <v>1942</v>
      </c>
      <c r="S123" s="88" t="s">
        <v>1942</v>
      </c>
      <c r="T123" s="88" t="s">
        <v>1942</v>
      </c>
    </row>
    <row r="124" spans="1:20" ht="18" customHeight="1" x14ac:dyDescent="0.7">
      <c r="A124" s="85">
        <v>123</v>
      </c>
      <c r="B124" s="86">
        <v>3122902</v>
      </c>
      <c r="C124" s="87" t="s">
        <v>2218</v>
      </c>
      <c r="D124" s="87">
        <v>368753846</v>
      </c>
      <c r="E124" s="87" t="s">
        <v>1932</v>
      </c>
      <c r="F124" s="87" t="s">
        <v>1933</v>
      </c>
      <c r="G124" s="88" t="s">
        <v>2219</v>
      </c>
      <c r="H124" s="87"/>
      <c r="I124" s="88" t="s">
        <v>226</v>
      </c>
      <c r="J124" s="89">
        <v>45701</v>
      </c>
      <c r="K124" s="94">
        <v>45962</v>
      </c>
      <c r="L124" s="87" t="s">
        <v>1819</v>
      </c>
      <c r="M124" s="87" t="s">
        <v>2145</v>
      </c>
      <c r="N124" s="90" t="s">
        <v>2220</v>
      </c>
      <c r="O124" s="91" t="s">
        <v>2201</v>
      </c>
      <c r="P124" s="91" t="s">
        <v>2221</v>
      </c>
      <c r="Q124" s="92">
        <v>2025</v>
      </c>
      <c r="R124" s="88" t="s">
        <v>1994</v>
      </c>
      <c r="S124" s="88" t="s">
        <v>1940</v>
      </c>
      <c r="T124" s="95">
        <v>2025</v>
      </c>
    </row>
    <row r="125" spans="1:20" ht="18" customHeight="1" x14ac:dyDescent="0.7">
      <c r="A125" s="85">
        <v>124</v>
      </c>
      <c r="B125" s="86">
        <v>3122532</v>
      </c>
      <c r="C125" s="87" t="s">
        <v>2222</v>
      </c>
      <c r="D125" s="87">
        <v>986186517</v>
      </c>
      <c r="E125" s="87" t="s">
        <v>1932</v>
      </c>
      <c r="F125" s="87" t="s">
        <v>1933</v>
      </c>
      <c r="G125" s="88" t="s">
        <v>1934</v>
      </c>
      <c r="H125" s="87"/>
      <c r="I125" s="88" t="s">
        <v>208</v>
      </c>
      <c r="J125" s="89">
        <v>45699</v>
      </c>
      <c r="K125" s="94">
        <v>45924</v>
      </c>
      <c r="L125" s="87" t="s">
        <v>1819</v>
      </c>
      <c r="M125" s="87" t="s">
        <v>654</v>
      </c>
      <c r="N125" s="90" t="s">
        <v>2223</v>
      </c>
      <c r="O125" s="91" t="s">
        <v>2181</v>
      </c>
      <c r="P125" s="91" t="s">
        <v>2221</v>
      </c>
      <c r="Q125" s="92">
        <v>2025</v>
      </c>
      <c r="R125" s="88" t="s">
        <v>2020</v>
      </c>
      <c r="S125" s="88" t="s">
        <v>2017</v>
      </c>
      <c r="T125" s="95">
        <v>2025</v>
      </c>
    </row>
    <row r="126" spans="1:20" ht="18" customHeight="1" x14ac:dyDescent="0.7">
      <c r="A126" s="85">
        <v>125</v>
      </c>
      <c r="B126" s="86">
        <v>3121714</v>
      </c>
      <c r="C126" s="87" t="s">
        <v>2224</v>
      </c>
      <c r="D126" s="87">
        <v>985179377</v>
      </c>
      <c r="E126" s="87" t="s">
        <v>1932</v>
      </c>
      <c r="F126" s="87" t="s">
        <v>1933</v>
      </c>
      <c r="G126" s="87" t="s">
        <v>1934</v>
      </c>
      <c r="H126" s="87"/>
      <c r="I126" s="88" t="s">
        <v>208</v>
      </c>
      <c r="J126" s="89">
        <v>45695</v>
      </c>
      <c r="K126" s="87"/>
      <c r="L126" s="87" t="s">
        <v>1942</v>
      </c>
      <c r="M126" s="87" t="s">
        <v>2145</v>
      </c>
      <c r="N126" s="90" t="s">
        <v>2225</v>
      </c>
      <c r="O126" s="91" t="s">
        <v>2226</v>
      </c>
      <c r="P126" s="91" t="s">
        <v>2227</v>
      </c>
      <c r="Q126" s="92">
        <v>2025</v>
      </c>
      <c r="R126" s="88" t="s">
        <v>1942</v>
      </c>
      <c r="S126" s="88" t="s">
        <v>1942</v>
      </c>
      <c r="T126" s="88" t="s">
        <v>1942</v>
      </c>
    </row>
    <row r="127" spans="1:20" ht="18" customHeight="1" x14ac:dyDescent="0.7">
      <c r="A127" s="85">
        <v>126</v>
      </c>
      <c r="B127" s="86">
        <v>3120501</v>
      </c>
      <c r="C127" s="87" t="s">
        <v>2228</v>
      </c>
      <c r="D127" s="87">
        <v>902332066</v>
      </c>
      <c r="E127" s="87" t="s">
        <v>1932</v>
      </c>
      <c r="F127" s="87" t="s">
        <v>1933</v>
      </c>
      <c r="G127" s="87" t="s">
        <v>1934</v>
      </c>
      <c r="H127" s="87"/>
      <c r="I127" s="88" t="s">
        <v>208</v>
      </c>
      <c r="J127" s="89">
        <v>45666</v>
      </c>
      <c r="K127" s="87"/>
      <c r="L127" s="87" t="s">
        <v>1942</v>
      </c>
      <c r="M127" s="87" t="s">
        <v>2145</v>
      </c>
      <c r="N127" s="90" t="s">
        <v>2229</v>
      </c>
      <c r="O127" s="91" t="s">
        <v>2230</v>
      </c>
      <c r="P127" s="91" t="s">
        <v>2231</v>
      </c>
      <c r="Q127" s="92">
        <v>2025</v>
      </c>
      <c r="R127" s="88" t="s">
        <v>1942</v>
      </c>
      <c r="S127" s="88" t="s">
        <v>1942</v>
      </c>
      <c r="T127" s="88" t="s">
        <v>1942</v>
      </c>
    </row>
    <row r="128" spans="1:20" ht="18" customHeight="1" x14ac:dyDescent="0.7">
      <c r="A128" s="85">
        <v>127</v>
      </c>
      <c r="B128" s="86">
        <v>3120105</v>
      </c>
      <c r="C128" s="87" t="s">
        <v>2232</v>
      </c>
      <c r="D128" s="87">
        <v>932707423</v>
      </c>
      <c r="E128" s="87" t="s">
        <v>1932</v>
      </c>
      <c r="F128" s="87" t="s">
        <v>1933</v>
      </c>
      <c r="G128" s="87" t="s">
        <v>1934</v>
      </c>
      <c r="H128" s="87"/>
      <c r="I128" s="88" t="s">
        <v>208</v>
      </c>
      <c r="J128" s="89">
        <v>45660</v>
      </c>
      <c r="K128" s="87"/>
      <c r="L128" s="87" t="s">
        <v>1942</v>
      </c>
      <c r="M128" s="87" t="s">
        <v>2145</v>
      </c>
      <c r="N128" s="90" t="s">
        <v>2233</v>
      </c>
      <c r="O128" s="91" t="s">
        <v>2230</v>
      </c>
      <c r="P128" s="91" t="s">
        <v>2234</v>
      </c>
      <c r="Q128" s="92">
        <v>2025</v>
      </c>
      <c r="R128" s="88" t="s">
        <v>1942</v>
      </c>
      <c r="S128" s="88" t="s">
        <v>1942</v>
      </c>
      <c r="T128" s="88" t="s">
        <v>1942</v>
      </c>
    </row>
    <row r="129" spans="1:20" ht="18" customHeight="1" x14ac:dyDescent="0.7">
      <c r="A129" s="85">
        <v>128</v>
      </c>
      <c r="B129" s="86">
        <v>3118476</v>
      </c>
      <c r="C129" s="87" t="s">
        <v>2235</v>
      </c>
      <c r="D129" s="87">
        <v>359647234</v>
      </c>
      <c r="E129" s="87" t="s">
        <v>1932</v>
      </c>
      <c r="F129" s="87" t="s">
        <v>1933</v>
      </c>
      <c r="G129" s="88" t="s">
        <v>1934</v>
      </c>
      <c r="H129" s="87"/>
      <c r="I129" s="88" t="s">
        <v>208</v>
      </c>
      <c r="J129" s="89">
        <v>45643</v>
      </c>
      <c r="K129" s="94">
        <v>45961</v>
      </c>
      <c r="L129" s="87" t="s">
        <v>1819</v>
      </c>
      <c r="M129" s="87" t="s">
        <v>654</v>
      </c>
      <c r="N129" s="90" t="s">
        <v>2236</v>
      </c>
      <c r="O129" s="91" t="s">
        <v>1992</v>
      </c>
      <c r="P129" s="91" t="s">
        <v>2237</v>
      </c>
      <c r="Q129" s="92">
        <v>2024</v>
      </c>
      <c r="R129" s="88" t="s">
        <v>1994</v>
      </c>
      <c r="S129" s="88" t="s">
        <v>1995</v>
      </c>
      <c r="T129" s="95">
        <v>2025</v>
      </c>
    </row>
    <row r="130" spans="1:20" ht="18" customHeight="1" x14ac:dyDescent="0.7">
      <c r="A130" s="85">
        <v>129</v>
      </c>
      <c r="B130" s="86">
        <v>3117532</v>
      </c>
      <c r="C130" s="87" t="s">
        <v>2238</v>
      </c>
      <c r="D130" s="87">
        <v>988990460</v>
      </c>
      <c r="E130" s="87" t="s">
        <v>1932</v>
      </c>
      <c r="F130" s="87" t="s">
        <v>1933</v>
      </c>
      <c r="G130" s="87" t="s">
        <v>1934</v>
      </c>
      <c r="H130" s="87"/>
      <c r="I130" s="88" t="s">
        <v>208</v>
      </c>
      <c r="J130" s="89">
        <v>45635</v>
      </c>
      <c r="K130" s="89">
        <v>46112</v>
      </c>
      <c r="L130" s="87" t="s">
        <v>1819</v>
      </c>
      <c r="M130" s="87" t="s">
        <v>2145</v>
      </c>
      <c r="N130" s="90" t="s">
        <v>2239</v>
      </c>
      <c r="O130" s="91" t="s">
        <v>2240</v>
      </c>
      <c r="P130" s="91" t="s">
        <v>2241</v>
      </c>
      <c r="Q130" s="92">
        <v>2024</v>
      </c>
      <c r="R130" s="88" t="s">
        <v>2169</v>
      </c>
      <c r="S130" s="88" t="s">
        <v>2007</v>
      </c>
      <c r="T130" s="95">
        <v>2026</v>
      </c>
    </row>
    <row r="131" spans="1:20" ht="18" customHeight="1" x14ac:dyDescent="0.7">
      <c r="A131" s="85">
        <v>130</v>
      </c>
      <c r="B131" s="86">
        <v>3117285</v>
      </c>
      <c r="C131" s="87" t="s">
        <v>2242</v>
      </c>
      <c r="D131" s="87">
        <v>902849167</v>
      </c>
      <c r="E131" s="87" t="s">
        <v>1932</v>
      </c>
      <c r="F131" s="87" t="s">
        <v>1933</v>
      </c>
      <c r="G131" s="87" t="s">
        <v>1934</v>
      </c>
      <c r="H131" s="87"/>
      <c r="I131" s="88" t="s">
        <v>208</v>
      </c>
      <c r="J131" s="89">
        <v>45632</v>
      </c>
      <c r="K131" s="87"/>
      <c r="L131" s="87" t="s">
        <v>1942</v>
      </c>
      <c r="M131" s="87" t="s">
        <v>2145</v>
      </c>
      <c r="N131" s="90" t="s">
        <v>2243</v>
      </c>
      <c r="O131" s="91" t="s">
        <v>2240</v>
      </c>
      <c r="P131" s="91" t="s">
        <v>2244</v>
      </c>
      <c r="Q131" s="92">
        <v>2024</v>
      </c>
      <c r="R131" s="88" t="s">
        <v>1942</v>
      </c>
      <c r="S131" s="88" t="s">
        <v>1942</v>
      </c>
      <c r="T131" s="88" t="s">
        <v>1942</v>
      </c>
    </row>
    <row r="132" spans="1:20" ht="18" customHeight="1" x14ac:dyDescent="0.7">
      <c r="A132" s="85">
        <v>131</v>
      </c>
      <c r="B132" s="86">
        <v>3114695</v>
      </c>
      <c r="C132" s="87" t="s">
        <v>2245</v>
      </c>
      <c r="D132" s="87">
        <v>898436074</v>
      </c>
      <c r="E132" s="87" t="s">
        <v>1932</v>
      </c>
      <c r="F132" s="87" t="s">
        <v>1933</v>
      </c>
      <c r="G132" s="87" t="s">
        <v>1934</v>
      </c>
      <c r="H132" s="87"/>
      <c r="I132" s="88" t="s">
        <v>208</v>
      </c>
      <c r="J132" s="89">
        <v>45607</v>
      </c>
      <c r="K132" s="87"/>
      <c r="L132" s="87" t="s">
        <v>1942</v>
      </c>
      <c r="M132" s="87" t="s">
        <v>2145</v>
      </c>
      <c r="N132" s="90" t="s">
        <v>2246</v>
      </c>
      <c r="O132" s="91" t="s">
        <v>2247</v>
      </c>
      <c r="P132" s="91" t="s">
        <v>2248</v>
      </c>
      <c r="Q132" s="92">
        <v>2024</v>
      </c>
      <c r="R132" s="88" t="s">
        <v>1942</v>
      </c>
      <c r="S132" s="88" t="s">
        <v>1942</v>
      </c>
      <c r="T132" s="88" t="s">
        <v>1942</v>
      </c>
    </row>
    <row r="133" spans="1:20" ht="18" customHeight="1" x14ac:dyDescent="0.7">
      <c r="A133" s="85">
        <v>132</v>
      </c>
      <c r="B133" s="86">
        <v>3113716</v>
      </c>
      <c r="C133" s="87" t="s">
        <v>2249</v>
      </c>
      <c r="D133" s="87">
        <v>937991918</v>
      </c>
      <c r="E133" s="87" t="s">
        <v>1932</v>
      </c>
      <c r="F133" s="87" t="s">
        <v>1933</v>
      </c>
      <c r="G133" s="87" t="s">
        <v>1934</v>
      </c>
      <c r="H133" s="87"/>
      <c r="I133" s="88" t="s">
        <v>1935</v>
      </c>
      <c r="J133" s="89">
        <v>45597</v>
      </c>
      <c r="K133" s="87"/>
      <c r="L133" s="87" t="s">
        <v>1942</v>
      </c>
      <c r="M133" s="87" t="s">
        <v>2145</v>
      </c>
      <c r="N133" s="90" t="s">
        <v>2250</v>
      </c>
      <c r="O133" s="91" t="s">
        <v>2247</v>
      </c>
      <c r="P133" s="91" t="s">
        <v>2251</v>
      </c>
      <c r="Q133" s="92">
        <v>2024</v>
      </c>
      <c r="R133" s="88" t="s">
        <v>1942</v>
      </c>
      <c r="S133" s="88" t="s">
        <v>1942</v>
      </c>
      <c r="T133" s="88" t="s">
        <v>1942</v>
      </c>
    </row>
    <row r="134" spans="1:20" ht="18" customHeight="1" x14ac:dyDescent="0.7">
      <c r="A134" s="85">
        <v>133</v>
      </c>
      <c r="B134" s="86">
        <v>3113582</v>
      </c>
      <c r="C134" s="87" t="s">
        <v>2252</v>
      </c>
      <c r="D134" s="87">
        <v>934116923</v>
      </c>
      <c r="E134" s="87" t="s">
        <v>1932</v>
      </c>
      <c r="F134" s="87" t="s">
        <v>1933</v>
      </c>
      <c r="G134" s="87" t="s">
        <v>1934</v>
      </c>
      <c r="H134" s="87"/>
      <c r="I134" s="88" t="s">
        <v>208</v>
      </c>
      <c r="J134" s="89">
        <v>45596</v>
      </c>
      <c r="K134" s="87"/>
      <c r="L134" s="87" t="s">
        <v>1942</v>
      </c>
      <c r="M134" s="87" t="s">
        <v>2145</v>
      </c>
      <c r="N134" s="90" t="s">
        <v>2250</v>
      </c>
      <c r="O134" s="91" t="s">
        <v>2247</v>
      </c>
      <c r="P134" s="91" t="s">
        <v>2251</v>
      </c>
      <c r="Q134" s="92">
        <v>2024</v>
      </c>
      <c r="R134" s="88" t="s">
        <v>1942</v>
      </c>
      <c r="S134" s="88" t="s">
        <v>1942</v>
      </c>
      <c r="T134" s="88" t="s">
        <v>1942</v>
      </c>
    </row>
    <row r="135" spans="1:20" ht="18" customHeight="1" x14ac:dyDescent="0.7">
      <c r="A135" s="85">
        <v>134</v>
      </c>
      <c r="B135" s="86">
        <v>3112146</v>
      </c>
      <c r="C135" s="87" t="s">
        <v>2253</v>
      </c>
      <c r="D135" s="87">
        <v>939516262</v>
      </c>
      <c r="E135" s="87" t="s">
        <v>1932</v>
      </c>
      <c r="F135" s="87" t="s">
        <v>1933</v>
      </c>
      <c r="G135" s="87" t="s">
        <v>1934</v>
      </c>
      <c r="H135" s="87"/>
      <c r="I135" s="88" t="s">
        <v>208</v>
      </c>
      <c r="J135" s="89">
        <v>45581</v>
      </c>
      <c r="K135" s="87"/>
      <c r="L135" s="87" t="s">
        <v>1942</v>
      </c>
      <c r="M135" s="87" t="s">
        <v>2145</v>
      </c>
      <c r="N135" s="90" t="s">
        <v>2254</v>
      </c>
      <c r="O135" s="91" t="s">
        <v>2247</v>
      </c>
      <c r="P135" s="91" t="s">
        <v>2255</v>
      </c>
      <c r="Q135" s="92">
        <v>2024</v>
      </c>
      <c r="R135" s="88" t="s">
        <v>1942</v>
      </c>
      <c r="S135" s="88" t="s">
        <v>1942</v>
      </c>
      <c r="T135" s="88" t="s">
        <v>1942</v>
      </c>
    </row>
    <row r="136" spans="1:20" ht="18" customHeight="1" x14ac:dyDescent="0.7">
      <c r="A136" s="85">
        <v>135</v>
      </c>
      <c r="B136" s="86">
        <v>3112029</v>
      </c>
      <c r="C136" s="87" t="s">
        <v>2256</v>
      </c>
      <c r="D136" s="87">
        <v>335655612</v>
      </c>
      <c r="E136" s="87" t="s">
        <v>1932</v>
      </c>
      <c r="F136" s="87" t="s">
        <v>1933</v>
      </c>
      <c r="G136" s="87" t="s">
        <v>1934</v>
      </c>
      <c r="H136" s="87"/>
      <c r="I136" s="88" t="s">
        <v>208</v>
      </c>
      <c r="J136" s="89">
        <v>45580</v>
      </c>
      <c r="K136" s="87"/>
      <c r="L136" s="87" t="s">
        <v>1942</v>
      </c>
      <c r="M136" s="87" t="s">
        <v>2145</v>
      </c>
      <c r="N136" s="90" t="s">
        <v>2257</v>
      </c>
      <c r="O136" s="91" t="s">
        <v>2247</v>
      </c>
      <c r="P136" s="91" t="s">
        <v>2255</v>
      </c>
      <c r="Q136" s="92">
        <v>2024</v>
      </c>
      <c r="R136" s="88" t="s">
        <v>1942</v>
      </c>
      <c r="S136" s="88" t="s">
        <v>1942</v>
      </c>
      <c r="T136" s="88" t="s">
        <v>1942</v>
      </c>
    </row>
    <row r="137" spans="1:20" ht="18" customHeight="1" x14ac:dyDescent="0.7">
      <c r="A137" s="85">
        <v>136</v>
      </c>
      <c r="B137" s="86">
        <v>3111734</v>
      </c>
      <c r="C137" s="87" t="s">
        <v>2258</v>
      </c>
      <c r="D137" s="87">
        <v>915454367</v>
      </c>
      <c r="E137" s="87" t="s">
        <v>1932</v>
      </c>
      <c r="F137" s="87" t="s">
        <v>1933</v>
      </c>
      <c r="G137" s="88" t="s">
        <v>2219</v>
      </c>
      <c r="H137" s="87"/>
      <c r="I137" s="88" t="s">
        <v>226</v>
      </c>
      <c r="J137" s="89">
        <v>45577</v>
      </c>
      <c r="K137" s="94">
        <v>45962</v>
      </c>
      <c r="L137" s="87" t="s">
        <v>1819</v>
      </c>
      <c r="M137" s="87" t="s">
        <v>2145</v>
      </c>
      <c r="N137" s="90" t="s">
        <v>2259</v>
      </c>
      <c r="O137" s="91" t="s">
        <v>2147</v>
      </c>
      <c r="P137" s="91" t="s">
        <v>2260</v>
      </c>
      <c r="Q137" s="92">
        <v>2024</v>
      </c>
      <c r="R137" s="88" t="s">
        <v>1994</v>
      </c>
      <c r="S137" s="88" t="s">
        <v>1940</v>
      </c>
      <c r="T137" s="95">
        <v>2025</v>
      </c>
    </row>
    <row r="138" spans="1:20" ht="18" customHeight="1" x14ac:dyDescent="0.7">
      <c r="A138" s="85">
        <v>137</v>
      </c>
      <c r="B138" s="86">
        <v>3111508</v>
      </c>
      <c r="C138" s="87" t="s">
        <v>2261</v>
      </c>
      <c r="D138" s="87">
        <v>896747009</v>
      </c>
      <c r="E138" s="87" t="s">
        <v>1932</v>
      </c>
      <c r="F138" s="87" t="s">
        <v>1933</v>
      </c>
      <c r="G138" s="88" t="s">
        <v>2219</v>
      </c>
      <c r="H138" s="87"/>
      <c r="I138" s="88" t="s">
        <v>226</v>
      </c>
      <c r="J138" s="89">
        <v>45575</v>
      </c>
      <c r="K138" s="89">
        <v>45987</v>
      </c>
      <c r="L138" s="87" t="s">
        <v>1819</v>
      </c>
      <c r="M138" s="87" t="s">
        <v>2145</v>
      </c>
      <c r="N138" s="90" t="s">
        <v>2262</v>
      </c>
      <c r="O138" s="91" t="s">
        <v>2166</v>
      </c>
      <c r="P138" s="91" t="s">
        <v>2260</v>
      </c>
      <c r="Q138" s="92">
        <v>2024</v>
      </c>
      <c r="R138" s="88" t="s">
        <v>1939</v>
      </c>
      <c r="S138" s="88" t="s">
        <v>1940</v>
      </c>
      <c r="T138" s="95">
        <v>2025</v>
      </c>
    </row>
    <row r="139" spans="1:20" ht="18" customHeight="1" x14ac:dyDescent="0.7">
      <c r="A139" s="85">
        <v>138</v>
      </c>
      <c r="B139" s="86">
        <v>3111357</v>
      </c>
      <c r="C139" s="87" t="s">
        <v>2263</v>
      </c>
      <c r="D139" s="87">
        <v>337777450</v>
      </c>
      <c r="E139" s="87" t="s">
        <v>1932</v>
      </c>
      <c r="F139" s="87" t="s">
        <v>1933</v>
      </c>
      <c r="G139" s="87" t="s">
        <v>1934</v>
      </c>
      <c r="H139" s="87"/>
      <c r="I139" s="88" t="s">
        <v>208</v>
      </c>
      <c r="J139" s="89">
        <v>45574</v>
      </c>
      <c r="K139" s="87"/>
      <c r="L139" s="87" t="s">
        <v>1942</v>
      </c>
      <c r="M139" s="87" t="s">
        <v>2145</v>
      </c>
      <c r="N139" s="90" t="s">
        <v>2264</v>
      </c>
      <c r="O139" s="91" t="s">
        <v>2265</v>
      </c>
      <c r="P139" s="91" t="s">
        <v>2260</v>
      </c>
      <c r="Q139" s="92">
        <v>2024</v>
      </c>
      <c r="R139" s="88" t="s">
        <v>1942</v>
      </c>
      <c r="S139" s="88" t="s">
        <v>1942</v>
      </c>
      <c r="T139" s="88" t="s">
        <v>1942</v>
      </c>
    </row>
    <row r="140" spans="1:20" ht="18" customHeight="1" x14ac:dyDescent="0.7">
      <c r="A140" s="85">
        <v>139</v>
      </c>
      <c r="B140" s="86">
        <v>3111134</v>
      </c>
      <c r="C140" s="87" t="s">
        <v>2266</v>
      </c>
      <c r="D140" s="87">
        <v>779392456</v>
      </c>
      <c r="E140" s="87" t="s">
        <v>1980</v>
      </c>
      <c r="F140" s="87" t="s">
        <v>1933</v>
      </c>
      <c r="G140" s="87" t="s">
        <v>1934</v>
      </c>
      <c r="H140" s="87"/>
      <c r="I140" s="88" t="s">
        <v>1981</v>
      </c>
      <c r="J140" s="89">
        <v>45572</v>
      </c>
      <c r="K140" s="87"/>
      <c r="L140" s="87" t="s">
        <v>1942</v>
      </c>
      <c r="M140" s="87" t="s">
        <v>2145</v>
      </c>
      <c r="N140" s="90" t="s">
        <v>2267</v>
      </c>
      <c r="O140" s="91" t="s">
        <v>2265</v>
      </c>
      <c r="P140" s="91" t="s">
        <v>2260</v>
      </c>
      <c r="Q140" s="92">
        <v>2024</v>
      </c>
      <c r="R140" s="88" t="s">
        <v>1942</v>
      </c>
      <c r="S140" s="88" t="s">
        <v>1942</v>
      </c>
      <c r="T140" s="88" t="s">
        <v>1942</v>
      </c>
    </row>
    <row r="141" spans="1:20" ht="18" customHeight="1" x14ac:dyDescent="0.7">
      <c r="A141" s="85">
        <v>140</v>
      </c>
      <c r="B141" s="86">
        <v>3110389</v>
      </c>
      <c r="C141" s="87" t="s">
        <v>2268</v>
      </c>
      <c r="D141" s="87">
        <v>906514152</v>
      </c>
      <c r="E141" s="87" t="s">
        <v>1932</v>
      </c>
      <c r="F141" s="87" t="s">
        <v>1933</v>
      </c>
      <c r="G141" s="87" t="s">
        <v>1934</v>
      </c>
      <c r="H141" s="87"/>
      <c r="I141" s="87"/>
      <c r="J141" s="89">
        <v>45565</v>
      </c>
      <c r="K141" s="94">
        <v>45938</v>
      </c>
      <c r="L141" s="87" t="s">
        <v>1819</v>
      </c>
      <c r="M141" s="87" t="s">
        <v>2145</v>
      </c>
      <c r="N141" s="90" t="s">
        <v>2269</v>
      </c>
      <c r="O141" s="91" t="s">
        <v>2147</v>
      </c>
      <c r="P141" s="91" t="s">
        <v>2270</v>
      </c>
      <c r="Q141" s="92">
        <v>2024</v>
      </c>
      <c r="R141" s="88" t="s">
        <v>2001</v>
      </c>
      <c r="S141" s="88" t="s">
        <v>1995</v>
      </c>
      <c r="T141" s="95">
        <v>2025</v>
      </c>
    </row>
    <row r="142" spans="1:20" ht="18" customHeight="1" x14ac:dyDescent="0.7">
      <c r="A142" s="85">
        <v>141</v>
      </c>
      <c r="B142" s="86">
        <v>3109815</v>
      </c>
      <c r="C142" s="87" t="s">
        <v>2035</v>
      </c>
      <c r="D142" s="87">
        <v>339925603</v>
      </c>
      <c r="E142" s="87" t="s">
        <v>1932</v>
      </c>
      <c r="F142" s="87" t="s">
        <v>1933</v>
      </c>
      <c r="G142" s="87" t="s">
        <v>1934</v>
      </c>
      <c r="H142" s="87"/>
      <c r="I142" s="88" t="s">
        <v>208</v>
      </c>
      <c r="J142" s="89">
        <v>45559</v>
      </c>
      <c r="K142" s="87"/>
      <c r="L142" s="87" t="s">
        <v>1942</v>
      </c>
      <c r="M142" s="87" t="s">
        <v>2145</v>
      </c>
      <c r="N142" s="90" t="s">
        <v>2271</v>
      </c>
      <c r="O142" s="91" t="s">
        <v>2265</v>
      </c>
      <c r="P142" s="91" t="s">
        <v>2272</v>
      </c>
      <c r="Q142" s="92">
        <v>2024</v>
      </c>
      <c r="R142" s="88" t="s">
        <v>1942</v>
      </c>
      <c r="S142" s="88" t="s">
        <v>1942</v>
      </c>
      <c r="T142" s="88" t="s">
        <v>1942</v>
      </c>
    </row>
    <row r="143" spans="1:20" ht="18" customHeight="1" x14ac:dyDescent="0.7">
      <c r="A143" s="85">
        <v>142</v>
      </c>
      <c r="B143" s="86">
        <v>3108317</v>
      </c>
      <c r="C143" s="87" t="s">
        <v>2273</v>
      </c>
      <c r="D143" s="87">
        <v>338128592</v>
      </c>
      <c r="E143" s="87" t="s">
        <v>1932</v>
      </c>
      <c r="F143" s="87" t="s">
        <v>1933</v>
      </c>
      <c r="G143" s="87" t="s">
        <v>1934</v>
      </c>
      <c r="H143" s="87"/>
      <c r="I143" s="88" t="s">
        <v>1935</v>
      </c>
      <c r="J143" s="89">
        <v>45544</v>
      </c>
      <c r="K143" s="87"/>
      <c r="L143" s="87" t="s">
        <v>1942</v>
      </c>
      <c r="M143" s="87" t="s">
        <v>2145</v>
      </c>
      <c r="N143" s="90" t="s">
        <v>2274</v>
      </c>
      <c r="O143" s="91" t="s">
        <v>2275</v>
      </c>
      <c r="P143" s="91" t="s">
        <v>2276</v>
      </c>
      <c r="Q143" s="92">
        <v>2024</v>
      </c>
      <c r="R143" s="88" t="s">
        <v>1942</v>
      </c>
      <c r="S143" s="88" t="s">
        <v>1942</v>
      </c>
      <c r="T143" s="88" t="s">
        <v>1942</v>
      </c>
    </row>
    <row r="144" spans="1:20" ht="18" customHeight="1" x14ac:dyDescent="0.7">
      <c r="A144" s="85">
        <v>143</v>
      </c>
      <c r="B144" s="86">
        <v>3106541</v>
      </c>
      <c r="C144" s="87" t="s">
        <v>2277</v>
      </c>
      <c r="D144" s="87">
        <v>909904486</v>
      </c>
      <c r="E144" s="87" t="s">
        <v>1932</v>
      </c>
      <c r="F144" s="87" t="s">
        <v>1933</v>
      </c>
      <c r="G144" s="87" t="s">
        <v>1934</v>
      </c>
      <c r="H144" s="87"/>
      <c r="I144" s="88" t="s">
        <v>208</v>
      </c>
      <c r="J144" s="89">
        <v>45525</v>
      </c>
      <c r="K144" s="87"/>
      <c r="L144" s="87" t="s">
        <v>1942</v>
      </c>
      <c r="M144" s="87" t="s">
        <v>2145</v>
      </c>
      <c r="N144" s="90" t="s">
        <v>2278</v>
      </c>
      <c r="O144" s="91" t="s">
        <v>2275</v>
      </c>
      <c r="P144" s="91" t="s">
        <v>2279</v>
      </c>
      <c r="Q144" s="92">
        <v>2024</v>
      </c>
      <c r="R144" s="88" t="s">
        <v>1942</v>
      </c>
      <c r="S144" s="88" t="s">
        <v>1942</v>
      </c>
      <c r="T144" s="88" t="s">
        <v>1942</v>
      </c>
    </row>
    <row r="145" spans="1:20" ht="18" customHeight="1" x14ac:dyDescent="0.7">
      <c r="A145" s="85">
        <v>144</v>
      </c>
      <c r="B145" s="86">
        <v>3105181</v>
      </c>
      <c r="C145" s="87" t="s">
        <v>2280</v>
      </c>
      <c r="D145" s="87">
        <v>909140514</v>
      </c>
      <c r="E145" s="87" t="s">
        <v>1932</v>
      </c>
      <c r="F145" s="87" t="s">
        <v>1933</v>
      </c>
      <c r="G145" s="87" t="s">
        <v>1934</v>
      </c>
      <c r="H145" s="87"/>
      <c r="I145" s="88" t="s">
        <v>208</v>
      </c>
      <c r="J145" s="89">
        <v>45512</v>
      </c>
      <c r="K145" s="87"/>
      <c r="L145" s="87" t="s">
        <v>1942</v>
      </c>
      <c r="M145" s="87" t="s">
        <v>2145</v>
      </c>
      <c r="N145" s="90" t="s">
        <v>2281</v>
      </c>
      <c r="O145" s="91" t="s">
        <v>2282</v>
      </c>
      <c r="P145" s="91" t="s">
        <v>2283</v>
      </c>
      <c r="Q145" s="92">
        <v>2024</v>
      </c>
      <c r="R145" s="88" t="s">
        <v>1942</v>
      </c>
      <c r="S145" s="88" t="s">
        <v>1942</v>
      </c>
      <c r="T145" s="88" t="s">
        <v>1942</v>
      </c>
    </row>
    <row r="146" spans="1:20" ht="18" customHeight="1" x14ac:dyDescent="0.7">
      <c r="A146" s="85">
        <v>145</v>
      </c>
      <c r="B146" s="96">
        <v>3105029</v>
      </c>
      <c r="C146" s="97" t="s">
        <v>2284</v>
      </c>
      <c r="D146" s="87">
        <v>365589479</v>
      </c>
      <c r="E146" s="87" t="s">
        <v>1932</v>
      </c>
      <c r="F146" s="87" t="s">
        <v>1933</v>
      </c>
      <c r="G146" s="87" t="s">
        <v>1934</v>
      </c>
      <c r="H146" s="87"/>
      <c r="I146" s="87"/>
      <c r="J146" s="89">
        <v>45511</v>
      </c>
      <c r="K146" s="87"/>
      <c r="L146" s="87" t="s">
        <v>1942</v>
      </c>
      <c r="M146" s="87" t="s">
        <v>2145</v>
      </c>
      <c r="N146" s="90" t="s">
        <v>2285</v>
      </c>
      <c r="O146" s="91" t="s">
        <v>2282</v>
      </c>
      <c r="P146" s="91" t="s">
        <v>2283</v>
      </c>
      <c r="Q146" s="92">
        <v>2024</v>
      </c>
      <c r="R146" s="88" t="s">
        <v>1942</v>
      </c>
      <c r="S146" s="88" t="s">
        <v>1942</v>
      </c>
      <c r="T146" s="88" t="s">
        <v>1942</v>
      </c>
    </row>
    <row r="147" spans="1:20" ht="18" customHeight="1" x14ac:dyDescent="0.7">
      <c r="A147" s="85">
        <v>146</v>
      </c>
      <c r="B147" s="86">
        <v>3104488</v>
      </c>
      <c r="C147" s="87" t="s">
        <v>2286</v>
      </c>
      <c r="D147" s="87">
        <v>989470705</v>
      </c>
      <c r="E147" s="87" t="s">
        <v>1932</v>
      </c>
      <c r="F147" s="87" t="s">
        <v>1933</v>
      </c>
      <c r="G147" s="87" t="s">
        <v>1934</v>
      </c>
      <c r="H147" s="87"/>
      <c r="I147" s="88" t="s">
        <v>208</v>
      </c>
      <c r="J147" s="89">
        <v>45506</v>
      </c>
      <c r="K147" s="87"/>
      <c r="L147" s="87" t="s">
        <v>1942</v>
      </c>
      <c r="M147" s="87" t="s">
        <v>2145</v>
      </c>
      <c r="N147" s="90" t="s">
        <v>2287</v>
      </c>
      <c r="O147" s="91" t="s">
        <v>2282</v>
      </c>
      <c r="P147" s="91" t="s">
        <v>2288</v>
      </c>
      <c r="Q147" s="92">
        <v>2024</v>
      </c>
      <c r="R147" s="88" t="s">
        <v>1942</v>
      </c>
      <c r="S147" s="88" t="s">
        <v>1942</v>
      </c>
      <c r="T147" s="88" t="s">
        <v>1942</v>
      </c>
    </row>
    <row r="148" spans="1:20" ht="18" customHeight="1" x14ac:dyDescent="0.7">
      <c r="A148" s="85">
        <v>147</v>
      </c>
      <c r="B148" s="86">
        <v>3103782</v>
      </c>
      <c r="C148" s="87" t="s">
        <v>2289</v>
      </c>
      <c r="D148" s="87">
        <v>355550379</v>
      </c>
      <c r="E148" s="87" t="s">
        <v>1932</v>
      </c>
      <c r="F148" s="87" t="s">
        <v>1933</v>
      </c>
      <c r="G148" s="88" t="s">
        <v>2209</v>
      </c>
      <c r="H148" s="87"/>
      <c r="I148" s="88" t="s">
        <v>449</v>
      </c>
      <c r="J148" s="89">
        <v>45499</v>
      </c>
      <c r="K148" s="87"/>
      <c r="L148" s="87" t="s">
        <v>1942</v>
      </c>
      <c r="M148" s="87" t="s">
        <v>2145</v>
      </c>
      <c r="N148" s="90" t="s">
        <v>2290</v>
      </c>
      <c r="O148" s="91" t="s">
        <v>2282</v>
      </c>
      <c r="P148" s="91" t="s">
        <v>2291</v>
      </c>
      <c r="Q148" s="92">
        <v>2024</v>
      </c>
      <c r="R148" s="88" t="s">
        <v>1942</v>
      </c>
      <c r="S148" s="88" t="s">
        <v>1942</v>
      </c>
      <c r="T148" s="88" t="s">
        <v>1942</v>
      </c>
    </row>
    <row r="149" spans="1:20" ht="18" customHeight="1" x14ac:dyDescent="0.7">
      <c r="A149" s="85">
        <v>148</v>
      </c>
      <c r="B149" s="86">
        <v>3103053</v>
      </c>
      <c r="C149" s="87" t="s">
        <v>2292</v>
      </c>
      <c r="D149" s="87">
        <v>911917784</v>
      </c>
      <c r="E149" s="87" t="s">
        <v>1932</v>
      </c>
      <c r="F149" s="87" t="s">
        <v>1933</v>
      </c>
      <c r="G149" s="87" t="s">
        <v>1934</v>
      </c>
      <c r="H149" s="87"/>
      <c r="I149" s="88" t="s">
        <v>208</v>
      </c>
      <c r="J149" s="89">
        <v>45492</v>
      </c>
      <c r="K149" s="87"/>
      <c r="L149" s="87" t="s">
        <v>1942</v>
      </c>
      <c r="M149" s="87" t="s">
        <v>2145</v>
      </c>
      <c r="N149" s="90" t="s">
        <v>2293</v>
      </c>
      <c r="O149" s="91" t="s">
        <v>2282</v>
      </c>
      <c r="P149" s="91" t="s">
        <v>2294</v>
      </c>
      <c r="Q149" s="92">
        <v>2024</v>
      </c>
      <c r="R149" s="88" t="s">
        <v>1942</v>
      </c>
      <c r="S149" s="88" t="s">
        <v>1942</v>
      </c>
      <c r="T149" s="88" t="s">
        <v>1942</v>
      </c>
    </row>
    <row r="150" spans="1:20" ht="18" customHeight="1" x14ac:dyDescent="0.7">
      <c r="A150" s="85">
        <v>149</v>
      </c>
      <c r="B150" s="86">
        <v>3102071</v>
      </c>
      <c r="C150" s="87" t="s">
        <v>1846</v>
      </c>
      <c r="D150" s="87">
        <v>815949090</v>
      </c>
      <c r="E150" s="87" t="s">
        <v>1932</v>
      </c>
      <c r="F150" s="87" t="s">
        <v>1933</v>
      </c>
      <c r="G150" s="87" t="s">
        <v>1934</v>
      </c>
      <c r="H150" s="87"/>
      <c r="I150" s="88" t="s">
        <v>208</v>
      </c>
      <c r="J150" s="89">
        <v>45483</v>
      </c>
      <c r="K150" s="89">
        <v>46092</v>
      </c>
      <c r="L150" s="87" t="s">
        <v>1819</v>
      </c>
      <c r="M150" s="87" t="s">
        <v>2145</v>
      </c>
      <c r="N150" s="90" t="s">
        <v>2295</v>
      </c>
      <c r="O150" s="91" t="s">
        <v>2296</v>
      </c>
      <c r="P150" s="91" t="s">
        <v>2297</v>
      </c>
      <c r="Q150" s="92">
        <v>2024</v>
      </c>
      <c r="R150" s="88" t="s">
        <v>2006</v>
      </c>
      <c r="S150" s="88" t="s">
        <v>2007</v>
      </c>
      <c r="T150" s="95">
        <v>2026</v>
      </c>
    </row>
    <row r="151" spans="1:20" ht="18" customHeight="1" x14ac:dyDescent="0.7">
      <c r="A151" s="85">
        <v>150</v>
      </c>
      <c r="B151" s="86">
        <v>3101229</v>
      </c>
      <c r="C151" s="87" t="s">
        <v>2298</v>
      </c>
      <c r="D151" s="87">
        <v>707695516</v>
      </c>
      <c r="E151" s="87" t="s">
        <v>1932</v>
      </c>
      <c r="F151" s="87" t="s">
        <v>1933</v>
      </c>
      <c r="G151" s="88" t="s">
        <v>2209</v>
      </c>
      <c r="H151" s="87"/>
      <c r="I151" s="88" t="s">
        <v>449</v>
      </c>
      <c r="J151" s="89">
        <v>45475</v>
      </c>
      <c r="K151" s="87"/>
      <c r="L151" s="87" t="s">
        <v>1942</v>
      </c>
      <c r="M151" s="87" t="s">
        <v>2145</v>
      </c>
      <c r="N151" s="90" t="s">
        <v>2299</v>
      </c>
      <c r="O151" s="91" t="s">
        <v>2296</v>
      </c>
      <c r="P151" s="91" t="s">
        <v>2300</v>
      </c>
      <c r="Q151" s="92">
        <v>2024</v>
      </c>
      <c r="R151" s="88" t="s">
        <v>1942</v>
      </c>
      <c r="S151" s="88" t="s">
        <v>1942</v>
      </c>
      <c r="T151" s="88" t="s">
        <v>1942</v>
      </c>
    </row>
    <row r="152" spans="1:20" ht="18" customHeight="1" x14ac:dyDescent="0.7">
      <c r="A152" s="85">
        <v>151</v>
      </c>
      <c r="B152" s="85">
        <v>3100010</v>
      </c>
      <c r="C152" s="87" t="s">
        <v>2301</v>
      </c>
      <c r="D152" s="87">
        <v>347850395</v>
      </c>
      <c r="E152" s="87" t="s">
        <v>1932</v>
      </c>
      <c r="F152" s="87" t="s">
        <v>1933</v>
      </c>
      <c r="G152" s="88" t="s">
        <v>2219</v>
      </c>
      <c r="H152" s="87"/>
      <c r="I152" s="88" t="s">
        <v>226</v>
      </c>
      <c r="J152" s="89">
        <v>45460</v>
      </c>
      <c r="K152" s="94">
        <v>45962</v>
      </c>
      <c r="L152" s="87" t="s">
        <v>1819</v>
      </c>
      <c r="M152" s="87" t="s">
        <v>2145</v>
      </c>
      <c r="N152" s="90" t="s">
        <v>2302</v>
      </c>
      <c r="O152" s="91" t="s">
        <v>2230</v>
      </c>
      <c r="P152" s="91" t="s">
        <v>2303</v>
      </c>
      <c r="Q152" s="92">
        <v>2024</v>
      </c>
      <c r="R152" s="88" t="s">
        <v>1994</v>
      </c>
      <c r="S152" s="88" t="s">
        <v>1940</v>
      </c>
      <c r="T152" s="95">
        <v>2025</v>
      </c>
    </row>
    <row r="153" spans="1:20" ht="18" customHeight="1" x14ac:dyDescent="0.7">
      <c r="A153" s="85">
        <v>152</v>
      </c>
      <c r="B153" s="86">
        <v>3099571</v>
      </c>
      <c r="C153" s="87" t="s">
        <v>2304</v>
      </c>
      <c r="D153" s="87">
        <v>393027869</v>
      </c>
      <c r="E153" s="87" t="s">
        <v>1932</v>
      </c>
      <c r="F153" s="87" t="s">
        <v>1933</v>
      </c>
      <c r="G153" s="87" t="s">
        <v>1934</v>
      </c>
      <c r="H153" s="87"/>
      <c r="I153" s="88" t="s">
        <v>208</v>
      </c>
      <c r="J153" s="89">
        <v>45454</v>
      </c>
      <c r="K153" s="87"/>
      <c r="L153" s="87" t="s">
        <v>1942</v>
      </c>
      <c r="M153" s="87" t="s">
        <v>2145</v>
      </c>
      <c r="N153" s="90" t="s">
        <v>2305</v>
      </c>
      <c r="O153" s="91" t="s">
        <v>2306</v>
      </c>
      <c r="P153" s="91" t="s">
        <v>2307</v>
      </c>
      <c r="Q153" s="92">
        <v>2024</v>
      </c>
      <c r="R153" s="88" t="s">
        <v>1942</v>
      </c>
      <c r="S153" s="88" t="s">
        <v>1942</v>
      </c>
      <c r="T153" s="88" t="s">
        <v>1942</v>
      </c>
    </row>
    <row r="154" spans="1:20" ht="18" customHeight="1" x14ac:dyDescent="0.7">
      <c r="A154" s="85">
        <v>153</v>
      </c>
      <c r="B154" s="96">
        <v>3098361</v>
      </c>
      <c r="C154" s="97" t="s">
        <v>2308</v>
      </c>
      <c r="D154" s="87">
        <v>896858933</v>
      </c>
      <c r="E154" s="87" t="s">
        <v>1932</v>
      </c>
      <c r="F154" s="87" t="s">
        <v>1933</v>
      </c>
      <c r="G154" s="87" t="s">
        <v>1934</v>
      </c>
      <c r="H154" s="87"/>
      <c r="I154" s="87"/>
      <c r="J154" s="89">
        <v>45441</v>
      </c>
      <c r="K154" s="87"/>
      <c r="L154" s="87" t="s">
        <v>1942</v>
      </c>
      <c r="M154" s="87" t="s">
        <v>2145</v>
      </c>
      <c r="N154" s="90" t="s">
        <v>2309</v>
      </c>
      <c r="O154" s="91" t="s">
        <v>2306</v>
      </c>
      <c r="P154" s="91" t="s">
        <v>2310</v>
      </c>
      <c r="Q154" s="92">
        <v>2024</v>
      </c>
      <c r="R154" s="88" t="s">
        <v>1942</v>
      </c>
      <c r="S154" s="88" t="s">
        <v>1942</v>
      </c>
      <c r="T154" s="88" t="s">
        <v>1942</v>
      </c>
    </row>
    <row r="155" spans="1:20" ht="18" customHeight="1" x14ac:dyDescent="0.7">
      <c r="A155" s="85">
        <v>154</v>
      </c>
      <c r="B155" s="86">
        <v>3096164</v>
      </c>
      <c r="C155" s="87" t="s">
        <v>2311</v>
      </c>
      <c r="D155" s="87">
        <v>387993899</v>
      </c>
      <c r="E155" s="87" t="s">
        <v>1932</v>
      </c>
      <c r="F155" s="87" t="s">
        <v>1933</v>
      </c>
      <c r="G155" s="87" t="s">
        <v>1934</v>
      </c>
      <c r="H155" s="87"/>
      <c r="I155" s="88" t="s">
        <v>208</v>
      </c>
      <c r="J155" s="89">
        <v>45418</v>
      </c>
      <c r="K155" s="87"/>
      <c r="L155" s="87" t="s">
        <v>1942</v>
      </c>
      <c r="M155" s="87" t="s">
        <v>2312</v>
      </c>
      <c r="N155" s="90" t="s">
        <v>2313</v>
      </c>
      <c r="O155" s="91" t="s">
        <v>2314</v>
      </c>
      <c r="P155" s="91" t="s">
        <v>2315</v>
      </c>
      <c r="Q155" s="92">
        <v>2024</v>
      </c>
      <c r="R155" s="88" t="s">
        <v>1942</v>
      </c>
      <c r="S155" s="88" t="s">
        <v>1942</v>
      </c>
      <c r="T155" s="88" t="s">
        <v>1942</v>
      </c>
    </row>
    <row r="156" spans="1:20" ht="18" customHeight="1" x14ac:dyDescent="0.7">
      <c r="A156" s="85">
        <v>155</v>
      </c>
      <c r="B156" s="86">
        <v>3095298</v>
      </c>
      <c r="C156" s="87" t="s">
        <v>2316</v>
      </c>
      <c r="D156" s="87">
        <v>941031023</v>
      </c>
      <c r="E156" s="87" t="s">
        <v>1932</v>
      </c>
      <c r="F156" s="87" t="s">
        <v>1933</v>
      </c>
      <c r="G156" s="88" t="s">
        <v>2219</v>
      </c>
      <c r="H156" s="87"/>
      <c r="I156" s="88" t="s">
        <v>226</v>
      </c>
      <c r="J156" s="89">
        <v>45407</v>
      </c>
      <c r="K156" s="94">
        <v>45962</v>
      </c>
      <c r="L156" s="87" t="s">
        <v>1819</v>
      </c>
      <c r="M156" s="87" t="s">
        <v>2312</v>
      </c>
      <c r="N156" s="90" t="s">
        <v>2317</v>
      </c>
      <c r="O156" s="91" t="s">
        <v>2247</v>
      </c>
      <c r="P156" s="91" t="s">
        <v>2318</v>
      </c>
      <c r="Q156" s="92">
        <v>2024</v>
      </c>
      <c r="R156" s="88" t="s">
        <v>1994</v>
      </c>
      <c r="S156" s="88" t="s">
        <v>1940</v>
      </c>
      <c r="T156" s="95">
        <v>2025</v>
      </c>
    </row>
    <row r="157" spans="1:20" ht="18" customHeight="1" x14ac:dyDescent="0.7">
      <c r="A157" s="85">
        <v>156</v>
      </c>
      <c r="B157" s="86">
        <v>3094580</v>
      </c>
      <c r="C157" s="87" t="s">
        <v>2319</v>
      </c>
      <c r="D157" s="87">
        <v>886524763</v>
      </c>
      <c r="E157" s="87" t="s">
        <v>1932</v>
      </c>
      <c r="F157" s="87" t="s">
        <v>1933</v>
      </c>
      <c r="G157" s="88" t="s">
        <v>2219</v>
      </c>
      <c r="H157" s="87"/>
      <c r="I157" s="88" t="s">
        <v>226</v>
      </c>
      <c r="J157" s="89">
        <v>45399</v>
      </c>
      <c r="K157" s="94">
        <v>45962</v>
      </c>
      <c r="L157" s="87" t="s">
        <v>1819</v>
      </c>
      <c r="M157" s="87" t="s">
        <v>2312</v>
      </c>
      <c r="N157" s="90" t="s">
        <v>2320</v>
      </c>
      <c r="O157" s="91" t="s">
        <v>2247</v>
      </c>
      <c r="P157" s="91" t="s">
        <v>2321</v>
      </c>
      <c r="Q157" s="92">
        <v>2024</v>
      </c>
      <c r="R157" s="88" t="s">
        <v>1994</v>
      </c>
      <c r="S157" s="88" t="s">
        <v>1940</v>
      </c>
      <c r="T157" s="95">
        <v>2025</v>
      </c>
    </row>
    <row r="158" spans="1:20" ht="18" customHeight="1" x14ac:dyDescent="0.7">
      <c r="A158" s="85">
        <v>157</v>
      </c>
      <c r="B158" s="86">
        <v>3093665</v>
      </c>
      <c r="C158" s="87" t="s">
        <v>2322</v>
      </c>
      <c r="D158" s="87">
        <v>903307727</v>
      </c>
      <c r="E158" s="87" t="s">
        <v>1932</v>
      </c>
      <c r="F158" s="87" t="s">
        <v>1933</v>
      </c>
      <c r="G158" s="87" t="s">
        <v>1934</v>
      </c>
      <c r="H158" s="87"/>
      <c r="I158" s="88" t="s">
        <v>208</v>
      </c>
      <c r="J158" s="89">
        <v>45390</v>
      </c>
      <c r="K158" s="87"/>
      <c r="L158" s="87" t="s">
        <v>1942</v>
      </c>
      <c r="M158" s="87" t="s">
        <v>2312</v>
      </c>
      <c r="N158" s="90" t="s">
        <v>2323</v>
      </c>
      <c r="O158" s="91" t="s">
        <v>2324</v>
      </c>
      <c r="P158" s="91" t="s">
        <v>2325</v>
      </c>
      <c r="Q158" s="92">
        <v>2024</v>
      </c>
      <c r="R158" s="88" t="s">
        <v>1942</v>
      </c>
      <c r="S158" s="88" t="s">
        <v>1942</v>
      </c>
      <c r="T158" s="88" t="s">
        <v>1942</v>
      </c>
    </row>
    <row r="159" spans="1:20" ht="18" customHeight="1" x14ac:dyDescent="0.7">
      <c r="A159" s="85">
        <v>158</v>
      </c>
      <c r="B159" s="86">
        <v>3093134</v>
      </c>
      <c r="C159" s="87" t="s">
        <v>2326</v>
      </c>
      <c r="D159" s="87">
        <v>379805566</v>
      </c>
      <c r="E159" s="87" t="s">
        <v>1932</v>
      </c>
      <c r="F159" s="87" t="s">
        <v>1933</v>
      </c>
      <c r="G159" s="87" t="s">
        <v>1934</v>
      </c>
      <c r="H159" s="87"/>
      <c r="I159" s="88" t="s">
        <v>1935</v>
      </c>
      <c r="J159" s="89">
        <v>45385</v>
      </c>
      <c r="K159" s="89">
        <v>45986</v>
      </c>
      <c r="L159" s="87" t="s">
        <v>1819</v>
      </c>
      <c r="M159" s="87" t="s">
        <v>2312</v>
      </c>
      <c r="N159" s="90" t="s">
        <v>2327</v>
      </c>
      <c r="O159" s="91" t="s">
        <v>2265</v>
      </c>
      <c r="P159" s="91" t="s">
        <v>2328</v>
      </c>
      <c r="Q159" s="92">
        <v>2024</v>
      </c>
      <c r="R159" s="88" t="s">
        <v>1939</v>
      </c>
      <c r="S159" s="88" t="s">
        <v>1940</v>
      </c>
      <c r="T159" s="95">
        <v>2025</v>
      </c>
    </row>
    <row r="160" spans="1:20" ht="18" customHeight="1" x14ac:dyDescent="0.7">
      <c r="A160" s="85">
        <v>159</v>
      </c>
      <c r="B160" s="86">
        <v>3092461</v>
      </c>
      <c r="C160" s="87" t="s">
        <v>2329</v>
      </c>
      <c r="D160" s="87">
        <v>937964045</v>
      </c>
      <c r="E160" s="87" t="s">
        <v>1932</v>
      </c>
      <c r="F160" s="87" t="s">
        <v>1933</v>
      </c>
      <c r="G160" s="88" t="s">
        <v>2219</v>
      </c>
      <c r="H160" s="87"/>
      <c r="I160" s="88" t="s">
        <v>226</v>
      </c>
      <c r="J160" s="89">
        <v>45379</v>
      </c>
      <c r="K160" s="94">
        <v>45962</v>
      </c>
      <c r="L160" s="87" t="s">
        <v>1819</v>
      </c>
      <c r="M160" s="87" t="s">
        <v>2312</v>
      </c>
      <c r="N160" s="90" t="s">
        <v>2267</v>
      </c>
      <c r="O160" s="91" t="s">
        <v>2265</v>
      </c>
      <c r="P160" s="91" t="s">
        <v>2330</v>
      </c>
      <c r="Q160" s="92">
        <v>2024</v>
      </c>
      <c r="R160" s="88" t="s">
        <v>1994</v>
      </c>
      <c r="S160" s="88" t="s">
        <v>1940</v>
      </c>
      <c r="T160" s="95">
        <v>2025</v>
      </c>
    </row>
    <row r="161" spans="1:20" ht="18" customHeight="1" x14ac:dyDescent="0.7">
      <c r="A161" s="85">
        <v>160</v>
      </c>
      <c r="B161" s="86">
        <v>3089782</v>
      </c>
      <c r="C161" s="87" t="s">
        <v>2331</v>
      </c>
      <c r="D161" s="87">
        <v>967173699</v>
      </c>
      <c r="E161" s="87" t="s">
        <v>1932</v>
      </c>
      <c r="F161" s="87" t="s">
        <v>1933</v>
      </c>
      <c r="G161" s="87" t="s">
        <v>1934</v>
      </c>
      <c r="H161" s="87"/>
      <c r="I161" s="88" t="s">
        <v>208</v>
      </c>
      <c r="J161" s="89">
        <v>45358</v>
      </c>
      <c r="K161" s="94">
        <v>45953</v>
      </c>
      <c r="L161" s="87" t="s">
        <v>1819</v>
      </c>
      <c r="M161" s="87" t="s">
        <v>2145</v>
      </c>
      <c r="N161" s="90" t="s">
        <v>2332</v>
      </c>
      <c r="O161" s="91" t="s">
        <v>2265</v>
      </c>
      <c r="P161" s="91" t="s">
        <v>2333</v>
      </c>
      <c r="Q161" s="92">
        <v>2024</v>
      </c>
      <c r="R161" s="88" t="s">
        <v>2069</v>
      </c>
      <c r="S161" s="88" t="s">
        <v>1995</v>
      </c>
      <c r="T161" s="95">
        <v>2025</v>
      </c>
    </row>
    <row r="162" spans="1:20" ht="18" customHeight="1" x14ac:dyDescent="0.7">
      <c r="A162" s="85">
        <v>161</v>
      </c>
      <c r="B162" s="86">
        <v>3089780</v>
      </c>
      <c r="C162" s="87" t="s">
        <v>2334</v>
      </c>
      <c r="D162" s="87">
        <v>848707578</v>
      </c>
      <c r="E162" s="87" t="s">
        <v>1932</v>
      </c>
      <c r="F162" s="87" t="s">
        <v>1933</v>
      </c>
      <c r="G162" s="87" t="s">
        <v>1934</v>
      </c>
      <c r="H162" s="87"/>
      <c r="I162" s="88" t="s">
        <v>208</v>
      </c>
      <c r="J162" s="89">
        <v>45358</v>
      </c>
      <c r="K162" s="87"/>
      <c r="L162" s="87" t="s">
        <v>1942</v>
      </c>
      <c r="M162" s="87" t="s">
        <v>2312</v>
      </c>
      <c r="N162" s="90" t="s">
        <v>2335</v>
      </c>
      <c r="O162" s="91" t="s">
        <v>2336</v>
      </c>
      <c r="P162" s="91" t="s">
        <v>2333</v>
      </c>
      <c r="Q162" s="92">
        <v>2024</v>
      </c>
      <c r="R162" s="88" t="s">
        <v>1942</v>
      </c>
      <c r="S162" s="88" t="s">
        <v>1942</v>
      </c>
      <c r="T162" s="88" t="s">
        <v>1942</v>
      </c>
    </row>
    <row r="163" spans="1:20" ht="18" customHeight="1" x14ac:dyDescent="0.7">
      <c r="A163" s="85">
        <v>162</v>
      </c>
      <c r="B163" s="86">
        <v>3089597</v>
      </c>
      <c r="C163" s="87" t="s">
        <v>2337</v>
      </c>
      <c r="D163" s="87">
        <v>356118655</v>
      </c>
      <c r="E163" s="87" t="s">
        <v>1932</v>
      </c>
      <c r="F163" s="87" t="s">
        <v>1933</v>
      </c>
      <c r="G163" s="87" t="s">
        <v>1934</v>
      </c>
      <c r="H163" s="87"/>
      <c r="I163" s="88" t="s">
        <v>208</v>
      </c>
      <c r="J163" s="89">
        <v>45357</v>
      </c>
      <c r="K163" s="89">
        <v>46116</v>
      </c>
      <c r="L163" s="87" t="s">
        <v>1819</v>
      </c>
      <c r="M163" s="87" t="s">
        <v>2312</v>
      </c>
      <c r="N163" s="90" t="s">
        <v>2338</v>
      </c>
      <c r="O163" s="91" t="s">
        <v>2336</v>
      </c>
      <c r="P163" s="91" t="s">
        <v>2333</v>
      </c>
      <c r="Q163" s="92">
        <v>2024</v>
      </c>
      <c r="R163" s="88" t="s">
        <v>2169</v>
      </c>
      <c r="S163" s="88" t="s">
        <v>2170</v>
      </c>
      <c r="T163" s="95">
        <v>2026</v>
      </c>
    </row>
    <row r="164" spans="1:20" ht="18" customHeight="1" x14ac:dyDescent="0.7">
      <c r="A164" s="85">
        <v>163</v>
      </c>
      <c r="B164" s="86">
        <v>3088438</v>
      </c>
      <c r="C164" s="87" t="s">
        <v>2339</v>
      </c>
      <c r="D164" s="87">
        <v>335875871</v>
      </c>
      <c r="E164" s="87" t="s">
        <v>1932</v>
      </c>
      <c r="F164" s="87" t="s">
        <v>1933</v>
      </c>
      <c r="G164" s="88" t="s">
        <v>2219</v>
      </c>
      <c r="H164" s="87"/>
      <c r="I164" s="88" t="s">
        <v>226</v>
      </c>
      <c r="J164" s="89">
        <v>45351</v>
      </c>
      <c r="K164" s="94">
        <v>45962</v>
      </c>
      <c r="L164" s="87" t="s">
        <v>1819</v>
      </c>
      <c r="M164" s="87" t="s">
        <v>2312</v>
      </c>
      <c r="N164" s="90" t="s">
        <v>2340</v>
      </c>
      <c r="O164" s="91" t="s">
        <v>2275</v>
      </c>
      <c r="P164" s="91" t="s">
        <v>2341</v>
      </c>
      <c r="Q164" s="92">
        <v>2024</v>
      </c>
      <c r="R164" s="88" t="s">
        <v>1994</v>
      </c>
      <c r="S164" s="88" t="s">
        <v>1940</v>
      </c>
      <c r="T164" s="95">
        <v>2025</v>
      </c>
    </row>
    <row r="165" spans="1:20" ht="18" customHeight="1" x14ac:dyDescent="0.7">
      <c r="A165" s="85">
        <v>164</v>
      </c>
      <c r="B165" s="86">
        <v>3088189</v>
      </c>
      <c r="C165" s="87" t="s">
        <v>2342</v>
      </c>
      <c r="D165" s="87">
        <v>988970730</v>
      </c>
      <c r="E165" s="87" t="s">
        <v>1932</v>
      </c>
      <c r="F165" s="87" t="s">
        <v>1933</v>
      </c>
      <c r="G165" s="88" t="s">
        <v>2209</v>
      </c>
      <c r="H165" s="87"/>
      <c r="I165" s="88" t="s">
        <v>449</v>
      </c>
      <c r="J165" s="89">
        <v>45350</v>
      </c>
      <c r="K165" s="87"/>
      <c r="L165" s="87" t="s">
        <v>1942</v>
      </c>
      <c r="M165" s="87" t="s">
        <v>2312</v>
      </c>
      <c r="N165" s="90" t="s">
        <v>2343</v>
      </c>
      <c r="O165" s="91" t="s">
        <v>2336</v>
      </c>
      <c r="P165" s="91" t="s">
        <v>2341</v>
      </c>
      <c r="Q165" s="92">
        <v>2024</v>
      </c>
      <c r="R165" s="88" t="s">
        <v>1942</v>
      </c>
      <c r="S165" s="88" t="s">
        <v>1942</v>
      </c>
      <c r="T165" s="88" t="s">
        <v>1942</v>
      </c>
    </row>
    <row r="166" spans="1:20" ht="18" customHeight="1" x14ac:dyDescent="0.7">
      <c r="A166" s="85">
        <v>165</v>
      </c>
      <c r="B166" s="86">
        <v>3088188</v>
      </c>
      <c r="C166" s="87" t="s">
        <v>2344</v>
      </c>
      <c r="D166" s="87">
        <v>939865581</v>
      </c>
      <c r="E166" s="87" t="s">
        <v>1932</v>
      </c>
      <c r="F166" s="87" t="s">
        <v>1933</v>
      </c>
      <c r="G166" s="88" t="s">
        <v>2209</v>
      </c>
      <c r="H166" s="87"/>
      <c r="I166" s="88" t="s">
        <v>449</v>
      </c>
      <c r="J166" s="89">
        <v>45350</v>
      </c>
      <c r="K166" s="87"/>
      <c r="L166" s="87" t="s">
        <v>1942</v>
      </c>
      <c r="M166" s="87" t="s">
        <v>2312</v>
      </c>
      <c r="N166" s="90" t="s">
        <v>2343</v>
      </c>
      <c r="O166" s="91" t="s">
        <v>2336</v>
      </c>
      <c r="P166" s="91" t="s">
        <v>2341</v>
      </c>
      <c r="Q166" s="92">
        <v>2024</v>
      </c>
      <c r="R166" s="88" t="s">
        <v>1942</v>
      </c>
      <c r="S166" s="88" t="s">
        <v>1942</v>
      </c>
      <c r="T166" s="88" t="s">
        <v>1942</v>
      </c>
    </row>
    <row r="167" spans="1:20" ht="18" customHeight="1" x14ac:dyDescent="0.7">
      <c r="A167" s="85">
        <v>166</v>
      </c>
      <c r="B167" s="86">
        <v>3087749</v>
      </c>
      <c r="C167" s="87" t="s">
        <v>2345</v>
      </c>
      <c r="D167" s="87">
        <v>368897263</v>
      </c>
      <c r="E167" s="87" t="s">
        <v>1932</v>
      </c>
      <c r="F167" s="87" t="s">
        <v>1933</v>
      </c>
      <c r="G167" s="87" t="s">
        <v>1934</v>
      </c>
      <c r="H167" s="87"/>
      <c r="I167" s="88" t="s">
        <v>208</v>
      </c>
      <c r="J167" s="89">
        <v>45348</v>
      </c>
      <c r="K167" s="87"/>
      <c r="L167" s="87" t="s">
        <v>1942</v>
      </c>
      <c r="M167" s="87" t="s">
        <v>2312</v>
      </c>
      <c r="N167" s="90" t="s">
        <v>2346</v>
      </c>
      <c r="O167" s="91" t="s">
        <v>2336</v>
      </c>
      <c r="P167" s="91" t="s">
        <v>2341</v>
      </c>
      <c r="Q167" s="92">
        <v>2024</v>
      </c>
      <c r="R167" s="88" t="s">
        <v>1942</v>
      </c>
      <c r="S167" s="88" t="s">
        <v>1942</v>
      </c>
      <c r="T167" s="88" t="s">
        <v>1942</v>
      </c>
    </row>
    <row r="168" spans="1:20" ht="18" customHeight="1" x14ac:dyDescent="0.7">
      <c r="A168" s="85">
        <v>167</v>
      </c>
      <c r="B168" s="86">
        <v>3084136</v>
      </c>
      <c r="C168" s="87" t="s">
        <v>2347</v>
      </c>
      <c r="D168" s="87">
        <v>931276172</v>
      </c>
      <c r="E168" s="87" t="s">
        <v>1932</v>
      </c>
      <c r="F168" s="87" t="s">
        <v>1933</v>
      </c>
      <c r="G168" s="87" t="s">
        <v>1934</v>
      </c>
      <c r="H168" s="87"/>
      <c r="I168" s="88" t="s">
        <v>208</v>
      </c>
      <c r="J168" s="89">
        <v>45306</v>
      </c>
      <c r="K168" s="89">
        <v>46092</v>
      </c>
      <c r="L168" s="87" t="s">
        <v>1819</v>
      </c>
      <c r="M168" s="87" t="s">
        <v>2312</v>
      </c>
      <c r="N168" s="90" t="s">
        <v>2348</v>
      </c>
      <c r="O168" s="91" t="s">
        <v>2349</v>
      </c>
      <c r="P168" s="91" t="s">
        <v>2350</v>
      </c>
      <c r="Q168" s="92">
        <v>2024</v>
      </c>
      <c r="R168" s="88" t="s">
        <v>2006</v>
      </c>
      <c r="S168" s="88" t="s">
        <v>2007</v>
      </c>
      <c r="T168" s="95">
        <v>2026</v>
      </c>
    </row>
    <row r="169" spans="1:20" ht="18" customHeight="1" x14ac:dyDescent="0.7">
      <c r="A169" s="85">
        <v>168</v>
      </c>
      <c r="B169" s="86">
        <v>3082902</v>
      </c>
      <c r="C169" s="87" t="s">
        <v>2351</v>
      </c>
      <c r="D169" s="87">
        <v>908938900</v>
      </c>
      <c r="E169" s="87" t="s">
        <v>1932</v>
      </c>
      <c r="F169" s="87" t="s">
        <v>1933</v>
      </c>
      <c r="G169" s="87" t="s">
        <v>1934</v>
      </c>
      <c r="H169" s="87"/>
      <c r="I169" s="88" t="s">
        <v>208</v>
      </c>
      <c r="J169" s="89">
        <v>45295</v>
      </c>
      <c r="K169" s="87"/>
      <c r="L169" s="87" t="s">
        <v>1942</v>
      </c>
      <c r="M169" s="87" t="s">
        <v>2312</v>
      </c>
      <c r="N169" s="90" t="s">
        <v>2352</v>
      </c>
      <c r="O169" s="91" t="s">
        <v>2353</v>
      </c>
      <c r="P169" s="91" t="s">
        <v>2354</v>
      </c>
      <c r="Q169" s="92">
        <v>2024</v>
      </c>
      <c r="R169" s="88" t="s">
        <v>1942</v>
      </c>
      <c r="S169" s="88" t="s">
        <v>1942</v>
      </c>
      <c r="T169" s="88" t="s">
        <v>1942</v>
      </c>
    </row>
    <row r="170" spans="1:20" ht="18" customHeight="1" x14ac:dyDescent="0.7">
      <c r="A170" s="85">
        <v>169</v>
      </c>
      <c r="B170" s="96">
        <v>3078979</v>
      </c>
      <c r="C170" s="97" t="s">
        <v>2355</v>
      </c>
      <c r="D170" s="87">
        <v>907136527</v>
      </c>
      <c r="E170" s="87" t="s">
        <v>1932</v>
      </c>
      <c r="F170" s="87" t="s">
        <v>1933</v>
      </c>
      <c r="G170" s="87" t="s">
        <v>1934</v>
      </c>
      <c r="H170" s="87"/>
      <c r="I170" s="87"/>
      <c r="J170" s="89">
        <v>45261</v>
      </c>
      <c r="K170" s="87"/>
      <c r="L170" s="87" t="s">
        <v>1942</v>
      </c>
      <c r="M170" s="87" t="s">
        <v>2312</v>
      </c>
      <c r="N170" s="90" t="s">
        <v>2356</v>
      </c>
      <c r="O170" s="91" t="s">
        <v>2357</v>
      </c>
      <c r="P170" s="91" t="s">
        <v>2358</v>
      </c>
      <c r="Q170" s="92">
        <v>2023</v>
      </c>
      <c r="R170" s="88" t="s">
        <v>1942</v>
      </c>
      <c r="S170" s="88" t="s">
        <v>1942</v>
      </c>
      <c r="T170" s="88" t="s">
        <v>1942</v>
      </c>
    </row>
    <row r="171" spans="1:20" ht="18" customHeight="1" x14ac:dyDescent="0.7">
      <c r="A171" s="85">
        <v>170</v>
      </c>
      <c r="B171" s="86">
        <v>3078009</v>
      </c>
      <c r="C171" s="87" t="s">
        <v>2359</v>
      </c>
      <c r="D171" s="87">
        <v>981730658</v>
      </c>
      <c r="E171" s="87" t="s">
        <v>1932</v>
      </c>
      <c r="F171" s="87" t="s">
        <v>1933</v>
      </c>
      <c r="G171" s="87" t="s">
        <v>1934</v>
      </c>
      <c r="H171" s="87"/>
      <c r="I171" s="87"/>
      <c r="J171" s="89">
        <v>45254</v>
      </c>
      <c r="K171" s="94">
        <v>45941</v>
      </c>
      <c r="L171" s="87" t="s">
        <v>1819</v>
      </c>
      <c r="M171" s="87" t="s">
        <v>2145</v>
      </c>
      <c r="N171" s="90" t="s">
        <v>2360</v>
      </c>
      <c r="O171" s="91" t="s">
        <v>2296</v>
      </c>
      <c r="P171" s="91" t="s">
        <v>2361</v>
      </c>
      <c r="Q171" s="92">
        <v>2023</v>
      </c>
      <c r="R171" s="88" t="s">
        <v>2001</v>
      </c>
      <c r="S171" s="88" t="s">
        <v>1995</v>
      </c>
      <c r="T171" s="95">
        <v>2025</v>
      </c>
    </row>
    <row r="172" spans="1:20" ht="18" customHeight="1" x14ac:dyDescent="0.7">
      <c r="A172" s="85">
        <v>171</v>
      </c>
      <c r="B172" s="86">
        <v>3075985</v>
      </c>
      <c r="C172" s="87" t="s">
        <v>2362</v>
      </c>
      <c r="D172" s="87">
        <v>327895878</v>
      </c>
      <c r="E172" s="87" t="s">
        <v>1932</v>
      </c>
      <c r="F172" s="87" t="s">
        <v>1933</v>
      </c>
      <c r="G172" s="87" t="s">
        <v>1934</v>
      </c>
      <c r="H172" s="87"/>
      <c r="I172" s="88" t="s">
        <v>208</v>
      </c>
      <c r="J172" s="89">
        <v>45239</v>
      </c>
      <c r="K172" s="87"/>
      <c r="L172" s="87" t="s">
        <v>1942</v>
      </c>
      <c r="M172" s="87" t="s">
        <v>2312</v>
      </c>
      <c r="N172" s="90" t="s">
        <v>2363</v>
      </c>
      <c r="O172" s="91" t="s">
        <v>2364</v>
      </c>
      <c r="P172" s="91" t="s">
        <v>2365</v>
      </c>
      <c r="Q172" s="92">
        <v>2023</v>
      </c>
      <c r="R172" s="88" t="s">
        <v>1942</v>
      </c>
      <c r="S172" s="88" t="s">
        <v>1942</v>
      </c>
      <c r="T172" s="88" t="s">
        <v>1942</v>
      </c>
    </row>
    <row r="173" spans="1:20" ht="18" customHeight="1" x14ac:dyDescent="0.7">
      <c r="A173" s="85">
        <v>172</v>
      </c>
      <c r="B173" s="96">
        <v>3071422</v>
      </c>
      <c r="C173" s="97" t="s">
        <v>2366</v>
      </c>
      <c r="D173" s="87">
        <v>397115633</v>
      </c>
      <c r="E173" s="87" t="s">
        <v>1932</v>
      </c>
      <c r="F173" s="87" t="s">
        <v>1933</v>
      </c>
      <c r="G173" s="87" t="s">
        <v>1934</v>
      </c>
      <c r="H173" s="87"/>
      <c r="I173" s="87"/>
      <c r="J173" s="89">
        <v>45204</v>
      </c>
      <c r="K173" s="87"/>
      <c r="L173" s="87" t="s">
        <v>1942</v>
      </c>
      <c r="M173" s="87" t="s">
        <v>2312</v>
      </c>
      <c r="N173" s="90" t="s">
        <v>2367</v>
      </c>
      <c r="O173" s="91" t="s">
        <v>2368</v>
      </c>
      <c r="P173" s="91" t="s">
        <v>2369</v>
      </c>
      <c r="Q173" s="92">
        <v>2023</v>
      </c>
      <c r="R173" s="88" t="s">
        <v>1942</v>
      </c>
      <c r="S173" s="88" t="s">
        <v>1942</v>
      </c>
      <c r="T173" s="88" t="s">
        <v>1942</v>
      </c>
    </row>
    <row r="174" spans="1:20" ht="18" customHeight="1" x14ac:dyDescent="0.7">
      <c r="A174" s="85">
        <v>173</v>
      </c>
      <c r="B174" s="86">
        <v>3069706</v>
      </c>
      <c r="C174" s="87" t="s">
        <v>2370</v>
      </c>
      <c r="D174" s="87">
        <v>969048844</v>
      </c>
      <c r="E174" s="87" t="s">
        <v>1932</v>
      </c>
      <c r="F174" s="87" t="s">
        <v>1933</v>
      </c>
      <c r="G174" s="88" t="s">
        <v>2209</v>
      </c>
      <c r="H174" s="87"/>
      <c r="I174" s="88" t="s">
        <v>449</v>
      </c>
      <c r="J174" s="89">
        <v>45190</v>
      </c>
      <c r="K174" s="89">
        <v>46114</v>
      </c>
      <c r="L174" s="87" t="s">
        <v>1819</v>
      </c>
      <c r="M174" s="87" t="s">
        <v>2312</v>
      </c>
      <c r="N174" s="90" t="s">
        <v>2371</v>
      </c>
      <c r="O174" s="91" t="s">
        <v>2368</v>
      </c>
      <c r="P174" s="91" t="s">
        <v>2372</v>
      </c>
      <c r="Q174" s="92">
        <v>2023</v>
      </c>
      <c r="R174" s="88" t="s">
        <v>2169</v>
      </c>
      <c r="S174" s="88" t="s">
        <v>2170</v>
      </c>
      <c r="T174" s="95">
        <v>2026</v>
      </c>
    </row>
    <row r="175" spans="1:20" ht="18" customHeight="1" x14ac:dyDescent="0.7">
      <c r="A175" s="85">
        <v>174</v>
      </c>
      <c r="B175" s="86">
        <v>3069700</v>
      </c>
      <c r="C175" s="87" t="s">
        <v>2373</v>
      </c>
      <c r="D175" s="87">
        <v>932091237</v>
      </c>
      <c r="E175" s="87" t="s">
        <v>1932</v>
      </c>
      <c r="F175" s="87" t="s">
        <v>1933</v>
      </c>
      <c r="G175" s="88" t="s">
        <v>2209</v>
      </c>
      <c r="H175" s="87"/>
      <c r="I175" s="88" t="s">
        <v>449</v>
      </c>
      <c r="J175" s="89">
        <v>45190</v>
      </c>
      <c r="K175" s="87"/>
      <c r="L175" s="87" t="s">
        <v>1942</v>
      </c>
      <c r="M175" s="87" t="s">
        <v>2312</v>
      </c>
      <c r="N175" s="90" t="s">
        <v>2371</v>
      </c>
      <c r="O175" s="91" t="s">
        <v>2368</v>
      </c>
      <c r="P175" s="91" t="s">
        <v>2372</v>
      </c>
      <c r="Q175" s="92">
        <v>2023</v>
      </c>
      <c r="R175" s="88" t="s">
        <v>1942</v>
      </c>
      <c r="S175" s="88" t="s">
        <v>1942</v>
      </c>
      <c r="T175" s="88" t="s">
        <v>1942</v>
      </c>
    </row>
    <row r="176" spans="1:20" ht="18" customHeight="1" x14ac:dyDescent="0.7">
      <c r="A176" s="85">
        <v>175</v>
      </c>
      <c r="B176" s="86">
        <v>3069699</v>
      </c>
      <c r="C176" s="87" t="s">
        <v>2374</v>
      </c>
      <c r="D176" s="87">
        <v>901090265</v>
      </c>
      <c r="E176" s="87" t="s">
        <v>1932</v>
      </c>
      <c r="F176" s="87" t="s">
        <v>1933</v>
      </c>
      <c r="G176" s="88" t="s">
        <v>2209</v>
      </c>
      <c r="H176" s="87"/>
      <c r="I176" s="88" t="s">
        <v>449</v>
      </c>
      <c r="J176" s="89">
        <v>45190</v>
      </c>
      <c r="K176" s="87"/>
      <c r="L176" s="87" t="s">
        <v>1942</v>
      </c>
      <c r="M176" s="87" t="s">
        <v>2312</v>
      </c>
      <c r="N176" s="90" t="s">
        <v>2371</v>
      </c>
      <c r="O176" s="91" t="s">
        <v>2368</v>
      </c>
      <c r="P176" s="91" t="s">
        <v>2372</v>
      </c>
      <c r="Q176" s="92">
        <v>2023</v>
      </c>
      <c r="R176" s="88" t="s">
        <v>1942</v>
      </c>
      <c r="S176" s="88" t="s">
        <v>1942</v>
      </c>
      <c r="T176" s="88" t="s">
        <v>1942</v>
      </c>
    </row>
    <row r="177" spans="1:20" ht="18" customHeight="1" x14ac:dyDescent="0.7">
      <c r="A177" s="85">
        <v>176</v>
      </c>
      <c r="B177" s="86">
        <v>3069698</v>
      </c>
      <c r="C177" s="87" t="s">
        <v>2375</v>
      </c>
      <c r="D177" s="87">
        <v>868845462</v>
      </c>
      <c r="E177" s="87" t="s">
        <v>1932</v>
      </c>
      <c r="F177" s="87" t="s">
        <v>1933</v>
      </c>
      <c r="G177" s="88" t="s">
        <v>2209</v>
      </c>
      <c r="H177" s="87"/>
      <c r="I177" s="88" t="s">
        <v>449</v>
      </c>
      <c r="J177" s="89">
        <v>45190</v>
      </c>
      <c r="K177" s="87"/>
      <c r="L177" s="87" t="s">
        <v>1942</v>
      </c>
      <c r="M177" s="87" t="s">
        <v>2312</v>
      </c>
      <c r="N177" s="90" t="s">
        <v>2371</v>
      </c>
      <c r="O177" s="91" t="s">
        <v>2368</v>
      </c>
      <c r="P177" s="91" t="s">
        <v>2372</v>
      </c>
      <c r="Q177" s="92">
        <v>2023</v>
      </c>
      <c r="R177" s="88" t="s">
        <v>1942</v>
      </c>
      <c r="S177" s="88" t="s">
        <v>1942</v>
      </c>
      <c r="T177" s="88" t="s">
        <v>1942</v>
      </c>
    </row>
    <row r="178" spans="1:20" ht="18" customHeight="1" x14ac:dyDescent="0.7">
      <c r="A178" s="85">
        <v>177</v>
      </c>
      <c r="B178" s="86">
        <v>3068620</v>
      </c>
      <c r="C178" s="87" t="s">
        <v>2376</v>
      </c>
      <c r="D178" s="87">
        <v>394158341</v>
      </c>
      <c r="E178" s="87" t="s">
        <v>1932</v>
      </c>
      <c r="F178" s="87" t="s">
        <v>1933</v>
      </c>
      <c r="G178" s="87" t="s">
        <v>1934</v>
      </c>
      <c r="H178" s="87"/>
      <c r="I178" s="88" t="s">
        <v>208</v>
      </c>
      <c r="J178" s="89">
        <v>45182</v>
      </c>
      <c r="K178" s="87"/>
      <c r="L178" s="87" t="s">
        <v>1942</v>
      </c>
      <c r="M178" s="87" t="s">
        <v>2312</v>
      </c>
      <c r="N178" s="90" t="s">
        <v>2377</v>
      </c>
      <c r="O178" s="91" t="s">
        <v>2368</v>
      </c>
      <c r="P178" s="91" t="s">
        <v>2378</v>
      </c>
      <c r="Q178" s="92">
        <v>2023</v>
      </c>
      <c r="R178" s="88" t="s">
        <v>1942</v>
      </c>
      <c r="S178" s="88" t="s">
        <v>1942</v>
      </c>
      <c r="T178" s="88" t="s">
        <v>1942</v>
      </c>
    </row>
    <row r="179" spans="1:20" ht="18" customHeight="1" x14ac:dyDescent="0.7">
      <c r="A179" s="85">
        <v>178</v>
      </c>
      <c r="B179" s="86">
        <v>3065534</v>
      </c>
      <c r="C179" s="87" t="s">
        <v>2379</v>
      </c>
      <c r="D179" s="87">
        <v>899469765</v>
      </c>
      <c r="E179" s="87" t="s">
        <v>1932</v>
      </c>
      <c r="F179" s="87" t="s">
        <v>1933</v>
      </c>
      <c r="G179" s="88" t="s">
        <v>2219</v>
      </c>
      <c r="H179" s="87"/>
      <c r="I179" s="88" t="s">
        <v>226</v>
      </c>
      <c r="J179" s="89">
        <v>45154</v>
      </c>
      <c r="K179" s="94">
        <v>45962</v>
      </c>
      <c r="L179" s="87" t="s">
        <v>1819</v>
      </c>
      <c r="M179" s="87" t="s">
        <v>2312</v>
      </c>
      <c r="N179" s="90" t="s">
        <v>2380</v>
      </c>
      <c r="O179" s="91" t="s">
        <v>2336</v>
      </c>
      <c r="P179" s="91" t="s">
        <v>2381</v>
      </c>
      <c r="Q179" s="92">
        <v>2023</v>
      </c>
      <c r="R179" s="88" t="s">
        <v>1994</v>
      </c>
      <c r="S179" s="88" t="s">
        <v>1940</v>
      </c>
      <c r="T179" s="95">
        <v>2025</v>
      </c>
    </row>
    <row r="180" spans="1:20" ht="18" customHeight="1" x14ac:dyDescent="0.7">
      <c r="A180" s="85">
        <v>179</v>
      </c>
      <c r="B180" s="86">
        <v>3065080</v>
      </c>
      <c r="C180" s="87" t="s">
        <v>2382</v>
      </c>
      <c r="D180" s="87">
        <v>703964729</v>
      </c>
      <c r="E180" s="87" t="s">
        <v>1932</v>
      </c>
      <c r="F180" s="87" t="s">
        <v>1933</v>
      </c>
      <c r="G180" s="88" t="s">
        <v>2209</v>
      </c>
      <c r="H180" s="87"/>
      <c r="I180" s="88" t="s">
        <v>449</v>
      </c>
      <c r="J180" s="89">
        <v>45152</v>
      </c>
      <c r="K180" s="87"/>
      <c r="L180" s="87" t="s">
        <v>1942</v>
      </c>
      <c r="M180" s="87" t="s">
        <v>2312</v>
      </c>
      <c r="N180" s="90" t="s">
        <v>2383</v>
      </c>
      <c r="O180" s="91" t="s">
        <v>2384</v>
      </c>
      <c r="P180" s="91" t="s">
        <v>2381</v>
      </c>
      <c r="Q180" s="92">
        <v>2023</v>
      </c>
      <c r="R180" s="88" t="s">
        <v>1942</v>
      </c>
      <c r="S180" s="88" t="s">
        <v>1942</v>
      </c>
      <c r="T180" s="88" t="s">
        <v>1942</v>
      </c>
    </row>
    <row r="181" spans="1:20" ht="18" customHeight="1" x14ac:dyDescent="0.7">
      <c r="A181" s="85">
        <v>180</v>
      </c>
      <c r="B181" s="86">
        <v>3060439</v>
      </c>
      <c r="C181" s="87" t="s">
        <v>2385</v>
      </c>
      <c r="D181" s="87">
        <v>906606418</v>
      </c>
      <c r="E181" s="87" t="s">
        <v>1932</v>
      </c>
      <c r="F181" s="87" t="s">
        <v>1933</v>
      </c>
      <c r="G181" s="87" t="s">
        <v>1934</v>
      </c>
      <c r="H181" s="87"/>
      <c r="I181" s="88" t="s">
        <v>208</v>
      </c>
      <c r="J181" s="89">
        <v>45114</v>
      </c>
      <c r="K181" s="89">
        <v>46062</v>
      </c>
      <c r="L181" s="87" t="s">
        <v>1819</v>
      </c>
      <c r="M181" s="87" t="s">
        <v>2312</v>
      </c>
      <c r="N181" s="90" t="s">
        <v>2386</v>
      </c>
      <c r="O181" s="91" t="s">
        <v>2387</v>
      </c>
      <c r="P181" s="91" t="s">
        <v>2388</v>
      </c>
      <c r="Q181" s="92">
        <v>2023</v>
      </c>
      <c r="R181" s="88" t="s">
        <v>2072</v>
      </c>
      <c r="S181" s="88" t="s">
        <v>1977</v>
      </c>
      <c r="T181" s="95">
        <v>2026</v>
      </c>
    </row>
    <row r="182" spans="1:20" ht="18" customHeight="1" x14ac:dyDescent="0.7">
      <c r="A182" s="85">
        <v>181</v>
      </c>
      <c r="B182" s="86">
        <v>3058028</v>
      </c>
      <c r="C182" s="87" t="s">
        <v>2389</v>
      </c>
      <c r="D182" s="87">
        <v>793865970</v>
      </c>
      <c r="E182" s="87" t="s">
        <v>1932</v>
      </c>
      <c r="F182" s="87" t="s">
        <v>1933</v>
      </c>
      <c r="G182" s="87" t="s">
        <v>1934</v>
      </c>
      <c r="H182" s="87"/>
      <c r="I182" s="88" t="s">
        <v>208</v>
      </c>
      <c r="J182" s="89">
        <v>45085</v>
      </c>
      <c r="K182" s="87"/>
      <c r="L182" s="87" t="s">
        <v>1942</v>
      </c>
      <c r="M182" s="87" t="s">
        <v>2312</v>
      </c>
      <c r="N182" s="90" t="s">
        <v>2390</v>
      </c>
      <c r="O182" s="91" t="s">
        <v>2391</v>
      </c>
      <c r="P182" s="91" t="s">
        <v>2392</v>
      </c>
      <c r="Q182" s="92">
        <v>2023</v>
      </c>
      <c r="R182" s="88" t="s">
        <v>1942</v>
      </c>
      <c r="S182" s="88" t="s">
        <v>1942</v>
      </c>
      <c r="T182" s="88" t="s">
        <v>1942</v>
      </c>
    </row>
    <row r="183" spans="1:20" ht="18" customHeight="1" x14ac:dyDescent="0.7">
      <c r="A183" s="85">
        <v>182</v>
      </c>
      <c r="B183" s="86">
        <v>3057762</v>
      </c>
      <c r="C183" s="87" t="s">
        <v>2393</v>
      </c>
      <c r="D183" s="87">
        <v>366794880</v>
      </c>
      <c r="E183" s="87" t="s">
        <v>1932</v>
      </c>
      <c r="F183" s="87" t="s">
        <v>1933</v>
      </c>
      <c r="G183" s="87" t="s">
        <v>1934</v>
      </c>
      <c r="H183" s="87"/>
      <c r="I183" s="88" t="s">
        <v>1935</v>
      </c>
      <c r="J183" s="89">
        <v>45082</v>
      </c>
      <c r="K183" s="87"/>
      <c r="L183" s="87" t="s">
        <v>1942</v>
      </c>
      <c r="M183" s="87" t="s">
        <v>2312</v>
      </c>
      <c r="N183" s="90" t="s">
        <v>2394</v>
      </c>
      <c r="O183" s="91" t="s">
        <v>2391</v>
      </c>
      <c r="P183" s="91" t="s">
        <v>2392</v>
      </c>
      <c r="Q183" s="92">
        <v>2023</v>
      </c>
      <c r="R183" s="88" t="s">
        <v>1942</v>
      </c>
      <c r="S183" s="88" t="s">
        <v>1942</v>
      </c>
      <c r="T183" s="88" t="s">
        <v>1942</v>
      </c>
    </row>
    <row r="184" spans="1:20" ht="18" customHeight="1" x14ac:dyDescent="0.7">
      <c r="A184" s="85">
        <v>183</v>
      </c>
      <c r="B184" s="86">
        <v>3056980</v>
      </c>
      <c r="C184" s="87" t="s">
        <v>2395</v>
      </c>
      <c r="D184" s="87">
        <v>768770785</v>
      </c>
      <c r="E184" s="87" t="s">
        <v>1932</v>
      </c>
      <c r="F184" s="87" t="s">
        <v>1933</v>
      </c>
      <c r="G184" s="88" t="s">
        <v>2209</v>
      </c>
      <c r="H184" s="87"/>
      <c r="I184" s="88" t="s">
        <v>449</v>
      </c>
      <c r="J184" s="89">
        <v>45072</v>
      </c>
      <c r="K184" s="87"/>
      <c r="L184" s="87" t="s">
        <v>1942</v>
      </c>
      <c r="M184" s="87" t="s">
        <v>2312</v>
      </c>
      <c r="N184" s="90" t="s">
        <v>2396</v>
      </c>
      <c r="O184" s="91" t="s">
        <v>2391</v>
      </c>
      <c r="P184" s="91" t="s">
        <v>2397</v>
      </c>
      <c r="Q184" s="92">
        <v>2023</v>
      </c>
      <c r="R184" s="88" t="s">
        <v>1942</v>
      </c>
      <c r="S184" s="88" t="s">
        <v>1942</v>
      </c>
      <c r="T184" s="88" t="s">
        <v>1942</v>
      </c>
    </row>
    <row r="185" spans="1:20" ht="18" customHeight="1" x14ac:dyDescent="0.7">
      <c r="A185" s="85">
        <v>184</v>
      </c>
      <c r="B185" s="86">
        <v>3053878</v>
      </c>
      <c r="C185" s="87" t="s">
        <v>2398</v>
      </c>
      <c r="D185" s="87">
        <v>797555058</v>
      </c>
      <c r="E185" s="87" t="s">
        <v>1932</v>
      </c>
      <c r="F185" s="87" t="s">
        <v>1933</v>
      </c>
      <c r="G185" s="87" t="s">
        <v>1934</v>
      </c>
      <c r="H185" s="87"/>
      <c r="I185" s="88" t="s">
        <v>208</v>
      </c>
      <c r="J185" s="89">
        <v>45033</v>
      </c>
      <c r="K185" s="87"/>
      <c r="L185" s="87" t="s">
        <v>1942</v>
      </c>
      <c r="M185" s="87" t="s">
        <v>2399</v>
      </c>
      <c r="N185" s="90" t="s">
        <v>2400</v>
      </c>
      <c r="O185" s="91" t="s">
        <v>2401</v>
      </c>
      <c r="P185" s="91" t="s">
        <v>2402</v>
      </c>
      <c r="Q185" s="92">
        <v>2023</v>
      </c>
      <c r="R185" s="88" t="s">
        <v>1942</v>
      </c>
      <c r="S185" s="88" t="s">
        <v>1942</v>
      </c>
      <c r="T185" s="88" t="s">
        <v>1942</v>
      </c>
    </row>
    <row r="186" spans="1:20" ht="18" customHeight="1" x14ac:dyDescent="0.7">
      <c r="A186" s="85">
        <v>185</v>
      </c>
      <c r="B186" s="86">
        <v>3053277</v>
      </c>
      <c r="C186" s="87" t="s">
        <v>2403</v>
      </c>
      <c r="D186" s="87">
        <v>939133932</v>
      </c>
      <c r="E186" s="87" t="s">
        <v>1932</v>
      </c>
      <c r="F186" s="87" t="s">
        <v>1933</v>
      </c>
      <c r="G186" s="88" t="s">
        <v>2209</v>
      </c>
      <c r="H186" s="87"/>
      <c r="I186" s="88" t="s">
        <v>449</v>
      </c>
      <c r="J186" s="89">
        <v>45025</v>
      </c>
      <c r="K186" s="87"/>
      <c r="L186" s="87" t="s">
        <v>1942</v>
      </c>
      <c r="M186" s="87" t="s">
        <v>2399</v>
      </c>
      <c r="N186" s="90" t="s">
        <v>2404</v>
      </c>
      <c r="O186" s="91" t="s">
        <v>2405</v>
      </c>
      <c r="P186" s="91" t="s">
        <v>2406</v>
      </c>
      <c r="Q186" s="92">
        <v>2023</v>
      </c>
      <c r="R186" s="88" t="s">
        <v>1942</v>
      </c>
      <c r="S186" s="88" t="s">
        <v>1942</v>
      </c>
      <c r="T186" s="88" t="s">
        <v>1942</v>
      </c>
    </row>
    <row r="187" spans="1:20" ht="18" customHeight="1" x14ac:dyDescent="0.7">
      <c r="A187" s="85">
        <v>186</v>
      </c>
      <c r="B187" s="86">
        <v>3051673</v>
      </c>
      <c r="C187" s="87" t="s">
        <v>2407</v>
      </c>
      <c r="D187" s="87">
        <v>939007840</v>
      </c>
      <c r="E187" s="87" t="s">
        <v>1932</v>
      </c>
      <c r="F187" s="87" t="s">
        <v>1933</v>
      </c>
      <c r="G187" s="88" t="s">
        <v>2209</v>
      </c>
      <c r="H187" s="87"/>
      <c r="I187" s="88" t="s">
        <v>449</v>
      </c>
      <c r="J187" s="89">
        <v>45003</v>
      </c>
      <c r="K187" s="87"/>
      <c r="L187" s="87" t="s">
        <v>1942</v>
      </c>
      <c r="M187" s="87" t="s">
        <v>2399</v>
      </c>
      <c r="N187" s="90" t="s">
        <v>2408</v>
      </c>
      <c r="O187" s="91" t="s">
        <v>2405</v>
      </c>
      <c r="P187" s="91" t="s">
        <v>2409</v>
      </c>
      <c r="Q187" s="92">
        <v>2023</v>
      </c>
      <c r="R187" s="88" t="s">
        <v>1942</v>
      </c>
      <c r="S187" s="88" t="s">
        <v>1942</v>
      </c>
      <c r="T187" s="88" t="s">
        <v>1942</v>
      </c>
    </row>
    <row r="188" spans="1:20" ht="18" customHeight="1" x14ac:dyDescent="0.7">
      <c r="A188" s="85">
        <v>187</v>
      </c>
      <c r="B188" s="86">
        <v>3051058</v>
      </c>
      <c r="C188" s="87" t="s">
        <v>2410</v>
      </c>
      <c r="D188" s="87">
        <v>933240356</v>
      </c>
      <c r="E188" s="87" t="s">
        <v>1932</v>
      </c>
      <c r="F188" s="87" t="s">
        <v>1933</v>
      </c>
      <c r="G188" s="88" t="s">
        <v>2219</v>
      </c>
      <c r="H188" s="87"/>
      <c r="I188" s="88" t="s">
        <v>226</v>
      </c>
      <c r="J188" s="89">
        <v>44995</v>
      </c>
      <c r="K188" s="94">
        <v>45962</v>
      </c>
      <c r="L188" s="87" t="s">
        <v>1819</v>
      </c>
      <c r="M188" s="87" t="s">
        <v>2399</v>
      </c>
      <c r="N188" s="90" t="s">
        <v>2411</v>
      </c>
      <c r="O188" s="91" t="s">
        <v>2368</v>
      </c>
      <c r="P188" s="91" t="s">
        <v>2412</v>
      </c>
      <c r="Q188" s="92">
        <v>2023</v>
      </c>
      <c r="R188" s="88" t="s">
        <v>1994</v>
      </c>
      <c r="S188" s="88" t="s">
        <v>1940</v>
      </c>
      <c r="T188" s="95">
        <v>2025</v>
      </c>
    </row>
    <row r="189" spans="1:20" ht="18" customHeight="1" x14ac:dyDescent="0.7">
      <c r="A189" s="85">
        <v>188</v>
      </c>
      <c r="B189" s="86">
        <v>3048477</v>
      </c>
      <c r="C189" s="87" t="s">
        <v>2413</v>
      </c>
      <c r="D189" s="87">
        <v>939831861</v>
      </c>
      <c r="E189" s="87" t="s">
        <v>1932</v>
      </c>
      <c r="F189" s="87" t="s">
        <v>1933</v>
      </c>
      <c r="G189" s="88" t="s">
        <v>2209</v>
      </c>
      <c r="H189" s="87"/>
      <c r="I189" s="88" t="s">
        <v>449</v>
      </c>
      <c r="J189" s="89">
        <v>44970</v>
      </c>
      <c r="K189" s="87"/>
      <c r="L189" s="87" t="s">
        <v>1942</v>
      </c>
      <c r="M189" s="87" t="s">
        <v>2399</v>
      </c>
      <c r="N189" s="90" t="s">
        <v>2414</v>
      </c>
      <c r="O189" s="91" t="s">
        <v>2415</v>
      </c>
      <c r="P189" s="91" t="s">
        <v>2416</v>
      </c>
      <c r="Q189" s="92">
        <v>2023</v>
      </c>
      <c r="R189" s="88" t="s">
        <v>1942</v>
      </c>
      <c r="S189" s="88" t="s">
        <v>1942</v>
      </c>
      <c r="T189" s="88" t="s">
        <v>1942</v>
      </c>
    </row>
    <row r="190" spans="1:20" ht="18" customHeight="1" x14ac:dyDescent="0.7">
      <c r="A190" s="85">
        <v>189</v>
      </c>
      <c r="B190" s="86">
        <v>3048476</v>
      </c>
      <c r="C190" s="87" t="s">
        <v>2417</v>
      </c>
      <c r="D190" s="87">
        <v>794059295</v>
      </c>
      <c r="E190" s="87" t="s">
        <v>1932</v>
      </c>
      <c r="F190" s="87" t="s">
        <v>1933</v>
      </c>
      <c r="G190" s="88" t="s">
        <v>2209</v>
      </c>
      <c r="H190" s="87"/>
      <c r="I190" s="88" t="s">
        <v>449</v>
      </c>
      <c r="J190" s="89">
        <v>44970</v>
      </c>
      <c r="K190" s="87"/>
      <c r="L190" s="87" t="s">
        <v>1942</v>
      </c>
      <c r="M190" s="87" t="s">
        <v>2399</v>
      </c>
      <c r="N190" s="90" t="s">
        <v>2414</v>
      </c>
      <c r="O190" s="91" t="s">
        <v>2415</v>
      </c>
      <c r="P190" s="91" t="s">
        <v>2416</v>
      </c>
      <c r="Q190" s="92">
        <v>2023</v>
      </c>
      <c r="R190" s="88" t="s">
        <v>1942</v>
      </c>
      <c r="S190" s="88" t="s">
        <v>1942</v>
      </c>
      <c r="T190" s="88" t="s">
        <v>1942</v>
      </c>
    </row>
    <row r="191" spans="1:20" ht="18" customHeight="1" x14ac:dyDescent="0.7">
      <c r="A191" s="85">
        <v>190</v>
      </c>
      <c r="B191" s="86">
        <v>3047688</v>
      </c>
      <c r="C191" s="87" t="s">
        <v>2418</v>
      </c>
      <c r="D191" s="87">
        <v>888933099</v>
      </c>
      <c r="E191" s="87" t="s">
        <v>1932</v>
      </c>
      <c r="F191" s="87" t="s">
        <v>1933</v>
      </c>
      <c r="G191" s="87" t="s">
        <v>1934</v>
      </c>
      <c r="H191" s="87"/>
      <c r="I191" s="88" t="s">
        <v>208</v>
      </c>
      <c r="J191" s="89">
        <v>44964</v>
      </c>
      <c r="K191" s="87"/>
      <c r="L191" s="87" t="s">
        <v>1942</v>
      </c>
      <c r="M191" s="87" t="s">
        <v>2399</v>
      </c>
      <c r="N191" s="90" t="s">
        <v>2419</v>
      </c>
      <c r="O191" s="91" t="s">
        <v>2420</v>
      </c>
      <c r="P191" s="91" t="s">
        <v>2421</v>
      </c>
      <c r="Q191" s="92">
        <v>2023</v>
      </c>
      <c r="R191" s="88" t="s">
        <v>1942</v>
      </c>
      <c r="S191" s="88" t="s">
        <v>1942</v>
      </c>
      <c r="T191" s="88" t="s">
        <v>1942</v>
      </c>
    </row>
    <row r="192" spans="1:20" ht="18" customHeight="1" x14ac:dyDescent="0.7">
      <c r="A192" s="85">
        <v>191</v>
      </c>
      <c r="B192" s="86">
        <v>3047474</v>
      </c>
      <c r="C192" s="87" t="s">
        <v>2422</v>
      </c>
      <c r="D192" s="87">
        <v>966456876</v>
      </c>
      <c r="E192" s="87" t="s">
        <v>1932</v>
      </c>
      <c r="F192" s="87" t="s">
        <v>1933</v>
      </c>
      <c r="G192" s="88" t="s">
        <v>2219</v>
      </c>
      <c r="H192" s="87"/>
      <c r="I192" s="88" t="s">
        <v>226</v>
      </c>
      <c r="J192" s="89">
        <v>44963</v>
      </c>
      <c r="K192" s="94">
        <v>45962</v>
      </c>
      <c r="L192" s="87" t="s">
        <v>1819</v>
      </c>
      <c r="M192" s="87" t="s">
        <v>2399</v>
      </c>
      <c r="N192" s="90" t="s">
        <v>2423</v>
      </c>
      <c r="O192" s="91" t="s">
        <v>2384</v>
      </c>
      <c r="P192" s="91" t="s">
        <v>2421</v>
      </c>
      <c r="Q192" s="92">
        <v>2023</v>
      </c>
      <c r="R192" s="88" t="s">
        <v>1994</v>
      </c>
      <c r="S192" s="88" t="s">
        <v>1940</v>
      </c>
      <c r="T192" s="95">
        <v>2025</v>
      </c>
    </row>
    <row r="193" spans="1:20" ht="18" customHeight="1" x14ac:dyDescent="0.7">
      <c r="A193" s="85">
        <v>192</v>
      </c>
      <c r="B193" s="96">
        <v>3047118</v>
      </c>
      <c r="C193" s="97" t="s">
        <v>2424</v>
      </c>
      <c r="D193" s="87">
        <v>989557692</v>
      </c>
      <c r="E193" s="87" t="s">
        <v>1932</v>
      </c>
      <c r="F193" s="87" t="s">
        <v>1933</v>
      </c>
      <c r="G193" s="87" t="s">
        <v>1934</v>
      </c>
      <c r="H193" s="87"/>
      <c r="I193" s="87"/>
      <c r="J193" s="89">
        <v>44960</v>
      </c>
      <c r="K193" s="87"/>
      <c r="L193" s="87" t="s">
        <v>1942</v>
      </c>
      <c r="M193" s="87" t="s">
        <v>2399</v>
      </c>
      <c r="N193" s="90" t="s">
        <v>2425</v>
      </c>
      <c r="O193" s="91" t="s">
        <v>2420</v>
      </c>
      <c r="P193" s="91" t="s">
        <v>2426</v>
      </c>
      <c r="Q193" s="92">
        <v>2023</v>
      </c>
      <c r="R193" s="88" t="s">
        <v>1942</v>
      </c>
      <c r="S193" s="88" t="s">
        <v>1942</v>
      </c>
      <c r="T193" s="88" t="s">
        <v>1942</v>
      </c>
    </row>
    <row r="194" spans="1:20" ht="18" customHeight="1" x14ac:dyDescent="0.7">
      <c r="A194" s="85">
        <v>193</v>
      </c>
      <c r="B194" s="86">
        <v>3043977</v>
      </c>
      <c r="C194" s="87" t="s">
        <v>2427</v>
      </c>
      <c r="D194" s="87">
        <v>932116445</v>
      </c>
      <c r="E194" s="87" t="s">
        <v>1932</v>
      </c>
      <c r="F194" s="87" t="s">
        <v>1933</v>
      </c>
      <c r="G194" s="87" t="s">
        <v>1934</v>
      </c>
      <c r="H194" s="87"/>
      <c r="I194" s="88" t="s">
        <v>208</v>
      </c>
      <c r="J194" s="89">
        <v>44901</v>
      </c>
      <c r="K194" s="87"/>
      <c r="L194" s="87" t="s">
        <v>1942</v>
      </c>
      <c r="M194" s="87" t="s">
        <v>2399</v>
      </c>
      <c r="N194" s="90" t="s">
        <v>2428</v>
      </c>
      <c r="O194" s="91" t="s">
        <v>2429</v>
      </c>
      <c r="P194" s="91" t="s">
        <v>2430</v>
      </c>
      <c r="Q194" s="92">
        <v>2022</v>
      </c>
      <c r="R194" s="88" t="s">
        <v>1942</v>
      </c>
      <c r="S194" s="88" t="s">
        <v>1942</v>
      </c>
      <c r="T194" s="88" t="s">
        <v>1942</v>
      </c>
    </row>
    <row r="195" spans="1:20" ht="18" customHeight="1" x14ac:dyDescent="0.7">
      <c r="A195" s="85">
        <v>194</v>
      </c>
      <c r="B195" s="86">
        <v>3043773</v>
      </c>
      <c r="C195" s="87" t="s">
        <v>2431</v>
      </c>
      <c r="D195" s="87">
        <v>378239441</v>
      </c>
      <c r="E195" s="87" t="s">
        <v>1932</v>
      </c>
      <c r="F195" s="87" t="s">
        <v>1933</v>
      </c>
      <c r="G195" s="87" t="s">
        <v>1934</v>
      </c>
      <c r="H195" s="87"/>
      <c r="I195" s="88" t="s">
        <v>208</v>
      </c>
      <c r="J195" s="89">
        <v>44897</v>
      </c>
      <c r="K195" s="87"/>
      <c r="L195" s="87" t="s">
        <v>1942</v>
      </c>
      <c r="M195" s="87" t="s">
        <v>2399</v>
      </c>
      <c r="N195" s="90" t="s">
        <v>2432</v>
      </c>
      <c r="O195" s="91" t="s">
        <v>2429</v>
      </c>
      <c r="P195" s="91" t="s">
        <v>2433</v>
      </c>
      <c r="Q195" s="92">
        <v>2022</v>
      </c>
      <c r="R195" s="88" t="s">
        <v>1942</v>
      </c>
      <c r="S195" s="88" t="s">
        <v>1942</v>
      </c>
      <c r="T195" s="88" t="s">
        <v>1942</v>
      </c>
    </row>
    <row r="196" spans="1:20" ht="18" customHeight="1" x14ac:dyDescent="0.7">
      <c r="A196" s="85">
        <v>195</v>
      </c>
      <c r="B196" s="86">
        <v>3042798</v>
      </c>
      <c r="C196" s="87" t="s">
        <v>1975</v>
      </c>
      <c r="D196" s="87">
        <v>967377643</v>
      </c>
      <c r="E196" s="87" t="s">
        <v>1932</v>
      </c>
      <c r="F196" s="87" t="s">
        <v>1933</v>
      </c>
      <c r="G196" s="88" t="s">
        <v>2219</v>
      </c>
      <c r="H196" s="87"/>
      <c r="I196" s="88" t="s">
        <v>226</v>
      </c>
      <c r="J196" s="89">
        <v>44880</v>
      </c>
      <c r="K196" s="94">
        <v>45962</v>
      </c>
      <c r="L196" s="87" t="s">
        <v>1819</v>
      </c>
      <c r="M196" s="87" t="s">
        <v>2399</v>
      </c>
      <c r="N196" s="90" t="s">
        <v>2434</v>
      </c>
      <c r="O196" s="91" t="s">
        <v>2391</v>
      </c>
      <c r="P196" s="91" t="s">
        <v>2435</v>
      </c>
      <c r="Q196" s="92">
        <v>2022</v>
      </c>
      <c r="R196" s="88" t="s">
        <v>1994</v>
      </c>
      <c r="S196" s="88" t="s">
        <v>1940</v>
      </c>
      <c r="T196" s="95">
        <v>2025</v>
      </c>
    </row>
    <row r="197" spans="1:20" ht="18" customHeight="1" x14ac:dyDescent="0.7">
      <c r="A197" s="85">
        <v>196</v>
      </c>
      <c r="B197" s="86">
        <v>3042676</v>
      </c>
      <c r="C197" s="87" t="s">
        <v>2436</v>
      </c>
      <c r="D197" s="87">
        <v>908723182</v>
      </c>
      <c r="E197" s="87" t="s">
        <v>1932</v>
      </c>
      <c r="F197" s="87" t="s">
        <v>1933</v>
      </c>
      <c r="G197" s="88" t="s">
        <v>2219</v>
      </c>
      <c r="H197" s="87"/>
      <c r="I197" s="88" t="s">
        <v>226</v>
      </c>
      <c r="J197" s="89">
        <v>44878</v>
      </c>
      <c r="K197" s="94">
        <v>45962</v>
      </c>
      <c r="L197" s="87" t="s">
        <v>1819</v>
      </c>
      <c r="M197" s="87" t="s">
        <v>2399</v>
      </c>
      <c r="N197" s="90" t="s">
        <v>2437</v>
      </c>
      <c r="O197" s="91" t="s">
        <v>2391</v>
      </c>
      <c r="P197" s="91" t="s">
        <v>2435</v>
      </c>
      <c r="Q197" s="92">
        <v>2022</v>
      </c>
      <c r="R197" s="88" t="s">
        <v>1994</v>
      </c>
      <c r="S197" s="88" t="s">
        <v>1940</v>
      </c>
      <c r="T197" s="95">
        <v>2025</v>
      </c>
    </row>
    <row r="198" spans="1:20" ht="18" customHeight="1" x14ac:dyDescent="0.7">
      <c r="A198" s="85">
        <v>197</v>
      </c>
      <c r="B198" s="86">
        <v>3037039</v>
      </c>
      <c r="C198" s="87" t="s">
        <v>2438</v>
      </c>
      <c r="D198" s="87">
        <v>367166677</v>
      </c>
      <c r="E198" s="87" t="s">
        <v>1932</v>
      </c>
      <c r="F198" s="87" t="s">
        <v>1933</v>
      </c>
      <c r="G198" s="88" t="s">
        <v>2219</v>
      </c>
      <c r="H198" s="87"/>
      <c r="I198" s="88" t="s">
        <v>226</v>
      </c>
      <c r="J198" s="89">
        <v>44810</v>
      </c>
      <c r="K198" s="94">
        <v>45962</v>
      </c>
      <c r="L198" s="87" t="s">
        <v>1819</v>
      </c>
      <c r="M198" s="87" t="s">
        <v>2399</v>
      </c>
      <c r="N198" s="90" t="s">
        <v>2439</v>
      </c>
      <c r="O198" s="91" t="s">
        <v>2405</v>
      </c>
      <c r="P198" s="91" t="s">
        <v>2440</v>
      </c>
      <c r="Q198" s="92">
        <v>2022</v>
      </c>
      <c r="R198" s="88" t="s">
        <v>1994</v>
      </c>
      <c r="S198" s="88" t="s">
        <v>1940</v>
      </c>
      <c r="T198" s="95">
        <v>2025</v>
      </c>
    </row>
    <row r="199" spans="1:20" ht="18" customHeight="1" x14ac:dyDescent="0.7">
      <c r="A199" s="85">
        <v>198</v>
      </c>
      <c r="B199" s="86">
        <v>3036922</v>
      </c>
      <c r="C199" s="87" t="s">
        <v>2441</v>
      </c>
      <c r="D199" s="87">
        <v>917230066</v>
      </c>
      <c r="E199" s="87" t="s">
        <v>2442</v>
      </c>
      <c r="F199" s="87" t="s">
        <v>1933</v>
      </c>
      <c r="G199" s="87" t="s">
        <v>1934</v>
      </c>
      <c r="H199" s="87"/>
      <c r="I199" s="88" t="s">
        <v>1981</v>
      </c>
      <c r="J199" s="89">
        <v>44809</v>
      </c>
      <c r="K199" s="94">
        <v>45940</v>
      </c>
      <c r="L199" s="87" t="s">
        <v>1819</v>
      </c>
      <c r="M199" s="87" t="s">
        <v>2399</v>
      </c>
      <c r="N199" s="90" t="s">
        <v>2443</v>
      </c>
      <c r="O199" s="91" t="s">
        <v>2405</v>
      </c>
      <c r="P199" s="91" t="s">
        <v>2440</v>
      </c>
      <c r="Q199" s="92">
        <v>2022</v>
      </c>
      <c r="R199" s="88" t="s">
        <v>2001</v>
      </c>
      <c r="S199" s="88" t="s">
        <v>1995</v>
      </c>
      <c r="T199" s="95">
        <v>2025</v>
      </c>
    </row>
    <row r="200" spans="1:20" ht="18" customHeight="1" x14ac:dyDescent="0.7">
      <c r="A200" s="85">
        <v>199</v>
      </c>
      <c r="B200" s="85">
        <v>3036216</v>
      </c>
      <c r="C200" s="87" t="s">
        <v>2444</v>
      </c>
      <c r="D200" s="87">
        <v>907966246</v>
      </c>
      <c r="E200" s="87" t="s">
        <v>1932</v>
      </c>
      <c r="F200" s="87" t="s">
        <v>1933</v>
      </c>
      <c r="G200" s="88" t="s">
        <v>2209</v>
      </c>
      <c r="H200" s="87"/>
      <c r="I200" s="88" t="s">
        <v>449</v>
      </c>
      <c r="J200" s="89">
        <v>44797</v>
      </c>
      <c r="K200" s="94">
        <v>45938</v>
      </c>
      <c r="L200" s="87" t="s">
        <v>1819</v>
      </c>
      <c r="M200" s="87" t="s">
        <v>2399</v>
      </c>
      <c r="N200" s="90" t="s">
        <v>2445</v>
      </c>
      <c r="O200" s="91" t="s">
        <v>2405</v>
      </c>
      <c r="P200" s="91" t="s">
        <v>2446</v>
      </c>
      <c r="Q200" s="92">
        <v>2022</v>
      </c>
      <c r="R200" s="88" t="s">
        <v>2001</v>
      </c>
      <c r="S200" s="88" t="s">
        <v>1995</v>
      </c>
      <c r="T200" s="95">
        <v>2025</v>
      </c>
    </row>
    <row r="201" spans="1:20" ht="18" customHeight="1" x14ac:dyDescent="0.7">
      <c r="A201" s="85">
        <v>200</v>
      </c>
      <c r="B201" s="86">
        <v>3036213</v>
      </c>
      <c r="C201" s="87" t="s">
        <v>2447</v>
      </c>
      <c r="D201" s="87">
        <v>919911870</v>
      </c>
      <c r="E201" s="88" t="s">
        <v>1980</v>
      </c>
      <c r="F201" s="87" t="s">
        <v>1933</v>
      </c>
      <c r="G201" s="87" t="s">
        <v>1934</v>
      </c>
      <c r="H201" s="87"/>
      <c r="I201" s="88" t="s">
        <v>1981</v>
      </c>
      <c r="J201" s="89">
        <v>44797</v>
      </c>
      <c r="K201" s="87"/>
      <c r="L201" s="87" t="s">
        <v>1942</v>
      </c>
      <c r="M201" s="87" t="s">
        <v>2399</v>
      </c>
      <c r="N201" s="90" t="s">
        <v>2448</v>
      </c>
      <c r="O201" s="91" t="s">
        <v>2449</v>
      </c>
      <c r="P201" s="91" t="s">
        <v>2446</v>
      </c>
      <c r="Q201" s="92">
        <v>2022</v>
      </c>
      <c r="R201" s="88" t="s">
        <v>1942</v>
      </c>
      <c r="S201" s="88" t="s">
        <v>1942</v>
      </c>
      <c r="T201" s="88" t="s">
        <v>1942</v>
      </c>
    </row>
    <row r="202" spans="1:20" ht="18" customHeight="1" x14ac:dyDescent="0.7">
      <c r="A202" s="85">
        <v>201</v>
      </c>
      <c r="B202" s="86">
        <v>3035731</v>
      </c>
      <c r="C202" s="87" t="s">
        <v>2450</v>
      </c>
      <c r="D202" s="87">
        <v>949086045</v>
      </c>
      <c r="E202" s="87" t="s">
        <v>1932</v>
      </c>
      <c r="F202" s="87" t="s">
        <v>1933</v>
      </c>
      <c r="G202" s="88" t="s">
        <v>2219</v>
      </c>
      <c r="H202" s="87"/>
      <c r="I202" s="88" t="s">
        <v>226</v>
      </c>
      <c r="J202" s="89">
        <v>44791</v>
      </c>
      <c r="K202" s="94">
        <v>45962</v>
      </c>
      <c r="L202" s="87" t="s">
        <v>1819</v>
      </c>
      <c r="M202" s="87" t="s">
        <v>2399</v>
      </c>
      <c r="N202" s="90" t="s">
        <v>2451</v>
      </c>
      <c r="O202" s="91" t="s">
        <v>2415</v>
      </c>
      <c r="P202" s="91" t="s">
        <v>2452</v>
      </c>
      <c r="Q202" s="92">
        <v>2022</v>
      </c>
      <c r="R202" s="88" t="s">
        <v>1994</v>
      </c>
      <c r="S202" s="88" t="s">
        <v>1940</v>
      </c>
      <c r="T202" s="95">
        <v>2025</v>
      </c>
    </row>
    <row r="203" spans="1:20" ht="18" customHeight="1" x14ac:dyDescent="0.7">
      <c r="A203" s="85">
        <v>202</v>
      </c>
      <c r="B203" s="86">
        <v>3034746</v>
      </c>
      <c r="C203" s="87" t="s">
        <v>2453</v>
      </c>
      <c r="D203" s="87">
        <v>386858158</v>
      </c>
      <c r="E203" s="87" t="s">
        <v>1932</v>
      </c>
      <c r="F203" s="87" t="s">
        <v>1933</v>
      </c>
      <c r="G203" s="88" t="s">
        <v>2219</v>
      </c>
      <c r="H203" s="87"/>
      <c r="I203" s="88" t="s">
        <v>226</v>
      </c>
      <c r="J203" s="89">
        <v>44778</v>
      </c>
      <c r="K203" s="94">
        <v>45962</v>
      </c>
      <c r="L203" s="87" t="s">
        <v>1819</v>
      </c>
      <c r="M203" s="87" t="s">
        <v>2399</v>
      </c>
      <c r="N203" s="90" t="s">
        <v>2454</v>
      </c>
      <c r="O203" s="91" t="s">
        <v>2415</v>
      </c>
      <c r="P203" s="91" t="s">
        <v>2455</v>
      </c>
      <c r="Q203" s="92">
        <v>2022</v>
      </c>
      <c r="R203" s="88" t="s">
        <v>1994</v>
      </c>
      <c r="S203" s="88" t="s">
        <v>1940</v>
      </c>
      <c r="T203" s="95">
        <v>2025</v>
      </c>
    </row>
    <row r="204" spans="1:20" ht="18" customHeight="1" x14ac:dyDescent="0.7">
      <c r="A204" s="85">
        <v>203</v>
      </c>
      <c r="B204" s="86">
        <v>3034744</v>
      </c>
      <c r="C204" s="87" t="s">
        <v>2456</v>
      </c>
      <c r="D204" s="87">
        <v>387873740</v>
      </c>
      <c r="E204" s="87" t="s">
        <v>1932</v>
      </c>
      <c r="F204" s="87" t="s">
        <v>1933</v>
      </c>
      <c r="G204" s="88" t="s">
        <v>2219</v>
      </c>
      <c r="H204" s="87"/>
      <c r="I204" s="88" t="s">
        <v>226</v>
      </c>
      <c r="J204" s="89">
        <v>44778</v>
      </c>
      <c r="K204" s="94">
        <v>45962</v>
      </c>
      <c r="L204" s="87" t="s">
        <v>1819</v>
      </c>
      <c r="M204" s="87" t="s">
        <v>2399</v>
      </c>
      <c r="N204" s="90" t="s">
        <v>2454</v>
      </c>
      <c r="O204" s="91" t="s">
        <v>2415</v>
      </c>
      <c r="P204" s="91" t="s">
        <v>2455</v>
      </c>
      <c r="Q204" s="92">
        <v>2022</v>
      </c>
      <c r="R204" s="88" t="s">
        <v>1994</v>
      </c>
      <c r="S204" s="88" t="s">
        <v>1940</v>
      </c>
      <c r="T204" s="95">
        <v>2025</v>
      </c>
    </row>
    <row r="205" spans="1:20" ht="18" customHeight="1" x14ac:dyDescent="0.7">
      <c r="A205" s="85">
        <v>204</v>
      </c>
      <c r="B205" s="86">
        <v>3029374</v>
      </c>
      <c r="C205" s="87" t="s">
        <v>2457</v>
      </c>
      <c r="D205" s="87">
        <v>972242780</v>
      </c>
      <c r="E205" s="87" t="s">
        <v>1932</v>
      </c>
      <c r="F205" s="87" t="s">
        <v>1933</v>
      </c>
      <c r="G205" s="87" t="s">
        <v>1934</v>
      </c>
      <c r="H205" s="87"/>
      <c r="I205" s="87"/>
      <c r="J205" s="89">
        <v>44712</v>
      </c>
      <c r="K205" s="94">
        <v>45868</v>
      </c>
      <c r="L205" s="87" t="s">
        <v>1819</v>
      </c>
      <c r="M205" s="87" t="s">
        <v>2399</v>
      </c>
      <c r="N205" s="90" t="s">
        <v>2458</v>
      </c>
      <c r="O205" s="91" t="s">
        <v>2405</v>
      </c>
      <c r="P205" s="91" t="s">
        <v>2459</v>
      </c>
      <c r="Q205" s="92">
        <v>2022</v>
      </c>
      <c r="R205" s="88" t="s">
        <v>1972</v>
      </c>
      <c r="S205" s="88" t="s">
        <v>1973</v>
      </c>
      <c r="T205" s="95">
        <v>2025</v>
      </c>
    </row>
    <row r="206" spans="1:20" ht="18" customHeight="1" x14ac:dyDescent="0.7">
      <c r="A206" s="85">
        <v>205</v>
      </c>
      <c r="B206" s="86">
        <v>3029373</v>
      </c>
      <c r="C206" s="87" t="s">
        <v>2460</v>
      </c>
      <c r="D206" s="87">
        <v>901315508</v>
      </c>
      <c r="E206" s="87" t="s">
        <v>1932</v>
      </c>
      <c r="F206" s="87" t="s">
        <v>1933</v>
      </c>
      <c r="G206" s="87" t="s">
        <v>1934</v>
      </c>
      <c r="H206" s="87"/>
      <c r="I206" s="88" t="s">
        <v>208</v>
      </c>
      <c r="J206" s="89">
        <v>44712</v>
      </c>
      <c r="K206" s="87"/>
      <c r="L206" s="87" t="s">
        <v>1942</v>
      </c>
      <c r="M206" s="87" t="s">
        <v>2399</v>
      </c>
      <c r="N206" s="90" t="s">
        <v>2461</v>
      </c>
      <c r="O206" s="91" t="s">
        <v>2462</v>
      </c>
      <c r="P206" s="91" t="s">
        <v>2459</v>
      </c>
      <c r="Q206" s="92">
        <v>2022</v>
      </c>
      <c r="R206" s="88" t="s">
        <v>1942</v>
      </c>
      <c r="S206" s="88" t="s">
        <v>1942</v>
      </c>
      <c r="T206" s="88" t="s">
        <v>1942</v>
      </c>
    </row>
    <row r="207" spans="1:20" ht="18" customHeight="1" x14ac:dyDescent="0.7">
      <c r="A207" s="85">
        <v>206</v>
      </c>
      <c r="B207" s="86">
        <v>3026983</v>
      </c>
      <c r="C207" s="87" t="s">
        <v>2463</v>
      </c>
      <c r="D207" s="87">
        <v>936000934</v>
      </c>
      <c r="E207" s="87" t="s">
        <v>1932</v>
      </c>
      <c r="F207" s="87" t="s">
        <v>1933</v>
      </c>
      <c r="G207" s="87" t="s">
        <v>1934</v>
      </c>
      <c r="H207" s="87"/>
      <c r="I207" s="88" t="s">
        <v>208</v>
      </c>
      <c r="J207" s="89">
        <v>44669</v>
      </c>
      <c r="K207" s="87"/>
      <c r="L207" s="87" t="s">
        <v>1942</v>
      </c>
      <c r="M207" s="87" t="s">
        <v>2464</v>
      </c>
      <c r="N207" s="90" t="s">
        <v>2465</v>
      </c>
      <c r="O207" s="91" t="s">
        <v>2466</v>
      </c>
      <c r="P207" s="91" t="s">
        <v>2467</v>
      </c>
      <c r="Q207" s="92">
        <v>2022</v>
      </c>
      <c r="R207" s="88" t="s">
        <v>1942</v>
      </c>
      <c r="S207" s="88" t="s">
        <v>1942</v>
      </c>
      <c r="T207" s="88" t="s">
        <v>1942</v>
      </c>
    </row>
    <row r="208" spans="1:20" ht="18" customHeight="1" x14ac:dyDescent="0.7">
      <c r="A208" s="85">
        <v>207</v>
      </c>
      <c r="B208" s="86">
        <v>3021800</v>
      </c>
      <c r="C208" s="87" t="s">
        <v>2468</v>
      </c>
      <c r="D208" s="87">
        <v>902525602</v>
      </c>
      <c r="E208" s="87" t="s">
        <v>1932</v>
      </c>
      <c r="F208" s="87" t="s">
        <v>1933</v>
      </c>
      <c r="G208" s="87" t="s">
        <v>1934</v>
      </c>
      <c r="H208" s="87"/>
      <c r="I208" s="88" t="s">
        <v>208</v>
      </c>
      <c r="J208" s="89">
        <v>44608</v>
      </c>
      <c r="K208" s="87"/>
      <c r="L208" s="87" t="s">
        <v>1942</v>
      </c>
      <c r="M208" s="87" t="s">
        <v>2464</v>
      </c>
      <c r="N208" s="90" t="s">
        <v>2469</v>
      </c>
      <c r="O208" s="91" t="s">
        <v>2470</v>
      </c>
      <c r="P208" s="91" t="s">
        <v>2471</v>
      </c>
      <c r="Q208" s="92">
        <v>2022</v>
      </c>
      <c r="R208" s="88" t="s">
        <v>1942</v>
      </c>
      <c r="S208" s="88" t="s">
        <v>1942</v>
      </c>
      <c r="T208" s="88" t="s">
        <v>1942</v>
      </c>
    </row>
    <row r="209" spans="1:20" ht="18" customHeight="1" x14ac:dyDescent="0.7">
      <c r="A209" s="85">
        <v>208</v>
      </c>
      <c r="B209" s="86">
        <v>3021623</v>
      </c>
      <c r="C209" s="87" t="s">
        <v>2472</v>
      </c>
      <c r="D209" s="87">
        <v>934678046</v>
      </c>
      <c r="E209" s="87" t="s">
        <v>1932</v>
      </c>
      <c r="F209" s="87" t="s">
        <v>1933</v>
      </c>
      <c r="G209" s="87" t="s">
        <v>1934</v>
      </c>
      <c r="H209" s="87"/>
      <c r="I209" s="88" t="s">
        <v>208</v>
      </c>
      <c r="J209" s="89">
        <v>44605</v>
      </c>
      <c r="K209" s="87"/>
      <c r="L209" s="87" t="s">
        <v>1942</v>
      </c>
      <c r="M209" s="87" t="s">
        <v>2464</v>
      </c>
      <c r="N209" s="90" t="s">
        <v>2473</v>
      </c>
      <c r="O209" s="91" t="s">
        <v>2470</v>
      </c>
      <c r="P209" s="91" t="s">
        <v>2471</v>
      </c>
      <c r="Q209" s="92">
        <v>2022</v>
      </c>
      <c r="R209" s="88" t="s">
        <v>1942</v>
      </c>
      <c r="S209" s="88" t="s">
        <v>1942</v>
      </c>
      <c r="T209" s="88" t="s">
        <v>1942</v>
      </c>
    </row>
    <row r="210" spans="1:20" ht="18" customHeight="1" x14ac:dyDescent="0.7">
      <c r="A210" s="85">
        <v>209</v>
      </c>
      <c r="B210" s="86">
        <v>3015977</v>
      </c>
      <c r="C210" s="87" t="s">
        <v>2474</v>
      </c>
      <c r="D210" s="87">
        <v>879494249</v>
      </c>
      <c r="E210" s="87" t="s">
        <v>2475</v>
      </c>
      <c r="F210" s="87" t="s">
        <v>1933</v>
      </c>
      <c r="G210" s="87" t="s">
        <v>1934</v>
      </c>
      <c r="H210" s="87"/>
      <c r="I210" s="88" t="s">
        <v>1981</v>
      </c>
      <c r="J210" s="89">
        <v>44524</v>
      </c>
      <c r="K210" s="87"/>
      <c r="L210" s="87" t="s">
        <v>1942</v>
      </c>
      <c r="M210" s="87" t="s">
        <v>2464</v>
      </c>
      <c r="N210" s="90" t="s">
        <v>2476</v>
      </c>
      <c r="O210" s="91" t="s">
        <v>2477</v>
      </c>
      <c r="P210" s="91" t="s">
        <v>2478</v>
      </c>
      <c r="Q210" s="92">
        <v>2021</v>
      </c>
      <c r="R210" s="88" t="s">
        <v>1942</v>
      </c>
      <c r="S210" s="88" t="s">
        <v>1942</v>
      </c>
      <c r="T210" s="88" t="s">
        <v>1942</v>
      </c>
    </row>
    <row r="211" spans="1:20" ht="18" customHeight="1" x14ac:dyDescent="0.7">
      <c r="A211" s="85">
        <v>210</v>
      </c>
      <c r="B211" s="86">
        <v>3014389</v>
      </c>
      <c r="C211" s="88" t="s">
        <v>2479</v>
      </c>
      <c r="D211" s="87">
        <v>981262718</v>
      </c>
      <c r="E211" s="87" t="s">
        <v>1932</v>
      </c>
      <c r="F211" s="87" t="s">
        <v>1933</v>
      </c>
      <c r="G211" s="87" t="s">
        <v>1934</v>
      </c>
      <c r="H211" s="87"/>
      <c r="I211" s="88" t="s">
        <v>208</v>
      </c>
      <c r="J211" s="89">
        <v>44511</v>
      </c>
      <c r="K211" s="89">
        <v>45993</v>
      </c>
      <c r="L211" s="87" t="s">
        <v>1819</v>
      </c>
      <c r="M211" s="87" t="s">
        <v>2464</v>
      </c>
      <c r="N211" s="90" t="s">
        <v>2480</v>
      </c>
      <c r="O211" s="91" t="s">
        <v>2466</v>
      </c>
      <c r="P211" s="91" t="s">
        <v>2481</v>
      </c>
      <c r="Q211" s="92">
        <v>2021</v>
      </c>
      <c r="R211" s="88" t="s">
        <v>2482</v>
      </c>
      <c r="S211" s="88" t="s">
        <v>2099</v>
      </c>
      <c r="T211" s="95">
        <v>2025</v>
      </c>
    </row>
    <row r="212" spans="1:20" ht="18" customHeight="1" x14ac:dyDescent="0.7">
      <c r="A212" s="85">
        <v>211</v>
      </c>
      <c r="B212" s="86">
        <v>3013244</v>
      </c>
      <c r="C212" s="87" t="s">
        <v>2483</v>
      </c>
      <c r="D212" s="87">
        <v>765163946</v>
      </c>
      <c r="E212" s="87" t="s">
        <v>1932</v>
      </c>
      <c r="F212" s="87" t="s">
        <v>1933</v>
      </c>
      <c r="G212" s="87" t="s">
        <v>1934</v>
      </c>
      <c r="H212" s="87"/>
      <c r="I212" s="88" t="s">
        <v>208</v>
      </c>
      <c r="J212" s="89">
        <v>44502</v>
      </c>
      <c r="K212" s="87"/>
      <c r="L212" s="87" t="s">
        <v>1942</v>
      </c>
      <c r="M212" s="87" t="s">
        <v>2464</v>
      </c>
      <c r="N212" s="90" t="s">
        <v>2484</v>
      </c>
      <c r="O212" s="91" t="s">
        <v>2485</v>
      </c>
      <c r="P212" s="91" t="s">
        <v>2486</v>
      </c>
      <c r="Q212" s="92">
        <v>2021</v>
      </c>
      <c r="R212" s="88" t="s">
        <v>1942</v>
      </c>
      <c r="S212" s="88" t="s">
        <v>1942</v>
      </c>
      <c r="T212" s="88" t="s">
        <v>1942</v>
      </c>
    </row>
    <row r="213" spans="1:20" ht="18" customHeight="1" x14ac:dyDescent="0.7">
      <c r="A213" s="85">
        <v>212</v>
      </c>
      <c r="B213" s="86">
        <v>3010833</v>
      </c>
      <c r="C213" s="87" t="s">
        <v>2209</v>
      </c>
      <c r="D213" s="87">
        <v>946561213</v>
      </c>
      <c r="E213" s="88" t="s">
        <v>2487</v>
      </c>
      <c r="F213" s="87" t="s">
        <v>1933</v>
      </c>
      <c r="G213" s="88" t="s">
        <v>2488</v>
      </c>
      <c r="H213" s="87"/>
      <c r="I213" s="88" t="s">
        <v>1981</v>
      </c>
      <c r="J213" s="89">
        <v>44477</v>
      </c>
      <c r="K213" s="87"/>
      <c r="L213" s="87" t="s">
        <v>1942</v>
      </c>
      <c r="M213" s="87" t="s">
        <v>2464</v>
      </c>
      <c r="N213" s="90" t="s">
        <v>2489</v>
      </c>
      <c r="O213" s="91" t="s">
        <v>2490</v>
      </c>
      <c r="P213" s="91" t="s">
        <v>2491</v>
      </c>
      <c r="Q213" s="92">
        <v>2021</v>
      </c>
      <c r="R213" s="88" t="s">
        <v>1942</v>
      </c>
      <c r="S213" s="88" t="s">
        <v>1942</v>
      </c>
      <c r="T213" s="88" t="s">
        <v>1942</v>
      </c>
    </row>
    <row r="214" spans="1:20" ht="18" customHeight="1" x14ac:dyDescent="0.7">
      <c r="A214" s="85">
        <v>213</v>
      </c>
      <c r="B214" s="86">
        <v>3005829</v>
      </c>
      <c r="C214" s="87" t="s">
        <v>2492</v>
      </c>
      <c r="D214" s="87">
        <v>909692956</v>
      </c>
      <c r="E214" s="87" t="s">
        <v>1932</v>
      </c>
      <c r="F214" s="87" t="s">
        <v>1933</v>
      </c>
      <c r="G214" s="87" t="s">
        <v>1934</v>
      </c>
      <c r="H214" s="87"/>
      <c r="I214" s="88" t="s">
        <v>208</v>
      </c>
      <c r="J214" s="89">
        <v>44342</v>
      </c>
      <c r="K214" s="87"/>
      <c r="L214" s="87" t="s">
        <v>1942</v>
      </c>
      <c r="M214" s="87" t="s">
        <v>2464</v>
      </c>
      <c r="N214" s="90" t="s">
        <v>2493</v>
      </c>
      <c r="O214" s="91" t="s">
        <v>2494</v>
      </c>
      <c r="P214" s="91" t="s">
        <v>2495</v>
      </c>
      <c r="Q214" s="92">
        <v>2021</v>
      </c>
      <c r="R214" s="88" t="s">
        <v>1942</v>
      </c>
      <c r="S214" s="88" t="s">
        <v>1942</v>
      </c>
      <c r="T214" s="88" t="s">
        <v>1942</v>
      </c>
    </row>
    <row r="215" spans="1:20" ht="18" customHeight="1" x14ac:dyDescent="0.7">
      <c r="A215" s="85">
        <v>214</v>
      </c>
      <c r="B215" s="86">
        <v>3004381</v>
      </c>
      <c r="C215" s="87" t="s">
        <v>2496</v>
      </c>
      <c r="D215" s="87">
        <v>986026669</v>
      </c>
      <c r="E215" s="87" t="s">
        <v>1932</v>
      </c>
      <c r="F215" s="87" t="s">
        <v>1933</v>
      </c>
      <c r="G215" s="87" t="s">
        <v>1934</v>
      </c>
      <c r="H215" s="87"/>
      <c r="I215" s="88" t="s">
        <v>208</v>
      </c>
      <c r="J215" s="89">
        <v>44317</v>
      </c>
      <c r="K215" s="87"/>
      <c r="L215" s="87" t="s">
        <v>1942</v>
      </c>
      <c r="M215" s="87" t="s">
        <v>2497</v>
      </c>
      <c r="N215" s="90" t="s">
        <v>2498</v>
      </c>
      <c r="O215" s="91" t="s">
        <v>2499</v>
      </c>
      <c r="P215" s="91" t="s">
        <v>2500</v>
      </c>
      <c r="Q215" s="92">
        <v>2021</v>
      </c>
      <c r="R215" s="88" t="s">
        <v>1942</v>
      </c>
      <c r="S215" s="88" t="s">
        <v>1942</v>
      </c>
      <c r="T215" s="88" t="s">
        <v>1942</v>
      </c>
    </row>
    <row r="216" spans="1:20" ht="18" customHeight="1" x14ac:dyDescent="0.7">
      <c r="A216" s="85">
        <v>215</v>
      </c>
      <c r="B216" s="86">
        <v>3003015</v>
      </c>
      <c r="C216" s="87" t="s">
        <v>2501</v>
      </c>
      <c r="D216" s="87">
        <v>985479431</v>
      </c>
      <c r="E216" s="87" t="s">
        <v>1932</v>
      </c>
      <c r="F216" s="87" t="s">
        <v>1933</v>
      </c>
      <c r="G216" s="87" t="s">
        <v>1934</v>
      </c>
      <c r="H216" s="87"/>
      <c r="I216" s="88" t="s">
        <v>208</v>
      </c>
      <c r="J216" s="89">
        <v>44293</v>
      </c>
      <c r="K216" s="89">
        <v>45986</v>
      </c>
      <c r="L216" s="87" t="s">
        <v>1819</v>
      </c>
      <c r="M216" s="87" t="s">
        <v>2497</v>
      </c>
      <c r="N216" s="90" t="s">
        <v>2502</v>
      </c>
      <c r="O216" s="91" t="s">
        <v>2490</v>
      </c>
      <c r="P216" s="91" t="s">
        <v>2503</v>
      </c>
      <c r="Q216" s="92">
        <v>2021</v>
      </c>
      <c r="R216" s="88" t="s">
        <v>1939</v>
      </c>
      <c r="S216" s="88" t="s">
        <v>1940</v>
      </c>
      <c r="T216" s="95">
        <v>2025</v>
      </c>
    </row>
    <row r="217" spans="1:20" ht="18" customHeight="1" x14ac:dyDescent="0.7">
      <c r="A217" s="85">
        <v>216</v>
      </c>
      <c r="B217" s="86">
        <v>3000642</v>
      </c>
      <c r="C217" s="87" t="s">
        <v>2504</v>
      </c>
      <c r="D217" s="87">
        <v>902946434</v>
      </c>
      <c r="E217" s="87" t="s">
        <v>1932</v>
      </c>
      <c r="F217" s="87" t="s">
        <v>1933</v>
      </c>
      <c r="G217" s="87" t="s">
        <v>1934</v>
      </c>
      <c r="H217" s="87"/>
      <c r="I217" s="88" t="s">
        <v>208</v>
      </c>
      <c r="J217" s="89">
        <v>44255</v>
      </c>
      <c r="K217" s="89">
        <v>45982</v>
      </c>
      <c r="L217" s="87" t="s">
        <v>1819</v>
      </c>
      <c r="M217" s="87" t="s">
        <v>2497</v>
      </c>
      <c r="N217" s="90" t="s">
        <v>2505</v>
      </c>
      <c r="O217" s="91" t="s">
        <v>2506</v>
      </c>
      <c r="P217" s="91" t="s">
        <v>2507</v>
      </c>
      <c r="Q217" s="92">
        <v>2021</v>
      </c>
      <c r="R217" s="88" t="s">
        <v>2138</v>
      </c>
      <c r="S217" s="88" t="s">
        <v>1940</v>
      </c>
      <c r="T217" s="95">
        <v>2025</v>
      </c>
    </row>
    <row r="218" spans="1:20" ht="18" customHeight="1" x14ac:dyDescent="0.7">
      <c r="A218" s="85">
        <v>217</v>
      </c>
      <c r="B218" s="86">
        <v>3000350</v>
      </c>
      <c r="C218" s="87" t="s">
        <v>2508</v>
      </c>
      <c r="D218" s="87">
        <v>908648425</v>
      </c>
      <c r="E218" s="87" t="s">
        <v>1932</v>
      </c>
      <c r="F218" s="87" t="s">
        <v>1933</v>
      </c>
      <c r="G218" s="87" t="s">
        <v>1934</v>
      </c>
      <c r="H218" s="87"/>
      <c r="I218" s="88" t="s">
        <v>208</v>
      </c>
      <c r="J218" s="89">
        <v>44244</v>
      </c>
      <c r="K218" s="87"/>
      <c r="L218" s="87" t="s">
        <v>1942</v>
      </c>
      <c r="M218" s="87" t="s">
        <v>2497</v>
      </c>
      <c r="N218" s="90" t="s">
        <v>2509</v>
      </c>
      <c r="O218" s="91" t="s">
        <v>2510</v>
      </c>
      <c r="P218" s="91" t="s">
        <v>2511</v>
      </c>
      <c r="Q218" s="92">
        <v>2021</v>
      </c>
      <c r="R218" s="88" t="s">
        <v>1942</v>
      </c>
      <c r="S218" s="88" t="s">
        <v>1942</v>
      </c>
      <c r="T218" s="88" t="s">
        <v>1942</v>
      </c>
    </row>
    <row r="219" spans="1:20" ht="18" customHeight="1" x14ac:dyDescent="0.7">
      <c r="A219" s="85">
        <v>218</v>
      </c>
      <c r="B219" s="86">
        <v>2202416</v>
      </c>
      <c r="C219" s="87" t="s">
        <v>2512</v>
      </c>
      <c r="D219" s="87">
        <v>949349751</v>
      </c>
      <c r="E219" s="87" t="s">
        <v>1932</v>
      </c>
      <c r="F219" s="87" t="s">
        <v>1933</v>
      </c>
      <c r="G219" s="87" t="s">
        <v>1934</v>
      </c>
      <c r="H219" s="87"/>
      <c r="I219" s="88" t="s">
        <v>208</v>
      </c>
      <c r="J219" s="89">
        <v>44215</v>
      </c>
      <c r="K219" s="87"/>
      <c r="L219" s="87" t="s">
        <v>1942</v>
      </c>
      <c r="M219" s="87" t="s">
        <v>2497</v>
      </c>
      <c r="N219" s="90" t="s">
        <v>2513</v>
      </c>
      <c r="O219" s="91" t="s">
        <v>2514</v>
      </c>
      <c r="P219" s="91" t="s">
        <v>2515</v>
      </c>
      <c r="Q219" s="92">
        <v>2021</v>
      </c>
      <c r="R219" s="88" t="s">
        <v>1942</v>
      </c>
      <c r="S219" s="88" t="s">
        <v>1942</v>
      </c>
      <c r="T219" s="88" t="s">
        <v>1942</v>
      </c>
    </row>
    <row r="220" spans="1:20" ht="18" customHeight="1" x14ac:dyDescent="0.7">
      <c r="A220" s="85">
        <v>219</v>
      </c>
      <c r="B220" s="86">
        <v>2201641</v>
      </c>
      <c r="C220" s="87" t="s">
        <v>2516</v>
      </c>
      <c r="D220" s="87">
        <v>783983409</v>
      </c>
      <c r="E220" s="87" t="s">
        <v>1932</v>
      </c>
      <c r="F220" s="87" t="s">
        <v>1933</v>
      </c>
      <c r="G220" s="87" t="s">
        <v>1934</v>
      </c>
      <c r="H220" s="87"/>
      <c r="I220" s="88" t="s">
        <v>208</v>
      </c>
      <c r="J220" s="89">
        <v>44225</v>
      </c>
      <c r="K220" s="87"/>
      <c r="L220" s="87" t="s">
        <v>1942</v>
      </c>
      <c r="M220" s="87" t="s">
        <v>2497</v>
      </c>
      <c r="N220" s="90" t="s">
        <v>2517</v>
      </c>
      <c r="O220" s="91" t="s">
        <v>2514</v>
      </c>
      <c r="P220" s="91" t="s">
        <v>2518</v>
      </c>
      <c r="Q220" s="92">
        <v>2021</v>
      </c>
      <c r="R220" s="88" t="s">
        <v>1942</v>
      </c>
      <c r="S220" s="88" t="s">
        <v>1942</v>
      </c>
      <c r="T220" s="88" t="s">
        <v>1942</v>
      </c>
    </row>
    <row r="221" spans="1:20" ht="18" customHeight="1" x14ac:dyDescent="0.7">
      <c r="A221" s="85">
        <v>220</v>
      </c>
      <c r="B221" s="86">
        <v>2044888</v>
      </c>
      <c r="C221" s="87" t="s">
        <v>2519</v>
      </c>
      <c r="D221" s="87">
        <v>778889897</v>
      </c>
      <c r="E221" s="87" t="s">
        <v>1932</v>
      </c>
      <c r="F221" s="87" t="s">
        <v>1933</v>
      </c>
      <c r="G221" s="87" t="s">
        <v>1934</v>
      </c>
      <c r="H221" s="87"/>
      <c r="I221" s="88" t="s">
        <v>208</v>
      </c>
      <c r="J221" s="89">
        <v>44074</v>
      </c>
      <c r="K221" s="87"/>
      <c r="L221" s="87" t="s">
        <v>1942</v>
      </c>
      <c r="M221" s="87" t="s">
        <v>2497</v>
      </c>
      <c r="N221" s="90" t="s">
        <v>2520</v>
      </c>
      <c r="O221" s="91" t="s">
        <v>2521</v>
      </c>
      <c r="P221" s="91" t="s">
        <v>2522</v>
      </c>
      <c r="Q221" s="92">
        <v>2020</v>
      </c>
      <c r="R221" s="88" t="s">
        <v>1942</v>
      </c>
      <c r="S221" s="88" t="s">
        <v>1942</v>
      </c>
      <c r="T221" s="88" t="s">
        <v>1942</v>
      </c>
    </row>
    <row r="222" spans="1:20" ht="18" customHeight="1" x14ac:dyDescent="0.7">
      <c r="A222" s="85">
        <v>221</v>
      </c>
      <c r="B222" s="86">
        <v>2044061</v>
      </c>
      <c r="C222" s="87" t="s">
        <v>2523</v>
      </c>
      <c r="D222" s="87">
        <v>823450506</v>
      </c>
      <c r="E222" s="87" t="s">
        <v>1932</v>
      </c>
      <c r="F222" s="87" t="s">
        <v>1933</v>
      </c>
      <c r="G222" s="87" t="s">
        <v>1934</v>
      </c>
      <c r="H222" s="87"/>
      <c r="I222" s="88" t="s">
        <v>208</v>
      </c>
      <c r="J222" s="89">
        <v>44075</v>
      </c>
      <c r="K222" s="89">
        <v>46112</v>
      </c>
      <c r="L222" s="87" t="s">
        <v>1819</v>
      </c>
      <c r="M222" s="87" t="s">
        <v>2497</v>
      </c>
      <c r="N222" s="90" t="s">
        <v>2520</v>
      </c>
      <c r="O222" s="91" t="s">
        <v>2521</v>
      </c>
      <c r="P222" s="91" t="s">
        <v>2522</v>
      </c>
      <c r="Q222" s="92">
        <v>2020</v>
      </c>
      <c r="R222" s="88" t="s">
        <v>2169</v>
      </c>
      <c r="S222" s="88" t="s">
        <v>2007</v>
      </c>
      <c r="T222" s="95">
        <v>2026</v>
      </c>
    </row>
    <row r="223" spans="1:20" ht="18" customHeight="1" x14ac:dyDescent="0.7">
      <c r="A223" s="85">
        <v>222</v>
      </c>
      <c r="B223" s="86">
        <v>2043715</v>
      </c>
      <c r="C223" s="87" t="s">
        <v>2524</v>
      </c>
      <c r="D223" s="87">
        <v>988045065</v>
      </c>
      <c r="E223" s="87" t="s">
        <v>1932</v>
      </c>
      <c r="F223" s="87" t="s">
        <v>1933</v>
      </c>
      <c r="G223" s="87" t="s">
        <v>1934</v>
      </c>
      <c r="H223" s="87"/>
      <c r="I223" s="88" t="s">
        <v>208</v>
      </c>
      <c r="J223" s="89">
        <v>44172</v>
      </c>
      <c r="K223" s="94">
        <v>45932</v>
      </c>
      <c r="L223" s="87" t="s">
        <v>1819</v>
      </c>
      <c r="M223" s="87" t="s">
        <v>2464</v>
      </c>
      <c r="N223" s="90" t="s">
        <v>2525</v>
      </c>
      <c r="O223" s="91" t="s">
        <v>2526</v>
      </c>
      <c r="P223" s="91" t="s">
        <v>2527</v>
      </c>
      <c r="Q223" s="92">
        <v>2020</v>
      </c>
      <c r="R223" s="88" t="s">
        <v>2034</v>
      </c>
      <c r="S223" s="88" t="s">
        <v>1995</v>
      </c>
      <c r="T223" s="95">
        <v>2025</v>
      </c>
    </row>
    <row r="224" spans="1:20" ht="18" customHeight="1" x14ac:dyDescent="0.7">
      <c r="A224" s="85">
        <v>223</v>
      </c>
      <c r="B224" s="86">
        <v>2043714</v>
      </c>
      <c r="C224" s="87" t="s">
        <v>2528</v>
      </c>
      <c r="D224" s="87">
        <v>903156170</v>
      </c>
      <c r="E224" s="87" t="s">
        <v>1932</v>
      </c>
      <c r="F224" s="87" t="s">
        <v>1933</v>
      </c>
      <c r="G224" s="87" t="s">
        <v>1934</v>
      </c>
      <c r="H224" s="87"/>
      <c r="I224" s="88" t="s">
        <v>208</v>
      </c>
      <c r="J224" s="89">
        <v>44172</v>
      </c>
      <c r="K224" s="87"/>
      <c r="L224" s="87" t="s">
        <v>1942</v>
      </c>
      <c r="M224" s="87" t="s">
        <v>2497</v>
      </c>
      <c r="N224" s="90" t="s">
        <v>2529</v>
      </c>
      <c r="O224" s="91" t="s">
        <v>2530</v>
      </c>
      <c r="P224" s="91" t="s">
        <v>2527</v>
      </c>
      <c r="Q224" s="92">
        <v>2020</v>
      </c>
      <c r="R224" s="88" t="s">
        <v>1942</v>
      </c>
      <c r="S224" s="88" t="s">
        <v>1942</v>
      </c>
      <c r="T224" s="88" t="s">
        <v>1942</v>
      </c>
    </row>
    <row r="225" spans="1:20" ht="18" customHeight="1" x14ac:dyDescent="0.7">
      <c r="A225" s="85">
        <v>224</v>
      </c>
      <c r="B225" s="86">
        <v>2043686</v>
      </c>
      <c r="C225" s="87" t="s">
        <v>2531</v>
      </c>
      <c r="D225" s="87">
        <v>934114892</v>
      </c>
      <c r="E225" s="87" t="s">
        <v>1932</v>
      </c>
      <c r="F225" s="87" t="s">
        <v>1933</v>
      </c>
      <c r="G225" s="87" t="s">
        <v>1934</v>
      </c>
      <c r="H225" s="87"/>
      <c r="I225" s="88" t="s">
        <v>208</v>
      </c>
      <c r="J225" s="89">
        <v>44172</v>
      </c>
      <c r="K225" s="87"/>
      <c r="L225" s="87" t="s">
        <v>1942</v>
      </c>
      <c r="M225" s="87" t="s">
        <v>2497</v>
      </c>
      <c r="N225" s="90" t="s">
        <v>2529</v>
      </c>
      <c r="O225" s="91" t="s">
        <v>2530</v>
      </c>
      <c r="P225" s="91" t="s">
        <v>2527</v>
      </c>
      <c r="Q225" s="92">
        <v>2020</v>
      </c>
      <c r="R225" s="88" t="s">
        <v>1942</v>
      </c>
      <c r="S225" s="88" t="s">
        <v>1942</v>
      </c>
      <c r="T225" s="88" t="s">
        <v>1942</v>
      </c>
    </row>
    <row r="226" spans="1:20" ht="18" customHeight="1" x14ac:dyDescent="0.7">
      <c r="A226" s="85">
        <v>225</v>
      </c>
      <c r="B226" s="86">
        <v>2038515</v>
      </c>
      <c r="C226" s="87" t="s">
        <v>1841</v>
      </c>
      <c r="D226" s="87">
        <v>988532554</v>
      </c>
      <c r="E226" s="87" t="s">
        <v>1980</v>
      </c>
      <c r="F226" s="87" t="s">
        <v>1933</v>
      </c>
      <c r="G226" s="87" t="s">
        <v>1934</v>
      </c>
      <c r="H226" s="87"/>
      <c r="I226" s="88" t="s">
        <v>1981</v>
      </c>
      <c r="J226" s="89">
        <v>43900</v>
      </c>
      <c r="K226" s="87"/>
      <c r="L226" s="87" t="s">
        <v>1942</v>
      </c>
      <c r="M226" s="87" t="s">
        <v>2532</v>
      </c>
      <c r="N226" s="90" t="s">
        <v>2533</v>
      </c>
      <c r="O226" s="91" t="s">
        <v>2534</v>
      </c>
      <c r="P226" s="91" t="s">
        <v>2535</v>
      </c>
      <c r="Q226" s="92">
        <v>2020</v>
      </c>
      <c r="R226" s="88" t="s">
        <v>1942</v>
      </c>
      <c r="S226" s="88" t="s">
        <v>1942</v>
      </c>
      <c r="T226" s="88" t="s">
        <v>1942</v>
      </c>
    </row>
    <row r="227" spans="1:20" ht="18" customHeight="1" x14ac:dyDescent="0.7">
      <c r="A227" s="85">
        <v>226</v>
      </c>
      <c r="B227" s="86">
        <v>2034143</v>
      </c>
      <c r="C227" s="87" t="s">
        <v>2536</v>
      </c>
      <c r="D227" s="87">
        <v>902970375</v>
      </c>
      <c r="E227" s="87" t="s">
        <v>1932</v>
      </c>
      <c r="F227" s="87" t="s">
        <v>1933</v>
      </c>
      <c r="G227" s="87" t="s">
        <v>1934</v>
      </c>
      <c r="H227" s="87"/>
      <c r="I227" s="88" t="s">
        <v>208</v>
      </c>
      <c r="J227" s="89">
        <v>44048</v>
      </c>
      <c r="K227" s="87"/>
      <c r="L227" s="87" t="s">
        <v>1942</v>
      </c>
      <c r="M227" s="87" t="s">
        <v>2497</v>
      </c>
      <c r="N227" s="90" t="s">
        <v>2537</v>
      </c>
      <c r="O227" s="91" t="s">
        <v>2538</v>
      </c>
      <c r="P227" s="91" t="s">
        <v>2539</v>
      </c>
      <c r="Q227" s="92">
        <v>2020</v>
      </c>
      <c r="R227" s="88" t="s">
        <v>1942</v>
      </c>
      <c r="S227" s="88" t="s">
        <v>1942</v>
      </c>
      <c r="T227" s="88" t="s">
        <v>1942</v>
      </c>
    </row>
    <row r="228" spans="1:20" ht="18" customHeight="1" x14ac:dyDescent="0.7">
      <c r="A228" s="85">
        <v>227</v>
      </c>
      <c r="B228" s="86">
        <v>1877632</v>
      </c>
      <c r="C228" s="87" t="s">
        <v>2540</v>
      </c>
      <c r="D228" s="87">
        <v>916628971</v>
      </c>
      <c r="E228" s="87" t="s">
        <v>1932</v>
      </c>
      <c r="F228" s="87" t="s">
        <v>1933</v>
      </c>
      <c r="G228" s="87" t="s">
        <v>1934</v>
      </c>
      <c r="H228" s="87"/>
      <c r="I228" s="88" t="s">
        <v>208</v>
      </c>
      <c r="J228" s="89">
        <v>43714</v>
      </c>
      <c r="K228" s="87"/>
      <c r="L228" s="87" t="s">
        <v>1942</v>
      </c>
      <c r="M228" s="87" t="s">
        <v>2532</v>
      </c>
      <c r="N228" s="90" t="s">
        <v>2541</v>
      </c>
      <c r="O228" s="91" t="s">
        <v>2542</v>
      </c>
      <c r="P228" s="91" t="s">
        <v>2543</v>
      </c>
      <c r="Q228" s="92">
        <v>2019</v>
      </c>
      <c r="R228" s="88" t="s">
        <v>1942</v>
      </c>
      <c r="S228" s="88" t="s">
        <v>1942</v>
      </c>
      <c r="T228" s="88" t="s">
        <v>1942</v>
      </c>
    </row>
    <row r="229" spans="1:20" ht="18" customHeight="1" x14ac:dyDescent="0.7">
      <c r="A229" s="85">
        <v>228</v>
      </c>
      <c r="B229" s="86">
        <v>1715373</v>
      </c>
      <c r="C229" s="87" t="s">
        <v>1831</v>
      </c>
      <c r="D229" s="87">
        <v>376658858</v>
      </c>
      <c r="E229" s="87" t="s">
        <v>1980</v>
      </c>
      <c r="F229" s="87" t="s">
        <v>1933</v>
      </c>
      <c r="G229" s="87" t="s">
        <v>1934</v>
      </c>
      <c r="H229" s="87"/>
      <c r="I229" s="88" t="s">
        <v>1981</v>
      </c>
      <c r="J229" s="89">
        <v>43427</v>
      </c>
      <c r="K229" s="87"/>
      <c r="L229" s="87" t="s">
        <v>1942</v>
      </c>
      <c r="M229" s="87" t="s">
        <v>2544</v>
      </c>
      <c r="N229" s="90" t="s">
        <v>2545</v>
      </c>
      <c r="O229" s="91" t="s">
        <v>2546</v>
      </c>
      <c r="P229" s="91" t="s">
        <v>2547</v>
      </c>
      <c r="Q229" s="92">
        <v>2018</v>
      </c>
      <c r="R229" s="88" t="s">
        <v>1942</v>
      </c>
      <c r="S229" s="88" t="s">
        <v>1942</v>
      </c>
      <c r="T229" s="88" t="s">
        <v>1942</v>
      </c>
    </row>
    <row r="230" spans="1:20" ht="18" customHeight="1" x14ac:dyDescent="0.7">
      <c r="A230" s="85">
        <v>229</v>
      </c>
      <c r="B230" s="85">
        <v>200168</v>
      </c>
      <c r="C230" s="88" t="s">
        <v>1934</v>
      </c>
      <c r="D230" s="88">
        <v>941404161</v>
      </c>
      <c r="E230" s="88" t="s">
        <v>2487</v>
      </c>
      <c r="F230" s="87" t="s">
        <v>1933</v>
      </c>
      <c r="G230" s="88" t="s">
        <v>2488</v>
      </c>
      <c r="H230" s="87"/>
      <c r="I230" s="88" t="s">
        <v>1981</v>
      </c>
      <c r="J230" s="94">
        <v>42807</v>
      </c>
      <c r="K230" s="87"/>
      <c r="L230" s="87" t="s">
        <v>1942</v>
      </c>
      <c r="M230" s="87" t="s">
        <v>2548</v>
      </c>
      <c r="N230" s="90" t="s">
        <v>2549</v>
      </c>
      <c r="O230" s="91" t="s">
        <v>2550</v>
      </c>
      <c r="P230" s="91" t="s">
        <v>2551</v>
      </c>
      <c r="Q230" s="92">
        <v>2017</v>
      </c>
      <c r="R230" s="88" t="s">
        <v>1942</v>
      </c>
      <c r="S230" s="88" t="s">
        <v>1942</v>
      </c>
      <c r="T230" s="88" t="s">
        <v>1942</v>
      </c>
    </row>
    <row r="231" spans="1:20" ht="18" customHeight="1" x14ac:dyDescent="0.7">
      <c r="A231" s="85">
        <v>230</v>
      </c>
      <c r="B231" s="86">
        <v>252952</v>
      </c>
      <c r="C231" s="87" t="s">
        <v>2552</v>
      </c>
      <c r="D231" s="87">
        <v>932024180</v>
      </c>
      <c r="E231" s="88" t="s">
        <v>2487</v>
      </c>
      <c r="F231" s="87" t="s">
        <v>1933</v>
      </c>
      <c r="G231" s="88" t="s">
        <v>2488</v>
      </c>
      <c r="H231" s="87"/>
      <c r="I231" s="88" t="s">
        <v>1981</v>
      </c>
      <c r="J231" s="89">
        <v>42019</v>
      </c>
      <c r="K231" s="87"/>
      <c r="L231" s="87" t="s">
        <v>1942</v>
      </c>
      <c r="M231" s="87" t="s">
        <v>2553</v>
      </c>
      <c r="N231" s="90" t="s">
        <v>2554</v>
      </c>
      <c r="O231" s="91" t="s">
        <v>2555</v>
      </c>
      <c r="P231" s="91" t="s">
        <v>2556</v>
      </c>
      <c r="Q231" s="92">
        <v>2015</v>
      </c>
      <c r="R231" s="88" t="s">
        <v>1942</v>
      </c>
      <c r="S231" s="88" t="s">
        <v>1942</v>
      </c>
      <c r="T231" s="88" t="s">
        <v>1942</v>
      </c>
    </row>
    <row r="232" spans="1:20" ht="18" customHeight="1" x14ac:dyDescent="0.7">
      <c r="A232" s="85">
        <v>231</v>
      </c>
      <c r="B232" s="86">
        <v>244777</v>
      </c>
      <c r="C232" s="87" t="s">
        <v>2557</v>
      </c>
      <c r="D232" s="87">
        <v>982724472</v>
      </c>
      <c r="E232" s="88" t="s">
        <v>1980</v>
      </c>
      <c r="F232" s="87" t="s">
        <v>1933</v>
      </c>
      <c r="G232" s="87" t="s">
        <v>1934</v>
      </c>
      <c r="H232" s="87"/>
      <c r="I232" s="88" t="s">
        <v>1981</v>
      </c>
      <c r="J232" s="89">
        <v>41992</v>
      </c>
      <c r="K232" s="87"/>
      <c r="L232" s="87" t="s">
        <v>1942</v>
      </c>
      <c r="M232" s="87" t="s">
        <v>2553</v>
      </c>
      <c r="N232" s="90" t="s">
        <v>2558</v>
      </c>
      <c r="O232" s="91" t="s">
        <v>2559</v>
      </c>
      <c r="P232" s="91" t="s">
        <v>2560</v>
      </c>
      <c r="Q232" s="92">
        <v>2014</v>
      </c>
      <c r="R232" s="88" t="s">
        <v>1942</v>
      </c>
      <c r="S232" s="88" t="s">
        <v>1942</v>
      </c>
      <c r="T232" s="88" t="s">
        <v>1942</v>
      </c>
    </row>
    <row r="233" spans="1:20" ht="18" customHeight="1" x14ac:dyDescent="0.7">
      <c r="A233" s="85">
        <v>232</v>
      </c>
      <c r="B233" s="86">
        <v>3138926</v>
      </c>
      <c r="C233" s="87" t="s">
        <v>2561</v>
      </c>
      <c r="D233" s="88">
        <v>762677383</v>
      </c>
      <c r="E233" s="87" t="s">
        <v>1932</v>
      </c>
      <c r="F233" s="87" t="s">
        <v>1933</v>
      </c>
      <c r="G233" s="87" t="s">
        <v>1934</v>
      </c>
      <c r="H233" s="87"/>
      <c r="I233" s="87"/>
      <c r="J233" s="94">
        <v>45863</v>
      </c>
      <c r="K233" s="94">
        <v>45867</v>
      </c>
      <c r="L233" s="87" t="s">
        <v>1819</v>
      </c>
      <c r="M233" s="87" t="s">
        <v>654</v>
      </c>
      <c r="N233" s="90" t="s">
        <v>2562</v>
      </c>
      <c r="O233" s="91" t="s">
        <v>1952</v>
      </c>
      <c r="P233" s="91" t="s">
        <v>1938</v>
      </c>
      <c r="Q233" s="92">
        <v>2025</v>
      </c>
      <c r="R233" s="88" t="s">
        <v>1972</v>
      </c>
      <c r="S233" s="88" t="s">
        <v>1973</v>
      </c>
      <c r="T233" s="95">
        <v>2025</v>
      </c>
    </row>
    <row r="234" spans="1:20" ht="18" customHeight="1" x14ac:dyDescent="0.7">
      <c r="A234" s="85">
        <v>233</v>
      </c>
      <c r="B234" s="86">
        <v>3138943</v>
      </c>
      <c r="C234" s="87" t="s">
        <v>2563</v>
      </c>
      <c r="D234" s="88">
        <v>888852328</v>
      </c>
      <c r="E234" s="87" t="s">
        <v>1932</v>
      </c>
      <c r="F234" s="87" t="s">
        <v>1933</v>
      </c>
      <c r="G234" s="87" t="s">
        <v>1934</v>
      </c>
      <c r="H234" s="87"/>
      <c r="I234" s="88" t="s">
        <v>1935</v>
      </c>
      <c r="J234" s="89">
        <v>45863</v>
      </c>
      <c r="K234" s="87"/>
      <c r="L234" s="87" t="s">
        <v>1942</v>
      </c>
      <c r="M234" s="87" t="s">
        <v>654</v>
      </c>
      <c r="N234" s="90" t="s">
        <v>2564</v>
      </c>
      <c r="O234" s="91" t="s">
        <v>1944</v>
      </c>
      <c r="P234" s="91" t="s">
        <v>1938</v>
      </c>
      <c r="Q234" s="92">
        <v>2025</v>
      </c>
      <c r="R234" s="88" t="s">
        <v>1942</v>
      </c>
      <c r="S234" s="88" t="s">
        <v>1942</v>
      </c>
      <c r="T234" s="88" t="s">
        <v>1942</v>
      </c>
    </row>
    <row r="235" spans="1:20" ht="18" customHeight="1" x14ac:dyDescent="0.7">
      <c r="A235" s="85">
        <v>234</v>
      </c>
      <c r="B235" s="86">
        <v>3138944</v>
      </c>
      <c r="C235" s="87" t="s">
        <v>2565</v>
      </c>
      <c r="D235" s="88">
        <v>784679149</v>
      </c>
      <c r="E235" s="87" t="s">
        <v>1932</v>
      </c>
      <c r="F235" s="87" t="s">
        <v>1933</v>
      </c>
      <c r="G235" s="87" t="s">
        <v>1934</v>
      </c>
      <c r="H235" s="87"/>
      <c r="I235" s="88" t="s">
        <v>1935</v>
      </c>
      <c r="J235" s="94">
        <v>45863</v>
      </c>
      <c r="K235" s="87"/>
      <c r="L235" s="87" t="s">
        <v>1942</v>
      </c>
      <c r="M235" s="87" t="s">
        <v>654</v>
      </c>
      <c r="N235" s="90" t="s">
        <v>2564</v>
      </c>
      <c r="O235" s="91" t="s">
        <v>1944</v>
      </c>
      <c r="P235" s="91" t="s">
        <v>1938</v>
      </c>
      <c r="Q235" s="92">
        <v>2025</v>
      </c>
      <c r="R235" s="88" t="s">
        <v>1942</v>
      </c>
      <c r="S235" s="88" t="s">
        <v>1942</v>
      </c>
      <c r="T235" s="88" t="s">
        <v>1942</v>
      </c>
    </row>
    <row r="236" spans="1:20" ht="18" customHeight="1" x14ac:dyDescent="0.7">
      <c r="A236" s="85">
        <v>235</v>
      </c>
      <c r="B236" s="86">
        <v>3138945</v>
      </c>
      <c r="C236" s="87" t="s">
        <v>2566</v>
      </c>
      <c r="D236" s="88">
        <v>907833940</v>
      </c>
      <c r="E236" s="87" t="s">
        <v>1932</v>
      </c>
      <c r="F236" s="87" t="s">
        <v>1933</v>
      </c>
      <c r="G236" s="87" t="s">
        <v>1934</v>
      </c>
      <c r="H236" s="87"/>
      <c r="I236" s="88" t="s">
        <v>1935</v>
      </c>
      <c r="J236" s="89">
        <v>45863</v>
      </c>
      <c r="K236" s="87"/>
      <c r="L236" s="87" t="s">
        <v>1942</v>
      </c>
      <c r="M236" s="87" t="s">
        <v>654</v>
      </c>
      <c r="N236" s="90" t="s">
        <v>2564</v>
      </c>
      <c r="O236" s="91" t="s">
        <v>1944</v>
      </c>
      <c r="P236" s="91" t="s">
        <v>1938</v>
      </c>
      <c r="Q236" s="92">
        <v>2025</v>
      </c>
      <c r="R236" s="88" t="s">
        <v>1942</v>
      </c>
      <c r="S236" s="88" t="s">
        <v>1942</v>
      </c>
      <c r="T236" s="88" t="s">
        <v>1942</v>
      </c>
    </row>
    <row r="237" spans="1:20" ht="18" customHeight="1" x14ac:dyDescent="0.7">
      <c r="A237" s="85">
        <v>236</v>
      </c>
      <c r="B237" s="86">
        <v>3138946</v>
      </c>
      <c r="C237" s="87" t="s">
        <v>2567</v>
      </c>
      <c r="D237" s="88">
        <v>911730898</v>
      </c>
      <c r="E237" s="87" t="s">
        <v>1932</v>
      </c>
      <c r="F237" s="87" t="s">
        <v>1933</v>
      </c>
      <c r="G237" s="87" t="s">
        <v>1934</v>
      </c>
      <c r="H237" s="87"/>
      <c r="I237" s="88" t="s">
        <v>1935</v>
      </c>
      <c r="J237" s="94">
        <v>45863</v>
      </c>
      <c r="K237" s="89">
        <v>45986</v>
      </c>
      <c r="L237" s="87" t="s">
        <v>1819</v>
      </c>
      <c r="M237" s="87" t="s">
        <v>654</v>
      </c>
      <c r="N237" s="90" t="s">
        <v>2568</v>
      </c>
      <c r="O237" s="91" t="s">
        <v>1937</v>
      </c>
      <c r="P237" s="91" t="s">
        <v>1938</v>
      </c>
      <c r="Q237" s="92">
        <v>2025</v>
      </c>
      <c r="R237" s="88" t="s">
        <v>1939</v>
      </c>
      <c r="S237" s="88" t="s">
        <v>1940</v>
      </c>
      <c r="T237" s="95">
        <v>2025</v>
      </c>
    </row>
    <row r="238" spans="1:20" ht="18" customHeight="1" x14ac:dyDescent="0.7">
      <c r="A238" s="85">
        <v>237</v>
      </c>
      <c r="B238" s="86">
        <v>3139130</v>
      </c>
      <c r="C238" s="87" t="s">
        <v>2569</v>
      </c>
      <c r="D238" s="88">
        <v>342714090</v>
      </c>
      <c r="E238" s="87" t="s">
        <v>1932</v>
      </c>
      <c r="F238" s="87" t="s">
        <v>1933</v>
      </c>
      <c r="G238" s="87" t="s">
        <v>1934</v>
      </c>
      <c r="H238" s="87"/>
      <c r="I238" s="88" t="s">
        <v>208</v>
      </c>
      <c r="J238" s="89">
        <v>45866</v>
      </c>
      <c r="K238" s="89">
        <v>46116</v>
      </c>
      <c r="L238" s="87" t="s">
        <v>1819</v>
      </c>
      <c r="M238" s="87" t="s">
        <v>654</v>
      </c>
      <c r="N238" s="90" t="s">
        <v>2570</v>
      </c>
      <c r="O238" s="91" t="s">
        <v>1944</v>
      </c>
      <c r="P238" s="91" t="s">
        <v>1972</v>
      </c>
      <c r="Q238" s="92">
        <v>2025</v>
      </c>
      <c r="R238" s="88" t="s">
        <v>2169</v>
      </c>
      <c r="S238" s="88" t="s">
        <v>2170</v>
      </c>
      <c r="T238" s="95">
        <v>2026</v>
      </c>
    </row>
    <row r="239" spans="1:20" ht="18" customHeight="1" x14ac:dyDescent="0.7">
      <c r="A239" s="85">
        <v>238</v>
      </c>
      <c r="B239" s="86">
        <v>3139137</v>
      </c>
      <c r="C239" s="87" t="s">
        <v>2571</v>
      </c>
      <c r="D239" s="88">
        <v>356765013</v>
      </c>
      <c r="E239" s="87" t="s">
        <v>1932</v>
      </c>
      <c r="F239" s="87" t="s">
        <v>1933</v>
      </c>
      <c r="G239" s="87" t="s">
        <v>1934</v>
      </c>
      <c r="H239" s="87"/>
      <c r="I239" s="88" t="s">
        <v>1935</v>
      </c>
      <c r="J239" s="89">
        <v>45866</v>
      </c>
      <c r="K239" s="87"/>
      <c r="L239" s="87" t="s">
        <v>1942</v>
      </c>
      <c r="M239" s="87" t="s">
        <v>654</v>
      </c>
      <c r="N239" s="90" t="s">
        <v>2570</v>
      </c>
      <c r="O239" s="91" t="s">
        <v>1944</v>
      </c>
      <c r="P239" s="91" t="s">
        <v>1972</v>
      </c>
      <c r="Q239" s="92">
        <v>2025</v>
      </c>
      <c r="R239" s="88" t="s">
        <v>1942</v>
      </c>
      <c r="S239" s="88" t="s">
        <v>1942</v>
      </c>
      <c r="T239" s="88" t="s">
        <v>1942</v>
      </c>
    </row>
    <row r="240" spans="1:20" ht="18" customHeight="1" x14ac:dyDescent="0.7">
      <c r="A240" s="85">
        <v>239</v>
      </c>
      <c r="B240" s="86">
        <v>3139311</v>
      </c>
      <c r="C240" s="88" t="s">
        <v>2572</v>
      </c>
      <c r="D240" s="88">
        <v>379815501</v>
      </c>
      <c r="E240" s="87" t="s">
        <v>1932</v>
      </c>
      <c r="F240" s="87" t="s">
        <v>1933</v>
      </c>
      <c r="G240" s="87" t="s">
        <v>1934</v>
      </c>
      <c r="H240" s="87"/>
      <c r="I240" s="88" t="s">
        <v>1935</v>
      </c>
      <c r="J240" s="89">
        <v>45868</v>
      </c>
      <c r="K240" s="87"/>
      <c r="L240" s="87" t="s">
        <v>1942</v>
      </c>
      <c r="M240" s="87" t="s">
        <v>654</v>
      </c>
      <c r="N240" s="90" t="s">
        <v>2573</v>
      </c>
      <c r="O240" s="91" t="s">
        <v>1944</v>
      </c>
      <c r="P240" s="91" t="s">
        <v>1972</v>
      </c>
      <c r="Q240" s="92">
        <v>2025</v>
      </c>
      <c r="R240" s="88" t="s">
        <v>1942</v>
      </c>
      <c r="S240" s="88" t="s">
        <v>1942</v>
      </c>
      <c r="T240" s="88" t="s">
        <v>1942</v>
      </c>
    </row>
    <row r="241" spans="1:20" ht="18" customHeight="1" x14ac:dyDescent="0.7">
      <c r="A241" s="85">
        <v>240</v>
      </c>
      <c r="B241" s="86">
        <v>3139312</v>
      </c>
      <c r="C241" s="87" t="s">
        <v>2574</v>
      </c>
      <c r="D241" s="88">
        <v>986114522</v>
      </c>
      <c r="E241" s="87" t="s">
        <v>1932</v>
      </c>
      <c r="F241" s="87" t="s">
        <v>1933</v>
      </c>
      <c r="G241" s="87" t="s">
        <v>1934</v>
      </c>
      <c r="H241" s="87"/>
      <c r="I241" s="87"/>
      <c r="J241" s="89">
        <v>45868</v>
      </c>
      <c r="K241" s="94">
        <v>45938</v>
      </c>
      <c r="L241" s="87" t="s">
        <v>1819</v>
      </c>
      <c r="M241" s="87" t="s">
        <v>654</v>
      </c>
      <c r="N241" s="90" t="s">
        <v>2575</v>
      </c>
      <c r="O241" s="91" t="s">
        <v>2015</v>
      </c>
      <c r="P241" s="91" t="s">
        <v>1972</v>
      </c>
      <c r="Q241" s="92">
        <v>2025</v>
      </c>
      <c r="R241" s="88" t="s">
        <v>2001</v>
      </c>
      <c r="S241" s="88" t="s">
        <v>1995</v>
      </c>
      <c r="T241" s="95">
        <v>2025</v>
      </c>
    </row>
    <row r="242" spans="1:20" ht="18" customHeight="1" x14ac:dyDescent="0.7">
      <c r="A242" s="85">
        <v>241</v>
      </c>
      <c r="B242" s="86">
        <v>3139316</v>
      </c>
      <c r="C242" s="87" t="s">
        <v>2576</v>
      </c>
      <c r="D242" s="88">
        <v>355529374</v>
      </c>
      <c r="E242" s="87" t="s">
        <v>1932</v>
      </c>
      <c r="F242" s="87" t="s">
        <v>1933</v>
      </c>
      <c r="G242" s="87" t="s">
        <v>1934</v>
      </c>
      <c r="H242" s="87"/>
      <c r="I242" s="88" t="s">
        <v>1935</v>
      </c>
      <c r="J242" s="89">
        <v>45868</v>
      </c>
      <c r="K242" s="89">
        <v>46041</v>
      </c>
      <c r="L242" s="87" t="s">
        <v>1819</v>
      </c>
      <c r="M242" s="87" t="s">
        <v>654</v>
      </c>
      <c r="N242" s="90" t="s">
        <v>2573</v>
      </c>
      <c r="O242" s="91" t="s">
        <v>1944</v>
      </c>
      <c r="P242" s="91" t="s">
        <v>1972</v>
      </c>
      <c r="Q242" s="92">
        <v>2025</v>
      </c>
      <c r="R242" s="88" t="s">
        <v>2577</v>
      </c>
      <c r="S242" s="88" t="s">
        <v>2026</v>
      </c>
      <c r="T242" s="95">
        <v>2026</v>
      </c>
    </row>
    <row r="243" spans="1:20" ht="18" customHeight="1" x14ac:dyDescent="0.7">
      <c r="A243" s="85">
        <v>243</v>
      </c>
      <c r="B243" s="86">
        <v>3139323</v>
      </c>
      <c r="C243" s="87" t="s">
        <v>2578</v>
      </c>
      <c r="D243" s="88">
        <v>383606723</v>
      </c>
      <c r="E243" s="87" t="s">
        <v>1932</v>
      </c>
      <c r="F243" s="87" t="s">
        <v>1933</v>
      </c>
      <c r="G243" s="87" t="s">
        <v>1934</v>
      </c>
      <c r="H243" s="87"/>
      <c r="I243" s="88" t="s">
        <v>1935</v>
      </c>
      <c r="J243" s="89">
        <v>45868</v>
      </c>
      <c r="K243" s="89">
        <v>46001</v>
      </c>
      <c r="L243" s="87" t="s">
        <v>1819</v>
      </c>
      <c r="M243" s="87" t="s">
        <v>654</v>
      </c>
      <c r="N243" s="90" t="s">
        <v>2050</v>
      </c>
      <c r="O243" s="91" t="s">
        <v>1937</v>
      </c>
      <c r="P243" s="91" t="s">
        <v>1972</v>
      </c>
      <c r="Q243" s="92">
        <v>2025</v>
      </c>
      <c r="R243" s="88" t="s">
        <v>2098</v>
      </c>
      <c r="S243" s="88" t="s">
        <v>2099</v>
      </c>
      <c r="T243" s="95">
        <v>2025</v>
      </c>
    </row>
    <row r="244" spans="1:20" ht="18" customHeight="1" x14ac:dyDescent="0.7">
      <c r="A244" s="85">
        <v>244</v>
      </c>
      <c r="B244" s="85">
        <v>3139324</v>
      </c>
      <c r="C244" s="87" t="s">
        <v>2579</v>
      </c>
      <c r="D244" s="88">
        <v>949386042</v>
      </c>
      <c r="E244" s="87" t="s">
        <v>1932</v>
      </c>
      <c r="F244" s="87" t="s">
        <v>1933</v>
      </c>
      <c r="G244" s="87" t="s">
        <v>1934</v>
      </c>
      <c r="H244" s="87"/>
      <c r="I244" s="87"/>
      <c r="J244" s="94">
        <v>45868</v>
      </c>
      <c r="K244" s="94">
        <v>45915</v>
      </c>
      <c r="L244" s="87" t="s">
        <v>1819</v>
      </c>
      <c r="M244" s="87" t="s">
        <v>654</v>
      </c>
      <c r="N244" s="90" t="s">
        <v>1988</v>
      </c>
      <c r="O244" s="91" t="s">
        <v>1947</v>
      </c>
      <c r="P244" s="91" t="s">
        <v>1972</v>
      </c>
      <c r="Q244" s="92">
        <v>2025</v>
      </c>
      <c r="R244" s="88" t="s">
        <v>2083</v>
      </c>
      <c r="S244" s="88" t="s">
        <v>2017</v>
      </c>
      <c r="T244" s="95">
        <v>2025</v>
      </c>
    </row>
    <row r="245" spans="1:20" ht="18" customHeight="1" x14ac:dyDescent="0.7">
      <c r="A245" s="85">
        <v>245</v>
      </c>
      <c r="B245" s="86">
        <v>3139326</v>
      </c>
      <c r="C245" s="87" t="s">
        <v>2580</v>
      </c>
      <c r="D245" s="88">
        <v>981144875</v>
      </c>
      <c r="E245" s="87" t="s">
        <v>1932</v>
      </c>
      <c r="F245" s="87" t="s">
        <v>1933</v>
      </c>
      <c r="G245" s="87" t="s">
        <v>1934</v>
      </c>
      <c r="H245" s="87"/>
      <c r="I245" s="88" t="s">
        <v>1935</v>
      </c>
      <c r="J245" s="89">
        <v>45868</v>
      </c>
      <c r="K245" s="89">
        <v>45987</v>
      </c>
      <c r="L245" s="87" t="s">
        <v>1819</v>
      </c>
      <c r="M245" s="87" t="s">
        <v>654</v>
      </c>
      <c r="N245" s="90" t="s">
        <v>2581</v>
      </c>
      <c r="O245" s="91" t="s">
        <v>1961</v>
      </c>
      <c r="P245" s="91" t="s">
        <v>1972</v>
      </c>
      <c r="Q245" s="92">
        <v>2025</v>
      </c>
      <c r="R245" s="88" t="s">
        <v>1939</v>
      </c>
      <c r="S245" s="88" t="s">
        <v>1940</v>
      </c>
      <c r="T245" s="95">
        <v>2025</v>
      </c>
    </row>
    <row r="246" spans="1:20" ht="18" customHeight="1" x14ac:dyDescent="0.7">
      <c r="A246" s="85">
        <v>246</v>
      </c>
      <c r="B246" s="86">
        <v>3139383</v>
      </c>
      <c r="C246" s="87" t="s">
        <v>2582</v>
      </c>
      <c r="D246" s="88">
        <v>786235431</v>
      </c>
      <c r="E246" s="87" t="s">
        <v>1932</v>
      </c>
      <c r="F246" s="87" t="s">
        <v>1933</v>
      </c>
      <c r="G246" s="87" t="s">
        <v>1934</v>
      </c>
      <c r="H246" s="87"/>
      <c r="I246" s="87"/>
      <c r="J246" s="89">
        <v>45869</v>
      </c>
      <c r="K246" s="94">
        <v>45918</v>
      </c>
      <c r="L246" s="87" t="s">
        <v>1819</v>
      </c>
      <c r="M246" s="87" t="s">
        <v>654</v>
      </c>
      <c r="N246" s="90" t="s">
        <v>2088</v>
      </c>
      <c r="O246" s="91" t="s">
        <v>1947</v>
      </c>
      <c r="P246" s="91" t="s">
        <v>1972</v>
      </c>
      <c r="Q246" s="92">
        <v>2025</v>
      </c>
      <c r="R246" s="88" t="s">
        <v>2083</v>
      </c>
      <c r="S246" s="88" t="s">
        <v>2017</v>
      </c>
      <c r="T246" s="95">
        <v>2025</v>
      </c>
    </row>
    <row r="247" spans="1:20" ht="18" customHeight="1" x14ac:dyDescent="0.7">
      <c r="A247" s="85">
        <v>247</v>
      </c>
      <c r="B247" s="86">
        <v>3139542</v>
      </c>
      <c r="C247" s="87" t="s">
        <v>2583</v>
      </c>
      <c r="D247" s="88">
        <v>326466151</v>
      </c>
      <c r="E247" s="87" t="s">
        <v>1932</v>
      </c>
      <c r="F247" s="87" t="s">
        <v>1933</v>
      </c>
      <c r="G247" s="87" t="s">
        <v>1934</v>
      </c>
      <c r="H247" s="87"/>
      <c r="I247" s="87"/>
      <c r="J247" s="89">
        <v>45870</v>
      </c>
      <c r="K247" s="94">
        <v>45944</v>
      </c>
      <c r="L247" s="87" t="s">
        <v>1819</v>
      </c>
      <c r="M247" s="87" t="s">
        <v>654</v>
      </c>
      <c r="N247" s="90" t="s">
        <v>2584</v>
      </c>
      <c r="O247" s="91" t="s">
        <v>2015</v>
      </c>
      <c r="P247" s="91" t="s">
        <v>1972</v>
      </c>
      <c r="Q247" s="92">
        <v>2025</v>
      </c>
      <c r="R247" s="88" t="s">
        <v>2585</v>
      </c>
      <c r="S247" s="88" t="s">
        <v>1995</v>
      </c>
      <c r="T247" s="95">
        <v>2025</v>
      </c>
    </row>
    <row r="248" spans="1:20" ht="18" customHeight="1" x14ac:dyDescent="0.7">
      <c r="A248" s="85">
        <v>248</v>
      </c>
      <c r="B248" s="86">
        <v>3139543</v>
      </c>
      <c r="C248" s="87" t="s">
        <v>2586</v>
      </c>
      <c r="D248" s="88">
        <v>777357840</v>
      </c>
      <c r="E248" s="87" t="s">
        <v>1932</v>
      </c>
      <c r="F248" s="87" t="s">
        <v>1933</v>
      </c>
      <c r="G248" s="87" t="s">
        <v>1934</v>
      </c>
      <c r="H248" s="87"/>
      <c r="I248" s="87"/>
      <c r="J248" s="89">
        <v>45870</v>
      </c>
      <c r="K248" s="94">
        <v>45896</v>
      </c>
      <c r="L248" s="87" t="s">
        <v>1819</v>
      </c>
      <c r="M248" s="87" t="s">
        <v>654</v>
      </c>
      <c r="N248" s="90" t="s">
        <v>2587</v>
      </c>
      <c r="O248" s="91" t="s">
        <v>1952</v>
      </c>
      <c r="P248" s="91" t="s">
        <v>1972</v>
      </c>
      <c r="Q248" s="92">
        <v>2025</v>
      </c>
      <c r="R248" s="88" t="s">
        <v>1948</v>
      </c>
      <c r="S248" s="88" t="s">
        <v>1949</v>
      </c>
      <c r="T248" s="95">
        <v>2025</v>
      </c>
    </row>
    <row r="249" spans="1:20" ht="18" customHeight="1" x14ac:dyDescent="0.7">
      <c r="A249" s="85">
        <v>249</v>
      </c>
      <c r="B249" s="86">
        <v>3139879</v>
      </c>
      <c r="C249" s="87" t="s">
        <v>2588</v>
      </c>
      <c r="D249" s="88">
        <v>949358485</v>
      </c>
      <c r="E249" s="87" t="s">
        <v>1932</v>
      </c>
      <c r="F249" s="87" t="s">
        <v>1933</v>
      </c>
      <c r="G249" s="87" t="s">
        <v>1934</v>
      </c>
      <c r="H249" s="87"/>
      <c r="I249" s="87"/>
      <c r="J249" s="94">
        <v>45874</v>
      </c>
      <c r="K249" s="87"/>
      <c r="L249" s="87" t="s">
        <v>1942</v>
      </c>
      <c r="M249" s="87" t="s">
        <v>654</v>
      </c>
      <c r="N249" s="90" t="s">
        <v>2215</v>
      </c>
      <c r="O249" s="91" t="s">
        <v>1944</v>
      </c>
      <c r="P249" s="91" t="s">
        <v>2118</v>
      </c>
      <c r="Q249" s="92">
        <v>2025</v>
      </c>
      <c r="R249" s="88" t="s">
        <v>1942</v>
      </c>
      <c r="S249" s="88" t="s">
        <v>1942</v>
      </c>
      <c r="T249" s="88" t="s">
        <v>1942</v>
      </c>
    </row>
    <row r="250" spans="1:20" ht="18" customHeight="1" x14ac:dyDescent="0.7">
      <c r="A250" s="85">
        <v>250</v>
      </c>
      <c r="B250" s="86">
        <v>3140009</v>
      </c>
      <c r="C250" s="87" t="s">
        <v>2589</v>
      </c>
      <c r="D250" s="88">
        <v>866163379</v>
      </c>
      <c r="E250" s="87" t="s">
        <v>1932</v>
      </c>
      <c r="F250" s="87" t="s">
        <v>1933</v>
      </c>
      <c r="G250" s="87" t="s">
        <v>1934</v>
      </c>
      <c r="H250" s="87"/>
      <c r="I250" s="88" t="s">
        <v>1935</v>
      </c>
      <c r="J250" s="94">
        <v>45875</v>
      </c>
      <c r="K250" s="87"/>
      <c r="L250" s="87" t="s">
        <v>1942</v>
      </c>
      <c r="M250" s="87" t="s">
        <v>654</v>
      </c>
      <c r="N250" s="90" t="s">
        <v>2590</v>
      </c>
      <c r="O250" s="91" t="s">
        <v>1944</v>
      </c>
      <c r="P250" s="91" t="s">
        <v>2118</v>
      </c>
      <c r="Q250" s="92">
        <v>2025</v>
      </c>
      <c r="R250" s="88" t="s">
        <v>1942</v>
      </c>
      <c r="S250" s="88" t="s">
        <v>1942</v>
      </c>
      <c r="T250" s="88" t="s">
        <v>1942</v>
      </c>
    </row>
    <row r="251" spans="1:20" ht="18" customHeight="1" x14ac:dyDescent="0.7">
      <c r="A251" s="85">
        <v>251</v>
      </c>
      <c r="B251" s="86">
        <v>3140011</v>
      </c>
      <c r="C251" s="87" t="s">
        <v>2591</v>
      </c>
      <c r="D251" s="88">
        <v>966762696</v>
      </c>
      <c r="E251" s="87" t="s">
        <v>1932</v>
      </c>
      <c r="F251" s="87" t="s">
        <v>1933</v>
      </c>
      <c r="G251" s="87" t="s">
        <v>1934</v>
      </c>
      <c r="H251" s="87"/>
      <c r="I251" s="87"/>
      <c r="J251" s="94">
        <v>45875</v>
      </c>
      <c r="K251" s="94">
        <v>45944</v>
      </c>
      <c r="L251" s="87" t="s">
        <v>1819</v>
      </c>
      <c r="M251" s="87" t="s">
        <v>654</v>
      </c>
      <c r="N251" s="90" t="s">
        <v>2575</v>
      </c>
      <c r="O251" s="91" t="s">
        <v>2015</v>
      </c>
      <c r="P251" s="91" t="s">
        <v>2118</v>
      </c>
      <c r="Q251" s="92">
        <v>2025</v>
      </c>
      <c r="R251" s="88" t="s">
        <v>2585</v>
      </c>
      <c r="S251" s="88" t="s">
        <v>1995</v>
      </c>
      <c r="T251" s="95">
        <v>2025</v>
      </c>
    </row>
    <row r="252" spans="1:20" ht="18" customHeight="1" x14ac:dyDescent="0.7">
      <c r="A252" s="85">
        <v>252</v>
      </c>
      <c r="B252" s="86">
        <v>3140016</v>
      </c>
      <c r="C252" s="87" t="s">
        <v>2592</v>
      </c>
      <c r="D252" s="88">
        <v>932717410</v>
      </c>
      <c r="E252" s="87" t="s">
        <v>1932</v>
      </c>
      <c r="F252" s="87" t="s">
        <v>1933</v>
      </c>
      <c r="G252" s="87" t="s">
        <v>1934</v>
      </c>
      <c r="H252" s="87"/>
      <c r="I252" s="88" t="s">
        <v>1935</v>
      </c>
      <c r="J252" s="94">
        <v>45875</v>
      </c>
      <c r="K252" s="89">
        <v>46079</v>
      </c>
      <c r="L252" s="87" t="s">
        <v>1819</v>
      </c>
      <c r="M252" s="87" t="s">
        <v>654</v>
      </c>
      <c r="N252" s="90" t="s">
        <v>2590</v>
      </c>
      <c r="O252" s="91" t="s">
        <v>1944</v>
      </c>
      <c r="P252" s="91" t="s">
        <v>2118</v>
      </c>
      <c r="Q252" s="92">
        <v>2025</v>
      </c>
      <c r="R252" s="88" t="s">
        <v>1976</v>
      </c>
      <c r="S252" s="88" t="s">
        <v>1977</v>
      </c>
      <c r="T252" s="95">
        <v>2026</v>
      </c>
    </row>
    <row r="253" spans="1:20" ht="18" customHeight="1" x14ac:dyDescent="0.7">
      <c r="A253" s="85">
        <v>253</v>
      </c>
      <c r="B253" s="86">
        <v>3140103</v>
      </c>
      <c r="C253" s="87" t="s">
        <v>2593</v>
      </c>
      <c r="D253" s="88">
        <v>339330786</v>
      </c>
      <c r="E253" s="87" t="s">
        <v>1932</v>
      </c>
      <c r="F253" s="87" t="s">
        <v>1933</v>
      </c>
      <c r="G253" s="87" t="s">
        <v>1934</v>
      </c>
      <c r="H253" s="87"/>
      <c r="I253" s="88" t="s">
        <v>1935</v>
      </c>
      <c r="J253" s="94">
        <v>45876</v>
      </c>
      <c r="K253" s="89">
        <v>46108</v>
      </c>
      <c r="L253" s="87" t="s">
        <v>1819</v>
      </c>
      <c r="M253" s="87" t="s">
        <v>654</v>
      </c>
      <c r="N253" s="90" t="s">
        <v>2594</v>
      </c>
      <c r="O253" s="91" t="s">
        <v>1944</v>
      </c>
      <c r="P253" s="91" t="s">
        <v>2118</v>
      </c>
      <c r="Q253" s="92">
        <v>2025</v>
      </c>
      <c r="R253" s="88" t="s">
        <v>2595</v>
      </c>
      <c r="S253" s="88" t="s">
        <v>2007</v>
      </c>
      <c r="T253" s="95">
        <v>2026</v>
      </c>
    </row>
    <row r="254" spans="1:20" ht="18" customHeight="1" x14ac:dyDescent="0.7">
      <c r="A254" s="85">
        <v>254</v>
      </c>
      <c r="B254" s="86">
        <v>3140107</v>
      </c>
      <c r="C254" s="87" t="s">
        <v>2596</v>
      </c>
      <c r="D254" s="88">
        <v>394913191</v>
      </c>
      <c r="E254" s="87" t="s">
        <v>1932</v>
      </c>
      <c r="F254" s="87" t="s">
        <v>1933</v>
      </c>
      <c r="G254" s="87" t="s">
        <v>1934</v>
      </c>
      <c r="H254" s="87"/>
      <c r="I254" s="88" t="s">
        <v>1935</v>
      </c>
      <c r="J254" s="94">
        <v>45876</v>
      </c>
      <c r="K254" s="89">
        <v>45987</v>
      </c>
      <c r="L254" s="87" t="s">
        <v>1819</v>
      </c>
      <c r="M254" s="87" t="s">
        <v>654</v>
      </c>
      <c r="N254" s="90" t="s">
        <v>2597</v>
      </c>
      <c r="O254" s="91" t="s">
        <v>1961</v>
      </c>
      <c r="P254" s="91" t="s">
        <v>2118</v>
      </c>
      <c r="Q254" s="92">
        <v>2025</v>
      </c>
      <c r="R254" s="88" t="s">
        <v>1939</v>
      </c>
      <c r="S254" s="88" t="s">
        <v>1940</v>
      </c>
      <c r="T254" s="95">
        <v>2025</v>
      </c>
    </row>
    <row r="255" spans="1:20" ht="18" customHeight="1" x14ac:dyDescent="0.7">
      <c r="A255" s="85">
        <v>255</v>
      </c>
      <c r="B255" s="85">
        <v>3140201</v>
      </c>
      <c r="C255" s="87" t="s">
        <v>2598</v>
      </c>
      <c r="D255" s="88">
        <v>799888367</v>
      </c>
      <c r="E255" s="87" t="s">
        <v>1932</v>
      </c>
      <c r="F255" s="87" t="s">
        <v>1933</v>
      </c>
      <c r="G255" s="87" t="s">
        <v>1934</v>
      </c>
      <c r="H255" s="87"/>
      <c r="I255" s="88" t="s">
        <v>1935</v>
      </c>
      <c r="J255" s="94">
        <v>45877</v>
      </c>
      <c r="K255" s="89">
        <v>45986</v>
      </c>
      <c r="L255" s="87" t="s">
        <v>1819</v>
      </c>
      <c r="M255" s="87" t="s">
        <v>654</v>
      </c>
      <c r="N255" s="90" t="s">
        <v>2599</v>
      </c>
      <c r="O255" s="91" t="s">
        <v>1961</v>
      </c>
      <c r="P255" s="91" t="s">
        <v>2118</v>
      </c>
      <c r="Q255" s="92">
        <v>2025</v>
      </c>
      <c r="R255" s="88" t="s">
        <v>1939</v>
      </c>
      <c r="S255" s="88" t="s">
        <v>1940</v>
      </c>
      <c r="T255" s="95">
        <v>2025</v>
      </c>
    </row>
    <row r="256" spans="1:20" ht="18" customHeight="1" x14ac:dyDescent="0.7">
      <c r="A256" s="85">
        <v>256</v>
      </c>
      <c r="B256" s="86">
        <v>3140213</v>
      </c>
      <c r="C256" s="87" t="s">
        <v>2600</v>
      </c>
      <c r="D256" s="88">
        <v>974040721</v>
      </c>
      <c r="E256" s="87" t="s">
        <v>1932</v>
      </c>
      <c r="F256" s="87" t="s">
        <v>1933</v>
      </c>
      <c r="G256" s="87" t="s">
        <v>1934</v>
      </c>
      <c r="H256" s="87"/>
      <c r="I256" s="87"/>
      <c r="J256" s="94">
        <v>45877</v>
      </c>
      <c r="K256" s="94">
        <v>45938</v>
      </c>
      <c r="L256" s="87" t="s">
        <v>1819</v>
      </c>
      <c r="M256" s="87" t="s">
        <v>654</v>
      </c>
      <c r="N256" s="90" t="s">
        <v>2601</v>
      </c>
      <c r="O256" s="91" t="s">
        <v>2015</v>
      </c>
      <c r="P256" s="91" t="s">
        <v>2118</v>
      </c>
      <c r="Q256" s="92">
        <v>2025</v>
      </c>
      <c r="R256" s="88" t="s">
        <v>2001</v>
      </c>
      <c r="S256" s="88" t="s">
        <v>1995</v>
      </c>
      <c r="T256" s="95">
        <v>2025</v>
      </c>
    </row>
    <row r="257" spans="1:20" ht="18" customHeight="1" x14ac:dyDescent="0.7">
      <c r="A257" s="85">
        <v>257</v>
      </c>
      <c r="B257" s="86">
        <v>3140514</v>
      </c>
      <c r="C257" s="87" t="s">
        <v>2602</v>
      </c>
      <c r="D257" s="88">
        <v>584844211</v>
      </c>
      <c r="E257" s="87" t="s">
        <v>1932</v>
      </c>
      <c r="F257" s="87" t="s">
        <v>1933</v>
      </c>
      <c r="G257" s="87" t="s">
        <v>1934</v>
      </c>
      <c r="H257" s="87"/>
      <c r="I257" s="88" t="s">
        <v>1935</v>
      </c>
      <c r="J257" s="94">
        <v>45880</v>
      </c>
      <c r="K257" s="94">
        <v>45896</v>
      </c>
      <c r="L257" s="87" t="s">
        <v>1819</v>
      </c>
      <c r="M257" s="87" t="s">
        <v>654</v>
      </c>
      <c r="N257" s="90" t="s">
        <v>2603</v>
      </c>
      <c r="O257" s="91" t="s">
        <v>1952</v>
      </c>
      <c r="P257" s="91" t="s">
        <v>1953</v>
      </c>
      <c r="Q257" s="92">
        <v>2025</v>
      </c>
      <c r="R257" s="88" t="s">
        <v>1948</v>
      </c>
      <c r="S257" s="88" t="s">
        <v>1949</v>
      </c>
      <c r="T257" s="95">
        <v>2025</v>
      </c>
    </row>
    <row r="258" spans="1:20" ht="18" customHeight="1" x14ac:dyDescent="0.7">
      <c r="A258" s="85">
        <v>258</v>
      </c>
      <c r="B258" s="85">
        <v>3140516</v>
      </c>
      <c r="C258" s="87" t="s">
        <v>2604</v>
      </c>
      <c r="D258" s="88">
        <v>975519517</v>
      </c>
      <c r="E258" s="87" t="s">
        <v>1932</v>
      </c>
      <c r="F258" s="87" t="s">
        <v>1933</v>
      </c>
      <c r="G258" s="87" t="s">
        <v>1934</v>
      </c>
      <c r="H258" s="87"/>
      <c r="I258" s="88" t="s">
        <v>208</v>
      </c>
      <c r="J258" s="94">
        <v>45880</v>
      </c>
      <c r="K258" s="89">
        <v>45987</v>
      </c>
      <c r="L258" s="87" t="s">
        <v>1819</v>
      </c>
      <c r="M258" s="87" t="s">
        <v>654</v>
      </c>
      <c r="N258" s="90" t="s">
        <v>2061</v>
      </c>
      <c r="O258" s="91" t="s">
        <v>1961</v>
      </c>
      <c r="P258" s="91" t="s">
        <v>1953</v>
      </c>
      <c r="Q258" s="92">
        <v>2025</v>
      </c>
      <c r="R258" s="88" t="s">
        <v>1939</v>
      </c>
      <c r="S258" s="88" t="s">
        <v>1940</v>
      </c>
      <c r="T258" s="95">
        <v>2025</v>
      </c>
    </row>
    <row r="259" spans="1:20" ht="18" customHeight="1" x14ac:dyDescent="0.7">
      <c r="A259" s="85">
        <v>259</v>
      </c>
      <c r="B259" s="86">
        <v>3140681</v>
      </c>
      <c r="C259" s="87" t="s">
        <v>2605</v>
      </c>
      <c r="D259" s="88">
        <v>901860007</v>
      </c>
      <c r="E259" s="87" t="s">
        <v>1932</v>
      </c>
      <c r="F259" s="87" t="s">
        <v>1933</v>
      </c>
      <c r="G259" s="87" t="s">
        <v>1934</v>
      </c>
      <c r="H259" s="87"/>
      <c r="I259" s="88" t="s">
        <v>208</v>
      </c>
      <c r="J259" s="94">
        <v>45881</v>
      </c>
      <c r="K259" s="94">
        <v>45973</v>
      </c>
      <c r="L259" s="87" t="s">
        <v>1819</v>
      </c>
      <c r="M259" s="87" t="s">
        <v>654</v>
      </c>
      <c r="N259" s="90" t="s">
        <v>2606</v>
      </c>
      <c r="O259" s="91" t="s">
        <v>1961</v>
      </c>
      <c r="P259" s="91" t="s">
        <v>1953</v>
      </c>
      <c r="Q259" s="92">
        <v>2025</v>
      </c>
      <c r="R259" s="88" t="s">
        <v>1962</v>
      </c>
      <c r="S259" s="88" t="s">
        <v>1940</v>
      </c>
      <c r="T259" s="95">
        <v>2025</v>
      </c>
    </row>
    <row r="260" spans="1:20" ht="18" customHeight="1" x14ac:dyDescent="0.7">
      <c r="A260" s="85">
        <v>260</v>
      </c>
      <c r="B260" s="86">
        <v>3140754</v>
      </c>
      <c r="C260" s="87" t="s">
        <v>2607</v>
      </c>
      <c r="D260" s="88">
        <v>932338023</v>
      </c>
      <c r="E260" s="87" t="s">
        <v>1932</v>
      </c>
      <c r="F260" s="87" t="s">
        <v>1933</v>
      </c>
      <c r="G260" s="87" t="s">
        <v>1934</v>
      </c>
      <c r="H260" s="87"/>
      <c r="I260" s="88" t="s">
        <v>1935</v>
      </c>
      <c r="J260" s="94">
        <v>45882</v>
      </c>
      <c r="K260" s="89">
        <v>46050</v>
      </c>
      <c r="L260" s="87" t="s">
        <v>1819</v>
      </c>
      <c r="M260" s="87" t="s">
        <v>654</v>
      </c>
      <c r="N260" s="90" t="s">
        <v>2608</v>
      </c>
      <c r="O260" s="91" t="s">
        <v>2201</v>
      </c>
      <c r="P260" s="91" t="s">
        <v>1953</v>
      </c>
      <c r="Q260" s="92">
        <v>2025</v>
      </c>
      <c r="R260" s="88" t="s">
        <v>2609</v>
      </c>
      <c r="S260" s="88" t="s">
        <v>2026</v>
      </c>
      <c r="T260" s="95">
        <v>2026</v>
      </c>
    </row>
    <row r="261" spans="1:20" ht="18" customHeight="1" x14ac:dyDescent="0.7">
      <c r="A261" s="85">
        <v>261</v>
      </c>
      <c r="B261" s="86">
        <v>3140785</v>
      </c>
      <c r="C261" s="88" t="s">
        <v>2610</v>
      </c>
      <c r="D261" s="88">
        <v>388191931</v>
      </c>
      <c r="E261" s="87" t="s">
        <v>1932</v>
      </c>
      <c r="F261" s="87" t="s">
        <v>1933</v>
      </c>
      <c r="G261" s="87" t="s">
        <v>1934</v>
      </c>
      <c r="H261" s="87"/>
      <c r="I261" s="88" t="s">
        <v>1935</v>
      </c>
      <c r="J261" s="94">
        <v>45882</v>
      </c>
      <c r="K261" s="89">
        <v>45987</v>
      </c>
      <c r="L261" s="87" t="s">
        <v>1819</v>
      </c>
      <c r="M261" s="87" t="s">
        <v>654</v>
      </c>
      <c r="N261" s="90" t="s">
        <v>2134</v>
      </c>
      <c r="O261" s="91" t="s">
        <v>1961</v>
      </c>
      <c r="P261" s="91" t="s">
        <v>1953</v>
      </c>
      <c r="Q261" s="92">
        <v>2025</v>
      </c>
      <c r="R261" s="88" t="s">
        <v>1939</v>
      </c>
      <c r="S261" s="88" t="s">
        <v>1940</v>
      </c>
      <c r="T261" s="95">
        <v>2025</v>
      </c>
    </row>
    <row r="262" spans="1:20" ht="18" customHeight="1" x14ac:dyDescent="0.7">
      <c r="A262" s="85">
        <v>262</v>
      </c>
      <c r="B262" s="86">
        <v>3141185</v>
      </c>
      <c r="C262" s="87" t="s">
        <v>2611</v>
      </c>
      <c r="D262" s="88">
        <v>356313279</v>
      </c>
      <c r="E262" s="87" t="s">
        <v>1932</v>
      </c>
      <c r="F262" s="87" t="s">
        <v>1933</v>
      </c>
      <c r="G262" s="87" t="s">
        <v>1934</v>
      </c>
      <c r="H262" s="87"/>
      <c r="I262" s="87"/>
      <c r="J262" s="94">
        <v>45887</v>
      </c>
      <c r="K262" s="87"/>
      <c r="L262" s="87" t="s">
        <v>1942</v>
      </c>
      <c r="M262" s="87" t="s">
        <v>654</v>
      </c>
      <c r="N262" s="90" t="s">
        <v>2612</v>
      </c>
      <c r="O262" s="91" t="s">
        <v>2201</v>
      </c>
      <c r="P262" s="91" t="s">
        <v>1983</v>
      </c>
      <c r="Q262" s="92">
        <v>2025</v>
      </c>
      <c r="R262" s="88" t="s">
        <v>1942</v>
      </c>
      <c r="S262" s="88" t="s">
        <v>1942</v>
      </c>
      <c r="T262" s="88" t="s">
        <v>1942</v>
      </c>
    </row>
    <row r="263" spans="1:20" ht="18" customHeight="1" x14ac:dyDescent="0.7">
      <c r="A263" s="85">
        <v>263</v>
      </c>
      <c r="B263" s="86">
        <v>3141886</v>
      </c>
      <c r="C263" s="87" t="s">
        <v>1838</v>
      </c>
      <c r="D263" s="88">
        <v>914012145</v>
      </c>
      <c r="E263" s="87" t="s">
        <v>1932</v>
      </c>
      <c r="F263" s="87" t="s">
        <v>1933</v>
      </c>
      <c r="G263" s="87" t="s">
        <v>1934</v>
      </c>
      <c r="H263" s="87"/>
      <c r="I263" s="87"/>
      <c r="J263" s="94">
        <v>45894</v>
      </c>
      <c r="K263" s="87"/>
      <c r="L263" s="87" t="s">
        <v>1942</v>
      </c>
      <c r="M263" s="87" t="s">
        <v>654</v>
      </c>
      <c r="N263" s="90" t="s">
        <v>2613</v>
      </c>
      <c r="O263" s="91" t="s">
        <v>2201</v>
      </c>
      <c r="P263" s="91" t="s">
        <v>1948</v>
      </c>
      <c r="Q263" s="92">
        <v>2025</v>
      </c>
      <c r="R263" s="88" t="s">
        <v>1942</v>
      </c>
      <c r="S263" s="88" t="s">
        <v>1942</v>
      </c>
      <c r="T263" s="88" t="s">
        <v>1942</v>
      </c>
    </row>
    <row r="264" spans="1:20" ht="18" customHeight="1" x14ac:dyDescent="0.7">
      <c r="A264" s="85">
        <v>264</v>
      </c>
      <c r="B264" s="86">
        <v>3141878</v>
      </c>
      <c r="C264" s="87" t="s">
        <v>2614</v>
      </c>
      <c r="D264" s="88">
        <v>765128395</v>
      </c>
      <c r="E264" s="87" t="s">
        <v>1932</v>
      </c>
      <c r="F264" s="87" t="s">
        <v>1933</v>
      </c>
      <c r="G264" s="87" t="s">
        <v>1934</v>
      </c>
      <c r="H264" s="87"/>
      <c r="I264" s="87"/>
      <c r="J264" s="94">
        <v>45894</v>
      </c>
      <c r="K264" s="87"/>
      <c r="L264" s="87" t="s">
        <v>1942</v>
      </c>
      <c r="M264" s="87" t="s">
        <v>654</v>
      </c>
      <c r="N264" s="90" t="s">
        <v>2613</v>
      </c>
      <c r="O264" s="91" t="s">
        <v>2201</v>
      </c>
      <c r="P264" s="91" t="s">
        <v>1948</v>
      </c>
      <c r="Q264" s="92">
        <v>2025</v>
      </c>
      <c r="R264" s="88" t="s">
        <v>1942</v>
      </c>
      <c r="S264" s="88" t="s">
        <v>1942</v>
      </c>
      <c r="T264" s="88" t="s">
        <v>1942</v>
      </c>
    </row>
    <row r="265" spans="1:20" ht="18" customHeight="1" x14ac:dyDescent="0.7">
      <c r="A265" s="85">
        <v>265</v>
      </c>
      <c r="B265" s="86">
        <v>3141877</v>
      </c>
      <c r="C265" s="87" t="s">
        <v>2615</v>
      </c>
      <c r="D265" s="88">
        <v>937556576</v>
      </c>
      <c r="E265" s="87" t="s">
        <v>1932</v>
      </c>
      <c r="F265" s="87" t="s">
        <v>1933</v>
      </c>
      <c r="G265" s="87" t="s">
        <v>1934</v>
      </c>
      <c r="H265" s="87"/>
      <c r="I265" s="87"/>
      <c r="J265" s="94">
        <v>45894</v>
      </c>
      <c r="K265" s="94">
        <v>45930</v>
      </c>
      <c r="L265" s="87" t="s">
        <v>1819</v>
      </c>
      <c r="M265" s="87" t="s">
        <v>654</v>
      </c>
      <c r="N265" s="90" t="s">
        <v>1982</v>
      </c>
      <c r="O265" s="91" t="s">
        <v>1947</v>
      </c>
      <c r="P265" s="91" t="s">
        <v>1948</v>
      </c>
      <c r="Q265" s="92">
        <v>2025</v>
      </c>
      <c r="R265" s="88" t="s">
        <v>2034</v>
      </c>
      <c r="S265" s="88" t="s">
        <v>2017</v>
      </c>
      <c r="T265" s="95">
        <v>2025</v>
      </c>
    </row>
    <row r="266" spans="1:20" ht="18" customHeight="1" x14ac:dyDescent="0.7">
      <c r="A266" s="85">
        <v>266</v>
      </c>
      <c r="B266" s="86">
        <v>3141875</v>
      </c>
      <c r="C266" s="87" t="s">
        <v>2616</v>
      </c>
      <c r="D266" s="88">
        <v>975433854</v>
      </c>
      <c r="E266" s="87" t="s">
        <v>1932</v>
      </c>
      <c r="F266" s="87" t="s">
        <v>1933</v>
      </c>
      <c r="G266" s="87" t="s">
        <v>1934</v>
      </c>
      <c r="H266" s="87"/>
      <c r="I266" s="87"/>
      <c r="J266" s="94">
        <v>45894</v>
      </c>
      <c r="K266" s="87"/>
      <c r="L266" s="87" t="s">
        <v>1942</v>
      </c>
      <c r="M266" s="87" t="s">
        <v>654</v>
      </c>
      <c r="N266" s="90" t="s">
        <v>2613</v>
      </c>
      <c r="O266" s="91" t="s">
        <v>2201</v>
      </c>
      <c r="P266" s="91" t="s">
        <v>1948</v>
      </c>
      <c r="Q266" s="92">
        <v>2025</v>
      </c>
      <c r="R266" s="88" t="s">
        <v>1942</v>
      </c>
      <c r="S266" s="88" t="s">
        <v>1942</v>
      </c>
      <c r="T266" s="88" t="s">
        <v>1942</v>
      </c>
    </row>
    <row r="267" spans="1:20" ht="18" customHeight="1" x14ac:dyDescent="0.7">
      <c r="A267" s="85">
        <v>267</v>
      </c>
      <c r="B267" s="86">
        <v>3141666</v>
      </c>
      <c r="C267" s="87" t="s">
        <v>2039</v>
      </c>
      <c r="D267" s="88">
        <v>355504239</v>
      </c>
      <c r="E267" s="87" t="s">
        <v>1932</v>
      </c>
      <c r="F267" s="87" t="s">
        <v>1933</v>
      </c>
      <c r="G267" s="87" t="s">
        <v>1934</v>
      </c>
      <c r="H267" s="87"/>
      <c r="I267" s="88" t="s">
        <v>1935</v>
      </c>
      <c r="J267" s="89">
        <v>45891</v>
      </c>
      <c r="K267" s="94">
        <v>45950</v>
      </c>
      <c r="L267" s="87" t="s">
        <v>1819</v>
      </c>
      <c r="M267" s="87" t="s">
        <v>654</v>
      </c>
      <c r="N267" s="90" t="s">
        <v>2112</v>
      </c>
      <c r="O267" s="91" t="s">
        <v>1947</v>
      </c>
      <c r="P267" s="91" t="s">
        <v>1983</v>
      </c>
      <c r="Q267" s="92">
        <v>2025</v>
      </c>
      <c r="R267" s="88" t="s">
        <v>2069</v>
      </c>
      <c r="S267" s="88" t="s">
        <v>1995</v>
      </c>
      <c r="T267" s="95">
        <v>2025</v>
      </c>
    </row>
    <row r="268" spans="1:20" ht="18" customHeight="1" x14ac:dyDescent="0.7">
      <c r="A268" s="85">
        <v>268</v>
      </c>
      <c r="B268" s="86">
        <v>3141663</v>
      </c>
      <c r="C268" s="87" t="s">
        <v>2617</v>
      </c>
      <c r="D268" s="88">
        <v>334466908</v>
      </c>
      <c r="E268" s="87" t="s">
        <v>1932</v>
      </c>
      <c r="F268" s="87" t="s">
        <v>1933</v>
      </c>
      <c r="G268" s="87" t="s">
        <v>1934</v>
      </c>
      <c r="H268" s="87"/>
      <c r="I268" s="88" t="s">
        <v>1935</v>
      </c>
      <c r="J268" s="89">
        <v>45891</v>
      </c>
      <c r="K268" s="89">
        <v>45986</v>
      </c>
      <c r="L268" s="87" t="s">
        <v>1819</v>
      </c>
      <c r="M268" s="87" t="s">
        <v>654</v>
      </c>
      <c r="N268" s="90" t="s">
        <v>2065</v>
      </c>
      <c r="O268" s="91" t="s">
        <v>1961</v>
      </c>
      <c r="P268" s="91" t="s">
        <v>1983</v>
      </c>
      <c r="Q268" s="92">
        <v>2025</v>
      </c>
      <c r="R268" s="88" t="s">
        <v>1939</v>
      </c>
      <c r="S268" s="88" t="s">
        <v>1940</v>
      </c>
      <c r="T268" s="95">
        <v>2025</v>
      </c>
    </row>
    <row r="269" spans="1:20" ht="18" customHeight="1" x14ac:dyDescent="0.7">
      <c r="A269" s="85">
        <v>269</v>
      </c>
      <c r="B269" s="86">
        <v>3141628</v>
      </c>
      <c r="C269" s="87" t="s">
        <v>2618</v>
      </c>
      <c r="D269" s="88">
        <v>366323078</v>
      </c>
      <c r="E269" s="87" t="s">
        <v>1932</v>
      </c>
      <c r="F269" s="87" t="s">
        <v>1933</v>
      </c>
      <c r="G269" s="87" t="s">
        <v>1934</v>
      </c>
      <c r="H269" s="87"/>
      <c r="I269" s="88" t="s">
        <v>1935</v>
      </c>
      <c r="J269" s="89">
        <v>45891</v>
      </c>
      <c r="K269" s="89">
        <v>45986</v>
      </c>
      <c r="L269" s="87" t="s">
        <v>1819</v>
      </c>
      <c r="M269" s="87" t="s">
        <v>654</v>
      </c>
      <c r="N269" s="90" t="s">
        <v>2065</v>
      </c>
      <c r="O269" s="91" t="s">
        <v>1961</v>
      </c>
      <c r="P269" s="91" t="s">
        <v>1983</v>
      </c>
      <c r="Q269" s="92">
        <v>2025</v>
      </c>
      <c r="R269" s="88" t="s">
        <v>1939</v>
      </c>
      <c r="S269" s="88" t="s">
        <v>1940</v>
      </c>
      <c r="T269" s="95">
        <v>2025</v>
      </c>
    </row>
    <row r="270" spans="1:20" ht="18" customHeight="1" x14ac:dyDescent="0.7">
      <c r="A270" s="85">
        <v>270</v>
      </c>
      <c r="B270" s="86">
        <v>3141541</v>
      </c>
      <c r="C270" s="87" t="s">
        <v>2619</v>
      </c>
      <c r="D270" s="88">
        <v>789111513</v>
      </c>
      <c r="E270" s="87" t="s">
        <v>1932</v>
      </c>
      <c r="F270" s="87" t="s">
        <v>1933</v>
      </c>
      <c r="G270" s="87" t="s">
        <v>1934</v>
      </c>
      <c r="H270" s="87"/>
      <c r="I270" s="88" t="s">
        <v>1935</v>
      </c>
      <c r="J270" s="89">
        <v>45890</v>
      </c>
      <c r="K270" s="94">
        <v>45930</v>
      </c>
      <c r="L270" s="87" t="s">
        <v>1819</v>
      </c>
      <c r="M270" s="87" t="s">
        <v>654</v>
      </c>
      <c r="N270" s="90" t="s">
        <v>2620</v>
      </c>
      <c r="O270" s="91" t="s">
        <v>1947</v>
      </c>
      <c r="P270" s="91" t="s">
        <v>1983</v>
      </c>
      <c r="Q270" s="92">
        <v>2025</v>
      </c>
      <c r="R270" s="88" t="s">
        <v>2034</v>
      </c>
      <c r="S270" s="88" t="s">
        <v>2017</v>
      </c>
      <c r="T270" s="95">
        <v>2025</v>
      </c>
    </row>
    <row r="271" spans="1:20" ht="18" customHeight="1" x14ac:dyDescent="0.7">
      <c r="A271" s="85">
        <v>271</v>
      </c>
      <c r="B271" s="86">
        <v>3141538</v>
      </c>
      <c r="C271" s="87" t="s">
        <v>2621</v>
      </c>
      <c r="D271" s="88">
        <v>354759590</v>
      </c>
      <c r="E271" s="87" t="s">
        <v>1932</v>
      </c>
      <c r="F271" s="87" t="s">
        <v>1933</v>
      </c>
      <c r="G271" s="87" t="s">
        <v>1934</v>
      </c>
      <c r="H271" s="87"/>
      <c r="I271" s="88" t="s">
        <v>1935</v>
      </c>
      <c r="J271" s="89">
        <v>45890</v>
      </c>
      <c r="K271" s="94">
        <v>45973</v>
      </c>
      <c r="L271" s="87" t="s">
        <v>1819</v>
      </c>
      <c r="M271" s="87" t="s">
        <v>654</v>
      </c>
      <c r="N271" s="90" t="s">
        <v>2622</v>
      </c>
      <c r="O271" s="91" t="s">
        <v>2015</v>
      </c>
      <c r="P271" s="91" t="s">
        <v>1983</v>
      </c>
      <c r="Q271" s="92">
        <v>2025</v>
      </c>
      <c r="R271" s="88" t="s">
        <v>1962</v>
      </c>
      <c r="S271" s="88" t="s">
        <v>1940</v>
      </c>
      <c r="T271" s="95">
        <v>2025</v>
      </c>
    </row>
    <row r="272" spans="1:20" ht="18" customHeight="1" x14ac:dyDescent="0.7">
      <c r="A272" s="85">
        <v>272</v>
      </c>
      <c r="B272" s="86">
        <v>3141427</v>
      </c>
      <c r="C272" s="87" t="s">
        <v>2623</v>
      </c>
      <c r="D272" s="88">
        <v>935718173</v>
      </c>
      <c r="E272" s="87" t="s">
        <v>1932</v>
      </c>
      <c r="F272" s="87" t="s">
        <v>1933</v>
      </c>
      <c r="G272" s="87" t="s">
        <v>1934</v>
      </c>
      <c r="H272" s="87"/>
      <c r="I272" s="88" t="s">
        <v>1935</v>
      </c>
      <c r="J272" s="89">
        <v>45889</v>
      </c>
      <c r="K272" s="87"/>
      <c r="L272" s="87" t="s">
        <v>1942</v>
      </c>
      <c r="M272" s="87" t="s">
        <v>654</v>
      </c>
      <c r="N272" s="90" t="s">
        <v>2624</v>
      </c>
      <c r="O272" s="91" t="s">
        <v>2201</v>
      </c>
      <c r="P272" s="91" t="s">
        <v>1983</v>
      </c>
      <c r="Q272" s="92">
        <v>2025</v>
      </c>
      <c r="R272" s="88" t="s">
        <v>1942</v>
      </c>
      <c r="S272" s="88" t="s">
        <v>1942</v>
      </c>
      <c r="T272" s="88" t="s">
        <v>1942</v>
      </c>
    </row>
    <row r="273" spans="1:20" ht="18" customHeight="1" x14ac:dyDescent="0.7">
      <c r="A273" s="85">
        <v>273</v>
      </c>
      <c r="B273" s="86">
        <v>3141421</v>
      </c>
      <c r="C273" s="87" t="s">
        <v>2625</v>
      </c>
      <c r="D273" s="88">
        <v>866782679</v>
      </c>
      <c r="E273" s="87" t="s">
        <v>1932</v>
      </c>
      <c r="F273" s="87" t="s">
        <v>1933</v>
      </c>
      <c r="G273" s="87" t="s">
        <v>1934</v>
      </c>
      <c r="H273" s="87"/>
      <c r="I273" s="88" t="s">
        <v>1935</v>
      </c>
      <c r="J273" s="89">
        <v>45889</v>
      </c>
      <c r="K273" s="94">
        <v>45974</v>
      </c>
      <c r="L273" s="87" t="s">
        <v>1819</v>
      </c>
      <c r="M273" s="87" t="s">
        <v>654</v>
      </c>
      <c r="N273" s="90" t="s">
        <v>2626</v>
      </c>
      <c r="O273" s="91" t="s">
        <v>2015</v>
      </c>
      <c r="P273" s="91" t="s">
        <v>1983</v>
      </c>
      <c r="Q273" s="92">
        <v>2025</v>
      </c>
      <c r="R273" s="88" t="s">
        <v>1962</v>
      </c>
      <c r="S273" s="88" t="s">
        <v>1940</v>
      </c>
      <c r="T273" s="95">
        <v>2025</v>
      </c>
    </row>
    <row r="274" spans="1:20" ht="18" customHeight="1" x14ac:dyDescent="0.7">
      <c r="A274" s="85">
        <v>274</v>
      </c>
      <c r="B274" s="86">
        <v>3141298</v>
      </c>
      <c r="C274" s="87" t="s">
        <v>2627</v>
      </c>
      <c r="D274" s="88">
        <v>396648469</v>
      </c>
      <c r="E274" s="87" t="s">
        <v>1932</v>
      </c>
      <c r="F274" s="87" t="s">
        <v>1933</v>
      </c>
      <c r="G274" s="87" t="s">
        <v>1934</v>
      </c>
      <c r="H274" s="87"/>
      <c r="I274" s="88" t="s">
        <v>1935</v>
      </c>
      <c r="J274" s="89">
        <v>45888</v>
      </c>
      <c r="K274" s="94">
        <v>45974</v>
      </c>
      <c r="L274" s="87" t="s">
        <v>1819</v>
      </c>
      <c r="M274" s="87" t="s">
        <v>654</v>
      </c>
      <c r="N274" s="90" t="s">
        <v>2628</v>
      </c>
      <c r="O274" s="91" t="s">
        <v>2015</v>
      </c>
      <c r="P274" s="91" t="s">
        <v>1983</v>
      </c>
      <c r="Q274" s="92">
        <v>2025</v>
      </c>
      <c r="R274" s="88" t="s">
        <v>1962</v>
      </c>
      <c r="S274" s="88" t="s">
        <v>1940</v>
      </c>
      <c r="T274" s="95">
        <v>2025</v>
      </c>
    </row>
    <row r="275" spans="1:20" ht="18" customHeight="1" x14ac:dyDescent="0.7">
      <c r="A275" s="85">
        <v>275</v>
      </c>
      <c r="B275" s="86">
        <v>3141237</v>
      </c>
      <c r="C275" s="87" t="s">
        <v>2629</v>
      </c>
      <c r="D275" s="88">
        <v>707816907</v>
      </c>
      <c r="E275" s="87" t="s">
        <v>1932</v>
      </c>
      <c r="F275" s="87" t="s">
        <v>1933</v>
      </c>
      <c r="G275" s="87" t="s">
        <v>1934</v>
      </c>
      <c r="H275" s="87"/>
      <c r="I275" s="88" t="s">
        <v>1935</v>
      </c>
      <c r="J275" s="89">
        <v>45887</v>
      </c>
      <c r="K275" s="89">
        <v>45986</v>
      </c>
      <c r="L275" s="87" t="s">
        <v>1819</v>
      </c>
      <c r="M275" s="87" t="s">
        <v>654</v>
      </c>
      <c r="N275" s="90" t="s">
        <v>2630</v>
      </c>
      <c r="O275" s="91" t="s">
        <v>1961</v>
      </c>
      <c r="P275" s="91" t="s">
        <v>1983</v>
      </c>
      <c r="Q275" s="92">
        <v>2025</v>
      </c>
      <c r="R275" s="88" t="s">
        <v>1939</v>
      </c>
      <c r="S275" s="88" t="s">
        <v>1940</v>
      </c>
      <c r="T275" s="95">
        <v>2025</v>
      </c>
    </row>
    <row r="276" spans="1:20" ht="18" customHeight="1" x14ac:dyDescent="0.7">
      <c r="A276" s="85">
        <v>276</v>
      </c>
      <c r="B276" s="86">
        <v>3141230</v>
      </c>
      <c r="C276" s="87" t="s">
        <v>2631</v>
      </c>
      <c r="D276" s="88">
        <v>903843247</v>
      </c>
      <c r="E276" s="87" t="s">
        <v>1932</v>
      </c>
      <c r="F276" s="87" t="s">
        <v>1933</v>
      </c>
      <c r="G276" s="87" t="s">
        <v>1934</v>
      </c>
      <c r="H276" s="87"/>
      <c r="I276" s="88" t="s">
        <v>1935</v>
      </c>
      <c r="J276" s="89">
        <v>45887</v>
      </c>
      <c r="K276" s="87"/>
      <c r="L276" s="87" t="s">
        <v>1942</v>
      </c>
      <c r="M276" s="87" t="s">
        <v>654</v>
      </c>
      <c r="N276" s="90" t="s">
        <v>2612</v>
      </c>
      <c r="O276" s="91" t="s">
        <v>2201</v>
      </c>
      <c r="P276" s="91" t="s">
        <v>1983</v>
      </c>
      <c r="Q276" s="92">
        <v>2025</v>
      </c>
      <c r="R276" s="88" t="s">
        <v>1942</v>
      </c>
      <c r="S276" s="88" t="s">
        <v>1942</v>
      </c>
      <c r="T276" s="88" t="s">
        <v>1942</v>
      </c>
    </row>
    <row r="277" spans="1:20" ht="18" customHeight="1" x14ac:dyDescent="0.7">
      <c r="A277" s="85">
        <v>277</v>
      </c>
      <c r="B277" s="86">
        <v>3141229</v>
      </c>
      <c r="C277" s="87" t="s">
        <v>2632</v>
      </c>
      <c r="D277" s="88">
        <v>937742932</v>
      </c>
      <c r="E277" s="87" t="s">
        <v>1932</v>
      </c>
      <c r="F277" s="87" t="s">
        <v>1933</v>
      </c>
      <c r="G277" s="87" t="s">
        <v>1934</v>
      </c>
      <c r="H277" s="87"/>
      <c r="I277" s="88" t="s">
        <v>1935</v>
      </c>
      <c r="J277" s="89">
        <v>45887</v>
      </c>
      <c r="K277" s="87"/>
      <c r="L277" s="87" t="s">
        <v>1942</v>
      </c>
      <c r="M277" s="87" t="s">
        <v>654</v>
      </c>
      <c r="N277" s="90" t="s">
        <v>2612</v>
      </c>
      <c r="O277" s="91" t="s">
        <v>2201</v>
      </c>
      <c r="P277" s="91" t="s">
        <v>1983</v>
      </c>
      <c r="Q277" s="92">
        <v>2025</v>
      </c>
      <c r="R277" s="88" t="s">
        <v>1942</v>
      </c>
      <c r="S277" s="88" t="s">
        <v>1942</v>
      </c>
      <c r="T277" s="88" t="s">
        <v>1942</v>
      </c>
    </row>
    <row r="278" spans="1:20" ht="18" customHeight="1" x14ac:dyDescent="0.7">
      <c r="A278" s="85">
        <v>278</v>
      </c>
      <c r="B278" s="86">
        <v>3141228</v>
      </c>
      <c r="C278" s="87" t="s">
        <v>2633</v>
      </c>
      <c r="D278" s="88">
        <v>384564993</v>
      </c>
      <c r="E278" s="88" t="s">
        <v>1980</v>
      </c>
      <c r="F278" s="87" t="s">
        <v>1933</v>
      </c>
      <c r="G278" s="87" t="s">
        <v>1934</v>
      </c>
      <c r="H278" s="87"/>
      <c r="I278" s="88" t="s">
        <v>1981</v>
      </c>
      <c r="J278" s="89">
        <v>45887</v>
      </c>
      <c r="K278" s="87"/>
      <c r="L278" s="87" t="s">
        <v>1942</v>
      </c>
      <c r="M278" s="87" t="s">
        <v>654</v>
      </c>
      <c r="N278" s="90" t="s">
        <v>2612</v>
      </c>
      <c r="O278" s="91" t="s">
        <v>2201</v>
      </c>
      <c r="P278" s="91" t="s">
        <v>1983</v>
      </c>
      <c r="Q278" s="92">
        <v>2025</v>
      </c>
      <c r="R278" s="88" t="s">
        <v>1942</v>
      </c>
      <c r="S278" s="88" t="s">
        <v>1942</v>
      </c>
      <c r="T278" s="88" t="s">
        <v>1942</v>
      </c>
    </row>
    <row r="279" spans="1:20" ht="18" customHeight="1" x14ac:dyDescent="0.7">
      <c r="A279" s="85">
        <v>279</v>
      </c>
      <c r="B279" s="86">
        <v>3141205</v>
      </c>
      <c r="C279" s="87" t="s">
        <v>2634</v>
      </c>
      <c r="D279" s="88">
        <v>393110870</v>
      </c>
      <c r="E279" s="87" t="s">
        <v>1932</v>
      </c>
      <c r="F279" s="87" t="s">
        <v>1933</v>
      </c>
      <c r="G279" s="87" t="s">
        <v>1934</v>
      </c>
      <c r="H279" s="87"/>
      <c r="I279" s="88" t="s">
        <v>1935</v>
      </c>
      <c r="J279" s="89">
        <v>45887</v>
      </c>
      <c r="K279" s="87"/>
      <c r="L279" s="87" t="s">
        <v>1942</v>
      </c>
      <c r="M279" s="87" t="s">
        <v>654</v>
      </c>
      <c r="N279" s="90" t="s">
        <v>2612</v>
      </c>
      <c r="O279" s="91" t="s">
        <v>2201</v>
      </c>
      <c r="P279" s="91" t="s">
        <v>1983</v>
      </c>
      <c r="Q279" s="92">
        <v>2025</v>
      </c>
      <c r="R279" s="88" t="s">
        <v>1942</v>
      </c>
      <c r="S279" s="88" t="s">
        <v>1942</v>
      </c>
      <c r="T279" s="88" t="s">
        <v>1942</v>
      </c>
    </row>
    <row r="280" spans="1:20" ht="18" customHeight="1" x14ac:dyDescent="0.7">
      <c r="A280" s="85">
        <v>280</v>
      </c>
      <c r="B280" s="86">
        <v>3092462</v>
      </c>
      <c r="C280" s="87" t="s">
        <v>2329</v>
      </c>
      <c r="D280" s="88">
        <v>393110870</v>
      </c>
      <c r="E280" s="87" t="s">
        <v>1932</v>
      </c>
      <c r="F280" s="87" t="s">
        <v>1933</v>
      </c>
      <c r="G280" s="87" t="s">
        <v>2219</v>
      </c>
      <c r="H280" s="87"/>
      <c r="I280" s="88" t="s">
        <v>226</v>
      </c>
      <c r="J280" s="89">
        <v>45887</v>
      </c>
      <c r="K280" s="94">
        <v>45962</v>
      </c>
      <c r="L280" s="87" t="s">
        <v>1819</v>
      </c>
      <c r="M280" s="87" t="s">
        <v>654</v>
      </c>
      <c r="N280" s="90" t="s">
        <v>2635</v>
      </c>
      <c r="O280" s="91" t="s">
        <v>2015</v>
      </c>
      <c r="P280" s="91" t="s">
        <v>1983</v>
      </c>
      <c r="Q280" s="92">
        <v>2025</v>
      </c>
      <c r="R280" s="88" t="s">
        <v>1994</v>
      </c>
      <c r="S280" s="88" t="s">
        <v>1940</v>
      </c>
      <c r="T280" s="95">
        <v>2025</v>
      </c>
    </row>
    <row r="281" spans="1:20" ht="18" customHeight="1" x14ac:dyDescent="0.7">
      <c r="A281" s="85">
        <v>281</v>
      </c>
      <c r="B281" s="86">
        <v>3142040</v>
      </c>
      <c r="C281" s="87" t="s">
        <v>2636</v>
      </c>
      <c r="D281" s="88">
        <v>967792479</v>
      </c>
      <c r="E281" s="87" t="s">
        <v>1932</v>
      </c>
      <c r="F281" s="87" t="s">
        <v>1933</v>
      </c>
      <c r="G281" s="87" t="s">
        <v>1934</v>
      </c>
      <c r="H281" s="87"/>
      <c r="I281" s="87"/>
      <c r="J281" s="89">
        <v>45896</v>
      </c>
      <c r="K281" s="87"/>
      <c r="L281" s="87" t="s">
        <v>1942</v>
      </c>
      <c r="M281" s="87" t="s">
        <v>654</v>
      </c>
      <c r="N281" s="90" t="s">
        <v>2637</v>
      </c>
      <c r="O281" s="91" t="s">
        <v>2201</v>
      </c>
      <c r="P281" s="91" t="s">
        <v>1948</v>
      </c>
      <c r="Q281" s="92">
        <v>2025</v>
      </c>
      <c r="R281" s="88" t="s">
        <v>1942</v>
      </c>
      <c r="S281" s="88" t="s">
        <v>1942</v>
      </c>
      <c r="T281" s="88" t="s">
        <v>1942</v>
      </c>
    </row>
    <row r="282" spans="1:20" ht="18" customHeight="1" x14ac:dyDescent="0.7">
      <c r="A282" s="85">
        <v>282</v>
      </c>
      <c r="B282" s="86">
        <v>3142041</v>
      </c>
      <c r="C282" s="87" t="s">
        <v>2638</v>
      </c>
      <c r="D282" s="88">
        <v>902422978</v>
      </c>
      <c r="E282" s="87" t="s">
        <v>1932</v>
      </c>
      <c r="F282" s="87" t="s">
        <v>1933</v>
      </c>
      <c r="G282" s="87" t="s">
        <v>1934</v>
      </c>
      <c r="H282" s="87"/>
      <c r="I282" s="87"/>
      <c r="J282" s="89">
        <v>45896</v>
      </c>
      <c r="K282" s="89">
        <v>45986</v>
      </c>
      <c r="L282" s="87" t="s">
        <v>1819</v>
      </c>
      <c r="M282" s="87" t="s">
        <v>654</v>
      </c>
      <c r="N282" s="90" t="s">
        <v>2114</v>
      </c>
      <c r="O282" s="91" t="s">
        <v>2015</v>
      </c>
      <c r="P282" s="91" t="s">
        <v>1948</v>
      </c>
      <c r="Q282" s="92">
        <v>2025</v>
      </c>
      <c r="R282" s="88" t="s">
        <v>1939</v>
      </c>
      <c r="S282" s="88" t="s">
        <v>1940</v>
      </c>
      <c r="T282" s="95">
        <v>2025</v>
      </c>
    </row>
    <row r="283" spans="1:20" ht="18" customHeight="1" x14ac:dyDescent="0.7">
      <c r="A283" s="85">
        <v>283</v>
      </c>
      <c r="B283" s="86">
        <v>3142147</v>
      </c>
      <c r="C283" s="87" t="s">
        <v>2639</v>
      </c>
      <c r="D283" s="88">
        <v>932735086</v>
      </c>
      <c r="E283" s="87" t="s">
        <v>1932</v>
      </c>
      <c r="F283" s="87" t="s">
        <v>1933</v>
      </c>
      <c r="G283" s="87" t="s">
        <v>1934</v>
      </c>
      <c r="H283" s="87"/>
      <c r="I283" s="87"/>
      <c r="J283" s="89">
        <v>45897</v>
      </c>
      <c r="K283" s="89">
        <v>45986</v>
      </c>
      <c r="L283" s="87" t="s">
        <v>1819</v>
      </c>
      <c r="M283" s="87" t="s">
        <v>654</v>
      </c>
      <c r="N283" s="90" t="s">
        <v>2126</v>
      </c>
      <c r="O283" s="91" t="s">
        <v>2015</v>
      </c>
      <c r="P283" s="91" t="s">
        <v>1948</v>
      </c>
      <c r="Q283" s="92">
        <v>2025</v>
      </c>
      <c r="R283" s="88" t="s">
        <v>1939</v>
      </c>
      <c r="S283" s="88" t="s">
        <v>1940</v>
      </c>
      <c r="T283" s="95">
        <v>2025</v>
      </c>
    </row>
    <row r="284" spans="1:20" ht="18" customHeight="1" x14ac:dyDescent="0.7">
      <c r="A284" s="85">
        <v>284</v>
      </c>
      <c r="B284" s="86">
        <v>3142256</v>
      </c>
      <c r="C284" s="87" t="s">
        <v>2640</v>
      </c>
      <c r="D284" s="88">
        <v>374155939</v>
      </c>
      <c r="E284" s="87" t="s">
        <v>1932</v>
      </c>
      <c r="F284" s="87" t="s">
        <v>1933</v>
      </c>
      <c r="G284" s="87" t="s">
        <v>1934</v>
      </c>
      <c r="H284" s="87"/>
      <c r="I284" s="87"/>
      <c r="J284" s="89">
        <v>45898</v>
      </c>
      <c r="K284" s="89">
        <v>46067</v>
      </c>
      <c r="L284" s="87" t="s">
        <v>1819</v>
      </c>
      <c r="M284" s="87" t="s">
        <v>654</v>
      </c>
      <c r="N284" s="90" t="s">
        <v>2641</v>
      </c>
      <c r="O284" s="91" t="s">
        <v>2201</v>
      </c>
      <c r="P284" s="91" t="s">
        <v>1948</v>
      </c>
      <c r="Q284" s="92">
        <v>2025</v>
      </c>
      <c r="R284" s="88" t="s">
        <v>2072</v>
      </c>
      <c r="S284" s="88" t="s">
        <v>1977</v>
      </c>
      <c r="T284" s="95">
        <v>2026</v>
      </c>
    </row>
    <row r="285" spans="1:20" ht="18" customHeight="1" x14ac:dyDescent="0.7">
      <c r="A285" s="85">
        <v>285</v>
      </c>
      <c r="B285" s="86">
        <v>3142559</v>
      </c>
      <c r="C285" s="87" t="s">
        <v>2642</v>
      </c>
      <c r="D285" s="88">
        <v>914984864</v>
      </c>
      <c r="E285" s="88" t="s">
        <v>2151</v>
      </c>
      <c r="F285" s="87" t="s">
        <v>1933</v>
      </c>
      <c r="G285" s="87" t="s">
        <v>1934</v>
      </c>
      <c r="H285" s="87"/>
      <c r="I285" s="88" t="s">
        <v>1981</v>
      </c>
      <c r="J285" s="89">
        <v>45903</v>
      </c>
      <c r="K285" s="94">
        <v>45970</v>
      </c>
      <c r="L285" s="87" t="s">
        <v>1819</v>
      </c>
      <c r="M285" s="87" t="s">
        <v>654</v>
      </c>
      <c r="N285" s="90" t="s">
        <v>2014</v>
      </c>
      <c r="O285" s="91" t="s">
        <v>2015</v>
      </c>
      <c r="P285" s="91" t="s">
        <v>2016</v>
      </c>
      <c r="Q285" s="92">
        <v>2025</v>
      </c>
      <c r="R285" s="88" t="s">
        <v>1962</v>
      </c>
      <c r="S285" s="88" t="s">
        <v>1940</v>
      </c>
      <c r="T285" s="95">
        <v>2025</v>
      </c>
    </row>
    <row r="286" spans="1:20" ht="18" customHeight="1" x14ac:dyDescent="0.7">
      <c r="A286" s="85">
        <v>286</v>
      </c>
      <c r="B286" s="86">
        <v>3142563</v>
      </c>
      <c r="C286" s="87" t="s">
        <v>2643</v>
      </c>
      <c r="D286" s="88">
        <v>906308765</v>
      </c>
      <c r="E286" s="87" t="s">
        <v>1932</v>
      </c>
      <c r="F286" s="87" t="s">
        <v>1933</v>
      </c>
      <c r="G286" s="87" t="s">
        <v>1934</v>
      </c>
      <c r="H286" s="87"/>
      <c r="I286" s="87"/>
      <c r="J286" s="94">
        <v>45903</v>
      </c>
      <c r="K286" s="89">
        <v>46062</v>
      </c>
      <c r="L286" s="87" t="s">
        <v>1819</v>
      </c>
      <c r="M286" s="87" t="s">
        <v>654</v>
      </c>
      <c r="N286" s="90" t="s">
        <v>2644</v>
      </c>
      <c r="O286" s="91" t="s">
        <v>2201</v>
      </c>
      <c r="P286" s="91" t="s">
        <v>2016</v>
      </c>
      <c r="Q286" s="92">
        <v>2025</v>
      </c>
      <c r="R286" s="88" t="s">
        <v>2072</v>
      </c>
      <c r="S286" s="88" t="s">
        <v>1977</v>
      </c>
      <c r="T286" s="95">
        <v>2026</v>
      </c>
    </row>
    <row r="287" spans="1:20" ht="18" customHeight="1" x14ac:dyDescent="0.7">
      <c r="A287" s="85">
        <v>287</v>
      </c>
      <c r="B287" s="86">
        <v>3142671</v>
      </c>
      <c r="C287" s="87" t="s">
        <v>2645</v>
      </c>
      <c r="D287" s="88">
        <v>869467565</v>
      </c>
      <c r="E287" s="87" t="s">
        <v>1932</v>
      </c>
      <c r="F287" s="87" t="s">
        <v>1933</v>
      </c>
      <c r="G287" s="87" t="s">
        <v>1934</v>
      </c>
      <c r="H287" s="87"/>
      <c r="I287" s="87"/>
      <c r="J287" s="94">
        <v>45904</v>
      </c>
      <c r="K287" s="87"/>
      <c r="L287" s="87" t="s">
        <v>1942</v>
      </c>
      <c r="M287" s="87" t="s">
        <v>654</v>
      </c>
      <c r="N287" s="90" t="s">
        <v>2646</v>
      </c>
      <c r="O287" s="91" t="s">
        <v>2201</v>
      </c>
      <c r="P287" s="91" t="s">
        <v>2016</v>
      </c>
      <c r="Q287" s="92">
        <v>2025</v>
      </c>
      <c r="R287" s="88" t="s">
        <v>1942</v>
      </c>
      <c r="S287" s="88" t="s">
        <v>1942</v>
      </c>
      <c r="T287" s="88" t="s">
        <v>1942</v>
      </c>
    </row>
    <row r="288" spans="1:20" ht="18" customHeight="1" x14ac:dyDescent="0.7">
      <c r="A288" s="85">
        <v>288</v>
      </c>
      <c r="B288" s="86">
        <v>3142673</v>
      </c>
      <c r="C288" s="87" t="s">
        <v>2647</v>
      </c>
      <c r="D288" s="88">
        <v>988335985</v>
      </c>
      <c r="E288" s="87" t="s">
        <v>1932</v>
      </c>
      <c r="F288" s="87" t="s">
        <v>1933</v>
      </c>
      <c r="G288" s="87" t="s">
        <v>1934</v>
      </c>
      <c r="H288" s="87"/>
      <c r="I288" s="87"/>
      <c r="J288" s="94">
        <v>45904</v>
      </c>
      <c r="K288" s="89">
        <v>45987</v>
      </c>
      <c r="L288" s="87" t="s">
        <v>1819</v>
      </c>
      <c r="M288" s="87" t="s">
        <v>654</v>
      </c>
      <c r="N288" s="90" t="s">
        <v>2622</v>
      </c>
      <c r="O288" s="91" t="s">
        <v>2015</v>
      </c>
      <c r="P288" s="91" t="s">
        <v>2016</v>
      </c>
      <c r="Q288" s="92">
        <v>2025</v>
      </c>
      <c r="R288" s="88" t="s">
        <v>1939</v>
      </c>
      <c r="S288" s="88" t="s">
        <v>1940</v>
      </c>
      <c r="T288" s="95">
        <v>2025</v>
      </c>
    </row>
    <row r="289" spans="1:20" ht="18" customHeight="1" x14ac:dyDescent="0.7">
      <c r="A289" s="85">
        <v>289</v>
      </c>
      <c r="B289" s="86">
        <v>3142813</v>
      </c>
      <c r="C289" s="87" t="s">
        <v>2648</v>
      </c>
      <c r="D289" s="88">
        <v>368375387</v>
      </c>
      <c r="E289" s="87" t="s">
        <v>1932</v>
      </c>
      <c r="F289" s="87" t="s">
        <v>1933</v>
      </c>
      <c r="G289" s="87" t="s">
        <v>1934</v>
      </c>
      <c r="H289" s="87"/>
      <c r="I289" s="87"/>
      <c r="J289" s="94">
        <v>45905</v>
      </c>
      <c r="K289" s="87"/>
      <c r="L289" s="87" t="s">
        <v>1942</v>
      </c>
      <c r="M289" s="87" t="s">
        <v>654</v>
      </c>
      <c r="N289" s="90" t="s">
        <v>2649</v>
      </c>
      <c r="O289" s="91" t="s">
        <v>2201</v>
      </c>
      <c r="P289" s="91" t="s">
        <v>2016</v>
      </c>
      <c r="Q289" s="92">
        <v>2025</v>
      </c>
      <c r="R289" s="88" t="s">
        <v>1942</v>
      </c>
      <c r="S289" s="88" t="s">
        <v>1942</v>
      </c>
      <c r="T289" s="88" t="s">
        <v>1942</v>
      </c>
    </row>
    <row r="290" spans="1:20" ht="18" customHeight="1" x14ac:dyDescent="0.7">
      <c r="A290" s="85">
        <v>290</v>
      </c>
      <c r="B290" s="86">
        <v>3142815</v>
      </c>
      <c r="C290" s="87" t="s">
        <v>2650</v>
      </c>
      <c r="D290" s="88">
        <v>769746244</v>
      </c>
      <c r="E290" s="87" t="s">
        <v>1932</v>
      </c>
      <c r="F290" s="87" t="s">
        <v>1933</v>
      </c>
      <c r="G290" s="87" t="s">
        <v>1934</v>
      </c>
      <c r="H290" s="87"/>
      <c r="I290" s="87"/>
      <c r="J290" s="94">
        <v>45905</v>
      </c>
      <c r="K290" s="87"/>
      <c r="L290" s="87" t="s">
        <v>1942</v>
      </c>
      <c r="M290" s="87" t="s">
        <v>654</v>
      </c>
      <c r="N290" s="90" t="s">
        <v>2649</v>
      </c>
      <c r="O290" s="91" t="s">
        <v>2201</v>
      </c>
      <c r="P290" s="91" t="s">
        <v>2016</v>
      </c>
      <c r="Q290" s="92">
        <v>2025</v>
      </c>
      <c r="R290" s="88" t="s">
        <v>1942</v>
      </c>
      <c r="S290" s="88" t="s">
        <v>1942</v>
      </c>
      <c r="T290" s="88" t="s">
        <v>1942</v>
      </c>
    </row>
    <row r="291" spans="1:20" ht="18" customHeight="1" x14ac:dyDescent="0.7">
      <c r="A291" s="85">
        <v>291</v>
      </c>
      <c r="B291" s="85">
        <v>3142817</v>
      </c>
      <c r="C291" s="87" t="s">
        <v>2651</v>
      </c>
      <c r="D291" s="88">
        <v>373497892</v>
      </c>
      <c r="E291" s="87" t="s">
        <v>1932</v>
      </c>
      <c r="F291" s="87" t="s">
        <v>1933</v>
      </c>
      <c r="G291" s="87" t="s">
        <v>1934</v>
      </c>
      <c r="H291" s="87"/>
      <c r="I291" s="87"/>
      <c r="J291" s="94">
        <v>45905</v>
      </c>
      <c r="K291" s="89">
        <v>46037</v>
      </c>
      <c r="L291" s="87" t="s">
        <v>1819</v>
      </c>
      <c r="M291" s="87" t="s">
        <v>654</v>
      </c>
      <c r="N291" s="90" t="s">
        <v>2649</v>
      </c>
      <c r="O291" s="91" t="s">
        <v>2201</v>
      </c>
      <c r="P291" s="91" t="s">
        <v>2016</v>
      </c>
      <c r="Q291" s="92">
        <v>2025</v>
      </c>
      <c r="R291" s="88" t="s">
        <v>2025</v>
      </c>
      <c r="S291" s="88" t="s">
        <v>2026</v>
      </c>
      <c r="T291" s="95">
        <v>2026</v>
      </c>
    </row>
    <row r="292" spans="1:20" ht="18" customHeight="1" x14ac:dyDescent="0.7">
      <c r="A292" s="85">
        <v>292</v>
      </c>
      <c r="B292" s="85">
        <v>3142819</v>
      </c>
      <c r="C292" s="87" t="s">
        <v>2652</v>
      </c>
      <c r="D292" s="88">
        <v>393050567</v>
      </c>
      <c r="E292" s="87" t="s">
        <v>1932</v>
      </c>
      <c r="F292" s="87" t="s">
        <v>1933</v>
      </c>
      <c r="G292" s="87" t="s">
        <v>1934</v>
      </c>
      <c r="H292" s="87"/>
      <c r="I292" s="87"/>
      <c r="J292" s="94">
        <v>45905</v>
      </c>
      <c r="K292" s="94">
        <v>45938</v>
      </c>
      <c r="L292" s="87" t="s">
        <v>1819</v>
      </c>
      <c r="M292" s="87" t="s">
        <v>654</v>
      </c>
      <c r="N292" s="90" t="s">
        <v>1946</v>
      </c>
      <c r="O292" s="91" t="s">
        <v>1947</v>
      </c>
      <c r="P292" s="91" t="s">
        <v>2016</v>
      </c>
      <c r="Q292" s="92">
        <v>2025</v>
      </c>
      <c r="R292" s="88" t="s">
        <v>2001</v>
      </c>
      <c r="S292" s="88" t="s">
        <v>1995</v>
      </c>
      <c r="T292" s="95">
        <v>2025</v>
      </c>
    </row>
    <row r="293" spans="1:20" ht="18" customHeight="1" x14ac:dyDescent="0.7">
      <c r="A293" s="85">
        <v>293</v>
      </c>
      <c r="B293" s="86">
        <v>3143529</v>
      </c>
      <c r="C293" s="88" t="s">
        <v>2653</v>
      </c>
      <c r="D293" s="88">
        <v>368404085</v>
      </c>
      <c r="E293" s="87" t="s">
        <v>1932</v>
      </c>
      <c r="F293" s="87" t="s">
        <v>1933</v>
      </c>
      <c r="G293" s="87" t="s">
        <v>1934</v>
      </c>
      <c r="H293" s="87"/>
      <c r="I293" s="87"/>
      <c r="J293" s="94">
        <v>45910</v>
      </c>
      <c r="K293" s="89">
        <v>45986</v>
      </c>
      <c r="L293" s="87" t="s">
        <v>1819</v>
      </c>
      <c r="M293" s="87" t="s">
        <v>654</v>
      </c>
      <c r="N293" s="90" t="s">
        <v>2654</v>
      </c>
      <c r="O293" s="91" t="s">
        <v>2015</v>
      </c>
      <c r="P293" s="91" t="s">
        <v>2655</v>
      </c>
      <c r="Q293" s="92">
        <v>2025</v>
      </c>
      <c r="R293" s="88" t="s">
        <v>1939</v>
      </c>
      <c r="S293" s="88" t="s">
        <v>1940</v>
      </c>
      <c r="T293" s="95">
        <v>2025</v>
      </c>
    </row>
    <row r="294" spans="1:20" ht="18" customHeight="1" x14ac:dyDescent="0.7">
      <c r="A294" s="85">
        <v>294</v>
      </c>
      <c r="B294" s="86">
        <v>3143720</v>
      </c>
      <c r="C294" s="87" t="s">
        <v>2656</v>
      </c>
      <c r="D294" s="88">
        <v>937346340</v>
      </c>
      <c r="E294" s="87" t="s">
        <v>1932</v>
      </c>
      <c r="F294" s="87" t="s">
        <v>1933</v>
      </c>
      <c r="G294" s="87" t="s">
        <v>1934</v>
      </c>
      <c r="H294" s="87"/>
      <c r="I294" s="87"/>
      <c r="J294" s="94">
        <v>45911</v>
      </c>
      <c r="K294" s="87"/>
      <c r="L294" s="87" t="s">
        <v>1942</v>
      </c>
      <c r="M294" s="87" t="s">
        <v>654</v>
      </c>
      <c r="N294" s="90" t="s">
        <v>2657</v>
      </c>
      <c r="O294" s="91" t="s">
        <v>2201</v>
      </c>
      <c r="P294" s="91" t="s">
        <v>2655</v>
      </c>
      <c r="Q294" s="92">
        <v>2025</v>
      </c>
      <c r="R294" s="88" t="s">
        <v>1942</v>
      </c>
      <c r="S294" s="88" t="s">
        <v>1942</v>
      </c>
      <c r="T294" s="88" t="s">
        <v>1942</v>
      </c>
    </row>
    <row r="295" spans="1:20" ht="18" customHeight="1" x14ac:dyDescent="0.7">
      <c r="A295" s="85">
        <v>295</v>
      </c>
      <c r="B295" s="86">
        <v>3143722</v>
      </c>
      <c r="C295" s="87" t="s">
        <v>2658</v>
      </c>
      <c r="D295" s="88">
        <v>974221634</v>
      </c>
      <c r="E295" s="87" t="s">
        <v>1932</v>
      </c>
      <c r="F295" s="87" t="s">
        <v>1933</v>
      </c>
      <c r="G295" s="87" t="s">
        <v>1934</v>
      </c>
      <c r="H295" s="87"/>
      <c r="I295" s="87"/>
      <c r="J295" s="94">
        <v>45911</v>
      </c>
      <c r="K295" s="94">
        <v>45950</v>
      </c>
      <c r="L295" s="87" t="s">
        <v>1819</v>
      </c>
      <c r="M295" s="87" t="s">
        <v>654</v>
      </c>
      <c r="N295" s="90" t="s">
        <v>2620</v>
      </c>
      <c r="O295" s="91" t="s">
        <v>1947</v>
      </c>
      <c r="P295" s="91" t="s">
        <v>2655</v>
      </c>
      <c r="Q295" s="92">
        <v>2025</v>
      </c>
      <c r="R295" s="88" t="s">
        <v>2069</v>
      </c>
      <c r="S295" s="88" t="s">
        <v>1995</v>
      </c>
      <c r="T295" s="95">
        <v>2025</v>
      </c>
    </row>
    <row r="296" spans="1:20" ht="18" customHeight="1" x14ac:dyDescent="0.7">
      <c r="A296" s="85">
        <v>296</v>
      </c>
      <c r="B296" s="86">
        <v>3143848</v>
      </c>
      <c r="C296" s="87" t="s">
        <v>2659</v>
      </c>
      <c r="D296" s="88">
        <v>346464583</v>
      </c>
      <c r="E296" s="87" t="s">
        <v>1932</v>
      </c>
      <c r="F296" s="87" t="s">
        <v>1933</v>
      </c>
      <c r="G296" s="87" t="s">
        <v>1934</v>
      </c>
      <c r="H296" s="87"/>
      <c r="I296" s="87"/>
      <c r="J296" s="94">
        <v>45912</v>
      </c>
      <c r="K296" s="94">
        <v>45958</v>
      </c>
      <c r="L296" s="87" t="s">
        <v>1819</v>
      </c>
      <c r="M296" s="87" t="s">
        <v>654</v>
      </c>
      <c r="N296" s="90" t="s">
        <v>1988</v>
      </c>
      <c r="O296" s="91" t="s">
        <v>1947</v>
      </c>
      <c r="P296" s="91" t="s">
        <v>2655</v>
      </c>
      <c r="Q296" s="92">
        <v>2025</v>
      </c>
      <c r="R296" s="88" t="s">
        <v>1994</v>
      </c>
      <c r="S296" s="88" t="s">
        <v>1995</v>
      </c>
      <c r="T296" s="95">
        <v>2025</v>
      </c>
    </row>
    <row r="297" spans="1:20" ht="18" customHeight="1" x14ac:dyDescent="0.7">
      <c r="A297" s="85">
        <v>297</v>
      </c>
      <c r="B297" s="86">
        <v>3143889</v>
      </c>
      <c r="C297" s="87" t="s">
        <v>2660</v>
      </c>
      <c r="D297" s="88">
        <v>907228728</v>
      </c>
      <c r="E297" s="87" t="s">
        <v>1932</v>
      </c>
      <c r="F297" s="87" t="s">
        <v>1933</v>
      </c>
      <c r="G297" s="87" t="s">
        <v>1934</v>
      </c>
      <c r="H297" s="87"/>
      <c r="I297" s="87"/>
      <c r="J297" s="94">
        <v>45912</v>
      </c>
      <c r="K297" s="89">
        <v>46062</v>
      </c>
      <c r="L297" s="87" t="s">
        <v>1819</v>
      </c>
      <c r="M297" s="87" t="s">
        <v>654</v>
      </c>
      <c r="N297" s="90" t="s">
        <v>2661</v>
      </c>
      <c r="O297" s="91" t="s">
        <v>2181</v>
      </c>
      <c r="P297" s="91" t="s">
        <v>2655</v>
      </c>
      <c r="Q297" s="92">
        <v>2025</v>
      </c>
      <c r="R297" s="88" t="s">
        <v>2072</v>
      </c>
      <c r="S297" s="88" t="s">
        <v>1977</v>
      </c>
      <c r="T297" s="95">
        <v>2026</v>
      </c>
    </row>
    <row r="298" spans="1:20" ht="18" customHeight="1" x14ac:dyDescent="0.7">
      <c r="A298" s="85">
        <v>298</v>
      </c>
      <c r="B298" s="86">
        <v>3143890</v>
      </c>
      <c r="C298" s="87" t="s">
        <v>2662</v>
      </c>
      <c r="D298" s="88">
        <v>933262408</v>
      </c>
      <c r="E298" s="87" t="s">
        <v>1932</v>
      </c>
      <c r="F298" s="87" t="s">
        <v>1933</v>
      </c>
      <c r="G298" s="87" t="s">
        <v>1934</v>
      </c>
      <c r="H298" s="87"/>
      <c r="I298" s="87"/>
      <c r="J298" s="94">
        <v>45912</v>
      </c>
      <c r="K298" s="94">
        <v>45938</v>
      </c>
      <c r="L298" s="87" t="s">
        <v>1819</v>
      </c>
      <c r="M298" s="87" t="s">
        <v>654</v>
      </c>
      <c r="N298" s="90" t="s">
        <v>2587</v>
      </c>
      <c r="O298" s="91" t="s">
        <v>1952</v>
      </c>
      <c r="P298" s="91" t="s">
        <v>2655</v>
      </c>
      <c r="Q298" s="92">
        <v>2025</v>
      </c>
      <c r="R298" s="88" t="s">
        <v>2001</v>
      </c>
      <c r="S298" s="88" t="s">
        <v>1995</v>
      </c>
      <c r="T298" s="95">
        <v>2025</v>
      </c>
    </row>
    <row r="299" spans="1:20" ht="18" customHeight="1" x14ac:dyDescent="0.7">
      <c r="A299" s="85">
        <v>299</v>
      </c>
      <c r="B299" s="86">
        <v>3144366</v>
      </c>
      <c r="C299" s="87" t="s">
        <v>2663</v>
      </c>
      <c r="D299" s="88">
        <v>779834556</v>
      </c>
      <c r="E299" s="87" t="s">
        <v>1932</v>
      </c>
      <c r="F299" s="87" t="s">
        <v>1933</v>
      </c>
      <c r="G299" s="87" t="s">
        <v>1934</v>
      </c>
      <c r="H299" s="87"/>
      <c r="I299" s="87"/>
      <c r="J299" s="94">
        <v>45916</v>
      </c>
      <c r="K299" s="89">
        <v>46085</v>
      </c>
      <c r="L299" s="87" t="s">
        <v>1819</v>
      </c>
      <c r="M299" s="87" t="s">
        <v>654</v>
      </c>
      <c r="N299" s="90" t="s">
        <v>2664</v>
      </c>
      <c r="O299" s="91" t="s">
        <v>2181</v>
      </c>
      <c r="P299" s="91" t="s">
        <v>2083</v>
      </c>
      <c r="Q299" s="92">
        <v>2025</v>
      </c>
      <c r="R299" s="88" t="s">
        <v>2665</v>
      </c>
      <c r="S299" s="88" t="s">
        <v>2007</v>
      </c>
      <c r="T299" s="95">
        <v>2026</v>
      </c>
    </row>
    <row r="300" spans="1:20" ht="18" customHeight="1" x14ac:dyDescent="0.7">
      <c r="A300" s="85">
        <v>300</v>
      </c>
      <c r="B300" s="86">
        <v>3144368</v>
      </c>
      <c r="C300" s="87" t="s">
        <v>2666</v>
      </c>
      <c r="D300" s="88">
        <v>353914001</v>
      </c>
      <c r="E300" s="87" t="s">
        <v>1932</v>
      </c>
      <c r="F300" s="87" t="s">
        <v>1933</v>
      </c>
      <c r="G300" s="87" t="s">
        <v>1934</v>
      </c>
      <c r="H300" s="87"/>
      <c r="I300" s="87"/>
      <c r="J300" s="94">
        <v>45916</v>
      </c>
      <c r="K300" s="89">
        <v>45986</v>
      </c>
      <c r="L300" s="87" t="s">
        <v>1819</v>
      </c>
      <c r="M300" s="87" t="s">
        <v>654</v>
      </c>
      <c r="N300" s="90" t="s">
        <v>2667</v>
      </c>
      <c r="O300" s="91" t="s">
        <v>2015</v>
      </c>
      <c r="P300" s="91" t="s">
        <v>2083</v>
      </c>
      <c r="Q300" s="92">
        <v>2025</v>
      </c>
      <c r="R300" s="88" t="s">
        <v>1939</v>
      </c>
      <c r="S300" s="88" t="s">
        <v>1940</v>
      </c>
      <c r="T300" s="95">
        <v>2025</v>
      </c>
    </row>
    <row r="301" spans="1:20" ht="18" customHeight="1" x14ac:dyDescent="0.7">
      <c r="A301" s="85">
        <v>301</v>
      </c>
      <c r="B301" s="86">
        <v>3144375</v>
      </c>
      <c r="C301" s="87" t="s">
        <v>2668</v>
      </c>
      <c r="D301" s="88">
        <v>384518113</v>
      </c>
      <c r="E301" s="87" t="s">
        <v>1932</v>
      </c>
      <c r="F301" s="87" t="s">
        <v>1933</v>
      </c>
      <c r="G301" s="87" t="s">
        <v>1934</v>
      </c>
      <c r="H301" s="87"/>
      <c r="I301" s="87"/>
      <c r="J301" s="94">
        <v>45916</v>
      </c>
      <c r="K301" s="89">
        <v>45986</v>
      </c>
      <c r="L301" s="87" t="s">
        <v>1819</v>
      </c>
      <c r="M301" s="87" t="s">
        <v>654</v>
      </c>
      <c r="N301" s="90" t="s">
        <v>2667</v>
      </c>
      <c r="O301" s="91" t="s">
        <v>2015</v>
      </c>
      <c r="P301" s="91" t="s">
        <v>2083</v>
      </c>
      <c r="Q301" s="92">
        <v>2025</v>
      </c>
      <c r="R301" s="88" t="s">
        <v>1939</v>
      </c>
      <c r="S301" s="88" t="s">
        <v>1940</v>
      </c>
      <c r="T301" s="95">
        <v>2025</v>
      </c>
    </row>
    <row r="302" spans="1:20" ht="18" customHeight="1" x14ac:dyDescent="0.7">
      <c r="A302" s="85">
        <v>302</v>
      </c>
      <c r="B302" s="86">
        <v>3144376</v>
      </c>
      <c r="C302" s="87" t="s">
        <v>2669</v>
      </c>
      <c r="D302" s="88">
        <v>983762693</v>
      </c>
      <c r="E302" s="87" t="s">
        <v>1932</v>
      </c>
      <c r="F302" s="87" t="s">
        <v>1933</v>
      </c>
      <c r="G302" s="87" t="s">
        <v>1934</v>
      </c>
      <c r="H302" s="87"/>
      <c r="I302" s="87"/>
      <c r="J302" s="94">
        <v>45916</v>
      </c>
      <c r="K302" s="94">
        <v>45936</v>
      </c>
      <c r="L302" s="87" t="s">
        <v>1819</v>
      </c>
      <c r="M302" s="87" t="s">
        <v>654</v>
      </c>
      <c r="N302" s="90" t="s">
        <v>2670</v>
      </c>
      <c r="O302" s="91" t="s">
        <v>1952</v>
      </c>
      <c r="P302" s="91" t="s">
        <v>2083</v>
      </c>
      <c r="Q302" s="92">
        <v>2025</v>
      </c>
      <c r="R302" s="88" t="s">
        <v>2001</v>
      </c>
      <c r="S302" s="88" t="s">
        <v>1995</v>
      </c>
      <c r="T302" s="95">
        <v>2025</v>
      </c>
    </row>
    <row r="303" spans="1:20" ht="18" customHeight="1" x14ac:dyDescent="0.7">
      <c r="A303" s="85">
        <v>303</v>
      </c>
      <c r="B303" s="86">
        <v>3144377</v>
      </c>
      <c r="C303" s="87" t="s">
        <v>2671</v>
      </c>
      <c r="D303" s="88">
        <v>931332115</v>
      </c>
      <c r="E303" s="87" t="s">
        <v>1932</v>
      </c>
      <c r="F303" s="87" t="s">
        <v>1933</v>
      </c>
      <c r="G303" s="87" t="s">
        <v>1934</v>
      </c>
      <c r="H303" s="87"/>
      <c r="I303" s="87"/>
      <c r="J303" s="94">
        <v>45916</v>
      </c>
      <c r="K303" s="89">
        <v>45986</v>
      </c>
      <c r="L303" s="87" t="s">
        <v>1819</v>
      </c>
      <c r="M303" s="87" t="s">
        <v>654</v>
      </c>
      <c r="N303" s="90" t="s">
        <v>2667</v>
      </c>
      <c r="O303" s="91" t="s">
        <v>2015</v>
      </c>
      <c r="P303" s="91" t="s">
        <v>2083</v>
      </c>
      <c r="Q303" s="92">
        <v>2025</v>
      </c>
      <c r="R303" s="88" t="s">
        <v>1939</v>
      </c>
      <c r="S303" s="88" t="s">
        <v>1940</v>
      </c>
      <c r="T303" s="95">
        <v>2025</v>
      </c>
    </row>
    <row r="304" spans="1:20" ht="18" customHeight="1" x14ac:dyDescent="0.7">
      <c r="A304" s="85">
        <v>304</v>
      </c>
      <c r="B304" s="86">
        <v>3144455</v>
      </c>
      <c r="C304" s="87" t="s">
        <v>2672</v>
      </c>
      <c r="D304" s="88">
        <v>981818249</v>
      </c>
      <c r="E304" s="87" t="s">
        <v>1932</v>
      </c>
      <c r="F304" s="87" t="s">
        <v>1933</v>
      </c>
      <c r="G304" s="87" t="s">
        <v>1934</v>
      </c>
      <c r="H304" s="87"/>
      <c r="I304" s="87"/>
      <c r="J304" s="94">
        <v>45916</v>
      </c>
      <c r="K304" s="94">
        <v>45930</v>
      </c>
      <c r="L304" s="87" t="s">
        <v>1819</v>
      </c>
      <c r="M304" s="87" t="s">
        <v>654</v>
      </c>
      <c r="N304" s="90" t="s">
        <v>1971</v>
      </c>
      <c r="O304" s="91" t="s">
        <v>1952</v>
      </c>
      <c r="P304" s="91" t="s">
        <v>2083</v>
      </c>
      <c r="Q304" s="92">
        <v>2025</v>
      </c>
      <c r="R304" s="88" t="s">
        <v>2034</v>
      </c>
      <c r="S304" s="88" t="s">
        <v>2017</v>
      </c>
      <c r="T304" s="95">
        <v>2025</v>
      </c>
    </row>
    <row r="305" spans="1:20" ht="18" customHeight="1" x14ac:dyDescent="0.7">
      <c r="A305" s="85">
        <v>305</v>
      </c>
      <c r="B305" s="86">
        <v>3144679</v>
      </c>
      <c r="C305" s="87" t="s">
        <v>2673</v>
      </c>
      <c r="D305" s="88">
        <v>795671968</v>
      </c>
      <c r="E305" s="87" t="s">
        <v>1932</v>
      </c>
      <c r="F305" s="87" t="s">
        <v>1933</v>
      </c>
      <c r="G305" s="87" t="s">
        <v>1934</v>
      </c>
      <c r="H305" s="87"/>
      <c r="I305" s="87"/>
      <c r="J305" s="94">
        <v>45918</v>
      </c>
      <c r="K305" s="89">
        <v>45986</v>
      </c>
      <c r="L305" s="87" t="s">
        <v>1819</v>
      </c>
      <c r="M305" s="87" t="s">
        <v>654</v>
      </c>
      <c r="N305" s="90" t="s">
        <v>2674</v>
      </c>
      <c r="O305" s="91" t="s">
        <v>2015</v>
      </c>
      <c r="P305" s="91" t="s">
        <v>2083</v>
      </c>
      <c r="Q305" s="92">
        <v>2025</v>
      </c>
      <c r="R305" s="88" t="s">
        <v>1939</v>
      </c>
      <c r="S305" s="88" t="s">
        <v>1940</v>
      </c>
      <c r="T305" s="95">
        <v>2025</v>
      </c>
    </row>
    <row r="306" spans="1:20" ht="18" customHeight="1" x14ac:dyDescent="0.7">
      <c r="A306" s="85">
        <v>306</v>
      </c>
      <c r="B306" s="86">
        <v>3144682</v>
      </c>
      <c r="C306" s="87" t="s">
        <v>2675</v>
      </c>
      <c r="D306" s="88">
        <v>989996607</v>
      </c>
      <c r="E306" s="87" t="s">
        <v>1932</v>
      </c>
      <c r="F306" s="87" t="s">
        <v>1933</v>
      </c>
      <c r="G306" s="87" t="s">
        <v>1934</v>
      </c>
      <c r="H306" s="87"/>
      <c r="I306" s="87"/>
      <c r="J306" s="94">
        <v>45918</v>
      </c>
      <c r="K306" s="87"/>
      <c r="L306" s="87" t="s">
        <v>1942</v>
      </c>
      <c r="M306" s="87" t="s">
        <v>654</v>
      </c>
      <c r="N306" s="90" t="s">
        <v>2676</v>
      </c>
      <c r="O306" s="91" t="s">
        <v>2181</v>
      </c>
      <c r="P306" s="91" t="s">
        <v>2083</v>
      </c>
      <c r="Q306" s="92">
        <v>2025</v>
      </c>
      <c r="R306" s="88" t="s">
        <v>1942</v>
      </c>
      <c r="S306" s="88" t="s">
        <v>1942</v>
      </c>
      <c r="T306" s="88" t="s">
        <v>1942</v>
      </c>
    </row>
    <row r="307" spans="1:20" ht="18" customHeight="1" x14ac:dyDescent="0.7">
      <c r="A307" s="85">
        <v>307</v>
      </c>
      <c r="B307" s="85">
        <v>3127213</v>
      </c>
      <c r="C307" s="88" t="s">
        <v>2677</v>
      </c>
      <c r="D307" s="88">
        <v>355819945</v>
      </c>
      <c r="E307" s="87" t="s">
        <v>1932</v>
      </c>
      <c r="F307" s="87" t="s">
        <v>1933</v>
      </c>
      <c r="G307" s="88" t="s">
        <v>2219</v>
      </c>
      <c r="H307" s="87"/>
      <c r="I307" s="88" t="s">
        <v>226</v>
      </c>
      <c r="J307" s="94">
        <v>45912</v>
      </c>
      <c r="K307" s="94">
        <v>45962</v>
      </c>
      <c r="L307" s="87" t="s">
        <v>1819</v>
      </c>
      <c r="M307" s="87" t="s">
        <v>654</v>
      </c>
      <c r="N307" s="90" t="s">
        <v>2678</v>
      </c>
      <c r="O307" s="91" t="s">
        <v>1947</v>
      </c>
      <c r="P307" s="91" t="s">
        <v>2655</v>
      </c>
      <c r="Q307" s="92">
        <v>2025</v>
      </c>
      <c r="R307" s="88" t="s">
        <v>1994</v>
      </c>
      <c r="S307" s="88" t="s">
        <v>1940</v>
      </c>
      <c r="T307" s="95">
        <v>2025</v>
      </c>
    </row>
    <row r="308" spans="1:20" ht="18" customHeight="1" x14ac:dyDescent="0.7">
      <c r="A308" s="85">
        <v>308</v>
      </c>
      <c r="B308" s="85">
        <v>3145049</v>
      </c>
      <c r="C308" s="88" t="s">
        <v>2679</v>
      </c>
      <c r="D308" s="88">
        <v>966180009</v>
      </c>
      <c r="E308" s="87" t="s">
        <v>1932</v>
      </c>
      <c r="F308" s="87" t="s">
        <v>1933</v>
      </c>
      <c r="G308" s="88" t="s">
        <v>2219</v>
      </c>
      <c r="H308" s="87"/>
      <c r="I308" s="88" t="s">
        <v>226</v>
      </c>
      <c r="J308" s="94">
        <v>45923</v>
      </c>
      <c r="K308" s="94">
        <v>45962</v>
      </c>
      <c r="L308" s="87" t="s">
        <v>1819</v>
      </c>
      <c r="M308" s="87" t="s">
        <v>654</v>
      </c>
      <c r="N308" s="90" t="s">
        <v>2620</v>
      </c>
      <c r="O308" s="91" t="s">
        <v>1947</v>
      </c>
      <c r="P308" s="91" t="s">
        <v>2020</v>
      </c>
      <c r="Q308" s="92">
        <v>2025</v>
      </c>
      <c r="R308" s="88" t="s">
        <v>1994</v>
      </c>
      <c r="S308" s="88" t="s">
        <v>1940</v>
      </c>
      <c r="T308" s="95">
        <v>2025</v>
      </c>
    </row>
    <row r="309" spans="1:20" ht="18" customHeight="1" x14ac:dyDescent="0.7">
      <c r="A309" s="85">
        <v>309</v>
      </c>
      <c r="B309" s="86">
        <v>3144795</v>
      </c>
      <c r="C309" s="88" t="s">
        <v>2680</v>
      </c>
      <c r="D309" s="88">
        <v>907994957</v>
      </c>
      <c r="E309" s="87" t="s">
        <v>1932</v>
      </c>
      <c r="F309" s="87" t="s">
        <v>1933</v>
      </c>
      <c r="G309" s="87" t="s">
        <v>1934</v>
      </c>
      <c r="H309" s="87"/>
      <c r="I309" s="87"/>
      <c r="J309" s="94">
        <v>45919</v>
      </c>
      <c r="K309" s="87"/>
      <c r="L309" s="87" t="s">
        <v>1942</v>
      </c>
      <c r="M309" s="87" t="s">
        <v>654</v>
      </c>
      <c r="N309" s="90" t="s">
        <v>2681</v>
      </c>
      <c r="O309" s="91" t="s">
        <v>2181</v>
      </c>
      <c r="P309" s="91" t="s">
        <v>2083</v>
      </c>
      <c r="Q309" s="92">
        <v>2025</v>
      </c>
      <c r="R309" s="88" t="s">
        <v>1942</v>
      </c>
      <c r="S309" s="88" t="s">
        <v>1942</v>
      </c>
      <c r="T309" s="88" t="s">
        <v>1942</v>
      </c>
    </row>
    <row r="310" spans="1:20" ht="18" customHeight="1" x14ac:dyDescent="0.7">
      <c r="A310" s="85">
        <v>310</v>
      </c>
      <c r="B310" s="86">
        <v>3145037</v>
      </c>
      <c r="C310" s="87" t="s">
        <v>2682</v>
      </c>
      <c r="D310" s="88">
        <v>987648946</v>
      </c>
      <c r="E310" s="87" t="s">
        <v>1932</v>
      </c>
      <c r="F310" s="87" t="s">
        <v>1933</v>
      </c>
      <c r="G310" s="87" t="s">
        <v>1934</v>
      </c>
      <c r="H310" s="87"/>
      <c r="I310" s="87"/>
      <c r="J310" s="89">
        <v>45922</v>
      </c>
      <c r="K310" s="87"/>
      <c r="L310" s="87" t="s">
        <v>1942</v>
      </c>
      <c r="M310" s="87" t="s">
        <v>654</v>
      </c>
      <c r="N310" s="90" t="s">
        <v>2683</v>
      </c>
      <c r="O310" s="91" t="s">
        <v>2181</v>
      </c>
      <c r="P310" s="91" t="s">
        <v>2020</v>
      </c>
      <c r="Q310" s="92">
        <v>2025</v>
      </c>
      <c r="R310" s="88" t="s">
        <v>1942</v>
      </c>
      <c r="S310" s="88" t="s">
        <v>1942</v>
      </c>
      <c r="T310" s="88" t="s">
        <v>1942</v>
      </c>
    </row>
    <row r="311" spans="1:20" ht="18" customHeight="1" x14ac:dyDescent="0.7">
      <c r="A311" s="85">
        <v>311</v>
      </c>
      <c r="B311" s="86">
        <v>3145119</v>
      </c>
      <c r="C311" s="87" t="s">
        <v>2684</v>
      </c>
      <c r="D311" s="88">
        <v>969544533</v>
      </c>
      <c r="E311" s="87" t="s">
        <v>1932</v>
      </c>
      <c r="F311" s="87" t="s">
        <v>1933</v>
      </c>
      <c r="G311" s="87" t="s">
        <v>1934</v>
      </c>
      <c r="H311" s="87"/>
      <c r="I311" s="87"/>
      <c r="J311" s="89">
        <v>45923</v>
      </c>
      <c r="K311" s="89">
        <v>46079</v>
      </c>
      <c r="L311" s="87" t="s">
        <v>1819</v>
      </c>
      <c r="M311" s="87" t="s">
        <v>654</v>
      </c>
      <c r="N311" s="90" t="s">
        <v>2685</v>
      </c>
      <c r="O311" s="91" t="s">
        <v>2181</v>
      </c>
      <c r="P311" s="91" t="s">
        <v>2020</v>
      </c>
      <c r="Q311" s="92">
        <v>2025</v>
      </c>
      <c r="R311" s="88" t="s">
        <v>1976</v>
      </c>
      <c r="S311" s="88" t="s">
        <v>1977</v>
      </c>
      <c r="T311" s="95">
        <v>2026</v>
      </c>
    </row>
    <row r="312" spans="1:20" ht="18" customHeight="1" x14ac:dyDescent="0.7">
      <c r="A312" s="85">
        <v>312</v>
      </c>
      <c r="B312" s="86">
        <v>3145331</v>
      </c>
      <c r="C312" s="87" t="s">
        <v>2686</v>
      </c>
      <c r="D312" s="88">
        <v>394770373</v>
      </c>
      <c r="E312" s="87" t="s">
        <v>1932</v>
      </c>
      <c r="F312" s="87" t="s">
        <v>1933</v>
      </c>
      <c r="G312" s="87" t="s">
        <v>1934</v>
      </c>
      <c r="H312" s="87"/>
      <c r="I312" s="87"/>
      <c r="J312" s="89">
        <v>45925</v>
      </c>
      <c r="K312" s="89">
        <v>45987</v>
      </c>
      <c r="L312" s="87" t="s">
        <v>1819</v>
      </c>
      <c r="M312" s="87" t="s">
        <v>654</v>
      </c>
      <c r="N312" s="90" t="s">
        <v>2038</v>
      </c>
      <c r="O312" s="91" t="s">
        <v>2015</v>
      </c>
      <c r="P312" s="91" t="s">
        <v>2020</v>
      </c>
      <c r="Q312" s="92">
        <v>2025</v>
      </c>
      <c r="R312" s="88" t="s">
        <v>1939</v>
      </c>
      <c r="S312" s="88" t="s">
        <v>1940</v>
      </c>
      <c r="T312" s="95">
        <v>2025</v>
      </c>
    </row>
    <row r="313" spans="1:20" ht="18" customHeight="1" x14ac:dyDescent="0.7">
      <c r="A313" s="85">
        <v>313</v>
      </c>
      <c r="B313" s="86">
        <v>3145334</v>
      </c>
      <c r="C313" s="87" t="s">
        <v>2687</v>
      </c>
      <c r="D313" s="88">
        <v>363904651</v>
      </c>
      <c r="E313" s="87" t="s">
        <v>1932</v>
      </c>
      <c r="F313" s="87" t="s">
        <v>1933</v>
      </c>
      <c r="G313" s="87" t="s">
        <v>1934</v>
      </c>
      <c r="H313" s="87"/>
      <c r="I313" s="87"/>
      <c r="J313" s="89">
        <v>45925</v>
      </c>
      <c r="K313" s="89">
        <v>45987</v>
      </c>
      <c r="L313" s="87" t="s">
        <v>1819</v>
      </c>
      <c r="M313" s="87" t="s">
        <v>654</v>
      </c>
      <c r="N313" s="90" t="s">
        <v>2038</v>
      </c>
      <c r="O313" s="91" t="s">
        <v>2015</v>
      </c>
      <c r="P313" s="91" t="s">
        <v>2020</v>
      </c>
      <c r="Q313" s="92">
        <v>2025</v>
      </c>
      <c r="R313" s="88" t="s">
        <v>1939</v>
      </c>
      <c r="S313" s="88" t="s">
        <v>1940</v>
      </c>
      <c r="T313" s="95">
        <v>2025</v>
      </c>
    </row>
    <row r="314" spans="1:20" ht="18" customHeight="1" x14ac:dyDescent="0.7">
      <c r="A314" s="85">
        <v>314</v>
      </c>
      <c r="B314" s="86">
        <v>3145603</v>
      </c>
      <c r="C314" s="87" t="s">
        <v>1835</v>
      </c>
      <c r="D314" s="88">
        <v>867202483</v>
      </c>
      <c r="E314" s="87" t="s">
        <v>1932</v>
      </c>
      <c r="F314" s="87" t="s">
        <v>1933</v>
      </c>
      <c r="G314" s="87" t="s">
        <v>1934</v>
      </c>
      <c r="H314" s="87"/>
      <c r="I314" s="87"/>
      <c r="J314" s="89">
        <v>45929</v>
      </c>
      <c r="K314" s="87"/>
      <c r="L314" s="87" t="s">
        <v>1942</v>
      </c>
      <c r="M314" s="87" t="s">
        <v>654</v>
      </c>
      <c r="N314" s="90" t="s">
        <v>2688</v>
      </c>
      <c r="O314" s="91" t="s">
        <v>2181</v>
      </c>
      <c r="P314" s="91" t="s">
        <v>2034</v>
      </c>
      <c r="Q314" s="92">
        <v>2025</v>
      </c>
      <c r="R314" s="88" t="s">
        <v>1942</v>
      </c>
      <c r="S314" s="88" t="s">
        <v>1942</v>
      </c>
      <c r="T314" s="88" t="s">
        <v>1942</v>
      </c>
    </row>
    <row r="315" spans="1:20" ht="18" customHeight="1" x14ac:dyDescent="0.7">
      <c r="A315" s="85">
        <v>315</v>
      </c>
      <c r="B315" s="86">
        <v>3145606</v>
      </c>
      <c r="C315" s="87" t="s">
        <v>2689</v>
      </c>
      <c r="D315" s="88">
        <v>968987524</v>
      </c>
      <c r="E315" s="87" t="s">
        <v>1932</v>
      </c>
      <c r="F315" s="87" t="s">
        <v>1933</v>
      </c>
      <c r="G315" s="87" t="s">
        <v>1934</v>
      </c>
      <c r="H315" s="87"/>
      <c r="I315" s="87"/>
      <c r="J315" s="89">
        <v>45929</v>
      </c>
      <c r="K315" s="87"/>
      <c r="L315" s="87" t="s">
        <v>1942</v>
      </c>
      <c r="M315" s="87" t="s">
        <v>654</v>
      </c>
      <c r="N315" s="90" t="s">
        <v>2688</v>
      </c>
      <c r="O315" s="91" t="s">
        <v>2181</v>
      </c>
      <c r="P315" s="91" t="s">
        <v>2034</v>
      </c>
      <c r="Q315" s="92">
        <v>2025</v>
      </c>
      <c r="R315" s="88" t="s">
        <v>1942</v>
      </c>
      <c r="S315" s="88" t="s">
        <v>1942</v>
      </c>
      <c r="T315" s="88" t="s">
        <v>1942</v>
      </c>
    </row>
    <row r="316" spans="1:20" ht="18" customHeight="1" x14ac:dyDescent="0.7">
      <c r="A316" s="85">
        <v>316</v>
      </c>
      <c r="B316" s="86">
        <v>3145712</v>
      </c>
      <c r="C316" s="87" t="s">
        <v>2690</v>
      </c>
      <c r="D316" s="88">
        <v>867097729</v>
      </c>
      <c r="E316" s="87" t="s">
        <v>1932</v>
      </c>
      <c r="F316" s="87" t="s">
        <v>1933</v>
      </c>
      <c r="G316" s="87" t="s">
        <v>1934</v>
      </c>
      <c r="H316" s="87"/>
      <c r="I316" s="87"/>
      <c r="J316" s="89">
        <v>45930</v>
      </c>
      <c r="K316" s="89">
        <v>45986</v>
      </c>
      <c r="L316" s="87" t="s">
        <v>1819</v>
      </c>
      <c r="M316" s="87" t="s">
        <v>654</v>
      </c>
      <c r="N316" s="90" t="s">
        <v>2691</v>
      </c>
      <c r="O316" s="91" t="s">
        <v>1947</v>
      </c>
      <c r="P316" s="91" t="s">
        <v>2034</v>
      </c>
      <c r="Q316" s="92">
        <v>2025</v>
      </c>
      <c r="R316" s="88" t="s">
        <v>1939</v>
      </c>
      <c r="S316" s="88" t="s">
        <v>1940</v>
      </c>
      <c r="T316" s="95">
        <v>2025</v>
      </c>
    </row>
    <row r="317" spans="1:20" ht="18" customHeight="1" x14ac:dyDescent="0.7">
      <c r="A317" s="85">
        <v>317</v>
      </c>
      <c r="B317" s="86">
        <v>3145921</v>
      </c>
      <c r="C317" s="87" t="s">
        <v>2692</v>
      </c>
      <c r="D317" s="88">
        <v>939831837</v>
      </c>
      <c r="E317" s="87" t="s">
        <v>1932</v>
      </c>
      <c r="F317" s="87" t="s">
        <v>1933</v>
      </c>
      <c r="G317" s="87" t="s">
        <v>1934</v>
      </c>
      <c r="H317" s="87"/>
      <c r="I317" s="87"/>
      <c r="J317" s="89">
        <v>45932</v>
      </c>
      <c r="K317" s="89">
        <v>45986</v>
      </c>
      <c r="L317" s="87" t="s">
        <v>1819</v>
      </c>
      <c r="M317" s="87" t="s">
        <v>654</v>
      </c>
      <c r="N317" s="90" t="s">
        <v>2693</v>
      </c>
      <c r="O317" s="91" t="s">
        <v>1947</v>
      </c>
      <c r="P317" s="91" t="s">
        <v>2034</v>
      </c>
      <c r="Q317" s="92">
        <v>2025</v>
      </c>
      <c r="R317" s="88" t="s">
        <v>1939</v>
      </c>
      <c r="S317" s="88" t="s">
        <v>1940</v>
      </c>
      <c r="T317" s="95">
        <v>2025</v>
      </c>
    </row>
    <row r="318" spans="1:20" ht="18" customHeight="1" x14ac:dyDescent="0.7">
      <c r="A318" s="85">
        <v>318</v>
      </c>
      <c r="B318" s="86">
        <v>3145923</v>
      </c>
      <c r="C318" s="87" t="s">
        <v>2694</v>
      </c>
      <c r="D318" s="88">
        <v>777989620</v>
      </c>
      <c r="E318" s="87" t="s">
        <v>1932</v>
      </c>
      <c r="F318" s="87" t="s">
        <v>1933</v>
      </c>
      <c r="G318" s="87" t="s">
        <v>1934</v>
      </c>
      <c r="H318" s="87"/>
      <c r="I318" s="87"/>
      <c r="J318" s="89">
        <v>45932</v>
      </c>
      <c r="K318" s="94">
        <v>45974</v>
      </c>
      <c r="L318" s="87" t="s">
        <v>1819</v>
      </c>
      <c r="M318" s="87" t="s">
        <v>654</v>
      </c>
      <c r="N318" s="90" t="s">
        <v>2695</v>
      </c>
      <c r="O318" s="91" t="s">
        <v>1947</v>
      </c>
      <c r="P318" s="91" t="s">
        <v>2034</v>
      </c>
      <c r="Q318" s="92">
        <v>2025</v>
      </c>
      <c r="R318" s="88" t="s">
        <v>1962</v>
      </c>
      <c r="S318" s="88" t="s">
        <v>1940</v>
      </c>
      <c r="T318" s="95">
        <v>2025</v>
      </c>
    </row>
    <row r="319" spans="1:20" ht="18" customHeight="1" x14ac:dyDescent="0.7">
      <c r="A319" s="85">
        <v>319</v>
      </c>
      <c r="B319" s="86">
        <v>3146056</v>
      </c>
      <c r="C319" s="87" t="s">
        <v>2696</v>
      </c>
      <c r="D319" s="88">
        <v>834759678</v>
      </c>
      <c r="E319" s="87" t="s">
        <v>1932</v>
      </c>
      <c r="F319" s="87" t="s">
        <v>1933</v>
      </c>
      <c r="G319" s="88" t="s">
        <v>2209</v>
      </c>
      <c r="H319" s="87"/>
      <c r="I319" s="88" t="s">
        <v>449</v>
      </c>
      <c r="J319" s="89">
        <v>45933</v>
      </c>
      <c r="K319" s="87"/>
      <c r="L319" s="87" t="s">
        <v>1942</v>
      </c>
      <c r="M319" s="87" t="s">
        <v>654</v>
      </c>
      <c r="N319" s="90" t="s">
        <v>2697</v>
      </c>
      <c r="O319" s="91" t="s">
        <v>2181</v>
      </c>
      <c r="P319" s="91" t="s">
        <v>2034</v>
      </c>
      <c r="Q319" s="92">
        <v>2025</v>
      </c>
      <c r="R319" s="88" t="s">
        <v>1942</v>
      </c>
      <c r="S319" s="88" t="s">
        <v>1942</v>
      </c>
      <c r="T319" s="88" t="s">
        <v>1942</v>
      </c>
    </row>
    <row r="320" spans="1:20" ht="18" customHeight="1" x14ac:dyDescent="0.7">
      <c r="A320" s="85">
        <v>320</v>
      </c>
      <c r="B320" s="86">
        <v>3146073</v>
      </c>
      <c r="C320" s="87" t="s">
        <v>2698</v>
      </c>
      <c r="D320" s="88">
        <v>937269799</v>
      </c>
      <c r="E320" s="87" t="s">
        <v>1932</v>
      </c>
      <c r="F320" s="87" t="s">
        <v>1933</v>
      </c>
      <c r="G320" s="88" t="s">
        <v>2209</v>
      </c>
      <c r="H320" s="87"/>
      <c r="I320" s="88" t="s">
        <v>449</v>
      </c>
      <c r="J320" s="89">
        <v>45933</v>
      </c>
      <c r="K320" s="87"/>
      <c r="L320" s="87" t="s">
        <v>1942</v>
      </c>
      <c r="M320" s="87" t="s">
        <v>654</v>
      </c>
      <c r="N320" s="90" t="s">
        <v>2697</v>
      </c>
      <c r="O320" s="91" t="s">
        <v>2181</v>
      </c>
      <c r="P320" s="91" t="s">
        <v>2034</v>
      </c>
      <c r="Q320" s="92">
        <v>2025</v>
      </c>
      <c r="R320" s="88" t="s">
        <v>1942</v>
      </c>
      <c r="S320" s="88" t="s">
        <v>1942</v>
      </c>
      <c r="T320" s="88" t="s">
        <v>1942</v>
      </c>
    </row>
    <row r="321" spans="1:20" ht="18" customHeight="1" x14ac:dyDescent="0.7">
      <c r="A321" s="85">
        <v>321</v>
      </c>
      <c r="B321" s="86">
        <v>3146057</v>
      </c>
      <c r="C321" s="87" t="s">
        <v>2699</v>
      </c>
      <c r="D321" s="88">
        <v>939474448</v>
      </c>
      <c r="E321" s="87" t="s">
        <v>1932</v>
      </c>
      <c r="F321" s="87" t="s">
        <v>1933</v>
      </c>
      <c r="G321" s="88" t="s">
        <v>2209</v>
      </c>
      <c r="H321" s="87"/>
      <c r="I321" s="88" t="s">
        <v>449</v>
      </c>
      <c r="J321" s="89">
        <v>45933</v>
      </c>
      <c r="K321" s="89">
        <v>46002</v>
      </c>
      <c r="L321" s="87" t="s">
        <v>1819</v>
      </c>
      <c r="M321" s="87" t="s">
        <v>654</v>
      </c>
      <c r="N321" s="90" t="s">
        <v>2575</v>
      </c>
      <c r="O321" s="91" t="s">
        <v>2015</v>
      </c>
      <c r="P321" s="91" t="s">
        <v>2034</v>
      </c>
      <c r="Q321" s="92">
        <v>2025</v>
      </c>
      <c r="R321" s="88" t="s">
        <v>2098</v>
      </c>
      <c r="S321" s="88" t="s">
        <v>2099</v>
      </c>
      <c r="T321" s="95">
        <v>2025</v>
      </c>
    </row>
    <row r="322" spans="1:20" ht="18" customHeight="1" x14ac:dyDescent="0.7">
      <c r="A322" s="85">
        <v>322</v>
      </c>
      <c r="B322" s="86">
        <v>3146058</v>
      </c>
      <c r="C322" s="87" t="s">
        <v>2700</v>
      </c>
      <c r="D322" s="88">
        <v>706699912</v>
      </c>
      <c r="E322" s="87" t="s">
        <v>1932</v>
      </c>
      <c r="F322" s="87" t="s">
        <v>1933</v>
      </c>
      <c r="G322" s="88" t="s">
        <v>2209</v>
      </c>
      <c r="H322" s="87"/>
      <c r="I322" s="88" t="s">
        <v>449</v>
      </c>
      <c r="J322" s="89">
        <v>45933</v>
      </c>
      <c r="K322" s="87"/>
      <c r="L322" s="87" t="s">
        <v>1942</v>
      </c>
      <c r="M322" s="87" t="s">
        <v>654</v>
      </c>
      <c r="N322" s="90" t="s">
        <v>2697</v>
      </c>
      <c r="O322" s="91" t="s">
        <v>2181</v>
      </c>
      <c r="P322" s="91" t="s">
        <v>2034</v>
      </c>
      <c r="Q322" s="92">
        <v>2025</v>
      </c>
      <c r="R322" s="88" t="s">
        <v>1942</v>
      </c>
      <c r="S322" s="88" t="s">
        <v>1942</v>
      </c>
      <c r="T322" s="88" t="s">
        <v>1942</v>
      </c>
    </row>
    <row r="323" spans="1:20" ht="18" customHeight="1" x14ac:dyDescent="0.7">
      <c r="A323" s="85">
        <v>323</v>
      </c>
      <c r="B323" s="86">
        <v>3146073</v>
      </c>
      <c r="C323" s="87" t="s">
        <v>2698</v>
      </c>
      <c r="D323" s="88">
        <v>937269799</v>
      </c>
      <c r="E323" s="87" t="s">
        <v>1932</v>
      </c>
      <c r="F323" s="87" t="s">
        <v>1933</v>
      </c>
      <c r="G323" s="87" t="s">
        <v>1934</v>
      </c>
      <c r="H323" s="87"/>
      <c r="I323" s="87"/>
      <c r="J323" s="89">
        <v>45933</v>
      </c>
      <c r="K323" s="87"/>
      <c r="L323" s="87" t="s">
        <v>1942</v>
      </c>
      <c r="M323" s="87" t="s">
        <v>654</v>
      </c>
      <c r="N323" s="90" t="s">
        <v>2697</v>
      </c>
      <c r="O323" s="91" t="s">
        <v>2181</v>
      </c>
      <c r="P323" s="91" t="s">
        <v>2034</v>
      </c>
      <c r="Q323" s="92">
        <v>2025</v>
      </c>
      <c r="R323" s="88" t="s">
        <v>1942</v>
      </c>
      <c r="S323" s="88" t="s">
        <v>1942</v>
      </c>
      <c r="T323" s="88" t="s">
        <v>1942</v>
      </c>
    </row>
    <row r="324" spans="1:20" ht="18" customHeight="1" x14ac:dyDescent="0.7">
      <c r="A324" s="85">
        <v>324</v>
      </c>
      <c r="B324" s="86">
        <v>3146494</v>
      </c>
      <c r="C324" s="87" t="s">
        <v>2701</v>
      </c>
      <c r="D324" s="88">
        <v>908783220</v>
      </c>
      <c r="E324" s="87" t="s">
        <v>1932</v>
      </c>
      <c r="F324" s="87" t="s">
        <v>1933</v>
      </c>
      <c r="G324" s="87" t="s">
        <v>1934</v>
      </c>
      <c r="H324" s="87"/>
      <c r="I324" s="87"/>
      <c r="J324" s="89">
        <v>45937</v>
      </c>
      <c r="K324" s="89">
        <v>45987</v>
      </c>
      <c r="L324" s="87" t="s">
        <v>1819</v>
      </c>
      <c r="M324" s="87" t="s">
        <v>654</v>
      </c>
      <c r="N324" s="90" t="s">
        <v>2040</v>
      </c>
      <c r="O324" s="91" t="s">
        <v>1947</v>
      </c>
      <c r="P324" s="91" t="s">
        <v>2001</v>
      </c>
      <c r="Q324" s="92">
        <v>2025</v>
      </c>
      <c r="R324" s="88" t="s">
        <v>1939</v>
      </c>
      <c r="S324" s="88" t="s">
        <v>1940</v>
      </c>
      <c r="T324" s="95">
        <v>2025</v>
      </c>
    </row>
    <row r="325" spans="1:20" ht="18" customHeight="1" x14ac:dyDescent="0.7">
      <c r="A325" s="85">
        <v>325</v>
      </c>
      <c r="B325" s="86">
        <v>3146829</v>
      </c>
      <c r="C325" s="88" t="s">
        <v>2702</v>
      </c>
      <c r="D325" s="88">
        <v>938233896</v>
      </c>
      <c r="E325" s="87" t="s">
        <v>1932</v>
      </c>
      <c r="F325" s="87" t="s">
        <v>1933</v>
      </c>
      <c r="G325" s="87" t="s">
        <v>1934</v>
      </c>
      <c r="H325" s="87"/>
      <c r="I325" s="87"/>
      <c r="J325" s="89">
        <v>45939</v>
      </c>
      <c r="K325" s="89">
        <v>45987</v>
      </c>
      <c r="L325" s="87" t="s">
        <v>1819</v>
      </c>
      <c r="M325" s="87" t="s">
        <v>654</v>
      </c>
      <c r="N325" s="90" t="s">
        <v>2703</v>
      </c>
      <c r="O325" s="91" t="s">
        <v>1947</v>
      </c>
      <c r="P325" s="91" t="s">
        <v>2001</v>
      </c>
      <c r="Q325" s="92">
        <v>2025</v>
      </c>
      <c r="R325" s="88" t="s">
        <v>1939</v>
      </c>
      <c r="S325" s="88" t="s">
        <v>1940</v>
      </c>
      <c r="T325" s="95">
        <v>2025</v>
      </c>
    </row>
    <row r="326" spans="1:20" ht="18" customHeight="1" x14ac:dyDescent="0.7">
      <c r="A326" s="85">
        <v>326</v>
      </c>
      <c r="B326" s="86">
        <v>3146964</v>
      </c>
      <c r="C326" s="87" t="s">
        <v>2704</v>
      </c>
      <c r="D326" s="88">
        <v>972233011</v>
      </c>
      <c r="E326" s="87" t="s">
        <v>1932</v>
      </c>
      <c r="F326" s="87" t="s">
        <v>1933</v>
      </c>
      <c r="G326" s="87" t="s">
        <v>1934</v>
      </c>
      <c r="H326" s="87"/>
      <c r="I326" s="87"/>
      <c r="J326" s="89">
        <v>45940</v>
      </c>
      <c r="K326" s="87"/>
      <c r="L326" s="87" t="s">
        <v>1942</v>
      </c>
      <c r="M326" s="87" t="s">
        <v>654</v>
      </c>
      <c r="N326" s="90" t="s">
        <v>2705</v>
      </c>
      <c r="O326" s="91" t="s">
        <v>2181</v>
      </c>
      <c r="P326" s="91" t="s">
        <v>2001</v>
      </c>
      <c r="Q326" s="92">
        <v>2025</v>
      </c>
      <c r="R326" s="88" t="s">
        <v>1942</v>
      </c>
      <c r="S326" s="88" t="s">
        <v>1942</v>
      </c>
      <c r="T326" s="88" t="s">
        <v>1942</v>
      </c>
    </row>
    <row r="327" spans="1:20" ht="18" customHeight="1" x14ac:dyDescent="0.7">
      <c r="A327" s="85">
        <v>327</v>
      </c>
      <c r="B327" s="86">
        <v>3147169</v>
      </c>
      <c r="C327" s="87" t="s">
        <v>2444</v>
      </c>
      <c r="D327" s="88">
        <v>907966246</v>
      </c>
      <c r="E327" s="87" t="s">
        <v>1932</v>
      </c>
      <c r="F327" s="87" t="s">
        <v>1933</v>
      </c>
      <c r="G327" s="88" t="s">
        <v>2209</v>
      </c>
      <c r="H327" s="87"/>
      <c r="I327" s="88" t="s">
        <v>449</v>
      </c>
      <c r="J327" s="89">
        <v>45943</v>
      </c>
      <c r="K327" s="89">
        <v>46032</v>
      </c>
      <c r="L327" s="87" t="s">
        <v>1819</v>
      </c>
      <c r="M327" s="87" t="s">
        <v>654</v>
      </c>
      <c r="N327" s="90" t="s">
        <v>2706</v>
      </c>
      <c r="O327" s="91" t="s">
        <v>2097</v>
      </c>
      <c r="P327" s="91" t="s">
        <v>2585</v>
      </c>
      <c r="Q327" s="92">
        <v>2025</v>
      </c>
      <c r="R327" s="88" t="s">
        <v>2707</v>
      </c>
      <c r="S327" s="88" t="s">
        <v>2026</v>
      </c>
      <c r="T327" s="95">
        <v>2026</v>
      </c>
    </row>
    <row r="328" spans="1:20" ht="18" customHeight="1" x14ac:dyDescent="0.7">
      <c r="A328" s="85">
        <v>328</v>
      </c>
      <c r="B328" s="86">
        <v>3147171</v>
      </c>
      <c r="C328" s="88" t="s">
        <v>2708</v>
      </c>
      <c r="D328" s="88">
        <v>398844927</v>
      </c>
      <c r="E328" s="87" t="s">
        <v>1932</v>
      </c>
      <c r="F328" s="87" t="s">
        <v>1933</v>
      </c>
      <c r="G328" s="87" t="s">
        <v>1934</v>
      </c>
      <c r="H328" s="87"/>
      <c r="I328" s="87"/>
      <c r="J328" s="89">
        <v>45943</v>
      </c>
      <c r="K328" s="89">
        <v>45987</v>
      </c>
      <c r="L328" s="87" t="s">
        <v>1819</v>
      </c>
      <c r="M328" s="87" t="s">
        <v>654</v>
      </c>
      <c r="N328" s="90" t="s">
        <v>2709</v>
      </c>
      <c r="O328" s="91" t="s">
        <v>1947</v>
      </c>
      <c r="P328" s="91" t="s">
        <v>2585</v>
      </c>
      <c r="Q328" s="92">
        <v>2025</v>
      </c>
      <c r="R328" s="88" t="s">
        <v>1939</v>
      </c>
      <c r="S328" s="88" t="s">
        <v>1940</v>
      </c>
      <c r="T328" s="95">
        <v>2025</v>
      </c>
    </row>
    <row r="329" spans="1:20" ht="18" customHeight="1" x14ac:dyDescent="0.7">
      <c r="A329" s="85">
        <v>329</v>
      </c>
      <c r="B329" s="86">
        <v>3147211</v>
      </c>
      <c r="C329" s="87" t="s">
        <v>2710</v>
      </c>
      <c r="D329" s="88">
        <v>382772801</v>
      </c>
      <c r="E329" s="87" t="s">
        <v>1932</v>
      </c>
      <c r="F329" s="87" t="s">
        <v>1933</v>
      </c>
      <c r="G329" s="87" t="s">
        <v>1934</v>
      </c>
      <c r="H329" s="87"/>
      <c r="I329" s="87"/>
      <c r="J329" s="89">
        <v>45943</v>
      </c>
      <c r="K329" s="87"/>
      <c r="L329" s="87" t="s">
        <v>1942</v>
      </c>
      <c r="M329" s="87" t="s">
        <v>654</v>
      </c>
      <c r="N329" s="90" t="s">
        <v>2706</v>
      </c>
      <c r="O329" s="91" t="s">
        <v>2097</v>
      </c>
      <c r="P329" s="91" t="s">
        <v>2585</v>
      </c>
      <c r="Q329" s="92">
        <v>2025</v>
      </c>
      <c r="R329" s="88" t="s">
        <v>1942</v>
      </c>
      <c r="S329" s="87" t="s">
        <v>1942</v>
      </c>
      <c r="T329" s="87" t="s">
        <v>1942</v>
      </c>
    </row>
    <row r="330" spans="1:20" ht="18" customHeight="1" x14ac:dyDescent="0.7">
      <c r="A330" s="85">
        <v>330</v>
      </c>
      <c r="B330" s="86">
        <v>3147292</v>
      </c>
      <c r="C330" s="87" t="s">
        <v>2263</v>
      </c>
      <c r="D330" s="88">
        <v>974444732</v>
      </c>
      <c r="E330" s="87" t="s">
        <v>1932</v>
      </c>
      <c r="F330" s="87" t="s">
        <v>1933</v>
      </c>
      <c r="G330" s="87" t="s">
        <v>1934</v>
      </c>
      <c r="H330" s="87"/>
      <c r="I330" s="87"/>
      <c r="J330" s="89">
        <v>45944</v>
      </c>
      <c r="K330" s="89">
        <v>46080</v>
      </c>
      <c r="L330" s="87" t="s">
        <v>1819</v>
      </c>
      <c r="M330" s="87" t="s">
        <v>654</v>
      </c>
      <c r="N330" s="90" t="s">
        <v>2198</v>
      </c>
      <c r="O330" s="91" t="s">
        <v>2097</v>
      </c>
      <c r="P330" s="91" t="s">
        <v>2585</v>
      </c>
      <c r="Q330" s="92">
        <v>2025</v>
      </c>
      <c r="R330" s="88" t="s">
        <v>1976</v>
      </c>
      <c r="S330" s="87" t="s">
        <v>1977</v>
      </c>
      <c r="T330" s="92">
        <v>2026</v>
      </c>
    </row>
    <row r="331" spans="1:20" ht="18" customHeight="1" x14ac:dyDescent="0.7">
      <c r="A331" s="85">
        <v>331</v>
      </c>
      <c r="B331" s="86">
        <v>3147401</v>
      </c>
      <c r="C331" s="88" t="s">
        <v>2711</v>
      </c>
      <c r="D331" s="88">
        <v>979998631</v>
      </c>
      <c r="E331" s="87" t="s">
        <v>1932</v>
      </c>
      <c r="F331" s="87" t="s">
        <v>1933</v>
      </c>
      <c r="G331" s="87" t="s">
        <v>1934</v>
      </c>
      <c r="H331" s="87"/>
      <c r="I331" s="87"/>
      <c r="J331" s="89">
        <v>45945</v>
      </c>
      <c r="K331" s="94">
        <v>45974</v>
      </c>
      <c r="L331" s="87" t="s">
        <v>1819</v>
      </c>
      <c r="M331" s="87" t="s">
        <v>654</v>
      </c>
      <c r="N331" s="90" t="s">
        <v>2031</v>
      </c>
      <c r="O331" s="91" t="s">
        <v>1952</v>
      </c>
      <c r="P331" s="91" t="s">
        <v>2585</v>
      </c>
      <c r="Q331" s="92">
        <v>2025</v>
      </c>
      <c r="R331" s="88" t="s">
        <v>1962</v>
      </c>
      <c r="S331" s="87" t="s">
        <v>1940</v>
      </c>
      <c r="T331" s="92">
        <v>2025</v>
      </c>
    </row>
    <row r="332" spans="1:20" ht="18" customHeight="1" x14ac:dyDescent="0.7">
      <c r="A332" s="85">
        <v>332</v>
      </c>
      <c r="B332" s="86">
        <v>3147438</v>
      </c>
      <c r="C332" s="87" t="s">
        <v>2712</v>
      </c>
      <c r="D332" s="88">
        <v>932730429</v>
      </c>
      <c r="E332" s="87" t="s">
        <v>1932</v>
      </c>
      <c r="F332" s="87" t="s">
        <v>1933</v>
      </c>
      <c r="G332" s="87" t="s">
        <v>1934</v>
      </c>
      <c r="H332" s="87"/>
      <c r="I332" s="87"/>
      <c r="J332" s="89">
        <v>45945</v>
      </c>
      <c r="K332" s="89">
        <v>46062</v>
      </c>
      <c r="L332" s="87" t="s">
        <v>1819</v>
      </c>
      <c r="M332" s="87" t="s">
        <v>654</v>
      </c>
      <c r="N332" s="90" t="s">
        <v>2713</v>
      </c>
      <c r="O332" s="91" t="s">
        <v>2097</v>
      </c>
      <c r="P332" s="91" t="s">
        <v>2585</v>
      </c>
      <c r="Q332" s="92">
        <v>2025</v>
      </c>
      <c r="R332" s="88" t="s">
        <v>2072</v>
      </c>
      <c r="S332" s="87" t="s">
        <v>1977</v>
      </c>
      <c r="T332" s="92">
        <v>2026</v>
      </c>
    </row>
    <row r="333" spans="1:20" ht="18" customHeight="1" x14ac:dyDescent="0.7">
      <c r="A333" s="85">
        <v>333</v>
      </c>
      <c r="B333" s="86">
        <v>3148002</v>
      </c>
      <c r="C333" s="87" t="s">
        <v>2714</v>
      </c>
      <c r="D333" s="88">
        <v>907960258</v>
      </c>
      <c r="E333" s="87" t="s">
        <v>1932</v>
      </c>
      <c r="F333" s="87" t="s">
        <v>1933</v>
      </c>
      <c r="G333" s="87" t="s">
        <v>1934</v>
      </c>
      <c r="H333" s="87"/>
      <c r="I333" s="87"/>
      <c r="J333" s="94">
        <v>45950</v>
      </c>
      <c r="K333" s="89">
        <v>46079</v>
      </c>
      <c r="L333" s="87" t="s">
        <v>1819</v>
      </c>
      <c r="M333" s="87" t="s">
        <v>654</v>
      </c>
      <c r="N333" s="90" t="s">
        <v>2715</v>
      </c>
      <c r="O333" s="91" t="s">
        <v>2097</v>
      </c>
      <c r="P333" s="91" t="s">
        <v>2069</v>
      </c>
      <c r="Q333" s="92">
        <v>2025</v>
      </c>
      <c r="R333" s="88" t="s">
        <v>1976</v>
      </c>
      <c r="S333" s="87" t="s">
        <v>1977</v>
      </c>
      <c r="T333" s="92">
        <v>2026</v>
      </c>
    </row>
    <row r="334" spans="1:20" ht="18" customHeight="1" x14ac:dyDescent="0.7">
      <c r="A334" s="85">
        <v>334</v>
      </c>
      <c r="B334" s="86">
        <v>3148116</v>
      </c>
      <c r="C334" s="87" t="s">
        <v>2716</v>
      </c>
      <c r="D334" s="88">
        <v>377870984</v>
      </c>
      <c r="E334" s="87" t="s">
        <v>1932</v>
      </c>
      <c r="F334" s="87" t="s">
        <v>1933</v>
      </c>
      <c r="G334" s="87" t="s">
        <v>1934</v>
      </c>
      <c r="H334" s="87"/>
      <c r="I334" s="87"/>
      <c r="J334" s="94">
        <v>45951</v>
      </c>
      <c r="K334" s="89">
        <v>46024</v>
      </c>
      <c r="L334" s="87" t="s">
        <v>1819</v>
      </c>
      <c r="M334" s="87" t="s">
        <v>654</v>
      </c>
      <c r="N334" s="90" t="s">
        <v>2717</v>
      </c>
      <c r="O334" s="91" t="s">
        <v>2097</v>
      </c>
      <c r="P334" s="91" t="s">
        <v>2069</v>
      </c>
      <c r="Q334" s="92">
        <v>2025</v>
      </c>
      <c r="R334" s="88" t="s">
        <v>2718</v>
      </c>
      <c r="S334" s="87" t="s">
        <v>2026</v>
      </c>
      <c r="T334" s="92">
        <v>2026</v>
      </c>
    </row>
    <row r="335" spans="1:20" ht="18" customHeight="1" x14ac:dyDescent="0.7">
      <c r="A335" s="85">
        <v>335</v>
      </c>
      <c r="B335" s="86">
        <v>3148326</v>
      </c>
      <c r="C335" s="87" t="s">
        <v>2719</v>
      </c>
      <c r="D335" s="88">
        <v>929648179</v>
      </c>
      <c r="E335" s="87" t="s">
        <v>1932</v>
      </c>
      <c r="F335" s="87" t="s">
        <v>1933</v>
      </c>
      <c r="G335" s="87" t="s">
        <v>1934</v>
      </c>
      <c r="H335" s="87"/>
      <c r="I335" s="87"/>
      <c r="J335" s="94">
        <v>45953</v>
      </c>
      <c r="K335" s="89">
        <v>45986</v>
      </c>
      <c r="L335" s="87" t="s">
        <v>1819</v>
      </c>
      <c r="M335" s="87" t="s">
        <v>654</v>
      </c>
      <c r="N335" s="90" t="s">
        <v>2720</v>
      </c>
      <c r="O335" s="91" t="s">
        <v>1947</v>
      </c>
      <c r="P335" s="91" t="s">
        <v>2069</v>
      </c>
      <c r="Q335" s="92">
        <v>2025</v>
      </c>
      <c r="R335" s="88" t="s">
        <v>1939</v>
      </c>
      <c r="S335" s="87" t="s">
        <v>1940</v>
      </c>
      <c r="T335" s="92">
        <v>2025</v>
      </c>
    </row>
    <row r="336" spans="1:20" ht="18" customHeight="1" x14ac:dyDescent="0.7">
      <c r="A336" s="85">
        <v>336</v>
      </c>
      <c r="B336" s="86">
        <v>3148436</v>
      </c>
      <c r="C336" s="87" t="s">
        <v>2721</v>
      </c>
      <c r="D336" s="88">
        <v>369790750</v>
      </c>
      <c r="E336" s="87" t="s">
        <v>1932</v>
      </c>
      <c r="F336" s="87" t="s">
        <v>1933</v>
      </c>
      <c r="G336" s="87" t="s">
        <v>1934</v>
      </c>
      <c r="H336" s="87"/>
      <c r="I336" s="87"/>
      <c r="J336" s="94">
        <v>45954</v>
      </c>
      <c r="K336" s="94">
        <v>45974</v>
      </c>
      <c r="L336" s="87" t="s">
        <v>1819</v>
      </c>
      <c r="M336" s="87" t="s">
        <v>654</v>
      </c>
      <c r="N336" s="90" t="s">
        <v>2670</v>
      </c>
      <c r="O336" s="91" t="s">
        <v>1952</v>
      </c>
      <c r="P336" s="91" t="s">
        <v>2069</v>
      </c>
      <c r="Q336" s="92">
        <v>2025</v>
      </c>
      <c r="R336" s="88" t="s">
        <v>1962</v>
      </c>
      <c r="S336" s="87" t="s">
        <v>1940</v>
      </c>
      <c r="T336" s="92">
        <v>2025</v>
      </c>
    </row>
    <row r="337" spans="1:20" ht="18" customHeight="1" x14ac:dyDescent="0.7">
      <c r="A337" s="85">
        <v>337</v>
      </c>
      <c r="B337" s="86">
        <v>3148754</v>
      </c>
      <c r="C337" s="88" t="s">
        <v>2722</v>
      </c>
      <c r="D337" s="88">
        <v>816391549</v>
      </c>
      <c r="E337" s="87" t="s">
        <v>1932</v>
      </c>
      <c r="F337" s="87" t="s">
        <v>1933</v>
      </c>
      <c r="G337" s="87" t="s">
        <v>1934</v>
      </c>
      <c r="H337" s="87"/>
      <c r="I337" s="87"/>
      <c r="J337" s="94">
        <v>45957</v>
      </c>
      <c r="K337" s="89">
        <v>46062</v>
      </c>
      <c r="L337" s="87" t="s">
        <v>1819</v>
      </c>
      <c r="M337" s="87" t="s">
        <v>654</v>
      </c>
      <c r="N337" s="90" t="s">
        <v>2723</v>
      </c>
      <c r="O337" s="91" t="s">
        <v>2097</v>
      </c>
      <c r="P337" s="91" t="s">
        <v>1994</v>
      </c>
      <c r="Q337" s="92">
        <v>2025</v>
      </c>
      <c r="R337" s="88" t="s">
        <v>2072</v>
      </c>
      <c r="S337" s="87" t="s">
        <v>1977</v>
      </c>
      <c r="T337" s="92">
        <v>2026</v>
      </c>
    </row>
    <row r="338" spans="1:20" ht="18" customHeight="1" x14ac:dyDescent="0.7">
      <c r="A338" s="85">
        <v>338</v>
      </c>
      <c r="B338" s="86">
        <v>3148763</v>
      </c>
      <c r="C338" s="87" t="s">
        <v>2724</v>
      </c>
      <c r="D338" s="88">
        <v>357675580</v>
      </c>
      <c r="E338" s="87" t="s">
        <v>1932</v>
      </c>
      <c r="F338" s="87" t="s">
        <v>1933</v>
      </c>
      <c r="G338" s="87" t="s">
        <v>1934</v>
      </c>
      <c r="H338" s="87"/>
      <c r="I338" s="87"/>
      <c r="J338" s="94">
        <v>45957</v>
      </c>
      <c r="K338" s="89">
        <v>46079</v>
      </c>
      <c r="L338" s="87" t="s">
        <v>1819</v>
      </c>
      <c r="M338" s="87" t="s">
        <v>654</v>
      </c>
      <c r="N338" s="90" t="s">
        <v>2723</v>
      </c>
      <c r="O338" s="91" t="s">
        <v>2097</v>
      </c>
      <c r="P338" s="91" t="s">
        <v>1994</v>
      </c>
      <c r="Q338" s="92">
        <v>2025</v>
      </c>
      <c r="R338" s="88" t="s">
        <v>1976</v>
      </c>
      <c r="S338" s="87" t="s">
        <v>1977</v>
      </c>
      <c r="T338" s="92">
        <v>2026</v>
      </c>
    </row>
    <row r="339" spans="1:20" ht="18" customHeight="1" x14ac:dyDescent="0.7">
      <c r="A339" s="85">
        <v>339</v>
      </c>
      <c r="B339" s="86">
        <v>3148891</v>
      </c>
      <c r="C339" s="88" t="s">
        <v>2725</v>
      </c>
      <c r="D339" s="88">
        <v>356666906</v>
      </c>
      <c r="E339" s="87" t="s">
        <v>1932</v>
      </c>
      <c r="F339" s="87" t="s">
        <v>1933</v>
      </c>
      <c r="G339" s="87" t="s">
        <v>1934</v>
      </c>
      <c r="H339" s="87"/>
      <c r="I339" s="87"/>
      <c r="J339" s="94">
        <v>45958</v>
      </c>
      <c r="K339" s="89">
        <v>46035</v>
      </c>
      <c r="L339" s="87" t="s">
        <v>1819</v>
      </c>
      <c r="M339" s="87" t="s">
        <v>654</v>
      </c>
      <c r="N339" s="90" t="s">
        <v>2726</v>
      </c>
      <c r="O339" s="91" t="s">
        <v>2097</v>
      </c>
      <c r="P339" s="91" t="s">
        <v>1994</v>
      </c>
      <c r="Q339" s="92">
        <v>2025</v>
      </c>
      <c r="R339" s="88" t="s">
        <v>2025</v>
      </c>
      <c r="S339" s="87" t="s">
        <v>2026</v>
      </c>
      <c r="T339" s="92">
        <v>2026</v>
      </c>
    </row>
    <row r="340" spans="1:20" ht="18" customHeight="1" x14ac:dyDescent="0.7">
      <c r="A340" s="85">
        <v>340</v>
      </c>
      <c r="B340" s="86">
        <v>3149043</v>
      </c>
      <c r="C340" s="88" t="s">
        <v>2727</v>
      </c>
      <c r="D340" s="88">
        <v>949806272</v>
      </c>
      <c r="E340" s="87" t="s">
        <v>1932</v>
      </c>
      <c r="F340" s="87" t="s">
        <v>1933</v>
      </c>
      <c r="G340" s="87" t="s">
        <v>1934</v>
      </c>
      <c r="H340" s="87"/>
      <c r="I340" s="87"/>
      <c r="J340" s="94">
        <v>45959</v>
      </c>
      <c r="K340" s="89">
        <v>46062</v>
      </c>
      <c r="L340" s="87" t="s">
        <v>1819</v>
      </c>
      <c r="M340" s="87" t="s">
        <v>654</v>
      </c>
      <c r="N340" s="90" t="s">
        <v>2728</v>
      </c>
      <c r="O340" s="91" t="s">
        <v>2097</v>
      </c>
      <c r="P340" s="91" t="s">
        <v>1994</v>
      </c>
      <c r="Q340" s="92">
        <v>2025</v>
      </c>
      <c r="R340" s="88" t="s">
        <v>2072</v>
      </c>
      <c r="S340" s="87" t="s">
        <v>1977</v>
      </c>
      <c r="T340" s="92">
        <v>2026</v>
      </c>
    </row>
    <row r="341" spans="1:20" ht="18" customHeight="1" x14ac:dyDescent="0.7">
      <c r="A341" s="85">
        <v>341</v>
      </c>
      <c r="B341" s="86">
        <v>3149118</v>
      </c>
      <c r="C341" s="87" t="s">
        <v>2729</v>
      </c>
      <c r="D341" s="88">
        <v>777426486</v>
      </c>
      <c r="E341" s="87" t="s">
        <v>1932</v>
      </c>
      <c r="F341" s="87" t="s">
        <v>1933</v>
      </c>
      <c r="G341" s="87" t="s">
        <v>1934</v>
      </c>
      <c r="H341" s="87"/>
      <c r="I341" s="87"/>
      <c r="J341" s="94">
        <v>45960</v>
      </c>
      <c r="K341" s="89">
        <v>46112</v>
      </c>
      <c r="L341" s="87" t="s">
        <v>1819</v>
      </c>
      <c r="M341" s="87" t="s">
        <v>654</v>
      </c>
      <c r="N341" s="90" t="s">
        <v>2730</v>
      </c>
      <c r="O341" s="91" t="s">
        <v>2097</v>
      </c>
      <c r="P341" s="91" t="s">
        <v>1994</v>
      </c>
      <c r="Q341" s="92">
        <v>2025</v>
      </c>
      <c r="R341" s="88" t="s">
        <v>2169</v>
      </c>
      <c r="S341" s="87" t="s">
        <v>2007</v>
      </c>
      <c r="T341" s="92">
        <v>2026</v>
      </c>
    </row>
    <row r="342" spans="1:20" ht="18" customHeight="1" x14ac:dyDescent="0.7">
      <c r="A342" s="85">
        <v>342</v>
      </c>
      <c r="B342" s="86">
        <v>3149174</v>
      </c>
      <c r="C342" s="87" t="s">
        <v>2731</v>
      </c>
      <c r="D342" s="88">
        <v>789864488</v>
      </c>
      <c r="E342" s="87" t="s">
        <v>1932</v>
      </c>
      <c r="F342" s="87" t="s">
        <v>1933</v>
      </c>
      <c r="G342" s="87" t="s">
        <v>1934</v>
      </c>
      <c r="H342" s="87"/>
      <c r="I342" s="87"/>
      <c r="J342" s="94">
        <v>45960</v>
      </c>
      <c r="K342" s="89">
        <v>46062</v>
      </c>
      <c r="L342" s="87" t="s">
        <v>1819</v>
      </c>
      <c r="M342" s="87" t="s">
        <v>654</v>
      </c>
      <c r="N342" s="90" t="s">
        <v>2730</v>
      </c>
      <c r="O342" s="91" t="s">
        <v>2097</v>
      </c>
      <c r="P342" s="91" t="s">
        <v>1994</v>
      </c>
      <c r="Q342" s="92">
        <v>2025</v>
      </c>
      <c r="R342" s="88" t="s">
        <v>2072</v>
      </c>
      <c r="S342" s="87" t="s">
        <v>1977</v>
      </c>
      <c r="T342" s="92">
        <v>2026</v>
      </c>
    </row>
    <row r="343" spans="1:20" ht="18" customHeight="1" x14ac:dyDescent="0.7">
      <c r="A343" s="85">
        <v>343</v>
      </c>
      <c r="B343" s="86">
        <v>3149572</v>
      </c>
      <c r="C343" s="87" t="s">
        <v>2732</v>
      </c>
      <c r="D343" s="88">
        <v>933563589</v>
      </c>
      <c r="E343" s="87" t="s">
        <v>1932</v>
      </c>
      <c r="F343" s="87" t="s">
        <v>1933</v>
      </c>
      <c r="G343" s="87" t="s">
        <v>1934</v>
      </c>
      <c r="H343" s="87"/>
      <c r="I343" s="87"/>
      <c r="J343" s="89">
        <v>45964</v>
      </c>
      <c r="K343" s="87"/>
      <c r="L343" s="87" t="s">
        <v>1942</v>
      </c>
      <c r="M343" s="87" t="s">
        <v>654</v>
      </c>
      <c r="N343" s="90" t="s">
        <v>2733</v>
      </c>
      <c r="O343" s="91" t="s">
        <v>2097</v>
      </c>
      <c r="P343" s="91" t="s">
        <v>2051</v>
      </c>
      <c r="Q343" s="92">
        <v>2025</v>
      </c>
      <c r="R343" s="88" t="s">
        <v>1942</v>
      </c>
      <c r="S343" s="87" t="s">
        <v>1942</v>
      </c>
      <c r="T343" s="87" t="s">
        <v>1942</v>
      </c>
    </row>
    <row r="344" spans="1:20" ht="18" customHeight="1" x14ac:dyDescent="0.7">
      <c r="A344" s="85">
        <v>344</v>
      </c>
      <c r="B344" s="86">
        <v>3149707</v>
      </c>
      <c r="C344" s="87" t="s">
        <v>2734</v>
      </c>
      <c r="D344" s="88">
        <v>338698865</v>
      </c>
      <c r="E344" s="87" t="s">
        <v>1932</v>
      </c>
      <c r="F344" s="87" t="s">
        <v>1933</v>
      </c>
      <c r="G344" s="87" t="s">
        <v>1934</v>
      </c>
      <c r="H344" s="87"/>
      <c r="I344" s="87"/>
      <c r="J344" s="89">
        <v>45965</v>
      </c>
      <c r="K344" s="94">
        <v>45974</v>
      </c>
      <c r="L344" s="87" t="s">
        <v>1819</v>
      </c>
      <c r="M344" s="87" t="s">
        <v>654</v>
      </c>
      <c r="N344" s="90" t="s">
        <v>2735</v>
      </c>
      <c r="O344" s="91" t="s">
        <v>1952</v>
      </c>
      <c r="P344" s="91" t="s">
        <v>2051</v>
      </c>
      <c r="Q344" s="92">
        <v>2025</v>
      </c>
      <c r="R344" s="88" t="s">
        <v>1962</v>
      </c>
      <c r="S344" s="87" t="s">
        <v>1940</v>
      </c>
      <c r="T344" s="92">
        <v>2025</v>
      </c>
    </row>
    <row r="345" spans="1:20" ht="18" customHeight="1" x14ac:dyDescent="0.7">
      <c r="A345" s="85">
        <v>345</v>
      </c>
      <c r="B345" s="86">
        <v>3149804</v>
      </c>
      <c r="C345" s="87" t="s">
        <v>2736</v>
      </c>
      <c r="D345" s="88">
        <v>949445355</v>
      </c>
      <c r="E345" s="87" t="s">
        <v>1932</v>
      </c>
      <c r="F345" s="87" t="s">
        <v>1933</v>
      </c>
      <c r="G345" s="87" t="s">
        <v>1934</v>
      </c>
      <c r="H345" s="87"/>
      <c r="I345" s="87"/>
      <c r="J345" s="89">
        <v>45966</v>
      </c>
      <c r="K345" s="89">
        <v>46034</v>
      </c>
      <c r="L345" s="87" t="s">
        <v>1819</v>
      </c>
      <c r="M345" s="87" t="s">
        <v>654</v>
      </c>
      <c r="N345" s="90" t="s">
        <v>2191</v>
      </c>
      <c r="O345" s="91" t="s">
        <v>2097</v>
      </c>
      <c r="P345" s="91" t="s">
        <v>2051</v>
      </c>
      <c r="Q345" s="92">
        <v>2025</v>
      </c>
      <c r="R345" s="88" t="s">
        <v>2025</v>
      </c>
      <c r="S345" s="87" t="s">
        <v>2026</v>
      </c>
      <c r="T345" s="92">
        <v>2026</v>
      </c>
    </row>
    <row r="346" spans="1:20" ht="18" customHeight="1" x14ac:dyDescent="0.7">
      <c r="A346" s="85">
        <v>346</v>
      </c>
      <c r="B346" s="86">
        <v>3149847</v>
      </c>
      <c r="C346" s="87" t="s">
        <v>2737</v>
      </c>
      <c r="D346" s="88">
        <v>352577437</v>
      </c>
      <c r="E346" s="87" t="s">
        <v>1932</v>
      </c>
      <c r="F346" s="87" t="s">
        <v>1933</v>
      </c>
      <c r="G346" s="87" t="s">
        <v>1934</v>
      </c>
      <c r="H346" s="87"/>
      <c r="I346" s="87"/>
      <c r="J346" s="89">
        <v>45966</v>
      </c>
      <c r="K346" s="89">
        <v>46082</v>
      </c>
      <c r="L346" s="87" t="s">
        <v>1819</v>
      </c>
      <c r="M346" s="87" t="s">
        <v>654</v>
      </c>
      <c r="N346" s="90" t="s">
        <v>2191</v>
      </c>
      <c r="O346" s="91" t="s">
        <v>2097</v>
      </c>
      <c r="P346" s="91" t="s">
        <v>2051</v>
      </c>
      <c r="Q346" s="92">
        <v>2025</v>
      </c>
      <c r="R346" s="88" t="s">
        <v>2665</v>
      </c>
      <c r="S346" s="87" t="s">
        <v>2007</v>
      </c>
      <c r="T346" s="92">
        <v>2026</v>
      </c>
    </row>
    <row r="347" spans="1:20" ht="18" customHeight="1" x14ac:dyDescent="0.7">
      <c r="A347" s="85">
        <v>347</v>
      </c>
      <c r="B347" s="86">
        <v>3149849</v>
      </c>
      <c r="C347" s="87" t="s">
        <v>2738</v>
      </c>
      <c r="D347" s="88">
        <v>962996101</v>
      </c>
      <c r="E347" s="87" t="s">
        <v>1932</v>
      </c>
      <c r="F347" s="87" t="s">
        <v>1933</v>
      </c>
      <c r="G347" s="87" t="s">
        <v>1934</v>
      </c>
      <c r="H347" s="87"/>
      <c r="I347" s="87"/>
      <c r="J347" s="89">
        <v>45966</v>
      </c>
      <c r="K347" s="89">
        <v>46079</v>
      </c>
      <c r="L347" s="87" t="s">
        <v>1819</v>
      </c>
      <c r="M347" s="87" t="s">
        <v>654</v>
      </c>
      <c r="N347" s="90" t="s">
        <v>2191</v>
      </c>
      <c r="O347" s="91" t="s">
        <v>2097</v>
      </c>
      <c r="P347" s="91" t="s">
        <v>2051</v>
      </c>
      <c r="Q347" s="92">
        <v>2025</v>
      </c>
      <c r="R347" s="88" t="s">
        <v>1976</v>
      </c>
      <c r="S347" s="87" t="s">
        <v>1977</v>
      </c>
      <c r="T347" s="92">
        <v>2026</v>
      </c>
    </row>
    <row r="348" spans="1:20" ht="18" customHeight="1" x14ac:dyDescent="0.7">
      <c r="A348" s="85">
        <v>348</v>
      </c>
      <c r="B348" s="86">
        <v>3150326</v>
      </c>
      <c r="C348" s="88" t="s">
        <v>2739</v>
      </c>
      <c r="D348" s="88">
        <v>833668332</v>
      </c>
      <c r="E348" s="87" t="s">
        <v>1932</v>
      </c>
      <c r="F348" s="87" t="s">
        <v>1933</v>
      </c>
      <c r="G348" s="87" t="s">
        <v>1934</v>
      </c>
      <c r="H348" s="87"/>
      <c r="I348" s="87"/>
      <c r="J348" s="94">
        <v>45971</v>
      </c>
      <c r="K348" s="87"/>
      <c r="L348" s="87" t="s">
        <v>1942</v>
      </c>
      <c r="M348" s="87" t="s">
        <v>654</v>
      </c>
      <c r="N348" s="90" t="s">
        <v>2096</v>
      </c>
      <c r="O348" s="91" t="s">
        <v>2097</v>
      </c>
      <c r="P348" s="91" t="s">
        <v>1962</v>
      </c>
      <c r="Q348" s="92">
        <v>2025</v>
      </c>
      <c r="R348" s="88" t="s">
        <v>1942</v>
      </c>
      <c r="S348" s="87" t="s">
        <v>1942</v>
      </c>
      <c r="T348" s="87" t="s">
        <v>1942</v>
      </c>
    </row>
    <row r="349" spans="1:20" ht="18" customHeight="1" x14ac:dyDescent="0.7">
      <c r="A349" s="85">
        <v>349</v>
      </c>
      <c r="B349" s="86">
        <v>3150337</v>
      </c>
      <c r="C349" s="87" t="s">
        <v>2116</v>
      </c>
      <c r="D349" s="88">
        <v>329616540</v>
      </c>
      <c r="E349" s="87" t="s">
        <v>1932</v>
      </c>
      <c r="F349" s="87" t="s">
        <v>1933</v>
      </c>
      <c r="G349" s="87" t="s">
        <v>1934</v>
      </c>
      <c r="H349" s="87"/>
      <c r="I349" s="87"/>
      <c r="J349" s="94">
        <v>45971</v>
      </c>
      <c r="K349" s="87"/>
      <c r="L349" s="87" t="s">
        <v>1942</v>
      </c>
      <c r="M349" s="87" t="s">
        <v>654</v>
      </c>
      <c r="N349" s="90" t="s">
        <v>2096</v>
      </c>
      <c r="O349" s="91" t="s">
        <v>2097</v>
      </c>
      <c r="P349" s="91" t="s">
        <v>1962</v>
      </c>
      <c r="Q349" s="92">
        <v>2025</v>
      </c>
      <c r="R349" s="88" t="s">
        <v>1942</v>
      </c>
      <c r="S349" s="87" t="s">
        <v>1942</v>
      </c>
      <c r="T349" s="87" t="s">
        <v>1942</v>
      </c>
    </row>
    <row r="350" spans="1:20" ht="18" customHeight="1" x14ac:dyDescent="0.7">
      <c r="A350" s="85">
        <v>350</v>
      </c>
      <c r="B350" s="86">
        <v>3150349</v>
      </c>
      <c r="C350" s="87" t="s">
        <v>2740</v>
      </c>
      <c r="D350" s="88">
        <v>374929405</v>
      </c>
      <c r="E350" s="87" t="s">
        <v>1932</v>
      </c>
      <c r="F350" s="87" t="s">
        <v>1933</v>
      </c>
      <c r="G350" s="87" t="s">
        <v>1934</v>
      </c>
      <c r="H350" s="87"/>
      <c r="I350" s="87"/>
      <c r="J350" s="94">
        <v>45971</v>
      </c>
      <c r="K350" s="87"/>
      <c r="L350" s="87" t="s">
        <v>1942</v>
      </c>
      <c r="M350" s="87" t="s">
        <v>654</v>
      </c>
      <c r="N350" s="90" t="s">
        <v>2096</v>
      </c>
      <c r="O350" s="91" t="s">
        <v>2097</v>
      </c>
      <c r="P350" s="91" t="s">
        <v>1962</v>
      </c>
      <c r="Q350" s="92">
        <v>2025</v>
      </c>
      <c r="R350" s="88" t="s">
        <v>1942</v>
      </c>
      <c r="S350" s="87" t="s">
        <v>1942</v>
      </c>
      <c r="T350" s="87" t="s">
        <v>1942</v>
      </c>
    </row>
    <row r="351" spans="1:20" ht="18" customHeight="1" x14ac:dyDescent="0.7">
      <c r="A351" s="85">
        <v>351</v>
      </c>
      <c r="B351" s="86">
        <v>3150391</v>
      </c>
      <c r="C351" s="87" t="s">
        <v>2741</v>
      </c>
      <c r="D351" s="88">
        <v>976688278</v>
      </c>
      <c r="E351" s="87" t="s">
        <v>1932</v>
      </c>
      <c r="F351" s="87" t="s">
        <v>1933</v>
      </c>
      <c r="G351" s="87" t="s">
        <v>1934</v>
      </c>
      <c r="H351" s="87"/>
      <c r="I351" s="87"/>
      <c r="J351" s="94">
        <v>45971</v>
      </c>
      <c r="K351" s="89">
        <v>46062</v>
      </c>
      <c r="L351" s="87" t="s">
        <v>1819</v>
      </c>
      <c r="M351" s="87" t="s">
        <v>654</v>
      </c>
      <c r="N351" s="90" t="s">
        <v>2096</v>
      </c>
      <c r="O351" s="91" t="s">
        <v>2097</v>
      </c>
      <c r="P351" s="91" t="s">
        <v>1962</v>
      </c>
      <c r="Q351" s="92">
        <v>2025</v>
      </c>
      <c r="R351" s="88" t="s">
        <v>2072</v>
      </c>
      <c r="S351" s="87" t="s">
        <v>1977</v>
      </c>
      <c r="T351" s="92">
        <v>2026</v>
      </c>
    </row>
    <row r="352" spans="1:20" ht="18" customHeight="1" x14ac:dyDescent="0.7">
      <c r="A352" s="85">
        <v>356</v>
      </c>
      <c r="B352" s="86">
        <v>3150782</v>
      </c>
      <c r="C352" s="87" t="s">
        <v>2742</v>
      </c>
      <c r="D352" s="88">
        <v>867824478</v>
      </c>
      <c r="E352" s="87" t="s">
        <v>1932</v>
      </c>
      <c r="F352" s="87" t="s">
        <v>1933</v>
      </c>
      <c r="G352" s="87" t="s">
        <v>1934</v>
      </c>
      <c r="H352" s="87"/>
      <c r="I352" s="87"/>
      <c r="J352" s="94">
        <v>45974</v>
      </c>
      <c r="K352" s="87"/>
      <c r="L352" s="87" t="s">
        <v>1942</v>
      </c>
      <c r="M352" s="87" t="s">
        <v>654</v>
      </c>
      <c r="N352" s="90" t="s">
        <v>2743</v>
      </c>
      <c r="O352" s="91" t="s">
        <v>2045</v>
      </c>
      <c r="P352" s="91" t="s">
        <v>1962</v>
      </c>
      <c r="Q352" s="92">
        <v>2025</v>
      </c>
      <c r="R352" s="88" t="s">
        <v>1942</v>
      </c>
      <c r="S352" s="87" t="s">
        <v>1942</v>
      </c>
      <c r="T352" s="87" t="s">
        <v>1942</v>
      </c>
    </row>
    <row r="353" spans="1:20" ht="18" customHeight="1" x14ac:dyDescent="0.7">
      <c r="A353" s="85">
        <v>357</v>
      </c>
      <c r="B353" s="86">
        <v>3150779</v>
      </c>
      <c r="C353" s="87" t="s">
        <v>2744</v>
      </c>
      <c r="D353" s="88">
        <v>328823549</v>
      </c>
      <c r="E353" s="87" t="s">
        <v>1932</v>
      </c>
      <c r="F353" s="87" t="s">
        <v>1933</v>
      </c>
      <c r="G353" s="87" t="s">
        <v>1934</v>
      </c>
      <c r="H353" s="87"/>
      <c r="I353" s="87"/>
      <c r="J353" s="94">
        <v>45974</v>
      </c>
      <c r="K353" s="89">
        <v>45986</v>
      </c>
      <c r="L353" s="87" t="s">
        <v>1819</v>
      </c>
      <c r="M353" s="87" t="s">
        <v>654</v>
      </c>
      <c r="N353" s="90" t="s">
        <v>2745</v>
      </c>
      <c r="O353" s="91" t="s">
        <v>1952</v>
      </c>
      <c r="P353" s="91" t="s">
        <v>1962</v>
      </c>
      <c r="Q353" s="92">
        <v>2025</v>
      </c>
      <c r="R353" s="88" t="s">
        <v>1939</v>
      </c>
      <c r="S353" s="87" t="s">
        <v>1940</v>
      </c>
      <c r="T353" s="92">
        <v>2025</v>
      </c>
    </row>
    <row r="354" spans="1:20" ht="18" customHeight="1" x14ac:dyDescent="0.7">
      <c r="A354" s="85">
        <v>360</v>
      </c>
      <c r="B354" s="86">
        <v>3150560</v>
      </c>
      <c r="C354" s="87" t="s">
        <v>2746</v>
      </c>
      <c r="D354" s="88">
        <v>964768151</v>
      </c>
      <c r="E354" s="87" t="s">
        <v>1932</v>
      </c>
      <c r="F354" s="87" t="s">
        <v>1933</v>
      </c>
      <c r="G354" s="87" t="s">
        <v>1934</v>
      </c>
      <c r="H354" s="87"/>
      <c r="I354" s="87"/>
      <c r="J354" s="94">
        <v>45972</v>
      </c>
      <c r="K354" s="87"/>
      <c r="L354" s="87" t="s">
        <v>1942</v>
      </c>
      <c r="M354" s="87" t="s">
        <v>654</v>
      </c>
      <c r="N354" s="90" t="s">
        <v>2747</v>
      </c>
      <c r="O354" s="91" t="s">
        <v>2097</v>
      </c>
      <c r="P354" s="91" t="s">
        <v>1962</v>
      </c>
      <c r="Q354" s="92">
        <v>2025</v>
      </c>
      <c r="R354" s="88" t="s">
        <v>1942</v>
      </c>
      <c r="S354" s="87" t="s">
        <v>1942</v>
      </c>
      <c r="T354" s="87" t="s">
        <v>1942</v>
      </c>
    </row>
    <row r="355" spans="1:20" ht="18" customHeight="1" x14ac:dyDescent="0.7">
      <c r="A355" s="85">
        <v>363</v>
      </c>
      <c r="B355" s="86">
        <v>3150375</v>
      </c>
      <c r="C355" s="87" t="s">
        <v>2748</v>
      </c>
      <c r="D355" s="88">
        <v>333031167</v>
      </c>
      <c r="E355" s="87" t="s">
        <v>1932</v>
      </c>
      <c r="F355" s="87" t="s">
        <v>1933</v>
      </c>
      <c r="G355" s="87" t="s">
        <v>1934</v>
      </c>
      <c r="H355" s="87"/>
      <c r="I355" s="87"/>
      <c r="J355" s="89">
        <v>45971</v>
      </c>
      <c r="K355" s="89">
        <v>46039</v>
      </c>
      <c r="L355" s="87" t="s">
        <v>1819</v>
      </c>
      <c r="M355" s="87" t="s">
        <v>654</v>
      </c>
      <c r="N355" s="90" t="s">
        <v>2096</v>
      </c>
      <c r="O355" s="91" t="s">
        <v>2097</v>
      </c>
      <c r="P355" s="91" t="s">
        <v>1962</v>
      </c>
      <c r="Q355" s="92">
        <v>2025</v>
      </c>
      <c r="R355" s="88" t="s">
        <v>2025</v>
      </c>
      <c r="S355" s="87" t="s">
        <v>2026</v>
      </c>
      <c r="T355" s="92">
        <v>2026</v>
      </c>
    </row>
    <row r="356" spans="1:20" ht="18" customHeight="1" x14ac:dyDescent="0.7">
      <c r="A356" s="85">
        <v>364</v>
      </c>
      <c r="B356" s="86">
        <v>3153763</v>
      </c>
      <c r="C356" s="87" t="s">
        <v>2749</v>
      </c>
      <c r="D356" s="88">
        <v>367821316</v>
      </c>
      <c r="E356" s="87" t="s">
        <v>1932</v>
      </c>
      <c r="F356" s="87" t="s">
        <v>1933</v>
      </c>
      <c r="G356" s="87" t="s">
        <v>1934</v>
      </c>
      <c r="H356" s="87"/>
      <c r="I356" s="87"/>
      <c r="J356" s="89">
        <v>46000</v>
      </c>
      <c r="K356" s="89">
        <v>46003</v>
      </c>
      <c r="L356" s="87" t="s">
        <v>1819</v>
      </c>
      <c r="M356" s="87" t="s">
        <v>654</v>
      </c>
      <c r="N356" s="90" t="s">
        <v>2750</v>
      </c>
      <c r="O356" s="91" t="s">
        <v>2045</v>
      </c>
      <c r="P356" s="91" t="s">
        <v>2098</v>
      </c>
      <c r="Q356" s="92">
        <v>2025</v>
      </c>
      <c r="R356" s="88" t="s">
        <v>2098</v>
      </c>
      <c r="S356" s="87" t="s">
        <v>2099</v>
      </c>
      <c r="T356" s="92">
        <v>2025</v>
      </c>
    </row>
    <row r="357" spans="1:20" ht="18" customHeight="1" x14ac:dyDescent="0.7">
      <c r="A357" s="85">
        <v>365</v>
      </c>
      <c r="B357" s="86">
        <v>3153353</v>
      </c>
      <c r="C357" s="87" t="s">
        <v>2751</v>
      </c>
      <c r="D357" s="88">
        <v>934035299</v>
      </c>
      <c r="E357" s="87" t="s">
        <v>1932</v>
      </c>
      <c r="F357" s="87" t="s">
        <v>1933</v>
      </c>
      <c r="G357" s="87" t="s">
        <v>1934</v>
      </c>
      <c r="H357" s="87"/>
      <c r="I357" s="87"/>
      <c r="J357" s="89">
        <v>45996</v>
      </c>
      <c r="K357" s="87"/>
      <c r="L357" s="87" t="s">
        <v>1942</v>
      </c>
      <c r="M357" s="87" t="s">
        <v>654</v>
      </c>
      <c r="N357" s="90" t="s">
        <v>2752</v>
      </c>
      <c r="O357" s="91" t="s">
        <v>2045</v>
      </c>
      <c r="P357" s="91" t="s">
        <v>2482</v>
      </c>
      <c r="Q357" s="92">
        <v>2025</v>
      </c>
      <c r="R357" s="88" t="s">
        <v>1942</v>
      </c>
      <c r="S357" s="87" t="s">
        <v>1942</v>
      </c>
      <c r="T357" s="87" t="s">
        <v>1942</v>
      </c>
    </row>
    <row r="358" spans="1:20" ht="18" customHeight="1" x14ac:dyDescent="0.7">
      <c r="A358" s="85">
        <v>366</v>
      </c>
      <c r="B358" s="86">
        <v>3153287</v>
      </c>
      <c r="C358" s="87" t="s">
        <v>2753</v>
      </c>
      <c r="D358" s="88">
        <v>973830228</v>
      </c>
      <c r="E358" s="87" t="s">
        <v>1932</v>
      </c>
      <c r="F358" s="87" t="s">
        <v>1933</v>
      </c>
      <c r="G358" s="87" t="s">
        <v>1934</v>
      </c>
      <c r="H358" s="87"/>
      <c r="I358" s="87"/>
      <c r="J358" s="89">
        <v>45995</v>
      </c>
      <c r="K358" s="87"/>
      <c r="L358" s="87" t="s">
        <v>1942</v>
      </c>
      <c r="M358" s="87" t="s">
        <v>654</v>
      </c>
      <c r="N358" s="90" t="s">
        <v>2754</v>
      </c>
      <c r="O358" s="91" t="s">
        <v>2045</v>
      </c>
      <c r="P358" s="91" t="s">
        <v>2482</v>
      </c>
      <c r="Q358" s="92">
        <v>2025</v>
      </c>
      <c r="R358" s="88" t="s">
        <v>1942</v>
      </c>
      <c r="S358" s="87" t="s">
        <v>1942</v>
      </c>
      <c r="T358" s="87" t="s">
        <v>1942</v>
      </c>
    </row>
    <row r="359" spans="1:20" ht="18" customHeight="1" x14ac:dyDescent="0.7">
      <c r="A359" s="85">
        <v>367</v>
      </c>
      <c r="B359" s="86">
        <v>3153269</v>
      </c>
      <c r="C359" s="87" t="s">
        <v>2755</v>
      </c>
      <c r="D359" s="87">
        <v>901848526</v>
      </c>
      <c r="E359" s="87" t="s">
        <v>1932</v>
      </c>
      <c r="F359" s="87" t="s">
        <v>1933</v>
      </c>
      <c r="G359" s="87" t="s">
        <v>1934</v>
      </c>
      <c r="H359" s="87"/>
      <c r="I359" s="87"/>
      <c r="J359" s="89">
        <v>45995</v>
      </c>
      <c r="K359" s="87"/>
      <c r="L359" s="87" t="s">
        <v>1942</v>
      </c>
      <c r="M359" s="87" t="s">
        <v>654</v>
      </c>
      <c r="N359" s="90" t="s">
        <v>2754</v>
      </c>
      <c r="O359" s="91" t="s">
        <v>2045</v>
      </c>
      <c r="P359" s="91" t="s">
        <v>2482</v>
      </c>
      <c r="Q359" s="92">
        <v>2025</v>
      </c>
      <c r="R359" s="88" t="s">
        <v>1942</v>
      </c>
      <c r="S359" s="87" t="s">
        <v>1942</v>
      </c>
      <c r="T359" s="87" t="s">
        <v>1942</v>
      </c>
    </row>
    <row r="360" spans="1:20" ht="18" customHeight="1" x14ac:dyDescent="0.7">
      <c r="A360" s="85">
        <v>368</v>
      </c>
      <c r="B360" s="86">
        <v>3153086</v>
      </c>
      <c r="C360" s="87" t="s">
        <v>2756</v>
      </c>
      <c r="D360" s="87">
        <v>942784734</v>
      </c>
      <c r="E360" s="87" t="s">
        <v>1932</v>
      </c>
      <c r="F360" s="87" t="s">
        <v>1933</v>
      </c>
      <c r="G360" s="87" t="s">
        <v>1934</v>
      </c>
      <c r="H360" s="87"/>
      <c r="I360" s="87"/>
      <c r="J360" s="89">
        <v>45994</v>
      </c>
      <c r="K360" s="87"/>
      <c r="L360" s="87" t="s">
        <v>1942</v>
      </c>
      <c r="M360" s="87" t="s">
        <v>654</v>
      </c>
      <c r="N360" s="90" t="s">
        <v>2757</v>
      </c>
      <c r="O360" s="91" t="s">
        <v>2045</v>
      </c>
      <c r="P360" s="91" t="s">
        <v>2482</v>
      </c>
      <c r="Q360" s="92">
        <v>2025</v>
      </c>
      <c r="R360" s="88" t="s">
        <v>1942</v>
      </c>
      <c r="S360" s="87" t="s">
        <v>1942</v>
      </c>
      <c r="T360" s="87" t="s">
        <v>1942</v>
      </c>
    </row>
    <row r="361" spans="1:20" ht="18" customHeight="1" x14ac:dyDescent="0.7">
      <c r="A361" s="85">
        <v>369</v>
      </c>
      <c r="B361" s="86">
        <v>3153080</v>
      </c>
      <c r="C361" s="87" t="s">
        <v>2758</v>
      </c>
      <c r="D361" s="87">
        <v>938462175</v>
      </c>
      <c r="E361" s="87" t="s">
        <v>1932</v>
      </c>
      <c r="F361" s="87" t="s">
        <v>1933</v>
      </c>
      <c r="G361" s="87" t="s">
        <v>1934</v>
      </c>
      <c r="H361" s="87"/>
      <c r="I361" s="87"/>
      <c r="J361" s="89">
        <v>45994</v>
      </c>
      <c r="K361" s="89">
        <v>46094</v>
      </c>
      <c r="L361" s="87" t="s">
        <v>1819</v>
      </c>
      <c r="M361" s="87" t="s">
        <v>654</v>
      </c>
      <c r="N361" s="90" t="s">
        <v>2757</v>
      </c>
      <c r="O361" s="91" t="s">
        <v>2045</v>
      </c>
      <c r="P361" s="91" t="s">
        <v>2482</v>
      </c>
      <c r="Q361" s="92">
        <v>2025</v>
      </c>
      <c r="R361" s="88" t="s">
        <v>2006</v>
      </c>
      <c r="S361" s="87" t="s">
        <v>2007</v>
      </c>
      <c r="T361" s="92">
        <v>2026</v>
      </c>
    </row>
    <row r="362" spans="1:20" ht="18" customHeight="1" x14ac:dyDescent="0.7">
      <c r="A362" s="85">
        <v>370</v>
      </c>
      <c r="B362" s="86">
        <v>3153075</v>
      </c>
      <c r="C362" s="87" t="s">
        <v>2759</v>
      </c>
      <c r="D362" s="87">
        <v>818214160</v>
      </c>
      <c r="E362" s="87" t="s">
        <v>1932</v>
      </c>
      <c r="F362" s="87" t="s">
        <v>1933</v>
      </c>
      <c r="G362" s="87" t="s">
        <v>1934</v>
      </c>
      <c r="H362" s="87"/>
      <c r="I362" s="87"/>
      <c r="J362" s="89">
        <v>45994</v>
      </c>
      <c r="K362" s="89">
        <v>46051</v>
      </c>
      <c r="L362" s="87" t="s">
        <v>1819</v>
      </c>
      <c r="M362" s="87" t="s">
        <v>654</v>
      </c>
      <c r="N362" s="90" t="s">
        <v>2757</v>
      </c>
      <c r="O362" s="91" t="s">
        <v>2045</v>
      </c>
      <c r="P362" s="91" t="s">
        <v>2482</v>
      </c>
      <c r="Q362" s="92">
        <v>2025</v>
      </c>
      <c r="R362" s="88" t="s">
        <v>2609</v>
      </c>
      <c r="S362" s="87" t="s">
        <v>2026</v>
      </c>
      <c r="T362" s="92">
        <v>2026</v>
      </c>
    </row>
    <row r="363" spans="1:20" ht="18" customHeight="1" x14ac:dyDescent="0.7">
      <c r="A363" s="85">
        <v>371</v>
      </c>
      <c r="B363" s="86">
        <v>3152788</v>
      </c>
      <c r="C363" s="87" t="s">
        <v>2760</v>
      </c>
      <c r="D363" s="87">
        <v>902830352</v>
      </c>
      <c r="E363" s="87" t="s">
        <v>1932</v>
      </c>
      <c r="F363" s="87" t="s">
        <v>1933</v>
      </c>
      <c r="G363" s="87" t="s">
        <v>1934</v>
      </c>
      <c r="H363" s="87"/>
      <c r="I363" s="87"/>
      <c r="J363" s="89">
        <v>45992</v>
      </c>
      <c r="K363" s="87"/>
      <c r="L363" s="87" t="s">
        <v>1942</v>
      </c>
      <c r="M363" s="87" t="s">
        <v>654</v>
      </c>
      <c r="N363" s="90" t="s">
        <v>2157</v>
      </c>
      <c r="O363" s="91" t="s">
        <v>2045</v>
      </c>
      <c r="P363" s="91" t="s">
        <v>2482</v>
      </c>
      <c r="Q363" s="92">
        <v>2025</v>
      </c>
      <c r="R363" s="88" t="s">
        <v>1942</v>
      </c>
      <c r="S363" s="87" t="s">
        <v>1942</v>
      </c>
      <c r="T363" s="87" t="s">
        <v>1942</v>
      </c>
    </row>
    <row r="364" spans="1:20" ht="18" customHeight="1" x14ac:dyDescent="0.7">
      <c r="A364" s="85">
        <v>372</v>
      </c>
      <c r="B364" s="86">
        <v>3152057</v>
      </c>
      <c r="C364" s="87" t="s">
        <v>2761</v>
      </c>
      <c r="D364" s="87">
        <v>964513453</v>
      </c>
      <c r="E364" s="87" t="s">
        <v>1932</v>
      </c>
      <c r="F364" s="87" t="s">
        <v>1933</v>
      </c>
      <c r="G364" s="87" t="s">
        <v>1934</v>
      </c>
      <c r="H364" s="87"/>
      <c r="I364" s="87"/>
      <c r="J364" s="89">
        <v>45985</v>
      </c>
      <c r="K364" s="89">
        <v>46010</v>
      </c>
      <c r="L364" s="87" t="s">
        <v>1819</v>
      </c>
      <c r="M364" s="87" t="s">
        <v>654</v>
      </c>
      <c r="N364" s="90" t="s">
        <v>2762</v>
      </c>
      <c r="O364" s="91" t="s">
        <v>2045</v>
      </c>
      <c r="P364" s="91" t="s">
        <v>1939</v>
      </c>
      <c r="Q364" s="92">
        <v>2025</v>
      </c>
      <c r="R364" s="88" t="s">
        <v>2763</v>
      </c>
      <c r="S364" s="87" t="s">
        <v>2099</v>
      </c>
      <c r="T364" s="92">
        <v>2025</v>
      </c>
    </row>
    <row r="365" spans="1:20" ht="18" customHeight="1" x14ac:dyDescent="0.7">
      <c r="A365" s="85">
        <v>373</v>
      </c>
      <c r="B365" s="86">
        <v>3152041</v>
      </c>
      <c r="C365" s="87" t="s">
        <v>2764</v>
      </c>
      <c r="D365" s="87">
        <v>939984403</v>
      </c>
      <c r="E365" s="87" t="s">
        <v>1932</v>
      </c>
      <c r="F365" s="87" t="s">
        <v>1933</v>
      </c>
      <c r="G365" s="87" t="s">
        <v>1934</v>
      </c>
      <c r="H365" s="87"/>
      <c r="I365" s="87"/>
      <c r="J365" s="89">
        <v>45985</v>
      </c>
      <c r="K365" s="89">
        <v>46007</v>
      </c>
      <c r="L365" s="87" t="s">
        <v>1819</v>
      </c>
      <c r="M365" s="87" t="s">
        <v>654</v>
      </c>
      <c r="N365" s="90" t="s">
        <v>2762</v>
      </c>
      <c r="O365" s="91" t="s">
        <v>2045</v>
      </c>
      <c r="P365" s="91" t="s">
        <v>1939</v>
      </c>
      <c r="Q365" s="92">
        <v>2025</v>
      </c>
      <c r="R365" s="88" t="s">
        <v>2763</v>
      </c>
      <c r="S365" s="87" t="s">
        <v>2099</v>
      </c>
      <c r="T365" s="92">
        <v>2025</v>
      </c>
    </row>
    <row r="366" spans="1:20" ht="18" customHeight="1" x14ac:dyDescent="0.7">
      <c r="A366" s="85">
        <v>374</v>
      </c>
      <c r="B366" s="86">
        <v>3152020</v>
      </c>
      <c r="C366" s="87" t="s">
        <v>2765</v>
      </c>
      <c r="D366" s="87">
        <v>961163416</v>
      </c>
      <c r="E366" s="88" t="s">
        <v>2151</v>
      </c>
      <c r="F366" s="87" t="s">
        <v>1933</v>
      </c>
      <c r="G366" s="87" t="s">
        <v>1934</v>
      </c>
      <c r="H366" s="87"/>
      <c r="I366" s="88" t="s">
        <v>1981</v>
      </c>
      <c r="J366" s="89">
        <v>45985</v>
      </c>
      <c r="K366" s="94">
        <v>46067</v>
      </c>
      <c r="L366" s="87" t="s">
        <v>1819</v>
      </c>
      <c r="M366" s="87" t="s">
        <v>654</v>
      </c>
      <c r="N366" s="90" t="s">
        <v>2762</v>
      </c>
      <c r="O366" s="91" t="s">
        <v>2045</v>
      </c>
      <c r="P366" s="91" t="s">
        <v>1939</v>
      </c>
      <c r="Q366" s="92">
        <v>2025</v>
      </c>
      <c r="R366" s="88" t="s">
        <v>2072</v>
      </c>
      <c r="S366" s="87" t="s">
        <v>1977</v>
      </c>
      <c r="T366" s="92">
        <v>2026</v>
      </c>
    </row>
    <row r="367" spans="1:20" ht="18" customHeight="1" x14ac:dyDescent="0.7">
      <c r="A367" s="85">
        <v>375</v>
      </c>
      <c r="B367" s="86">
        <v>3151723</v>
      </c>
      <c r="C367" s="87" t="s">
        <v>2766</v>
      </c>
      <c r="D367" s="87">
        <v>366558790</v>
      </c>
      <c r="E367" s="88" t="s">
        <v>2151</v>
      </c>
      <c r="F367" s="87" t="s">
        <v>1933</v>
      </c>
      <c r="G367" s="87" t="s">
        <v>1934</v>
      </c>
      <c r="H367" s="87"/>
      <c r="I367" s="88" t="s">
        <v>1981</v>
      </c>
      <c r="J367" s="89">
        <v>45982</v>
      </c>
      <c r="K367" s="94">
        <v>46067</v>
      </c>
      <c r="L367" s="87" t="s">
        <v>1819</v>
      </c>
      <c r="M367" s="87" t="s">
        <v>654</v>
      </c>
      <c r="N367" s="90" t="s">
        <v>2132</v>
      </c>
      <c r="O367" s="91" t="s">
        <v>2045</v>
      </c>
      <c r="P367" s="91" t="s">
        <v>2138</v>
      </c>
      <c r="Q367" s="92">
        <v>2025</v>
      </c>
      <c r="R367" s="88" t="s">
        <v>2072</v>
      </c>
      <c r="S367" s="87" t="s">
        <v>1977</v>
      </c>
      <c r="T367" s="92">
        <v>2026</v>
      </c>
    </row>
    <row r="368" spans="1:20" ht="18" customHeight="1" x14ac:dyDescent="0.7">
      <c r="A368" s="85">
        <v>376</v>
      </c>
      <c r="B368" s="86">
        <v>3151605</v>
      </c>
      <c r="C368" s="87" t="s">
        <v>2767</v>
      </c>
      <c r="D368" s="87">
        <v>901575030</v>
      </c>
      <c r="E368" s="87" t="s">
        <v>1932</v>
      </c>
      <c r="F368" s="87" t="s">
        <v>1933</v>
      </c>
      <c r="G368" s="87" t="s">
        <v>1934</v>
      </c>
      <c r="H368" s="87"/>
      <c r="I368" s="87"/>
      <c r="J368" s="89">
        <v>45981</v>
      </c>
      <c r="K368" s="89">
        <v>46003</v>
      </c>
      <c r="L368" s="87" t="s">
        <v>1819</v>
      </c>
      <c r="M368" s="87" t="s">
        <v>654</v>
      </c>
      <c r="N368" s="90" t="s">
        <v>2768</v>
      </c>
      <c r="O368" s="91" t="s">
        <v>2045</v>
      </c>
      <c r="P368" s="91" t="s">
        <v>2138</v>
      </c>
      <c r="Q368" s="92">
        <v>2025</v>
      </c>
      <c r="R368" s="88" t="s">
        <v>2098</v>
      </c>
      <c r="S368" s="87" t="s">
        <v>2099</v>
      </c>
      <c r="T368" s="92">
        <v>2025</v>
      </c>
    </row>
    <row r="369" spans="1:20" ht="18" customHeight="1" x14ac:dyDescent="0.7">
      <c r="A369" s="85">
        <v>377</v>
      </c>
      <c r="B369" s="86">
        <v>3151469</v>
      </c>
      <c r="C369" s="87" t="s">
        <v>2116</v>
      </c>
      <c r="D369" s="87">
        <v>906913445</v>
      </c>
      <c r="E369" s="87" t="s">
        <v>1932</v>
      </c>
      <c r="F369" s="87" t="s">
        <v>1933</v>
      </c>
      <c r="G369" s="87" t="s">
        <v>1934</v>
      </c>
      <c r="H369" s="87"/>
      <c r="I369" s="87"/>
      <c r="J369" s="89">
        <v>45980</v>
      </c>
      <c r="K369" s="89">
        <v>46063</v>
      </c>
      <c r="L369" s="87" t="s">
        <v>1819</v>
      </c>
      <c r="M369" s="87" t="s">
        <v>654</v>
      </c>
      <c r="N369" s="90" t="s">
        <v>2769</v>
      </c>
      <c r="O369" s="91" t="s">
        <v>2045</v>
      </c>
      <c r="P369" s="91" t="s">
        <v>2138</v>
      </c>
      <c r="Q369" s="92">
        <v>2025</v>
      </c>
      <c r="R369" s="88" t="s">
        <v>2072</v>
      </c>
      <c r="S369" s="87" t="s">
        <v>1977</v>
      </c>
      <c r="T369" s="92">
        <v>2026</v>
      </c>
    </row>
    <row r="370" spans="1:20" ht="18" customHeight="1" x14ac:dyDescent="0.7">
      <c r="A370" s="85">
        <v>378</v>
      </c>
      <c r="B370" s="86">
        <v>3150782</v>
      </c>
      <c r="C370" s="87" t="s">
        <v>2742</v>
      </c>
      <c r="D370" s="87">
        <v>867824478</v>
      </c>
      <c r="E370" s="87" t="s">
        <v>1932</v>
      </c>
      <c r="F370" s="87" t="s">
        <v>1933</v>
      </c>
      <c r="G370" s="87" t="s">
        <v>1934</v>
      </c>
      <c r="H370" s="87"/>
      <c r="I370" s="87"/>
      <c r="J370" s="89">
        <v>45974</v>
      </c>
      <c r="K370" s="87"/>
      <c r="L370" s="87" t="s">
        <v>1942</v>
      </c>
      <c r="M370" s="87" t="s">
        <v>654</v>
      </c>
      <c r="N370" s="90" t="s">
        <v>2743</v>
      </c>
      <c r="O370" s="91" t="s">
        <v>2045</v>
      </c>
      <c r="P370" s="91" t="s">
        <v>1962</v>
      </c>
      <c r="Q370" s="92">
        <v>2025</v>
      </c>
      <c r="R370" s="88" t="s">
        <v>1942</v>
      </c>
      <c r="S370" s="87" t="s">
        <v>1942</v>
      </c>
      <c r="T370" s="87" t="s">
        <v>1942</v>
      </c>
    </row>
    <row r="371" spans="1:20" ht="18" customHeight="1" x14ac:dyDescent="0.7">
      <c r="A371" s="85">
        <v>379</v>
      </c>
      <c r="B371" s="86">
        <v>3152296</v>
      </c>
      <c r="C371" s="87" t="s">
        <v>2770</v>
      </c>
      <c r="D371" s="88">
        <v>909681330</v>
      </c>
      <c r="E371" s="87" t="s">
        <v>1932</v>
      </c>
      <c r="F371" s="87" t="s">
        <v>1933</v>
      </c>
      <c r="G371" s="87" t="s">
        <v>1934</v>
      </c>
      <c r="H371" s="87"/>
      <c r="I371" s="87"/>
      <c r="J371" s="89">
        <v>45987</v>
      </c>
      <c r="K371" s="89">
        <v>45995</v>
      </c>
      <c r="L371" s="87" t="s">
        <v>1819</v>
      </c>
      <c r="M371" s="87" t="s">
        <v>654</v>
      </c>
      <c r="N371" s="90" t="s">
        <v>2771</v>
      </c>
      <c r="O371" s="91" t="s">
        <v>1952</v>
      </c>
      <c r="P371" s="91" t="s">
        <v>1939</v>
      </c>
      <c r="Q371" s="92">
        <v>2025</v>
      </c>
      <c r="R371" s="88" t="s">
        <v>2482</v>
      </c>
      <c r="S371" s="87" t="s">
        <v>2099</v>
      </c>
      <c r="T371" s="92">
        <v>2025</v>
      </c>
    </row>
    <row r="372" spans="1:20" ht="18" customHeight="1" x14ac:dyDescent="0.7">
      <c r="A372" s="85">
        <v>380</v>
      </c>
      <c r="B372" s="86">
        <v>3151609</v>
      </c>
      <c r="C372" s="87" t="s">
        <v>2772</v>
      </c>
      <c r="D372" s="88">
        <v>879460182</v>
      </c>
      <c r="E372" s="87" t="s">
        <v>1932</v>
      </c>
      <c r="F372" s="87" t="s">
        <v>1933</v>
      </c>
      <c r="G372" s="87" t="s">
        <v>1934</v>
      </c>
      <c r="H372" s="87"/>
      <c r="I372" s="87"/>
      <c r="J372" s="89">
        <v>45981</v>
      </c>
      <c r="K372" s="89">
        <v>45995</v>
      </c>
      <c r="L372" s="87" t="s">
        <v>1819</v>
      </c>
      <c r="M372" s="87" t="s">
        <v>654</v>
      </c>
      <c r="N372" s="90" t="s">
        <v>1971</v>
      </c>
      <c r="O372" s="91" t="s">
        <v>1952</v>
      </c>
      <c r="P372" s="91" t="s">
        <v>2138</v>
      </c>
      <c r="Q372" s="92">
        <v>2025</v>
      </c>
      <c r="R372" s="88" t="s">
        <v>2482</v>
      </c>
      <c r="S372" s="87" t="s">
        <v>2099</v>
      </c>
      <c r="T372" s="92">
        <v>2025</v>
      </c>
    </row>
    <row r="373" spans="1:20" ht="18" customHeight="1" x14ac:dyDescent="0.7">
      <c r="A373" s="85">
        <v>381</v>
      </c>
      <c r="B373" s="86">
        <v>3145939</v>
      </c>
      <c r="C373" s="87" t="s">
        <v>2773</v>
      </c>
      <c r="D373" s="88">
        <v>786521424</v>
      </c>
      <c r="E373" s="87" t="s">
        <v>1932</v>
      </c>
      <c r="F373" s="87" t="s">
        <v>1933</v>
      </c>
      <c r="G373" s="87" t="s">
        <v>1934</v>
      </c>
      <c r="H373" s="87"/>
      <c r="I373" s="87"/>
      <c r="J373" s="89">
        <v>45932</v>
      </c>
      <c r="K373" s="89">
        <v>45987</v>
      </c>
      <c r="L373" s="87" t="s">
        <v>1819</v>
      </c>
      <c r="M373" s="87" t="s">
        <v>654</v>
      </c>
      <c r="N373" s="90" t="s">
        <v>2003</v>
      </c>
      <c r="O373" s="91" t="s">
        <v>1947</v>
      </c>
      <c r="P373" s="91" t="s">
        <v>2034</v>
      </c>
      <c r="Q373" s="92">
        <v>2025</v>
      </c>
      <c r="R373" s="88" t="s">
        <v>1939</v>
      </c>
      <c r="S373" s="87" t="s">
        <v>1940</v>
      </c>
      <c r="T373" s="92">
        <v>2025</v>
      </c>
    </row>
    <row r="374" spans="1:20" ht="18" customHeight="1" x14ac:dyDescent="0.7">
      <c r="A374" s="85">
        <v>382</v>
      </c>
      <c r="B374" s="86">
        <v>3145931</v>
      </c>
      <c r="C374" s="87" t="s">
        <v>2774</v>
      </c>
      <c r="D374" s="88">
        <v>938769552</v>
      </c>
      <c r="E374" s="87" t="s">
        <v>1932</v>
      </c>
      <c r="F374" s="87" t="s">
        <v>1933</v>
      </c>
      <c r="G374" s="87" t="s">
        <v>1934</v>
      </c>
      <c r="H374" s="87"/>
      <c r="I374" s="87"/>
      <c r="J374" s="89">
        <v>45932</v>
      </c>
      <c r="K374" s="89">
        <v>45987</v>
      </c>
      <c r="L374" s="87" t="s">
        <v>1819</v>
      </c>
      <c r="M374" s="87" t="s">
        <v>654</v>
      </c>
      <c r="N374" s="90" t="s">
        <v>2003</v>
      </c>
      <c r="O374" s="91" t="s">
        <v>1947</v>
      </c>
      <c r="P374" s="91" t="s">
        <v>2034</v>
      </c>
      <c r="Q374" s="92">
        <v>2025</v>
      </c>
      <c r="R374" s="88" t="s">
        <v>1939</v>
      </c>
      <c r="S374" s="87" t="s">
        <v>1940</v>
      </c>
      <c r="T374" s="92">
        <v>2025</v>
      </c>
    </row>
    <row r="375" spans="1:20" ht="18" customHeight="1" x14ac:dyDescent="0.7">
      <c r="A375" s="85">
        <v>383</v>
      </c>
      <c r="B375" s="86">
        <v>3145926</v>
      </c>
      <c r="C375" s="87" t="s">
        <v>2775</v>
      </c>
      <c r="D375" s="88">
        <v>396668930</v>
      </c>
      <c r="E375" s="87" t="s">
        <v>1932</v>
      </c>
      <c r="F375" s="87" t="s">
        <v>1933</v>
      </c>
      <c r="G375" s="87" t="s">
        <v>1934</v>
      </c>
      <c r="H375" s="87"/>
      <c r="I375" s="87"/>
      <c r="J375" s="89">
        <v>45932</v>
      </c>
      <c r="K375" s="89">
        <v>45987</v>
      </c>
      <c r="L375" s="87" t="s">
        <v>1819</v>
      </c>
      <c r="M375" s="87" t="s">
        <v>654</v>
      </c>
      <c r="N375" s="90" t="s">
        <v>2003</v>
      </c>
      <c r="O375" s="91" t="s">
        <v>1947</v>
      </c>
      <c r="P375" s="91" t="s">
        <v>2034</v>
      </c>
      <c r="Q375" s="92">
        <v>2025</v>
      </c>
      <c r="R375" s="88" t="s">
        <v>1939</v>
      </c>
      <c r="S375" s="87" t="s">
        <v>1940</v>
      </c>
      <c r="T375" s="95">
        <v>2025</v>
      </c>
    </row>
    <row r="376" spans="1:20" ht="18" customHeight="1" x14ac:dyDescent="0.7">
      <c r="A376" s="85">
        <v>384</v>
      </c>
      <c r="B376" s="86">
        <v>3145925</v>
      </c>
      <c r="C376" s="87" t="s">
        <v>2776</v>
      </c>
      <c r="D376" s="87"/>
      <c r="E376" s="87" t="s">
        <v>1932</v>
      </c>
      <c r="F376" s="87" t="s">
        <v>1933</v>
      </c>
      <c r="G376" s="87" t="s">
        <v>1934</v>
      </c>
      <c r="H376" s="87"/>
      <c r="I376" s="87"/>
      <c r="J376" s="89">
        <v>45932</v>
      </c>
      <c r="K376" s="89">
        <v>45986</v>
      </c>
      <c r="L376" s="87" t="s">
        <v>1819</v>
      </c>
      <c r="M376" s="87" t="s">
        <v>654</v>
      </c>
      <c r="N376" s="90" t="s">
        <v>2693</v>
      </c>
      <c r="O376" s="91" t="s">
        <v>1947</v>
      </c>
      <c r="P376" s="91" t="s">
        <v>2034</v>
      </c>
      <c r="Q376" s="92">
        <v>2025</v>
      </c>
      <c r="R376" s="88" t="s">
        <v>1939</v>
      </c>
      <c r="S376" s="87" t="s">
        <v>1940</v>
      </c>
      <c r="T376" s="92">
        <v>2025</v>
      </c>
    </row>
    <row r="377" spans="1:20" ht="18" customHeight="1" x14ac:dyDescent="0.7">
      <c r="A377" s="85">
        <v>385</v>
      </c>
      <c r="B377" s="86">
        <v>3162752</v>
      </c>
      <c r="C377" s="87" t="s">
        <v>2777</v>
      </c>
      <c r="D377" s="88">
        <v>964185328</v>
      </c>
      <c r="E377" s="88" t="s">
        <v>2151</v>
      </c>
      <c r="F377" s="87" t="s">
        <v>1933</v>
      </c>
      <c r="G377" s="87" t="s">
        <v>1934</v>
      </c>
      <c r="H377" s="88" t="s">
        <v>2778</v>
      </c>
      <c r="I377" s="88" t="s">
        <v>1981</v>
      </c>
      <c r="J377" s="89">
        <v>46098</v>
      </c>
      <c r="K377" s="87"/>
      <c r="L377" s="87" t="s">
        <v>1942</v>
      </c>
      <c r="M377" s="87" t="s">
        <v>654</v>
      </c>
      <c r="N377" s="90" t="s">
        <v>2003</v>
      </c>
      <c r="O377" s="91" t="s">
        <v>1947</v>
      </c>
      <c r="P377" s="91" t="s">
        <v>2055</v>
      </c>
      <c r="Q377" s="92">
        <v>2026</v>
      </c>
      <c r="R377" s="88" t="s">
        <v>1942</v>
      </c>
      <c r="S377" s="87" t="s">
        <v>1942</v>
      </c>
      <c r="T377" s="88" t="s">
        <v>1942</v>
      </c>
    </row>
    <row r="378" spans="1:20" ht="18" customHeight="1" x14ac:dyDescent="0.7">
      <c r="A378" s="85">
        <v>386</v>
      </c>
      <c r="B378" s="86">
        <v>3166048</v>
      </c>
      <c r="C378" s="87" t="s">
        <v>2779</v>
      </c>
      <c r="D378" s="87"/>
      <c r="E378" s="87" t="s">
        <v>1932</v>
      </c>
      <c r="F378" s="87" t="s">
        <v>1933</v>
      </c>
      <c r="G378" s="88" t="s">
        <v>2209</v>
      </c>
      <c r="H378" s="87"/>
      <c r="I378" s="87"/>
      <c r="J378" s="89">
        <v>46122</v>
      </c>
      <c r="K378" s="87"/>
      <c r="L378" s="87" t="s">
        <v>1942</v>
      </c>
      <c r="M378" s="87" t="s">
        <v>654</v>
      </c>
      <c r="N378" s="90" t="s">
        <v>2780</v>
      </c>
      <c r="O378" s="91" t="s">
        <v>1947</v>
      </c>
      <c r="P378" s="91" t="s">
        <v>2781</v>
      </c>
      <c r="Q378" s="92">
        <v>2026</v>
      </c>
      <c r="R378" s="88" t="s">
        <v>1942</v>
      </c>
      <c r="S378" s="87" t="s">
        <v>1942</v>
      </c>
      <c r="T378" s="88" t="s">
        <v>1942</v>
      </c>
    </row>
    <row r="379" spans="1:20" ht="18" customHeight="1" x14ac:dyDescent="0.7">
      <c r="A379" s="85">
        <v>387</v>
      </c>
      <c r="B379" s="86">
        <v>3165793</v>
      </c>
      <c r="C379" s="87" t="s">
        <v>2782</v>
      </c>
      <c r="D379" s="87"/>
      <c r="E379" s="87" t="s">
        <v>1932</v>
      </c>
      <c r="F379" s="87" t="s">
        <v>1933</v>
      </c>
      <c r="G379" s="87" t="s">
        <v>1934</v>
      </c>
      <c r="H379" s="87"/>
      <c r="I379" s="87"/>
      <c r="J379" s="89">
        <v>46120</v>
      </c>
      <c r="K379" s="87"/>
      <c r="L379" s="87" t="s">
        <v>1942</v>
      </c>
      <c r="M379" s="87" t="s">
        <v>654</v>
      </c>
      <c r="N379" s="90" t="s">
        <v>1946</v>
      </c>
      <c r="O379" s="91" t="s">
        <v>1947</v>
      </c>
      <c r="P379" s="91" t="s">
        <v>2781</v>
      </c>
      <c r="Q379" s="92">
        <v>2026</v>
      </c>
      <c r="R379" s="88" t="s">
        <v>1942</v>
      </c>
      <c r="S379" s="87" t="s">
        <v>1942</v>
      </c>
      <c r="T379" s="88" t="s">
        <v>1942</v>
      </c>
    </row>
    <row r="380" spans="1:20" ht="18" customHeight="1" x14ac:dyDescent="0.7">
      <c r="A380" s="85">
        <v>388</v>
      </c>
      <c r="B380" s="86">
        <v>3165750</v>
      </c>
      <c r="C380" s="87" t="s">
        <v>2783</v>
      </c>
      <c r="D380" s="87"/>
      <c r="E380" s="87" t="s">
        <v>1932</v>
      </c>
      <c r="F380" s="87" t="s">
        <v>1933</v>
      </c>
      <c r="G380" s="87" t="s">
        <v>1934</v>
      </c>
      <c r="H380" s="87"/>
      <c r="I380" s="87"/>
      <c r="J380" s="89">
        <v>46120</v>
      </c>
      <c r="K380" s="87"/>
      <c r="L380" s="87" t="s">
        <v>1942</v>
      </c>
      <c r="M380" s="87" t="s">
        <v>654</v>
      </c>
      <c r="N380" s="90" t="s">
        <v>1946</v>
      </c>
      <c r="O380" s="91" t="s">
        <v>1947</v>
      </c>
      <c r="P380" s="91" t="s">
        <v>2781</v>
      </c>
      <c r="Q380" s="92">
        <v>2026</v>
      </c>
      <c r="R380" s="88" t="s">
        <v>1942</v>
      </c>
      <c r="S380" s="87" t="s">
        <v>1942</v>
      </c>
      <c r="T380" s="88" t="s">
        <v>1942</v>
      </c>
    </row>
    <row r="381" spans="1:20" ht="18" customHeight="1" x14ac:dyDescent="0.7">
      <c r="A381" s="85">
        <v>389</v>
      </c>
      <c r="B381" s="86">
        <v>3165620</v>
      </c>
      <c r="C381" s="87" t="s">
        <v>2784</v>
      </c>
      <c r="D381" s="87"/>
      <c r="E381" s="87" t="s">
        <v>1932</v>
      </c>
      <c r="F381" s="87" t="s">
        <v>1933</v>
      </c>
      <c r="G381" s="87" t="s">
        <v>1934</v>
      </c>
      <c r="H381" s="87"/>
      <c r="I381" s="87"/>
      <c r="J381" s="89">
        <v>46119</v>
      </c>
      <c r="K381" s="87"/>
      <c r="L381" s="87" t="s">
        <v>1942</v>
      </c>
      <c r="M381" s="87" t="s">
        <v>654</v>
      </c>
      <c r="N381" s="90" t="s">
        <v>2028</v>
      </c>
      <c r="O381" s="91" t="s">
        <v>1947</v>
      </c>
      <c r="P381" s="91" t="s">
        <v>2781</v>
      </c>
      <c r="Q381" s="92">
        <v>2026</v>
      </c>
      <c r="R381" s="88" t="s">
        <v>1942</v>
      </c>
      <c r="S381" s="87" t="s">
        <v>1942</v>
      </c>
      <c r="T381" s="88" t="s">
        <v>1942</v>
      </c>
    </row>
    <row r="382" spans="1:20" ht="18" customHeight="1" x14ac:dyDescent="0.7">
      <c r="A382" s="85">
        <v>390</v>
      </c>
      <c r="B382" s="86">
        <v>3165492</v>
      </c>
      <c r="C382" s="87" t="s">
        <v>2785</v>
      </c>
      <c r="D382" s="87"/>
      <c r="E382" s="87" t="s">
        <v>1932</v>
      </c>
      <c r="F382" s="87" t="s">
        <v>1933</v>
      </c>
      <c r="G382" s="87" t="s">
        <v>1934</v>
      </c>
      <c r="H382" s="87"/>
      <c r="I382" s="87"/>
      <c r="J382" s="89">
        <v>46118</v>
      </c>
      <c r="K382" s="87"/>
      <c r="L382" s="87" t="s">
        <v>1942</v>
      </c>
      <c r="M382" s="87" t="s">
        <v>654</v>
      </c>
      <c r="N382" s="90" t="s">
        <v>1982</v>
      </c>
      <c r="O382" s="91" t="s">
        <v>1947</v>
      </c>
      <c r="P382" s="91" t="s">
        <v>2781</v>
      </c>
      <c r="Q382" s="92">
        <v>2026</v>
      </c>
      <c r="R382" s="88" t="s">
        <v>1942</v>
      </c>
      <c r="S382" s="87" t="s">
        <v>1942</v>
      </c>
      <c r="T382" s="88" t="s">
        <v>1942</v>
      </c>
    </row>
    <row r="383" spans="1:20" ht="18" customHeight="1" x14ac:dyDescent="0.7">
      <c r="A383" s="85">
        <v>392</v>
      </c>
      <c r="B383" s="86">
        <v>3165160</v>
      </c>
      <c r="C383" s="87" t="s">
        <v>2786</v>
      </c>
      <c r="D383" s="87"/>
      <c r="E383" s="87" t="s">
        <v>1932</v>
      </c>
      <c r="F383" s="87" t="s">
        <v>1933</v>
      </c>
      <c r="G383" s="87" t="s">
        <v>1934</v>
      </c>
      <c r="H383" s="87"/>
      <c r="I383" s="87"/>
      <c r="J383" s="89">
        <v>46115</v>
      </c>
      <c r="K383" s="87"/>
      <c r="L383" s="87" t="s">
        <v>1942</v>
      </c>
      <c r="M383" s="87" t="s">
        <v>654</v>
      </c>
      <c r="N383" s="90" t="s">
        <v>2787</v>
      </c>
      <c r="O383" s="91" t="s">
        <v>1947</v>
      </c>
      <c r="P383" s="91" t="s">
        <v>2169</v>
      </c>
      <c r="Q383" s="92">
        <v>2026</v>
      </c>
      <c r="R383" s="88" t="s">
        <v>1942</v>
      </c>
      <c r="S383" s="87" t="s">
        <v>1942</v>
      </c>
      <c r="T383" s="88" t="s">
        <v>1942</v>
      </c>
    </row>
    <row r="384" spans="1:20" ht="18" customHeight="1" x14ac:dyDescent="0.7">
      <c r="A384" s="85">
        <v>393</v>
      </c>
      <c r="B384" s="86">
        <v>3165161</v>
      </c>
      <c r="C384" s="87" t="s">
        <v>2788</v>
      </c>
      <c r="D384" s="87"/>
      <c r="E384" s="87" t="s">
        <v>1932</v>
      </c>
      <c r="F384" s="87" t="s">
        <v>1933</v>
      </c>
      <c r="G384" s="87" t="s">
        <v>1934</v>
      </c>
      <c r="H384" s="87"/>
      <c r="I384" s="87"/>
      <c r="J384" s="89">
        <v>46115</v>
      </c>
      <c r="K384" s="87"/>
      <c r="L384" s="87" t="s">
        <v>1942</v>
      </c>
      <c r="M384" s="87" t="s">
        <v>654</v>
      </c>
      <c r="N384" s="90" t="s">
        <v>2787</v>
      </c>
      <c r="O384" s="91" t="s">
        <v>1947</v>
      </c>
      <c r="P384" s="91" t="s">
        <v>2169</v>
      </c>
      <c r="Q384" s="92">
        <v>2026</v>
      </c>
      <c r="R384" s="88" t="s">
        <v>1942</v>
      </c>
      <c r="S384" s="87" t="s">
        <v>1942</v>
      </c>
      <c r="T384" s="88" t="s">
        <v>1942</v>
      </c>
    </row>
    <row r="385" spans="1:20" ht="18" customHeight="1" x14ac:dyDescent="0.7">
      <c r="A385" s="85">
        <v>394</v>
      </c>
      <c r="B385" s="86">
        <v>3165034</v>
      </c>
      <c r="C385" s="87" t="s">
        <v>2789</v>
      </c>
      <c r="D385" s="87"/>
      <c r="E385" s="87" t="s">
        <v>1932</v>
      </c>
      <c r="F385" s="87" t="s">
        <v>1933</v>
      </c>
      <c r="G385" s="87" t="s">
        <v>1934</v>
      </c>
      <c r="H385" s="87"/>
      <c r="I385" s="87"/>
      <c r="J385" s="89">
        <v>46114</v>
      </c>
      <c r="K385" s="87"/>
      <c r="L385" s="87" t="s">
        <v>1942</v>
      </c>
      <c r="M385" s="87" t="s">
        <v>654</v>
      </c>
      <c r="N385" s="90" t="s">
        <v>2620</v>
      </c>
      <c r="O385" s="91" t="s">
        <v>1947</v>
      </c>
      <c r="P385" s="91" t="s">
        <v>2169</v>
      </c>
      <c r="Q385" s="92">
        <v>2026</v>
      </c>
      <c r="R385" s="88" t="s">
        <v>1942</v>
      </c>
      <c r="S385" s="87" t="s">
        <v>1942</v>
      </c>
      <c r="T385" s="88" t="s">
        <v>1942</v>
      </c>
    </row>
    <row r="386" spans="1:20" ht="18" customHeight="1" x14ac:dyDescent="0.7">
      <c r="A386" s="85">
        <v>395</v>
      </c>
      <c r="B386" s="86">
        <v>3165030</v>
      </c>
      <c r="C386" s="87" t="s">
        <v>2790</v>
      </c>
      <c r="D386" s="87"/>
      <c r="E386" s="87" t="s">
        <v>1932</v>
      </c>
      <c r="F386" s="87" t="s">
        <v>1933</v>
      </c>
      <c r="G386" s="87" t="s">
        <v>1934</v>
      </c>
      <c r="H386" s="87"/>
      <c r="I386" s="87"/>
      <c r="J386" s="89">
        <v>46114</v>
      </c>
      <c r="K386" s="87"/>
      <c r="L386" s="87" t="s">
        <v>1942</v>
      </c>
      <c r="M386" s="87" t="s">
        <v>654</v>
      </c>
      <c r="N386" s="90" t="s">
        <v>2620</v>
      </c>
      <c r="O386" s="91" t="s">
        <v>1947</v>
      </c>
      <c r="P386" s="91" t="s">
        <v>2169</v>
      </c>
      <c r="Q386" s="92">
        <v>2026</v>
      </c>
      <c r="R386" s="88" t="s">
        <v>1942</v>
      </c>
      <c r="S386" s="87" t="s">
        <v>1942</v>
      </c>
      <c r="T386" s="88" t="s">
        <v>1942</v>
      </c>
    </row>
    <row r="387" spans="1:20" ht="18" customHeight="1" x14ac:dyDescent="0.7">
      <c r="A387" s="85">
        <v>396</v>
      </c>
      <c r="B387" s="86">
        <v>3164923</v>
      </c>
      <c r="C387" s="87" t="s">
        <v>2791</v>
      </c>
      <c r="D387" s="87"/>
      <c r="E387" s="87" t="s">
        <v>1932</v>
      </c>
      <c r="F387" s="87" t="s">
        <v>1933</v>
      </c>
      <c r="G387" s="87" t="s">
        <v>1934</v>
      </c>
      <c r="H387" s="87"/>
      <c r="I387" s="87"/>
      <c r="J387" s="89">
        <v>46113</v>
      </c>
      <c r="K387" s="87"/>
      <c r="L387" s="87" t="s">
        <v>1942</v>
      </c>
      <c r="M387" s="87" t="s">
        <v>654</v>
      </c>
      <c r="N387" s="90" t="s">
        <v>1964</v>
      </c>
      <c r="O387" s="91" t="s">
        <v>1947</v>
      </c>
      <c r="P387" s="91" t="s">
        <v>2169</v>
      </c>
      <c r="Q387" s="92">
        <v>2026</v>
      </c>
      <c r="R387" s="88" t="s">
        <v>1942</v>
      </c>
      <c r="S387" s="87" t="s">
        <v>1942</v>
      </c>
      <c r="T387" s="88" t="s">
        <v>1942</v>
      </c>
    </row>
    <row r="388" spans="1:20" ht="18" customHeight="1" x14ac:dyDescent="0.7">
      <c r="A388" s="85">
        <v>397</v>
      </c>
      <c r="B388" s="86">
        <v>3164883</v>
      </c>
      <c r="C388" s="87" t="s">
        <v>2792</v>
      </c>
      <c r="D388" s="87"/>
      <c r="E388" s="87" t="s">
        <v>1932</v>
      </c>
      <c r="F388" s="87" t="s">
        <v>1933</v>
      </c>
      <c r="G388" s="87" t="s">
        <v>1934</v>
      </c>
      <c r="H388" s="87"/>
      <c r="I388" s="87"/>
      <c r="J388" s="89">
        <v>46113</v>
      </c>
      <c r="K388" s="87"/>
      <c r="L388" s="87" t="s">
        <v>1942</v>
      </c>
      <c r="M388" s="87" t="s">
        <v>654</v>
      </c>
      <c r="N388" s="90" t="s">
        <v>1964</v>
      </c>
      <c r="O388" s="91" t="s">
        <v>1947</v>
      </c>
      <c r="P388" s="91" t="s">
        <v>2169</v>
      </c>
      <c r="Q388" s="92">
        <v>2026</v>
      </c>
      <c r="R388" s="88" t="s">
        <v>1942</v>
      </c>
      <c r="S388" s="87" t="s">
        <v>1942</v>
      </c>
      <c r="T388" s="88" t="s">
        <v>1942</v>
      </c>
    </row>
    <row r="389" spans="1:20" ht="18" customHeight="1" x14ac:dyDescent="0.7">
      <c r="A389" s="85">
        <v>398</v>
      </c>
      <c r="B389" s="86">
        <v>3164882</v>
      </c>
      <c r="C389" s="87" t="s">
        <v>2793</v>
      </c>
      <c r="D389" s="87"/>
      <c r="E389" s="87" t="s">
        <v>1932</v>
      </c>
      <c r="F389" s="87" t="s">
        <v>1933</v>
      </c>
      <c r="G389" s="87" t="s">
        <v>1934</v>
      </c>
      <c r="H389" s="87"/>
      <c r="I389" s="87"/>
      <c r="J389" s="89">
        <v>46113</v>
      </c>
      <c r="K389" s="87"/>
      <c r="L389" s="87" t="s">
        <v>1942</v>
      </c>
      <c r="M389" s="87" t="s">
        <v>654</v>
      </c>
      <c r="N389" s="90" t="s">
        <v>1964</v>
      </c>
      <c r="O389" s="91" t="s">
        <v>1947</v>
      </c>
      <c r="P389" s="91" t="s">
        <v>2169</v>
      </c>
      <c r="Q389" s="92">
        <v>2026</v>
      </c>
      <c r="R389" s="88" t="s">
        <v>1942</v>
      </c>
      <c r="S389" s="87" t="s">
        <v>1942</v>
      </c>
      <c r="T389" s="88" t="s">
        <v>1942</v>
      </c>
    </row>
    <row r="390" spans="1:20" ht="18" customHeight="1" x14ac:dyDescent="0.7">
      <c r="A390" s="85">
        <v>399</v>
      </c>
      <c r="B390" s="86">
        <v>3164879</v>
      </c>
      <c r="C390" s="87" t="s">
        <v>2794</v>
      </c>
      <c r="D390" s="87"/>
      <c r="E390" s="87" t="s">
        <v>1932</v>
      </c>
      <c r="F390" s="87" t="s">
        <v>1933</v>
      </c>
      <c r="G390" s="87" t="s">
        <v>1934</v>
      </c>
      <c r="H390" s="87"/>
      <c r="I390" s="87"/>
      <c r="J390" s="89">
        <v>46113</v>
      </c>
      <c r="K390" s="87"/>
      <c r="L390" s="87" t="s">
        <v>1942</v>
      </c>
      <c r="M390" s="87" t="s">
        <v>654</v>
      </c>
      <c r="N390" s="90" t="s">
        <v>1964</v>
      </c>
      <c r="O390" s="91" t="s">
        <v>1947</v>
      </c>
      <c r="P390" s="91" t="s">
        <v>2169</v>
      </c>
      <c r="Q390" s="92">
        <v>2026</v>
      </c>
      <c r="R390" s="88" t="s">
        <v>1942</v>
      </c>
      <c r="S390" s="87" t="s">
        <v>1942</v>
      </c>
      <c r="T390" s="88" t="s">
        <v>1942</v>
      </c>
    </row>
    <row r="391" spans="1:20" ht="18" customHeight="1" x14ac:dyDescent="0.7">
      <c r="A391" s="85">
        <v>400</v>
      </c>
      <c r="B391" s="86">
        <v>3164878</v>
      </c>
      <c r="C391" s="87" t="s">
        <v>2795</v>
      </c>
      <c r="D391" s="87"/>
      <c r="E391" s="87" t="s">
        <v>1932</v>
      </c>
      <c r="F391" s="87" t="s">
        <v>1933</v>
      </c>
      <c r="G391" s="87" t="s">
        <v>1934</v>
      </c>
      <c r="H391" s="87"/>
      <c r="I391" s="87"/>
      <c r="J391" s="89">
        <v>46113</v>
      </c>
      <c r="K391" s="87"/>
      <c r="L391" s="87" t="s">
        <v>1942</v>
      </c>
      <c r="M391" s="87" t="s">
        <v>654</v>
      </c>
      <c r="N391" s="90" t="s">
        <v>1964</v>
      </c>
      <c r="O391" s="91" t="s">
        <v>1947</v>
      </c>
      <c r="P391" s="91" t="s">
        <v>2169</v>
      </c>
      <c r="Q391" s="92">
        <v>2026</v>
      </c>
      <c r="R391" s="88" t="s">
        <v>1942</v>
      </c>
      <c r="S391" s="87" t="s">
        <v>1942</v>
      </c>
      <c r="T391" s="88" t="s">
        <v>1942</v>
      </c>
    </row>
    <row r="392" spans="1:20" ht="18" customHeight="1" x14ac:dyDescent="0.7">
      <c r="A392" s="85">
        <v>401</v>
      </c>
      <c r="B392" s="86">
        <v>3164573</v>
      </c>
      <c r="C392" s="87" t="s">
        <v>2796</v>
      </c>
      <c r="D392" s="87"/>
      <c r="E392" s="87" t="s">
        <v>1932</v>
      </c>
      <c r="F392" s="87" t="s">
        <v>1933</v>
      </c>
      <c r="G392" s="87" t="s">
        <v>1934</v>
      </c>
      <c r="H392" s="87"/>
      <c r="I392" s="87"/>
      <c r="J392" s="89">
        <v>46111</v>
      </c>
      <c r="K392" s="87"/>
      <c r="L392" s="87" t="s">
        <v>1942</v>
      </c>
      <c r="M392" s="87" t="s">
        <v>654</v>
      </c>
      <c r="N392" s="90" t="s">
        <v>2695</v>
      </c>
      <c r="O392" s="91" t="s">
        <v>1947</v>
      </c>
      <c r="P392" s="91" t="s">
        <v>2169</v>
      </c>
      <c r="Q392" s="92">
        <v>2026</v>
      </c>
      <c r="R392" s="88" t="s">
        <v>1942</v>
      </c>
      <c r="S392" s="87" t="s">
        <v>1942</v>
      </c>
      <c r="T392" s="88" t="s">
        <v>1942</v>
      </c>
    </row>
    <row r="393" spans="1:20" ht="18" customHeight="1" x14ac:dyDescent="0.7">
      <c r="A393" s="85">
        <v>402</v>
      </c>
      <c r="B393" s="86">
        <v>3164563</v>
      </c>
      <c r="C393" s="87" t="s">
        <v>2797</v>
      </c>
      <c r="D393" s="87"/>
      <c r="E393" s="87" t="s">
        <v>1932</v>
      </c>
      <c r="F393" s="87" t="s">
        <v>1933</v>
      </c>
      <c r="G393" s="87" t="s">
        <v>1934</v>
      </c>
      <c r="H393" s="87"/>
      <c r="I393" s="87"/>
      <c r="J393" s="89">
        <v>46111</v>
      </c>
      <c r="K393" s="87"/>
      <c r="L393" s="87" t="s">
        <v>1942</v>
      </c>
      <c r="M393" s="87" t="s">
        <v>654</v>
      </c>
      <c r="N393" s="90" t="s">
        <v>2695</v>
      </c>
      <c r="O393" s="91" t="s">
        <v>1947</v>
      </c>
      <c r="P393" s="91" t="s">
        <v>2169</v>
      </c>
      <c r="Q393" s="92">
        <v>2026</v>
      </c>
      <c r="R393" s="88" t="s">
        <v>1942</v>
      </c>
      <c r="S393" s="87" t="s">
        <v>1942</v>
      </c>
      <c r="T393" s="88" t="s">
        <v>1942</v>
      </c>
    </row>
    <row r="394" spans="1:20" ht="18" customHeight="1" x14ac:dyDescent="0.7">
      <c r="A394" s="85">
        <v>403</v>
      </c>
      <c r="B394" s="86">
        <v>3164557</v>
      </c>
      <c r="C394" s="87" t="s">
        <v>2798</v>
      </c>
      <c r="D394" s="87"/>
      <c r="E394" s="87" t="s">
        <v>1932</v>
      </c>
      <c r="F394" s="87" t="s">
        <v>1933</v>
      </c>
      <c r="G394" s="87" t="s">
        <v>1934</v>
      </c>
      <c r="H394" s="87"/>
      <c r="I394" s="87"/>
      <c r="J394" s="89">
        <v>46111</v>
      </c>
      <c r="K394" s="87"/>
      <c r="L394" s="87" t="s">
        <v>1942</v>
      </c>
      <c r="M394" s="87" t="s">
        <v>654</v>
      </c>
      <c r="N394" s="90" t="s">
        <v>2695</v>
      </c>
      <c r="O394" s="91" t="s">
        <v>1947</v>
      </c>
      <c r="P394" s="91" t="s">
        <v>2169</v>
      </c>
      <c r="Q394" s="92">
        <v>2026</v>
      </c>
      <c r="R394" s="88" t="s">
        <v>1942</v>
      </c>
      <c r="S394" s="87" t="s">
        <v>1942</v>
      </c>
      <c r="T394" s="88" t="s">
        <v>1942</v>
      </c>
    </row>
    <row r="395" spans="1:20" ht="18" customHeight="1" x14ac:dyDescent="0.7">
      <c r="A395" s="85">
        <v>404</v>
      </c>
      <c r="B395" s="86">
        <v>3164330</v>
      </c>
      <c r="C395" s="87" t="s">
        <v>2799</v>
      </c>
      <c r="D395" s="87"/>
      <c r="E395" s="87" t="s">
        <v>1932</v>
      </c>
      <c r="F395" s="87" t="s">
        <v>1933</v>
      </c>
      <c r="G395" s="87" t="s">
        <v>1934</v>
      </c>
      <c r="H395" s="87"/>
      <c r="I395" s="87"/>
      <c r="J395" s="89">
        <v>46109</v>
      </c>
      <c r="K395" s="87"/>
      <c r="L395" s="87" t="s">
        <v>1942</v>
      </c>
      <c r="M395" s="87" t="s">
        <v>654</v>
      </c>
      <c r="N395" s="90" t="s">
        <v>2709</v>
      </c>
      <c r="O395" s="91" t="s">
        <v>1947</v>
      </c>
      <c r="P395" s="91" t="s">
        <v>2595</v>
      </c>
      <c r="Q395" s="92">
        <v>2026</v>
      </c>
      <c r="R395" s="88" t="s">
        <v>1942</v>
      </c>
      <c r="S395" s="87" t="s">
        <v>1942</v>
      </c>
      <c r="T395" s="88" t="s">
        <v>1942</v>
      </c>
    </row>
    <row r="396" spans="1:20" ht="18" customHeight="1" x14ac:dyDescent="0.7">
      <c r="A396" s="85">
        <v>405</v>
      </c>
      <c r="B396" s="86">
        <v>3164139</v>
      </c>
      <c r="C396" s="87" t="s">
        <v>2800</v>
      </c>
      <c r="D396" s="87"/>
      <c r="E396" s="87" t="s">
        <v>1932</v>
      </c>
      <c r="F396" s="87" t="s">
        <v>1933</v>
      </c>
      <c r="G396" s="87" t="s">
        <v>1934</v>
      </c>
      <c r="H396" s="87"/>
      <c r="I396" s="87"/>
      <c r="J396" s="89">
        <v>46107</v>
      </c>
      <c r="K396" s="87"/>
      <c r="L396" s="87" t="s">
        <v>1942</v>
      </c>
      <c r="M396" s="87" t="s">
        <v>654</v>
      </c>
      <c r="N396" s="90" t="s">
        <v>2801</v>
      </c>
      <c r="O396" s="91" t="s">
        <v>1947</v>
      </c>
      <c r="P396" s="91" t="s">
        <v>2595</v>
      </c>
      <c r="Q396" s="92">
        <v>2026</v>
      </c>
      <c r="R396" s="88" t="s">
        <v>1942</v>
      </c>
      <c r="S396" s="87" t="s">
        <v>1942</v>
      </c>
      <c r="T396" s="88" t="s">
        <v>1942</v>
      </c>
    </row>
    <row r="397" spans="1:20" ht="18" customHeight="1" x14ac:dyDescent="0.7">
      <c r="A397" s="85">
        <v>406</v>
      </c>
      <c r="B397" s="86">
        <v>3164120</v>
      </c>
      <c r="C397" s="87" t="s">
        <v>2802</v>
      </c>
      <c r="D397" s="87"/>
      <c r="E397" s="87" t="s">
        <v>1932</v>
      </c>
      <c r="F397" s="87" t="s">
        <v>1933</v>
      </c>
      <c r="G397" s="87" t="s">
        <v>1934</v>
      </c>
      <c r="H397" s="87"/>
      <c r="I397" s="87"/>
      <c r="J397" s="94">
        <v>46107</v>
      </c>
      <c r="K397" s="87"/>
      <c r="L397" s="87" t="s">
        <v>1942</v>
      </c>
      <c r="M397" s="87" t="s">
        <v>654</v>
      </c>
      <c r="N397" s="90" t="s">
        <v>2801</v>
      </c>
      <c r="O397" s="91" t="s">
        <v>1947</v>
      </c>
      <c r="P397" s="91" t="s">
        <v>2595</v>
      </c>
      <c r="Q397" s="92">
        <v>2026</v>
      </c>
      <c r="R397" s="88" t="s">
        <v>1942</v>
      </c>
      <c r="S397" s="87" t="s">
        <v>1942</v>
      </c>
      <c r="T397" s="88" t="s">
        <v>1942</v>
      </c>
    </row>
    <row r="398" spans="1:20" ht="18" customHeight="1" x14ac:dyDescent="0.7">
      <c r="A398" s="85">
        <v>407</v>
      </c>
      <c r="B398" s="86">
        <v>3164118</v>
      </c>
      <c r="C398" s="87" t="s">
        <v>2803</v>
      </c>
      <c r="D398" s="87"/>
      <c r="E398" s="87" t="s">
        <v>1932</v>
      </c>
      <c r="F398" s="87" t="s">
        <v>1933</v>
      </c>
      <c r="G398" s="87" t="s">
        <v>1934</v>
      </c>
      <c r="H398" s="87"/>
      <c r="I398" s="87"/>
      <c r="J398" s="89">
        <v>46107</v>
      </c>
      <c r="K398" s="87"/>
      <c r="L398" s="87" t="s">
        <v>1942</v>
      </c>
      <c r="M398" s="87" t="s">
        <v>654</v>
      </c>
      <c r="N398" s="90" t="s">
        <v>2801</v>
      </c>
      <c r="O398" s="91" t="s">
        <v>1947</v>
      </c>
      <c r="P398" s="91" t="s">
        <v>2595</v>
      </c>
      <c r="Q398" s="92">
        <v>2026</v>
      </c>
      <c r="R398" s="88" t="s">
        <v>1942</v>
      </c>
      <c r="S398" s="87" t="s">
        <v>1942</v>
      </c>
      <c r="T398" s="88" t="s">
        <v>1942</v>
      </c>
    </row>
    <row r="399" spans="1:20" ht="18" customHeight="1" x14ac:dyDescent="0.7">
      <c r="A399" s="85">
        <v>408</v>
      </c>
      <c r="B399" s="86">
        <v>3163609</v>
      </c>
      <c r="C399" s="87" t="s">
        <v>1832</v>
      </c>
      <c r="D399" s="87"/>
      <c r="E399" s="87" t="s">
        <v>1932</v>
      </c>
      <c r="F399" s="87" t="s">
        <v>1933</v>
      </c>
      <c r="G399" s="87" t="s">
        <v>1934</v>
      </c>
      <c r="H399" s="87"/>
      <c r="I399" s="87"/>
      <c r="J399" s="89">
        <v>46104</v>
      </c>
      <c r="K399" s="87"/>
      <c r="L399" s="87" t="s">
        <v>1942</v>
      </c>
      <c r="M399" s="87" t="s">
        <v>654</v>
      </c>
      <c r="N399" s="90" t="s">
        <v>2088</v>
      </c>
      <c r="O399" s="91" t="s">
        <v>1947</v>
      </c>
      <c r="P399" s="91" t="s">
        <v>2595</v>
      </c>
      <c r="Q399" s="92">
        <v>2026</v>
      </c>
      <c r="R399" s="88" t="s">
        <v>1942</v>
      </c>
      <c r="S399" s="87" t="s">
        <v>1942</v>
      </c>
      <c r="T399" s="88" t="s">
        <v>1942</v>
      </c>
    </row>
    <row r="400" spans="1:20" ht="18" customHeight="1" x14ac:dyDescent="0.7">
      <c r="A400" s="85">
        <v>409</v>
      </c>
      <c r="B400" s="86">
        <v>3163170</v>
      </c>
      <c r="C400" s="87" t="s">
        <v>2804</v>
      </c>
      <c r="D400" s="87"/>
      <c r="E400" s="87" t="s">
        <v>1932</v>
      </c>
      <c r="F400" s="87" t="s">
        <v>1933</v>
      </c>
      <c r="G400" s="87" t="s">
        <v>1934</v>
      </c>
      <c r="H400" s="87"/>
      <c r="I400" s="87"/>
      <c r="J400" s="89">
        <v>46100</v>
      </c>
      <c r="K400" s="87"/>
      <c r="L400" s="87" t="s">
        <v>1942</v>
      </c>
      <c r="M400" s="87" t="s">
        <v>654</v>
      </c>
      <c r="N400" s="90" t="s">
        <v>2805</v>
      </c>
      <c r="O400" s="91" t="s">
        <v>1947</v>
      </c>
      <c r="P400" s="91" t="s">
        <v>2055</v>
      </c>
      <c r="Q400" s="92">
        <v>2026</v>
      </c>
      <c r="R400" s="88" t="s">
        <v>1942</v>
      </c>
      <c r="S400" s="87" t="s">
        <v>1942</v>
      </c>
      <c r="T400" s="88" t="s">
        <v>1942</v>
      </c>
    </row>
    <row r="401" spans="1:20" ht="18" customHeight="1" x14ac:dyDescent="0.7">
      <c r="A401" s="85">
        <v>410</v>
      </c>
      <c r="B401" s="86">
        <v>3163130</v>
      </c>
      <c r="C401" s="87" t="s">
        <v>2806</v>
      </c>
      <c r="D401" s="87"/>
      <c r="E401" s="87" t="s">
        <v>1932</v>
      </c>
      <c r="F401" s="87" t="s">
        <v>1933</v>
      </c>
      <c r="G401" s="87" t="s">
        <v>1934</v>
      </c>
      <c r="H401" s="87"/>
      <c r="I401" s="87"/>
      <c r="J401" s="89">
        <v>46100</v>
      </c>
      <c r="K401" s="87"/>
      <c r="L401" s="87" t="s">
        <v>1942</v>
      </c>
      <c r="M401" s="87" t="s">
        <v>654</v>
      </c>
      <c r="N401" s="90" t="s">
        <v>2805</v>
      </c>
      <c r="O401" s="91" t="s">
        <v>1947</v>
      </c>
      <c r="P401" s="91" t="s">
        <v>2055</v>
      </c>
      <c r="Q401" s="92">
        <v>2026</v>
      </c>
      <c r="R401" s="88" t="s">
        <v>1942</v>
      </c>
      <c r="S401" s="87" t="s">
        <v>1942</v>
      </c>
      <c r="T401" s="88" t="s">
        <v>1942</v>
      </c>
    </row>
    <row r="402" spans="1:20" ht="18" customHeight="1" x14ac:dyDescent="0.7">
      <c r="A402" s="85">
        <v>411</v>
      </c>
      <c r="B402" s="86">
        <v>3163125</v>
      </c>
      <c r="C402" s="87" t="s">
        <v>2807</v>
      </c>
      <c r="D402" s="87"/>
      <c r="E402" s="87" t="s">
        <v>1932</v>
      </c>
      <c r="F402" s="87" t="s">
        <v>1933</v>
      </c>
      <c r="G402" s="87" t="s">
        <v>1934</v>
      </c>
      <c r="H402" s="87"/>
      <c r="I402" s="87"/>
      <c r="J402" s="89">
        <v>46100</v>
      </c>
      <c r="K402" s="87"/>
      <c r="L402" s="87" t="s">
        <v>1942</v>
      </c>
      <c r="M402" s="87" t="s">
        <v>654</v>
      </c>
      <c r="N402" s="90" t="s">
        <v>2805</v>
      </c>
      <c r="O402" s="91" t="s">
        <v>1947</v>
      </c>
      <c r="P402" s="91" t="s">
        <v>2055</v>
      </c>
      <c r="Q402" s="92">
        <v>2026</v>
      </c>
      <c r="R402" s="88" t="s">
        <v>1942</v>
      </c>
      <c r="S402" s="87" t="s">
        <v>1942</v>
      </c>
      <c r="T402" s="88" t="s">
        <v>1942</v>
      </c>
    </row>
    <row r="403" spans="1:20" ht="18" customHeight="1" x14ac:dyDescent="0.7">
      <c r="A403" s="85">
        <v>412</v>
      </c>
      <c r="B403" s="86">
        <v>3162818</v>
      </c>
      <c r="C403" s="87" t="s">
        <v>2808</v>
      </c>
      <c r="D403" s="87"/>
      <c r="E403" s="87" t="s">
        <v>1932</v>
      </c>
      <c r="F403" s="87" t="s">
        <v>1933</v>
      </c>
      <c r="G403" s="87" t="s">
        <v>1934</v>
      </c>
      <c r="H403" s="87"/>
      <c r="I403" s="87"/>
      <c r="J403" s="89">
        <v>46098</v>
      </c>
      <c r="K403" s="87"/>
      <c r="L403" s="87" t="s">
        <v>1942</v>
      </c>
      <c r="M403" s="87" t="s">
        <v>654</v>
      </c>
      <c r="N403" s="90" t="s">
        <v>2003</v>
      </c>
      <c r="O403" s="91" t="s">
        <v>1947</v>
      </c>
      <c r="P403" s="91" t="s">
        <v>2055</v>
      </c>
      <c r="Q403" s="92">
        <v>2026</v>
      </c>
      <c r="R403" s="88" t="s">
        <v>1942</v>
      </c>
      <c r="S403" s="87" t="s">
        <v>1942</v>
      </c>
      <c r="T403" s="88" t="s">
        <v>1942</v>
      </c>
    </row>
    <row r="404" spans="1:20" ht="18" customHeight="1" x14ac:dyDescent="0.7">
      <c r="A404" s="85">
        <v>413</v>
      </c>
      <c r="B404" s="86">
        <v>3162754</v>
      </c>
      <c r="C404" s="87" t="s">
        <v>2809</v>
      </c>
      <c r="D404" s="87"/>
      <c r="E404" s="87" t="s">
        <v>1932</v>
      </c>
      <c r="F404" s="87" t="s">
        <v>1933</v>
      </c>
      <c r="G404" s="87" t="s">
        <v>1934</v>
      </c>
      <c r="H404" s="87"/>
      <c r="I404" s="87"/>
      <c r="J404" s="89">
        <v>46098</v>
      </c>
      <c r="K404" s="87"/>
      <c r="L404" s="87" t="s">
        <v>1942</v>
      </c>
      <c r="M404" s="87" t="s">
        <v>654</v>
      </c>
      <c r="N404" s="90" t="s">
        <v>2003</v>
      </c>
      <c r="O404" s="91" t="s">
        <v>1947</v>
      </c>
      <c r="P404" s="91" t="s">
        <v>2055</v>
      </c>
      <c r="Q404" s="92">
        <v>2026</v>
      </c>
      <c r="R404" s="88" t="s">
        <v>1942</v>
      </c>
      <c r="S404" s="87" t="s">
        <v>1942</v>
      </c>
      <c r="T404" s="88" t="s">
        <v>1942</v>
      </c>
    </row>
    <row r="405" spans="1:20" ht="18" customHeight="1" x14ac:dyDescent="0.7">
      <c r="A405" s="85">
        <v>414</v>
      </c>
      <c r="B405" s="86">
        <v>3162584</v>
      </c>
      <c r="C405" s="87" t="s">
        <v>139</v>
      </c>
      <c r="D405" s="87"/>
      <c r="E405" s="87" t="s">
        <v>1932</v>
      </c>
      <c r="F405" s="87" t="s">
        <v>1933</v>
      </c>
      <c r="G405" s="87" t="s">
        <v>1934</v>
      </c>
      <c r="H405" s="87"/>
      <c r="I405" s="87"/>
      <c r="J405" s="89">
        <v>46097</v>
      </c>
      <c r="K405" s="87"/>
      <c r="L405" s="87" t="s">
        <v>1942</v>
      </c>
      <c r="M405" s="87" t="s">
        <v>654</v>
      </c>
      <c r="N405" s="90" t="s">
        <v>2810</v>
      </c>
      <c r="O405" s="91" t="s">
        <v>1947</v>
      </c>
      <c r="P405" s="91" t="s">
        <v>2055</v>
      </c>
      <c r="Q405" s="92">
        <v>2026</v>
      </c>
      <c r="R405" s="88" t="s">
        <v>1942</v>
      </c>
      <c r="S405" s="87" t="s">
        <v>1942</v>
      </c>
      <c r="T405" s="88" t="s">
        <v>1942</v>
      </c>
    </row>
    <row r="406" spans="1:20" ht="18" customHeight="1" x14ac:dyDescent="0.7">
      <c r="A406" s="85">
        <v>415</v>
      </c>
      <c r="B406" s="86">
        <v>3162557</v>
      </c>
      <c r="C406" s="87" t="s">
        <v>2811</v>
      </c>
      <c r="D406" s="87"/>
      <c r="E406" s="87" t="s">
        <v>1932</v>
      </c>
      <c r="F406" s="87" t="s">
        <v>1933</v>
      </c>
      <c r="G406" s="87" t="s">
        <v>1934</v>
      </c>
      <c r="H406" s="87"/>
      <c r="I406" s="87"/>
      <c r="J406" s="89">
        <v>46097</v>
      </c>
      <c r="K406" s="87"/>
      <c r="L406" s="87" t="s">
        <v>1942</v>
      </c>
      <c r="M406" s="87" t="s">
        <v>654</v>
      </c>
      <c r="N406" s="90" t="s">
        <v>2810</v>
      </c>
      <c r="O406" s="91" t="s">
        <v>1947</v>
      </c>
      <c r="P406" s="91" t="s">
        <v>2055</v>
      </c>
      <c r="Q406" s="92">
        <v>2026</v>
      </c>
      <c r="R406" s="88" t="s">
        <v>1942</v>
      </c>
      <c r="S406" s="87" t="s">
        <v>1942</v>
      </c>
      <c r="T406" s="88" t="s">
        <v>1942</v>
      </c>
    </row>
    <row r="407" spans="1:20" ht="18" customHeight="1" x14ac:dyDescent="0.7">
      <c r="A407" s="85">
        <v>416</v>
      </c>
      <c r="B407" s="86">
        <v>3162532</v>
      </c>
      <c r="C407" s="87" t="s">
        <v>2812</v>
      </c>
      <c r="D407" s="87"/>
      <c r="E407" s="87" t="s">
        <v>1932</v>
      </c>
      <c r="F407" s="87" t="s">
        <v>1933</v>
      </c>
      <c r="G407" s="87" t="s">
        <v>1934</v>
      </c>
      <c r="H407" s="87"/>
      <c r="I407" s="87"/>
      <c r="J407" s="89">
        <v>46097</v>
      </c>
      <c r="K407" s="87"/>
      <c r="L407" s="87" t="s">
        <v>1942</v>
      </c>
      <c r="M407" s="87" t="s">
        <v>654</v>
      </c>
      <c r="N407" s="90" t="s">
        <v>2810</v>
      </c>
      <c r="O407" s="91" t="s">
        <v>1947</v>
      </c>
      <c r="P407" s="91" t="s">
        <v>2055</v>
      </c>
      <c r="Q407" s="92">
        <v>2026</v>
      </c>
      <c r="R407" s="88" t="s">
        <v>1942</v>
      </c>
      <c r="S407" s="87" t="s">
        <v>1942</v>
      </c>
      <c r="T407" s="88" t="s">
        <v>1942</v>
      </c>
    </row>
    <row r="408" spans="1:20" ht="18" customHeight="1" x14ac:dyDescent="0.7">
      <c r="A408" s="85">
        <v>417</v>
      </c>
      <c r="B408" s="86">
        <v>3162109</v>
      </c>
      <c r="C408" s="87" t="s">
        <v>2813</v>
      </c>
      <c r="D408" s="87"/>
      <c r="E408" s="87" t="s">
        <v>1932</v>
      </c>
      <c r="F408" s="87" t="s">
        <v>1933</v>
      </c>
      <c r="G408" s="87" t="s">
        <v>1934</v>
      </c>
      <c r="H408" s="87"/>
      <c r="I408" s="87"/>
      <c r="J408" s="89">
        <v>46094</v>
      </c>
      <c r="K408" s="87"/>
      <c r="L408" s="87" t="s">
        <v>1942</v>
      </c>
      <c r="M408" s="87" t="s">
        <v>654</v>
      </c>
      <c r="N408" s="90" t="s">
        <v>2112</v>
      </c>
      <c r="O408" s="91" t="s">
        <v>1947</v>
      </c>
      <c r="P408" s="91" t="s">
        <v>2006</v>
      </c>
      <c r="Q408" s="92">
        <v>2026</v>
      </c>
      <c r="R408" s="88" t="s">
        <v>1942</v>
      </c>
      <c r="S408" s="87" t="s">
        <v>1942</v>
      </c>
      <c r="T408" s="88" t="s">
        <v>1942</v>
      </c>
    </row>
    <row r="409" spans="1:20" ht="18" customHeight="1" x14ac:dyDescent="0.7">
      <c r="A409" s="85">
        <v>418</v>
      </c>
      <c r="B409" s="86">
        <v>3162108</v>
      </c>
      <c r="C409" s="87" t="s">
        <v>2814</v>
      </c>
      <c r="D409" s="87"/>
      <c r="E409" s="87" t="s">
        <v>1932</v>
      </c>
      <c r="F409" s="87" t="s">
        <v>1933</v>
      </c>
      <c r="G409" s="87" t="s">
        <v>1934</v>
      </c>
      <c r="H409" s="87"/>
      <c r="I409" s="87"/>
      <c r="J409" s="89">
        <v>46094</v>
      </c>
      <c r="K409" s="87"/>
      <c r="L409" s="87" t="s">
        <v>1942</v>
      </c>
      <c r="M409" s="87" t="s">
        <v>654</v>
      </c>
      <c r="N409" s="90" t="s">
        <v>2112</v>
      </c>
      <c r="O409" s="91" t="s">
        <v>1947</v>
      </c>
      <c r="P409" s="91" t="s">
        <v>2006</v>
      </c>
      <c r="Q409" s="92">
        <v>2026</v>
      </c>
      <c r="R409" s="88" t="s">
        <v>1942</v>
      </c>
      <c r="S409" s="87" t="s">
        <v>1942</v>
      </c>
      <c r="T409" s="88" t="s">
        <v>1942</v>
      </c>
    </row>
    <row r="410" spans="1:20" ht="18" customHeight="1" x14ac:dyDescent="0.7">
      <c r="A410" s="85">
        <v>419</v>
      </c>
      <c r="B410" s="86">
        <v>3162098</v>
      </c>
      <c r="C410" s="87" t="s">
        <v>2815</v>
      </c>
      <c r="D410" s="87"/>
      <c r="E410" s="87" t="s">
        <v>1932</v>
      </c>
      <c r="F410" s="87" t="s">
        <v>1933</v>
      </c>
      <c r="G410" s="87" t="s">
        <v>1934</v>
      </c>
      <c r="H410" s="87"/>
      <c r="I410" s="87"/>
      <c r="J410" s="89">
        <v>46094</v>
      </c>
      <c r="K410" s="87"/>
      <c r="L410" s="87" t="s">
        <v>1942</v>
      </c>
      <c r="M410" s="87" t="s">
        <v>654</v>
      </c>
      <c r="N410" s="90" t="s">
        <v>2112</v>
      </c>
      <c r="O410" s="91" t="s">
        <v>1947</v>
      </c>
      <c r="P410" s="91" t="s">
        <v>2006</v>
      </c>
      <c r="Q410" s="92">
        <v>2026</v>
      </c>
      <c r="R410" s="88" t="s">
        <v>1942</v>
      </c>
      <c r="S410" s="87" t="s">
        <v>1942</v>
      </c>
      <c r="T410" s="88" t="s">
        <v>1942</v>
      </c>
    </row>
    <row r="411" spans="1:20" ht="18" customHeight="1" x14ac:dyDescent="0.7">
      <c r="A411" s="85">
        <v>420</v>
      </c>
      <c r="B411" s="86">
        <v>3162072</v>
      </c>
      <c r="C411" s="87" t="s">
        <v>2816</v>
      </c>
      <c r="D411" s="87"/>
      <c r="E411" s="87" t="s">
        <v>1932</v>
      </c>
      <c r="F411" s="87" t="s">
        <v>1933</v>
      </c>
      <c r="G411" s="87" t="s">
        <v>1934</v>
      </c>
      <c r="H411" s="87"/>
      <c r="I411" s="87"/>
      <c r="J411" s="89">
        <v>46094</v>
      </c>
      <c r="K411" s="87"/>
      <c r="L411" s="87" t="s">
        <v>1942</v>
      </c>
      <c r="M411" s="87" t="s">
        <v>654</v>
      </c>
      <c r="N411" s="90" t="s">
        <v>2112</v>
      </c>
      <c r="O411" s="91" t="s">
        <v>1947</v>
      </c>
      <c r="P411" s="91" t="s">
        <v>2006</v>
      </c>
      <c r="Q411" s="92">
        <v>2026</v>
      </c>
      <c r="R411" s="88" t="s">
        <v>1942</v>
      </c>
      <c r="S411" s="87" t="s">
        <v>1942</v>
      </c>
      <c r="T411" s="88" t="s">
        <v>1942</v>
      </c>
    </row>
    <row r="412" spans="1:20" ht="18" customHeight="1" x14ac:dyDescent="0.7">
      <c r="A412" s="85">
        <v>421</v>
      </c>
      <c r="B412" s="86">
        <v>3162070</v>
      </c>
      <c r="C412" s="87" t="s">
        <v>2817</v>
      </c>
      <c r="D412" s="87"/>
      <c r="E412" s="87" t="s">
        <v>1932</v>
      </c>
      <c r="F412" s="87" t="s">
        <v>1933</v>
      </c>
      <c r="G412" s="87" t="s">
        <v>1934</v>
      </c>
      <c r="H412" s="87"/>
      <c r="I412" s="87"/>
      <c r="J412" s="89">
        <v>46094</v>
      </c>
      <c r="K412" s="87"/>
      <c r="L412" s="87" t="s">
        <v>1942</v>
      </c>
      <c r="M412" s="87" t="s">
        <v>654</v>
      </c>
      <c r="N412" s="90" t="s">
        <v>2112</v>
      </c>
      <c r="O412" s="91" t="s">
        <v>1947</v>
      </c>
      <c r="P412" s="91" t="s">
        <v>2006</v>
      </c>
      <c r="Q412" s="92">
        <v>2026</v>
      </c>
      <c r="R412" s="88" t="s">
        <v>1942</v>
      </c>
      <c r="S412" s="87" t="s">
        <v>1942</v>
      </c>
      <c r="T412" s="88" t="s">
        <v>1942</v>
      </c>
    </row>
    <row r="413" spans="1:20" ht="18" customHeight="1" x14ac:dyDescent="0.7">
      <c r="A413" s="85">
        <v>422</v>
      </c>
      <c r="B413" s="86">
        <v>3162067</v>
      </c>
      <c r="C413" s="87" t="s">
        <v>2818</v>
      </c>
      <c r="D413" s="87"/>
      <c r="E413" s="87" t="s">
        <v>1932</v>
      </c>
      <c r="F413" s="87" t="s">
        <v>1933</v>
      </c>
      <c r="G413" s="87" t="s">
        <v>1934</v>
      </c>
      <c r="H413" s="87"/>
      <c r="I413" s="87"/>
      <c r="J413" s="89">
        <v>46094</v>
      </c>
      <c r="K413" s="87"/>
      <c r="L413" s="87" t="s">
        <v>1942</v>
      </c>
      <c r="M413" s="87" t="s">
        <v>654</v>
      </c>
      <c r="N413" s="90" t="s">
        <v>2112</v>
      </c>
      <c r="O413" s="91" t="s">
        <v>1947</v>
      </c>
      <c r="P413" s="91" t="s">
        <v>2006</v>
      </c>
      <c r="Q413" s="92">
        <v>2026</v>
      </c>
      <c r="R413" s="88" t="s">
        <v>1942</v>
      </c>
      <c r="S413" s="87" t="s">
        <v>1942</v>
      </c>
      <c r="T413" s="88" t="s">
        <v>1942</v>
      </c>
    </row>
    <row r="414" spans="1:20" ht="18" customHeight="1" x14ac:dyDescent="0.7">
      <c r="A414" s="85">
        <v>423</v>
      </c>
      <c r="B414" s="86">
        <v>3161956</v>
      </c>
      <c r="C414" s="87" t="s">
        <v>2819</v>
      </c>
      <c r="D414" s="87"/>
      <c r="E414" s="87" t="s">
        <v>1932</v>
      </c>
      <c r="F414" s="87" t="s">
        <v>1933</v>
      </c>
      <c r="G414" s="87" t="s">
        <v>1934</v>
      </c>
      <c r="H414" s="87"/>
      <c r="I414" s="87"/>
      <c r="J414" s="89">
        <v>46093</v>
      </c>
      <c r="K414" s="87"/>
      <c r="L414" s="87" t="s">
        <v>1942</v>
      </c>
      <c r="M414" s="87" t="s">
        <v>654</v>
      </c>
      <c r="N414" s="90" t="s">
        <v>2820</v>
      </c>
      <c r="O414" s="91" t="s">
        <v>1947</v>
      </c>
      <c r="P414" s="91" t="s">
        <v>2006</v>
      </c>
      <c r="Q414" s="92">
        <v>2026</v>
      </c>
      <c r="R414" s="88" t="s">
        <v>1942</v>
      </c>
      <c r="S414" s="87" t="s">
        <v>1942</v>
      </c>
      <c r="T414" s="88" t="s">
        <v>1942</v>
      </c>
    </row>
    <row r="415" spans="1:20" ht="18" customHeight="1" x14ac:dyDescent="0.7">
      <c r="A415" s="85">
        <v>424</v>
      </c>
      <c r="B415" s="86">
        <v>3161953</v>
      </c>
      <c r="C415" s="87" t="s">
        <v>2821</v>
      </c>
      <c r="D415" s="87"/>
      <c r="E415" s="87" t="s">
        <v>1932</v>
      </c>
      <c r="F415" s="87" t="s">
        <v>1933</v>
      </c>
      <c r="G415" s="87" t="s">
        <v>1934</v>
      </c>
      <c r="H415" s="87"/>
      <c r="I415" s="87"/>
      <c r="J415" s="89">
        <v>46093</v>
      </c>
      <c r="K415" s="87"/>
      <c r="L415" s="87" t="s">
        <v>1942</v>
      </c>
      <c r="M415" s="87" t="s">
        <v>654</v>
      </c>
      <c r="N415" s="90" t="s">
        <v>2820</v>
      </c>
      <c r="O415" s="91" t="s">
        <v>1947</v>
      </c>
      <c r="P415" s="91" t="s">
        <v>2006</v>
      </c>
      <c r="Q415" s="92">
        <v>2026</v>
      </c>
      <c r="R415" s="88" t="s">
        <v>1942</v>
      </c>
      <c r="S415" s="87" t="s">
        <v>1942</v>
      </c>
      <c r="T415" s="88" t="s">
        <v>1942</v>
      </c>
    </row>
    <row r="416" spans="1:20" ht="18" customHeight="1" x14ac:dyDescent="0.7">
      <c r="A416" s="85">
        <v>425</v>
      </c>
      <c r="B416" s="86">
        <v>3161829</v>
      </c>
      <c r="C416" s="87" t="s">
        <v>2822</v>
      </c>
      <c r="D416" s="87"/>
      <c r="E416" s="87" t="s">
        <v>1932</v>
      </c>
      <c r="F416" s="87" t="s">
        <v>1933</v>
      </c>
      <c r="G416" s="87" t="s">
        <v>1934</v>
      </c>
      <c r="H416" s="87"/>
      <c r="I416" s="87"/>
      <c r="J416" s="89">
        <v>46092</v>
      </c>
      <c r="K416" s="87"/>
      <c r="L416" s="87" t="s">
        <v>1942</v>
      </c>
      <c r="M416" s="87" t="s">
        <v>654</v>
      </c>
      <c r="N416" s="90" t="s">
        <v>2601</v>
      </c>
      <c r="O416" s="91" t="s">
        <v>2015</v>
      </c>
      <c r="P416" s="91" t="s">
        <v>2006</v>
      </c>
      <c r="Q416" s="92">
        <v>2026</v>
      </c>
      <c r="R416" s="88" t="s">
        <v>1942</v>
      </c>
      <c r="S416" s="87" t="s">
        <v>1942</v>
      </c>
      <c r="T416" s="88" t="s">
        <v>1942</v>
      </c>
    </row>
    <row r="417" spans="1:20" ht="18" customHeight="1" x14ac:dyDescent="0.7">
      <c r="A417" s="85">
        <v>426</v>
      </c>
      <c r="B417" s="86">
        <v>3161824</v>
      </c>
      <c r="C417" s="87" t="s">
        <v>2823</v>
      </c>
      <c r="D417" s="87"/>
      <c r="E417" s="87" t="s">
        <v>1932</v>
      </c>
      <c r="F417" s="87" t="s">
        <v>1933</v>
      </c>
      <c r="G417" s="87" t="s">
        <v>1934</v>
      </c>
      <c r="H417" s="87"/>
      <c r="I417" s="87"/>
      <c r="J417" s="89">
        <v>46092</v>
      </c>
      <c r="K417" s="87"/>
      <c r="L417" s="87" t="s">
        <v>1942</v>
      </c>
      <c r="M417" s="87" t="s">
        <v>654</v>
      </c>
      <c r="N417" s="90" t="s">
        <v>2601</v>
      </c>
      <c r="O417" s="91" t="s">
        <v>2015</v>
      </c>
      <c r="P417" s="91" t="s">
        <v>2006</v>
      </c>
      <c r="Q417" s="92">
        <v>2026</v>
      </c>
      <c r="R417" s="88" t="s">
        <v>1942</v>
      </c>
      <c r="S417" s="87" t="s">
        <v>1942</v>
      </c>
      <c r="T417" s="88" t="s">
        <v>1942</v>
      </c>
    </row>
    <row r="418" spans="1:20" ht="18" customHeight="1" x14ac:dyDescent="0.7">
      <c r="A418" s="85">
        <v>427</v>
      </c>
      <c r="B418" s="86">
        <v>3161607</v>
      </c>
      <c r="C418" s="87" t="s">
        <v>2824</v>
      </c>
      <c r="D418" s="87"/>
      <c r="E418" s="87" t="s">
        <v>1932</v>
      </c>
      <c r="F418" s="87" t="s">
        <v>1933</v>
      </c>
      <c r="G418" s="87" t="s">
        <v>1934</v>
      </c>
      <c r="H418" s="87"/>
      <c r="I418" s="87"/>
      <c r="J418" s="89">
        <v>46091</v>
      </c>
      <c r="K418" s="87"/>
      <c r="L418" s="87" t="s">
        <v>1942</v>
      </c>
      <c r="M418" s="87" t="s">
        <v>654</v>
      </c>
      <c r="N418" s="90" t="s">
        <v>2038</v>
      </c>
      <c r="O418" s="91" t="s">
        <v>2015</v>
      </c>
      <c r="P418" s="91" t="s">
        <v>2006</v>
      </c>
      <c r="Q418" s="92">
        <v>2026</v>
      </c>
      <c r="R418" s="88" t="s">
        <v>1942</v>
      </c>
      <c r="S418" s="87" t="s">
        <v>1942</v>
      </c>
      <c r="T418" s="88" t="s">
        <v>1942</v>
      </c>
    </row>
    <row r="419" spans="1:20" ht="18" customHeight="1" x14ac:dyDescent="0.7">
      <c r="A419" s="85">
        <v>428</v>
      </c>
      <c r="B419" s="86">
        <v>3161605</v>
      </c>
      <c r="C419" s="87" t="s">
        <v>2825</v>
      </c>
      <c r="D419" s="87"/>
      <c r="E419" s="87" t="s">
        <v>1932</v>
      </c>
      <c r="F419" s="87" t="s">
        <v>1933</v>
      </c>
      <c r="G419" s="87" t="s">
        <v>1934</v>
      </c>
      <c r="H419" s="87"/>
      <c r="I419" s="87"/>
      <c r="J419" s="89">
        <v>46091</v>
      </c>
      <c r="K419" s="87"/>
      <c r="L419" s="87" t="s">
        <v>1942</v>
      </c>
      <c r="M419" s="87" t="s">
        <v>654</v>
      </c>
      <c r="N419" s="90" t="s">
        <v>2038</v>
      </c>
      <c r="O419" s="91" t="s">
        <v>2015</v>
      </c>
      <c r="P419" s="91" t="s">
        <v>2006</v>
      </c>
      <c r="Q419" s="92">
        <v>2026</v>
      </c>
      <c r="R419" s="88" t="s">
        <v>1942</v>
      </c>
      <c r="S419" s="87" t="s">
        <v>1942</v>
      </c>
      <c r="T419" s="88" t="s">
        <v>1942</v>
      </c>
    </row>
    <row r="420" spans="1:20" ht="18" customHeight="1" x14ac:dyDescent="0.7">
      <c r="A420" s="85">
        <v>429</v>
      </c>
      <c r="B420" s="86">
        <v>3161602</v>
      </c>
      <c r="C420" s="87" t="s">
        <v>2826</v>
      </c>
      <c r="D420" s="87"/>
      <c r="E420" s="87" t="s">
        <v>1932</v>
      </c>
      <c r="F420" s="87" t="s">
        <v>1933</v>
      </c>
      <c r="G420" s="87" t="s">
        <v>1934</v>
      </c>
      <c r="H420" s="87"/>
      <c r="I420" s="87"/>
      <c r="J420" s="89">
        <v>46091</v>
      </c>
      <c r="K420" s="87"/>
      <c r="L420" s="87" t="s">
        <v>1942</v>
      </c>
      <c r="M420" s="87" t="s">
        <v>654</v>
      </c>
      <c r="N420" s="90" t="s">
        <v>2038</v>
      </c>
      <c r="O420" s="91" t="s">
        <v>2015</v>
      </c>
      <c r="P420" s="91" t="s">
        <v>2006</v>
      </c>
      <c r="Q420" s="92">
        <v>2026</v>
      </c>
      <c r="R420" s="88" t="s">
        <v>1942</v>
      </c>
      <c r="S420" s="87" t="s">
        <v>1942</v>
      </c>
      <c r="T420" s="88" t="s">
        <v>1942</v>
      </c>
    </row>
    <row r="421" spans="1:20" ht="18" customHeight="1" x14ac:dyDescent="0.7">
      <c r="A421" s="85">
        <v>430</v>
      </c>
      <c r="B421" s="86">
        <v>3161351</v>
      </c>
      <c r="C421" s="87" t="s">
        <v>2827</v>
      </c>
      <c r="D421" s="87"/>
      <c r="E421" s="87" t="s">
        <v>1932</v>
      </c>
      <c r="F421" s="87" t="s">
        <v>1933</v>
      </c>
      <c r="G421" s="87" t="s">
        <v>1934</v>
      </c>
      <c r="H421" s="87"/>
      <c r="I421" s="87"/>
      <c r="J421" s="89">
        <v>46090</v>
      </c>
      <c r="K421" s="87"/>
      <c r="L421" s="87" t="s">
        <v>1942</v>
      </c>
      <c r="M421" s="87" t="s">
        <v>654</v>
      </c>
      <c r="N421" s="90" t="s">
        <v>2828</v>
      </c>
      <c r="O421" s="91" t="s">
        <v>2015</v>
      </c>
      <c r="P421" s="91" t="s">
        <v>2006</v>
      </c>
      <c r="Q421" s="92">
        <v>2026</v>
      </c>
      <c r="R421" s="88" t="s">
        <v>1942</v>
      </c>
      <c r="S421" s="87" t="s">
        <v>1942</v>
      </c>
      <c r="T421" s="88" t="s">
        <v>1942</v>
      </c>
    </row>
    <row r="422" spans="1:20" ht="18" customHeight="1" x14ac:dyDescent="0.7">
      <c r="A422" s="85">
        <v>431</v>
      </c>
      <c r="B422" s="86">
        <v>3160888</v>
      </c>
      <c r="C422" s="87" t="s">
        <v>2829</v>
      </c>
      <c r="D422" s="87"/>
      <c r="E422" s="87" t="s">
        <v>1932</v>
      </c>
      <c r="F422" s="87" t="s">
        <v>1933</v>
      </c>
      <c r="G422" s="87" t="s">
        <v>1934</v>
      </c>
      <c r="H422" s="87"/>
      <c r="I422" s="87"/>
      <c r="J422" s="89">
        <v>46087</v>
      </c>
      <c r="K422" s="87"/>
      <c r="L422" s="87" t="s">
        <v>1942</v>
      </c>
      <c r="M422" s="87" t="s">
        <v>654</v>
      </c>
      <c r="N422" s="90" t="s">
        <v>2830</v>
      </c>
      <c r="O422" s="91" t="s">
        <v>2015</v>
      </c>
      <c r="P422" s="91" t="s">
        <v>2665</v>
      </c>
      <c r="Q422" s="92">
        <v>2026</v>
      </c>
      <c r="R422" s="88" t="s">
        <v>1942</v>
      </c>
      <c r="S422" s="87" t="s">
        <v>1942</v>
      </c>
      <c r="T422" s="88" t="s">
        <v>1942</v>
      </c>
    </row>
    <row r="423" spans="1:20" ht="18" customHeight="1" x14ac:dyDescent="0.7">
      <c r="A423" s="85">
        <v>432</v>
      </c>
      <c r="B423" s="86">
        <v>3160460</v>
      </c>
      <c r="C423" s="87" t="s">
        <v>2831</v>
      </c>
      <c r="D423" s="87"/>
      <c r="E423" s="87" t="s">
        <v>1932</v>
      </c>
      <c r="F423" s="87" t="s">
        <v>1933</v>
      </c>
      <c r="G423" s="87" t="s">
        <v>1934</v>
      </c>
      <c r="H423" s="87"/>
      <c r="I423" s="87"/>
      <c r="J423" s="89">
        <v>46085</v>
      </c>
      <c r="K423" s="87"/>
      <c r="L423" s="87" t="s">
        <v>1942</v>
      </c>
      <c r="M423" s="87" t="s">
        <v>654</v>
      </c>
      <c r="N423" s="90" t="s">
        <v>2674</v>
      </c>
      <c r="O423" s="91" t="s">
        <v>2015</v>
      </c>
      <c r="P423" s="91" t="s">
        <v>2665</v>
      </c>
      <c r="Q423" s="92">
        <v>2026</v>
      </c>
      <c r="R423" s="88" t="s">
        <v>1942</v>
      </c>
      <c r="S423" s="87" t="s">
        <v>1942</v>
      </c>
      <c r="T423" s="88" t="s">
        <v>1942</v>
      </c>
    </row>
    <row r="424" spans="1:20" ht="18" customHeight="1" x14ac:dyDescent="0.7">
      <c r="A424" s="85">
        <v>433</v>
      </c>
      <c r="B424" s="86">
        <v>3160447</v>
      </c>
      <c r="C424" s="87" t="s">
        <v>2832</v>
      </c>
      <c r="D424" s="87"/>
      <c r="E424" s="87" t="s">
        <v>1932</v>
      </c>
      <c r="F424" s="87" t="s">
        <v>1933</v>
      </c>
      <c r="G424" s="87" t="s">
        <v>1934</v>
      </c>
      <c r="H424" s="87"/>
      <c r="I424" s="87"/>
      <c r="J424" s="89">
        <v>46085</v>
      </c>
      <c r="K424" s="87"/>
      <c r="L424" s="87" t="s">
        <v>1942</v>
      </c>
      <c r="M424" s="87" t="s">
        <v>654</v>
      </c>
      <c r="N424" s="90" t="s">
        <v>2674</v>
      </c>
      <c r="O424" s="91" t="s">
        <v>2015</v>
      </c>
      <c r="P424" s="91" t="s">
        <v>2665</v>
      </c>
      <c r="Q424" s="92">
        <v>2026</v>
      </c>
      <c r="R424" s="88" t="s">
        <v>1942</v>
      </c>
      <c r="S424" s="87" t="s">
        <v>1942</v>
      </c>
      <c r="T424" s="88" t="s">
        <v>1942</v>
      </c>
    </row>
    <row r="425" spans="1:20" ht="18" customHeight="1" x14ac:dyDescent="0.7">
      <c r="A425" s="85">
        <v>434</v>
      </c>
      <c r="B425" s="86">
        <v>3160256</v>
      </c>
      <c r="C425" s="87" t="s">
        <v>2833</v>
      </c>
      <c r="D425" s="87"/>
      <c r="E425" s="87" t="s">
        <v>1932</v>
      </c>
      <c r="F425" s="87" t="s">
        <v>1933</v>
      </c>
      <c r="G425" s="87" t="s">
        <v>1934</v>
      </c>
      <c r="H425" s="87"/>
      <c r="I425" s="87"/>
      <c r="J425" s="89">
        <v>46084</v>
      </c>
      <c r="K425" s="87"/>
      <c r="L425" s="87" t="s">
        <v>1942</v>
      </c>
      <c r="M425" s="87" t="s">
        <v>654</v>
      </c>
      <c r="N425" s="90" t="s">
        <v>2575</v>
      </c>
      <c r="O425" s="91" t="s">
        <v>2015</v>
      </c>
      <c r="P425" s="91" t="s">
        <v>2665</v>
      </c>
      <c r="Q425" s="92">
        <v>2026</v>
      </c>
      <c r="R425" s="88" t="s">
        <v>1942</v>
      </c>
      <c r="S425" s="87" t="s">
        <v>1942</v>
      </c>
      <c r="T425" s="88" t="s">
        <v>1942</v>
      </c>
    </row>
    <row r="426" spans="1:20" ht="18" customHeight="1" x14ac:dyDescent="0.7">
      <c r="A426" s="85">
        <v>435</v>
      </c>
      <c r="B426" s="86">
        <v>3160041</v>
      </c>
      <c r="C426" s="87" t="s">
        <v>2834</v>
      </c>
      <c r="D426" s="87"/>
      <c r="E426" s="87" t="s">
        <v>1932</v>
      </c>
      <c r="F426" s="87" t="s">
        <v>1933</v>
      </c>
      <c r="G426" s="87" t="s">
        <v>1934</v>
      </c>
      <c r="H426" s="87"/>
      <c r="I426" s="87"/>
      <c r="J426" s="89">
        <v>46083</v>
      </c>
      <c r="K426" s="87"/>
      <c r="L426" s="87" t="s">
        <v>1942</v>
      </c>
      <c r="M426" s="87" t="s">
        <v>654</v>
      </c>
      <c r="N426" s="90" t="s">
        <v>2667</v>
      </c>
      <c r="O426" s="91" t="s">
        <v>2015</v>
      </c>
      <c r="P426" s="91" t="s">
        <v>2665</v>
      </c>
      <c r="Q426" s="92">
        <v>2026</v>
      </c>
      <c r="R426" s="88" t="s">
        <v>1942</v>
      </c>
      <c r="S426" s="87" t="s">
        <v>1942</v>
      </c>
      <c r="T426" s="88" t="s">
        <v>1942</v>
      </c>
    </row>
    <row r="427" spans="1:20" ht="18" customHeight="1" x14ac:dyDescent="0.7">
      <c r="A427" s="85">
        <v>436</v>
      </c>
      <c r="B427" s="86">
        <v>3160013</v>
      </c>
      <c r="C427" s="87" t="s">
        <v>2835</v>
      </c>
      <c r="D427" s="87"/>
      <c r="E427" s="87" t="s">
        <v>1932</v>
      </c>
      <c r="F427" s="87" t="s">
        <v>1933</v>
      </c>
      <c r="G427" s="87" t="s">
        <v>1934</v>
      </c>
      <c r="H427" s="87"/>
      <c r="I427" s="87"/>
      <c r="J427" s="89">
        <v>46083</v>
      </c>
      <c r="K427" s="87"/>
      <c r="L427" s="87" t="s">
        <v>1942</v>
      </c>
      <c r="M427" s="87" t="s">
        <v>654</v>
      </c>
      <c r="N427" s="90" t="s">
        <v>2667</v>
      </c>
      <c r="O427" s="91" t="s">
        <v>2015</v>
      </c>
      <c r="P427" s="91" t="s">
        <v>2665</v>
      </c>
      <c r="Q427" s="92">
        <v>2026</v>
      </c>
      <c r="R427" s="88" t="s">
        <v>1942</v>
      </c>
      <c r="S427" s="87" t="s">
        <v>1942</v>
      </c>
      <c r="T427" s="88" t="s">
        <v>1942</v>
      </c>
    </row>
    <row r="428" spans="1:20" ht="18" customHeight="1" x14ac:dyDescent="0.7">
      <c r="A428" s="85">
        <v>437</v>
      </c>
      <c r="B428" s="86">
        <v>3160009</v>
      </c>
      <c r="C428" s="87" t="s">
        <v>2836</v>
      </c>
      <c r="D428" s="87"/>
      <c r="E428" s="87" t="s">
        <v>1932</v>
      </c>
      <c r="F428" s="87" t="s">
        <v>1933</v>
      </c>
      <c r="G428" s="87" t="s">
        <v>1934</v>
      </c>
      <c r="H428" s="87"/>
      <c r="I428" s="87"/>
      <c r="J428" s="89">
        <v>46083</v>
      </c>
      <c r="K428" s="87"/>
      <c r="L428" s="87" t="s">
        <v>1942</v>
      </c>
      <c r="M428" s="87" t="s">
        <v>654</v>
      </c>
      <c r="N428" s="90" t="s">
        <v>2667</v>
      </c>
      <c r="O428" s="91" t="s">
        <v>2015</v>
      </c>
      <c r="P428" s="91" t="s">
        <v>2665</v>
      </c>
      <c r="Q428" s="92">
        <v>2026</v>
      </c>
      <c r="R428" s="88" t="s">
        <v>1942</v>
      </c>
      <c r="S428" s="87" t="s">
        <v>1942</v>
      </c>
      <c r="T428" s="88" t="s">
        <v>1942</v>
      </c>
    </row>
    <row r="429" spans="1:20" ht="18" customHeight="1" x14ac:dyDescent="0.7">
      <c r="A429" s="85">
        <v>438</v>
      </c>
      <c r="B429" s="86">
        <v>3159349</v>
      </c>
      <c r="C429" s="87" t="s">
        <v>2837</v>
      </c>
      <c r="D429" s="87"/>
      <c r="E429" s="87" t="s">
        <v>1932</v>
      </c>
      <c r="F429" s="87" t="s">
        <v>1933</v>
      </c>
      <c r="G429" s="87" t="s">
        <v>1934</v>
      </c>
      <c r="H429" s="87"/>
      <c r="I429" s="87"/>
      <c r="J429" s="89">
        <v>46080</v>
      </c>
      <c r="K429" s="87"/>
      <c r="L429" s="87" t="s">
        <v>1942</v>
      </c>
      <c r="M429" s="87" t="s">
        <v>654</v>
      </c>
      <c r="N429" s="90" t="s">
        <v>2635</v>
      </c>
      <c r="O429" s="91" t="s">
        <v>2015</v>
      </c>
      <c r="P429" s="91" t="s">
        <v>1976</v>
      </c>
      <c r="Q429" s="92">
        <v>2026</v>
      </c>
      <c r="R429" s="88" t="s">
        <v>1942</v>
      </c>
      <c r="S429" s="87" t="s">
        <v>1942</v>
      </c>
      <c r="T429" s="88" t="s">
        <v>1942</v>
      </c>
    </row>
    <row r="430" spans="1:20" ht="18" customHeight="1" x14ac:dyDescent="0.7">
      <c r="A430" s="85">
        <v>439</v>
      </c>
      <c r="B430" s="86">
        <v>3159218</v>
      </c>
      <c r="C430" s="87" t="s">
        <v>138</v>
      </c>
      <c r="D430" s="87"/>
      <c r="E430" s="87" t="s">
        <v>1932</v>
      </c>
      <c r="F430" s="87" t="s">
        <v>1933</v>
      </c>
      <c r="G430" s="87" t="s">
        <v>1934</v>
      </c>
      <c r="H430" s="87"/>
      <c r="I430" s="87"/>
      <c r="J430" s="89">
        <v>46079</v>
      </c>
      <c r="K430" s="87"/>
      <c r="L430" s="87" t="s">
        <v>1942</v>
      </c>
      <c r="M430" s="87" t="s">
        <v>654</v>
      </c>
      <c r="N430" s="90" t="s">
        <v>2654</v>
      </c>
      <c r="O430" s="91" t="s">
        <v>2015</v>
      </c>
      <c r="P430" s="91" t="s">
        <v>1976</v>
      </c>
      <c r="Q430" s="92">
        <v>2026</v>
      </c>
      <c r="R430" s="88" t="s">
        <v>1942</v>
      </c>
      <c r="S430" s="87" t="s">
        <v>1942</v>
      </c>
      <c r="T430" s="88" t="s">
        <v>1942</v>
      </c>
    </row>
    <row r="431" spans="1:20" ht="18" customHeight="1" x14ac:dyDescent="0.7">
      <c r="A431" s="85">
        <v>440</v>
      </c>
      <c r="B431" s="86">
        <v>3159021</v>
      </c>
      <c r="C431" s="87" t="s">
        <v>2838</v>
      </c>
      <c r="D431" s="87"/>
      <c r="E431" s="87" t="s">
        <v>1932</v>
      </c>
      <c r="F431" s="87" t="s">
        <v>1933</v>
      </c>
      <c r="G431" s="87" t="s">
        <v>1934</v>
      </c>
      <c r="H431" s="87"/>
      <c r="I431" s="87"/>
      <c r="J431" s="89">
        <v>46078</v>
      </c>
      <c r="K431" s="87"/>
      <c r="L431" s="87" t="s">
        <v>1942</v>
      </c>
      <c r="M431" s="87" t="s">
        <v>654</v>
      </c>
      <c r="N431" s="90" t="s">
        <v>2839</v>
      </c>
      <c r="O431" s="91" t="s">
        <v>2015</v>
      </c>
      <c r="P431" s="91" t="s">
        <v>1976</v>
      </c>
      <c r="Q431" s="92">
        <v>2026</v>
      </c>
      <c r="R431" s="88" t="s">
        <v>1942</v>
      </c>
      <c r="S431" s="87" t="s">
        <v>1942</v>
      </c>
      <c r="T431" s="88" t="s">
        <v>1942</v>
      </c>
    </row>
    <row r="432" spans="1:20" ht="18" customHeight="1" x14ac:dyDescent="0.7">
      <c r="A432" s="85">
        <v>441</v>
      </c>
      <c r="B432" s="86">
        <v>3158888</v>
      </c>
      <c r="C432" s="87" t="s">
        <v>2840</v>
      </c>
      <c r="D432" s="87"/>
      <c r="E432" s="87" t="s">
        <v>1932</v>
      </c>
      <c r="F432" s="87" t="s">
        <v>1933</v>
      </c>
      <c r="G432" s="87" t="s">
        <v>1934</v>
      </c>
      <c r="H432" s="87"/>
      <c r="I432" s="87"/>
      <c r="J432" s="89">
        <v>46077</v>
      </c>
      <c r="K432" s="87"/>
      <c r="L432" s="87" t="s">
        <v>1942</v>
      </c>
      <c r="M432" s="87" t="s">
        <v>654</v>
      </c>
      <c r="N432" s="90" t="s">
        <v>2841</v>
      </c>
      <c r="O432" s="91" t="s">
        <v>2015</v>
      </c>
      <c r="P432" s="91" t="s">
        <v>1976</v>
      </c>
      <c r="Q432" s="92">
        <v>2026</v>
      </c>
      <c r="R432" s="88" t="s">
        <v>1942</v>
      </c>
      <c r="S432" s="87" t="s">
        <v>1942</v>
      </c>
      <c r="T432" s="88" t="s">
        <v>1942</v>
      </c>
    </row>
    <row r="433" spans="1:20" ht="18" customHeight="1" x14ac:dyDescent="0.7">
      <c r="A433" s="85">
        <v>442</v>
      </c>
      <c r="B433" s="86">
        <v>3158869</v>
      </c>
      <c r="C433" s="87" t="s">
        <v>2842</v>
      </c>
      <c r="D433" s="87"/>
      <c r="E433" s="87" t="s">
        <v>1932</v>
      </c>
      <c r="F433" s="87" t="s">
        <v>1933</v>
      </c>
      <c r="G433" s="87" t="s">
        <v>1934</v>
      </c>
      <c r="H433" s="87"/>
      <c r="I433" s="87"/>
      <c r="J433" s="89">
        <v>46077</v>
      </c>
      <c r="K433" s="87"/>
      <c r="L433" s="87" t="s">
        <v>1942</v>
      </c>
      <c r="M433" s="87" t="s">
        <v>654</v>
      </c>
      <c r="N433" s="90" t="s">
        <v>2841</v>
      </c>
      <c r="O433" s="91" t="s">
        <v>2015</v>
      </c>
      <c r="P433" s="91" t="s">
        <v>1976</v>
      </c>
      <c r="Q433" s="92">
        <v>2026</v>
      </c>
      <c r="R433" s="88" t="s">
        <v>1942</v>
      </c>
      <c r="S433" s="87" t="s">
        <v>1942</v>
      </c>
      <c r="T433" s="88" t="s">
        <v>1942</v>
      </c>
    </row>
    <row r="434" spans="1:20" ht="18" customHeight="1" x14ac:dyDescent="0.7">
      <c r="A434" s="85">
        <v>443</v>
      </c>
      <c r="B434" s="86">
        <v>3158380</v>
      </c>
      <c r="C434" s="87" t="s">
        <v>2843</v>
      </c>
      <c r="D434" s="87"/>
      <c r="E434" s="87" t="s">
        <v>1932</v>
      </c>
      <c r="F434" s="87" t="s">
        <v>1933</v>
      </c>
      <c r="G434" s="87" t="s">
        <v>1934</v>
      </c>
      <c r="H434" s="87"/>
      <c r="I434" s="87"/>
      <c r="J434" s="89">
        <v>46057</v>
      </c>
      <c r="K434" s="87"/>
      <c r="L434" s="87" t="s">
        <v>1942</v>
      </c>
      <c r="M434" s="87" t="s">
        <v>654</v>
      </c>
      <c r="N434" s="90" t="s">
        <v>2630</v>
      </c>
      <c r="O434" s="91" t="s">
        <v>1961</v>
      </c>
      <c r="P434" s="91" t="s">
        <v>2844</v>
      </c>
      <c r="Q434" s="92">
        <v>2026</v>
      </c>
      <c r="R434" s="88" t="s">
        <v>1942</v>
      </c>
      <c r="S434" s="87" t="s">
        <v>1942</v>
      </c>
      <c r="T434" s="88" t="s">
        <v>1942</v>
      </c>
    </row>
    <row r="435" spans="1:20" ht="18" customHeight="1" x14ac:dyDescent="0.7">
      <c r="A435" s="85">
        <v>444</v>
      </c>
      <c r="B435" s="86">
        <v>3158294</v>
      </c>
      <c r="C435" s="87" t="s">
        <v>2845</v>
      </c>
      <c r="D435" s="87"/>
      <c r="E435" s="87" t="s">
        <v>1932</v>
      </c>
      <c r="F435" s="87" t="s">
        <v>1933</v>
      </c>
      <c r="G435" s="87" t="s">
        <v>1934</v>
      </c>
      <c r="H435" s="87"/>
      <c r="I435" s="87"/>
      <c r="J435" s="89">
        <v>46056</v>
      </c>
      <c r="K435" s="87"/>
      <c r="L435" s="87" t="s">
        <v>1942</v>
      </c>
      <c r="M435" s="87" t="s">
        <v>654</v>
      </c>
      <c r="N435" s="90" t="s">
        <v>2846</v>
      </c>
      <c r="O435" s="91" t="s">
        <v>1961</v>
      </c>
      <c r="P435" s="91" t="s">
        <v>2844</v>
      </c>
      <c r="Q435" s="92">
        <v>2026</v>
      </c>
      <c r="R435" s="88" t="s">
        <v>1942</v>
      </c>
      <c r="S435" s="87" t="s">
        <v>1942</v>
      </c>
      <c r="T435" s="88" t="s">
        <v>1942</v>
      </c>
    </row>
    <row r="436" spans="1:20" ht="18" customHeight="1" x14ac:dyDescent="0.7">
      <c r="A436" s="85">
        <v>445</v>
      </c>
      <c r="B436" s="86">
        <v>3157963</v>
      </c>
      <c r="C436" s="87" t="s">
        <v>2847</v>
      </c>
      <c r="D436" s="87"/>
      <c r="E436" s="87" t="s">
        <v>1932</v>
      </c>
      <c r="F436" s="87" t="s">
        <v>1933</v>
      </c>
      <c r="G436" s="87" t="s">
        <v>1934</v>
      </c>
      <c r="H436" s="87"/>
      <c r="I436" s="87"/>
      <c r="J436" s="89">
        <v>46051</v>
      </c>
      <c r="K436" s="87"/>
      <c r="L436" s="87" t="s">
        <v>1942</v>
      </c>
      <c r="M436" s="87" t="s">
        <v>654</v>
      </c>
      <c r="N436" s="90" t="s">
        <v>2848</v>
      </c>
      <c r="O436" s="91" t="s">
        <v>1961</v>
      </c>
      <c r="P436" s="91" t="s">
        <v>2609</v>
      </c>
      <c r="Q436" s="92">
        <v>2026</v>
      </c>
      <c r="R436" s="88" t="s">
        <v>1942</v>
      </c>
      <c r="S436" s="87" t="s">
        <v>1942</v>
      </c>
      <c r="T436" s="88" t="s">
        <v>1942</v>
      </c>
    </row>
    <row r="437" spans="1:20" ht="18" customHeight="1" x14ac:dyDescent="0.7">
      <c r="A437" s="85">
        <v>446</v>
      </c>
      <c r="B437" s="86">
        <v>3157831</v>
      </c>
      <c r="C437" s="87" t="s">
        <v>2849</v>
      </c>
      <c r="D437" s="87"/>
      <c r="E437" s="87" t="s">
        <v>1932</v>
      </c>
      <c r="F437" s="87" t="s">
        <v>1933</v>
      </c>
      <c r="G437" s="87" t="s">
        <v>1934</v>
      </c>
      <c r="H437" s="87"/>
      <c r="I437" s="87"/>
      <c r="J437" s="89">
        <v>46049</v>
      </c>
      <c r="K437" s="87"/>
      <c r="L437" s="87" t="s">
        <v>1942</v>
      </c>
      <c r="M437" s="87" t="s">
        <v>654</v>
      </c>
      <c r="N437" s="90" t="s">
        <v>2048</v>
      </c>
      <c r="O437" s="91" t="s">
        <v>1961</v>
      </c>
      <c r="P437" s="91" t="s">
        <v>2609</v>
      </c>
      <c r="Q437" s="92">
        <v>2026</v>
      </c>
      <c r="R437" s="88" t="s">
        <v>1942</v>
      </c>
      <c r="S437" s="87" t="s">
        <v>1942</v>
      </c>
      <c r="T437" s="88" t="s">
        <v>1942</v>
      </c>
    </row>
    <row r="438" spans="1:20" ht="18" customHeight="1" x14ac:dyDescent="0.7">
      <c r="A438" s="85">
        <v>447</v>
      </c>
      <c r="B438" s="86">
        <v>3157825</v>
      </c>
      <c r="C438" s="87" t="s">
        <v>2850</v>
      </c>
      <c r="D438" s="87"/>
      <c r="E438" s="87" t="s">
        <v>1932</v>
      </c>
      <c r="F438" s="87" t="s">
        <v>1933</v>
      </c>
      <c r="G438" s="87" t="s">
        <v>1934</v>
      </c>
      <c r="H438" s="87"/>
      <c r="I438" s="87"/>
      <c r="J438" s="89">
        <v>46049</v>
      </c>
      <c r="K438" s="87"/>
      <c r="L438" s="87" t="s">
        <v>1942</v>
      </c>
      <c r="M438" s="87" t="s">
        <v>654</v>
      </c>
      <c r="N438" s="90" t="s">
        <v>2048</v>
      </c>
      <c r="O438" s="91" t="s">
        <v>1961</v>
      </c>
      <c r="P438" s="91" t="s">
        <v>2609</v>
      </c>
      <c r="Q438" s="92">
        <v>2026</v>
      </c>
      <c r="R438" s="88" t="s">
        <v>1942</v>
      </c>
      <c r="S438" s="87" t="s">
        <v>1942</v>
      </c>
      <c r="T438" s="88" t="s">
        <v>1942</v>
      </c>
    </row>
    <row r="439" spans="1:20" ht="18" customHeight="1" x14ac:dyDescent="0.7">
      <c r="A439" s="85">
        <v>448</v>
      </c>
      <c r="B439" s="86">
        <v>3157761</v>
      </c>
      <c r="C439" s="87" t="s">
        <v>2851</v>
      </c>
      <c r="D439" s="87"/>
      <c r="E439" s="87" t="s">
        <v>1932</v>
      </c>
      <c r="F439" s="87" t="s">
        <v>1933</v>
      </c>
      <c r="G439" s="87" t="s">
        <v>1934</v>
      </c>
      <c r="H439" s="87"/>
      <c r="I439" s="87"/>
      <c r="J439" s="89">
        <v>46048</v>
      </c>
      <c r="K439" s="87"/>
      <c r="L439" s="87" t="s">
        <v>1942</v>
      </c>
      <c r="M439" s="87" t="s">
        <v>654</v>
      </c>
      <c r="N439" s="90" t="s">
        <v>2061</v>
      </c>
      <c r="O439" s="91" t="s">
        <v>1961</v>
      </c>
      <c r="P439" s="91" t="s">
        <v>2609</v>
      </c>
      <c r="Q439" s="92">
        <v>2026</v>
      </c>
      <c r="R439" s="88" t="s">
        <v>1942</v>
      </c>
      <c r="S439" s="87" t="s">
        <v>1942</v>
      </c>
      <c r="T439" s="88" t="s">
        <v>1942</v>
      </c>
    </row>
    <row r="440" spans="1:20" ht="18" customHeight="1" x14ac:dyDescent="0.7">
      <c r="A440" s="85">
        <v>449</v>
      </c>
      <c r="B440" s="86">
        <v>3157416</v>
      </c>
      <c r="C440" s="87" t="s">
        <v>2852</v>
      </c>
      <c r="D440" s="87"/>
      <c r="E440" s="87" t="s">
        <v>1932</v>
      </c>
      <c r="F440" s="87" t="s">
        <v>1933</v>
      </c>
      <c r="G440" s="87" t="s">
        <v>1934</v>
      </c>
      <c r="H440" s="87"/>
      <c r="I440" s="87"/>
      <c r="J440" s="89">
        <v>46043</v>
      </c>
      <c r="K440" s="87"/>
      <c r="L440" s="87" t="s">
        <v>1942</v>
      </c>
      <c r="M440" s="87" t="s">
        <v>654</v>
      </c>
      <c r="N440" s="90" t="s">
        <v>2075</v>
      </c>
      <c r="O440" s="91" t="s">
        <v>1961</v>
      </c>
      <c r="P440" s="91" t="s">
        <v>2577</v>
      </c>
      <c r="Q440" s="92">
        <v>2026</v>
      </c>
      <c r="R440" s="88" t="s">
        <v>1942</v>
      </c>
      <c r="S440" s="87" t="s">
        <v>1942</v>
      </c>
      <c r="T440" s="88" t="s">
        <v>1942</v>
      </c>
    </row>
    <row r="441" spans="1:20" ht="18" customHeight="1" x14ac:dyDescent="0.7">
      <c r="A441" s="85">
        <v>450</v>
      </c>
      <c r="B441" s="86">
        <v>3157324</v>
      </c>
      <c r="C441" s="87" t="s">
        <v>2853</v>
      </c>
      <c r="D441" s="87"/>
      <c r="E441" s="87" t="s">
        <v>1932</v>
      </c>
      <c r="F441" s="87" t="s">
        <v>1933</v>
      </c>
      <c r="G441" s="87" t="s">
        <v>1934</v>
      </c>
      <c r="H441" s="87"/>
      <c r="I441" s="87"/>
      <c r="J441" s="89">
        <v>46042</v>
      </c>
      <c r="K441" s="87"/>
      <c r="L441" s="87" t="s">
        <v>1942</v>
      </c>
      <c r="M441" s="87" t="s">
        <v>654</v>
      </c>
      <c r="N441" s="90" t="s">
        <v>2854</v>
      </c>
      <c r="O441" s="91" t="s">
        <v>1961</v>
      </c>
      <c r="P441" s="91" t="s">
        <v>2577</v>
      </c>
      <c r="Q441" s="92">
        <v>2026</v>
      </c>
      <c r="R441" s="88" t="s">
        <v>1942</v>
      </c>
      <c r="S441" s="87" t="s">
        <v>1942</v>
      </c>
      <c r="T441" s="88" t="s">
        <v>1942</v>
      </c>
    </row>
    <row r="442" spans="1:20" ht="18" customHeight="1" x14ac:dyDescent="0.7">
      <c r="A442" s="85">
        <v>451</v>
      </c>
      <c r="B442" s="86">
        <v>3157250</v>
      </c>
      <c r="C442" s="87" t="s">
        <v>2855</v>
      </c>
      <c r="D442" s="87"/>
      <c r="E442" s="87" t="s">
        <v>1932</v>
      </c>
      <c r="F442" s="87" t="s">
        <v>1933</v>
      </c>
      <c r="G442" s="87" t="s">
        <v>1934</v>
      </c>
      <c r="H442" s="87"/>
      <c r="I442" s="87"/>
      <c r="J442" s="89">
        <v>46041</v>
      </c>
      <c r="K442" s="87"/>
      <c r="L442" s="87" t="s">
        <v>1942</v>
      </c>
      <c r="M442" s="87" t="s">
        <v>654</v>
      </c>
      <c r="N442" s="90" t="s">
        <v>2078</v>
      </c>
      <c r="O442" s="91" t="s">
        <v>1961</v>
      </c>
      <c r="P442" s="91" t="s">
        <v>2577</v>
      </c>
      <c r="Q442" s="92">
        <v>2026</v>
      </c>
      <c r="R442" s="88" t="s">
        <v>1942</v>
      </c>
      <c r="S442" s="87" t="s">
        <v>1942</v>
      </c>
      <c r="T442" s="88" t="s">
        <v>1942</v>
      </c>
    </row>
    <row r="443" spans="1:20" ht="18" customHeight="1" x14ac:dyDescent="0.7">
      <c r="A443" s="85">
        <v>452</v>
      </c>
      <c r="B443" s="86">
        <v>3157253</v>
      </c>
      <c r="C443" s="87" t="s">
        <v>2856</v>
      </c>
      <c r="D443" s="87"/>
      <c r="E443" s="87" t="s">
        <v>1932</v>
      </c>
      <c r="F443" s="87" t="s">
        <v>1933</v>
      </c>
      <c r="G443" s="87" t="s">
        <v>1934</v>
      </c>
      <c r="H443" s="87"/>
      <c r="I443" s="87"/>
      <c r="J443" s="89">
        <v>46041</v>
      </c>
      <c r="K443" s="87"/>
      <c r="L443" s="87" t="s">
        <v>1942</v>
      </c>
      <c r="M443" s="87" t="s">
        <v>654</v>
      </c>
      <c r="N443" s="90" t="s">
        <v>2078</v>
      </c>
      <c r="O443" s="91" t="s">
        <v>1961</v>
      </c>
      <c r="P443" s="91" t="s">
        <v>2577</v>
      </c>
      <c r="Q443" s="92">
        <v>2026</v>
      </c>
      <c r="R443" s="88" t="s">
        <v>1942</v>
      </c>
      <c r="S443" s="87" t="s">
        <v>1942</v>
      </c>
      <c r="T443" s="88" t="s">
        <v>1942</v>
      </c>
    </row>
    <row r="444" spans="1:20" ht="18" customHeight="1" x14ac:dyDescent="0.7">
      <c r="A444" s="85">
        <v>453</v>
      </c>
      <c r="B444" s="86">
        <v>3157013</v>
      </c>
      <c r="C444" s="87" t="s">
        <v>2857</v>
      </c>
      <c r="D444" s="87"/>
      <c r="E444" s="87" t="s">
        <v>1932</v>
      </c>
      <c r="F444" s="87" t="s">
        <v>1933</v>
      </c>
      <c r="G444" s="87" t="s">
        <v>1934</v>
      </c>
      <c r="H444" s="87"/>
      <c r="I444" s="87"/>
      <c r="J444" s="89">
        <v>46038</v>
      </c>
      <c r="K444" s="87"/>
      <c r="L444" s="87" t="s">
        <v>1942</v>
      </c>
      <c r="M444" s="87" t="s">
        <v>654</v>
      </c>
      <c r="N444" s="90" t="s">
        <v>2858</v>
      </c>
      <c r="O444" s="91" t="s">
        <v>1961</v>
      </c>
      <c r="P444" s="91" t="s">
        <v>2025</v>
      </c>
      <c r="Q444" s="92">
        <v>2026</v>
      </c>
      <c r="R444" s="88" t="s">
        <v>1942</v>
      </c>
      <c r="S444" s="87" t="s">
        <v>1942</v>
      </c>
      <c r="T444" s="88" t="s">
        <v>1942</v>
      </c>
    </row>
    <row r="445" spans="1:20" ht="18" customHeight="1" x14ac:dyDescent="0.7">
      <c r="A445" s="85">
        <v>454</v>
      </c>
      <c r="B445" s="86">
        <v>3157008</v>
      </c>
      <c r="C445" s="87" t="s">
        <v>2859</v>
      </c>
      <c r="D445" s="87"/>
      <c r="E445" s="87" t="s">
        <v>1932</v>
      </c>
      <c r="F445" s="87" t="s">
        <v>1933</v>
      </c>
      <c r="G445" s="87" t="s">
        <v>1934</v>
      </c>
      <c r="H445" s="87"/>
      <c r="I445" s="87"/>
      <c r="J445" s="89">
        <v>46038</v>
      </c>
      <c r="K445" s="87"/>
      <c r="L445" s="87" t="s">
        <v>1942</v>
      </c>
      <c r="M445" s="87" t="s">
        <v>654</v>
      </c>
      <c r="N445" s="90" t="s">
        <v>2858</v>
      </c>
      <c r="O445" s="91" t="s">
        <v>1961</v>
      </c>
      <c r="P445" s="91" t="s">
        <v>2025</v>
      </c>
      <c r="Q445" s="92">
        <v>2026</v>
      </c>
      <c r="R445" s="88" t="s">
        <v>1942</v>
      </c>
      <c r="S445" s="87" t="s">
        <v>1942</v>
      </c>
      <c r="T445" s="88" t="s">
        <v>1942</v>
      </c>
    </row>
    <row r="446" spans="1:20" ht="18" customHeight="1" x14ac:dyDescent="0.7">
      <c r="A446" s="85">
        <v>455</v>
      </c>
      <c r="B446" s="86">
        <v>3156439</v>
      </c>
      <c r="C446" s="87" t="s">
        <v>2860</v>
      </c>
      <c r="D446" s="87"/>
      <c r="E446" s="87" t="s">
        <v>1932</v>
      </c>
      <c r="F446" s="87" t="s">
        <v>1933</v>
      </c>
      <c r="G446" s="87" t="s">
        <v>1934</v>
      </c>
      <c r="H446" s="87"/>
      <c r="I446" s="87"/>
      <c r="J446" s="89">
        <v>46032</v>
      </c>
      <c r="K446" s="87"/>
      <c r="L446" s="87" t="s">
        <v>1942</v>
      </c>
      <c r="M446" s="87" t="s">
        <v>654</v>
      </c>
      <c r="N446" s="90" t="s">
        <v>2861</v>
      </c>
      <c r="O446" s="91" t="s">
        <v>1937</v>
      </c>
      <c r="P446" s="91" t="s">
        <v>2707</v>
      </c>
      <c r="Q446" s="92">
        <v>2026</v>
      </c>
      <c r="R446" s="88" t="s">
        <v>1942</v>
      </c>
      <c r="S446" s="87" t="s">
        <v>1942</v>
      </c>
      <c r="T446" s="88" t="s">
        <v>1942</v>
      </c>
    </row>
    <row r="447" spans="1:20" ht="18" customHeight="1" x14ac:dyDescent="0.7">
      <c r="A447" s="85">
        <v>456</v>
      </c>
      <c r="B447" s="86">
        <v>3156284</v>
      </c>
      <c r="C447" s="87" t="s">
        <v>2862</v>
      </c>
      <c r="D447" s="87"/>
      <c r="E447" s="87" t="s">
        <v>1932</v>
      </c>
      <c r="F447" s="87" t="s">
        <v>1933</v>
      </c>
      <c r="G447" s="87" t="s">
        <v>1934</v>
      </c>
      <c r="H447" s="87"/>
      <c r="I447" s="87"/>
      <c r="J447" s="89">
        <v>46030</v>
      </c>
      <c r="K447" s="87"/>
      <c r="L447" s="87" t="s">
        <v>1942</v>
      </c>
      <c r="M447" s="87" t="s">
        <v>654</v>
      </c>
      <c r="N447" s="90" t="s">
        <v>2067</v>
      </c>
      <c r="O447" s="91" t="s">
        <v>1937</v>
      </c>
      <c r="P447" s="91" t="s">
        <v>2707</v>
      </c>
      <c r="Q447" s="92">
        <v>2026</v>
      </c>
      <c r="R447" s="88" t="s">
        <v>1942</v>
      </c>
      <c r="S447" s="87" t="s">
        <v>1942</v>
      </c>
      <c r="T447" s="88" t="s">
        <v>1942</v>
      </c>
    </row>
    <row r="448" spans="1:20" ht="18" customHeight="1" x14ac:dyDescent="0.7">
      <c r="A448" s="85">
        <v>457</v>
      </c>
      <c r="B448" s="86">
        <v>3156162</v>
      </c>
      <c r="C448" s="87" t="s">
        <v>2863</v>
      </c>
      <c r="D448" s="87"/>
      <c r="E448" s="87" t="s">
        <v>1932</v>
      </c>
      <c r="F448" s="87" t="s">
        <v>1933</v>
      </c>
      <c r="G448" s="87" t="s">
        <v>1934</v>
      </c>
      <c r="H448" s="87"/>
      <c r="I448" s="87"/>
      <c r="J448" s="89">
        <v>46029</v>
      </c>
      <c r="K448" s="87"/>
      <c r="L448" s="87" t="s">
        <v>1942</v>
      </c>
      <c r="M448" s="87" t="s">
        <v>654</v>
      </c>
      <c r="N448" s="90" t="s">
        <v>2120</v>
      </c>
      <c r="O448" s="91" t="s">
        <v>1937</v>
      </c>
      <c r="P448" s="91" t="s">
        <v>2707</v>
      </c>
      <c r="Q448" s="92">
        <v>2026</v>
      </c>
      <c r="R448" s="88" t="s">
        <v>1942</v>
      </c>
      <c r="S448" s="87" t="s">
        <v>1942</v>
      </c>
      <c r="T448" s="88" t="s">
        <v>1942</v>
      </c>
    </row>
    <row r="449" spans="1:20" ht="18" customHeight="1" x14ac:dyDescent="0.7">
      <c r="A449" s="85">
        <v>458</v>
      </c>
      <c r="B449" s="86">
        <v>3156147</v>
      </c>
      <c r="C449" s="87" t="s">
        <v>2864</v>
      </c>
      <c r="D449" s="87"/>
      <c r="E449" s="87" t="s">
        <v>1932</v>
      </c>
      <c r="F449" s="87" t="s">
        <v>1933</v>
      </c>
      <c r="G449" s="87" t="s">
        <v>1934</v>
      </c>
      <c r="H449" s="87"/>
      <c r="I449" s="87"/>
      <c r="J449" s="89">
        <v>46029</v>
      </c>
      <c r="K449" s="87"/>
      <c r="L449" s="87" t="s">
        <v>1942</v>
      </c>
      <c r="M449" s="87" t="s">
        <v>654</v>
      </c>
      <c r="N449" s="90" t="s">
        <v>2120</v>
      </c>
      <c r="O449" s="91" t="s">
        <v>1937</v>
      </c>
      <c r="P449" s="91" t="s">
        <v>2707</v>
      </c>
      <c r="Q449" s="92">
        <v>2026</v>
      </c>
      <c r="R449" s="88" t="s">
        <v>1942</v>
      </c>
      <c r="S449" s="87" t="s">
        <v>1942</v>
      </c>
      <c r="T449" s="88" t="s">
        <v>1942</v>
      </c>
    </row>
    <row r="450" spans="1:20" ht="18" customHeight="1" x14ac:dyDescent="0.7">
      <c r="A450" s="85">
        <v>459</v>
      </c>
      <c r="B450" s="86">
        <v>3155939</v>
      </c>
      <c r="C450" s="87" t="s">
        <v>2865</v>
      </c>
      <c r="D450" s="87"/>
      <c r="E450" s="87" t="s">
        <v>1932</v>
      </c>
      <c r="F450" s="87" t="s">
        <v>1933</v>
      </c>
      <c r="G450" s="87" t="s">
        <v>1934</v>
      </c>
      <c r="H450" s="87"/>
      <c r="I450" s="87"/>
      <c r="J450" s="89">
        <v>46027</v>
      </c>
      <c r="K450" s="87"/>
      <c r="L450" s="87" t="s">
        <v>1942</v>
      </c>
      <c r="M450" s="87" t="s">
        <v>654</v>
      </c>
      <c r="N450" s="90" t="s">
        <v>2866</v>
      </c>
      <c r="O450" s="91" t="s">
        <v>1937</v>
      </c>
      <c r="P450" s="91" t="s">
        <v>2707</v>
      </c>
      <c r="Q450" s="92">
        <v>2026</v>
      </c>
      <c r="R450" s="88" t="s">
        <v>1942</v>
      </c>
      <c r="S450" s="87" t="s">
        <v>1942</v>
      </c>
      <c r="T450" s="88" t="s">
        <v>1942</v>
      </c>
    </row>
    <row r="451" spans="1:20" ht="18" customHeight="1" x14ac:dyDescent="0.7">
      <c r="A451" s="85">
        <v>460</v>
      </c>
      <c r="B451" s="86">
        <v>3155934</v>
      </c>
      <c r="C451" s="87" t="s">
        <v>2867</v>
      </c>
      <c r="D451" s="87"/>
      <c r="E451" s="87" t="s">
        <v>1932</v>
      </c>
      <c r="F451" s="87" t="s">
        <v>1933</v>
      </c>
      <c r="G451" s="87" t="s">
        <v>1934</v>
      </c>
      <c r="H451" s="87"/>
      <c r="I451" s="87"/>
      <c r="J451" s="89">
        <v>46027</v>
      </c>
      <c r="K451" s="87"/>
      <c r="L451" s="87" t="s">
        <v>1942</v>
      </c>
      <c r="M451" s="87" t="s">
        <v>654</v>
      </c>
      <c r="N451" s="90" t="s">
        <v>2866</v>
      </c>
      <c r="O451" s="91" t="s">
        <v>1937</v>
      </c>
      <c r="P451" s="91" t="s">
        <v>2707</v>
      </c>
      <c r="Q451" s="92">
        <v>2026</v>
      </c>
      <c r="R451" s="88" t="s">
        <v>1942</v>
      </c>
      <c r="S451" s="87" t="s">
        <v>1942</v>
      </c>
      <c r="T451" s="88" t="s">
        <v>1942</v>
      </c>
    </row>
    <row r="452" spans="1:20" ht="18" customHeight="1" x14ac:dyDescent="0.7">
      <c r="A452" s="85">
        <v>461</v>
      </c>
      <c r="B452" s="86">
        <v>3155763</v>
      </c>
      <c r="C452" s="87" t="s">
        <v>2868</v>
      </c>
      <c r="D452" s="87"/>
      <c r="E452" s="87" t="s">
        <v>1932</v>
      </c>
      <c r="F452" s="87" t="s">
        <v>1933</v>
      </c>
      <c r="G452" s="87" t="s">
        <v>1934</v>
      </c>
      <c r="H452" s="87"/>
      <c r="I452" s="87"/>
      <c r="J452" s="89">
        <v>46024</v>
      </c>
      <c r="K452" s="87"/>
      <c r="L452" s="87" t="s">
        <v>1942</v>
      </c>
      <c r="M452" s="87" t="s">
        <v>654</v>
      </c>
      <c r="N452" s="90" t="s">
        <v>1969</v>
      </c>
      <c r="O452" s="91" t="s">
        <v>1937</v>
      </c>
      <c r="P452" s="91" t="s">
        <v>2718</v>
      </c>
      <c r="Q452" s="92">
        <v>2026</v>
      </c>
      <c r="R452" s="88" t="s">
        <v>1942</v>
      </c>
      <c r="S452" s="87" t="s">
        <v>1942</v>
      </c>
      <c r="T452" s="88" t="s">
        <v>1942</v>
      </c>
    </row>
    <row r="453" spans="1:20" ht="18" customHeight="1" x14ac:dyDescent="0.7">
      <c r="A453" s="85">
        <v>462</v>
      </c>
      <c r="B453" s="86">
        <v>3155100</v>
      </c>
      <c r="C453" s="87" t="s">
        <v>2869</v>
      </c>
      <c r="D453" s="87"/>
      <c r="E453" s="87" t="s">
        <v>1932</v>
      </c>
      <c r="F453" s="87" t="s">
        <v>1933</v>
      </c>
      <c r="G453" s="87" t="s">
        <v>1934</v>
      </c>
      <c r="H453" s="87"/>
      <c r="I453" s="87"/>
      <c r="J453" s="89">
        <v>46014</v>
      </c>
      <c r="K453" s="87"/>
      <c r="L453" s="87" t="s">
        <v>1942</v>
      </c>
      <c r="M453" s="87" t="s">
        <v>654</v>
      </c>
      <c r="N453" s="90" t="s">
        <v>2143</v>
      </c>
      <c r="O453" s="91" t="s">
        <v>1937</v>
      </c>
      <c r="P453" s="91" t="s">
        <v>2870</v>
      </c>
      <c r="Q453" s="92">
        <v>2025</v>
      </c>
      <c r="R453" s="88" t="s">
        <v>1942</v>
      </c>
      <c r="S453" s="87" t="s">
        <v>1942</v>
      </c>
      <c r="T453" s="88" t="s">
        <v>1942</v>
      </c>
    </row>
    <row r="454" spans="1:20" ht="18" customHeight="1" x14ac:dyDescent="0.7">
      <c r="A454" s="85">
        <v>463</v>
      </c>
      <c r="B454" s="86">
        <v>3154578</v>
      </c>
      <c r="C454" s="87" t="s">
        <v>2871</v>
      </c>
      <c r="D454" s="87"/>
      <c r="E454" s="87" t="s">
        <v>1932</v>
      </c>
      <c r="F454" s="87" t="s">
        <v>1933</v>
      </c>
      <c r="G454" s="87" t="s">
        <v>1934</v>
      </c>
      <c r="H454" s="87"/>
      <c r="I454" s="87"/>
      <c r="J454" s="89">
        <v>46008</v>
      </c>
      <c r="K454" s="87"/>
      <c r="L454" s="87" t="s">
        <v>1942</v>
      </c>
      <c r="M454" s="87" t="s">
        <v>654</v>
      </c>
      <c r="N454" s="90" t="s">
        <v>2009</v>
      </c>
      <c r="O454" s="91" t="s">
        <v>1937</v>
      </c>
      <c r="P454" s="91" t="s">
        <v>2763</v>
      </c>
      <c r="Q454" s="92">
        <v>2025</v>
      </c>
      <c r="R454" s="88" t="s">
        <v>1942</v>
      </c>
      <c r="S454" s="87" t="s">
        <v>1942</v>
      </c>
      <c r="T454" s="88" t="s">
        <v>1942</v>
      </c>
    </row>
    <row r="455" spans="1:20" ht="18" customHeight="1" x14ac:dyDescent="0.7">
      <c r="A455" s="85">
        <v>464</v>
      </c>
      <c r="B455" s="86">
        <v>3152280</v>
      </c>
      <c r="C455" s="87" t="s">
        <v>2872</v>
      </c>
      <c r="D455" s="87"/>
      <c r="E455" s="87" t="s">
        <v>1932</v>
      </c>
      <c r="F455" s="87" t="s">
        <v>1933</v>
      </c>
      <c r="G455" s="87" t="s">
        <v>1934</v>
      </c>
      <c r="H455" s="87"/>
      <c r="I455" s="87"/>
      <c r="J455" s="89">
        <v>45987</v>
      </c>
      <c r="K455" s="87"/>
      <c r="L455" s="87" t="s">
        <v>1942</v>
      </c>
      <c r="M455" s="87" t="s">
        <v>654</v>
      </c>
      <c r="N455" s="90" t="s">
        <v>2873</v>
      </c>
      <c r="O455" s="91" t="s">
        <v>2045</v>
      </c>
      <c r="P455" s="91" t="s">
        <v>1939</v>
      </c>
      <c r="Q455" s="92">
        <v>2025</v>
      </c>
      <c r="R455" s="88" t="s">
        <v>1942</v>
      </c>
      <c r="S455" s="87" t="s">
        <v>1942</v>
      </c>
      <c r="T455" s="88" t="s">
        <v>1942</v>
      </c>
    </row>
    <row r="456" spans="1:20" ht="18" customHeight="1" x14ac:dyDescent="0.7">
      <c r="A456" s="85">
        <v>465</v>
      </c>
      <c r="B456" s="86">
        <v>3147934</v>
      </c>
      <c r="C456" s="87" t="s">
        <v>2874</v>
      </c>
      <c r="D456" s="87"/>
      <c r="E456" s="87" t="s">
        <v>1932</v>
      </c>
      <c r="F456" s="87" t="s">
        <v>1933</v>
      </c>
      <c r="G456" s="87" t="s">
        <v>1934</v>
      </c>
      <c r="H456" s="87"/>
      <c r="I456" s="87"/>
      <c r="J456" s="89">
        <v>45950</v>
      </c>
      <c r="K456" s="87"/>
      <c r="L456" s="87" t="s">
        <v>1942</v>
      </c>
      <c r="M456" s="87" t="s">
        <v>654</v>
      </c>
      <c r="N456" s="90" t="s">
        <v>2715</v>
      </c>
      <c r="O456" s="91" t="s">
        <v>2097</v>
      </c>
      <c r="P456" s="91" t="s">
        <v>2069</v>
      </c>
      <c r="Q456" s="92">
        <v>2025</v>
      </c>
      <c r="R456" s="88" t="s">
        <v>1942</v>
      </c>
      <c r="S456" s="87" t="s">
        <v>1942</v>
      </c>
      <c r="T456" s="88" t="s">
        <v>1942</v>
      </c>
    </row>
    <row r="457" spans="1:20" ht="18" customHeight="1" x14ac:dyDescent="0.7">
      <c r="A457" s="85">
        <v>466</v>
      </c>
      <c r="B457" s="86">
        <v>3145927</v>
      </c>
      <c r="C457" s="87" t="s">
        <v>2875</v>
      </c>
      <c r="D457" s="87"/>
      <c r="E457" s="87" t="s">
        <v>1932</v>
      </c>
      <c r="F457" s="87" t="s">
        <v>1933</v>
      </c>
      <c r="G457" s="87" t="s">
        <v>1934</v>
      </c>
      <c r="H457" s="87"/>
      <c r="I457" s="87"/>
      <c r="J457" s="89">
        <v>45932</v>
      </c>
      <c r="K457" s="87"/>
      <c r="L457" s="87" t="s">
        <v>1942</v>
      </c>
      <c r="M457" s="87" t="s">
        <v>654</v>
      </c>
      <c r="N457" s="90" t="s">
        <v>2876</v>
      </c>
      <c r="O457" s="91" t="s">
        <v>2181</v>
      </c>
      <c r="P457" s="91" t="s">
        <v>2034</v>
      </c>
      <c r="Q457" s="92">
        <v>2025</v>
      </c>
      <c r="R457" s="88" t="s">
        <v>1942</v>
      </c>
      <c r="S457" s="87" t="s">
        <v>1942</v>
      </c>
      <c r="T457" s="88" t="s">
        <v>1942</v>
      </c>
    </row>
    <row r="458" spans="1:20" ht="18" customHeight="1" x14ac:dyDescent="0.7">
      <c r="A458" s="85">
        <v>467</v>
      </c>
      <c r="B458" s="86">
        <v>3141881</v>
      </c>
      <c r="C458" s="87" t="s">
        <v>2795</v>
      </c>
      <c r="D458" s="87"/>
      <c r="E458" s="87" t="s">
        <v>1932</v>
      </c>
      <c r="F458" s="87" t="s">
        <v>1933</v>
      </c>
      <c r="G458" s="87" t="s">
        <v>1934</v>
      </c>
      <c r="H458" s="87"/>
      <c r="I458" s="87"/>
      <c r="J458" s="89">
        <v>45894</v>
      </c>
      <c r="K458" s="87"/>
      <c r="L458" s="87" t="s">
        <v>1942</v>
      </c>
      <c r="M458" s="87" t="s">
        <v>654</v>
      </c>
      <c r="N458" s="90" t="s">
        <v>2613</v>
      </c>
      <c r="O458" s="91" t="s">
        <v>2201</v>
      </c>
      <c r="P458" s="91" t="s">
        <v>1948</v>
      </c>
      <c r="Q458" s="92">
        <v>2025</v>
      </c>
      <c r="R458" s="88" t="s">
        <v>1942</v>
      </c>
      <c r="S458" s="87" t="s">
        <v>1942</v>
      </c>
      <c r="T458" s="88" t="s">
        <v>1942</v>
      </c>
    </row>
    <row r="459" spans="1:20" ht="18" customHeight="1" x14ac:dyDescent="0.7">
      <c r="A459" s="85">
        <v>468</v>
      </c>
      <c r="B459" s="86">
        <v>3140781</v>
      </c>
      <c r="C459" s="87" t="s">
        <v>2877</v>
      </c>
      <c r="D459" s="87"/>
      <c r="E459" s="87" t="s">
        <v>1932</v>
      </c>
      <c r="F459" s="87" t="s">
        <v>1933</v>
      </c>
      <c r="G459" s="87" t="s">
        <v>1934</v>
      </c>
      <c r="H459" s="87"/>
      <c r="I459" s="87"/>
      <c r="J459" s="89">
        <v>45882</v>
      </c>
      <c r="K459" s="87"/>
      <c r="L459" s="87" t="s">
        <v>1942</v>
      </c>
      <c r="M459" s="87" t="s">
        <v>654</v>
      </c>
      <c r="N459" s="90" t="s">
        <v>2608</v>
      </c>
      <c r="O459" s="91" t="s">
        <v>2201</v>
      </c>
      <c r="P459" s="91" t="s">
        <v>1953</v>
      </c>
      <c r="Q459" s="92">
        <v>2025</v>
      </c>
      <c r="R459" s="88" t="s">
        <v>1942</v>
      </c>
      <c r="S459" s="87" t="s">
        <v>1942</v>
      </c>
      <c r="T459" s="88" t="s">
        <v>1942</v>
      </c>
    </row>
    <row r="460" spans="1:20" ht="18" customHeight="1" x14ac:dyDescent="0.7">
      <c r="A460" s="85">
        <v>469</v>
      </c>
      <c r="B460" s="86">
        <v>3132081</v>
      </c>
      <c r="C460" s="87" t="s">
        <v>2878</v>
      </c>
      <c r="D460" s="87"/>
      <c r="E460" s="87" t="s">
        <v>1932</v>
      </c>
      <c r="F460" s="87" t="s">
        <v>1933</v>
      </c>
      <c r="G460" s="87" t="s">
        <v>1934</v>
      </c>
      <c r="H460" s="87"/>
      <c r="I460" s="87"/>
      <c r="J460" s="89">
        <v>45789</v>
      </c>
      <c r="K460" s="87"/>
      <c r="L460" s="87" t="s">
        <v>1942</v>
      </c>
      <c r="M460" s="87" t="s">
        <v>654</v>
      </c>
      <c r="N460" s="90" t="s">
        <v>2879</v>
      </c>
      <c r="O460" s="91" t="s">
        <v>2092</v>
      </c>
      <c r="P460" s="91" t="s">
        <v>2127</v>
      </c>
      <c r="Q460" s="92">
        <v>2025</v>
      </c>
      <c r="R460" s="88" t="s">
        <v>1942</v>
      </c>
      <c r="S460" s="87" t="s">
        <v>1942</v>
      </c>
      <c r="T460" s="88" t="s">
        <v>1942</v>
      </c>
    </row>
    <row r="461" spans="1:20" ht="18" customHeight="1" x14ac:dyDescent="0.7">
      <c r="A461" s="85">
        <v>470</v>
      </c>
      <c r="B461" s="86">
        <v>3130978</v>
      </c>
      <c r="C461" s="87" t="s">
        <v>2150</v>
      </c>
      <c r="D461" s="87"/>
      <c r="E461" s="87" t="s">
        <v>1932</v>
      </c>
      <c r="F461" s="87" t="s">
        <v>1933</v>
      </c>
      <c r="G461" s="87" t="s">
        <v>1934</v>
      </c>
      <c r="H461" s="87"/>
      <c r="I461" s="87"/>
      <c r="J461" s="89">
        <v>45773</v>
      </c>
      <c r="K461" s="87"/>
      <c r="L461" s="87" t="s">
        <v>1942</v>
      </c>
      <c r="M461" s="87" t="s">
        <v>2145</v>
      </c>
      <c r="N461" s="90" t="s">
        <v>2152</v>
      </c>
      <c r="O461" s="91" t="s">
        <v>2147</v>
      </c>
      <c r="P461" s="91" t="s">
        <v>2153</v>
      </c>
      <c r="Q461" s="92">
        <v>2025</v>
      </c>
      <c r="R461" s="88" t="s">
        <v>1942</v>
      </c>
      <c r="S461" s="87" t="s">
        <v>1942</v>
      </c>
      <c r="T461" s="88" t="s">
        <v>1942</v>
      </c>
    </row>
    <row r="462" spans="1:20" ht="18" customHeight="1" x14ac:dyDescent="0.7">
      <c r="A462" s="85">
        <v>471</v>
      </c>
      <c r="B462" s="86">
        <v>3127288</v>
      </c>
      <c r="C462" s="87" t="s">
        <v>2880</v>
      </c>
      <c r="D462" s="87"/>
      <c r="E462" s="87" t="s">
        <v>1932</v>
      </c>
      <c r="F462" s="87" t="s">
        <v>1933</v>
      </c>
      <c r="G462" s="87" t="s">
        <v>1934</v>
      </c>
      <c r="H462" s="87"/>
      <c r="I462" s="87"/>
      <c r="J462" s="89">
        <v>45730</v>
      </c>
      <c r="K462" s="87"/>
      <c r="L462" s="87" t="s">
        <v>1942</v>
      </c>
      <c r="M462" s="87" t="s">
        <v>2145</v>
      </c>
      <c r="N462" s="90" t="s">
        <v>2881</v>
      </c>
      <c r="O462" s="91" t="s">
        <v>2166</v>
      </c>
      <c r="P462" s="91" t="s">
        <v>2196</v>
      </c>
      <c r="Q462" s="92">
        <v>2025</v>
      </c>
      <c r="R462" s="88" t="s">
        <v>1942</v>
      </c>
      <c r="S462" s="87" t="s">
        <v>1942</v>
      </c>
      <c r="T462" s="88" t="s">
        <v>1942</v>
      </c>
    </row>
    <row r="463" spans="1:20" ht="18" customHeight="1" x14ac:dyDescent="0.7">
      <c r="A463" s="85">
        <v>473</v>
      </c>
      <c r="B463" s="86">
        <v>3011748</v>
      </c>
      <c r="C463" s="87" t="s">
        <v>2882</v>
      </c>
      <c r="D463" s="87"/>
      <c r="E463" s="87" t="s">
        <v>1932</v>
      </c>
      <c r="F463" s="87" t="s">
        <v>1933</v>
      </c>
      <c r="G463" s="87" t="s">
        <v>1934</v>
      </c>
      <c r="H463" s="87"/>
      <c r="I463" s="87"/>
      <c r="J463" s="89">
        <v>44485</v>
      </c>
      <c r="K463" s="87"/>
      <c r="L463" s="87" t="s">
        <v>1942</v>
      </c>
      <c r="M463" s="87" t="s">
        <v>2464</v>
      </c>
      <c r="N463" s="90" t="s">
        <v>2883</v>
      </c>
      <c r="O463" s="91" t="s">
        <v>2485</v>
      </c>
      <c r="P463" s="91" t="s">
        <v>2884</v>
      </c>
      <c r="Q463" s="92">
        <v>2021</v>
      </c>
      <c r="R463" s="88" t="s">
        <v>1942</v>
      </c>
      <c r="S463" s="87" t="s">
        <v>1942</v>
      </c>
      <c r="T463" s="88" t="s">
        <v>1942</v>
      </c>
    </row>
    <row r="464" spans="1:20" ht="18" customHeight="1" x14ac:dyDescent="0.7">
      <c r="A464" s="85">
        <v>474</v>
      </c>
      <c r="B464" s="86">
        <v>3165448</v>
      </c>
      <c r="C464" s="87" t="s">
        <v>2885</v>
      </c>
      <c r="D464" s="88">
        <v>857500175</v>
      </c>
      <c r="E464" s="87" t="s">
        <v>2442</v>
      </c>
      <c r="F464" s="87" t="s">
        <v>1933</v>
      </c>
      <c r="G464" s="87" t="s">
        <v>1934</v>
      </c>
      <c r="H464" s="87"/>
      <c r="I464" s="87"/>
      <c r="J464" s="89">
        <v>46118</v>
      </c>
      <c r="K464" s="87"/>
      <c r="L464" s="87" t="s">
        <v>1942</v>
      </c>
      <c r="M464" s="87" t="s">
        <v>654</v>
      </c>
      <c r="N464" s="90" t="s">
        <v>1982</v>
      </c>
      <c r="O464" s="91" t="s">
        <v>1947</v>
      </c>
      <c r="P464" s="91" t="s">
        <v>2781</v>
      </c>
      <c r="Q464" s="92">
        <v>2026</v>
      </c>
      <c r="R464" s="88" t="s">
        <v>1942</v>
      </c>
      <c r="S464" s="87" t="s">
        <v>1942</v>
      </c>
      <c r="T464" s="88" t="s">
        <v>1942</v>
      </c>
    </row>
    <row r="465" spans="1:20" ht="18" customHeight="1" x14ac:dyDescent="0.7">
      <c r="A465" s="85">
        <v>475</v>
      </c>
      <c r="B465" s="86">
        <v>3167062</v>
      </c>
      <c r="C465" s="87" t="s">
        <v>2886</v>
      </c>
      <c r="D465" s="88">
        <v>934028722</v>
      </c>
      <c r="E465" s="87" t="s">
        <v>1932</v>
      </c>
      <c r="F465" s="87" t="s">
        <v>1933</v>
      </c>
      <c r="G465" s="87" t="s">
        <v>1934</v>
      </c>
      <c r="H465" s="87"/>
      <c r="I465" s="87"/>
      <c r="J465" s="89">
        <v>46129</v>
      </c>
      <c r="K465" s="87"/>
      <c r="L465" s="87" t="s">
        <v>1942</v>
      </c>
      <c r="M465" s="87" t="s">
        <v>654</v>
      </c>
      <c r="N465" s="90" t="s">
        <v>2887</v>
      </c>
      <c r="O465" s="91" t="s">
        <v>1952</v>
      </c>
      <c r="P465" s="91" t="s">
        <v>2888</v>
      </c>
      <c r="Q465" s="92">
        <v>2026</v>
      </c>
      <c r="R465" s="88" t="s">
        <v>1942</v>
      </c>
      <c r="S465" s="87" t="s">
        <v>1942</v>
      </c>
      <c r="T465" s="88" t="s">
        <v>1942</v>
      </c>
    </row>
    <row r="466" spans="1:20" ht="18" customHeight="1" x14ac:dyDescent="0.7">
      <c r="A466" s="85">
        <v>477</v>
      </c>
      <c r="B466" s="86">
        <v>3167072</v>
      </c>
      <c r="C466" s="87" t="s">
        <v>2889</v>
      </c>
      <c r="D466" s="88">
        <v>904980321</v>
      </c>
      <c r="E466" s="87" t="s">
        <v>1932</v>
      </c>
      <c r="F466" s="87" t="s">
        <v>1933</v>
      </c>
      <c r="G466" s="87" t="s">
        <v>1934</v>
      </c>
      <c r="H466" s="87"/>
      <c r="I466" s="87"/>
      <c r="J466" s="89">
        <v>46129</v>
      </c>
      <c r="K466" s="87"/>
      <c r="L466" s="87" t="s">
        <v>1942</v>
      </c>
      <c r="M466" s="87" t="s">
        <v>654</v>
      </c>
      <c r="N466" s="90" t="s">
        <v>2887</v>
      </c>
      <c r="O466" s="91" t="s">
        <v>1952</v>
      </c>
      <c r="P466" s="91" t="s">
        <v>2888</v>
      </c>
      <c r="Q466" s="92">
        <v>2026</v>
      </c>
      <c r="R466" s="88" t="s">
        <v>1942</v>
      </c>
      <c r="S466" s="87" t="s">
        <v>1942</v>
      </c>
      <c r="T466" s="88" t="s">
        <v>1942</v>
      </c>
    </row>
    <row r="467" spans="1:20" ht="18" customHeight="1" x14ac:dyDescent="0.7">
      <c r="A467" s="85">
        <v>478</v>
      </c>
      <c r="B467" s="87"/>
      <c r="C467" s="87"/>
      <c r="D467" s="87"/>
      <c r="E467" s="87"/>
      <c r="F467" s="87"/>
      <c r="G467" s="87"/>
      <c r="H467" s="87"/>
      <c r="I467" s="87"/>
      <c r="J467" s="87"/>
      <c r="K467" s="87"/>
      <c r="L467" s="87"/>
      <c r="M467" s="87"/>
      <c r="N467" s="87"/>
      <c r="O467" s="87"/>
      <c r="P467" s="87"/>
      <c r="Q467" s="87"/>
      <c r="R467" s="87"/>
      <c r="S467" s="87"/>
      <c r="T467" s="87"/>
    </row>
    <row r="468" spans="1:20" ht="18" customHeight="1" x14ac:dyDescent="0.7">
      <c r="A468" s="85">
        <v>479</v>
      </c>
      <c r="B468" s="87"/>
      <c r="C468" s="87"/>
      <c r="D468" s="87"/>
      <c r="E468" s="87"/>
      <c r="F468" s="87"/>
      <c r="G468" s="87"/>
      <c r="H468" s="87"/>
      <c r="I468" s="87"/>
      <c r="J468" s="87"/>
      <c r="K468" s="87"/>
      <c r="L468" s="87"/>
      <c r="M468" s="87"/>
      <c r="N468" s="87"/>
      <c r="O468" s="87"/>
      <c r="P468" s="87"/>
      <c r="Q468" s="87"/>
      <c r="R468" s="87"/>
      <c r="S468" s="87"/>
      <c r="T468" s="87"/>
    </row>
    <row r="469" spans="1:20" ht="18" customHeight="1" x14ac:dyDescent="0.7">
      <c r="A469" s="85">
        <v>480</v>
      </c>
      <c r="B469" s="87"/>
      <c r="C469" s="87"/>
      <c r="D469" s="87"/>
      <c r="E469" s="87"/>
      <c r="F469" s="87"/>
      <c r="G469" s="87"/>
      <c r="H469" s="87"/>
      <c r="I469" s="87"/>
      <c r="J469" s="87"/>
      <c r="K469" s="87"/>
      <c r="L469" s="87"/>
      <c r="M469" s="87"/>
      <c r="N469" s="87"/>
      <c r="O469" s="87"/>
      <c r="P469" s="87"/>
      <c r="Q469" s="87"/>
      <c r="R469" s="87"/>
      <c r="S469" s="87"/>
      <c r="T469" s="87"/>
    </row>
    <row r="470" spans="1:20" ht="18" customHeight="1" x14ac:dyDescent="0.7">
      <c r="A470" s="85">
        <v>481</v>
      </c>
      <c r="B470" s="87"/>
      <c r="C470" s="87"/>
      <c r="D470" s="87"/>
      <c r="E470" s="87"/>
      <c r="F470" s="87"/>
      <c r="G470" s="87"/>
      <c r="H470" s="87"/>
      <c r="I470" s="87"/>
      <c r="J470" s="87"/>
      <c r="K470" s="87"/>
      <c r="L470" s="87"/>
      <c r="M470" s="87"/>
      <c r="N470" s="87"/>
      <c r="O470" s="87"/>
      <c r="P470" s="87"/>
      <c r="Q470" s="87"/>
      <c r="R470" s="87"/>
      <c r="S470" s="87"/>
      <c r="T470" s="87"/>
    </row>
    <row r="471" spans="1:20" ht="18" customHeight="1" x14ac:dyDescent="0.7">
      <c r="A471" s="85">
        <v>482</v>
      </c>
      <c r="B471" s="87"/>
      <c r="C471" s="87"/>
      <c r="D471" s="87"/>
      <c r="E471" s="87"/>
      <c r="F471" s="87"/>
      <c r="G471" s="87"/>
      <c r="H471" s="87"/>
      <c r="I471" s="87"/>
      <c r="J471" s="87"/>
      <c r="K471" s="87"/>
      <c r="L471" s="87"/>
      <c r="M471" s="87"/>
      <c r="N471" s="87"/>
      <c r="O471" s="87"/>
      <c r="P471" s="87"/>
      <c r="Q471" s="87"/>
      <c r="R471" s="87"/>
      <c r="S471" s="87"/>
      <c r="T471" s="87"/>
    </row>
    <row r="472" spans="1:20" ht="18" customHeight="1" x14ac:dyDescent="0.7">
      <c r="A472" s="85">
        <v>483</v>
      </c>
      <c r="B472" s="87"/>
      <c r="C472" s="87"/>
      <c r="D472" s="87"/>
      <c r="E472" s="87"/>
      <c r="F472" s="87"/>
      <c r="G472" s="87"/>
      <c r="H472" s="87"/>
      <c r="I472" s="87"/>
      <c r="J472" s="87"/>
      <c r="K472" s="87"/>
      <c r="L472" s="87"/>
      <c r="M472" s="87"/>
      <c r="N472" s="87"/>
      <c r="O472" s="87"/>
      <c r="P472" s="87"/>
      <c r="Q472" s="87"/>
      <c r="R472" s="87"/>
      <c r="S472" s="87"/>
      <c r="T472" s="87"/>
    </row>
    <row r="473" spans="1:20" ht="18" customHeight="1" x14ac:dyDescent="0.7">
      <c r="A473" s="85">
        <v>484</v>
      </c>
      <c r="B473" s="87"/>
      <c r="C473" s="87"/>
      <c r="D473" s="87"/>
      <c r="E473" s="87"/>
      <c r="F473" s="87"/>
      <c r="G473" s="87"/>
      <c r="H473" s="87"/>
      <c r="I473" s="87"/>
      <c r="J473" s="87"/>
      <c r="K473" s="87"/>
      <c r="L473" s="87"/>
      <c r="M473" s="87"/>
      <c r="N473" s="87"/>
      <c r="O473" s="87"/>
      <c r="P473" s="87"/>
      <c r="Q473" s="87"/>
      <c r="R473" s="87"/>
      <c r="S473" s="87"/>
      <c r="T473" s="87"/>
    </row>
    <row r="474" spans="1:20" ht="18" customHeight="1" x14ac:dyDescent="0.7">
      <c r="A474" s="85">
        <v>485</v>
      </c>
      <c r="B474" s="87"/>
      <c r="C474" s="87"/>
      <c r="D474" s="87"/>
      <c r="E474" s="87"/>
      <c r="F474" s="87"/>
      <c r="G474" s="87"/>
      <c r="H474" s="87"/>
      <c r="I474" s="87"/>
      <c r="J474" s="87"/>
      <c r="K474" s="87"/>
      <c r="L474" s="87"/>
      <c r="M474" s="87"/>
      <c r="N474" s="87"/>
      <c r="O474" s="87"/>
      <c r="P474" s="87"/>
      <c r="Q474" s="87"/>
      <c r="R474" s="87"/>
      <c r="S474" s="87"/>
      <c r="T474" s="87"/>
    </row>
    <row r="475" spans="1:20" ht="18" customHeight="1" x14ac:dyDescent="0.7">
      <c r="A475" s="85">
        <v>486</v>
      </c>
      <c r="B475" s="87"/>
      <c r="C475" s="87"/>
      <c r="D475" s="87"/>
      <c r="E475" s="87"/>
      <c r="F475" s="87"/>
      <c r="G475" s="87"/>
      <c r="H475" s="87"/>
      <c r="I475" s="87"/>
      <c r="J475" s="87"/>
      <c r="K475" s="87"/>
      <c r="L475" s="87"/>
      <c r="M475" s="87"/>
      <c r="N475" s="87"/>
      <c r="O475" s="87"/>
      <c r="P475" s="87"/>
      <c r="Q475" s="87"/>
      <c r="R475" s="87"/>
      <c r="S475" s="87"/>
      <c r="T475" s="87"/>
    </row>
    <row r="476" spans="1:20" ht="18" customHeight="1" x14ac:dyDescent="0.7">
      <c r="A476" s="85">
        <v>487</v>
      </c>
      <c r="B476" s="87"/>
      <c r="C476" s="87"/>
      <c r="D476" s="87"/>
      <c r="E476" s="87"/>
      <c r="F476" s="87"/>
      <c r="G476" s="87"/>
      <c r="H476" s="87"/>
      <c r="I476" s="87"/>
      <c r="J476" s="87"/>
      <c r="K476" s="87"/>
      <c r="L476" s="87"/>
      <c r="M476" s="87"/>
      <c r="N476" s="87"/>
      <c r="O476" s="87"/>
      <c r="P476" s="87"/>
      <c r="Q476" s="87"/>
      <c r="R476" s="87"/>
      <c r="S476" s="87"/>
      <c r="T476" s="87"/>
    </row>
    <row r="477" spans="1:20" ht="18" customHeight="1" x14ac:dyDescent="0.7">
      <c r="A477" s="85">
        <v>488</v>
      </c>
      <c r="B477" s="87"/>
      <c r="C477" s="87"/>
      <c r="D477" s="87"/>
      <c r="E477" s="87"/>
      <c r="F477" s="87"/>
      <c r="G477" s="87"/>
      <c r="H477" s="87"/>
      <c r="I477" s="87"/>
      <c r="J477" s="87"/>
      <c r="K477" s="87"/>
      <c r="L477" s="87"/>
      <c r="M477" s="87"/>
      <c r="N477" s="87"/>
      <c r="O477" s="87"/>
      <c r="P477" s="87"/>
      <c r="Q477" s="87"/>
      <c r="R477" s="87"/>
      <c r="S477" s="87"/>
      <c r="T477" s="87"/>
    </row>
    <row r="478" spans="1:20" ht="18" customHeight="1" x14ac:dyDescent="0.7">
      <c r="A478" s="85">
        <v>489</v>
      </c>
      <c r="B478" s="87"/>
      <c r="C478" s="87"/>
      <c r="D478" s="87"/>
      <c r="E478" s="87"/>
      <c r="F478" s="87"/>
      <c r="G478" s="87"/>
      <c r="H478" s="87"/>
      <c r="I478" s="87"/>
      <c r="J478" s="87"/>
      <c r="K478" s="87"/>
      <c r="L478" s="87"/>
      <c r="M478" s="87"/>
      <c r="N478" s="87"/>
      <c r="O478" s="87"/>
      <c r="P478" s="87"/>
      <c r="Q478" s="87"/>
      <c r="R478" s="87"/>
      <c r="S478" s="87"/>
      <c r="T478" s="87"/>
    </row>
    <row r="479" spans="1:20" ht="18" customHeight="1" x14ac:dyDescent="0.7">
      <c r="A479" s="85">
        <v>490</v>
      </c>
      <c r="B479" s="87"/>
      <c r="C479" s="87"/>
      <c r="D479" s="87"/>
      <c r="E479" s="87"/>
      <c r="F479" s="87"/>
      <c r="G479" s="87"/>
      <c r="H479" s="87"/>
      <c r="I479" s="87"/>
      <c r="J479" s="87"/>
      <c r="K479" s="87"/>
      <c r="L479" s="87"/>
      <c r="M479" s="87"/>
      <c r="N479" s="87"/>
      <c r="O479" s="87"/>
      <c r="P479" s="87"/>
      <c r="Q479" s="87"/>
      <c r="R479" s="87"/>
      <c r="S479" s="87"/>
      <c r="T479" s="87"/>
    </row>
    <row r="480" spans="1:20" ht="18" customHeight="1" x14ac:dyDescent="0.7">
      <c r="A480" s="85">
        <v>491</v>
      </c>
      <c r="B480" s="87"/>
      <c r="C480" s="87"/>
      <c r="D480" s="87"/>
      <c r="E480" s="87"/>
      <c r="F480" s="87"/>
      <c r="G480" s="87"/>
      <c r="H480" s="87"/>
      <c r="I480" s="87"/>
      <c r="J480" s="87"/>
      <c r="K480" s="87"/>
      <c r="L480" s="87"/>
      <c r="M480" s="87"/>
      <c r="N480" s="87"/>
      <c r="O480" s="87"/>
      <c r="P480" s="87"/>
      <c r="Q480" s="87"/>
      <c r="R480" s="87"/>
      <c r="S480" s="87"/>
      <c r="T480" s="87"/>
    </row>
    <row r="481" spans="1:20" ht="18" customHeight="1" x14ac:dyDescent="0.7">
      <c r="A481" s="85">
        <v>492</v>
      </c>
      <c r="B481" s="87"/>
      <c r="C481" s="87"/>
      <c r="D481" s="87"/>
      <c r="E481" s="87"/>
      <c r="F481" s="87"/>
      <c r="G481" s="87"/>
      <c r="H481" s="87"/>
      <c r="I481" s="87"/>
      <c r="J481" s="87"/>
      <c r="K481" s="87"/>
      <c r="L481" s="87"/>
      <c r="M481" s="87"/>
      <c r="N481" s="87"/>
      <c r="O481" s="87"/>
      <c r="P481" s="87"/>
      <c r="Q481" s="87"/>
      <c r="R481" s="87"/>
      <c r="S481" s="87"/>
      <c r="T481" s="87"/>
    </row>
    <row r="482" spans="1:20" ht="18" customHeight="1" x14ac:dyDescent="0.7">
      <c r="A482" s="85">
        <v>493</v>
      </c>
      <c r="B482" s="87"/>
      <c r="C482" s="87"/>
      <c r="D482" s="87"/>
      <c r="E482" s="87"/>
      <c r="F482" s="87"/>
      <c r="G482" s="87"/>
      <c r="H482" s="87"/>
      <c r="I482" s="87"/>
      <c r="J482" s="87"/>
      <c r="K482" s="87"/>
      <c r="L482" s="87"/>
      <c r="M482" s="87"/>
      <c r="N482" s="87"/>
      <c r="O482" s="87"/>
      <c r="P482" s="87"/>
      <c r="Q482" s="87"/>
      <c r="R482" s="87"/>
      <c r="S482" s="87"/>
      <c r="T482" s="87"/>
    </row>
    <row r="483" spans="1:20" ht="18" customHeight="1" x14ac:dyDescent="0.7">
      <c r="A483" s="85">
        <v>494</v>
      </c>
      <c r="B483" s="87"/>
      <c r="C483" s="87"/>
      <c r="D483" s="87"/>
      <c r="E483" s="87"/>
      <c r="F483" s="87"/>
      <c r="G483" s="87"/>
      <c r="H483" s="87"/>
      <c r="I483" s="87"/>
      <c r="J483" s="87"/>
      <c r="K483" s="87"/>
      <c r="L483" s="87"/>
      <c r="M483" s="87"/>
      <c r="N483" s="87"/>
      <c r="O483" s="87"/>
      <c r="P483" s="87"/>
      <c r="Q483" s="87"/>
      <c r="R483" s="87"/>
      <c r="S483" s="87"/>
      <c r="T483" s="87"/>
    </row>
    <row r="484" spans="1:20" ht="18" customHeight="1" x14ac:dyDescent="0.7">
      <c r="A484" s="85">
        <v>495</v>
      </c>
      <c r="B484" s="87"/>
      <c r="C484" s="87"/>
      <c r="D484" s="87"/>
      <c r="E484" s="87"/>
      <c r="F484" s="87"/>
      <c r="G484" s="87"/>
      <c r="H484" s="87"/>
      <c r="I484" s="87"/>
      <c r="J484" s="87"/>
      <c r="K484" s="87"/>
      <c r="L484" s="87"/>
      <c r="M484" s="87"/>
      <c r="N484" s="87"/>
      <c r="O484" s="87"/>
      <c r="P484" s="87"/>
      <c r="Q484" s="87"/>
      <c r="R484" s="87"/>
      <c r="S484" s="87"/>
      <c r="T484" s="87"/>
    </row>
    <row r="485" spans="1:20" ht="18" customHeight="1" x14ac:dyDescent="0.7">
      <c r="A485" s="85">
        <v>496</v>
      </c>
      <c r="B485" s="87"/>
      <c r="C485" s="87"/>
      <c r="D485" s="87"/>
      <c r="E485" s="87"/>
      <c r="F485" s="87"/>
      <c r="G485" s="87"/>
      <c r="H485" s="87"/>
      <c r="I485" s="87"/>
      <c r="J485" s="87"/>
      <c r="K485" s="87"/>
      <c r="L485" s="87"/>
      <c r="M485" s="87"/>
      <c r="N485" s="87"/>
      <c r="O485" s="87"/>
      <c r="P485" s="87"/>
      <c r="Q485" s="87"/>
      <c r="R485" s="87"/>
      <c r="S485" s="87"/>
      <c r="T485" s="87"/>
    </row>
    <row r="486" spans="1:20" ht="18" customHeight="1" x14ac:dyDescent="0.7">
      <c r="A486" s="85">
        <v>497</v>
      </c>
      <c r="B486" s="87"/>
      <c r="C486" s="87"/>
      <c r="D486" s="87"/>
      <c r="E486" s="87"/>
      <c r="F486" s="87"/>
      <c r="G486" s="87"/>
      <c r="H486" s="87"/>
      <c r="I486" s="87"/>
      <c r="J486" s="87"/>
      <c r="K486" s="87"/>
      <c r="L486" s="87"/>
      <c r="M486" s="87"/>
      <c r="N486" s="87"/>
      <c r="O486" s="87"/>
      <c r="P486" s="87"/>
      <c r="Q486" s="87"/>
      <c r="R486" s="87"/>
      <c r="S486" s="87"/>
      <c r="T486" s="87"/>
    </row>
    <row r="487" spans="1:20" ht="18" customHeight="1" x14ac:dyDescent="0.7">
      <c r="A487" s="85">
        <v>498</v>
      </c>
      <c r="B487" s="87"/>
      <c r="C487" s="87"/>
      <c r="D487" s="87"/>
      <c r="E487" s="87"/>
      <c r="F487" s="87"/>
      <c r="G487" s="87"/>
      <c r="H487" s="87"/>
      <c r="I487" s="87"/>
      <c r="J487" s="87"/>
      <c r="K487" s="87"/>
      <c r="L487" s="87"/>
      <c r="M487" s="87"/>
      <c r="N487" s="87"/>
      <c r="O487" s="87"/>
      <c r="P487" s="87"/>
      <c r="Q487" s="87"/>
      <c r="R487" s="87"/>
      <c r="S487" s="87"/>
      <c r="T487" s="87"/>
    </row>
    <row r="488" spans="1:20" ht="18" customHeight="1" x14ac:dyDescent="0.7">
      <c r="A488" s="85">
        <v>499</v>
      </c>
      <c r="B488" s="87"/>
      <c r="C488" s="87"/>
      <c r="D488" s="87"/>
      <c r="E488" s="87"/>
      <c r="F488" s="87"/>
      <c r="G488" s="87"/>
      <c r="H488" s="87"/>
      <c r="I488" s="87"/>
      <c r="J488" s="87"/>
      <c r="K488" s="87"/>
      <c r="L488" s="87"/>
      <c r="M488" s="87"/>
      <c r="N488" s="87"/>
      <c r="O488" s="87"/>
      <c r="P488" s="87"/>
      <c r="Q488" s="87"/>
      <c r="R488" s="87"/>
      <c r="S488" s="87"/>
      <c r="T488" s="8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B531C-BCE5-4696-983D-AF60475662C0}">
  <dimension ref="A1:X805"/>
  <sheetViews>
    <sheetView workbookViewId="0">
      <selection activeCell="A99" sqref="A99"/>
    </sheetView>
  </sheetViews>
  <sheetFormatPr defaultRowHeight="16" customHeight="1" x14ac:dyDescent="0.6"/>
  <cols>
    <col min="1" max="1" width="11.6328125" customWidth="1"/>
    <col min="2" max="2" width="10.54296875" bestFit="1" customWidth="1"/>
    <col min="3" max="3" width="65.2265625" bestFit="1" customWidth="1"/>
    <col min="4" max="4" width="34.26953125" customWidth="1"/>
    <col min="5" max="5" width="17.04296875" bestFit="1" customWidth="1"/>
    <col min="6" max="6" width="8.6796875" bestFit="1" customWidth="1"/>
    <col min="7" max="7" width="54.1328125" bestFit="1" customWidth="1"/>
    <col min="8" max="8" width="11.2265625" bestFit="1" customWidth="1"/>
    <col min="9" max="9" width="12.1796875" bestFit="1" customWidth="1"/>
    <col min="10" max="10" width="10.54296875" bestFit="1" customWidth="1"/>
    <col min="11" max="11" width="14.90625" bestFit="1" customWidth="1"/>
    <col min="12" max="12" width="255.58984375" bestFit="1" customWidth="1"/>
    <col min="13" max="13" width="48.31640625" bestFit="1" customWidth="1"/>
    <col min="14" max="14" width="8.31640625" bestFit="1" customWidth="1"/>
    <col min="15" max="15" width="7.6796875" bestFit="1" customWidth="1"/>
    <col min="16" max="16" width="37.453125" bestFit="1" customWidth="1"/>
    <col min="17" max="17" width="9.58984375" bestFit="1" customWidth="1"/>
    <col min="18" max="18" width="25.86328125" bestFit="1" customWidth="1"/>
    <col min="19" max="19" width="7.6796875" bestFit="1" customWidth="1"/>
    <col min="20" max="20" width="40.86328125" bestFit="1" customWidth="1"/>
    <col min="21" max="21" width="29.6328125" bestFit="1" customWidth="1"/>
    <col min="22" max="22" width="15.04296875" bestFit="1" customWidth="1"/>
    <col min="23" max="23" width="17.1328125" bestFit="1" customWidth="1"/>
    <col min="24" max="24" width="14.90625" bestFit="1" customWidth="1"/>
  </cols>
  <sheetData>
    <row r="1" spans="1:24" ht="16" customHeight="1" x14ac:dyDescent="0.6">
      <c r="A1" t="s">
        <v>2890</v>
      </c>
      <c r="B1" t="s">
        <v>2891</v>
      </c>
      <c r="C1" t="s">
        <v>2892</v>
      </c>
      <c r="D1" t="s">
        <v>2893</v>
      </c>
      <c r="E1" t="s">
        <v>2894</v>
      </c>
      <c r="F1" t="s">
        <v>1807</v>
      </c>
      <c r="G1" t="s">
        <v>2895</v>
      </c>
      <c r="H1" t="s">
        <v>1915</v>
      </c>
      <c r="I1" t="s">
        <v>2896</v>
      </c>
      <c r="J1" t="s">
        <v>2897</v>
      </c>
      <c r="K1" t="s">
        <v>2898</v>
      </c>
      <c r="L1" t="s">
        <v>176</v>
      </c>
      <c r="M1" t="s">
        <v>2899</v>
      </c>
      <c r="N1" t="s">
        <v>143</v>
      </c>
      <c r="O1" t="s">
        <v>2900</v>
      </c>
      <c r="P1" t="s">
        <v>2901</v>
      </c>
      <c r="Q1" t="s">
        <v>2902</v>
      </c>
      <c r="R1" t="s">
        <v>1800</v>
      </c>
      <c r="S1" t="s">
        <v>152</v>
      </c>
      <c r="T1" t="s">
        <v>2903</v>
      </c>
      <c r="U1" t="s">
        <v>141</v>
      </c>
      <c r="V1" t="s">
        <v>2904</v>
      </c>
      <c r="W1" t="s">
        <v>2905</v>
      </c>
      <c r="X1" t="s">
        <v>2906</v>
      </c>
    </row>
    <row r="2" spans="1:24" ht="16" customHeight="1" x14ac:dyDescent="0.6">
      <c r="A2" t="s">
        <v>2907</v>
      </c>
      <c r="B2" t="s">
        <v>17</v>
      </c>
      <c r="C2" t="s">
        <v>2908</v>
      </c>
      <c r="E2" t="s">
        <v>2909</v>
      </c>
      <c r="F2">
        <v>3091629</v>
      </c>
      <c r="H2">
        <v>348005556</v>
      </c>
      <c r="I2">
        <v>15</v>
      </c>
      <c r="J2" s="98">
        <v>0.3</v>
      </c>
      <c r="K2" s="79">
        <v>46112.166666666664</v>
      </c>
      <c r="M2" t="s">
        <v>2910</v>
      </c>
      <c r="N2" s="99">
        <v>46112</v>
      </c>
      <c r="O2" s="75">
        <v>0.16666666666666666</v>
      </c>
      <c r="P2" t="s">
        <v>2911</v>
      </c>
      <c r="Q2" t="s">
        <v>1356</v>
      </c>
      <c r="R2" t="s">
        <v>2912</v>
      </c>
      <c r="S2" t="s">
        <v>1868</v>
      </c>
      <c r="T2" t="s">
        <v>2913</v>
      </c>
      <c r="U2">
        <v>969227344</v>
      </c>
      <c r="X2" t="s">
        <v>2914</v>
      </c>
    </row>
    <row r="3" spans="1:24" ht="16" customHeight="1" x14ac:dyDescent="0.6">
      <c r="A3" t="s">
        <v>2915</v>
      </c>
      <c r="B3" t="s">
        <v>17</v>
      </c>
      <c r="C3" t="s">
        <v>2916</v>
      </c>
      <c r="E3" t="s">
        <v>2917</v>
      </c>
      <c r="F3">
        <v>3122639</v>
      </c>
      <c r="G3" t="s">
        <v>2918</v>
      </c>
      <c r="H3">
        <v>867140497</v>
      </c>
      <c r="I3">
        <v>150</v>
      </c>
      <c r="J3" t="s">
        <v>2919</v>
      </c>
      <c r="K3" s="79">
        <v>46111.875</v>
      </c>
      <c r="M3" t="s">
        <v>2910</v>
      </c>
      <c r="N3" s="99">
        <v>46111</v>
      </c>
      <c r="O3" s="75">
        <v>0.95833333333333337</v>
      </c>
      <c r="P3" t="s">
        <v>2920</v>
      </c>
      <c r="Q3" t="s">
        <v>1356</v>
      </c>
      <c r="R3" t="s">
        <v>2921</v>
      </c>
      <c r="S3" t="s">
        <v>1868</v>
      </c>
      <c r="T3" t="s">
        <v>2922</v>
      </c>
      <c r="X3" t="s">
        <v>2914</v>
      </c>
    </row>
    <row r="4" spans="1:24" ht="16" customHeight="1" x14ac:dyDescent="0.6">
      <c r="A4" t="s">
        <v>2923</v>
      </c>
      <c r="B4" t="s">
        <v>17</v>
      </c>
      <c r="C4" t="s">
        <v>2924</v>
      </c>
      <c r="E4" t="s">
        <v>2917</v>
      </c>
      <c r="F4">
        <v>3140984</v>
      </c>
      <c r="H4">
        <v>388910849</v>
      </c>
      <c r="I4">
        <v>30</v>
      </c>
      <c r="J4" s="98">
        <v>0.3</v>
      </c>
      <c r="K4" s="79">
        <v>46112.166666666664</v>
      </c>
      <c r="M4" t="s">
        <v>2910</v>
      </c>
      <c r="N4" s="99">
        <v>46112</v>
      </c>
      <c r="O4" s="75">
        <v>0.1875</v>
      </c>
      <c r="P4" t="s">
        <v>2925</v>
      </c>
      <c r="Q4" t="s">
        <v>1356</v>
      </c>
      <c r="R4" t="s">
        <v>2926</v>
      </c>
      <c r="S4" t="s">
        <v>1868</v>
      </c>
      <c r="T4" t="s">
        <v>2927</v>
      </c>
      <c r="U4">
        <v>896912250</v>
      </c>
      <c r="X4" t="s">
        <v>2914</v>
      </c>
    </row>
    <row r="5" spans="1:24" ht="16" customHeight="1" x14ac:dyDescent="0.6">
      <c r="A5" t="s">
        <v>2928</v>
      </c>
      <c r="B5" t="s">
        <v>17</v>
      </c>
      <c r="C5" t="s">
        <v>2929</v>
      </c>
      <c r="E5" t="s">
        <v>2930</v>
      </c>
      <c r="F5">
        <v>1874442</v>
      </c>
      <c r="H5">
        <v>349694008</v>
      </c>
      <c r="I5">
        <v>12</v>
      </c>
      <c r="J5" s="98">
        <v>0.3</v>
      </c>
      <c r="K5" s="79">
        <v>46111.916666666664</v>
      </c>
      <c r="M5" t="s">
        <v>2910</v>
      </c>
      <c r="N5" s="99">
        <v>46111</v>
      </c>
      <c r="O5" s="75">
        <v>0.97916666666666663</v>
      </c>
      <c r="P5" t="s">
        <v>2931</v>
      </c>
      <c r="Q5" t="s">
        <v>967</v>
      </c>
      <c r="R5" t="s">
        <v>2932</v>
      </c>
      <c r="S5" t="s">
        <v>1868</v>
      </c>
      <c r="T5" t="s">
        <v>2933</v>
      </c>
      <c r="X5" t="s">
        <v>2914</v>
      </c>
    </row>
    <row r="6" spans="1:24" ht="16" customHeight="1" x14ac:dyDescent="0.6">
      <c r="A6" t="s">
        <v>2934</v>
      </c>
      <c r="B6" t="s">
        <v>17</v>
      </c>
      <c r="C6" t="s">
        <v>2935</v>
      </c>
      <c r="E6" t="s">
        <v>2909</v>
      </c>
      <c r="F6">
        <v>3138621</v>
      </c>
      <c r="H6">
        <v>983362477</v>
      </c>
      <c r="I6">
        <v>50</v>
      </c>
      <c r="J6" s="98">
        <v>0.5</v>
      </c>
      <c r="K6" s="79">
        <v>46112.208333333336</v>
      </c>
      <c r="M6" t="s">
        <v>2910</v>
      </c>
      <c r="N6" s="99">
        <v>46112</v>
      </c>
      <c r="O6" s="75">
        <v>0.20833333333333334</v>
      </c>
      <c r="P6" t="s">
        <v>2936</v>
      </c>
      <c r="Q6" t="s">
        <v>967</v>
      </c>
      <c r="R6" t="s">
        <v>2937</v>
      </c>
      <c r="S6" t="s">
        <v>1868</v>
      </c>
      <c r="X6" t="s">
        <v>2914</v>
      </c>
    </row>
    <row r="7" spans="1:24" ht="16" customHeight="1" x14ac:dyDescent="0.6">
      <c r="A7" t="s">
        <v>2938</v>
      </c>
      <c r="B7" t="s">
        <v>17</v>
      </c>
      <c r="C7" t="s">
        <v>2939</v>
      </c>
      <c r="E7" t="s">
        <v>2930</v>
      </c>
      <c r="F7">
        <v>2038263</v>
      </c>
      <c r="H7">
        <v>908234624</v>
      </c>
      <c r="I7">
        <v>20</v>
      </c>
      <c r="J7" s="98">
        <v>0.3</v>
      </c>
      <c r="K7" s="79">
        <v>46112.166666666664</v>
      </c>
      <c r="M7" t="s">
        <v>2910</v>
      </c>
      <c r="N7" s="99">
        <v>46112</v>
      </c>
      <c r="O7" s="75">
        <v>0.20833333333333334</v>
      </c>
      <c r="P7" t="s">
        <v>2940</v>
      </c>
      <c r="Q7" t="s">
        <v>967</v>
      </c>
      <c r="R7" t="s">
        <v>2941</v>
      </c>
      <c r="S7" t="s">
        <v>1868</v>
      </c>
      <c r="X7" t="s">
        <v>2914</v>
      </c>
    </row>
    <row r="8" spans="1:24" ht="16" customHeight="1" x14ac:dyDescent="0.6">
      <c r="A8" t="s">
        <v>2942</v>
      </c>
      <c r="B8" t="s">
        <v>17</v>
      </c>
      <c r="C8" t="s">
        <v>2943</v>
      </c>
      <c r="E8" t="s">
        <v>2917</v>
      </c>
      <c r="F8">
        <v>1884115</v>
      </c>
      <c r="H8">
        <v>971578282</v>
      </c>
      <c r="I8">
        <v>30</v>
      </c>
      <c r="J8" s="98">
        <v>0.5</v>
      </c>
      <c r="K8" s="79">
        <v>46112.625</v>
      </c>
      <c r="M8" t="s">
        <v>2910</v>
      </c>
      <c r="N8" s="99">
        <v>46112</v>
      </c>
      <c r="O8" s="75">
        <v>0.58333333333333337</v>
      </c>
      <c r="P8" t="s">
        <v>2944</v>
      </c>
      <c r="Q8" t="s">
        <v>967</v>
      </c>
      <c r="R8" t="s">
        <v>2945</v>
      </c>
      <c r="S8" t="s">
        <v>1868</v>
      </c>
      <c r="T8" t="s">
        <v>2946</v>
      </c>
      <c r="U8">
        <v>896549992</v>
      </c>
      <c r="V8" t="s">
        <v>2947</v>
      </c>
      <c r="W8" s="75">
        <v>0.60416666666666663</v>
      </c>
      <c r="X8" t="s">
        <v>2914</v>
      </c>
    </row>
    <row r="9" spans="1:24" ht="16" customHeight="1" x14ac:dyDescent="0.6">
      <c r="A9" t="s">
        <v>2948</v>
      </c>
      <c r="B9" t="s">
        <v>17</v>
      </c>
      <c r="C9" t="s">
        <v>2949</v>
      </c>
      <c r="E9" t="s">
        <v>2930</v>
      </c>
      <c r="F9">
        <v>3020591</v>
      </c>
      <c r="H9">
        <v>988544750</v>
      </c>
      <c r="I9">
        <v>200</v>
      </c>
      <c r="J9" s="98">
        <v>1</v>
      </c>
      <c r="K9" s="79">
        <v>46112.875</v>
      </c>
      <c r="M9" t="s">
        <v>2910</v>
      </c>
      <c r="N9" s="99">
        <v>46112</v>
      </c>
      <c r="O9" s="75">
        <v>0.94791666666666663</v>
      </c>
      <c r="P9" t="s">
        <v>2950</v>
      </c>
      <c r="Q9" t="s">
        <v>1356</v>
      </c>
      <c r="R9" t="s">
        <v>2951</v>
      </c>
      <c r="S9" t="s">
        <v>1868</v>
      </c>
      <c r="T9" t="s">
        <v>2952</v>
      </c>
      <c r="V9" t="s">
        <v>2947</v>
      </c>
      <c r="X9" t="s">
        <v>2914</v>
      </c>
    </row>
    <row r="10" spans="1:24" ht="16" customHeight="1" x14ac:dyDescent="0.6">
      <c r="A10" t="s">
        <v>2953</v>
      </c>
      <c r="B10" t="s">
        <v>17</v>
      </c>
      <c r="C10" t="s">
        <v>2954</v>
      </c>
      <c r="E10" t="s">
        <v>2930</v>
      </c>
      <c r="F10">
        <v>3129272</v>
      </c>
      <c r="H10">
        <v>876177676</v>
      </c>
      <c r="I10">
        <v>80</v>
      </c>
      <c r="J10" s="98">
        <v>0.75</v>
      </c>
      <c r="K10" s="79">
        <v>46112.895833333336</v>
      </c>
      <c r="M10" t="s">
        <v>2955</v>
      </c>
      <c r="N10" s="99">
        <v>46112</v>
      </c>
      <c r="X10" t="s">
        <v>2914</v>
      </c>
    </row>
    <row r="11" spans="1:24" ht="16" customHeight="1" x14ac:dyDescent="0.6">
      <c r="A11" t="s">
        <v>2956</v>
      </c>
      <c r="B11" t="s">
        <v>17</v>
      </c>
      <c r="C11" t="s">
        <v>2957</v>
      </c>
      <c r="E11" t="s">
        <v>2909</v>
      </c>
      <c r="F11">
        <v>1802852</v>
      </c>
      <c r="H11">
        <v>974607460</v>
      </c>
      <c r="I11">
        <v>100</v>
      </c>
      <c r="J11" s="98">
        <v>1</v>
      </c>
      <c r="K11" s="79">
        <v>46112.875</v>
      </c>
      <c r="M11" t="s">
        <v>2910</v>
      </c>
      <c r="N11" s="99">
        <v>46112</v>
      </c>
      <c r="O11" s="75">
        <v>0.91666666666666663</v>
      </c>
      <c r="P11" t="s">
        <v>2958</v>
      </c>
      <c r="Q11" t="s">
        <v>967</v>
      </c>
      <c r="R11" t="s">
        <v>2959</v>
      </c>
      <c r="S11" t="s">
        <v>1868</v>
      </c>
      <c r="T11" t="s">
        <v>2960</v>
      </c>
      <c r="V11" t="s">
        <v>202</v>
      </c>
      <c r="X11" t="s">
        <v>2914</v>
      </c>
    </row>
    <row r="12" spans="1:24" ht="16" customHeight="1" x14ac:dyDescent="0.6">
      <c r="A12" t="s">
        <v>2961</v>
      </c>
      <c r="B12" t="s">
        <v>17</v>
      </c>
      <c r="C12" t="s">
        <v>2916</v>
      </c>
      <c r="E12" t="s">
        <v>2917</v>
      </c>
      <c r="F12">
        <v>3122639</v>
      </c>
      <c r="G12" t="s">
        <v>2918</v>
      </c>
      <c r="H12">
        <v>867140497</v>
      </c>
      <c r="I12">
        <v>150</v>
      </c>
      <c r="J12" t="s">
        <v>2919</v>
      </c>
      <c r="K12" s="79">
        <v>46112.854166666664</v>
      </c>
      <c r="M12" t="s">
        <v>2910</v>
      </c>
      <c r="N12" s="99">
        <v>46112</v>
      </c>
      <c r="O12" s="75">
        <v>0.875</v>
      </c>
      <c r="P12" t="s">
        <v>2962</v>
      </c>
      <c r="Q12" t="s">
        <v>1356</v>
      </c>
      <c r="R12" t="s">
        <v>2963</v>
      </c>
      <c r="S12" t="s">
        <v>1868</v>
      </c>
      <c r="T12" t="s">
        <v>2964</v>
      </c>
      <c r="V12" t="s">
        <v>2965</v>
      </c>
      <c r="X12" t="s">
        <v>2914</v>
      </c>
    </row>
    <row r="13" spans="1:24" ht="16" customHeight="1" x14ac:dyDescent="0.6">
      <c r="A13" t="s">
        <v>2966</v>
      </c>
      <c r="B13" t="s">
        <v>17</v>
      </c>
      <c r="C13" t="s">
        <v>2967</v>
      </c>
      <c r="E13" t="s">
        <v>2917</v>
      </c>
      <c r="F13">
        <v>3108436</v>
      </c>
      <c r="H13">
        <v>903477068</v>
      </c>
      <c r="I13">
        <v>55</v>
      </c>
      <c r="J13" s="98">
        <v>0.75</v>
      </c>
      <c r="K13" s="79">
        <v>46112.885416666664</v>
      </c>
      <c r="M13" t="s">
        <v>2955</v>
      </c>
      <c r="N13" s="99">
        <v>46112</v>
      </c>
      <c r="X13" t="s">
        <v>2914</v>
      </c>
    </row>
    <row r="14" spans="1:24" ht="16" customHeight="1" x14ac:dyDescent="0.6">
      <c r="A14" t="s">
        <v>2968</v>
      </c>
      <c r="B14" t="s">
        <v>17</v>
      </c>
      <c r="C14" t="s">
        <v>2969</v>
      </c>
      <c r="E14" t="s">
        <v>2930</v>
      </c>
      <c r="F14">
        <v>3120451</v>
      </c>
      <c r="H14">
        <v>369085819</v>
      </c>
      <c r="I14">
        <v>50</v>
      </c>
      <c r="J14" s="98">
        <v>0.75</v>
      </c>
      <c r="K14" s="79">
        <v>46112.875</v>
      </c>
      <c r="M14" t="s">
        <v>2955</v>
      </c>
      <c r="N14" s="99">
        <v>46112</v>
      </c>
      <c r="X14" t="s">
        <v>2914</v>
      </c>
    </row>
    <row r="15" spans="1:24" ht="16" customHeight="1" x14ac:dyDescent="0.6">
      <c r="A15" t="s">
        <v>2970</v>
      </c>
      <c r="B15" t="s">
        <v>17</v>
      </c>
      <c r="C15" t="s">
        <v>2971</v>
      </c>
      <c r="E15" t="s">
        <v>2917</v>
      </c>
      <c r="F15">
        <v>3131853</v>
      </c>
      <c r="H15">
        <v>902981006</v>
      </c>
      <c r="I15">
        <v>45</v>
      </c>
      <c r="J15" s="98">
        <v>0.5</v>
      </c>
      <c r="K15" s="79">
        <v>46112.875</v>
      </c>
      <c r="M15" t="s">
        <v>2910</v>
      </c>
      <c r="N15" s="99">
        <v>46112</v>
      </c>
      <c r="O15" s="75">
        <v>0.89583333333333337</v>
      </c>
      <c r="P15" t="s">
        <v>2972</v>
      </c>
      <c r="Q15" t="s">
        <v>967</v>
      </c>
      <c r="R15" t="s">
        <v>2973</v>
      </c>
      <c r="S15" t="s">
        <v>1868</v>
      </c>
      <c r="T15" t="s">
        <v>2974</v>
      </c>
      <c r="V15" t="s">
        <v>2965</v>
      </c>
      <c r="X15" t="s">
        <v>2914</v>
      </c>
    </row>
    <row r="16" spans="1:24" ht="16" customHeight="1" x14ac:dyDescent="0.6">
      <c r="A16" t="s">
        <v>2975</v>
      </c>
      <c r="B16" t="s">
        <v>17</v>
      </c>
      <c r="C16" t="s">
        <v>2976</v>
      </c>
      <c r="E16" t="s">
        <v>2917</v>
      </c>
      <c r="F16">
        <v>1871696</v>
      </c>
      <c r="H16">
        <v>774688086</v>
      </c>
      <c r="I16">
        <v>100</v>
      </c>
      <c r="J16" s="98">
        <v>1</v>
      </c>
      <c r="K16" s="79">
        <v>46112.916666666664</v>
      </c>
      <c r="M16" t="s">
        <v>2910</v>
      </c>
      <c r="N16" s="99">
        <v>46112</v>
      </c>
      <c r="O16" s="75">
        <v>0.9375</v>
      </c>
      <c r="P16" t="s">
        <v>2977</v>
      </c>
      <c r="Q16" t="s">
        <v>967</v>
      </c>
      <c r="R16" t="s">
        <v>2978</v>
      </c>
      <c r="S16" t="s">
        <v>1868</v>
      </c>
      <c r="T16" t="s">
        <v>2979</v>
      </c>
      <c r="V16" t="s">
        <v>2947</v>
      </c>
      <c r="X16" t="s">
        <v>2914</v>
      </c>
    </row>
    <row r="17" spans="1:24" ht="16" customHeight="1" x14ac:dyDescent="0.6">
      <c r="A17" t="s">
        <v>2980</v>
      </c>
      <c r="B17" t="s">
        <v>17</v>
      </c>
      <c r="C17" t="s">
        <v>2916</v>
      </c>
      <c r="E17" t="s">
        <v>2917</v>
      </c>
      <c r="F17">
        <v>3122639</v>
      </c>
      <c r="G17" t="s">
        <v>2918</v>
      </c>
      <c r="H17">
        <v>867140497</v>
      </c>
      <c r="I17">
        <v>200</v>
      </c>
      <c r="J17" t="s">
        <v>2919</v>
      </c>
      <c r="K17" s="79">
        <v>46113.875</v>
      </c>
      <c r="L17" t="s">
        <v>2981</v>
      </c>
      <c r="M17" t="s">
        <v>2910</v>
      </c>
      <c r="N17" s="99">
        <v>46113</v>
      </c>
      <c r="O17" s="75">
        <v>0.9375</v>
      </c>
      <c r="P17" t="s">
        <v>2982</v>
      </c>
      <c r="Q17" t="s">
        <v>1356</v>
      </c>
      <c r="R17" t="s">
        <v>2983</v>
      </c>
      <c r="S17" t="s">
        <v>1868</v>
      </c>
      <c r="T17" t="s">
        <v>2984</v>
      </c>
      <c r="V17" t="s">
        <v>2965</v>
      </c>
      <c r="X17" t="s">
        <v>2914</v>
      </c>
    </row>
    <row r="18" spans="1:24" ht="16" customHeight="1" x14ac:dyDescent="0.6">
      <c r="A18" t="s">
        <v>2985</v>
      </c>
      <c r="B18" t="s">
        <v>17</v>
      </c>
      <c r="C18" t="s">
        <v>2986</v>
      </c>
      <c r="E18" t="s">
        <v>2930</v>
      </c>
      <c r="F18">
        <v>3054722</v>
      </c>
      <c r="H18">
        <v>938197698</v>
      </c>
      <c r="I18">
        <v>100</v>
      </c>
      <c r="J18" s="98">
        <v>1</v>
      </c>
      <c r="K18" s="79">
        <v>46113.84375</v>
      </c>
      <c r="M18" t="s">
        <v>2910</v>
      </c>
      <c r="N18" s="99">
        <v>46113</v>
      </c>
      <c r="O18" s="75">
        <v>0.89583333333333337</v>
      </c>
      <c r="P18" t="s">
        <v>2987</v>
      </c>
      <c r="Q18" t="s">
        <v>967</v>
      </c>
      <c r="R18" t="s">
        <v>2988</v>
      </c>
      <c r="S18" t="s">
        <v>1868</v>
      </c>
      <c r="T18" t="s">
        <v>2989</v>
      </c>
      <c r="V18" t="s">
        <v>2965</v>
      </c>
      <c r="X18" t="s">
        <v>2914</v>
      </c>
    </row>
    <row r="19" spans="1:24" ht="16" customHeight="1" x14ac:dyDescent="0.6">
      <c r="A19" t="s">
        <v>2990</v>
      </c>
      <c r="B19" t="s">
        <v>17</v>
      </c>
      <c r="C19" t="s">
        <v>2949</v>
      </c>
      <c r="E19" t="s">
        <v>2930</v>
      </c>
      <c r="F19">
        <v>3020591</v>
      </c>
      <c r="H19">
        <v>988544750</v>
      </c>
      <c r="I19">
        <v>200</v>
      </c>
      <c r="J19" s="98">
        <v>1</v>
      </c>
      <c r="K19" s="79">
        <v>46113.875</v>
      </c>
      <c r="M19" t="s">
        <v>2991</v>
      </c>
      <c r="N19" s="99">
        <v>46113</v>
      </c>
      <c r="U19" t="s">
        <v>2992</v>
      </c>
      <c r="X19" t="s">
        <v>2914</v>
      </c>
    </row>
    <row r="20" spans="1:24" ht="16" customHeight="1" x14ac:dyDescent="0.6">
      <c r="A20" t="s">
        <v>2993</v>
      </c>
      <c r="B20" t="s">
        <v>17</v>
      </c>
      <c r="C20" t="s">
        <v>2994</v>
      </c>
      <c r="E20" t="s">
        <v>2909</v>
      </c>
      <c r="F20">
        <v>2033804</v>
      </c>
      <c r="H20">
        <v>396799427</v>
      </c>
      <c r="I20">
        <v>80</v>
      </c>
      <c r="J20" s="98">
        <v>1</v>
      </c>
      <c r="K20" s="79">
        <v>46113.895833333336</v>
      </c>
      <c r="M20" t="s">
        <v>2910</v>
      </c>
      <c r="N20" s="99">
        <v>46113</v>
      </c>
      <c r="O20" s="75">
        <v>0.91666666666666663</v>
      </c>
      <c r="P20" t="s">
        <v>2995</v>
      </c>
      <c r="Q20" t="s">
        <v>967</v>
      </c>
      <c r="R20" t="s">
        <v>2996</v>
      </c>
      <c r="S20" t="s">
        <v>1868</v>
      </c>
      <c r="T20" t="s">
        <v>2997</v>
      </c>
      <c r="V20" t="s">
        <v>2965</v>
      </c>
      <c r="X20" t="s">
        <v>2914</v>
      </c>
    </row>
    <row r="21" spans="1:24" ht="16" customHeight="1" x14ac:dyDescent="0.6">
      <c r="A21" t="s">
        <v>2998</v>
      </c>
      <c r="B21" t="s">
        <v>17</v>
      </c>
      <c r="C21" t="s">
        <v>2999</v>
      </c>
      <c r="D21" t="s">
        <v>3000</v>
      </c>
      <c r="E21" t="s">
        <v>2909</v>
      </c>
      <c r="F21">
        <v>3122639</v>
      </c>
      <c r="G21" t="s">
        <v>2918</v>
      </c>
      <c r="H21">
        <v>867140497</v>
      </c>
      <c r="I21">
        <v>100</v>
      </c>
      <c r="J21" s="98">
        <v>1</v>
      </c>
      <c r="K21" s="79">
        <v>46113.916666666664</v>
      </c>
      <c r="M21" t="s">
        <v>2910</v>
      </c>
      <c r="N21" s="99">
        <v>46113</v>
      </c>
      <c r="O21" s="75">
        <v>0.94791666666666663</v>
      </c>
      <c r="P21" t="s">
        <v>3001</v>
      </c>
      <c r="Q21" t="s">
        <v>1356</v>
      </c>
      <c r="R21" t="s">
        <v>3002</v>
      </c>
      <c r="S21" t="s">
        <v>1868</v>
      </c>
      <c r="T21" t="s">
        <v>3003</v>
      </c>
      <c r="V21" t="s">
        <v>202</v>
      </c>
      <c r="X21" t="s">
        <v>2914</v>
      </c>
    </row>
    <row r="22" spans="1:24" ht="16" customHeight="1" x14ac:dyDescent="0.6">
      <c r="A22" t="s">
        <v>3004</v>
      </c>
      <c r="B22" t="s">
        <v>17</v>
      </c>
      <c r="C22" t="s">
        <v>3005</v>
      </c>
      <c r="E22" t="s">
        <v>2917</v>
      </c>
      <c r="F22">
        <v>3152949</v>
      </c>
      <c r="H22">
        <v>903892201</v>
      </c>
      <c r="I22">
        <v>40</v>
      </c>
      <c r="J22" s="98">
        <v>0.5</v>
      </c>
      <c r="K22" s="79">
        <v>46113.916666666664</v>
      </c>
      <c r="M22" t="s">
        <v>2910</v>
      </c>
      <c r="N22" s="99">
        <v>46113</v>
      </c>
      <c r="O22" s="75">
        <v>0.91666666666666663</v>
      </c>
      <c r="P22" t="s">
        <v>3006</v>
      </c>
      <c r="Q22" t="s">
        <v>967</v>
      </c>
      <c r="R22" t="s">
        <v>3007</v>
      </c>
      <c r="S22" t="s">
        <v>1868</v>
      </c>
      <c r="T22" t="s">
        <v>3008</v>
      </c>
      <c r="V22" t="s">
        <v>3009</v>
      </c>
      <c r="X22" t="s">
        <v>2914</v>
      </c>
    </row>
    <row r="23" spans="1:24" ht="16" customHeight="1" x14ac:dyDescent="0.6">
      <c r="A23" t="s">
        <v>3010</v>
      </c>
      <c r="B23" t="s">
        <v>17</v>
      </c>
      <c r="C23" t="s">
        <v>3011</v>
      </c>
      <c r="E23" t="s">
        <v>2930</v>
      </c>
      <c r="F23">
        <v>2041292</v>
      </c>
      <c r="H23">
        <v>908626193</v>
      </c>
      <c r="I23">
        <v>50</v>
      </c>
      <c r="J23" s="98">
        <v>0.5</v>
      </c>
      <c r="K23" s="79">
        <v>46113.875</v>
      </c>
      <c r="M23" t="s">
        <v>2910</v>
      </c>
      <c r="N23" s="99">
        <v>46113</v>
      </c>
      <c r="O23" s="75">
        <v>0.875</v>
      </c>
      <c r="P23" t="s">
        <v>3012</v>
      </c>
      <c r="Q23" t="s">
        <v>967</v>
      </c>
      <c r="R23" t="s">
        <v>3013</v>
      </c>
      <c r="S23" t="s">
        <v>1868</v>
      </c>
      <c r="T23" t="s">
        <v>2974</v>
      </c>
      <c r="V23" t="s">
        <v>2965</v>
      </c>
      <c r="X23" t="s">
        <v>2914</v>
      </c>
    </row>
    <row r="24" spans="1:24" ht="16" customHeight="1" x14ac:dyDescent="0.6">
      <c r="A24" t="s">
        <v>3014</v>
      </c>
      <c r="B24" t="s">
        <v>17</v>
      </c>
      <c r="C24" t="s">
        <v>2954</v>
      </c>
      <c r="E24" t="s">
        <v>2930</v>
      </c>
      <c r="F24">
        <v>3129272</v>
      </c>
      <c r="G24">
        <v>937329651</v>
      </c>
      <c r="H24">
        <v>876177676</v>
      </c>
      <c r="I24">
        <v>80</v>
      </c>
      <c r="J24" s="98">
        <v>0.75</v>
      </c>
      <c r="K24" s="79">
        <v>46113.90625</v>
      </c>
      <c r="M24" t="s">
        <v>2910</v>
      </c>
      <c r="N24" s="99">
        <v>46113</v>
      </c>
      <c r="O24" s="75">
        <v>0.875</v>
      </c>
      <c r="P24" t="s">
        <v>3015</v>
      </c>
      <c r="Q24" t="s">
        <v>967</v>
      </c>
      <c r="R24" t="s">
        <v>3016</v>
      </c>
      <c r="S24" t="s">
        <v>1868</v>
      </c>
      <c r="T24" t="s">
        <v>3017</v>
      </c>
      <c r="V24" t="s">
        <v>2965</v>
      </c>
      <c r="X24" t="s">
        <v>2914</v>
      </c>
    </row>
    <row r="25" spans="1:24" ht="16" customHeight="1" x14ac:dyDescent="0.6">
      <c r="A25" t="s">
        <v>3018</v>
      </c>
      <c r="B25" t="s">
        <v>17</v>
      </c>
      <c r="C25" t="s">
        <v>2957</v>
      </c>
      <c r="E25" t="s">
        <v>2909</v>
      </c>
      <c r="F25">
        <v>1802852</v>
      </c>
      <c r="H25">
        <v>974607460</v>
      </c>
      <c r="I25">
        <v>100</v>
      </c>
      <c r="J25" s="98">
        <v>0.75</v>
      </c>
      <c r="K25" s="79">
        <v>46113.875</v>
      </c>
      <c r="M25" t="s">
        <v>2910</v>
      </c>
      <c r="N25" s="99">
        <v>46113</v>
      </c>
      <c r="O25" s="75">
        <v>0.91666666666666663</v>
      </c>
      <c r="P25" t="s">
        <v>3019</v>
      </c>
      <c r="Q25" t="s">
        <v>967</v>
      </c>
      <c r="R25" t="s">
        <v>3020</v>
      </c>
      <c r="S25" t="s">
        <v>1868</v>
      </c>
      <c r="T25" t="s">
        <v>2960</v>
      </c>
      <c r="V25" t="s">
        <v>202</v>
      </c>
      <c r="X25" t="s">
        <v>2914</v>
      </c>
    </row>
    <row r="26" spans="1:24" ht="16" customHeight="1" x14ac:dyDescent="0.6">
      <c r="A26" t="s">
        <v>3021</v>
      </c>
      <c r="B26" t="s">
        <v>17</v>
      </c>
      <c r="C26" t="s">
        <v>3022</v>
      </c>
      <c r="E26" t="s">
        <v>2930</v>
      </c>
      <c r="F26">
        <v>3135714</v>
      </c>
      <c r="H26">
        <v>333124453</v>
      </c>
      <c r="I26">
        <v>500</v>
      </c>
      <c r="J26" s="98">
        <v>1</v>
      </c>
      <c r="K26" s="79">
        <v>46113.875</v>
      </c>
      <c r="L26" t="s">
        <v>3023</v>
      </c>
      <c r="M26" t="s">
        <v>2910</v>
      </c>
      <c r="N26" s="99">
        <v>46113</v>
      </c>
      <c r="O26" s="100">
        <v>0.90625</v>
      </c>
      <c r="P26" t="s">
        <v>3024</v>
      </c>
      <c r="Q26" t="s">
        <v>967</v>
      </c>
      <c r="R26" t="s">
        <v>3025</v>
      </c>
      <c r="S26" t="s">
        <v>1868</v>
      </c>
      <c r="T26" t="s">
        <v>3026</v>
      </c>
      <c r="V26" t="s">
        <v>2965</v>
      </c>
      <c r="X26" t="s">
        <v>2914</v>
      </c>
    </row>
    <row r="27" spans="1:24" ht="16" customHeight="1" x14ac:dyDescent="0.6">
      <c r="A27" t="s">
        <v>3027</v>
      </c>
      <c r="B27" t="s">
        <v>17</v>
      </c>
      <c r="C27" t="s">
        <v>3028</v>
      </c>
      <c r="E27" t="s">
        <v>2909</v>
      </c>
      <c r="F27">
        <v>3078993</v>
      </c>
      <c r="H27">
        <v>931837212</v>
      </c>
      <c r="I27">
        <v>10</v>
      </c>
      <c r="J27" s="98">
        <v>0.3</v>
      </c>
      <c r="K27" s="79">
        <v>46114.208333333336</v>
      </c>
      <c r="M27" t="s">
        <v>3029</v>
      </c>
      <c r="N27" s="99">
        <v>46113</v>
      </c>
      <c r="X27" t="s">
        <v>2914</v>
      </c>
    </row>
    <row r="28" spans="1:24" ht="16" customHeight="1" x14ac:dyDescent="0.6">
      <c r="A28" t="s">
        <v>3030</v>
      </c>
      <c r="B28" t="s">
        <v>17</v>
      </c>
      <c r="C28" t="s">
        <v>3031</v>
      </c>
      <c r="E28" t="s">
        <v>2917</v>
      </c>
      <c r="F28">
        <v>3147977</v>
      </c>
      <c r="H28">
        <v>797255556</v>
      </c>
      <c r="I28">
        <v>100</v>
      </c>
      <c r="J28" s="98">
        <v>1</v>
      </c>
      <c r="K28" s="79">
        <v>46113.916666666664</v>
      </c>
      <c r="M28" t="s">
        <v>2910</v>
      </c>
      <c r="N28" s="99">
        <v>46113</v>
      </c>
      <c r="O28" s="75">
        <v>0.91666666666666663</v>
      </c>
      <c r="P28" t="s">
        <v>3032</v>
      </c>
      <c r="Q28" t="s">
        <v>967</v>
      </c>
      <c r="R28" t="s">
        <v>3033</v>
      </c>
      <c r="S28" t="s">
        <v>1868</v>
      </c>
      <c r="T28" t="s">
        <v>3034</v>
      </c>
      <c r="V28" t="s">
        <v>2947</v>
      </c>
      <c r="X28" t="s">
        <v>2914</v>
      </c>
    </row>
    <row r="29" spans="1:24" ht="16" customHeight="1" x14ac:dyDescent="0.6">
      <c r="A29" t="s">
        <v>3035</v>
      </c>
      <c r="B29" t="s">
        <v>17</v>
      </c>
      <c r="C29" t="s">
        <v>3036</v>
      </c>
      <c r="E29" t="s">
        <v>2917</v>
      </c>
      <c r="F29">
        <v>3156430</v>
      </c>
      <c r="H29">
        <v>382049610</v>
      </c>
      <c r="I29">
        <v>80</v>
      </c>
      <c r="J29" s="98">
        <v>1</v>
      </c>
      <c r="K29" s="79">
        <v>46113.885416666664</v>
      </c>
      <c r="M29" t="s">
        <v>2910</v>
      </c>
      <c r="N29" s="99">
        <v>46113</v>
      </c>
      <c r="O29" s="75">
        <v>0.875</v>
      </c>
      <c r="P29" t="s">
        <v>3037</v>
      </c>
      <c r="Q29" t="s">
        <v>967</v>
      </c>
      <c r="R29" t="s">
        <v>3038</v>
      </c>
      <c r="S29" t="s">
        <v>1868</v>
      </c>
      <c r="T29" t="s">
        <v>3039</v>
      </c>
      <c r="V29" t="s">
        <v>2965</v>
      </c>
      <c r="X29" t="s">
        <v>2914</v>
      </c>
    </row>
    <row r="30" spans="1:24" ht="16" customHeight="1" x14ac:dyDescent="0.6">
      <c r="A30" t="s">
        <v>3040</v>
      </c>
      <c r="B30" t="s">
        <v>17</v>
      </c>
      <c r="C30" t="s">
        <v>3041</v>
      </c>
      <c r="E30" t="s">
        <v>2909</v>
      </c>
      <c r="F30">
        <v>3132927</v>
      </c>
      <c r="G30" t="s">
        <v>3042</v>
      </c>
      <c r="H30">
        <v>367129993</v>
      </c>
      <c r="I30">
        <v>15</v>
      </c>
      <c r="J30" s="98">
        <v>0.5</v>
      </c>
      <c r="K30" s="79">
        <v>46114.333333333336</v>
      </c>
      <c r="L30" t="s">
        <v>3043</v>
      </c>
      <c r="M30" t="s">
        <v>3029</v>
      </c>
      <c r="N30" s="99">
        <v>46113</v>
      </c>
      <c r="X30" t="s">
        <v>2914</v>
      </c>
    </row>
    <row r="31" spans="1:24" ht="16" customHeight="1" x14ac:dyDescent="0.6">
      <c r="A31" t="s">
        <v>3044</v>
      </c>
      <c r="B31" t="s">
        <v>17</v>
      </c>
      <c r="C31" t="s">
        <v>2976</v>
      </c>
      <c r="E31" t="s">
        <v>2917</v>
      </c>
      <c r="F31">
        <v>31599588</v>
      </c>
      <c r="H31">
        <v>33774747</v>
      </c>
      <c r="I31">
        <v>85</v>
      </c>
      <c r="J31" s="98">
        <v>1</v>
      </c>
      <c r="K31" s="79">
        <v>46113.927083333336</v>
      </c>
      <c r="M31" t="s">
        <v>2910</v>
      </c>
      <c r="N31" s="99">
        <v>46113</v>
      </c>
      <c r="O31" s="75">
        <v>0.94791666666666663</v>
      </c>
      <c r="P31" t="s">
        <v>3045</v>
      </c>
      <c r="Q31" t="s">
        <v>1356</v>
      </c>
      <c r="R31" t="s">
        <v>2921</v>
      </c>
      <c r="S31" t="s">
        <v>1868</v>
      </c>
      <c r="T31" t="s">
        <v>2922</v>
      </c>
      <c r="V31" t="s">
        <v>2965</v>
      </c>
      <c r="X31" t="s">
        <v>2914</v>
      </c>
    </row>
    <row r="32" spans="1:24" ht="16" customHeight="1" x14ac:dyDescent="0.6">
      <c r="A32" t="s">
        <v>3046</v>
      </c>
      <c r="B32" t="s">
        <v>17</v>
      </c>
      <c r="C32" t="s">
        <v>3047</v>
      </c>
      <c r="E32" t="s">
        <v>2917</v>
      </c>
      <c r="F32">
        <v>1765374</v>
      </c>
      <c r="H32">
        <v>377646101</v>
      </c>
      <c r="I32">
        <v>20</v>
      </c>
      <c r="J32" s="98">
        <v>0.5</v>
      </c>
      <c r="K32" s="79">
        <v>46113.895833333336</v>
      </c>
      <c r="M32" t="s">
        <v>2910</v>
      </c>
      <c r="N32" s="99">
        <v>46113</v>
      </c>
      <c r="O32" s="75">
        <v>0.89583333333333337</v>
      </c>
      <c r="P32" t="s">
        <v>3012</v>
      </c>
      <c r="Q32" t="s">
        <v>967</v>
      </c>
      <c r="R32" t="s">
        <v>3013</v>
      </c>
      <c r="S32" t="s">
        <v>1868</v>
      </c>
      <c r="T32" t="s">
        <v>2974</v>
      </c>
      <c r="V32" t="s">
        <v>2947</v>
      </c>
      <c r="X32" t="s">
        <v>2914</v>
      </c>
    </row>
    <row r="33" spans="1:24" ht="16" customHeight="1" x14ac:dyDescent="0.6">
      <c r="A33" t="s">
        <v>3048</v>
      </c>
      <c r="B33" t="s">
        <v>17</v>
      </c>
      <c r="C33" t="s">
        <v>3049</v>
      </c>
      <c r="E33" t="s">
        <v>2930</v>
      </c>
      <c r="F33">
        <v>3074147</v>
      </c>
      <c r="H33">
        <v>945806398</v>
      </c>
      <c r="I33">
        <v>50</v>
      </c>
      <c r="J33" s="98">
        <v>0.5</v>
      </c>
      <c r="K33" s="79">
        <v>46113.895833333336</v>
      </c>
      <c r="L33" t="s">
        <v>3050</v>
      </c>
      <c r="M33" t="s">
        <v>2910</v>
      </c>
      <c r="N33" s="99">
        <v>46113</v>
      </c>
      <c r="O33" s="75">
        <v>0.9375</v>
      </c>
      <c r="P33" t="s">
        <v>3051</v>
      </c>
      <c r="Q33" t="s">
        <v>1356</v>
      </c>
      <c r="R33" t="s">
        <v>3052</v>
      </c>
      <c r="S33" t="s">
        <v>1868</v>
      </c>
      <c r="T33" t="s">
        <v>3053</v>
      </c>
      <c r="V33" t="s">
        <v>2965</v>
      </c>
      <c r="X33" t="s">
        <v>2914</v>
      </c>
    </row>
    <row r="34" spans="1:24" ht="16" customHeight="1" x14ac:dyDescent="0.6">
      <c r="A34" t="s">
        <v>3054</v>
      </c>
      <c r="B34" t="s">
        <v>17</v>
      </c>
      <c r="C34" t="s">
        <v>3055</v>
      </c>
      <c r="E34" t="s">
        <v>2930</v>
      </c>
      <c r="F34">
        <v>3103523</v>
      </c>
      <c r="H34">
        <v>975083289</v>
      </c>
      <c r="I34">
        <v>30</v>
      </c>
      <c r="J34" s="98">
        <v>0.3</v>
      </c>
      <c r="K34" s="79">
        <v>46113.895833333336</v>
      </c>
      <c r="M34" t="s">
        <v>2910</v>
      </c>
      <c r="N34" s="99">
        <v>46113</v>
      </c>
      <c r="O34" s="100">
        <v>0.95833333333333337</v>
      </c>
      <c r="P34" t="s">
        <v>3051</v>
      </c>
      <c r="Q34" t="s">
        <v>1356</v>
      </c>
      <c r="R34" t="s">
        <v>3052</v>
      </c>
      <c r="S34" t="s">
        <v>1868</v>
      </c>
      <c r="T34" t="s">
        <v>3053</v>
      </c>
      <c r="V34" t="s">
        <v>2965</v>
      </c>
      <c r="X34" t="s">
        <v>2914</v>
      </c>
    </row>
    <row r="35" spans="1:24" ht="16" customHeight="1" x14ac:dyDescent="0.6">
      <c r="A35" t="s">
        <v>3056</v>
      </c>
      <c r="B35" t="s">
        <v>17</v>
      </c>
      <c r="C35" t="s">
        <v>3049</v>
      </c>
      <c r="E35" t="s">
        <v>2909</v>
      </c>
      <c r="F35">
        <v>3074147</v>
      </c>
      <c r="H35">
        <v>945806398</v>
      </c>
      <c r="I35">
        <v>50</v>
      </c>
      <c r="J35" s="98">
        <v>0.5</v>
      </c>
      <c r="K35" s="79">
        <v>46113.90625</v>
      </c>
      <c r="M35" t="s">
        <v>2910</v>
      </c>
      <c r="N35" s="99">
        <v>46113</v>
      </c>
      <c r="O35" s="75">
        <v>0.91666666666666663</v>
      </c>
      <c r="P35" t="s">
        <v>3057</v>
      </c>
      <c r="Q35" t="s">
        <v>967</v>
      </c>
      <c r="R35" t="s">
        <v>3058</v>
      </c>
      <c r="S35" t="s">
        <v>1868</v>
      </c>
      <c r="T35" t="s">
        <v>3059</v>
      </c>
      <c r="V35" t="s">
        <v>202</v>
      </c>
      <c r="X35" t="s">
        <v>2914</v>
      </c>
    </row>
    <row r="36" spans="1:24" ht="16" customHeight="1" x14ac:dyDescent="0.6">
      <c r="A36" t="s">
        <v>3060</v>
      </c>
      <c r="B36" t="s">
        <v>17</v>
      </c>
      <c r="C36" t="s">
        <v>2971</v>
      </c>
      <c r="E36" t="s">
        <v>2917</v>
      </c>
      <c r="F36">
        <v>3131853</v>
      </c>
      <c r="H36">
        <v>902981006</v>
      </c>
      <c r="I36">
        <v>48</v>
      </c>
      <c r="J36" s="98">
        <v>0.5</v>
      </c>
      <c r="K36" s="79">
        <v>46113.927083333336</v>
      </c>
      <c r="M36" t="s">
        <v>2910</v>
      </c>
      <c r="N36" s="99">
        <v>46113</v>
      </c>
      <c r="O36" s="75">
        <v>0.90625</v>
      </c>
      <c r="P36" t="s">
        <v>3061</v>
      </c>
      <c r="Q36" t="s">
        <v>967</v>
      </c>
      <c r="R36" t="s">
        <v>3062</v>
      </c>
      <c r="S36" t="s">
        <v>1868</v>
      </c>
      <c r="T36" t="s">
        <v>3063</v>
      </c>
      <c r="V36" t="s">
        <v>2965</v>
      </c>
      <c r="X36" t="s">
        <v>2914</v>
      </c>
    </row>
    <row r="37" spans="1:24" ht="16" customHeight="1" x14ac:dyDescent="0.6">
      <c r="A37" t="s">
        <v>3064</v>
      </c>
      <c r="B37" t="s">
        <v>17</v>
      </c>
      <c r="C37" t="s">
        <v>3031</v>
      </c>
      <c r="E37" t="s">
        <v>2917</v>
      </c>
      <c r="F37">
        <v>3147977</v>
      </c>
      <c r="H37">
        <v>797255556</v>
      </c>
      <c r="I37">
        <v>100</v>
      </c>
      <c r="J37" s="98">
        <v>1</v>
      </c>
      <c r="K37" s="79">
        <v>46113.916666666664</v>
      </c>
      <c r="M37" t="s">
        <v>2955</v>
      </c>
      <c r="N37" s="99">
        <v>46113</v>
      </c>
      <c r="X37" t="s">
        <v>2914</v>
      </c>
    </row>
    <row r="38" spans="1:24" ht="16" customHeight="1" x14ac:dyDescent="0.6">
      <c r="A38" t="s">
        <v>3065</v>
      </c>
      <c r="B38" t="s">
        <v>17</v>
      </c>
      <c r="C38" t="s">
        <v>3066</v>
      </c>
      <c r="E38" t="s">
        <v>2930</v>
      </c>
      <c r="F38">
        <v>3139780</v>
      </c>
      <c r="H38">
        <v>979532214</v>
      </c>
      <c r="I38">
        <v>120</v>
      </c>
      <c r="J38" s="98">
        <v>0.75</v>
      </c>
      <c r="K38" s="79">
        <v>46114.229166666664</v>
      </c>
      <c r="M38" t="s">
        <v>2910</v>
      </c>
      <c r="N38" s="99">
        <v>46114</v>
      </c>
      <c r="O38" s="75">
        <v>0.20833333333333334</v>
      </c>
      <c r="P38" t="s">
        <v>3067</v>
      </c>
      <c r="Q38" t="s">
        <v>967</v>
      </c>
      <c r="R38" t="s">
        <v>3068</v>
      </c>
      <c r="S38" t="s">
        <v>1868</v>
      </c>
      <c r="T38" t="s">
        <v>3069</v>
      </c>
      <c r="V38" t="s">
        <v>2965</v>
      </c>
      <c r="X38" t="s">
        <v>2914</v>
      </c>
    </row>
    <row r="39" spans="1:24" ht="16" customHeight="1" x14ac:dyDescent="0.6">
      <c r="A39" t="s">
        <v>3070</v>
      </c>
      <c r="B39" t="s">
        <v>17</v>
      </c>
      <c r="C39" t="s">
        <v>2957</v>
      </c>
      <c r="E39" t="s">
        <v>2909</v>
      </c>
      <c r="F39">
        <v>1802852</v>
      </c>
      <c r="H39">
        <v>974607460</v>
      </c>
      <c r="I39">
        <v>100</v>
      </c>
      <c r="J39" s="98">
        <v>0.75</v>
      </c>
      <c r="K39" s="79">
        <v>46114.875</v>
      </c>
      <c r="M39" t="s">
        <v>2955</v>
      </c>
      <c r="N39" s="99">
        <v>46114</v>
      </c>
      <c r="X39" t="s">
        <v>2914</v>
      </c>
    </row>
    <row r="40" spans="1:24" ht="16" customHeight="1" x14ac:dyDescent="0.6">
      <c r="A40" t="s">
        <v>3071</v>
      </c>
      <c r="B40" t="s">
        <v>17</v>
      </c>
      <c r="C40" t="s">
        <v>2994</v>
      </c>
      <c r="E40" t="s">
        <v>2909</v>
      </c>
      <c r="F40">
        <v>2033804</v>
      </c>
      <c r="H40">
        <v>396799427</v>
      </c>
      <c r="I40">
        <v>80</v>
      </c>
      <c r="J40" s="98">
        <v>1</v>
      </c>
      <c r="K40" s="79">
        <v>46114.895833333336</v>
      </c>
      <c r="M40" t="s">
        <v>2910</v>
      </c>
      <c r="N40" s="99">
        <v>46114</v>
      </c>
      <c r="O40" s="75">
        <v>0.91666666666666663</v>
      </c>
      <c r="P40" t="s">
        <v>3072</v>
      </c>
      <c r="Q40" t="s">
        <v>967</v>
      </c>
      <c r="R40" t="s">
        <v>3073</v>
      </c>
      <c r="S40" t="s">
        <v>1868</v>
      </c>
      <c r="T40" t="s">
        <v>2997</v>
      </c>
      <c r="V40" t="s">
        <v>202</v>
      </c>
      <c r="X40" t="s">
        <v>2914</v>
      </c>
    </row>
    <row r="41" spans="1:24" ht="16" customHeight="1" x14ac:dyDescent="0.6">
      <c r="A41" t="s">
        <v>3074</v>
      </c>
      <c r="B41" t="s">
        <v>17</v>
      </c>
      <c r="C41" t="s">
        <v>2916</v>
      </c>
      <c r="E41" t="s">
        <v>2930</v>
      </c>
      <c r="F41">
        <v>3122639</v>
      </c>
      <c r="G41" t="s">
        <v>2918</v>
      </c>
      <c r="H41">
        <v>867140497</v>
      </c>
      <c r="I41">
        <v>100</v>
      </c>
      <c r="J41" s="98">
        <v>1</v>
      </c>
      <c r="K41" s="79">
        <v>46114.916666666664</v>
      </c>
      <c r="M41" t="s">
        <v>2910</v>
      </c>
      <c r="N41" s="99">
        <v>46114</v>
      </c>
      <c r="O41" s="75">
        <v>0.94791666666666663</v>
      </c>
      <c r="P41" t="s">
        <v>3075</v>
      </c>
      <c r="Q41" t="s">
        <v>1356</v>
      </c>
      <c r="R41" t="s">
        <v>3076</v>
      </c>
      <c r="S41" t="s">
        <v>1868</v>
      </c>
      <c r="T41" t="s">
        <v>3077</v>
      </c>
      <c r="V41" t="s">
        <v>2965</v>
      </c>
      <c r="X41" t="s">
        <v>2914</v>
      </c>
    </row>
    <row r="42" spans="1:24" ht="16" customHeight="1" x14ac:dyDescent="0.6">
      <c r="A42" t="s">
        <v>3078</v>
      </c>
      <c r="B42" t="s">
        <v>17</v>
      </c>
      <c r="C42" t="s">
        <v>2916</v>
      </c>
      <c r="E42" t="s">
        <v>2909</v>
      </c>
      <c r="F42">
        <v>3122639</v>
      </c>
      <c r="G42" t="s">
        <v>2918</v>
      </c>
      <c r="H42">
        <v>867140497</v>
      </c>
      <c r="I42">
        <v>100</v>
      </c>
      <c r="J42" s="98">
        <v>1</v>
      </c>
      <c r="K42" s="79">
        <v>46114.916666666664</v>
      </c>
      <c r="M42" t="s">
        <v>2910</v>
      </c>
      <c r="N42" s="99">
        <v>46114</v>
      </c>
      <c r="O42" s="75">
        <v>0.9375</v>
      </c>
      <c r="P42" t="s">
        <v>3079</v>
      </c>
      <c r="Q42" t="s">
        <v>1356</v>
      </c>
      <c r="R42" t="s">
        <v>3002</v>
      </c>
      <c r="S42" t="s">
        <v>1868</v>
      </c>
      <c r="T42" t="s">
        <v>3003</v>
      </c>
      <c r="V42" t="s">
        <v>202</v>
      </c>
      <c r="X42" t="s">
        <v>2914</v>
      </c>
    </row>
    <row r="43" spans="1:24" ht="16" customHeight="1" x14ac:dyDescent="0.6">
      <c r="A43" t="s">
        <v>3080</v>
      </c>
      <c r="B43" t="s">
        <v>17</v>
      </c>
      <c r="C43" t="s">
        <v>3022</v>
      </c>
      <c r="E43" t="s">
        <v>2930</v>
      </c>
      <c r="F43">
        <v>3135714</v>
      </c>
      <c r="H43">
        <v>333124453</v>
      </c>
      <c r="I43">
        <v>400</v>
      </c>
      <c r="J43" s="98">
        <v>1</v>
      </c>
      <c r="K43" s="79">
        <v>46114.875</v>
      </c>
      <c r="L43" t="s">
        <v>3081</v>
      </c>
      <c r="M43" t="s">
        <v>2910</v>
      </c>
      <c r="N43" s="99">
        <v>46114</v>
      </c>
      <c r="O43" s="75">
        <v>0.89583333333333337</v>
      </c>
      <c r="P43" t="s">
        <v>3082</v>
      </c>
      <c r="Q43" t="s">
        <v>967</v>
      </c>
      <c r="R43" t="s">
        <v>3016</v>
      </c>
      <c r="S43" t="s">
        <v>1868</v>
      </c>
      <c r="T43" t="s">
        <v>3017</v>
      </c>
      <c r="V43" t="s">
        <v>2965</v>
      </c>
      <c r="X43" t="s">
        <v>2914</v>
      </c>
    </row>
    <row r="44" spans="1:24" ht="16" customHeight="1" x14ac:dyDescent="0.6">
      <c r="A44" t="s">
        <v>3083</v>
      </c>
      <c r="B44" t="s">
        <v>17</v>
      </c>
      <c r="C44" t="s">
        <v>3049</v>
      </c>
      <c r="E44" t="s">
        <v>2909</v>
      </c>
      <c r="F44">
        <v>3121707</v>
      </c>
      <c r="H44">
        <v>931842110</v>
      </c>
      <c r="I44">
        <v>50</v>
      </c>
      <c r="J44" s="98">
        <v>0.5</v>
      </c>
      <c r="K44" s="79">
        <v>46114.895833333336</v>
      </c>
      <c r="L44" t="s">
        <v>3084</v>
      </c>
      <c r="M44" t="s">
        <v>2910</v>
      </c>
      <c r="N44" s="99">
        <v>46114</v>
      </c>
      <c r="O44" s="75">
        <v>0.90625</v>
      </c>
      <c r="P44" t="s">
        <v>3085</v>
      </c>
      <c r="Q44" t="s">
        <v>967</v>
      </c>
      <c r="R44" t="s">
        <v>3086</v>
      </c>
      <c r="S44" t="s">
        <v>1868</v>
      </c>
      <c r="T44" t="s">
        <v>3087</v>
      </c>
      <c r="V44" t="s">
        <v>202</v>
      </c>
      <c r="X44" t="s">
        <v>2914</v>
      </c>
    </row>
    <row r="45" spans="1:24" ht="16" customHeight="1" x14ac:dyDescent="0.6">
      <c r="A45" t="s">
        <v>3088</v>
      </c>
      <c r="B45" t="s">
        <v>17</v>
      </c>
      <c r="C45" t="s">
        <v>2976</v>
      </c>
      <c r="E45" t="s">
        <v>2917</v>
      </c>
      <c r="F45">
        <v>1871696</v>
      </c>
      <c r="H45">
        <v>774688086</v>
      </c>
      <c r="I45">
        <v>100</v>
      </c>
      <c r="J45" s="98">
        <v>1</v>
      </c>
      <c r="K45" s="79">
        <v>46115.625</v>
      </c>
      <c r="M45" t="s">
        <v>2910</v>
      </c>
      <c r="N45" s="99">
        <v>46115</v>
      </c>
      <c r="O45" s="75">
        <v>0.66666666666666663</v>
      </c>
      <c r="P45" t="s">
        <v>3089</v>
      </c>
      <c r="Q45" t="s">
        <v>967</v>
      </c>
      <c r="R45" t="s">
        <v>3090</v>
      </c>
      <c r="S45" t="s">
        <v>1868</v>
      </c>
      <c r="T45" t="s">
        <v>3091</v>
      </c>
      <c r="V45" t="s">
        <v>2965</v>
      </c>
      <c r="X45" t="s">
        <v>2914</v>
      </c>
    </row>
    <row r="46" spans="1:24" ht="16" customHeight="1" x14ac:dyDescent="0.6">
      <c r="A46" t="s">
        <v>3092</v>
      </c>
      <c r="B46" t="s">
        <v>17</v>
      </c>
      <c r="C46" t="s">
        <v>3093</v>
      </c>
      <c r="E46" t="s">
        <v>2930</v>
      </c>
      <c r="F46">
        <v>1872928</v>
      </c>
      <c r="H46">
        <v>344176032</v>
      </c>
      <c r="I46">
        <v>100</v>
      </c>
      <c r="J46" s="98">
        <v>1</v>
      </c>
      <c r="K46" s="79">
        <v>46115.875</v>
      </c>
      <c r="M46" t="s">
        <v>2910</v>
      </c>
      <c r="N46" s="99">
        <v>46115</v>
      </c>
      <c r="O46" s="75">
        <v>0.91666666666666663</v>
      </c>
      <c r="P46" t="s">
        <v>3094</v>
      </c>
      <c r="Q46" t="s">
        <v>967</v>
      </c>
      <c r="R46" t="s">
        <v>3095</v>
      </c>
      <c r="S46" t="s">
        <v>3096</v>
      </c>
      <c r="T46" t="s">
        <v>3097</v>
      </c>
      <c r="V46" t="s">
        <v>2965</v>
      </c>
      <c r="X46" t="s">
        <v>2914</v>
      </c>
    </row>
    <row r="47" spans="1:24" ht="16" customHeight="1" x14ac:dyDescent="0.6">
      <c r="A47" t="s">
        <v>3098</v>
      </c>
      <c r="B47" t="s">
        <v>17</v>
      </c>
      <c r="C47" t="s">
        <v>3093</v>
      </c>
      <c r="E47" t="s">
        <v>2930</v>
      </c>
      <c r="F47">
        <v>1872928</v>
      </c>
      <c r="H47">
        <v>344176032</v>
      </c>
      <c r="I47">
        <v>350</v>
      </c>
      <c r="J47" t="s">
        <v>2919</v>
      </c>
      <c r="K47" s="79">
        <v>46115.875</v>
      </c>
      <c r="L47" t="s">
        <v>3099</v>
      </c>
      <c r="M47" t="s">
        <v>2910</v>
      </c>
      <c r="N47" s="99">
        <v>46115</v>
      </c>
      <c r="O47" s="75">
        <v>0.91666666666666663</v>
      </c>
      <c r="P47" t="s">
        <v>3094</v>
      </c>
      <c r="Q47" t="s">
        <v>967</v>
      </c>
      <c r="R47" t="s">
        <v>3095</v>
      </c>
      <c r="S47" t="s">
        <v>3096</v>
      </c>
      <c r="T47" t="s">
        <v>3097</v>
      </c>
      <c r="V47" t="s">
        <v>2965</v>
      </c>
      <c r="X47" t="s">
        <v>2914</v>
      </c>
    </row>
    <row r="48" spans="1:24" ht="16" customHeight="1" x14ac:dyDescent="0.6">
      <c r="A48" t="s">
        <v>3100</v>
      </c>
      <c r="B48" t="s">
        <v>17</v>
      </c>
      <c r="C48" t="s">
        <v>3101</v>
      </c>
      <c r="E48" t="s">
        <v>2930</v>
      </c>
      <c r="F48">
        <v>3126032</v>
      </c>
      <c r="H48">
        <v>378799783</v>
      </c>
      <c r="I48">
        <v>120</v>
      </c>
      <c r="J48" s="98">
        <v>1</v>
      </c>
      <c r="K48" s="79">
        <v>46115.916666666664</v>
      </c>
      <c r="M48" t="s">
        <v>2910</v>
      </c>
      <c r="N48" s="99">
        <v>46115</v>
      </c>
      <c r="O48" s="75">
        <v>0.90625</v>
      </c>
      <c r="P48" t="s">
        <v>3102</v>
      </c>
      <c r="Q48" t="s">
        <v>1356</v>
      </c>
      <c r="R48" t="s">
        <v>3103</v>
      </c>
      <c r="S48" t="s">
        <v>3096</v>
      </c>
      <c r="T48" t="s">
        <v>3104</v>
      </c>
      <c r="V48" t="s">
        <v>2965</v>
      </c>
      <c r="X48" t="s">
        <v>2914</v>
      </c>
    </row>
    <row r="49" spans="1:24" ht="16" customHeight="1" x14ac:dyDescent="0.6">
      <c r="A49" t="s">
        <v>3105</v>
      </c>
      <c r="B49" t="s">
        <v>17</v>
      </c>
      <c r="C49" t="s">
        <v>3101</v>
      </c>
      <c r="E49" t="s">
        <v>2917</v>
      </c>
      <c r="F49">
        <v>3126032</v>
      </c>
      <c r="H49">
        <v>378799783</v>
      </c>
      <c r="I49">
        <v>120</v>
      </c>
      <c r="J49" s="98">
        <v>1</v>
      </c>
      <c r="K49" s="79">
        <v>46115.9375</v>
      </c>
      <c r="M49" t="s">
        <v>2910</v>
      </c>
      <c r="N49" s="99">
        <v>46115</v>
      </c>
      <c r="O49" s="75">
        <v>0.90625</v>
      </c>
      <c r="P49" t="s">
        <v>3102</v>
      </c>
      <c r="Q49" t="s">
        <v>1356</v>
      </c>
      <c r="R49" t="s">
        <v>3103</v>
      </c>
      <c r="S49" t="s">
        <v>3096</v>
      </c>
      <c r="T49" t="s">
        <v>3104</v>
      </c>
      <c r="V49" t="s">
        <v>2965</v>
      </c>
      <c r="X49" t="s">
        <v>2914</v>
      </c>
    </row>
    <row r="50" spans="1:24" ht="16" customHeight="1" x14ac:dyDescent="0.6">
      <c r="A50" t="s">
        <v>3106</v>
      </c>
      <c r="B50" t="s">
        <v>17</v>
      </c>
      <c r="C50" t="s">
        <v>2916</v>
      </c>
      <c r="E50" t="s">
        <v>2917</v>
      </c>
      <c r="F50">
        <v>3122639</v>
      </c>
      <c r="H50">
        <v>867140497</v>
      </c>
      <c r="I50">
        <v>150</v>
      </c>
      <c r="J50" s="98">
        <v>1</v>
      </c>
      <c r="K50" s="79">
        <v>46115.916666666664</v>
      </c>
      <c r="L50" t="s">
        <v>3107</v>
      </c>
      <c r="M50" t="s">
        <v>2910</v>
      </c>
      <c r="N50" s="99">
        <v>46115</v>
      </c>
      <c r="O50" s="75">
        <v>0.90625</v>
      </c>
      <c r="P50" t="s">
        <v>3108</v>
      </c>
      <c r="Q50" t="s">
        <v>1356</v>
      </c>
      <c r="R50" t="s">
        <v>3076</v>
      </c>
      <c r="S50" t="s">
        <v>1868</v>
      </c>
      <c r="T50" t="s">
        <v>3077</v>
      </c>
      <c r="V50" t="s">
        <v>3009</v>
      </c>
      <c r="X50" t="s">
        <v>2914</v>
      </c>
    </row>
    <row r="51" spans="1:24" ht="16" customHeight="1" x14ac:dyDescent="0.6">
      <c r="A51" t="s">
        <v>3109</v>
      </c>
      <c r="B51" t="s">
        <v>17</v>
      </c>
      <c r="C51" t="s">
        <v>3055</v>
      </c>
      <c r="E51" t="s">
        <v>2930</v>
      </c>
      <c r="F51">
        <v>3103523</v>
      </c>
      <c r="H51">
        <v>975083289</v>
      </c>
      <c r="I51">
        <v>50</v>
      </c>
      <c r="J51" s="98">
        <v>0.5</v>
      </c>
      <c r="K51" s="79">
        <v>46115.916666666664</v>
      </c>
      <c r="M51" t="s">
        <v>2910</v>
      </c>
      <c r="N51" s="99">
        <v>46115</v>
      </c>
      <c r="O51" t="s">
        <v>3110</v>
      </c>
      <c r="P51" t="s">
        <v>3111</v>
      </c>
      <c r="Q51" t="s">
        <v>967</v>
      </c>
      <c r="R51" t="s">
        <v>3112</v>
      </c>
      <c r="S51" t="s">
        <v>1868</v>
      </c>
      <c r="T51" t="s">
        <v>3113</v>
      </c>
      <c r="V51" t="s">
        <v>2947</v>
      </c>
      <c r="X51" t="s">
        <v>2914</v>
      </c>
    </row>
    <row r="52" spans="1:24" ht="16" customHeight="1" x14ac:dyDescent="0.6">
      <c r="A52" t="s">
        <v>3114</v>
      </c>
      <c r="B52" t="s">
        <v>17</v>
      </c>
      <c r="C52" t="s">
        <v>3047</v>
      </c>
      <c r="E52" t="s">
        <v>2917</v>
      </c>
      <c r="F52">
        <v>1765374</v>
      </c>
      <c r="H52">
        <v>377646101</v>
      </c>
      <c r="I52">
        <v>30</v>
      </c>
      <c r="J52" s="98">
        <v>0.5</v>
      </c>
      <c r="K52" s="79">
        <v>46115.90625</v>
      </c>
      <c r="M52" t="s">
        <v>2910</v>
      </c>
      <c r="N52" s="99">
        <v>46115</v>
      </c>
      <c r="O52" s="75">
        <v>0.93055555555555558</v>
      </c>
      <c r="P52" t="s">
        <v>3111</v>
      </c>
      <c r="Q52" t="s">
        <v>967</v>
      </c>
      <c r="R52" t="s">
        <v>3112</v>
      </c>
      <c r="S52" t="s">
        <v>1868</v>
      </c>
      <c r="T52" t="s">
        <v>3113</v>
      </c>
      <c r="V52" t="s">
        <v>2947</v>
      </c>
      <c r="X52" t="s">
        <v>2914</v>
      </c>
    </row>
    <row r="53" spans="1:24" ht="16" customHeight="1" x14ac:dyDescent="0.6">
      <c r="A53" t="s">
        <v>3115</v>
      </c>
      <c r="B53" t="s">
        <v>17</v>
      </c>
      <c r="C53" t="s">
        <v>2976</v>
      </c>
      <c r="E53" t="s">
        <v>2917</v>
      </c>
      <c r="F53">
        <v>3159958</v>
      </c>
      <c r="H53">
        <v>334774747</v>
      </c>
      <c r="I53">
        <v>85</v>
      </c>
      <c r="J53" s="98">
        <v>0.75</v>
      </c>
      <c r="K53" s="79">
        <v>46115.885416666664</v>
      </c>
      <c r="M53" t="s">
        <v>2910</v>
      </c>
      <c r="N53" s="99">
        <v>46115</v>
      </c>
      <c r="O53" s="75">
        <v>0.90625</v>
      </c>
      <c r="P53" t="s">
        <v>3116</v>
      </c>
      <c r="Q53" t="s">
        <v>967</v>
      </c>
      <c r="R53" t="s">
        <v>2932</v>
      </c>
      <c r="S53" t="s">
        <v>1868</v>
      </c>
      <c r="T53" t="s">
        <v>3117</v>
      </c>
      <c r="V53" t="s">
        <v>3009</v>
      </c>
      <c r="X53" t="s">
        <v>2914</v>
      </c>
    </row>
    <row r="54" spans="1:24" ht="16" customHeight="1" x14ac:dyDescent="0.6">
      <c r="A54" t="s">
        <v>3118</v>
      </c>
      <c r="B54" t="s">
        <v>17</v>
      </c>
      <c r="C54" t="s">
        <v>3093</v>
      </c>
      <c r="E54" t="s">
        <v>2930</v>
      </c>
      <c r="F54">
        <v>3135107</v>
      </c>
      <c r="H54">
        <v>344436412</v>
      </c>
      <c r="I54">
        <v>120</v>
      </c>
      <c r="J54" s="98">
        <v>1</v>
      </c>
      <c r="K54" s="79">
        <v>46116.1875</v>
      </c>
      <c r="M54" t="s">
        <v>2910</v>
      </c>
      <c r="N54" s="99">
        <v>46116</v>
      </c>
      <c r="O54" s="75">
        <v>0.22916666666666666</v>
      </c>
      <c r="P54" t="s">
        <v>3119</v>
      </c>
      <c r="Q54" t="s">
        <v>967</v>
      </c>
      <c r="R54" t="s">
        <v>3120</v>
      </c>
      <c r="S54" t="s">
        <v>1868</v>
      </c>
      <c r="T54" t="s">
        <v>3121</v>
      </c>
      <c r="X54" t="s">
        <v>2914</v>
      </c>
    </row>
    <row r="55" spans="1:24" ht="16" customHeight="1" x14ac:dyDescent="0.6">
      <c r="A55" t="s">
        <v>3122</v>
      </c>
      <c r="B55" t="s">
        <v>17</v>
      </c>
      <c r="C55" t="s">
        <v>3093</v>
      </c>
      <c r="E55" t="s">
        <v>2930</v>
      </c>
      <c r="F55">
        <v>3135107</v>
      </c>
      <c r="H55">
        <v>344436412</v>
      </c>
      <c r="I55">
        <v>120</v>
      </c>
      <c r="J55" s="98">
        <v>1</v>
      </c>
      <c r="K55" s="79">
        <v>46116.416666666664</v>
      </c>
      <c r="M55" t="s">
        <v>2910</v>
      </c>
      <c r="N55" s="99">
        <v>46116</v>
      </c>
      <c r="O55" s="75">
        <v>0.45833333333333331</v>
      </c>
      <c r="P55" t="s">
        <v>3123</v>
      </c>
      <c r="Q55" t="s">
        <v>967</v>
      </c>
      <c r="R55" t="s">
        <v>3124</v>
      </c>
      <c r="S55" t="s">
        <v>1868</v>
      </c>
      <c r="V55" t="s">
        <v>202</v>
      </c>
      <c r="X55" t="s">
        <v>2914</v>
      </c>
    </row>
    <row r="56" spans="1:24" ht="16" customHeight="1" x14ac:dyDescent="0.6">
      <c r="A56" t="s">
        <v>3125</v>
      </c>
      <c r="B56" t="s">
        <v>17</v>
      </c>
      <c r="C56" t="s">
        <v>3126</v>
      </c>
      <c r="E56" t="s">
        <v>2917</v>
      </c>
      <c r="F56">
        <v>3161362</v>
      </c>
      <c r="H56">
        <v>365992108</v>
      </c>
      <c r="I56">
        <v>150</v>
      </c>
      <c r="J56" s="98">
        <v>1</v>
      </c>
      <c r="K56" s="79">
        <v>46116.583333333336</v>
      </c>
      <c r="M56" t="s">
        <v>3029</v>
      </c>
      <c r="N56" s="99">
        <v>46116</v>
      </c>
      <c r="X56" t="s">
        <v>2914</v>
      </c>
    </row>
    <row r="57" spans="1:24" ht="16" customHeight="1" x14ac:dyDescent="0.6">
      <c r="A57" t="s">
        <v>3127</v>
      </c>
      <c r="B57" t="s">
        <v>17</v>
      </c>
      <c r="C57" t="s">
        <v>2976</v>
      </c>
      <c r="E57" t="s">
        <v>2917</v>
      </c>
      <c r="F57">
        <v>1871696</v>
      </c>
      <c r="H57">
        <v>774688086</v>
      </c>
      <c r="I57">
        <v>100</v>
      </c>
      <c r="J57" s="98">
        <v>1</v>
      </c>
      <c r="K57" s="79">
        <v>46116.625</v>
      </c>
      <c r="M57" t="s">
        <v>3029</v>
      </c>
      <c r="N57" s="99">
        <v>46116</v>
      </c>
      <c r="X57" t="s">
        <v>2914</v>
      </c>
    </row>
    <row r="58" spans="1:24" ht="16" customHeight="1" x14ac:dyDescent="0.6">
      <c r="A58" t="s">
        <v>3128</v>
      </c>
      <c r="B58" t="s">
        <v>17</v>
      </c>
      <c r="C58" t="s">
        <v>3129</v>
      </c>
      <c r="E58" t="s">
        <v>2930</v>
      </c>
      <c r="F58">
        <v>1882650</v>
      </c>
      <c r="H58">
        <v>775748473</v>
      </c>
      <c r="I58">
        <v>300</v>
      </c>
      <c r="J58" t="s">
        <v>2919</v>
      </c>
      <c r="K58" s="79">
        <v>46116.666666666664</v>
      </c>
      <c r="L58" t="s">
        <v>3130</v>
      </c>
      <c r="M58" t="s">
        <v>2910</v>
      </c>
      <c r="N58" s="99">
        <v>46116</v>
      </c>
      <c r="O58" s="75">
        <v>0.66666666666666663</v>
      </c>
      <c r="Q58" t="s">
        <v>967</v>
      </c>
      <c r="R58" t="s">
        <v>3131</v>
      </c>
      <c r="S58" t="s">
        <v>3096</v>
      </c>
      <c r="T58" t="s">
        <v>3132</v>
      </c>
      <c r="V58" t="s">
        <v>2965</v>
      </c>
      <c r="X58" t="s">
        <v>2914</v>
      </c>
    </row>
    <row r="59" spans="1:24" ht="16" customHeight="1" x14ac:dyDescent="0.6">
      <c r="A59" t="s">
        <v>3133</v>
      </c>
      <c r="B59" t="s">
        <v>17</v>
      </c>
      <c r="C59" t="s">
        <v>3093</v>
      </c>
      <c r="E59" t="s">
        <v>2930</v>
      </c>
      <c r="F59">
        <v>1872928</v>
      </c>
      <c r="H59">
        <v>344176032</v>
      </c>
      <c r="I59">
        <v>100</v>
      </c>
      <c r="J59" s="98">
        <v>1</v>
      </c>
      <c r="K59" s="79">
        <v>46116.916666666664</v>
      </c>
      <c r="L59" t="s">
        <v>3134</v>
      </c>
      <c r="M59" t="s">
        <v>2910</v>
      </c>
      <c r="N59" s="99">
        <v>46116</v>
      </c>
      <c r="O59" s="75">
        <v>0.91666666666666663</v>
      </c>
      <c r="P59" t="s">
        <v>3135</v>
      </c>
      <c r="Q59" t="s">
        <v>1356</v>
      </c>
      <c r="R59" t="s">
        <v>3136</v>
      </c>
      <c r="V59" t="s">
        <v>2965</v>
      </c>
      <c r="X59" t="s">
        <v>2914</v>
      </c>
    </row>
    <row r="60" spans="1:24" ht="16" customHeight="1" x14ac:dyDescent="0.6">
      <c r="A60" t="s">
        <v>3137</v>
      </c>
      <c r="B60" t="s">
        <v>17</v>
      </c>
      <c r="C60" t="s">
        <v>3041</v>
      </c>
      <c r="E60" t="s">
        <v>2909</v>
      </c>
      <c r="F60">
        <v>3132927</v>
      </c>
      <c r="G60" t="s">
        <v>3042</v>
      </c>
      <c r="H60">
        <v>367129993</v>
      </c>
      <c r="I60">
        <v>20</v>
      </c>
      <c r="J60" s="98">
        <v>1</v>
      </c>
      <c r="K60" s="79">
        <v>46116.864583333336</v>
      </c>
      <c r="L60" t="s">
        <v>3138</v>
      </c>
      <c r="M60" t="s">
        <v>2910</v>
      </c>
      <c r="N60" s="99">
        <v>46116</v>
      </c>
      <c r="O60" s="75">
        <v>0.91666666666666663</v>
      </c>
      <c r="P60" t="s">
        <v>3135</v>
      </c>
      <c r="Q60" t="s">
        <v>1356</v>
      </c>
      <c r="R60" t="s">
        <v>3136</v>
      </c>
      <c r="V60" t="s">
        <v>2965</v>
      </c>
      <c r="X60" t="s">
        <v>2914</v>
      </c>
    </row>
    <row r="61" spans="1:24" ht="16" customHeight="1" x14ac:dyDescent="0.6">
      <c r="A61" t="s">
        <v>3139</v>
      </c>
      <c r="B61" t="s">
        <v>17</v>
      </c>
      <c r="C61" t="s">
        <v>3126</v>
      </c>
      <c r="E61" t="s">
        <v>2930</v>
      </c>
      <c r="F61">
        <v>3124062</v>
      </c>
      <c r="H61">
        <v>966074753</v>
      </c>
      <c r="I61">
        <v>300</v>
      </c>
      <c r="J61" s="98">
        <v>1</v>
      </c>
      <c r="K61" s="79">
        <v>46116.8125</v>
      </c>
      <c r="M61" t="s">
        <v>2910</v>
      </c>
      <c r="N61" s="99">
        <v>46116</v>
      </c>
      <c r="O61" s="75">
        <v>0.91666666666666663</v>
      </c>
      <c r="P61" t="s">
        <v>3140</v>
      </c>
      <c r="Q61" t="s">
        <v>1356</v>
      </c>
      <c r="R61" t="s">
        <v>3136</v>
      </c>
      <c r="V61" t="s">
        <v>2965</v>
      </c>
      <c r="X61" t="s">
        <v>2914</v>
      </c>
    </row>
    <row r="62" spans="1:24" ht="16" customHeight="1" x14ac:dyDescent="0.6">
      <c r="A62" t="s">
        <v>3141</v>
      </c>
      <c r="B62" t="s">
        <v>17</v>
      </c>
      <c r="C62" t="s">
        <v>3142</v>
      </c>
      <c r="E62" t="s">
        <v>2917</v>
      </c>
      <c r="F62">
        <v>1714094</v>
      </c>
      <c r="G62" t="s">
        <v>3143</v>
      </c>
      <c r="H62">
        <v>961790126</v>
      </c>
      <c r="I62">
        <v>100</v>
      </c>
      <c r="J62" s="98">
        <v>0.75</v>
      </c>
      <c r="K62" s="79">
        <v>46116.75</v>
      </c>
      <c r="M62" t="s">
        <v>2910</v>
      </c>
      <c r="N62" s="99">
        <v>46116</v>
      </c>
      <c r="P62" t="s">
        <v>3144</v>
      </c>
      <c r="Q62" t="s">
        <v>967</v>
      </c>
      <c r="R62" t="s">
        <v>2932</v>
      </c>
      <c r="S62" t="s">
        <v>1868</v>
      </c>
      <c r="T62" t="s">
        <v>2933</v>
      </c>
      <c r="V62" t="s">
        <v>2965</v>
      </c>
      <c r="X62" t="s">
        <v>2914</v>
      </c>
    </row>
    <row r="63" spans="1:24" ht="16" customHeight="1" x14ac:dyDescent="0.6">
      <c r="A63" t="s">
        <v>3145</v>
      </c>
      <c r="B63" t="s">
        <v>17</v>
      </c>
      <c r="C63" t="s">
        <v>3129</v>
      </c>
      <c r="E63" t="s">
        <v>2930</v>
      </c>
      <c r="F63">
        <v>1882650</v>
      </c>
      <c r="H63">
        <v>775748473</v>
      </c>
      <c r="I63">
        <v>200</v>
      </c>
      <c r="J63" t="s">
        <v>2919</v>
      </c>
      <c r="K63" s="79">
        <v>46116.729166666664</v>
      </c>
      <c r="M63" t="s">
        <v>2910</v>
      </c>
      <c r="N63" s="99">
        <v>46116</v>
      </c>
      <c r="P63" t="s">
        <v>3146</v>
      </c>
      <c r="Q63" t="s">
        <v>967</v>
      </c>
      <c r="R63" t="s">
        <v>3033</v>
      </c>
      <c r="S63" t="s">
        <v>1868</v>
      </c>
      <c r="T63" t="s">
        <v>3087</v>
      </c>
      <c r="V63" t="s">
        <v>2965</v>
      </c>
      <c r="X63" t="s">
        <v>2914</v>
      </c>
    </row>
    <row r="64" spans="1:24" ht="16" customHeight="1" x14ac:dyDescent="0.6">
      <c r="A64" t="s">
        <v>3147</v>
      </c>
      <c r="B64" t="s">
        <v>17</v>
      </c>
      <c r="C64" t="s">
        <v>3049</v>
      </c>
      <c r="E64" t="s">
        <v>2930</v>
      </c>
      <c r="F64">
        <v>3121707</v>
      </c>
      <c r="H64">
        <v>931842110</v>
      </c>
      <c r="I64">
        <v>200</v>
      </c>
      <c r="J64" s="98">
        <v>1</v>
      </c>
      <c r="K64" s="79">
        <v>46116.895833333336</v>
      </c>
      <c r="M64" t="s">
        <v>2910</v>
      </c>
      <c r="N64" s="99">
        <v>46116</v>
      </c>
      <c r="P64" t="s">
        <v>3148</v>
      </c>
      <c r="Q64" t="s">
        <v>967</v>
      </c>
      <c r="R64" t="s">
        <v>3149</v>
      </c>
      <c r="S64" t="s">
        <v>1868</v>
      </c>
      <c r="T64" t="s">
        <v>3039</v>
      </c>
      <c r="V64" t="s">
        <v>202</v>
      </c>
      <c r="X64" t="s">
        <v>2914</v>
      </c>
    </row>
    <row r="65" spans="1:24" ht="16" customHeight="1" x14ac:dyDescent="0.6">
      <c r="A65" t="s">
        <v>3150</v>
      </c>
      <c r="B65" t="s">
        <v>17</v>
      </c>
      <c r="C65" t="s">
        <v>3049</v>
      </c>
      <c r="E65" t="s">
        <v>2930</v>
      </c>
      <c r="F65">
        <v>3121707</v>
      </c>
      <c r="H65">
        <v>931842110</v>
      </c>
      <c r="I65">
        <v>200</v>
      </c>
      <c r="J65" s="98">
        <v>1</v>
      </c>
      <c r="K65" s="79">
        <v>46116.916666666664</v>
      </c>
      <c r="M65" t="s">
        <v>2910</v>
      </c>
      <c r="N65" s="99">
        <v>46116</v>
      </c>
      <c r="O65" s="75">
        <v>0.875</v>
      </c>
      <c r="P65" t="s">
        <v>3151</v>
      </c>
      <c r="Q65" t="s">
        <v>1356</v>
      </c>
      <c r="R65" t="s">
        <v>3136</v>
      </c>
      <c r="S65" t="s">
        <v>1868</v>
      </c>
      <c r="V65" t="s">
        <v>3152</v>
      </c>
      <c r="X65" t="s">
        <v>2914</v>
      </c>
    </row>
    <row r="66" spans="1:24" ht="16" customHeight="1" x14ac:dyDescent="0.6">
      <c r="A66" t="s">
        <v>3153</v>
      </c>
      <c r="B66" t="s">
        <v>17</v>
      </c>
      <c r="C66" t="s">
        <v>3154</v>
      </c>
      <c r="E66" t="s">
        <v>2930</v>
      </c>
      <c r="F66">
        <v>3110684</v>
      </c>
      <c r="H66">
        <v>931249063</v>
      </c>
      <c r="I66">
        <v>100</v>
      </c>
      <c r="J66" s="98">
        <v>0.5</v>
      </c>
      <c r="K66" s="79">
        <v>46116.885416666664</v>
      </c>
      <c r="M66" t="s">
        <v>2910</v>
      </c>
      <c r="N66" s="99">
        <v>46116</v>
      </c>
      <c r="O66" s="75">
        <v>0.9375</v>
      </c>
      <c r="P66" t="s">
        <v>3155</v>
      </c>
      <c r="Q66" t="s">
        <v>967</v>
      </c>
      <c r="R66" t="s">
        <v>2988</v>
      </c>
      <c r="S66" t="s">
        <v>1868</v>
      </c>
      <c r="T66" t="s">
        <v>2989</v>
      </c>
      <c r="V66" t="s">
        <v>2965</v>
      </c>
      <c r="X66" t="s">
        <v>2914</v>
      </c>
    </row>
    <row r="67" spans="1:24" ht="16" customHeight="1" x14ac:dyDescent="0.6">
      <c r="A67" t="s">
        <v>3156</v>
      </c>
      <c r="B67" t="s">
        <v>17</v>
      </c>
      <c r="C67" t="s">
        <v>3157</v>
      </c>
      <c r="E67" t="s">
        <v>2917</v>
      </c>
      <c r="F67">
        <v>3127793</v>
      </c>
      <c r="H67">
        <v>949421315</v>
      </c>
      <c r="I67">
        <v>100</v>
      </c>
      <c r="J67" s="98">
        <v>1</v>
      </c>
      <c r="K67" s="79">
        <v>46116.75</v>
      </c>
      <c r="M67" t="s">
        <v>2955</v>
      </c>
      <c r="N67" s="99">
        <v>46116</v>
      </c>
      <c r="X67" t="s">
        <v>2914</v>
      </c>
    </row>
    <row r="68" spans="1:24" ht="16" customHeight="1" x14ac:dyDescent="0.6">
      <c r="A68" t="s">
        <v>3158</v>
      </c>
      <c r="B68" t="s">
        <v>17</v>
      </c>
      <c r="C68" t="s">
        <v>3157</v>
      </c>
      <c r="E68" t="s">
        <v>2917</v>
      </c>
      <c r="F68">
        <v>3127793</v>
      </c>
      <c r="H68">
        <v>949421315</v>
      </c>
      <c r="I68">
        <v>100</v>
      </c>
      <c r="J68" s="98">
        <v>1</v>
      </c>
      <c r="K68" s="79">
        <v>46116.875</v>
      </c>
      <c r="M68" t="s">
        <v>2910</v>
      </c>
      <c r="N68" s="99">
        <v>46116</v>
      </c>
      <c r="O68" t="s">
        <v>3159</v>
      </c>
      <c r="P68" t="s">
        <v>3160</v>
      </c>
      <c r="Q68" t="s">
        <v>1356</v>
      </c>
      <c r="R68" t="s">
        <v>3136</v>
      </c>
      <c r="S68" t="s">
        <v>1868</v>
      </c>
      <c r="V68" t="s">
        <v>2965</v>
      </c>
      <c r="X68" t="s">
        <v>2914</v>
      </c>
    </row>
    <row r="69" spans="1:24" ht="16" customHeight="1" x14ac:dyDescent="0.6">
      <c r="A69" t="s">
        <v>3161</v>
      </c>
      <c r="B69" t="s">
        <v>17</v>
      </c>
      <c r="C69" t="s">
        <v>2994</v>
      </c>
      <c r="E69" t="s">
        <v>2909</v>
      </c>
      <c r="F69">
        <v>2033804</v>
      </c>
      <c r="H69">
        <v>396799427</v>
      </c>
      <c r="I69">
        <v>100</v>
      </c>
      <c r="J69" s="98">
        <v>1</v>
      </c>
      <c r="K69" s="79">
        <v>46116.916666666664</v>
      </c>
      <c r="M69" t="s">
        <v>2910</v>
      </c>
      <c r="N69" s="99">
        <v>46116</v>
      </c>
      <c r="O69" s="75">
        <v>0.88888888888888884</v>
      </c>
      <c r="P69" t="s">
        <v>3162</v>
      </c>
      <c r="Q69" t="s">
        <v>967</v>
      </c>
      <c r="R69" t="s">
        <v>3016</v>
      </c>
      <c r="S69" t="s">
        <v>1868</v>
      </c>
      <c r="V69" t="s">
        <v>202</v>
      </c>
      <c r="X69" t="s">
        <v>2914</v>
      </c>
    </row>
    <row r="70" spans="1:24" ht="16" customHeight="1" x14ac:dyDescent="0.6">
      <c r="A70" t="s">
        <v>3163</v>
      </c>
      <c r="B70" t="s">
        <v>17</v>
      </c>
      <c r="C70" t="s">
        <v>3164</v>
      </c>
      <c r="E70" t="s">
        <v>2930</v>
      </c>
      <c r="F70">
        <v>3003002</v>
      </c>
      <c r="G70" t="s">
        <v>3165</v>
      </c>
      <c r="H70">
        <v>764975766</v>
      </c>
      <c r="I70">
        <v>100</v>
      </c>
      <c r="J70" s="98">
        <v>1</v>
      </c>
      <c r="K70" s="79">
        <v>46116.833333333336</v>
      </c>
      <c r="M70" t="s">
        <v>2910</v>
      </c>
      <c r="N70" s="99">
        <v>46116</v>
      </c>
      <c r="P70" t="s">
        <v>3166</v>
      </c>
      <c r="Q70" t="s">
        <v>1356</v>
      </c>
      <c r="R70" t="s">
        <v>3136</v>
      </c>
      <c r="S70" t="s">
        <v>3096</v>
      </c>
      <c r="V70" t="s">
        <v>3152</v>
      </c>
      <c r="X70" t="s">
        <v>2914</v>
      </c>
    </row>
    <row r="71" spans="1:24" ht="16" customHeight="1" x14ac:dyDescent="0.6">
      <c r="A71" t="s">
        <v>3167</v>
      </c>
      <c r="B71" t="s">
        <v>17</v>
      </c>
      <c r="C71" t="s">
        <v>2957</v>
      </c>
      <c r="E71" t="s">
        <v>2909</v>
      </c>
      <c r="F71">
        <v>1802852</v>
      </c>
      <c r="H71">
        <v>974607460</v>
      </c>
      <c r="I71">
        <v>100</v>
      </c>
      <c r="J71" s="98">
        <v>0.75</v>
      </c>
      <c r="K71" s="79">
        <v>46116.875</v>
      </c>
      <c r="M71" t="s">
        <v>2910</v>
      </c>
      <c r="N71" s="99">
        <v>46116</v>
      </c>
      <c r="O71" s="75">
        <v>0.91666666666666663</v>
      </c>
      <c r="P71" t="s">
        <v>3168</v>
      </c>
      <c r="Q71" t="s">
        <v>967</v>
      </c>
      <c r="R71" t="s">
        <v>2937</v>
      </c>
      <c r="S71" t="s">
        <v>1868</v>
      </c>
      <c r="V71" t="s">
        <v>202</v>
      </c>
      <c r="X71" t="s">
        <v>2914</v>
      </c>
    </row>
    <row r="72" spans="1:24" ht="16" customHeight="1" x14ac:dyDescent="0.6">
      <c r="A72" t="s">
        <v>3169</v>
      </c>
      <c r="B72" t="s">
        <v>17</v>
      </c>
      <c r="C72" t="s">
        <v>3101</v>
      </c>
      <c r="E72" t="s">
        <v>2917</v>
      </c>
      <c r="F72">
        <v>3126032</v>
      </c>
      <c r="H72">
        <v>378799783</v>
      </c>
      <c r="I72">
        <v>129</v>
      </c>
      <c r="J72" s="98">
        <v>1</v>
      </c>
      <c r="K72" s="79">
        <v>46116.9375</v>
      </c>
      <c r="M72" t="s">
        <v>2910</v>
      </c>
      <c r="N72" s="99">
        <v>46116</v>
      </c>
      <c r="P72" t="s">
        <v>3170</v>
      </c>
      <c r="Q72" t="s">
        <v>1356</v>
      </c>
      <c r="R72" t="s">
        <v>3136</v>
      </c>
      <c r="S72" t="s">
        <v>1868</v>
      </c>
      <c r="V72" t="s">
        <v>2965</v>
      </c>
      <c r="X72" t="s">
        <v>2914</v>
      </c>
    </row>
    <row r="73" spans="1:24" ht="16" customHeight="1" x14ac:dyDescent="0.6">
      <c r="A73" t="s">
        <v>3171</v>
      </c>
      <c r="B73" t="s">
        <v>17</v>
      </c>
      <c r="C73" t="s">
        <v>3157</v>
      </c>
      <c r="E73" t="s">
        <v>2917</v>
      </c>
      <c r="F73">
        <v>3127793</v>
      </c>
      <c r="H73">
        <v>949421315</v>
      </c>
      <c r="I73">
        <v>100</v>
      </c>
      <c r="J73" s="98">
        <v>1</v>
      </c>
      <c r="K73" s="79">
        <v>46116.916666666664</v>
      </c>
      <c r="M73" t="s">
        <v>2910</v>
      </c>
      <c r="N73" s="99">
        <v>46116</v>
      </c>
      <c r="O73" s="75">
        <v>0.89583333333333337</v>
      </c>
      <c r="P73" t="s">
        <v>3172</v>
      </c>
      <c r="Q73" t="s">
        <v>967</v>
      </c>
      <c r="R73" t="s">
        <v>3173</v>
      </c>
      <c r="S73" t="s">
        <v>1868</v>
      </c>
      <c r="V73" t="s">
        <v>2965</v>
      </c>
      <c r="X73" t="s">
        <v>2914</v>
      </c>
    </row>
    <row r="74" spans="1:24" ht="16" customHeight="1" x14ac:dyDescent="0.6">
      <c r="A74" t="s">
        <v>3174</v>
      </c>
      <c r="B74" t="s">
        <v>17</v>
      </c>
      <c r="C74" t="s">
        <v>3022</v>
      </c>
      <c r="E74" t="s">
        <v>2930</v>
      </c>
      <c r="F74">
        <v>3135714</v>
      </c>
      <c r="G74" t="s">
        <v>3175</v>
      </c>
      <c r="H74">
        <v>333124453</v>
      </c>
      <c r="I74">
        <v>300</v>
      </c>
      <c r="J74" s="98">
        <v>0.75</v>
      </c>
      <c r="K74" s="79">
        <v>46116.875</v>
      </c>
      <c r="L74" t="s">
        <v>3176</v>
      </c>
      <c r="M74" t="s">
        <v>2910</v>
      </c>
      <c r="N74" s="99">
        <v>46116</v>
      </c>
      <c r="P74" t="s">
        <v>3177</v>
      </c>
      <c r="Q74" t="s">
        <v>1356</v>
      </c>
      <c r="R74" t="s">
        <v>3136</v>
      </c>
      <c r="S74" t="s">
        <v>3096</v>
      </c>
      <c r="V74" t="s">
        <v>3152</v>
      </c>
      <c r="X74" t="s">
        <v>2914</v>
      </c>
    </row>
    <row r="75" spans="1:24" ht="16" customHeight="1" x14ac:dyDescent="0.6">
      <c r="A75" t="s">
        <v>3178</v>
      </c>
      <c r="B75" t="s">
        <v>17</v>
      </c>
      <c r="C75" t="s">
        <v>3179</v>
      </c>
      <c r="E75" t="s">
        <v>2909</v>
      </c>
      <c r="F75">
        <v>3149706</v>
      </c>
      <c r="G75" t="s">
        <v>3180</v>
      </c>
      <c r="H75">
        <v>706395955</v>
      </c>
      <c r="I75">
        <v>100</v>
      </c>
      <c r="J75" s="98">
        <v>0.75</v>
      </c>
      <c r="K75" s="79">
        <v>46116.833333333336</v>
      </c>
      <c r="M75" t="s">
        <v>2910</v>
      </c>
      <c r="N75" s="99">
        <v>46116</v>
      </c>
      <c r="P75" t="s">
        <v>3181</v>
      </c>
      <c r="Q75" t="s">
        <v>967</v>
      </c>
      <c r="R75" t="s">
        <v>3182</v>
      </c>
      <c r="S75" t="s">
        <v>1868</v>
      </c>
      <c r="V75" t="s">
        <v>202</v>
      </c>
      <c r="X75" t="s">
        <v>2914</v>
      </c>
    </row>
    <row r="76" spans="1:24" ht="16" customHeight="1" x14ac:dyDescent="0.6">
      <c r="A76" t="s">
        <v>3183</v>
      </c>
      <c r="B76" t="s">
        <v>17</v>
      </c>
      <c r="C76" t="s">
        <v>3031</v>
      </c>
      <c r="E76" t="s">
        <v>2917</v>
      </c>
      <c r="F76">
        <v>3152729</v>
      </c>
      <c r="H76">
        <v>941792245</v>
      </c>
      <c r="I76">
        <v>70</v>
      </c>
      <c r="J76" s="98">
        <v>1</v>
      </c>
      <c r="K76" s="79">
        <v>46116.916666666664</v>
      </c>
      <c r="M76" t="s">
        <v>2910</v>
      </c>
      <c r="N76" s="99">
        <v>46116</v>
      </c>
      <c r="P76" t="s">
        <v>3184</v>
      </c>
      <c r="Q76" t="s">
        <v>967</v>
      </c>
      <c r="R76" t="s">
        <v>2932</v>
      </c>
      <c r="S76" t="s">
        <v>1868</v>
      </c>
      <c r="V76" t="s">
        <v>2965</v>
      </c>
      <c r="X76" t="s">
        <v>2914</v>
      </c>
    </row>
    <row r="77" spans="1:24" ht="16" customHeight="1" x14ac:dyDescent="0.6">
      <c r="A77" t="s">
        <v>3185</v>
      </c>
      <c r="B77" t="s">
        <v>17</v>
      </c>
      <c r="C77" t="s">
        <v>3041</v>
      </c>
      <c r="E77" t="s">
        <v>2917</v>
      </c>
      <c r="F77">
        <v>3091343</v>
      </c>
      <c r="G77" t="s">
        <v>3186</v>
      </c>
      <c r="H77">
        <v>906898492</v>
      </c>
      <c r="I77">
        <v>100</v>
      </c>
      <c r="J77" s="98">
        <v>1</v>
      </c>
      <c r="K77" s="79">
        <v>46116.895833333336</v>
      </c>
      <c r="L77" t="s">
        <v>3187</v>
      </c>
      <c r="M77" t="s">
        <v>2910</v>
      </c>
      <c r="N77" s="99">
        <v>46116</v>
      </c>
      <c r="P77" t="s">
        <v>3135</v>
      </c>
      <c r="R77" t="s">
        <v>3136</v>
      </c>
      <c r="V77" t="s">
        <v>2965</v>
      </c>
      <c r="X77" t="s">
        <v>2914</v>
      </c>
    </row>
    <row r="78" spans="1:24" ht="16" customHeight="1" x14ac:dyDescent="0.6">
      <c r="A78" t="s">
        <v>3188</v>
      </c>
      <c r="B78" t="s">
        <v>17</v>
      </c>
      <c r="C78" t="s">
        <v>3055</v>
      </c>
      <c r="E78" t="s">
        <v>2930</v>
      </c>
      <c r="F78">
        <v>3152447</v>
      </c>
      <c r="H78">
        <v>975083289</v>
      </c>
      <c r="I78">
        <v>40</v>
      </c>
      <c r="J78" s="98">
        <v>0.5</v>
      </c>
      <c r="K78" s="79">
        <v>46116.916666666664</v>
      </c>
      <c r="M78" t="s">
        <v>2910</v>
      </c>
      <c r="N78" s="99">
        <v>46116</v>
      </c>
      <c r="O78" s="75">
        <v>0.93055555555555558</v>
      </c>
      <c r="P78" t="s">
        <v>3189</v>
      </c>
      <c r="Q78" t="s">
        <v>967</v>
      </c>
      <c r="R78" t="s">
        <v>3190</v>
      </c>
      <c r="S78" t="s">
        <v>1868</v>
      </c>
      <c r="T78" t="s">
        <v>3026</v>
      </c>
      <c r="V78" t="s">
        <v>2965</v>
      </c>
      <c r="X78" t="s">
        <v>2914</v>
      </c>
    </row>
    <row r="79" spans="1:24" ht="16" customHeight="1" x14ac:dyDescent="0.6">
      <c r="A79" t="s">
        <v>3191</v>
      </c>
      <c r="B79" t="s">
        <v>17</v>
      </c>
      <c r="C79" t="s">
        <v>3093</v>
      </c>
      <c r="E79" t="s">
        <v>2930</v>
      </c>
      <c r="F79">
        <v>3135107</v>
      </c>
      <c r="H79">
        <v>344436412</v>
      </c>
      <c r="I79">
        <v>400</v>
      </c>
      <c r="J79" t="s">
        <v>2919</v>
      </c>
      <c r="K79" s="79">
        <v>46116.9375</v>
      </c>
      <c r="L79" t="s">
        <v>3192</v>
      </c>
      <c r="M79" t="s">
        <v>2910</v>
      </c>
      <c r="N79" s="99">
        <v>46116</v>
      </c>
      <c r="O79" s="75">
        <v>0.94791666666666663</v>
      </c>
      <c r="P79" t="s">
        <v>3193</v>
      </c>
      <c r="Q79" t="s">
        <v>967</v>
      </c>
      <c r="R79" t="s">
        <v>2973</v>
      </c>
      <c r="S79" t="s">
        <v>1868</v>
      </c>
      <c r="T79" t="s">
        <v>2933</v>
      </c>
      <c r="V79" t="s">
        <v>2965</v>
      </c>
      <c r="X79" t="s">
        <v>2914</v>
      </c>
    </row>
    <row r="80" spans="1:24" ht="16" customHeight="1" x14ac:dyDescent="0.6">
      <c r="A80" t="s">
        <v>3194</v>
      </c>
      <c r="B80" t="s">
        <v>17</v>
      </c>
      <c r="C80" t="s">
        <v>2916</v>
      </c>
      <c r="E80" t="s">
        <v>2917</v>
      </c>
      <c r="F80">
        <v>3122639</v>
      </c>
      <c r="G80" t="s">
        <v>2918</v>
      </c>
      <c r="H80">
        <v>867140497</v>
      </c>
      <c r="I80">
        <v>100</v>
      </c>
      <c r="J80" s="98">
        <v>1</v>
      </c>
      <c r="K80" s="79">
        <v>46116.916666666664</v>
      </c>
      <c r="L80" t="s">
        <v>3195</v>
      </c>
      <c r="M80" t="s">
        <v>2910</v>
      </c>
      <c r="N80" s="99">
        <v>46116</v>
      </c>
      <c r="P80" t="s">
        <v>3196</v>
      </c>
      <c r="X80" t="s">
        <v>2914</v>
      </c>
    </row>
    <row r="81" spans="1:24" ht="16" customHeight="1" x14ac:dyDescent="0.6">
      <c r="A81" t="s">
        <v>3197</v>
      </c>
      <c r="B81" t="s">
        <v>17</v>
      </c>
      <c r="C81" t="s">
        <v>2976</v>
      </c>
      <c r="E81" t="s">
        <v>2917</v>
      </c>
      <c r="F81">
        <v>3159958</v>
      </c>
      <c r="H81">
        <v>334774747</v>
      </c>
      <c r="I81">
        <v>85</v>
      </c>
      <c r="J81" s="98">
        <v>0.75</v>
      </c>
      <c r="K81" s="79">
        <v>46116.90625</v>
      </c>
      <c r="M81" t="s">
        <v>2955</v>
      </c>
      <c r="N81" s="99">
        <v>46116</v>
      </c>
      <c r="X81" t="s">
        <v>2914</v>
      </c>
    </row>
    <row r="82" spans="1:24" ht="16" customHeight="1" x14ac:dyDescent="0.6">
      <c r="A82" t="s">
        <v>3198</v>
      </c>
      <c r="B82" t="s">
        <v>17</v>
      </c>
      <c r="C82" t="s">
        <v>3199</v>
      </c>
      <c r="E82" t="s">
        <v>2917</v>
      </c>
      <c r="F82">
        <v>3129881</v>
      </c>
      <c r="H82">
        <v>868945203</v>
      </c>
      <c r="I82">
        <v>150</v>
      </c>
      <c r="J82" s="98">
        <v>1</v>
      </c>
      <c r="K82" s="79">
        <v>46116.90625</v>
      </c>
      <c r="M82" t="s">
        <v>2910</v>
      </c>
      <c r="N82" s="99">
        <v>46116</v>
      </c>
      <c r="P82" t="s">
        <v>3196</v>
      </c>
      <c r="X82" t="s">
        <v>2914</v>
      </c>
    </row>
    <row r="83" spans="1:24" ht="16" customHeight="1" x14ac:dyDescent="0.6">
      <c r="A83" t="s">
        <v>3200</v>
      </c>
      <c r="B83" t="s">
        <v>17</v>
      </c>
      <c r="C83" t="s">
        <v>2976</v>
      </c>
      <c r="E83" t="s">
        <v>2917</v>
      </c>
      <c r="F83">
        <v>3159958</v>
      </c>
      <c r="H83">
        <v>334774747</v>
      </c>
      <c r="I83">
        <v>95</v>
      </c>
      <c r="J83" s="98">
        <v>1</v>
      </c>
      <c r="K83" s="79">
        <v>46116.927083333336</v>
      </c>
      <c r="M83" t="s">
        <v>2910</v>
      </c>
      <c r="N83" s="99">
        <v>46116</v>
      </c>
      <c r="P83" t="s">
        <v>3201</v>
      </c>
      <c r="Q83" t="s">
        <v>1356</v>
      </c>
      <c r="R83" t="s">
        <v>3202</v>
      </c>
      <c r="S83" t="s">
        <v>1868</v>
      </c>
      <c r="T83" t="s">
        <v>3203</v>
      </c>
      <c r="V83" t="s">
        <v>2965</v>
      </c>
      <c r="X83" t="s">
        <v>2914</v>
      </c>
    </row>
    <row r="84" spans="1:24" ht="16" customHeight="1" x14ac:dyDescent="0.6">
      <c r="A84" t="s">
        <v>3204</v>
      </c>
      <c r="B84" t="s">
        <v>17</v>
      </c>
      <c r="C84" t="s">
        <v>3005</v>
      </c>
      <c r="E84" t="s">
        <v>2917</v>
      </c>
      <c r="F84">
        <v>3152949</v>
      </c>
      <c r="H84">
        <v>903892201</v>
      </c>
      <c r="I84">
        <v>40</v>
      </c>
      <c r="J84" s="98">
        <v>0.5</v>
      </c>
      <c r="K84" s="79">
        <v>46116.916666666664</v>
      </c>
      <c r="M84" t="s">
        <v>2910</v>
      </c>
      <c r="N84" s="99">
        <v>46116</v>
      </c>
      <c r="P84" t="s">
        <v>3196</v>
      </c>
      <c r="V84" t="s">
        <v>2965</v>
      </c>
      <c r="X84" t="s">
        <v>2914</v>
      </c>
    </row>
    <row r="85" spans="1:24" ht="16" customHeight="1" x14ac:dyDescent="0.6">
      <c r="A85" t="s">
        <v>3205</v>
      </c>
      <c r="B85" t="s">
        <v>17</v>
      </c>
      <c r="C85" t="s">
        <v>2939</v>
      </c>
      <c r="E85" t="s">
        <v>2917</v>
      </c>
      <c r="F85">
        <v>3152551</v>
      </c>
      <c r="H85">
        <v>866782808</v>
      </c>
      <c r="I85">
        <v>50</v>
      </c>
      <c r="J85" s="98">
        <v>0.5</v>
      </c>
      <c r="K85" s="79">
        <v>46116.90625</v>
      </c>
      <c r="M85" t="s">
        <v>3206</v>
      </c>
      <c r="N85" s="99">
        <v>46116</v>
      </c>
      <c r="X85" t="s">
        <v>2914</v>
      </c>
    </row>
    <row r="86" spans="1:24" ht="16" customHeight="1" x14ac:dyDescent="0.6">
      <c r="A86" t="s">
        <v>3207</v>
      </c>
      <c r="B86" t="s">
        <v>17</v>
      </c>
      <c r="C86" t="s">
        <v>3208</v>
      </c>
      <c r="E86" t="s">
        <v>2930</v>
      </c>
      <c r="F86">
        <v>3145764</v>
      </c>
      <c r="H86">
        <v>944297184</v>
      </c>
      <c r="I86">
        <v>100</v>
      </c>
      <c r="J86" s="98">
        <v>0.5</v>
      </c>
      <c r="K86" s="79">
        <v>46116.916666666664</v>
      </c>
      <c r="M86" t="s">
        <v>2910</v>
      </c>
      <c r="N86" s="99">
        <v>46116</v>
      </c>
      <c r="O86" s="75">
        <v>0.91666666666666663</v>
      </c>
      <c r="P86" t="s">
        <v>3209</v>
      </c>
      <c r="Q86" t="s">
        <v>967</v>
      </c>
      <c r="R86" t="s">
        <v>3210</v>
      </c>
      <c r="S86" t="s">
        <v>1868</v>
      </c>
      <c r="T86" t="s">
        <v>3063</v>
      </c>
      <c r="V86" t="s">
        <v>2965</v>
      </c>
      <c r="X86" t="s">
        <v>2914</v>
      </c>
    </row>
    <row r="87" spans="1:24" ht="16" customHeight="1" x14ac:dyDescent="0.6">
      <c r="A87" t="s">
        <v>3211</v>
      </c>
      <c r="B87" t="s">
        <v>17</v>
      </c>
      <c r="C87" t="s">
        <v>3047</v>
      </c>
      <c r="E87" t="s">
        <v>2917</v>
      </c>
      <c r="F87">
        <v>1765374</v>
      </c>
      <c r="H87">
        <v>377646101</v>
      </c>
      <c r="I87">
        <v>20</v>
      </c>
      <c r="J87" s="98">
        <v>0.5</v>
      </c>
      <c r="K87" s="79">
        <v>46116.90625</v>
      </c>
      <c r="M87" t="s">
        <v>2910</v>
      </c>
      <c r="N87" s="99">
        <v>46116</v>
      </c>
      <c r="O87" s="75">
        <v>0.90625</v>
      </c>
      <c r="P87" t="s">
        <v>3189</v>
      </c>
      <c r="Q87" t="s">
        <v>967</v>
      </c>
      <c r="R87" t="s">
        <v>3190</v>
      </c>
      <c r="S87" t="s">
        <v>1868</v>
      </c>
      <c r="T87" t="s">
        <v>3026</v>
      </c>
      <c r="V87" t="s">
        <v>2965</v>
      </c>
      <c r="X87" t="s">
        <v>2914</v>
      </c>
    </row>
    <row r="88" spans="1:24" ht="16" customHeight="1" x14ac:dyDescent="0.6">
      <c r="A88" t="s">
        <v>3212</v>
      </c>
      <c r="B88" t="s">
        <v>17</v>
      </c>
      <c r="C88" t="s">
        <v>3213</v>
      </c>
      <c r="E88" t="s">
        <v>2909</v>
      </c>
      <c r="F88">
        <v>3154964</v>
      </c>
      <c r="H88">
        <v>942439849</v>
      </c>
      <c r="I88">
        <v>20</v>
      </c>
      <c r="J88" s="98">
        <v>0.5</v>
      </c>
      <c r="K88" s="79">
        <v>46116.385416666664</v>
      </c>
      <c r="M88" t="s">
        <v>2910</v>
      </c>
      <c r="N88" s="99">
        <v>46116</v>
      </c>
      <c r="O88" s="75">
        <v>0.90625</v>
      </c>
      <c r="P88" t="s">
        <v>3214</v>
      </c>
      <c r="Q88" t="s">
        <v>967</v>
      </c>
      <c r="R88" t="s">
        <v>3058</v>
      </c>
      <c r="S88" t="s">
        <v>1868</v>
      </c>
      <c r="T88" t="s">
        <v>3215</v>
      </c>
      <c r="V88" t="s">
        <v>202</v>
      </c>
      <c r="X88" t="s">
        <v>2914</v>
      </c>
    </row>
    <row r="89" spans="1:24" ht="16" customHeight="1" x14ac:dyDescent="0.6">
      <c r="A89" t="s">
        <v>3216</v>
      </c>
      <c r="B89" t="s">
        <v>17</v>
      </c>
      <c r="C89" t="s">
        <v>3217</v>
      </c>
      <c r="E89" t="s">
        <v>2909</v>
      </c>
      <c r="F89">
        <v>3135903</v>
      </c>
      <c r="H89">
        <v>983727217</v>
      </c>
      <c r="I89">
        <v>150</v>
      </c>
      <c r="J89" s="98">
        <v>0.75</v>
      </c>
      <c r="K89" s="79">
        <v>46116.895833333336</v>
      </c>
      <c r="M89" t="s">
        <v>2910</v>
      </c>
      <c r="N89" s="99">
        <v>46116</v>
      </c>
      <c r="O89" s="75">
        <v>0.92708333333333337</v>
      </c>
      <c r="P89" t="s">
        <v>3214</v>
      </c>
      <c r="Q89" t="s">
        <v>967</v>
      </c>
      <c r="R89" t="s">
        <v>3058</v>
      </c>
      <c r="S89" t="s">
        <v>1868</v>
      </c>
      <c r="T89" t="s">
        <v>3215</v>
      </c>
      <c r="V89" t="s">
        <v>202</v>
      </c>
      <c r="X89" t="s">
        <v>2914</v>
      </c>
    </row>
    <row r="90" spans="1:24" ht="16" customHeight="1" x14ac:dyDescent="0.6">
      <c r="A90" t="s">
        <v>3218</v>
      </c>
      <c r="B90" t="s">
        <v>17</v>
      </c>
      <c r="C90" t="s">
        <v>3093</v>
      </c>
      <c r="E90" t="s">
        <v>2930</v>
      </c>
      <c r="F90">
        <v>3135107</v>
      </c>
      <c r="H90">
        <v>344436412</v>
      </c>
      <c r="I90">
        <v>120</v>
      </c>
      <c r="J90" s="98">
        <v>1</v>
      </c>
      <c r="K90" s="79">
        <v>46117.1875</v>
      </c>
      <c r="M90" t="s">
        <v>2910</v>
      </c>
      <c r="N90" s="99">
        <v>46146</v>
      </c>
      <c r="O90" s="75">
        <v>0.20833333333333334</v>
      </c>
      <c r="P90" t="s">
        <v>3219</v>
      </c>
      <c r="Q90" t="s">
        <v>967</v>
      </c>
      <c r="X90" t="s">
        <v>2914</v>
      </c>
    </row>
    <row r="91" spans="1:24" ht="16" customHeight="1" x14ac:dyDescent="0.6">
      <c r="A91" t="s">
        <v>3220</v>
      </c>
      <c r="B91" t="s">
        <v>17</v>
      </c>
      <c r="C91" t="s">
        <v>3221</v>
      </c>
      <c r="E91" t="s">
        <v>2917</v>
      </c>
      <c r="F91">
        <v>3151831</v>
      </c>
      <c r="H91">
        <v>908404630</v>
      </c>
      <c r="I91">
        <v>30</v>
      </c>
      <c r="J91" s="98">
        <v>0.3</v>
      </c>
      <c r="K91" s="79">
        <v>46117.208333333336</v>
      </c>
      <c r="L91" t="s">
        <v>3222</v>
      </c>
      <c r="M91" t="s">
        <v>2910</v>
      </c>
      <c r="N91" s="99">
        <v>46146</v>
      </c>
      <c r="O91" s="75">
        <v>0.20833333333333334</v>
      </c>
      <c r="P91" t="s">
        <v>3223</v>
      </c>
      <c r="Q91" t="s">
        <v>967</v>
      </c>
      <c r="R91" t="s">
        <v>3224</v>
      </c>
      <c r="S91" t="s">
        <v>1868</v>
      </c>
      <c r="T91" t="s">
        <v>3225</v>
      </c>
      <c r="X91" t="s">
        <v>2914</v>
      </c>
    </row>
    <row r="92" spans="1:24" ht="16" customHeight="1" x14ac:dyDescent="0.6">
      <c r="A92" t="s">
        <v>3226</v>
      </c>
      <c r="B92" t="s">
        <v>17</v>
      </c>
      <c r="C92" t="s">
        <v>3036</v>
      </c>
      <c r="E92" t="s">
        <v>2917</v>
      </c>
      <c r="F92">
        <v>3156430</v>
      </c>
      <c r="G92" t="s">
        <v>3227</v>
      </c>
      <c r="H92">
        <v>382049610</v>
      </c>
      <c r="I92">
        <v>80</v>
      </c>
      <c r="J92" s="98">
        <v>1</v>
      </c>
      <c r="K92" s="79">
        <v>46116.9375</v>
      </c>
      <c r="M92" t="s">
        <v>2910</v>
      </c>
      <c r="N92" s="99">
        <v>46116</v>
      </c>
      <c r="O92" s="75">
        <v>0.9375</v>
      </c>
      <c r="P92" t="s">
        <v>3228</v>
      </c>
      <c r="Q92" t="s">
        <v>967</v>
      </c>
      <c r="R92" t="s">
        <v>3229</v>
      </c>
      <c r="S92" t="s">
        <v>1868</v>
      </c>
      <c r="T92" t="s">
        <v>3230</v>
      </c>
      <c r="V92" t="s">
        <v>2947</v>
      </c>
      <c r="X92" t="s">
        <v>2914</v>
      </c>
    </row>
    <row r="93" spans="1:24" ht="16" customHeight="1" x14ac:dyDescent="0.6">
      <c r="A93" t="s">
        <v>3231</v>
      </c>
      <c r="B93" t="s">
        <v>17</v>
      </c>
      <c r="C93" t="s">
        <v>3232</v>
      </c>
      <c r="E93" t="s">
        <v>2930</v>
      </c>
      <c r="F93">
        <v>3022462</v>
      </c>
      <c r="G93" t="s">
        <v>3233</v>
      </c>
      <c r="H93">
        <v>938415590</v>
      </c>
      <c r="I93">
        <v>20</v>
      </c>
      <c r="J93" s="98">
        <v>0.3</v>
      </c>
      <c r="K93" s="79">
        <v>46116.9375</v>
      </c>
      <c r="L93" t="s">
        <v>3234</v>
      </c>
      <c r="M93" t="s">
        <v>2910</v>
      </c>
      <c r="N93" s="99">
        <v>46116</v>
      </c>
      <c r="O93" t="s">
        <v>3235</v>
      </c>
      <c r="P93" t="s">
        <v>3228</v>
      </c>
      <c r="Q93" t="s">
        <v>967</v>
      </c>
      <c r="R93" t="s">
        <v>3229</v>
      </c>
      <c r="S93" t="s">
        <v>1868</v>
      </c>
      <c r="T93" t="s">
        <v>3230</v>
      </c>
      <c r="V93" t="s">
        <v>2947</v>
      </c>
      <c r="X93" t="s">
        <v>2914</v>
      </c>
    </row>
    <row r="94" spans="1:24" ht="16" customHeight="1" x14ac:dyDescent="0.6">
      <c r="A94" t="s">
        <v>3236</v>
      </c>
      <c r="B94" t="s">
        <v>17</v>
      </c>
      <c r="C94" t="s">
        <v>3041</v>
      </c>
      <c r="E94" t="s">
        <v>2917</v>
      </c>
      <c r="F94">
        <v>3132927</v>
      </c>
      <c r="G94" t="s">
        <v>3042</v>
      </c>
      <c r="H94">
        <v>367129993</v>
      </c>
      <c r="I94">
        <v>60</v>
      </c>
      <c r="J94" s="98">
        <v>1</v>
      </c>
      <c r="K94" s="79">
        <v>46117.333333333336</v>
      </c>
      <c r="L94" t="s">
        <v>3237</v>
      </c>
      <c r="M94" t="s">
        <v>2910</v>
      </c>
      <c r="N94" s="99">
        <v>46146</v>
      </c>
      <c r="O94" s="75">
        <v>0.20833333333333334</v>
      </c>
      <c r="P94" t="s">
        <v>3238</v>
      </c>
      <c r="Q94" t="s">
        <v>967</v>
      </c>
      <c r="R94" t="s">
        <v>3239</v>
      </c>
      <c r="S94" t="s">
        <v>1868</v>
      </c>
      <c r="T94" t="s">
        <v>3240</v>
      </c>
      <c r="X94" t="s">
        <v>2914</v>
      </c>
    </row>
    <row r="95" spans="1:24" ht="16" customHeight="1" x14ac:dyDescent="0.6">
      <c r="A95" t="s">
        <v>3241</v>
      </c>
      <c r="B95" t="s">
        <v>17</v>
      </c>
      <c r="C95" t="s">
        <v>3242</v>
      </c>
      <c r="E95" t="s">
        <v>2930</v>
      </c>
      <c r="F95">
        <v>3036907</v>
      </c>
      <c r="H95">
        <v>979496510</v>
      </c>
      <c r="I95">
        <v>75</v>
      </c>
      <c r="J95" s="98">
        <v>0.75</v>
      </c>
      <c r="K95" s="79">
        <v>46116.947916666664</v>
      </c>
      <c r="M95" t="s">
        <v>2910</v>
      </c>
      <c r="N95" s="99">
        <v>46116</v>
      </c>
      <c r="O95" s="75">
        <v>0.95833333333333337</v>
      </c>
      <c r="P95" t="s">
        <v>3243</v>
      </c>
      <c r="Q95" t="s">
        <v>967</v>
      </c>
      <c r="R95" t="s">
        <v>3244</v>
      </c>
      <c r="S95" t="s">
        <v>1868</v>
      </c>
      <c r="T95" t="s">
        <v>3245</v>
      </c>
      <c r="V95" t="s">
        <v>2965</v>
      </c>
      <c r="X95" t="s">
        <v>2914</v>
      </c>
    </row>
    <row r="96" spans="1:24" ht="16" customHeight="1" x14ac:dyDescent="0.6">
      <c r="A96" t="s">
        <v>3246</v>
      </c>
      <c r="B96" t="s">
        <v>17</v>
      </c>
      <c r="C96" t="s">
        <v>3247</v>
      </c>
      <c r="E96" t="s">
        <v>2917</v>
      </c>
      <c r="F96">
        <v>3127246</v>
      </c>
      <c r="H96">
        <v>385161509</v>
      </c>
      <c r="I96">
        <v>100</v>
      </c>
      <c r="J96" s="98">
        <v>0.5</v>
      </c>
      <c r="K96" s="79">
        <v>46117.208333333336</v>
      </c>
      <c r="M96" t="s">
        <v>2910</v>
      </c>
      <c r="N96" s="99">
        <v>46146</v>
      </c>
      <c r="O96" s="75">
        <v>0.20833333333333334</v>
      </c>
      <c r="P96" t="s">
        <v>3248</v>
      </c>
      <c r="Q96" t="s">
        <v>967</v>
      </c>
      <c r="R96" t="s">
        <v>3249</v>
      </c>
      <c r="S96" t="s">
        <v>1868</v>
      </c>
      <c r="T96" t="s">
        <v>3250</v>
      </c>
      <c r="X96" t="s">
        <v>2914</v>
      </c>
    </row>
    <row r="97" spans="1:24" ht="16" customHeight="1" x14ac:dyDescent="0.6">
      <c r="A97" t="s">
        <v>3251</v>
      </c>
      <c r="B97" t="s">
        <v>17</v>
      </c>
      <c r="C97" t="s">
        <v>3242</v>
      </c>
      <c r="E97" t="s">
        <v>2930</v>
      </c>
      <c r="F97">
        <v>3139139</v>
      </c>
      <c r="H97">
        <v>977705672</v>
      </c>
      <c r="I97">
        <v>100</v>
      </c>
      <c r="J97" s="98">
        <v>1</v>
      </c>
      <c r="K97" s="79">
        <v>46116.958333333336</v>
      </c>
      <c r="M97" t="s">
        <v>2955</v>
      </c>
      <c r="N97" s="99">
        <v>46116</v>
      </c>
      <c r="X97" t="s">
        <v>2914</v>
      </c>
    </row>
    <row r="98" spans="1:24" ht="16" customHeight="1" x14ac:dyDescent="0.6">
      <c r="A98" t="s">
        <v>3252</v>
      </c>
      <c r="B98" t="s">
        <v>17</v>
      </c>
      <c r="C98" t="s">
        <v>2939</v>
      </c>
      <c r="E98" t="s">
        <v>2930</v>
      </c>
      <c r="F98">
        <v>3152551</v>
      </c>
      <c r="H98">
        <v>866782808</v>
      </c>
      <c r="I98">
        <v>20</v>
      </c>
      <c r="J98" s="98">
        <v>0.3</v>
      </c>
      <c r="K98" s="79">
        <v>46116.958333333336</v>
      </c>
      <c r="M98" t="s">
        <v>2955</v>
      </c>
      <c r="X98" t="s">
        <v>2914</v>
      </c>
    </row>
    <row r="99" spans="1:24" ht="16" customHeight="1" x14ac:dyDescent="0.6">
      <c r="A99" t="s">
        <v>3253</v>
      </c>
      <c r="B99" t="s">
        <v>17</v>
      </c>
      <c r="C99" t="s">
        <v>2939</v>
      </c>
      <c r="E99" t="s">
        <v>2909</v>
      </c>
      <c r="F99">
        <v>3152551</v>
      </c>
      <c r="H99">
        <v>866782808</v>
      </c>
      <c r="I99">
        <v>10</v>
      </c>
      <c r="J99" s="98">
        <v>0.3</v>
      </c>
      <c r="K99" s="79">
        <v>46117.208333333336</v>
      </c>
      <c r="M99" t="s">
        <v>2910</v>
      </c>
      <c r="N99" s="99">
        <v>46146</v>
      </c>
      <c r="O99" s="75">
        <v>0.20833333333333334</v>
      </c>
      <c r="P99" t="s">
        <v>3254</v>
      </c>
      <c r="Q99" t="s">
        <v>967</v>
      </c>
      <c r="R99" t="s">
        <v>3255</v>
      </c>
      <c r="S99" t="s">
        <v>1868</v>
      </c>
      <c r="T99" t="s">
        <v>3256</v>
      </c>
      <c r="V99" t="s">
        <v>202</v>
      </c>
      <c r="X99" t="s">
        <v>2914</v>
      </c>
    </row>
    <row r="100" spans="1:24" ht="16" customHeight="1" x14ac:dyDescent="0.6">
      <c r="A100" t="s">
        <v>3257</v>
      </c>
      <c r="B100" t="s">
        <v>17</v>
      </c>
      <c r="C100" t="s">
        <v>3258</v>
      </c>
      <c r="E100" t="s">
        <v>2917</v>
      </c>
      <c r="F100">
        <v>1874426</v>
      </c>
      <c r="H100">
        <v>949394466</v>
      </c>
      <c r="I100">
        <v>20</v>
      </c>
      <c r="J100" s="98">
        <v>0.3</v>
      </c>
      <c r="K100" s="79">
        <v>46117.208333333336</v>
      </c>
      <c r="M100" t="s">
        <v>2910</v>
      </c>
      <c r="N100" s="99">
        <v>46146</v>
      </c>
      <c r="O100" s="75">
        <v>0.20833333333333334</v>
      </c>
      <c r="P100" t="s">
        <v>3259</v>
      </c>
      <c r="Q100" t="s">
        <v>967</v>
      </c>
      <c r="R100" t="s">
        <v>3038</v>
      </c>
      <c r="S100" t="s">
        <v>1868</v>
      </c>
      <c r="T100" t="s">
        <v>3260</v>
      </c>
      <c r="X100" t="s">
        <v>2914</v>
      </c>
    </row>
    <row r="101" spans="1:24" ht="16" customHeight="1" x14ac:dyDescent="0.6">
      <c r="A101" t="s">
        <v>3261</v>
      </c>
      <c r="B101" t="s">
        <v>17</v>
      </c>
      <c r="C101" t="s">
        <v>2935</v>
      </c>
      <c r="E101" t="s">
        <v>2917</v>
      </c>
      <c r="F101">
        <v>3138621</v>
      </c>
      <c r="H101">
        <v>983362477</v>
      </c>
      <c r="I101">
        <v>30</v>
      </c>
      <c r="J101" s="98">
        <v>0.3</v>
      </c>
      <c r="K101" s="79">
        <v>46117.208333333336</v>
      </c>
      <c r="M101" t="s">
        <v>2910</v>
      </c>
      <c r="N101" s="99">
        <v>46146</v>
      </c>
      <c r="O101" s="75">
        <v>0.20833333333333334</v>
      </c>
      <c r="P101" t="s">
        <v>3262</v>
      </c>
      <c r="Q101" t="s">
        <v>967</v>
      </c>
      <c r="R101" t="s">
        <v>2937</v>
      </c>
      <c r="S101" t="s">
        <v>1868</v>
      </c>
      <c r="T101" t="s">
        <v>3263</v>
      </c>
      <c r="X101" t="s">
        <v>2914</v>
      </c>
    </row>
    <row r="102" spans="1:24" ht="16" customHeight="1" x14ac:dyDescent="0.6">
      <c r="A102" t="s">
        <v>3264</v>
      </c>
      <c r="B102" t="s">
        <v>17</v>
      </c>
      <c r="C102" t="s">
        <v>2976</v>
      </c>
      <c r="E102" t="s">
        <v>2917</v>
      </c>
      <c r="F102">
        <v>1871696</v>
      </c>
      <c r="H102">
        <v>774688086</v>
      </c>
      <c r="I102">
        <v>100</v>
      </c>
      <c r="J102" s="98">
        <v>1</v>
      </c>
      <c r="K102" s="79">
        <v>46117.208333333336</v>
      </c>
      <c r="M102" t="s">
        <v>2910</v>
      </c>
      <c r="N102" s="99">
        <v>46146</v>
      </c>
      <c r="O102" s="75">
        <v>0.20833333333333334</v>
      </c>
      <c r="P102" t="s">
        <v>3265</v>
      </c>
      <c r="Q102" t="s">
        <v>967</v>
      </c>
      <c r="R102" t="s">
        <v>3266</v>
      </c>
      <c r="S102" t="s">
        <v>1868</v>
      </c>
      <c r="T102" t="s">
        <v>3267</v>
      </c>
      <c r="X102" t="s">
        <v>2914</v>
      </c>
    </row>
    <row r="103" spans="1:24" ht="16" customHeight="1" x14ac:dyDescent="0.6">
      <c r="A103" t="s">
        <v>3268</v>
      </c>
      <c r="B103" t="s">
        <v>17</v>
      </c>
      <c r="C103" t="s">
        <v>3093</v>
      </c>
      <c r="E103" t="s">
        <v>2930</v>
      </c>
      <c r="F103">
        <v>3135107</v>
      </c>
      <c r="H103">
        <v>344436412</v>
      </c>
      <c r="I103">
        <v>110</v>
      </c>
      <c r="J103" s="98">
        <v>1</v>
      </c>
      <c r="K103" s="79">
        <v>46117.4375</v>
      </c>
      <c r="M103" t="s">
        <v>2910</v>
      </c>
      <c r="N103" s="99">
        <v>46117</v>
      </c>
      <c r="O103" s="75">
        <v>0.60416666666666663</v>
      </c>
      <c r="P103" t="s">
        <v>3269</v>
      </c>
      <c r="Q103" t="s">
        <v>967</v>
      </c>
      <c r="R103" t="s">
        <v>3033</v>
      </c>
      <c r="S103" t="s">
        <v>1868</v>
      </c>
      <c r="T103" t="s">
        <v>3270</v>
      </c>
      <c r="U103">
        <v>343433629</v>
      </c>
      <c r="V103" t="s">
        <v>2965</v>
      </c>
      <c r="X103" t="s">
        <v>2914</v>
      </c>
    </row>
    <row r="104" spans="1:24" ht="16" customHeight="1" x14ac:dyDescent="0.6">
      <c r="A104" t="s">
        <v>3271</v>
      </c>
      <c r="B104" t="s">
        <v>17</v>
      </c>
      <c r="C104" t="s">
        <v>3142</v>
      </c>
      <c r="E104" t="s">
        <v>2917</v>
      </c>
      <c r="F104">
        <v>1714094</v>
      </c>
      <c r="G104" t="s">
        <v>3143</v>
      </c>
      <c r="H104">
        <v>961790126</v>
      </c>
      <c r="I104">
        <v>120</v>
      </c>
      <c r="J104" s="98">
        <v>1</v>
      </c>
      <c r="K104" s="79">
        <v>46117.666666666664</v>
      </c>
      <c r="M104" t="s">
        <v>2910</v>
      </c>
      <c r="N104" s="99">
        <v>46117</v>
      </c>
      <c r="O104" s="75">
        <v>0.75</v>
      </c>
      <c r="P104" t="s">
        <v>3272</v>
      </c>
      <c r="Q104" t="s">
        <v>1356</v>
      </c>
      <c r="R104" t="s">
        <v>3273</v>
      </c>
      <c r="S104" t="s">
        <v>1868</v>
      </c>
      <c r="T104" t="s">
        <v>3274</v>
      </c>
      <c r="V104" t="s">
        <v>2965</v>
      </c>
      <c r="X104" t="s">
        <v>2914</v>
      </c>
    </row>
    <row r="105" spans="1:24" ht="16" customHeight="1" x14ac:dyDescent="0.6">
      <c r="A105" t="s">
        <v>3275</v>
      </c>
      <c r="B105" t="s">
        <v>17</v>
      </c>
      <c r="C105" t="s">
        <v>3142</v>
      </c>
      <c r="E105" t="s">
        <v>2917</v>
      </c>
      <c r="F105">
        <v>1714094</v>
      </c>
      <c r="G105" t="s">
        <v>3143</v>
      </c>
      <c r="H105">
        <v>961790126</v>
      </c>
      <c r="I105">
        <v>400</v>
      </c>
      <c r="J105" t="s">
        <v>2919</v>
      </c>
      <c r="K105" s="79">
        <v>46117.833333333336</v>
      </c>
      <c r="M105" t="s">
        <v>2910</v>
      </c>
      <c r="N105" s="99">
        <v>46117</v>
      </c>
      <c r="P105" t="s">
        <v>3276</v>
      </c>
      <c r="Q105" t="s">
        <v>967</v>
      </c>
      <c r="R105" t="s">
        <v>2973</v>
      </c>
      <c r="S105" t="s">
        <v>1868</v>
      </c>
      <c r="T105" t="s">
        <v>2974</v>
      </c>
      <c r="X105" t="s">
        <v>2914</v>
      </c>
    </row>
    <row r="106" spans="1:24" ht="16" customHeight="1" x14ac:dyDescent="0.6">
      <c r="A106" t="s">
        <v>3277</v>
      </c>
      <c r="B106" t="s">
        <v>17</v>
      </c>
      <c r="C106" t="s">
        <v>3278</v>
      </c>
      <c r="E106" t="s">
        <v>2930</v>
      </c>
      <c r="F106">
        <v>3139458</v>
      </c>
      <c r="G106" t="s">
        <v>3279</v>
      </c>
      <c r="H106">
        <v>974972931</v>
      </c>
      <c r="I106">
        <v>100</v>
      </c>
      <c r="J106" s="98">
        <v>1</v>
      </c>
      <c r="K106" s="79">
        <v>46117.895833333336</v>
      </c>
      <c r="M106" t="s">
        <v>2910</v>
      </c>
      <c r="N106" s="99">
        <v>46117</v>
      </c>
      <c r="P106" t="s">
        <v>3280</v>
      </c>
      <c r="Q106" t="s">
        <v>1356</v>
      </c>
      <c r="R106" t="s">
        <v>3281</v>
      </c>
      <c r="S106" t="s">
        <v>1868</v>
      </c>
      <c r="T106" t="s">
        <v>3008</v>
      </c>
      <c r="V106" t="s">
        <v>2965</v>
      </c>
      <c r="X106" t="s">
        <v>2914</v>
      </c>
    </row>
    <row r="107" spans="1:24" ht="16" customHeight="1" x14ac:dyDescent="0.6">
      <c r="A107" t="s">
        <v>3282</v>
      </c>
      <c r="B107" t="s">
        <v>17</v>
      </c>
      <c r="C107" t="s">
        <v>3142</v>
      </c>
      <c r="E107" t="s">
        <v>2917</v>
      </c>
      <c r="F107">
        <v>1714094</v>
      </c>
      <c r="G107" t="s">
        <v>3143</v>
      </c>
      <c r="H107">
        <v>961790126</v>
      </c>
      <c r="I107">
        <v>150</v>
      </c>
      <c r="J107" t="s">
        <v>2919</v>
      </c>
      <c r="K107" s="79">
        <v>46117.916666666664</v>
      </c>
      <c r="M107" t="s">
        <v>2910</v>
      </c>
      <c r="N107" s="99">
        <v>46117</v>
      </c>
      <c r="O107" s="75">
        <v>0.90625</v>
      </c>
      <c r="P107" t="s">
        <v>3283</v>
      </c>
      <c r="Q107" t="s">
        <v>967</v>
      </c>
      <c r="R107" t="s">
        <v>3229</v>
      </c>
      <c r="S107" t="s">
        <v>1868</v>
      </c>
      <c r="T107" t="s">
        <v>3230</v>
      </c>
      <c r="V107" t="s">
        <v>2947</v>
      </c>
      <c r="X107" t="s">
        <v>2914</v>
      </c>
    </row>
    <row r="108" spans="1:24" ht="16" customHeight="1" x14ac:dyDescent="0.6">
      <c r="A108" t="s">
        <v>3284</v>
      </c>
      <c r="B108" t="s">
        <v>17</v>
      </c>
      <c r="C108" t="s">
        <v>2976</v>
      </c>
      <c r="E108" t="s">
        <v>2917</v>
      </c>
      <c r="F108">
        <v>1871696</v>
      </c>
      <c r="H108">
        <v>977330980</v>
      </c>
      <c r="I108">
        <v>300</v>
      </c>
      <c r="J108" s="98">
        <v>1</v>
      </c>
      <c r="K108" s="79">
        <v>46118.604166666664</v>
      </c>
      <c r="M108" t="s">
        <v>3029</v>
      </c>
      <c r="X108" t="s">
        <v>2914</v>
      </c>
    </row>
    <row r="109" spans="1:24" ht="16" customHeight="1" x14ac:dyDescent="0.6">
      <c r="A109" t="s">
        <v>3285</v>
      </c>
      <c r="B109" t="s">
        <v>17</v>
      </c>
      <c r="C109" t="s">
        <v>3093</v>
      </c>
      <c r="E109" t="s">
        <v>2930</v>
      </c>
      <c r="F109">
        <v>1872928</v>
      </c>
      <c r="H109">
        <v>344176032</v>
      </c>
      <c r="I109">
        <v>100</v>
      </c>
      <c r="J109" s="98">
        <v>1</v>
      </c>
      <c r="K109" s="79">
        <v>46118.604166666664</v>
      </c>
      <c r="L109" t="s">
        <v>3286</v>
      </c>
      <c r="M109" t="s">
        <v>3029</v>
      </c>
      <c r="X109" t="s">
        <v>2914</v>
      </c>
    </row>
    <row r="110" spans="1:24" ht="16" customHeight="1" x14ac:dyDescent="0.6">
      <c r="A110" t="s">
        <v>3287</v>
      </c>
      <c r="B110" t="s">
        <v>17</v>
      </c>
      <c r="C110" t="s">
        <v>3129</v>
      </c>
      <c r="E110" t="s">
        <v>2930</v>
      </c>
      <c r="F110">
        <v>1882650</v>
      </c>
      <c r="H110">
        <v>775748473</v>
      </c>
      <c r="I110">
        <v>500</v>
      </c>
      <c r="J110" t="s">
        <v>2919</v>
      </c>
      <c r="K110" s="79">
        <v>46118.625</v>
      </c>
      <c r="L110" t="s">
        <v>3288</v>
      </c>
      <c r="M110" t="s">
        <v>2910</v>
      </c>
      <c r="N110" s="99">
        <v>46117</v>
      </c>
      <c r="O110" s="75">
        <v>0.64583333333333337</v>
      </c>
      <c r="Q110" t="s">
        <v>967</v>
      </c>
      <c r="R110" t="s">
        <v>3289</v>
      </c>
      <c r="S110" t="s">
        <v>3096</v>
      </c>
      <c r="T110" t="s">
        <v>3290</v>
      </c>
      <c r="V110" t="s">
        <v>2965</v>
      </c>
      <c r="X110" t="s">
        <v>2914</v>
      </c>
    </row>
    <row r="111" spans="1:24" ht="16" customHeight="1" x14ac:dyDescent="0.6">
      <c r="A111" t="s">
        <v>3293</v>
      </c>
      <c r="B111" t="s">
        <v>17</v>
      </c>
      <c r="C111" t="s">
        <v>2916</v>
      </c>
      <c r="E111" t="s">
        <v>2917</v>
      </c>
      <c r="F111">
        <v>3070766</v>
      </c>
      <c r="G111" t="s">
        <v>3294</v>
      </c>
      <c r="H111">
        <v>376156434</v>
      </c>
      <c r="I111">
        <v>100</v>
      </c>
      <c r="J111" t="s">
        <v>2919</v>
      </c>
      <c r="K111" s="79">
        <v>46118.583333333336</v>
      </c>
      <c r="M111" t="s">
        <v>3029</v>
      </c>
      <c r="X111" t="s">
        <v>2914</v>
      </c>
    </row>
    <row r="112" spans="1:24" ht="16" customHeight="1" x14ac:dyDescent="0.6">
      <c r="A112" t="s">
        <v>3295</v>
      </c>
      <c r="B112" t="s">
        <v>17</v>
      </c>
      <c r="C112" t="s">
        <v>3093</v>
      </c>
      <c r="E112" t="s">
        <v>2930</v>
      </c>
      <c r="F112">
        <v>1872928</v>
      </c>
      <c r="H112">
        <v>344176032</v>
      </c>
      <c r="I112">
        <v>300</v>
      </c>
      <c r="J112" t="s">
        <v>2919</v>
      </c>
      <c r="K112" s="79">
        <v>46118.916666666664</v>
      </c>
      <c r="L112" t="s">
        <v>3296</v>
      </c>
      <c r="M112" t="s">
        <v>2910</v>
      </c>
      <c r="N112" s="99">
        <v>46118</v>
      </c>
      <c r="P112" t="s">
        <v>3135</v>
      </c>
      <c r="Q112" t="s">
        <v>1356</v>
      </c>
      <c r="R112" t="s">
        <v>3297</v>
      </c>
      <c r="S112" t="s">
        <v>1868</v>
      </c>
      <c r="X112" t="s">
        <v>2914</v>
      </c>
    </row>
    <row r="113" spans="1:24" ht="16" customHeight="1" x14ac:dyDescent="0.6">
      <c r="A113" t="s">
        <v>3298</v>
      </c>
      <c r="B113" t="s">
        <v>17</v>
      </c>
      <c r="C113" t="s">
        <v>3041</v>
      </c>
      <c r="E113" t="s">
        <v>2930</v>
      </c>
      <c r="F113">
        <v>3132927</v>
      </c>
      <c r="G113" t="s">
        <v>3042</v>
      </c>
      <c r="H113">
        <v>367129993</v>
      </c>
      <c r="I113">
        <v>20</v>
      </c>
      <c r="J113" s="98">
        <v>0.75</v>
      </c>
      <c r="K113" s="79">
        <v>46118.864583333336</v>
      </c>
      <c r="L113" t="s">
        <v>3299</v>
      </c>
      <c r="M113" t="s">
        <v>2910</v>
      </c>
      <c r="N113" s="99">
        <v>46118</v>
      </c>
      <c r="P113" t="s">
        <v>3135</v>
      </c>
      <c r="Q113" t="s">
        <v>1356</v>
      </c>
      <c r="R113" t="s">
        <v>3297</v>
      </c>
      <c r="S113" t="s">
        <v>1868</v>
      </c>
      <c r="X113" t="s">
        <v>2914</v>
      </c>
    </row>
    <row r="114" spans="1:24" ht="16" customHeight="1" x14ac:dyDescent="0.6">
      <c r="A114" t="s">
        <v>3300</v>
      </c>
      <c r="B114" t="s">
        <v>17</v>
      </c>
      <c r="C114" t="s">
        <v>3005</v>
      </c>
      <c r="E114" t="s">
        <v>2917</v>
      </c>
      <c r="F114">
        <v>3122228</v>
      </c>
      <c r="H114">
        <v>376123717</v>
      </c>
      <c r="I114">
        <v>50</v>
      </c>
      <c r="J114" s="98">
        <v>0.3</v>
      </c>
      <c r="K114" s="79">
        <v>46118.916666666664</v>
      </c>
      <c r="M114" t="s">
        <v>3029</v>
      </c>
      <c r="N114" s="99">
        <v>46118</v>
      </c>
      <c r="X114" t="s">
        <v>2914</v>
      </c>
    </row>
    <row r="115" spans="1:24" ht="16" customHeight="1" x14ac:dyDescent="0.6">
      <c r="A115" t="s">
        <v>3301</v>
      </c>
      <c r="B115" t="s">
        <v>17</v>
      </c>
      <c r="C115" t="s">
        <v>3154</v>
      </c>
      <c r="E115" t="s">
        <v>2930</v>
      </c>
      <c r="F115">
        <v>3110684</v>
      </c>
      <c r="G115" t="s">
        <v>3302</v>
      </c>
      <c r="H115">
        <v>931249063</v>
      </c>
      <c r="I115">
        <v>100</v>
      </c>
      <c r="J115" s="98">
        <v>0.5</v>
      </c>
      <c r="K115" s="79">
        <v>46118.875</v>
      </c>
      <c r="M115" t="s">
        <v>2910</v>
      </c>
      <c r="N115" s="99">
        <v>46118</v>
      </c>
      <c r="O115" s="100">
        <v>0.91666666666666663</v>
      </c>
      <c r="P115" t="s">
        <v>3303</v>
      </c>
      <c r="Q115" t="s">
        <v>967</v>
      </c>
      <c r="R115" t="s">
        <v>3304</v>
      </c>
      <c r="S115" t="s">
        <v>1868</v>
      </c>
      <c r="T115" t="s">
        <v>3305</v>
      </c>
      <c r="V115" t="s">
        <v>2965</v>
      </c>
      <c r="X115" t="s">
        <v>2914</v>
      </c>
    </row>
    <row r="116" spans="1:24" ht="16" customHeight="1" x14ac:dyDescent="0.6">
      <c r="A116" t="s">
        <v>3306</v>
      </c>
      <c r="B116" t="s">
        <v>17</v>
      </c>
      <c r="C116" t="s">
        <v>3093</v>
      </c>
      <c r="E116" t="s">
        <v>2930</v>
      </c>
      <c r="F116">
        <v>3135107</v>
      </c>
      <c r="H116">
        <v>344436412</v>
      </c>
      <c r="I116">
        <v>450</v>
      </c>
      <c r="J116" t="s">
        <v>2919</v>
      </c>
      <c r="K116" s="79">
        <v>46118.458333333336</v>
      </c>
      <c r="L116" t="s">
        <v>3307</v>
      </c>
      <c r="M116" t="s">
        <v>2910</v>
      </c>
      <c r="N116" s="99">
        <v>46118</v>
      </c>
      <c r="P116" t="s">
        <v>3308</v>
      </c>
      <c r="Q116" t="s">
        <v>967</v>
      </c>
      <c r="R116" t="s">
        <v>2973</v>
      </c>
      <c r="S116" t="s">
        <v>1868</v>
      </c>
      <c r="T116" t="s">
        <v>3309</v>
      </c>
      <c r="V116" t="s">
        <v>2965</v>
      </c>
      <c r="X116" t="s">
        <v>2914</v>
      </c>
    </row>
    <row r="117" spans="1:24" ht="16" customHeight="1" x14ac:dyDescent="0.6">
      <c r="A117" t="s">
        <v>3310</v>
      </c>
      <c r="B117" t="s">
        <v>17</v>
      </c>
      <c r="C117" t="s">
        <v>3311</v>
      </c>
      <c r="E117" t="s">
        <v>2930</v>
      </c>
      <c r="F117">
        <v>3044380</v>
      </c>
      <c r="G117" t="s">
        <v>3312</v>
      </c>
      <c r="H117">
        <v>794980050</v>
      </c>
      <c r="I117">
        <v>50</v>
      </c>
      <c r="J117" s="98">
        <v>0.5</v>
      </c>
      <c r="K117" s="79">
        <v>46118.854166666664</v>
      </c>
      <c r="M117" t="s">
        <v>3029</v>
      </c>
      <c r="X117" t="s">
        <v>2914</v>
      </c>
    </row>
    <row r="118" spans="1:24" ht="16" customHeight="1" x14ac:dyDescent="0.6">
      <c r="A118" t="s">
        <v>3313</v>
      </c>
      <c r="B118" t="s">
        <v>17</v>
      </c>
      <c r="C118" t="s">
        <v>3314</v>
      </c>
      <c r="D118" t="s">
        <v>3315</v>
      </c>
      <c r="E118" t="s">
        <v>2917</v>
      </c>
      <c r="F118">
        <v>3083614</v>
      </c>
      <c r="H118">
        <v>987725335</v>
      </c>
      <c r="I118">
        <v>75</v>
      </c>
      <c r="J118" s="98">
        <v>0.75</v>
      </c>
      <c r="K118" s="79">
        <v>46118.916666666664</v>
      </c>
      <c r="M118" t="s">
        <v>2910</v>
      </c>
      <c r="N118" s="99">
        <v>46118</v>
      </c>
      <c r="O118" s="75">
        <v>0.94791666666666663</v>
      </c>
      <c r="P118" t="s">
        <v>3316</v>
      </c>
      <c r="Q118" t="s">
        <v>1356</v>
      </c>
      <c r="R118" t="s">
        <v>3297</v>
      </c>
      <c r="S118" t="s">
        <v>1868</v>
      </c>
      <c r="U118" t="s">
        <v>3317</v>
      </c>
      <c r="V118" t="s">
        <v>2965</v>
      </c>
      <c r="X118" t="s">
        <v>2914</v>
      </c>
    </row>
    <row r="119" spans="1:24" ht="16" customHeight="1" x14ac:dyDescent="0.6">
      <c r="A119" t="s">
        <v>3318</v>
      </c>
      <c r="B119" t="s">
        <v>17</v>
      </c>
      <c r="C119" t="s">
        <v>2957</v>
      </c>
      <c r="E119" t="s">
        <v>2909</v>
      </c>
      <c r="F119">
        <v>1802852</v>
      </c>
      <c r="H119">
        <v>974607460</v>
      </c>
      <c r="I119">
        <v>100</v>
      </c>
      <c r="J119" s="98">
        <v>0.75</v>
      </c>
      <c r="K119" s="79">
        <v>46118.875</v>
      </c>
      <c r="M119" t="s">
        <v>2910</v>
      </c>
      <c r="N119" s="99">
        <v>46118</v>
      </c>
      <c r="P119" t="s">
        <v>3319</v>
      </c>
      <c r="Q119" t="s">
        <v>967</v>
      </c>
      <c r="R119" s="74" t="s">
        <v>3320</v>
      </c>
      <c r="S119" t="s">
        <v>1868</v>
      </c>
      <c r="T119" t="s">
        <v>2960</v>
      </c>
      <c r="V119" t="s">
        <v>202</v>
      </c>
      <c r="X119" t="s">
        <v>2914</v>
      </c>
    </row>
    <row r="120" spans="1:24" ht="16" customHeight="1" x14ac:dyDescent="0.6">
      <c r="A120" t="s">
        <v>3321</v>
      </c>
      <c r="B120" t="s">
        <v>17</v>
      </c>
      <c r="C120" t="s">
        <v>3221</v>
      </c>
      <c r="E120" t="s">
        <v>2917</v>
      </c>
      <c r="F120">
        <v>3151831</v>
      </c>
      <c r="H120">
        <v>908404630</v>
      </c>
      <c r="I120">
        <v>100</v>
      </c>
      <c r="J120" s="98">
        <v>0.3</v>
      </c>
      <c r="K120" s="79">
        <v>46118.833333333336</v>
      </c>
      <c r="L120" t="s">
        <v>3322</v>
      </c>
      <c r="M120" t="s">
        <v>2955</v>
      </c>
      <c r="N120" s="99">
        <v>46118</v>
      </c>
      <c r="X120" t="s">
        <v>2914</v>
      </c>
    </row>
    <row r="121" spans="1:24" ht="16" customHeight="1" x14ac:dyDescent="0.6">
      <c r="A121" t="s">
        <v>3323</v>
      </c>
      <c r="B121" t="s">
        <v>17</v>
      </c>
      <c r="C121" t="s">
        <v>3011</v>
      </c>
      <c r="E121" t="s">
        <v>2930</v>
      </c>
      <c r="F121">
        <v>3050886</v>
      </c>
      <c r="H121">
        <v>907153889</v>
      </c>
      <c r="I121">
        <v>100</v>
      </c>
      <c r="J121" s="98">
        <v>1</v>
      </c>
      <c r="K121" s="79">
        <v>46118.854166666664</v>
      </c>
      <c r="M121" t="s">
        <v>2910</v>
      </c>
      <c r="N121" s="99">
        <v>46118</v>
      </c>
      <c r="P121" t="s">
        <v>3324</v>
      </c>
      <c r="Q121" t="s">
        <v>1356</v>
      </c>
      <c r="R121" t="s">
        <v>3297</v>
      </c>
      <c r="X121" t="s">
        <v>2914</v>
      </c>
    </row>
    <row r="122" spans="1:24" ht="16" customHeight="1" x14ac:dyDescent="0.6">
      <c r="A122" t="s">
        <v>3325</v>
      </c>
      <c r="B122" t="s">
        <v>17</v>
      </c>
      <c r="C122" t="s">
        <v>3011</v>
      </c>
      <c r="E122" t="s">
        <v>2909</v>
      </c>
      <c r="F122">
        <v>3050886</v>
      </c>
      <c r="H122">
        <v>907153889</v>
      </c>
      <c r="I122">
        <v>100</v>
      </c>
      <c r="J122" s="98">
        <v>1</v>
      </c>
      <c r="K122" s="79">
        <v>46118.8125</v>
      </c>
      <c r="M122" t="s">
        <v>2910</v>
      </c>
      <c r="N122" s="99">
        <v>46118</v>
      </c>
      <c r="O122" s="75">
        <v>0.875</v>
      </c>
      <c r="P122" t="s">
        <v>3326</v>
      </c>
      <c r="Q122" t="s">
        <v>967</v>
      </c>
      <c r="R122" t="s">
        <v>3016</v>
      </c>
      <c r="S122" t="s">
        <v>1868</v>
      </c>
      <c r="T122" t="s">
        <v>3327</v>
      </c>
      <c r="V122" t="s">
        <v>202</v>
      </c>
      <c r="X122" t="s">
        <v>2914</v>
      </c>
    </row>
    <row r="123" spans="1:24" ht="16" customHeight="1" x14ac:dyDescent="0.6">
      <c r="A123" t="s">
        <v>3328</v>
      </c>
      <c r="B123" t="s">
        <v>17</v>
      </c>
      <c r="C123" t="s">
        <v>3101</v>
      </c>
      <c r="E123" t="s">
        <v>2930</v>
      </c>
      <c r="F123">
        <v>3126032</v>
      </c>
      <c r="H123">
        <v>378799783</v>
      </c>
      <c r="I123">
        <v>127</v>
      </c>
      <c r="J123" s="98">
        <v>1</v>
      </c>
      <c r="K123" s="79">
        <v>46118.916666666664</v>
      </c>
      <c r="M123" t="s">
        <v>2910</v>
      </c>
      <c r="N123" s="99">
        <v>46118</v>
      </c>
      <c r="P123" t="s">
        <v>3170</v>
      </c>
      <c r="Q123" t="s">
        <v>1356</v>
      </c>
      <c r="R123" t="s">
        <v>3297</v>
      </c>
      <c r="S123" t="s">
        <v>1868</v>
      </c>
      <c r="X123" t="s">
        <v>2914</v>
      </c>
    </row>
    <row r="124" spans="1:24" ht="16" customHeight="1" x14ac:dyDescent="0.6">
      <c r="A124" t="s">
        <v>3329</v>
      </c>
      <c r="B124" t="s">
        <v>17</v>
      </c>
      <c r="C124" t="s">
        <v>2976</v>
      </c>
      <c r="E124" t="s">
        <v>2917</v>
      </c>
      <c r="F124">
        <v>1871696</v>
      </c>
      <c r="H124">
        <v>334774747</v>
      </c>
      <c r="I124">
        <v>100</v>
      </c>
      <c r="J124" s="98">
        <v>1</v>
      </c>
      <c r="K124" s="79">
        <v>46118.916666666664</v>
      </c>
      <c r="M124" t="s">
        <v>2910</v>
      </c>
      <c r="N124" s="99">
        <v>46118</v>
      </c>
      <c r="O124" s="75">
        <v>0.91666666666666663</v>
      </c>
      <c r="P124" t="s">
        <v>3330</v>
      </c>
      <c r="Q124" t="s">
        <v>1356</v>
      </c>
      <c r="R124" t="s">
        <v>3331</v>
      </c>
      <c r="S124" t="s">
        <v>1868</v>
      </c>
      <c r="V124" t="s">
        <v>2965</v>
      </c>
      <c r="X124" t="s">
        <v>2914</v>
      </c>
    </row>
    <row r="125" spans="1:24" ht="16" customHeight="1" x14ac:dyDescent="0.6">
      <c r="A125" t="s">
        <v>3332</v>
      </c>
      <c r="B125" t="s">
        <v>17</v>
      </c>
      <c r="C125" t="s">
        <v>2954</v>
      </c>
      <c r="E125" t="s">
        <v>2930</v>
      </c>
      <c r="F125">
        <v>3129272</v>
      </c>
      <c r="G125">
        <v>937329651</v>
      </c>
      <c r="H125">
        <v>876177676</v>
      </c>
      <c r="I125">
        <v>78</v>
      </c>
      <c r="J125" s="98">
        <v>0.5</v>
      </c>
      <c r="K125" s="79">
        <v>46118.895833333336</v>
      </c>
      <c r="M125" t="s">
        <v>2910</v>
      </c>
      <c r="N125" s="99">
        <v>46118</v>
      </c>
      <c r="P125" t="s">
        <v>3333</v>
      </c>
      <c r="Q125" t="s">
        <v>1356</v>
      </c>
      <c r="R125" t="s">
        <v>3297</v>
      </c>
      <c r="S125" t="s">
        <v>1868</v>
      </c>
      <c r="V125" t="s">
        <v>2965</v>
      </c>
      <c r="X125" t="s">
        <v>2914</v>
      </c>
    </row>
    <row r="126" spans="1:24" ht="16" customHeight="1" x14ac:dyDescent="0.6">
      <c r="A126" t="s">
        <v>3334</v>
      </c>
      <c r="B126" t="s">
        <v>17</v>
      </c>
      <c r="C126" t="s">
        <v>3157</v>
      </c>
      <c r="E126" t="s">
        <v>2917</v>
      </c>
      <c r="F126">
        <v>3001336</v>
      </c>
      <c r="G126" t="s">
        <v>3335</v>
      </c>
      <c r="H126">
        <v>778197454</v>
      </c>
      <c r="I126">
        <v>70</v>
      </c>
      <c r="J126" s="98">
        <v>0.75</v>
      </c>
      <c r="K126" s="79">
        <v>46118.916666666664</v>
      </c>
      <c r="M126" t="s">
        <v>2910</v>
      </c>
      <c r="N126" s="99">
        <v>46118</v>
      </c>
      <c r="P126" t="s">
        <v>3160</v>
      </c>
      <c r="Q126" t="s">
        <v>1356</v>
      </c>
      <c r="R126" t="s">
        <v>3297</v>
      </c>
      <c r="S126" t="s">
        <v>1868</v>
      </c>
      <c r="V126" t="s">
        <v>2965</v>
      </c>
      <c r="X126" t="s">
        <v>2914</v>
      </c>
    </row>
    <row r="127" spans="1:24" ht="16" customHeight="1" x14ac:dyDescent="0.6">
      <c r="A127" t="s">
        <v>3336</v>
      </c>
      <c r="B127" t="s">
        <v>17</v>
      </c>
      <c r="C127" t="s">
        <v>2916</v>
      </c>
      <c r="E127" t="s">
        <v>2917</v>
      </c>
      <c r="F127">
        <v>3122639</v>
      </c>
      <c r="G127" t="s">
        <v>2918</v>
      </c>
      <c r="H127">
        <v>867140497</v>
      </c>
      <c r="I127">
        <v>200</v>
      </c>
      <c r="J127" t="s">
        <v>2919</v>
      </c>
      <c r="K127" s="79">
        <v>46118.916666666664</v>
      </c>
      <c r="L127" t="s">
        <v>3337</v>
      </c>
      <c r="M127" t="s">
        <v>2910</v>
      </c>
      <c r="N127" s="99">
        <v>46118</v>
      </c>
      <c r="O127" s="75">
        <v>0.91666666666666663</v>
      </c>
      <c r="P127" t="s">
        <v>3338</v>
      </c>
      <c r="Q127" t="s">
        <v>967</v>
      </c>
      <c r="S127" t="s">
        <v>3339</v>
      </c>
      <c r="X127" t="s">
        <v>2914</v>
      </c>
    </row>
    <row r="128" spans="1:24" ht="16" customHeight="1" x14ac:dyDescent="0.6">
      <c r="A128" t="s">
        <v>3340</v>
      </c>
      <c r="B128" t="s">
        <v>17</v>
      </c>
      <c r="C128" t="s">
        <v>3031</v>
      </c>
      <c r="E128" t="s">
        <v>2917</v>
      </c>
      <c r="F128">
        <v>3152729</v>
      </c>
      <c r="H128">
        <v>941792245</v>
      </c>
      <c r="I128">
        <v>100</v>
      </c>
      <c r="J128" s="98">
        <v>1</v>
      </c>
      <c r="K128" s="79">
        <v>46118.916666666664</v>
      </c>
      <c r="M128" t="s">
        <v>2910</v>
      </c>
      <c r="N128" s="99">
        <v>46118</v>
      </c>
      <c r="P128" t="s">
        <v>3341</v>
      </c>
      <c r="Q128" t="s">
        <v>1356</v>
      </c>
      <c r="R128" t="s">
        <v>3342</v>
      </c>
      <c r="S128" t="s">
        <v>1868</v>
      </c>
      <c r="T128" t="s">
        <v>3343</v>
      </c>
      <c r="V128" t="s">
        <v>2965</v>
      </c>
      <c r="X128" t="s">
        <v>2914</v>
      </c>
    </row>
    <row r="129" spans="1:24" ht="16" customHeight="1" x14ac:dyDescent="0.6">
      <c r="A129" t="s">
        <v>3344</v>
      </c>
      <c r="B129" t="s">
        <v>17</v>
      </c>
      <c r="C129" t="s">
        <v>3022</v>
      </c>
      <c r="E129" t="s">
        <v>2930</v>
      </c>
      <c r="F129">
        <v>3135714</v>
      </c>
      <c r="H129">
        <v>333124453</v>
      </c>
      <c r="I129">
        <v>300</v>
      </c>
      <c r="J129" s="98">
        <v>0.75</v>
      </c>
      <c r="K129" s="79">
        <v>46118.875</v>
      </c>
      <c r="L129" t="s">
        <v>3345</v>
      </c>
      <c r="M129" t="s">
        <v>2910</v>
      </c>
      <c r="N129" s="99">
        <v>46118</v>
      </c>
      <c r="P129" t="s">
        <v>3177</v>
      </c>
      <c r="Q129" t="s">
        <v>1356</v>
      </c>
      <c r="R129" t="s">
        <v>3297</v>
      </c>
      <c r="S129" t="s">
        <v>3096</v>
      </c>
      <c r="X129" t="s">
        <v>2914</v>
      </c>
    </row>
    <row r="130" spans="1:24" ht="16" customHeight="1" x14ac:dyDescent="0.6">
      <c r="A130" t="s">
        <v>3346</v>
      </c>
      <c r="B130" t="s">
        <v>17</v>
      </c>
      <c r="C130" t="s">
        <v>2994</v>
      </c>
      <c r="E130" t="s">
        <v>2909</v>
      </c>
      <c r="F130">
        <v>2033804</v>
      </c>
      <c r="H130">
        <v>396799427</v>
      </c>
      <c r="I130">
        <v>100</v>
      </c>
      <c r="J130" s="98">
        <v>1</v>
      </c>
      <c r="K130" s="79">
        <v>46118.916666666664</v>
      </c>
      <c r="M130" t="s">
        <v>2910</v>
      </c>
      <c r="N130" s="99">
        <v>46118</v>
      </c>
      <c r="O130" s="75">
        <v>0.91666666666666663</v>
      </c>
      <c r="P130" t="s">
        <v>3347</v>
      </c>
      <c r="Q130" t="s">
        <v>967</v>
      </c>
      <c r="R130" t="s">
        <v>2996</v>
      </c>
      <c r="S130" t="s">
        <v>1868</v>
      </c>
      <c r="T130" t="s">
        <v>2997</v>
      </c>
      <c r="V130" t="s">
        <v>202</v>
      </c>
      <c r="X130" t="s">
        <v>2914</v>
      </c>
    </row>
    <row r="131" spans="1:24" ht="16" customHeight="1" x14ac:dyDescent="0.6">
      <c r="A131" t="s">
        <v>3348</v>
      </c>
      <c r="B131" t="s">
        <v>17</v>
      </c>
      <c r="C131" t="s">
        <v>3221</v>
      </c>
      <c r="E131" t="s">
        <v>2917</v>
      </c>
      <c r="F131">
        <v>3151831</v>
      </c>
      <c r="H131">
        <v>908404630</v>
      </c>
      <c r="I131">
        <v>150</v>
      </c>
      <c r="J131" s="98">
        <v>1</v>
      </c>
      <c r="K131" s="79">
        <v>46118.875</v>
      </c>
      <c r="L131" t="s">
        <v>3349</v>
      </c>
      <c r="M131" t="s">
        <v>2910</v>
      </c>
      <c r="N131" s="99">
        <v>46118</v>
      </c>
      <c r="O131" s="75">
        <v>0.91666666666666663</v>
      </c>
      <c r="P131" t="s">
        <v>3350</v>
      </c>
      <c r="Q131" t="s">
        <v>1356</v>
      </c>
      <c r="R131" t="s">
        <v>3351</v>
      </c>
      <c r="S131" t="s">
        <v>1868</v>
      </c>
      <c r="T131" t="s">
        <v>3352</v>
      </c>
      <c r="V131" t="s">
        <v>2965</v>
      </c>
      <c r="X131" t="s">
        <v>2914</v>
      </c>
    </row>
    <row r="132" spans="1:24" ht="16" customHeight="1" x14ac:dyDescent="0.6">
      <c r="A132" t="s">
        <v>3353</v>
      </c>
      <c r="B132" t="s">
        <v>17</v>
      </c>
      <c r="C132" t="s">
        <v>3036</v>
      </c>
      <c r="E132" t="s">
        <v>2917</v>
      </c>
      <c r="F132">
        <v>3156430</v>
      </c>
      <c r="H132">
        <v>382049610</v>
      </c>
      <c r="I132">
        <v>80</v>
      </c>
      <c r="J132" s="98">
        <v>1</v>
      </c>
      <c r="K132" s="79">
        <v>46118.9375</v>
      </c>
      <c r="M132" t="s">
        <v>2910</v>
      </c>
      <c r="N132" s="99">
        <v>46118</v>
      </c>
      <c r="O132" s="75">
        <v>0.90625</v>
      </c>
      <c r="P132" t="s">
        <v>3354</v>
      </c>
      <c r="Q132" t="s">
        <v>1356</v>
      </c>
      <c r="R132" t="s">
        <v>3355</v>
      </c>
      <c r="S132" t="s">
        <v>1868</v>
      </c>
      <c r="T132" t="s">
        <v>3356</v>
      </c>
      <c r="V132" t="s">
        <v>2965</v>
      </c>
      <c r="X132" t="s">
        <v>2914</v>
      </c>
    </row>
    <row r="133" spans="1:24" ht="16" customHeight="1" x14ac:dyDescent="0.6">
      <c r="A133" t="s">
        <v>3357</v>
      </c>
      <c r="B133" t="s">
        <v>17</v>
      </c>
      <c r="C133" t="s">
        <v>3055</v>
      </c>
      <c r="E133" t="s">
        <v>2930</v>
      </c>
      <c r="F133">
        <v>3152447</v>
      </c>
      <c r="H133">
        <v>975083289</v>
      </c>
      <c r="I133">
        <v>50</v>
      </c>
      <c r="J133" s="98">
        <v>0.5</v>
      </c>
      <c r="K133" s="79">
        <v>46118.9375</v>
      </c>
      <c r="M133" t="s">
        <v>2910</v>
      </c>
      <c r="N133" s="99">
        <v>46118</v>
      </c>
      <c r="P133" t="s">
        <v>3358</v>
      </c>
      <c r="Q133" t="s">
        <v>1356</v>
      </c>
      <c r="R133" t="s">
        <v>3297</v>
      </c>
      <c r="S133" t="s">
        <v>1868</v>
      </c>
      <c r="V133" t="s">
        <v>2965</v>
      </c>
      <c r="X133" t="s">
        <v>2914</v>
      </c>
    </row>
    <row r="134" spans="1:24" ht="16" customHeight="1" x14ac:dyDescent="0.6">
      <c r="A134" t="s">
        <v>3359</v>
      </c>
      <c r="B134" t="s">
        <v>17</v>
      </c>
      <c r="C134" t="s">
        <v>2954</v>
      </c>
      <c r="E134" t="s">
        <v>2930</v>
      </c>
      <c r="F134">
        <v>3129272</v>
      </c>
      <c r="G134">
        <v>937329651</v>
      </c>
      <c r="H134">
        <v>876177676</v>
      </c>
      <c r="I134">
        <v>60</v>
      </c>
      <c r="J134" s="98">
        <v>0.75</v>
      </c>
      <c r="K134" s="79">
        <v>46118.916666666664</v>
      </c>
      <c r="M134" t="s">
        <v>2910</v>
      </c>
      <c r="N134" s="99">
        <v>46118</v>
      </c>
      <c r="P134" t="s">
        <v>3360</v>
      </c>
      <c r="Q134" t="s">
        <v>967</v>
      </c>
      <c r="R134" t="s">
        <v>3361</v>
      </c>
      <c r="S134" t="s">
        <v>1868</v>
      </c>
      <c r="T134" t="s">
        <v>3026</v>
      </c>
      <c r="V134" t="s">
        <v>2965</v>
      </c>
      <c r="X134" t="s">
        <v>2914</v>
      </c>
    </row>
    <row r="135" spans="1:24" ht="16" customHeight="1" x14ac:dyDescent="0.6">
      <c r="A135" t="s">
        <v>3362</v>
      </c>
      <c r="B135" t="s">
        <v>17</v>
      </c>
      <c r="C135" t="s">
        <v>2908</v>
      </c>
      <c r="E135" t="s">
        <v>2909</v>
      </c>
      <c r="F135">
        <v>3142038</v>
      </c>
      <c r="H135">
        <v>949288266</v>
      </c>
      <c r="I135">
        <v>12</v>
      </c>
      <c r="J135" s="98">
        <v>0.3</v>
      </c>
      <c r="K135" s="79">
        <v>46119.166666666664</v>
      </c>
      <c r="M135" t="s">
        <v>2910</v>
      </c>
      <c r="N135" s="99">
        <v>46207</v>
      </c>
      <c r="O135" s="75">
        <v>0.16666666666666666</v>
      </c>
      <c r="P135" t="s">
        <v>3363</v>
      </c>
      <c r="Q135" t="s">
        <v>3364</v>
      </c>
      <c r="R135" t="s">
        <v>3365</v>
      </c>
      <c r="S135" t="s">
        <v>1868</v>
      </c>
      <c r="T135" t="s">
        <v>3366</v>
      </c>
      <c r="X135" t="s">
        <v>2914</v>
      </c>
    </row>
    <row r="136" spans="1:24" ht="16" customHeight="1" x14ac:dyDescent="0.6">
      <c r="A136" t="s">
        <v>3367</v>
      </c>
      <c r="B136" t="s">
        <v>17</v>
      </c>
      <c r="C136" t="s">
        <v>2969</v>
      </c>
      <c r="E136" t="s">
        <v>2930</v>
      </c>
      <c r="F136">
        <v>3120451</v>
      </c>
      <c r="H136">
        <v>369085819</v>
      </c>
      <c r="I136">
        <v>50</v>
      </c>
      <c r="J136" s="98">
        <v>0.75</v>
      </c>
      <c r="K136" s="79">
        <v>46118.895833333336</v>
      </c>
      <c r="M136" t="s">
        <v>2910</v>
      </c>
      <c r="N136" s="99">
        <v>46118</v>
      </c>
      <c r="O136" s="75">
        <v>0.90625</v>
      </c>
      <c r="P136" t="s">
        <v>3368</v>
      </c>
      <c r="Q136" t="s">
        <v>967</v>
      </c>
      <c r="R136" t="s">
        <v>3369</v>
      </c>
      <c r="S136" t="s">
        <v>1868</v>
      </c>
      <c r="T136" t="s">
        <v>3370</v>
      </c>
      <c r="V136" t="s">
        <v>2965</v>
      </c>
      <c r="X136" t="s">
        <v>2914</v>
      </c>
    </row>
    <row r="137" spans="1:24" ht="16" customHeight="1" x14ac:dyDescent="0.6">
      <c r="A137" t="s">
        <v>3371</v>
      </c>
      <c r="B137" t="s">
        <v>17</v>
      </c>
      <c r="C137" t="s">
        <v>3372</v>
      </c>
      <c r="E137" t="s">
        <v>2930</v>
      </c>
      <c r="F137">
        <v>3130980</v>
      </c>
      <c r="H137">
        <v>914989533</v>
      </c>
      <c r="I137">
        <v>25</v>
      </c>
      <c r="J137" s="98">
        <v>0.5</v>
      </c>
      <c r="K137" s="79">
        <v>46118.895833333336</v>
      </c>
      <c r="M137" t="s">
        <v>2910</v>
      </c>
      <c r="N137" s="99">
        <v>46118</v>
      </c>
      <c r="O137" s="75">
        <v>0.91666666666666663</v>
      </c>
      <c r="P137" t="s">
        <v>3373</v>
      </c>
      <c r="Q137" t="s">
        <v>1356</v>
      </c>
      <c r="R137" t="s">
        <v>3297</v>
      </c>
      <c r="S137" t="s">
        <v>1868</v>
      </c>
      <c r="X137" t="s">
        <v>2914</v>
      </c>
    </row>
    <row r="138" spans="1:24" ht="16" customHeight="1" x14ac:dyDescent="0.6">
      <c r="A138" t="s">
        <v>3374</v>
      </c>
      <c r="B138" t="s">
        <v>17</v>
      </c>
      <c r="C138" t="s">
        <v>3217</v>
      </c>
      <c r="E138" t="s">
        <v>2909</v>
      </c>
      <c r="F138">
        <v>3138935</v>
      </c>
      <c r="H138">
        <v>707613027</v>
      </c>
      <c r="I138">
        <v>50</v>
      </c>
      <c r="J138" s="98">
        <v>0.5</v>
      </c>
      <c r="K138" s="79">
        <v>46118.916666666664</v>
      </c>
      <c r="L138" t="s">
        <v>3375</v>
      </c>
      <c r="M138" t="s">
        <v>2910</v>
      </c>
      <c r="N138" s="99">
        <v>46177</v>
      </c>
      <c r="O138" s="75">
        <v>0.91666666666666663</v>
      </c>
      <c r="P138" t="s">
        <v>3376</v>
      </c>
      <c r="Q138" t="s">
        <v>967</v>
      </c>
      <c r="R138" t="s">
        <v>3377</v>
      </c>
      <c r="S138" t="s">
        <v>1868</v>
      </c>
      <c r="T138" t="s">
        <v>3378</v>
      </c>
      <c r="V138" t="s">
        <v>202</v>
      </c>
      <c r="X138" t="s">
        <v>2914</v>
      </c>
    </row>
    <row r="139" spans="1:24" ht="16" customHeight="1" x14ac:dyDescent="0.6">
      <c r="A139" t="s">
        <v>3379</v>
      </c>
      <c r="B139" t="s">
        <v>17</v>
      </c>
      <c r="C139" t="s">
        <v>3380</v>
      </c>
      <c r="E139" t="s">
        <v>2917</v>
      </c>
      <c r="F139">
        <v>3106634</v>
      </c>
      <c r="H139">
        <v>908377969</v>
      </c>
      <c r="I139">
        <v>80</v>
      </c>
      <c r="J139" s="98">
        <v>1</v>
      </c>
      <c r="K139" s="79">
        <v>46118.9375</v>
      </c>
      <c r="M139" t="s">
        <v>2910</v>
      </c>
      <c r="N139" s="99">
        <v>46177</v>
      </c>
      <c r="P139" t="s">
        <v>3381</v>
      </c>
      <c r="Q139" t="s">
        <v>1356</v>
      </c>
      <c r="R139" t="s">
        <v>3297</v>
      </c>
      <c r="S139" t="s">
        <v>1868</v>
      </c>
      <c r="X139" t="s">
        <v>2914</v>
      </c>
    </row>
    <row r="140" spans="1:24" ht="16" customHeight="1" x14ac:dyDescent="0.6">
      <c r="A140" t="s">
        <v>3382</v>
      </c>
      <c r="B140" t="s">
        <v>17</v>
      </c>
      <c r="C140" t="s">
        <v>3179</v>
      </c>
      <c r="E140" t="s">
        <v>2909</v>
      </c>
      <c r="F140">
        <v>3149706</v>
      </c>
      <c r="G140" t="s">
        <v>3180</v>
      </c>
      <c r="H140">
        <v>706395955</v>
      </c>
      <c r="I140">
        <v>60</v>
      </c>
      <c r="J140" s="98">
        <v>0.5</v>
      </c>
      <c r="K140" s="79">
        <v>46118.90625</v>
      </c>
      <c r="M140" t="s">
        <v>2910</v>
      </c>
      <c r="N140" s="99">
        <v>46177</v>
      </c>
      <c r="O140" s="75">
        <v>0.91666666666666663</v>
      </c>
      <c r="P140" t="s">
        <v>3383</v>
      </c>
      <c r="Q140" t="s">
        <v>967</v>
      </c>
      <c r="R140" t="s">
        <v>3384</v>
      </c>
      <c r="S140" t="s">
        <v>1868</v>
      </c>
      <c r="T140" t="s">
        <v>3215</v>
      </c>
      <c r="V140" t="s">
        <v>202</v>
      </c>
      <c r="X140" t="s">
        <v>2914</v>
      </c>
    </row>
    <row r="141" spans="1:24" ht="16" customHeight="1" x14ac:dyDescent="0.6">
      <c r="A141" t="s">
        <v>3385</v>
      </c>
      <c r="B141" t="s">
        <v>17</v>
      </c>
      <c r="C141" t="s">
        <v>3213</v>
      </c>
      <c r="E141" t="s">
        <v>2909</v>
      </c>
      <c r="F141">
        <v>3154964</v>
      </c>
      <c r="H141">
        <v>942439849</v>
      </c>
      <c r="I141">
        <v>15</v>
      </c>
      <c r="J141" s="98">
        <v>0.3</v>
      </c>
      <c r="K141" s="79">
        <v>46118.895833333336</v>
      </c>
      <c r="M141" t="s">
        <v>2910</v>
      </c>
      <c r="N141" s="99">
        <v>46177</v>
      </c>
      <c r="O141" s="75">
        <v>0.92708333333333337</v>
      </c>
      <c r="P141" t="s">
        <v>3386</v>
      </c>
      <c r="Q141" t="s">
        <v>967</v>
      </c>
      <c r="R141" t="s">
        <v>3387</v>
      </c>
      <c r="S141" t="s">
        <v>1868</v>
      </c>
      <c r="T141" t="s">
        <v>3388</v>
      </c>
      <c r="V141" t="s">
        <v>202</v>
      </c>
      <c r="X141" t="s">
        <v>2914</v>
      </c>
    </row>
    <row r="142" spans="1:24" ht="16" customHeight="1" x14ac:dyDescent="0.6">
      <c r="A142" t="s">
        <v>3389</v>
      </c>
      <c r="B142" t="s">
        <v>17</v>
      </c>
      <c r="C142" t="s">
        <v>3047</v>
      </c>
      <c r="E142" t="s">
        <v>2917</v>
      </c>
      <c r="F142">
        <v>3161741</v>
      </c>
      <c r="H142">
        <v>355529239</v>
      </c>
      <c r="I142">
        <v>30</v>
      </c>
      <c r="J142" s="98">
        <v>0.5</v>
      </c>
      <c r="K142" s="79">
        <v>46118.9375</v>
      </c>
      <c r="M142" t="s">
        <v>2910</v>
      </c>
      <c r="N142" s="99">
        <v>46177</v>
      </c>
      <c r="O142" s="75">
        <v>0.9375</v>
      </c>
      <c r="P142" t="s">
        <v>3386</v>
      </c>
      <c r="Q142" t="s">
        <v>967</v>
      </c>
      <c r="R142" t="s">
        <v>3387</v>
      </c>
      <c r="S142" t="s">
        <v>1868</v>
      </c>
      <c r="T142" t="s">
        <v>3388</v>
      </c>
      <c r="V142" t="s">
        <v>202</v>
      </c>
      <c r="X142" t="s">
        <v>2914</v>
      </c>
    </row>
    <row r="143" spans="1:24" ht="16" customHeight="1" x14ac:dyDescent="0.6">
      <c r="A143" t="s">
        <v>3390</v>
      </c>
      <c r="B143" t="s">
        <v>17</v>
      </c>
      <c r="C143" t="s">
        <v>3049</v>
      </c>
      <c r="E143" t="s">
        <v>2909</v>
      </c>
      <c r="F143">
        <v>3074147</v>
      </c>
      <c r="H143">
        <v>945806398</v>
      </c>
      <c r="I143">
        <v>50</v>
      </c>
      <c r="J143" s="98">
        <v>0.5</v>
      </c>
      <c r="K143" s="79">
        <v>46118.895833333336</v>
      </c>
      <c r="L143" t="s">
        <v>3050</v>
      </c>
      <c r="M143" t="s">
        <v>2910</v>
      </c>
      <c r="N143" s="99">
        <v>46177</v>
      </c>
      <c r="O143" s="75">
        <v>0.91666666666666663</v>
      </c>
      <c r="P143" t="s">
        <v>3376</v>
      </c>
      <c r="Q143" t="s">
        <v>967</v>
      </c>
      <c r="R143" t="s">
        <v>3377</v>
      </c>
      <c r="S143" t="s">
        <v>1868</v>
      </c>
      <c r="T143" t="s">
        <v>3378</v>
      </c>
      <c r="V143" t="s">
        <v>202</v>
      </c>
      <c r="X143" t="s">
        <v>2914</v>
      </c>
    </row>
    <row r="144" spans="1:24" ht="16" customHeight="1" x14ac:dyDescent="0.6">
      <c r="A144" t="s">
        <v>3391</v>
      </c>
      <c r="B144" t="s">
        <v>17</v>
      </c>
      <c r="C144" t="s">
        <v>3242</v>
      </c>
      <c r="E144" t="s">
        <v>2930</v>
      </c>
      <c r="F144">
        <v>3139139</v>
      </c>
      <c r="H144">
        <v>977705672</v>
      </c>
      <c r="I144">
        <v>100</v>
      </c>
      <c r="J144" s="98">
        <v>1</v>
      </c>
      <c r="K144" s="79">
        <v>46118.916666666664</v>
      </c>
      <c r="M144" t="s">
        <v>2910</v>
      </c>
      <c r="N144" s="99">
        <v>46177</v>
      </c>
      <c r="P144" t="s">
        <v>3392</v>
      </c>
      <c r="Q144" t="s">
        <v>967</v>
      </c>
      <c r="R144" t="s">
        <v>3229</v>
      </c>
      <c r="S144" t="s">
        <v>1868</v>
      </c>
      <c r="T144" t="s">
        <v>3230</v>
      </c>
      <c r="V144" t="s">
        <v>2965</v>
      </c>
      <c r="X144" t="s">
        <v>2914</v>
      </c>
    </row>
    <row r="145" spans="1:24" ht="16" customHeight="1" x14ac:dyDescent="0.6">
      <c r="A145" t="s">
        <v>3393</v>
      </c>
      <c r="B145" t="s">
        <v>17</v>
      </c>
      <c r="C145" t="s">
        <v>2976</v>
      </c>
      <c r="E145" t="s">
        <v>2917</v>
      </c>
      <c r="F145">
        <v>1871696</v>
      </c>
      <c r="H145">
        <v>334774747</v>
      </c>
      <c r="I145">
        <v>100</v>
      </c>
      <c r="J145" t="s">
        <v>2919</v>
      </c>
      <c r="K145" s="79">
        <v>46118.875</v>
      </c>
      <c r="M145" t="s">
        <v>2910</v>
      </c>
      <c r="N145" s="99">
        <v>46177</v>
      </c>
      <c r="O145" s="75">
        <v>0.95833333333333337</v>
      </c>
      <c r="P145" t="s">
        <v>3394</v>
      </c>
      <c r="Q145" t="s">
        <v>967</v>
      </c>
      <c r="R145" t="s">
        <v>3395</v>
      </c>
      <c r="S145" t="s">
        <v>1868</v>
      </c>
      <c r="T145" t="s">
        <v>3017</v>
      </c>
      <c r="V145" t="s">
        <v>202</v>
      </c>
      <c r="X145" t="s">
        <v>2914</v>
      </c>
    </row>
    <row r="146" spans="1:24" ht="16" customHeight="1" x14ac:dyDescent="0.6">
      <c r="A146" t="s">
        <v>3396</v>
      </c>
      <c r="B146" t="s">
        <v>17</v>
      </c>
      <c r="C146" t="s">
        <v>3005</v>
      </c>
      <c r="E146" t="s">
        <v>2917</v>
      </c>
      <c r="F146">
        <v>3122228</v>
      </c>
      <c r="H146">
        <v>376123717</v>
      </c>
      <c r="I146">
        <v>30</v>
      </c>
      <c r="J146" s="98">
        <v>0.3</v>
      </c>
      <c r="K146" s="79">
        <v>46119.208333333336</v>
      </c>
      <c r="M146" t="s">
        <v>2910</v>
      </c>
      <c r="N146" s="99">
        <v>46207</v>
      </c>
      <c r="O146" s="75">
        <v>0.20833333333333334</v>
      </c>
      <c r="P146" t="s">
        <v>3397</v>
      </c>
      <c r="Q146" t="s">
        <v>3364</v>
      </c>
      <c r="R146" t="s">
        <v>3398</v>
      </c>
      <c r="S146" t="s">
        <v>1868</v>
      </c>
      <c r="T146" t="s">
        <v>3399</v>
      </c>
      <c r="V146" t="s">
        <v>2965</v>
      </c>
      <c r="X146" t="s">
        <v>2914</v>
      </c>
    </row>
    <row r="147" spans="1:24" ht="16" customHeight="1" x14ac:dyDescent="0.6">
      <c r="A147" t="s">
        <v>3400</v>
      </c>
      <c r="B147" t="s">
        <v>17</v>
      </c>
      <c r="C147" t="s">
        <v>3041</v>
      </c>
      <c r="E147" t="s">
        <v>2909</v>
      </c>
      <c r="F147">
        <v>3132927</v>
      </c>
      <c r="G147" t="s">
        <v>3042</v>
      </c>
      <c r="H147">
        <v>367129993</v>
      </c>
      <c r="I147">
        <v>20</v>
      </c>
      <c r="J147" s="98">
        <v>0.75</v>
      </c>
      <c r="K147" s="79">
        <v>46119.208333333336</v>
      </c>
      <c r="L147" t="s">
        <v>3401</v>
      </c>
      <c r="M147" t="s">
        <v>2910</v>
      </c>
      <c r="N147" s="99">
        <v>46207</v>
      </c>
      <c r="O147" s="75">
        <v>0.20833333333333334</v>
      </c>
      <c r="P147" t="s">
        <v>3402</v>
      </c>
      <c r="Q147" t="s">
        <v>3364</v>
      </c>
      <c r="R147" t="s">
        <v>3403</v>
      </c>
      <c r="S147" t="s">
        <v>1868</v>
      </c>
      <c r="T147" t="s">
        <v>3404</v>
      </c>
      <c r="V147" t="s">
        <v>2965</v>
      </c>
      <c r="X147" t="s">
        <v>2914</v>
      </c>
    </row>
    <row r="148" spans="1:24" ht="16" customHeight="1" x14ac:dyDescent="0.6">
      <c r="A148" t="s">
        <v>3405</v>
      </c>
      <c r="B148" t="s">
        <v>17</v>
      </c>
      <c r="C148" t="s">
        <v>3093</v>
      </c>
      <c r="E148" t="s">
        <v>2930</v>
      </c>
      <c r="F148">
        <v>3135107</v>
      </c>
      <c r="H148">
        <v>344436412</v>
      </c>
      <c r="I148">
        <v>110</v>
      </c>
      <c r="J148" s="98">
        <v>1</v>
      </c>
      <c r="K148" s="79">
        <v>46119.1875</v>
      </c>
      <c r="M148" t="s">
        <v>2910</v>
      </c>
      <c r="N148" s="99">
        <v>46207</v>
      </c>
      <c r="O148" s="75">
        <v>0.20833333333333334</v>
      </c>
      <c r="P148" t="s">
        <v>3406</v>
      </c>
      <c r="Q148" t="s">
        <v>967</v>
      </c>
      <c r="R148" t="s">
        <v>3407</v>
      </c>
      <c r="S148" t="s">
        <v>1868</v>
      </c>
      <c r="T148" t="s">
        <v>3408</v>
      </c>
      <c r="V148" t="s">
        <v>2965</v>
      </c>
      <c r="X148" t="s">
        <v>2914</v>
      </c>
    </row>
    <row r="149" spans="1:24" ht="16" customHeight="1" x14ac:dyDescent="0.6">
      <c r="A149" t="s">
        <v>3409</v>
      </c>
      <c r="B149" t="s">
        <v>17</v>
      </c>
      <c r="C149" t="s">
        <v>3311</v>
      </c>
      <c r="E149" t="s">
        <v>2930</v>
      </c>
      <c r="F149">
        <v>3044380</v>
      </c>
      <c r="G149" t="s">
        <v>3312</v>
      </c>
      <c r="H149">
        <v>794980050</v>
      </c>
      <c r="I149">
        <v>100</v>
      </c>
      <c r="J149" s="98">
        <v>1</v>
      </c>
      <c r="K149" s="79">
        <v>46118.958333333336</v>
      </c>
      <c r="L149" t="s">
        <v>3410</v>
      </c>
      <c r="M149" t="s">
        <v>2955</v>
      </c>
      <c r="X149" t="s">
        <v>2914</v>
      </c>
    </row>
    <row r="150" spans="1:24" ht="16" customHeight="1" x14ac:dyDescent="0.6">
      <c r="A150" t="s">
        <v>3411</v>
      </c>
      <c r="B150" t="s">
        <v>17</v>
      </c>
      <c r="C150" t="s">
        <v>3022</v>
      </c>
      <c r="E150" t="s">
        <v>2917</v>
      </c>
      <c r="F150">
        <v>32135714</v>
      </c>
      <c r="H150">
        <v>333124453</v>
      </c>
      <c r="I150">
        <v>400</v>
      </c>
      <c r="J150" s="98">
        <v>1</v>
      </c>
      <c r="K150" s="79">
        <v>46119.208333333336</v>
      </c>
      <c r="M150" t="s">
        <v>2910</v>
      </c>
      <c r="N150" s="99">
        <v>46207</v>
      </c>
      <c r="O150" s="75">
        <v>0.20833333333333334</v>
      </c>
      <c r="P150" t="s">
        <v>3412</v>
      </c>
      <c r="Q150" t="s">
        <v>961</v>
      </c>
      <c r="R150" t="s">
        <v>3413</v>
      </c>
      <c r="S150" t="s">
        <v>1868</v>
      </c>
      <c r="T150" t="s">
        <v>3414</v>
      </c>
      <c r="V150" t="s">
        <v>2965</v>
      </c>
      <c r="X150" t="s">
        <v>2914</v>
      </c>
    </row>
    <row r="151" spans="1:24" ht="16" customHeight="1" x14ac:dyDescent="0.6">
      <c r="A151" t="s">
        <v>3415</v>
      </c>
      <c r="B151" t="s">
        <v>17</v>
      </c>
      <c r="C151" t="s">
        <v>3311</v>
      </c>
      <c r="E151" t="s">
        <v>2930</v>
      </c>
      <c r="F151">
        <v>3044380</v>
      </c>
      <c r="G151" t="s">
        <v>3312</v>
      </c>
      <c r="H151">
        <v>794980050</v>
      </c>
      <c r="I151">
        <v>50</v>
      </c>
      <c r="J151" s="98">
        <v>1</v>
      </c>
      <c r="K151" s="79">
        <v>46119.208333333336</v>
      </c>
      <c r="M151" t="s">
        <v>2910</v>
      </c>
      <c r="N151" s="99">
        <v>46207</v>
      </c>
      <c r="O151" s="75">
        <v>0.20833333333333334</v>
      </c>
      <c r="P151" t="s">
        <v>3416</v>
      </c>
      <c r="Q151" t="s">
        <v>3417</v>
      </c>
      <c r="R151" t="s">
        <v>3002</v>
      </c>
      <c r="S151" t="s">
        <v>1868</v>
      </c>
      <c r="T151" t="s">
        <v>3418</v>
      </c>
      <c r="V151" t="s">
        <v>2965</v>
      </c>
      <c r="X151" t="s">
        <v>2914</v>
      </c>
    </row>
    <row r="152" spans="1:24" ht="16" customHeight="1" x14ac:dyDescent="0.6">
      <c r="A152" t="s">
        <v>3419</v>
      </c>
      <c r="B152" t="s">
        <v>17</v>
      </c>
      <c r="C152" t="s">
        <v>2939</v>
      </c>
      <c r="E152" t="s">
        <v>2930</v>
      </c>
      <c r="F152">
        <v>3152551</v>
      </c>
      <c r="H152">
        <v>866782808</v>
      </c>
      <c r="I152">
        <v>50</v>
      </c>
      <c r="J152" s="98">
        <v>0.5</v>
      </c>
      <c r="K152" s="79">
        <v>46118.979166666664</v>
      </c>
      <c r="M152" t="s">
        <v>3029</v>
      </c>
      <c r="X152" t="s">
        <v>2914</v>
      </c>
    </row>
    <row r="153" spans="1:24" ht="16" customHeight="1" x14ac:dyDescent="0.6">
      <c r="A153" t="s">
        <v>3420</v>
      </c>
      <c r="B153" t="s">
        <v>17</v>
      </c>
      <c r="C153" t="s">
        <v>3380</v>
      </c>
      <c r="E153" t="s">
        <v>2917</v>
      </c>
      <c r="F153">
        <v>3029303</v>
      </c>
      <c r="G153" t="s">
        <v>3421</v>
      </c>
      <c r="H153">
        <v>779489838</v>
      </c>
      <c r="I153">
        <v>100</v>
      </c>
      <c r="J153" s="98">
        <v>1</v>
      </c>
      <c r="K153" s="79">
        <v>46119.208333333336</v>
      </c>
      <c r="M153" t="s">
        <v>2910</v>
      </c>
      <c r="N153" s="99">
        <v>46207</v>
      </c>
      <c r="O153" s="75">
        <v>0.20833333333333334</v>
      </c>
      <c r="P153" t="s">
        <v>3422</v>
      </c>
      <c r="Q153" t="s">
        <v>3364</v>
      </c>
      <c r="R153" t="s">
        <v>3423</v>
      </c>
      <c r="S153" t="s">
        <v>1868</v>
      </c>
      <c r="T153" t="s">
        <v>3424</v>
      </c>
      <c r="V153" t="s">
        <v>2965</v>
      </c>
      <c r="X153" t="s">
        <v>2914</v>
      </c>
    </row>
    <row r="154" spans="1:24" ht="16" customHeight="1" x14ac:dyDescent="0.6">
      <c r="A154" t="s">
        <v>3425</v>
      </c>
      <c r="B154" t="s">
        <v>17</v>
      </c>
      <c r="C154" t="s">
        <v>3221</v>
      </c>
      <c r="E154" t="s">
        <v>2909</v>
      </c>
      <c r="F154">
        <v>3151831</v>
      </c>
      <c r="H154">
        <v>908404630</v>
      </c>
      <c r="I154">
        <v>30</v>
      </c>
      <c r="J154" s="98">
        <v>0.3</v>
      </c>
      <c r="K154" s="79">
        <v>46119.208333333336</v>
      </c>
      <c r="L154" t="s">
        <v>3426</v>
      </c>
      <c r="M154" t="s">
        <v>2910</v>
      </c>
      <c r="N154" s="99">
        <v>46207</v>
      </c>
      <c r="O154" s="75">
        <v>0.20833333333333334</v>
      </c>
      <c r="P154" t="s">
        <v>3427</v>
      </c>
      <c r="Q154" t="s">
        <v>967</v>
      </c>
      <c r="R154" t="s">
        <v>2937</v>
      </c>
      <c r="S154" t="s">
        <v>1868</v>
      </c>
      <c r="T154" t="s">
        <v>3263</v>
      </c>
      <c r="V154" t="s">
        <v>202</v>
      </c>
      <c r="X154" t="s">
        <v>2914</v>
      </c>
    </row>
    <row r="155" spans="1:24" ht="16" customHeight="1" x14ac:dyDescent="0.6">
      <c r="A155" t="s">
        <v>3428</v>
      </c>
      <c r="B155" t="s">
        <v>17</v>
      </c>
      <c r="C155" t="s">
        <v>3380</v>
      </c>
      <c r="E155" t="s">
        <v>2917</v>
      </c>
      <c r="F155">
        <v>3029303</v>
      </c>
      <c r="G155" t="s">
        <v>3421</v>
      </c>
      <c r="H155">
        <v>779489838</v>
      </c>
      <c r="I155">
        <v>100</v>
      </c>
      <c r="J155" s="98">
        <v>1</v>
      </c>
      <c r="K155" s="79">
        <v>46119.197916666664</v>
      </c>
      <c r="M155" t="s">
        <v>3029</v>
      </c>
      <c r="X155" t="s">
        <v>2914</v>
      </c>
    </row>
    <row r="156" spans="1:24" ht="16" customHeight="1" x14ac:dyDescent="0.6">
      <c r="A156" t="s">
        <v>3429</v>
      </c>
      <c r="B156" t="s">
        <v>17</v>
      </c>
      <c r="C156" t="s">
        <v>2939</v>
      </c>
      <c r="E156" t="s">
        <v>2917</v>
      </c>
      <c r="F156">
        <v>3152551</v>
      </c>
      <c r="H156">
        <v>866782808</v>
      </c>
      <c r="I156">
        <v>30</v>
      </c>
      <c r="J156" s="98">
        <v>0.3</v>
      </c>
      <c r="K156" s="79">
        <v>46119.208333333336</v>
      </c>
      <c r="M156" t="s">
        <v>2910</v>
      </c>
      <c r="N156" s="99">
        <v>46207</v>
      </c>
      <c r="O156" s="75">
        <v>0.20833333333333334</v>
      </c>
      <c r="P156" t="s">
        <v>3430</v>
      </c>
      <c r="Q156" t="s">
        <v>967</v>
      </c>
      <c r="R156" t="s">
        <v>3255</v>
      </c>
      <c r="S156" t="s">
        <v>1868</v>
      </c>
      <c r="T156" t="s">
        <v>3431</v>
      </c>
      <c r="V156" t="s">
        <v>202</v>
      </c>
      <c r="X156" t="s">
        <v>2914</v>
      </c>
    </row>
    <row r="157" spans="1:24" ht="16" customHeight="1" x14ac:dyDescent="0.6">
      <c r="A157" t="s">
        <v>3432</v>
      </c>
      <c r="B157" t="s">
        <v>17</v>
      </c>
      <c r="C157" t="s">
        <v>3372</v>
      </c>
      <c r="E157" t="s">
        <v>2930</v>
      </c>
      <c r="F157">
        <v>3130980</v>
      </c>
      <c r="H157">
        <v>335450774</v>
      </c>
      <c r="I157">
        <v>100</v>
      </c>
      <c r="J157" s="98">
        <v>0.75</v>
      </c>
      <c r="K157" s="79">
        <v>46119.1875</v>
      </c>
      <c r="M157" t="s">
        <v>2910</v>
      </c>
      <c r="N157" s="99">
        <v>46207</v>
      </c>
      <c r="O157" s="75">
        <v>0.20833333333333334</v>
      </c>
      <c r="P157" t="s">
        <v>3433</v>
      </c>
      <c r="Q157" t="s">
        <v>967</v>
      </c>
      <c r="R157" s="73" t="s">
        <v>3434</v>
      </c>
      <c r="S157" t="s">
        <v>1868</v>
      </c>
      <c r="T157" t="s">
        <v>3435</v>
      </c>
      <c r="V157" t="s">
        <v>2965</v>
      </c>
      <c r="X157" t="s">
        <v>2914</v>
      </c>
    </row>
    <row r="158" spans="1:24" ht="16" customHeight="1" x14ac:dyDescent="0.6">
      <c r="A158" t="s">
        <v>3436</v>
      </c>
      <c r="B158" t="s">
        <v>17</v>
      </c>
      <c r="C158" t="s">
        <v>2935</v>
      </c>
      <c r="E158" t="s">
        <v>2930</v>
      </c>
      <c r="F158">
        <v>3138621</v>
      </c>
      <c r="H158">
        <v>983362477</v>
      </c>
      <c r="I158">
        <v>50</v>
      </c>
      <c r="J158" s="98">
        <v>0.5</v>
      </c>
      <c r="K158" s="79">
        <v>46119.208333333336</v>
      </c>
      <c r="M158" t="s">
        <v>2910</v>
      </c>
      <c r="N158" s="99">
        <v>46207</v>
      </c>
      <c r="O158" s="75">
        <v>0.14583333333333334</v>
      </c>
      <c r="P158" t="s">
        <v>3437</v>
      </c>
      <c r="Q158" t="s">
        <v>967</v>
      </c>
      <c r="R158" t="s">
        <v>2973</v>
      </c>
      <c r="S158" t="s">
        <v>1868</v>
      </c>
      <c r="T158" t="s">
        <v>3438</v>
      </c>
      <c r="V158" t="s">
        <v>2965</v>
      </c>
      <c r="X158" t="s">
        <v>2914</v>
      </c>
    </row>
    <row r="159" spans="1:24" ht="16" customHeight="1" x14ac:dyDescent="0.6">
      <c r="A159" t="s">
        <v>3439</v>
      </c>
      <c r="B159" t="s">
        <v>17</v>
      </c>
      <c r="C159" t="s">
        <v>3380</v>
      </c>
      <c r="E159" t="s">
        <v>2917</v>
      </c>
      <c r="F159">
        <v>257501</v>
      </c>
      <c r="G159" t="s">
        <v>3440</v>
      </c>
      <c r="H159">
        <v>906946474</v>
      </c>
      <c r="I159">
        <v>50</v>
      </c>
      <c r="J159" s="98">
        <v>1</v>
      </c>
      <c r="K159" s="79">
        <v>46119.375</v>
      </c>
      <c r="M159" t="s">
        <v>2910</v>
      </c>
      <c r="N159" s="99">
        <v>46207</v>
      </c>
      <c r="P159" t="s">
        <v>3441</v>
      </c>
      <c r="Q159" t="s">
        <v>967</v>
      </c>
      <c r="R159" t="s">
        <v>3442</v>
      </c>
      <c r="S159" t="s">
        <v>1868</v>
      </c>
      <c r="T159" t="s">
        <v>2512</v>
      </c>
      <c r="V159" t="s">
        <v>2965</v>
      </c>
      <c r="X159" t="s">
        <v>2914</v>
      </c>
    </row>
    <row r="160" spans="1:24" ht="16" customHeight="1" x14ac:dyDescent="0.6">
      <c r="A160" t="s">
        <v>3443</v>
      </c>
      <c r="B160" t="s">
        <v>17</v>
      </c>
      <c r="C160" t="s">
        <v>2943</v>
      </c>
      <c r="E160" t="s">
        <v>2917</v>
      </c>
      <c r="F160">
        <v>1884115</v>
      </c>
      <c r="H160">
        <v>971578282</v>
      </c>
      <c r="I160">
        <v>35</v>
      </c>
      <c r="J160" s="98">
        <v>0.5</v>
      </c>
      <c r="K160" s="79">
        <v>46119.375</v>
      </c>
      <c r="M160" t="s">
        <v>2910</v>
      </c>
      <c r="N160" s="99">
        <v>46207</v>
      </c>
      <c r="O160" s="75">
        <v>0.54166666666666663</v>
      </c>
      <c r="P160" t="s">
        <v>3444</v>
      </c>
      <c r="Q160" t="s">
        <v>967</v>
      </c>
      <c r="R160" t="s">
        <v>3445</v>
      </c>
      <c r="S160" t="s">
        <v>1192</v>
      </c>
      <c r="T160" t="s">
        <v>2571</v>
      </c>
      <c r="V160" t="s">
        <v>202</v>
      </c>
      <c r="X160" t="s">
        <v>2914</v>
      </c>
    </row>
    <row r="161" spans="1:24" ht="16" customHeight="1" x14ac:dyDescent="0.6">
      <c r="A161" t="s">
        <v>3446</v>
      </c>
      <c r="B161" t="s">
        <v>17</v>
      </c>
      <c r="C161" t="s">
        <v>2976</v>
      </c>
      <c r="E161" t="s">
        <v>2917</v>
      </c>
      <c r="F161">
        <v>1871696</v>
      </c>
      <c r="H161">
        <v>774688086</v>
      </c>
      <c r="I161">
        <v>100</v>
      </c>
      <c r="J161" t="s">
        <v>2919</v>
      </c>
      <c r="K161" s="79">
        <v>46119.583333333336</v>
      </c>
      <c r="M161" t="s">
        <v>2910</v>
      </c>
      <c r="N161" s="99">
        <v>46207</v>
      </c>
      <c r="O161" s="75">
        <v>0.66666666666666663</v>
      </c>
      <c r="P161" t="s">
        <v>3447</v>
      </c>
      <c r="Q161" t="s">
        <v>967</v>
      </c>
      <c r="R161" t="s">
        <v>3448</v>
      </c>
      <c r="S161" t="s">
        <v>1868</v>
      </c>
      <c r="T161" t="s">
        <v>2650</v>
      </c>
      <c r="V161" t="s">
        <v>2965</v>
      </c>
      <c r="X161" t="s">
        <v>2914</v>
      </c>
    </row>
    <row r="162" spans="1:24" ht="16" customHeight="1" x14ac:dyDescent="0.6">
      <c r="A162" t="s">
        <v>3449</v>
      </c>
      <c r="B162" t="s">
        <v>17</v>
      </c>
      <c r="C162" t="s">
        <v>3041</v>
      </c>
      <c r="E162" t="s">
        <v>2930</v>
      </c>
      <c r="F162">
        <v>3119517</v>
      </c>
      <c r="H162">
        <v>776705243</v>
      </c>
      <c r="I162">
        <v>100</v>
      </c>
      <c r="J162" s="98">
        <v>1</v>
      </c>
      <c r="K162" s="79">
        <v>46119.833333333336</v>
      </c>
      <c r="L162" t="s">
        <v>3450</v>
      </c>
      <c r="M162" t="s">
        <v>2910</v>
      </c>
      <c r="N162" s="99">
        <v>46207</v>
      </c>
      <c r="P162" t="s">
        <v>3451</v>
      </c>
      <c r="Q162" t="s">
        <v>967</v>
      </c>
      <c r="R162" t="s">
        <v>3452</v>
      </c>
      <c r="S162" t="s">
        <v>1868</v>
      </c>
      <c r="T162" t="s">
        <v>3453</v>
      </c>
      <c r="V162" t="s">
        <v>2965</v>
      </c>
      <c r="X162" t="s">
        <v>2914</v>
      </c>
    </row>
    <row r="163" spans="1:24" ht="16" customHeight="1" x14ac:dyDescent="0.6">
      <c r="A163" t="s">
        <v>3454</v>
      </c>
      <c r="B163" t="s">
        <v>17</v>
      </c>
      <c r="C163" t="s">
        <v>2916</v>
      </c>
      <c r="E163" t="s">
        <v>2917</v>
      </c>
      <c r="F163">
        <v>3122639</v>
      </c>
      <c r="G163" t="s">
        <v>2918</v>
      </c>
      <c r="H163">
        <v>867140497</v>
      </c>
      <c r="I163">
        <v>100</v>
      </c>
      <c r="J163" s="98">
        <v>1</v>
      </c>
      <c r="K163" s="79">
        <v>46119.916666666664</v>
      </c>
      <c r="L163" t="s">
        <v>3455</v>
      </c>
      <c r="M163" t="s">
        <v>2910</v>
      </c>
      <c r="N163" s="99">
        <v>46207</v>
      </c>
      <c r="P163" t="s">
        <v>3456</v>
      </c>
      <c r="Q163" t="s">
        <v>1356</v>
      </c>
      <c r="R163" t="s">
        <v>3281</v>
      </c>
      <c r="S163" t="s">
        <v>1868</v>
      </c>
      <c r="T163" t="s">
        <v>3008</v>
      </c>
      <c r="V163" t="s">
        <v>3009</v>
      </c>
      <c r="X163" t="s">
        <v>2914</v>
      </c>
    </row>
    <row r="164" spans="1:24" ht="16" customHeight="1" x14ac:dyDescent="0.6">
      <c r="A164" t="s">
        <v>3457</v>
      </c>
      <c r="B164" t="s">
        <v>17</v>
      </c>
      <c r="C164" t="s">
        <v>3055</v>
      </c>
      <c r="E164" t="s">
        <v>2930</v>
      </c>
      <c r="F164">
        <v>3152447</v>
      </c>
      <c r="H164">
        <v>914595782</v>
      </c>
      <c r="I164">
        <v>40</v>
      </c>
      <c r="J164" s="98">
        <v>0.5</v>
      </c>
      <c r="K164" s="79">
        <v>46119.9375</v>
      </c>
      <c r="M164" t="s">
        <v>2910</v>
      </c>
      <c r="N164" s="99">
        <v>46207</v>
      </c>
      <c r="P164" t="s">
        <v>3458</v>
      </c>
      <c r="Q164" t="s">
        <v>967</v>
      </c>
      <c r="R164" t="s">
        <v>3210</v>
      </c>
      <c r="S164" t="s">
        <v>1868</v>
      </c>
      <c r="T164" t="s">
        <v>3063</v>
      </c>
      <c r="V164" t="s">
        <v>2965</v>
      </c>
      <c r="X164" t="s">
        <v>2914</v>
      </c>
    </row>
    <row r="165" spans="1:24" ht="16" customHeight="1" x14ac:dyDescent="0.6">
      <c r="A165" t="s">
        <v>3459</v>
      </c>
      <c r="B165" t="s">
        <v>17</v>
      </c>
      <c r="C165" t="s">
        <v>2957</v>
      </c>
      <c r="E165" t="s">
        <v>2909</v>
      </c>
      <c r="F165">
        <v>3153015</v>
      </c>
      <c r="H165">
        <v>973797574</v>
      </c>
      <c r="I165">
        <v>50</v>
      </c>
      <c r="J165" s="98">
        <v>1</v>
      </c>
      <c r="K165" s="79">
        <v>46119.833333333336</v>
      </c>
      <c r="M165" t="s">
        <v>2910</v>
      </c>
      <c r="N165" s="99">
        <v>46207</v>
      </c>
      <c r="P165" t="s">
        <v>3460</v>
      </c>
      <c r="Q165" t="s">
        <v>967</v>
      </c>
      <c r="R165" s="74" t="s">
        <v>3320</v>
      </c>
      <c r="S165" t="s">
        <v>1868</v>
      </c>
      <c r="T165" t="s">
        <v>3461</v>
      </c>
      <c r="X165" t="s">
        <v>2914</v>
      </c>
    </row>
    <row r="166" spans="1:24" ht="16" customHeight="1" x14ac:dyDescent="0.6">
      <c r="A166" t="s">
        <v>3462</v>
      </c>
      <c r="B166" t="s">
        <v>17</v>
      </c>
      <c r="C166" t="s">
        <v>2994</v>
      </c>
      <c r="E166" t="s">
        <v>2909</v>
      </c>
      <c r="F166">
        <v>3923633</v>
      </c>
      <c r="G166" t="s">
        <v>3463</v>
      </c>
      <c r="H166">
        <v>396799427</v>
      </c>
      <c r="I166">
        <v>60</v>
      </c>
      <c r="J166" s="98">
        <v>0.75</v>
      </c>
      <c r="K166" s="79">
        <v>46119.9375</v>
      </c>
      <c r="M166" t="s">
        <v>2910</v>
      </c>
      <c r="N166" s="99">
        <v>46207</v>
      </c>
      <c r="P166" t="s">
        <v>3464</v>
      </c>
      <c r="Q166" t="s">
        <v>967</v>
      </c>
      <c r="R166" t="s">
        <v>3465</v>
      </c>
      <c r="S166" t="s">
        <v>1868</v>
      </c>
      <c r="T166" t="s">
        <v>2997</v>
      </c>
      <c r="V166" t="s">
        <v>202</v>
      </c>
      <c r="X166" t="s">
        <v>2914</v>
      </c>
    </row>
    <row r="167" spans="1:24" ht="16" customHeight="1" x14ac:dyDescent="0.6">
      <c r="A167" t="s">
        <v>3466</v>
      </c>
      <c r="B167" t="s">
        <v>17</v>
      </c>
      <c r="C167" t="s">
        <v>2976</v>
      </c>
      <c r="E167" t="s">
        <v>2917</v>
      </c>
      <c r="F167">
        <v>1871696</v>
      </c>
      <c r="H167">
        <v>774688086</v>
      </c>
      <c r="I167">
        <v>100</v>
      </c>
      <c r="J167" t="s">
        <v>2919</v>
      </c>
      <c r="K167" s="79">
        <v>46119.916666666664</v>
      </c>
      <c r="M167" t="s">
        <v>2910</v>
      </c>
      <c r="N167" s="99">
        <v>46207</v>
      </c>
      <c r="O167" s="75">
        <v>0.91666666666666663</v>
      </c>
      <c r="P167" t="s">
        <v>3467</v>
      </c>
      <c r="Q167" t="s">
        <v>967</v>
      </c>
      <c r="R167" t="s">
        <v>3468</v>
      </c>
      <c r="S167" t="s">
        <v>1868</v>
      </c>
      <c r="T167" t="s">
        <v>3469</v>
      </c>
      <c r="V167" t="s">
        <v>2947</v>
      </c>
      <c r="X167" t="s">
        <v>2914</v>
      </c>
    </row>
    <row r="168" spans="1:24" ht="16" customHeight="1" x14ac:dyDescent="0.6">
      <c r="A168" t="s">
        <v>3470</v>
      </c>
      <c r="B168" t="s">
        <v>17</v>
      </c>
      <c r="C168" t="s">
        <v>3022</v>
      </c>
      <c r="E168" t="s">
        <v>2930</v>
      </c>
      <c r="F168">
        <v>3135714</v>
      </c>
      <c r="G168" t="s">
        <v>3175</v>
      </c>
      <c r="H168">
        <v>333124453</v>
      </c>
      <c r="I168">
        <v>300</v>
      </c>
      <c r="J168" s="98">
        <v>1</v>
      </c>
      <c r="K168" s="79">
        <v>46119.875</v>
      </c>
      <c r="L168" t="s">
        <v>3345</v>
      </c>
      <c r="M168" t="s">
        <v>2910</v>
      </c>
      <c r="N168" s="99">
        <v>46207</v>
      </c>
      <c r="P168" t="s">
        <v>3471</v>
      </c>
      <c r="Q168" t="s">
        <v>967</v>
      </c>
      <c r="R168" t="s">
        <v>3013</v>
      </c>
      <c r="S168" t="s">
        <v>1868</v>
      </c>
      <c r="T168" t="s">
        <v>2974</v>
      </c>
      <c r="V168" t="s">
        <v>2965</v>
      </c>
      <c r="X168" t="s">
        <v>2914</v>
      </c>
    </row>
    <row r="169" spans="1:24" ht="16" customHeight="1" x14ac:dyDescent="0.6">
      <c r="A169" t="s">
        <v>3472</v>
      </c>
      <c r="B169" t="s">
        <v>17</v>
      </c>
      <c r="C169" t="s">
        <v>3372</v>
      </c>
      <c r="E169" t="s">
        <v>2930</v>
      </c>
      <c r="F169">
        <v>3130980</v>
      </c>
      <c r="H169">
        <v>335450774</v>
      </c>
      <c r="I169">
        <v>100</v>
      </c>
      <c r="J169" s="98">
        <v>0.75</v>
      </c>
      <c r="K169" s="79">
        <v>46119.875</v>
      </c>
      <c r="M169" t="s">
        <v>2955</v>
      </c>
      <c r="X169" t="s">
        <v>2914</v>
      </c>
    </row>
    <row r="170" spans="1:24" ht="16" customHeight="1" x14ac:dyDescent="0.6">
      <c r="A170" t="s">
        <v>3473</v>
      </c>
      <c r="B170" t="s">
        <v>17</v>
      </c>
      <c r="C170" t="s">
        <v>3031</v>
      </c>
      <c r="E170" t="s">
        <v>2917</v>
      </c>
      <c r="F170">
        <v>3147977</v>
      </c>
      <c r="H170">
        <v>797255556</v>
      </c>
      <c r="I170">
        <v>100</v>
      </c>
      <c r="J170" s="98">
        <v>1</v>
      </c>
      <c r="K170" s="79">
        <v>46119.916666666664</v>
      </c>
      <c r="M170" t="s">
        <v>2910</v>
      </c>
      <c r="N170" s="99">
        <v>46207</v>
      </c>
      <c r="O170" t="s">
        <v>3474</v>
      </c>
      <c r="P170" t="s">
        <v>3475</v>
      </c>
      <c r="Q170" t="s">
        <v>967</v>
      </c>
      <c r="R170" t="s">
        <v>2932</v>
      </c>
      <c r="S170" t="s">
        <v>1868</v>
      </c>
      <c r="T170" t="s">
        <v>2933</v>
      </c>
      <c r="V170" t="s">
        <v>3009</v>
      </c>
      <c r="X170" t="s">
        <v>2914</v>
      </c>
    </row>
    <row r="171" spans="1:24" ht="16" customHeight="1" x14ac:dyDescent="0.6">
      <c r="A171" t="s">
        <v>3476</v>
      </c>
      <c r="B171" t="s">
        <v>17</v>
      </c>
      <c r="C171" t="s">
        <v>3066</v>
      </c>
      <c r="E171" t="s">
        <v>2930</v>
      </c>
      <c r="F171">
        <v>3139780</v>
      </c>
      <c r="H171">
        <v>979532214</v>
      </c>
      <c r="I171">
        <v>9</v>
      </c>
      <c r="J171" s="98">
        <v>0.75</v>
      </c>
      <c r="K171" s="79">
        <v>46119.875</v>
      </c>
      <c r="M171" t="s">
        <v>2910</v>
      </c>
      <c r="N171" s="99">
        <v>46207</v>
      </c>
      <c r="P171" t="s">
        <v>3477</v>
      </c>
      <c r="Q171" t="s">
        <v>967</v>
      </c>
      <c r="R171" t="s">
        <v>3478</v>
      </c>
      <c r="S171" t="s">
        <v>1868</v>
      </c>
      <c r="T171" t="s">
        <v>3017</v>
      </c>
      <c r="V171" t="s">
        <v>2965</v>
      </c>
      <c r="X171" t="s">
        <v>2914</v>
      </c>
    </row>
    <row r="172" spans="1:24" ht="16" customHeight="1" x14ac:dyDescent="0.6">
      <c r="A172" t="s">
        <v>3479</v>
      </c>
      <c r="B172" t="s">
        <v>17</v>
      </c>
      <c r="C172" t="s">
        <v>3142</v>
      </c>
      <c r="E172" t="s">
        <v>2930</v>
      </c>
      <c r="F172">
        <v>1714094</v>
      </c>
      <c r="G172" t="s">
        <v>3143</v>
      </c>
      <c r="H172">
        <v>961790126</v>
      </c>
      <c r="I172">
        <v>40</v>
      </c>
      <c r="J172" s="98">
        <v>0.5</v>
      </c>
      <c r="K172" s="79">
        <v>46120.208333333336</v>
      </c>
      <c r="M172" t="s">
        <v>2910</v>
      </c>
      <c r="N172" s="99">
        <v>46207</v>
      </c>
      <c r="P172" t="s">
        <v>3477</v>
      </c>
      <c r="Q172" t="s">
        <v>967</v>
      </c>
      <c r="R172" t="s">
        <v>3478</v>
      </c>
      <c r="S172" t="s">
        <v>1868</v>
      </c>
      <c r="T172" t="s">
        <v>3017</v>
      </c>
      <c r="V172" t="s">
        <v>2965</v>
      </c>
      <c r="X172" t="s">
        <v>2914</v>
      </c>
    </row>
    <row r="173" spans="1:24" ht="16" customHeight="1" x14ac:dyDescent="0.6">
      <c r="A173" t="s">
        <v>3480</v>
      </c>
      <c r="B173" t="s">
        <v>17</v>
      </c>
      <c r="C173" t="s">
        <v>3041</v>
      </c>
      <c r="E173" t="s">
        <v>2930</v>
      </c>
      <c r="F173">
        <v>3119517</v>
      </c>
      <c r="H173">
        <v>776705243</v>
      </c>
      <c r="I173">
        <v>20</v>
      </c>
      <c r="J173" s="98">
        <v>0.75</v>
      </c>
      <c r="K173" s="79">
        <v>46120.166666666664</v>
      </c>
      <c r="L173" t="s">
        <v>3481</v>
      </c>
      <c r="M173" t="s">
        <v>2910</v>
      </c>
      <c r="N173" s="99">
        <v>46238</v>
      </c>
      <c r="O173" s="75">
        <v>0.20833333333333334</v>
      </c>
      <c r="P173" t="s">
        <v>3482</v>
      </c>
      <c r="Q173" t="s">
        <v>3364</v>
      </c>
      <c r="R173" t="s">
        <v>3403</v>
      </c>
      <c r="S173" t="s">
        <v>1868</v>
      </c>
      <c r="T173" t="s">
        <v>3404</v>
      </c>
      <c r="X173" t="s">
        <v>2914</v>
      </c>
    </row>
    <row r="174" spans="1:24" ht="16" customHeight="1" x14ac:dyDescent="0.6">
      <c r="A174" t="s">
        <v>3483</v>
      </c>
      <c r="B174" t="s">
        <v>17</v>
      </c>
      <c r="C174" t="s">
        <v>3049</v>
      </c>
      <c r="E174" t="s">
        <v>2917</v>
      </c>
      <c r="F174">
        <v>3074147</v>
      </c>
      <c r="H174">
        <v>945806398</v>
      </c>
      <c r="I174">
        <v>100</v>
      </c>
      <c r="J174" s="98">
        <v>1</v>
      </c>
      <c r="K174" s="79">
        <v>46119.90625</v>
      </c>
      <c r="M174" t="s">
        <v>2910</v>
      </c>
      <c r="N174" s="99">
        <v>46207</v>
      </c>
      <c r="O174" s="75">
        <v>0.90625</v>
      </c>
      <c r="P174" t="s">
        <v>3484</v>
      </c>
      <c r="Q174" t="s">
        <v>967</v>
      </c>
      <c r="R174" t="s">
        <v>738</v>
      </c>
      <c r="S174" t="s">
        <v>1868</v>
      </c>
      <c r="T174" t="s">
        <v>3059</v>
      </c>
      <c r="V174" t="s">
        <v>2947</v>
      </c>
      <c r="X174" t="s">
        <v>2914</v>
      </c>
    </row>
    <row r="175" spans="1:24" ht="16" customHeight="1" x14ac:dyDescent="0.6">
      <c r="A175" t="s">
        <v>3485</v>
      </c>
      <c r="B175" t="s">
        <v>17</v>
      </c>
      <c r="C175" t="s">
        <v>2969</v>
      </c>
      <c r="E175" t="s">
        <v>2930</v>
      </c>
      <c r="F175">
        <v>3120451</v>
      </c>
      <c r="H175">
        <v>369085819</v>
      </c>
      <c r="I175">
        <v>40</v>
      </c>
      <c r="J175" s="98">
        <v>0.75</v>
      </c>
      <c r="K175" s="79">
        <v>46119.895833333336</v>
      </c>
      <c r="L175" t="s">
        <v>3486</v>
      </c>
      <c r="M175" t="s">
        <v>2955</v>
      </c>
      <c r="X175" t="s">
        <v>2914</v>
      </c>
    </row>
    <row r="176" spans="1:24" ht="16" customHeight="1" x14ac:dyDescent="0.6">
      <c r="A176" t="s">
        <v>3487</v>
      </c>
      <c r="B176" t="s">
        <v>17</v>
      </c>
      <c r="C176" t="s">
        <v>2969</v>
      </c>
      <c r="E176" t="s">
        <v>2930</v>
      </c>
      <c r="F176">
        <v>3120451</v>
      </c>
      <c r="H176">
        <v>369085819</v>
      </c>
      <c r="I176">
        <v>100</v>
      </c>
      <c r="J176" s="98">
        <v>1</v>
      </c>
      <c r="K176" s="79">
        <v>46119.916666666664</v>
      </c>
      <c r="M176" t="s">
        <v>2910</v>
      </c>
      <c r="N176" s="99">
        <v>46207</v>
      </c>
      <c r="O176" s="75">
        <v>0.91666666666666663</v>
      </c>
      <c r="P176" t="s">
        <v>3488</v>
      </c>
      <c r="Q176" t="s">
        <v>967</v>
      </c>
      <c r="R176" t="s">
        <v>3249</v>
      </c>
      <c r="S176" t="s">
        <v>1868</v>
      </c>
      <c r="T176" t="s">
        <v>3489</v>
      </c>
      <c r="V176" t="s">
        <v>2965</v>
      </c>
      <c r="X176" t="s">
        <v>2914</v>
      </c>
    </row>
    <row r="177" spans="1:24" ht="16" customHeight="1" x14ac:dyDescent="0.6">
      <c r="A177" t="s">
        <v>3490</v>
      </c>
      <c r="B177" t="s">
        <v>17</v>
      </c>
      <c r="C177" t="s">
        <v>2935</v>
      </c>
      <c r="E177" t="s">
        <v>2930</v>
      </c>
      <c r="F177">
        <v>3138621</v>
      </c>
      <c r="H177">
        <v>983362477</v>
      </c>
      <c r="I177">
        <v>50</v>
      </c>
      <c r="J177" s="98">
        <v>0.5</v>
      </c>
      <c r="K177" s="79">
        <v>46119.916666666664</v>
      </c>
      <c r="L177" t="s">
        <v>3491</v>
      </c>
      <c r="M177" t="s">
        <v>2910</v>
      </c>
      <c r="N177" s="99">
        <v>46207</v>
      </c>
      <c r="P177" t="s">
        <v>3492</v>
      </c>
      <c r="Q177" t="s">
        <v>967</v>
      </c>
      <c r="R177" t="s">
        <v>3190</v>
      </c>
      <c r="S177" t="s">
        <v>1868</v>
      </c>
      <c r="T177" t="s">
        <v>3493</v>
      </c>
      <c r="V177" t="s">
        <v>2965</v>
      </c>
      <c r="X177" t="s">
        <v>2914</v>
      </c>
    </row>
    <row r="178" spans="1:24" ht="16" customHeight="1" x14ac:dyDescent="0.6">
      <c r="A178" t="s">
        <v>3494</v>
      </c>
      <c r="B178" t="s">
        <v>17</v>
      </c>
      <c r="C178" t="s">
        <v>2957</v>
      </c>
      <c r="E178" t="s">
        <v>2930</v>
      </c>
      <c r="F178">
        <v>3153015</v>
      </c>
      <c r="H178">
        <v>973797540</v>
      </c>
      <c r="I178">
        <v>300</v>
      </c>
      <c r="J178" t="s">
        <v>2919</v>
      </c>
      <c r="K178" s="79">
        <v>46120.375</v>
      </c>
      <c r="M178" t="s">
        <v>2910</v>
      </c>
      <c r="N178" s="99">
        <v>46238</v>
      </c>
      <c r="O178" s="75">
        <v>0.91666666666666663</v>
      </c>
      <c r="P178" t="s">
        <v>3495</v>
      </c>
      <c r="Q178" t="s">
        <v>967</v>
      </c>
      <c r="R178" t="s">
        <v>3369</v>
      </c>
      <c r="S178" t="s">
        <v>1868</v>
      </c>
      <c r="T178" t="s">
        <v>3469</v>
      </c>
      <c r="V178" t="s">
        <v>2965</v>
      </c>
      <c r="X178" t="s">
        <v>2914</v>
      </c>
    </row>
    <row r="179" spans="1:24" ht="16" customHeight="1" x14ac:dyDescent="0.6">
      <c r="A179" t="s">
        <v>3496</v>
      </c>
      <c r="B179" t="s">
        <v>17</v>
      </c>
      <c r="C179" t="s">
        <v>3372</v>
      </c>
      <c r="E179" t="s">
        <v>2930</v>
      </c>
      <c r="F179">
        <v>3130980</v>
      </c>
      <c r="H179">
        <v>335450774</v>
      </c>
      <c r="I179">
        <v>50</v>
      </c>
      <c r="J179" s="98">
        <v>0.5</v>
      </c>
      <c r="K179" s="79">
        <v>46120.229166666664</v>
      </c>
      <c r="M179" t="s">
        <v>2910</v>
      </c>
      <c r="N179" s="99">
        <v>46238</v>
      </c>
      <c r="P179" t="s">
        <v>3497</v>
      </c>
      <c r="Q179" t="s">
        <v>967</v>
      </c>
      <c r="X179" t="s">
        <v>2914</v>
      </c>
    </row>
    <row r="180" spans="1:24" ht="16" customHeight="1" x14ac:dyDescent="0.6">
      <c r="A180" t="s">
        <v>3498</v>
      </c>
      <c r="B180" t="s">
        <v>17</v>
      </c>
      <c r="C180" t="s">
        <v>2943</v>
      </c>
      <c r="E180" t="s">
        <v>2917</v>
      </c>
      <c r="F180">
        <v>1884115</v>
      </c>
      <c r="H180">
        <v>971578282</v>
      </c>
      <c r="I180">
        <v>35</v>
      </c>
      <c r="J180" s="98">
        <v>0.5</v>
      </c>
      <c r="K180" s="79">
        <v>46120.625</v>
      </c>
      <c r="M180" t="s">
        <v>2955</v>
      </c>
      <c r="X180" t="s">
        <v>2914</v>
      </c>
    </row>
    <row r="181" spans="1:24" ht="16" customHeight="1" x14ac:dyDescent="0.6">
      <c r="A181" t="s">
        <v>3499</v>
      </c>
      <c r="B181" t="s">
        <v>17</v>
      </c>
      <c r="C181" t="s">
        <v>3041</v>
      </c>
      <c r="E181" t="s">
        <v>2930</v>
      </c>
      <c r="F181">
        <v>3132927</v>
      </c>
      <c r="G181" t="s">
        <v>3042</v>
      </c>
      <c r="H181">
        <v>367129993</v>
      </c>
      <c r="I181">
        <v>30</v>
      </c>
      <c r="J181" s="98">
        <v>1</v>
      </c>
      <c r="K181" s="79">
        <v>46120.833333333336</v>
      </c>
      <c r="L181" t="s">
        <v>3500</v>
      </c>
      <c r="M181" t="s">
        <v>2955</v>
      </c>
      <c r="X181" t="s">
        <v>2914</v>
      </c>
    </row>
    <row r="182" spans="1:24" ht="16" customHeight="1" x14ac:dyDescent="0.6">
      <c r="A182" t="s">
        <v>3501</v>
      </c>
      <c r="B182" t="s">
        <v>17</v>
      </c>
      <c r="C182" t="s">
        <v>3142</v>
      </c>
      <c r="E182" t="s">
        <v>2917</v>
      </c>
      <c r="F182">
        <v>1714094</v>
      </c>
      <c r="G182" t="s">
        <v>3143</v>
      </c>
      <c r="H182">
        <v>961790126</v>
      </c>
      <c r="I182">
        <v>100</v>
      </c>
      <c r="J182" s="98">
        <v>1</v>
      </c>
      <c r="K182" s="79">
        <v>46120.875</v>
      </c>
      <c r="M182" t="s">
        <v>2910</v>
      </c>
      <c r="N182" s="99">
        <v>46238</v>
      </c>
      <c r="P182" t="s">
        <v>3502</v>
      </c>
      <c r="Q182" t="s">
        <v>967</v>
      </c>
      <c r="R182" t="s">
        <v>3013</v>
      </c>
      <c r="S182" t="s">
        <v>1868</v>
      </c>
      <c r="T182" t="s">
        <v>3309</v>
      </c>
      <c r="V182" t="s">
        <v>2947</v>
      </c>
      <c r="X182" t="s">
        <v>2914</v>
      </c>
    </row>
    <row r="183" spans="1:24" ht="16" customHeight="1" x14ac:dyDescent="0.6">
      <c r="A183" t="s">
        <v>3503</v>
      </c>
      <c r="B183" t="s">
        <v>17</v>
      </c>
      <c r="C183" t="s">
        <v>2957</v>
      </c>
      <c r="E183" t="s">
        <v>2909</v>
      </c>
      <c r="F183">
        <v>1802852</v>
      </c>
      <c r="H183">
        <v>974607460</v>
      </c>
      <c r="I183">
        <v>100</v>
      </c>
      <c r="J183" s="98">
        <v>0.75</v>
      </c>
      <c r="K183" s="79">
        <v>46120.875</v>
      </c>
      <c r="M183" t="s">
        <v>2910</v>
      </c>
      <c r="N183" s="99">
        <v>46238</v>
      </c>
      <c r="O183" s="75">
        <v>0.91666666666666663</v>
      </c>
      <c r="P183" t="s">
        <v>3504</v>
      </c>
      <c r="Q183" t="s">
        <v>967</v>
      </c>
      <c r="R183" t="s">
        <v>2937</v>
      </c>
      <c r="S183" t="s">
        <v>1868</v>
      </c>
      <c r="T183" t="s">
        <v>3461</v>
      </c>
      <c r="V183" t="s">
        <v>2965</v>
      </c>
      <c r="X183" t="s">
        <v>2914</v>
      </c>
    </row>
    <row r="184" spans="1:24" ht="16" customHeight="1" x14ac:dyDescent="0.6">
      <c r="A184" t="s">
        <v>3505</v>
      </c>
      <c r="B184" t="s">
        <v>17</v>
      </c>
      <c r="C184" t="s">
        <v>2916</v>
      </c>
      <c r="E184" t="s">
        <v>2917</v>
      </c>
      <c r="F184">
        <v>3122693</v>
      </c>
      <c r="G184" t="s">
        <v>2918</v>
      </c>
      <c r="H184">
        <v>867140497</v>
      </c>
      <c r="I184">
        <v>200</v>
      </c>
      <c r="J184" t="s">
        <v>2919</v>
      </c>
      <c r="K184" s="79">
        <v>46120.916666666664</v>
      </c>
      <c r="L184" t="s">
        <v>3506</v>
      </c>
      <c r="M184" t="s">
        <v>2910</v>
      </c>
      <c r="N184" s="99">
        <v>46238</v>
      </c>
      <c r="O184" s="75">
        <v>0.91666666666666663</v>
      </c>
      <c r="P184" t="s">
        <v>3507</v>
      </c>
      <c r="Q184" t="s">
        <v>967</v>
      </c>
      <c r="R184" t="s">
        <v>3291</v>
      </c>
      <c r="S184" t="s">
        <v>3096</v>
      </c>
      <c r="T184" t="s">
        <v>3292</v>
      </c>
      <c r="V184" t="s">
        <v>2965</v>
      </c>
      <c r="X184" t="s">
        <v>2914</v>
      </c>
    </row>
    <row r="185" spans="1:24" ht="16" customHeight="1" x14ac:dyDescent="0.6">
      <c r="A185" t="s">
        <v>3508</v>
      </c>
      <c r="B185" t="s">
        <v>17</v>
      </c>
      <c r="C185" t="s">
        <v>3031</v>
      </c>
      <c r="E185" t="s">
        <v>2917</v>
      </c>
      <c r="F185">
        <v>3152729</v>
      </c>
      <c r="H185">
        <v>941792245</v>
      </c>
      <c r="I185">
        <v>100</v>
      </c>
      <c r="J185" s="98">
        <v>1</v>
      </c>
      <c r="K185" s="79">
        <v>46120.9375</v>
      </c>
      <c r="M185" t="s">
        <v>2910</v>
      </c>
      <c r="N185" s="99">
        <v>46238</v>
      </c>
      <c r="O185" s="75">
        <v>0.91666666666666663</v>
      </c>
      <c r="P185" t="s">
        <v>3509</v>
      </c>
      <c r="Q185" t="s">
        <v>967</v>
      </c>
      <c r="R185" t="s">
        <v>3304</v>
      </c>
      <c r="S185" t="s">
        <v>1868</v>
      </c>
      <c r="T185" t="s">
        <v>2989</v>
      </c>
      <c r="V185" t="s">
        <v>2965</v>
      </c>
      <c r="X185" t="s">
        <v>2914</v>
      </c>
    </row>
    <row r="186" spans="1:24" ht="16" customHeight="1" x14ac:dyDescent="0.6">
      <c r="A186" t="s">
        <v>3510</v>
      </c>
      <c r="B186" t="s">
        <v>17</v>
      </c>
      <c r="C186" t="s">
        <v>2954</v>
      </c>
      <c r="E186" t="s">
        <v>2930</v>
      </c>
      <c r="F186">
        <v>3129272</v>
      </c>
      <c r="G186">
        <v>937329651</v>
      </c>
      <c r="H186">
        <v>876177676</v>
      </c>
      <c r="I186">
        <v>70</v>
      </c>
      <c r="J186" s="98">
        <v>0.5</v>
      </c>
      <c r="K186" s="79">
        <v>46120.90625</v>
      </c>
      <c r="M186" t="s">
        <v>2910</v>
      </c>
      <c r="N186" s="99">
        <v>46238</v>
      </c>
      <c r="O186" s="75">
        <v>0.91666666666666663</v>
      </c>
      <c r="P186" t="s">
        <v>3511</v>
      </c>
      <c r="Q186" t="s">
        <v>967</v>
      </c>
      <c r="R186" t="s">
        <v>3210</v>
      </c>
      <c r="S186" t="s">
        <v>1868</v>
      </c>
      <c r="T186" t="s">
        <v>3063</v>
      </c>
      <c r="V186" t="s">
        <v>2965</v>
      </c>
      <c r="X186" t="s">
        <v>2914</v>
      </c>
    </row>
    <row r="187" spans="1:24" ht="16" customHeight="1" x14ac:dyDescent="0.6">
      <c r="A187" t="s">
        <v>3512</v>
      </c>
      <c r="B187" t="s">
        <v>17</v>
      </c>
      <c r="C187" t="s">
        <v>2957</v>
      </c>
      <c r="E187" t="s">
        <v>2930</v>
      </c>
      <c r="F187">
        <v>1802852</v>
      </c>
      <c r="H187">
        <v>974607460</v>
      </c>
      <c r="I187">
        <v>100</v>
      </c>
      <c r="J187" s="98">
        <v>0.75</v>
      </c>
      <c r="K187" s="79">
        <v>46120.916666666664</v>
      </c>
      <c r="M187" t="s">
        <v>2910</v>
      </c>
      <c r="N187" s="99">
        <v>46238</v>
      </c>
      <c r="O187" s="75">
        <v>0.91666666666666663</v>
      </c>
      <c r="P187" t="s">
        <v>3513</v>
      </c>
      <c r="Q187" t="s">
        <v>967</v>
      </c>
      <c r="R187" t="s">
        <v>2932</v>
      </c>
      <c r="S187" t="s">
        <v>1868</v>
      </c>
      <c r="T187" t="s">
        <v>2933</v>
      </c>
      <c r="V187" t="s">
        <v>2965</v>
      </c>
      <c r="X187" t="s">
        <v>2914</v>
      </c>
    </row>
    <row r="188" spans="1:24" ht="16" customHeight="1" x14ac:dyDescent="0.6">
      <c r="A188" t="s">
        <v>3514</v>
      </c>
      <c r="B188" t="s">
        <v>17</v>
      </c>
      <c r="C188" t="s">
        <v>2976</v>
      </c>
      <c r="E188" t="s">
        <v>2917</v>
      </c>
      <c r="F188">
        <v>1871696</v>
      </c>
      <c r="H188">
        <v>774688086</v>
      </c>
      <c r="I188">
        <v>100</v>
      </c>
      <c r="J188" t="s">
        <v>2919</v>
      </c>
      <c r="K188" s="79">
        <v>46120.895833333336</v>
      </c>
      <c r="M188" t="s">
        <v>2910</v>
      </c>
      <c r="N188" s="99">
        <v>46238</v>
      </c>
      <c r="O188" s="75">
        <v>0.91666666666666663</v>
      </c>
      <c r="P188" t="s">
        <v>3515</v>
      </c>
      <c r="Q188" t="s">
        <v>967</v>
      </c>
      <c r="R188" t="s">
        <v>3229</v>
      </c>
      <c r="S188" t="s">
        <v>1868</v>
      </c>
      <c r="T188" t="s">
        <v>3230</v>
      </c>
      <c r="V188" t="s">
        <v>2947</v>
      </c>
      <c r="X188" t="s">
        <v>2914</v>
      </c>
    </row>
    <row r="189" spans="1:24" ht="16" customHeight="1" x14ac:dyDescent="0.6">
      <c r="A189" t="s">
        <v>3516</v>
      </c>
      <c r="B189" t="s">
        <v>17</v>
      </c>
      <c r="C189" t="s">
        <v>2994</v>
      </c>
      <c r="E189" t="s">
        <v>2909</v>
      </c>
      <c r="F189">
        <v>2033804</v>
      </c>
      <c r="G189" t="s">
        <v>3463</v>
      </c>
      <c r="H189">
        <v>396799427</v>
      </c>
      <c r="I189">
        <v>50</v>
      </c>
      <c r="J189" s="98">
        <v>0.75</v>
      </c>
      <c r="K189" s="79">
        <v>46120.9375</v>
      </c>
      <c r="M189" t="s">
        <v>2910</v>
      </c>
      <c r="N189" s="99">
        <v>46238</v>
      </c>
      <c r="P189" t="s">
        <v>3517</v>
      </c>
      <c r="Q189" t="s">
        <v>967</v>
      </c>
      <c r="R189" t="s">
        <v>2996</v>
      </c>
      <c r="S189" t="s">
        <v>1868</v>
      </c>
      <c r="T189" t="s">
        <v>2997</v>
      </c>
      <c r="V189" t="s">
        <v>2965</v>
      </c>
      <c r="X189" t="s">
        <v>2914</v>
      </c>
    </row>
    <row r="190" spans="1:24" ht="16" customHeight="1" x14ac:dyDescent="0.6">
      <c r="A190" t="s">
        <v>3518</v>
      </c>
      <c r="B190" t="s">
        <v>17</v>
      </c>
      <c r="C190" t="s">
        <v>3055</v>
      </c>
      <c r="E190" t="s">
        <v>2930</v>
      </c>
      <c r="F190">
        <v>3152447</v>
      </c>
      <c r="H190">
        <v>975083289</v>
      </c>
      <c r="I190">
        <v>30</v>
      </c>
      <c r="J190" s="98">
        <v>0.5</v>
      </c>
      <c r="K190" s="79">
        <v>46120.9375</v>
      </c>
      <c r="M190" t="s">
        <v>2910</v>
      </c>
      <c r="N190" s="99">
        <v>46238</v>
      </c>
      <c r="O190" s="75">
        <v>0.91666666666666663</v>
      </c>
      <c r="P190" t="s">
        <v>3513</v>
      </c>
      <c r="Q190" t="s">
        <v>967</v>
      </c>
      <c r="R190" t="s">
        <v>2932</v>
      </c>
      <c r="S190" t="s">
        <v>1868</v>
      </c>
      <c r="T190" t="s">
        <v>2933</v>
      </c>
      <c r="V190" t="s">
        <v>2965</v>
      </c>
      <c r="X190" t="s">
        <v>2914</v>
      </c>
    </row>
    <row r="191" spans="1:24" ht="16" customHeight="1" x14ac:dyDescent="0.6">
      <c r="A191" t="s">
        <v>3519</v>
      </c>
      <c r="B191" t="s">
        <v>17</v>
      </c>
      <c r="C191" t="s">
        <v>3520</v>
      </c>
      <c r="E191" t="s">
        <v>2930</v>
      </c>
      <c r="F191">
        <v>3136974</v>
      </c>
      <c r="H191">
        <v>907339306</v>
      </c>
      <c r="I191">
        <v>200</v>
      </c>
      <c r="J191" s="98">
        <v>1</v>
      </c>
      <c r="K191" s="79">
        <v>46120.875</v>
      </c>
      <c r="M191" t="s">
        <v>2910</v>
      </c>
      <c r="N191" s="99">
        <v>46238</v>
      </c>
      <c r="P191" t="s">
        <v>3521</v>
      </c>
      <c r="Q191" t="s">
        <v>967</v>
      </c>
      <c r="R191" t="s">
        <v>3190</v>
      </c>
      <c r="S191" t="s">
        <v>1868</v>
      </c>
      <c r="T191" t="s">
        <v>3026</v>
      </c>
      <c r="V191" t="s">
        <v>2965</v>
      </c>
      <c r="X191" t="s">
        <v>2914</v>
      </c>
    </row>
    <row r="192" spans="1:24" ht="16" customHeight="1" x14ac:dyDescent="0.6">
      <c r="A192" t="s">
        <v>3522</v>
      </c>
      <c r="B192" t="s">
        <v>17</v>
      </c>
      <c r="C192" t="s">
        <v>3049</v>
      </c>
      <c r="E192" t="s">
        <v>2909</v>
      </c>
      <c r="F192">
        <v>3074147</v>
      </c>
      <c r="H192">
        <v>945806398</v>
      </c>
      <c r="I192">
        <v>60</v>
      </c>
      <c r="J192" s="98">
        <v>0.75</v>
      </c>
      <c r="K192" s="79">
        <v>46120.895833333336</v>
      </c>
      <c r="L192" t="s">
        <v>3050</v>
      </c>
      <c r="M192" t="s">
        <v>2910</v>
      </c>
      <c r="N192" s="99">
        <v>46238</v>
      </c>
      <c r="P192" t="s">
        <v>3523</v>
      </c>
      <c r="Q192" t="s">
        <v>967</v>
      </c>
      <c r="R192" t="s">
        <v>3445</v>
      </c>
      <c r="S192" t="s">
        <v>1868</v>
      </c>
      <c r="T192" t="s">
        <v>3524</v>
      </c>
      <c r="V192" t="s">
        <v>202</v>
      </c>
      <c r="X192" t="s">
        <v>2914</v>
      </c>
    </row>
    <row r="193" spans="1:24" ht="16" customHeight="1" x14ac:dyDescent="0.6">
      <c r="A193" t="s">
        <v>3525</v>
      </c>
      <c r="B193" t="s">
        <v>17</v>
      </c>
      <c r="C193" t="s">
        <v>3041</v>
      </c>
      <c r="E193" t="s">
        <v>2917</v>
      </c>
      <c r="F193">
        <v>3132927</v>
      </c>
      <c r="G193" t="s">
        <v>3042</v>
      </c>
      <c r="H193">
        <v>367129993</v>
      </c>
      <c r="I193">
        <v>40</v>
      </c>
      <c r="J193" s="98">
        <v>1</v>
      </c>
      <c r="K193" s="79">
        <v>46121.208333333336</v>
      </c>
      <c r="L193" t="s">
        <v>3526</v>
      </c>
      <c r="M193" t="s">
        <v>2910</v>
      </c>
      <c r="N193" s="99">
        <v>46269</v>
      </c>
      <c r="O193" s="75">
        <v>0.14583333333333334</v>
      </c>
      <c r="P193" t="s">
        <v>3527</v>
      </c>
      <c r="Q193" s="75">
        <v>0.14583333333333334</v>
      </c>
      <c r="X193" t="s">
        <v>2914</v>
      </c>
    </row>
    <row r="194" spans="1:24" ht="16" customHeight="1" x14ac:dyDescent="0.6">
      <c r="A194" t="s">
        <v>3528</v>
      </c>
      <c r="B194" t="s">
        <v>17</v>
      </c>
      <c r="C194" t="s">
        <v>3047</v>
      </c>
      <c r="E194" t="s">
        <v>2930</v>
      </c>
      <c r="F194">
        <v>3161741</v>
      </c>
      <c r="H194">
        <v>355529239</v>
      </c>
      <c r="I194">
        <v>30</v>
      </c>
      <c r="J194" s="98">
        <v>0.3</v>
      </c>
      <c r="K194" s="79">
        <v>46120.90625</v>
      </c>
      <c r="M194" t="s">
        <v>3206</v>
      </c>
      <c r="X194" t="s">
        <v>2914</v>
      </c>
    </row>
    <row r="195" spans="1:24" ht="16" customHeight="1" x14ac:dyDescent="0.6">
      <c r="A195" t="s">
        <v>3531</v>
      </c>
      <c r="B195" t="s">
        <v>17</v>
      </c>
      <c r="C195" t="s">
        <v>3047</v>
      </c>
      <c r="E195" t="s">
        <v>2917</v>
      </c>
      <c r="F195">
        <v>3141761</v>
      </c>
      <c r="H195">
        <v>355529239</v>
      </c>
      <c r="I195">
        <v>30</v>
      </c>
      <c r="J195" s="98">
        <v>0.3</v>
      </c>
      <c r="K195" s="79">
        <v>46121.208333333336</v>
      </c>
      <c r="M195" t="s">
        <v>2910</v>
      </c>
      <c r="N195" s="99">
        <v>46269</v>
      </c>
      <c r="X195" t="s">
        <v>2914</v>
      </c>
    </row>
    <row r="196" spans="1:24" ht="16" customHeight="1" x14ac:dyDescent="0.6">
      <c r="A196" t="s">
        <v>3532</v>
      </c>
      <c r="B196" t="s">
        <v>17</v>
      </c>
      <c r="C196" t="s">
        <v>3055</v>
      </c>
      <c r="E196" t="s">
        <v>2930</v>
      </c>
      <c r="F196">
        <v>3103523</v>
      </c>
      <c r="H196">
        <v>975083289</v>
      </c>
      <c r="I196">
        <v>30</v>
      </c>
      <c r="J196" s="98">
        <v>0.3</v>
      </c>
      <c r="K196" s="79">
        <v>46121.583333333336</v>
      </c>
      <c r="M196" t="s">
        <v>2910</v>
      </c>
      <c r="N196" s="99">
        <v>46269</v>
      </c>
      <c r="P196" t="s">
        <v>3533</v>
      </c>
      <c r="Q196" t="s">
        <v>967</v>
      </c>
      <c r="R196" t="s">
        <v>3534</v>
      </c>
      <c r="S196" t="s">
        <v>1868</v>
      </c>
      <c r="T196" t="s">
        <v>2304</v>
      </c>
      <c r="V196" t="s">
        <v>2965</v>
      </c>
      <c r="X196" t="s">
        <v>2914</v>
      </c>
    </row>
    <row r="197" spans="1:24" ht="16" customHeight="1" x14ac:dyDescent="0.6">
      <c r="A197" t="s">
        <v>3535</v>
      </c>
      <c r="B197" t="s">
        <v>17</v>
      </c>
      <c r="C197" t="s">
        <v>3041</v>
      </c>
      <c r="E197" t="s">
        <v>2930</v>
      </c>
      <c r="F197">
        <v>3132927</v>
      </c>
      <c r="H197">
        <v>367129993</v>
      </c>
      <c r="I197">
        <v>50</v>
      </c>
      <c r="J197" s="98">
        <v>1</v>
      </c>
      <c r="K197" s="79">
        <v>46121.75</v>
      </c>
      <c r="M197" t="s">
        <v>2955</v>
      </c>
      <c r="X197" t="s">
        <v>2914</v>
      </c>
    </row>
    <row r="198" spans="1:24" ht="16" customHeight="1" x14ac:dyDescent="0.6">
      <c r="A198" t="s">
        <v>3536</v>
      </c>
      <c r="B198" t="s">
        <v>17</v>
      </c>
      <c r="C198" t="s">
        <v>3041</v>
      </c>
      <c r="E198" t="s">
        <v>2930</v>
      </c>
      <c r="F198">
        <v>3132927</v>
      </c>
      <c r="H198">
        <v>367129993</v>
      </c>
      <c r="I198">
        <v>50</v>
      </c>
      <c r="J198" s="98">
        <v>1</v>
      </c>
      <c r="K198" s="79">
        <v>46121.875</v>
      </c>
      <c r="M198" t="s">
        <v>2910</v>
      </c>
      <c r="N198" s="99">
        <v>46269</v>
      </c>
      <c r="O198" s="75">
        <v>0.9375</v>
      </c>
      <c r="P198" t="s">
        <v>3537</v>
      </c>
      <c r="Q198" t="s">
        <v>1356</v>
      </c>
      <c r="R198" t="s">
        <v>2951</v>
      </c>
      <c r="S198" t="s">
        <v>1868</v>
      </c>
      <c r="T198" t="s">
        <v>3538</v>
      </c>
      <c r="X198" t="s">
        <v>2914</v>
      </c>
    </row>
    <row r="199" spans="1:24" ht="16" customHeight="1" x14ac:dyDescent="0.6">
      <c r="A199" t="s">
        <v>3539</v>
      </c>
      <c r="B199" t="s">
        <v>17</v>
      </c>
      <c r="C199" t="s">
        <v>3520</v>
      </c>
      <c r="E199" t="s">
        <v>2930</v>
      </c>
      <c r="F199">
        <v>3136974</v>
      </c>
      <c r="H199">
        <v>907339306</v>
      </c>
      <c r="I199">
        <v>150</v>
      </c>
      <c r="J199" s="98">
        <v>1</v>
      </c>
      <c r="K199" s="79">
        <v>46121.791666666664</v>
      </c>
      <c r="M199" t="s">
        <v>2910</v>
      </c>
      <c r="N199" s="99">
        <v>46269</v>
      </c>
      <c r="P199" t="s">
        <v>3540</v>
      </c>
      <c r="Q199" t="s">
        <v>967</v>
      </c>
      <c r="R199" t="s">
        <v>3541</v>
      </c>
      <c r="S199" t="s">
        <v>1868</v>
      </c>
      <c r="T199" t="s">
        <v>3542</v>
      </c>
      <c r="V199" t="s">
        <v>2965</v>
      </c>
      <c r="X199" t="s">
        <v>2914</v>
      </c>
    </row>
    <row r="200" spans="1:24" ht="16" customHeight="1" x14ac:dyDescent="0.6">
      <c r="A200" t="s">
        <v>3543</v>
      </c>
      <c r="B200" t="s">
        <v>17</v>
      </c>
      <c r="C200" t="s">
        <v>3544</v>
      </c>
      <c r="E200" t="s">
        <v>2930</v>
      </c>
      <c r="F200">
        <v>3126417</v>
      </c>
      <c r="H200">
        <v>325209813</v>
      </c>
      <c r="I200">
        <v>100</v>
      </c>
      <c r="J200" s="98">
        <v>0.75</v>
      </c>
      <c r="K200" s="79">
        <v>46121.916666666664</v>
      </c>
      <c r="M200" t="s">
        <v>2910</v>
      </c>
      <c r="N200" s="99">
        <v>46269</v>
      </c>
      <c r="P200" t="s">
        <v>3545</v>
      </c>
      <c r="Q200" t="s">
        <v>967</v>
      </c>
      <c r="R200" t="s">
        <v>3016</v>
      </c>
      <c r="S200" t="s">
        <v>1868</v>
      </c>
      <c r="T200" t="s">
        <v>3017</v>
      </c>
      <c r="V200" t="s">
        <v>2965</v>
      </c>
      <c r="X200" t="s">
        <v>2914</v>
      </c>
    </row>
    <row r="201" spans="1:24" ht="16" customHeight="1" x14ac:dyDescent="0.6">
      <c r="A201" t="s">
        <v>3546</v>
      </c>
      <c r="B201" t="s">
        <v>17</v>
      </c>
      <c r="C201" t="s">
        <v>3547</v>
      </c>
      <c r="D201" t="s">
        <v>140</v>
      </c>
      <c r="E201" t="s">
        <v>2917</v>
      </c>
      <c r="F201">
        <v>3020591</v>
      </c>
      <c r="H201">
        <v>988544750</v>
      </c>
      <c r="I201">
        <v>100</v>
      </c>
      <c r="J201" s="98">
        <v>0.75</v>
      </c>
      <c r="K201" s="79">
        <v>46121.875</v>
      </c>
      <c r="L201" t="s">
        <v>3548</v>
      </c>
      <c r="M201" t="s">
        <v>2910</v>
      </c>
      <c r="N201" s="99">
        <v>46269</v>
      </c>
      <c r="P201" t="s">
        <v>3549</v>
      </c>
      <c r="Q201" t="s">
        <v>1356</v>
      </c>
      <c r="R201" t="s">
        <v>3002</v>
      </c>
      <c r="S201" t="s">
        <v>1868</v>
      </c>
      <c r="T201" t="s">
        <v>3550</v>
      </c>
      <c r="V201" t="s">
        <v>2965</v>
      </c>
      <c r="X201" t="s">
        <v>2914</v>
      </c>
    </row>
    <row r="202" spans="1:24" ht="16" customHeight="1" x14ac:dyDescent="0.6">
      <c r="A202" t="s">
        <v>3551</v>
      </c>
      <c r="B202" t="s">
        <v>17</v>
      </c>
      <c r="C202" t="s">
        <v>3552</v>
      </c>
      <c r="E202" t="s">
        <v>2909</v>
      </c>
      <c r="F202">
        <v>3144199</v>
      </c>
      <c r="H202">
        <v>355830659</v>
      </c>
      <c r="I202">
        <v>20</v>
      </c>
      <c r="J202" s="98">
        <v>0.3</v>
      </c>
      <c r="K202" s="79">
        <v>46121.875</v>
      </c>
      <c r="M202" t="s">
        <v>3206</v>
      </c>
      <c r="X202" t="s">
        <v>2914</v>
      </c>
    </row>
    <row r="203" spans="1:24" ht="16" customHeight="1" x14ac:dyDescent="0.6">
      <c r="A203" t="s">
        <v>3553</v>
      </c>
      <c r="B203" t="s">
        <v>17</v>
      </c>
      <c r="C203" t="s">
        <v>2994</v>
      </c>
      <c r="E203" t="s">
        <v>2909</v>
      </c>
      <c r="F203">
        <v>2033804</v>
      </c>
      <c r="G203" t="s">
        <v>3463</v>
      </c>
      <c r="H203">
        <v>396799427</v>
      </c>
      <c r="I203">
        <v>55</v>
      </c>
      <c r="J203" s="98">
        <v>0.75</v>
      </c>
      <c r="K203" s="79">
        <v>46121.9375</v>
      </c>
      <c r="M203" t="s">
        <v>2910</v>
      </c>
      <c r="N203" s="99">
        <v>46269</v>
      </c>
      <c r="P203" t="s">
        <v>3554</v>
      </c>
      <c r="Q203" t="s">
        <v>967</v>
      </c>
      <c r="R203" t="s">
        <v>2996</v>
      </c>
      <c r="S203" t="s">
        <v>1868</v>
      </c>
      <c r="T203" t="s">
        <v>2997</v>
      </c>
      <c r="V203" t="s">
        <v>202</v>
      </c>
      <c r="X203" t="s">
        <v>2914</v>
      </c>
    </row>
    <row r="204" spans="1:24" ht="16" customHeight="1" x14ac:dyDescent="0.6">
      <c r="A204" t="s">
        <v>3555</v>
      </c>
      <c r="B204" t="s">
        <v>17</v>
      </c>
      <c r="C204" t="s">
        <v>3031</v>
      </c>
      <c r="E204" t="s">
        <v>2917</v>
      </c>
      <c r="F204">
        <v>3147977</v>
      </c>
      <c r="H204">
        <v>797255556</v>
      </c>
      <c r="I204">
        <v>100</v>
      </c>
      <c r="J204" s="98">
        <v>1</v>
      </c>
      <c r="K204" s="79">
        <v>46121.958333333336</v>
      </c>
      <c r="M204" t="s">
        <v>2910</v>
      </c>
      <c r="N204" s="99">
        <v>46269</v>
      </c>
      <c r="O204" s="75">
        <v>0.91666666666666663</v>
      </c>
      <c r="P204" t="s">
        <v>3556</v>
      </c>
      <c r="Q204" t="s">
        <v>967</v>
      </c>
      <c r="R204" t="s">
        <v>2973</v>
      </c>
      <c r="S204" t="s">
        <v>1868</v>
      </c>
      <c r="T204" t="s">
        <v>2974</v>
      </c>
      <c r="X204" t="s">
        <v>2914</v>
      </c>
    </row>
    <row r="205" spans="1:24" ht="16" customHeight="1" x14ac:dyDescent="0.6">
      <c r="A205" t="s">
        <v>3557</v>
      </c>
      <c r="B205" t="s">
        <v>17</v>
      </c>
      <c r="C205" t="s">
        <v>3041</v>
      </c>
      <c r="E205" t="s">
        <v>2909</v>
      </c>
      <c r="F205">
        <v>3119517</v>
      </c>
      <c r="H205">
        <v>776705243</v>
      </c>
      <c r="I205">
        <v>15</v>
      </c>
      <c r="J205" s="98">
        <v>0.3</v>
      </c>
      <c r="K205" s="79">
        <v>46122.208333333336</v>
      </c>
      <c r="M205" t="s">
        <v>2910</v>
      </c>
      <c r="N205" s="99">
        <v>46299</v>
      </c>
      <c r="O205" s="75">
        <v>0.14583333333333334</v>
      </c>
      <c r="P205" t="s">
        <v>3558</v>
      </c>
      <c r="X205" t="s">
        <v>2914</v>
      </c>
    </row>
    <row r="206" spans="1:24" ht="16" customHeight="1" x14ac:dyDescent="0.6">
      <c r="A206" t="s">
        <v>3559</v>
      </c>
      <c r="B206" t="s">
        <v>17</v>
      </c>
      <c r="C206" t="s">
        <v>2994</v>
      </c>
      <c r="E206" t="s">
        <v>2930</v>
      </c>
      <c r="F206">
        <v>2033804</v>
      </c>
      <c r="G206" t="s">
        <v>3463</v>
      </c>
      <c r="H206">
        <v>396799427</v>
      </c>
      <c r="I206">
        <v>100</v>
      </c>
      <c r="J206" s="98">
        <v>1</v>
      </c>
      <c r="K206" s="79">
        <v>46121.9375</v>
      </c>
      <c r="M206" t="s">
        <v>2910</v>
      </c>
      <c r="N206" s="99">
        <v>46269</v>
      </c>
      <c r="P206" t="s">
        <v>3560</v>
      </c>
      <c r="Q206" t="s">
        <v>967</v>
      </c>
      <c r="R206" t="s">
        <v>2988</v>
      </c>
      <c r="S206" t="s">
        <v>1868</v>
      </c>
      <c r="T206" t="s">
        <v>2989</v>
      </c>
      <c r="V206" t="s">
        <v>2965</v>
      </c>
      <c r="X206" t="s">
        <v>2914</v>
      </c>
    </row>
    <row r="207" spans="1:24" ht="16" customHeight="1" x14ac:dyDescent="0.6">
      <c r="A207" t="s">
        <v>3561</v>
      </c>
      <c r="B207" t="s">
        <v>17</v>
      </c>
      <c r="C207" t="s">
        <v>3055</v>
      </c>
      <c r="E207" t="s">
        <v>2930</v>
      </c>
      <c r="F207">
        <v>3103523</v>
      </c>
      <c r="H207">
        <v>975083289</v>
      </c>
      <c r="I207">
        <v>30</v>
      </c>
      <c r="J207" s="98">
        <v>0.3</v>
      </c>
      <c r="K207" s="79">
        <v>46121.916666666664</v>
      </c>
      <c r="M207" t="s">
        <v>2910</v>
      </c>
      <c r="N207" s="99">
        <v>46269</v>
      </c>
      <c r="P207" t="s">
        <v>3562</v>
      </c>
      <c r="Q207" t="s">
        <v>967</v>
      </c>
      <c r="R207" t="s">
        <v>3468</v>
      </c>
      <c r="S207" t="s">
        <v>1868</v>
      </c>
      <c r="T207" t="s">
        <v>3563</v>
      </c>
      <c r="V207" t="s">
        <v>2965</v>
      </c>
      <c r="X207" t="s">
        <v>2914</v>
      </c>
    </row>
    <row r="208" spans="1:24" ht="16" customHeight="1" x14ac:dyDescent="0.6">
      <c r="A208" t="s">
        <v>3564</v>
      </c>
      <c r="B208" t="s">
        <v>17</v>
      </c>
      <c r="C208" t="s">
        <v>3049</v>
      </c>
      <c r="E208" t="s">
        <v>2909</v>
      </c>
      <c r="F208">
        <v>3074147</v>
      </c>
      <c r="H208">
        <v>945806398</v>
      </c>
      <c r="I208">
        <v>40</v>
      </c>
      <c r="J208" s="98">
        <v>0.5</v>
      </c>
      <c r="K208" s="79">
        <v>46121.885416666664</v>
      </c>
      <c r="L208" t="s">
        <v>3050</v>
      </c>
      <c r="M208" t="s">
        <v>2910</v>
      </c>
      <c r="N208" s="99">
        <v>46269</v>
      </c>
      <c r="P208" t="s">
        <v>3565</v>
      </c>
      <c r="Q208" t="s">
        <v>967</v>
      </c>
      <c r="R208" t="s">
        <v>3062</v>
      </c>
      <c r="S208" t="s">
        <v>1868</v>
      </c>
      <c r="T208" t="s">
        <v>3566</v>
      </c>
      <c r="V208" t="s">
        <v>202</v>
      </c>
      <c r="X208" t="s">
        <v>2914</v>
      </c>
    </row>
    <row r="209" spans="1:24" ht="16" customHeight="1" x14ac:dyDescent="0.6">
      <c r="A209" t="s">
        <v>3567</v>
      </c>
      <c r="B209" t="s">
        <v>17</v>
      </c>
      <c r="C209" t="s">
        <v>3552</v>
      </c>
      <c r="E209" t="s">
        <v>2909</v>
      </c>
      <c r="F209">
        <v>3144199</v>
      </c>
      <c r="H209">
        <v>355830659</v>
      </c>
      <c r="I209">
        <v>20</v>
      </c>
      <c r="J209" s="98">
        <v>0.3</v>
      </c>
      <c r="K209" s="79">
        <v>46122.208333333336</v>
      </c>
      <c r="M209" t="s">
        <v>2910</v>
      </c>
      <c r="N209" s="99">
        <v>46299</v>
      </c>
      <c r="O209" s="75">
        <v>0.125</v>
      </c>
      <c r="P209" t="s">
        <v>3558</v>
      </c>
      <c r="Q209" t="s">
        <v>3568</v>
      </c>
      <c r="R209" s="73" t="s">
        <v>3569</v>
      </c>
      <c r="S209" t="s">
        <v>1868</v>
      </c>
      <c r="T209" t="s">
        <v>3570</v>
      </c>
      <c r="V209" t="s">
        <v>2965</v>
      </c>
      <c r="X209" t="s">
        <v>2914</v>
      </c>
    </row>
    <row r="210" spans="1:24" ht="16" customHeight="1" x14ac:dyDescent="0.6">
      <c r="A210" t="s">
        <v>3571</v>
      </c>
      <c r="B210" t="s">
        <v>17</v>
      </c>
      <c r="C210" t="s">
        <v>3028</v>
      </c>
      <c r="E210" t="s">
        <v>2930</v>
      </c>
      <c r="F210">
        <v>3078993</v>
      </c>
      <c r="H210">
        <v>931837212</v>
      </c>
      <c r="I210">
        <v>10</v>
      </c>
      <c r="J210" s="98">
        <v>0.3</v>
      </c>
      <c r="K210" s="79">
        <v>46122.208333333336</v>
      </c>
      <c r="M210" t="s">
        <v>2910</v>
      </c>
      <c r="N210" s="99">
        <v>46299</v>
      </c>
      <c r="O210" s="75">
        <v>0.3125</v>
      </c>
      <c r="P210" t="s">
        <v>3572</v>
      </c>
      <c r="Q210" t="s">
        <v>3568</v>
      </c>
      <c r="R210" s="73" t="s">
        <v>3569</v>
      </c>
      <c r="S210" t="s">
        <v>1868</v>
      </c>
      <c r="T210" t="s">
        <v>3570</v>
      </c>
      <c r="U210">
        <v>964987114</v>
      </c>
      <c r="V210" t="s">
        <v>2965</v>
      </c>
      <c r="X210" t="s">
        <v>2914</v>
      </c>
    </row>
    <row r="211" spans="1:24" ht="16" customHeight="1" x14ac:dyDescent="0.6">
      <c r="A211" t="s">
        <v>3573</v>
      </c>
      <c r="B211" t="s">
        <v>17</v>
      </c>
      <c r="C211" t="s">
        <v>2935</v>
      </c>
      <c r="E211" t="s">
        <v>2917</v>
      </c>
      <c r="F211">
        <v>3138621</v>
      </c>
      <c r="H211">
        <v>983362477</v>
      </c>
      <c r="I211">
        <v>50</v>
      </c>
      <c r="J211" s="98">
        <v>0.5</v>
      </c>
      <c r="K211" s="79">
        <v>46121.916666666664</v>
      </c>
      <c r="M211" t="s">
        <v>2910</v>
      </c>
      <c r="N211" s="99">
        <v>46269</v>
      </c>
      <c r="P211" t="s">
        <v>3574</v>
      </c>
      <c r="Q211" t="s">
        <v>967</v>
      </c>
      <c r="R211" t="s">
        <v>3575</v>
      </c>
      <c r="S211" t="s">
        <v>1868</v>
      </c>
      <c r="T211" t="s">
        <v>3117</v>
      </c>
      <c r="V211" t="s">
        <v>2965</v>
      </c>
      <c r="X211" t="s">
        <v>2914</v>
      </c>
    </row>
    <row r="212" spans="1:24" ht="16" customHeight="1" x14ac:dyDescent="0.6">
      <c r="A212" t="s">
        <v>3576</v>
      </c>
      <c r="B212" t="s">
        <v>17</v>
      </c>
      <c r="C212" t="s">
        <v>2924</v>
      </c>
      <c r="D212">
        <v>22409000</v>
      </c>
      <c r="E212" t="s">
        <v>2909</v>
      </c>
      <c r="F212">
        <v>3140984</v>
      </c>
      <c r="H212">
        <v>388910849</v>
      </c>
      <c r="I212">
        <v>40</v>
      </c>
      <c r="J212" s="98">
        <v>1</v>
      </c>
      <c r="K212" s="79">
        <v>46121.9375</v>
      </c>
      <c r="M212" t="s">
        <v>2910</v>
      </c>
      <c r="N212" s="99">
        <v>46269</v>
      </c>
      <c r="P212" t="s">
        <v>3577</v>
      </c>
      <c r="Q212" t="s">
        <v>967</v>
      </c>
      <c r="R212" t="s">
        <v>3578</v>
      </c>
      <c r="S212" t="s">
        <v>1868</v>
      </c>
      <c r="X212" t="s">
        <v>2914</v>
      </c>
    </row>
    <row r="213" spans="1:24" ht="16" customHeight="1" x14ac:dyDescent="0.6">
      <c r="A213" t="s">
        <v>3579</v>
      </c>
      <c r="B213" t="s">
        <v>17</v>
      </c>
      <c r="C213" t="s">
        <v>2939</v>
      </c>
      <c r="E213" t="s">
        <v>2917</v>
      </c>
      <c r="F213">
        <v>3131431</v>
      </c>
      <c r="H213">
        <v>89164592</v>
      </c>
      <c r="I213">
        <v>50</v>
      </c>
      <c r="J213" s="98">
        <v>1</v>
      </c>
      <c r="K213" s="79">
        <v>46122.208333333336</v>
      </c>
      <c r="M213" t="s">
        <v>2910</v>
      </c>
      <c r="N213" s="99">
        <v>46299</v>
      </c>
      <c r="O213" s="75">
        <v>0.22916666666666666</v>
      </c>
      <c r="P213" t="s">
        <v>3580</v>
      </c>
      <c r="Q213" t="s">
        <v>967</v>
      </c>
      <c r="R213" t="s">
        <v>3249</v>
      </c>
      <c r="S213" t="s">
        <v>1868</v>
      </c>
      <c r="T213" t="s">
        <v>3581</v>
      </c>
      <c r="V213" t="s">
        <v>2965</v>
      </c>
      <c r="X213" t="s">
        <v>2914</v>
      </c>
    </row>
    <row r="214" spans="1:24" ht="16" customHeight="1" x14ac:dyDescent="0.6">
      <c r="A214" t="s">
        <v>3582</v>
      </c>
      <c r="B214" t="s">
        <v>17</v>
      </c>
      <c r="C214" t="s">
        <v>2976</v>
      </c>
      <c r="E214" t="s">
        <v>2917</v>
      </c>
      <c r="F214">
        <v>1871696</v>
      </c>
      <c r="H214">
        <v>774688086</v>
      </c>
      <c r="I214">
        <v>100</v>
      </c>
      <c r="J214" t="s">
        <v>2919</v>
      </c>
      <c r="K214" s="79">
        <v>46122.625</v>
      </c>
      <c r="M214" t="s">
        <v>3029</v>
      </c>
      <c r="X214" t="s">
        <v>2914</v>
      </c>
    </row>
    <row r="215" spans="1:24" ht="16" customHeight="1" x14ac:dyDescent="0.6">
      <c r="A215" t="s">
        <v>3583</v>
      </c>
      <c r="B215" t="s">
        <v>17</v>
      </c>
      <c r="C215" t="s">
        <v>3041</v>
      </c>
      <c r="E215" t="s">
        <v>2917</v>
      </c>
      <c r="F215">
        <v>3119517</v>
      </c>
      <c r="H215">
        <v>776705243</v>
      </c>
      <c r="I215">
        <v>30</v>
      </c>
      <c r="J215" s="98">
        <v>1</v>
      </c>
      <c r="K215" s="79">
        <v>46122.791666666664</v>
      </c>
      <c r="L215" t="s">
        <v>3584</v>
      </c>
      <c r="M215" t="s">
        <v>2910</v>
      </c>
      <c r="N215" s="99">
        <v>46299</v>
      </c>
      <c r="P215" t="s">
        <v>3585</v>
      </c>
      <c r="Q215" t="s">
        <v>967</v>
      </c>
      <c r="R215" t="s">
        <v>3038</v>
      </c>
      <c r="S215" t="s">
        <v>1868</v>
      </c>
      <c r="T215" t="s">
        <v>3039</v>
      </c>
      <c r="V215" t="s">
        <v>202</v>
      </c>
      <c r="X215" t="s">
        <v>2914</v>
      </c>
    </row>
    <row r="216" spans="1:24" ht="16" customHeight="1" x14ac:dyDescent="0.6">
      <c r="A216" t="s">
        <v>3586</v>
      </c>
      <c r="B216" t="s">
        <v>17</v>
      </c>
      <c r="C216" t="s">
        <v>2954</v>
      </c>
      <c r="E216" t="s">
        <v>2930</v>
      </c>
      <c r="F216">
        <v>3129272</v>
      </c>
      <c r="G216">
        <v>937329651</v>
      </c>
      <c r="H216">
        <v>876177676</v>
      </c>
      <c r="I216">
        <v>60</v>
      </c>
      <c r="J216" s="98">
        <v>0.5</v>
      </c>
      <c r="K216" s="79">
        <v>46122.90625</v>
      </c>
      <c r="M216" t="s">
        <v>2910</v>
      </c>
      <c r="N216" s="99">
        <v>46299</v>
      </c>
      <c r="O216" s="75">
        <v>0.875</v>
      </c>
      <c r="P216" t="s">
        <v>3587</v>
      </c>
      <c r="Q216" t="s">
        <v>967</v>
      </c>
      <c r="R216" t="s">
        <v>3588</v>
      </c>
      <c r="S216" t="s">
        <v>1868</v>
      </c>
      <c r="T216" t="s">
        <v>3589</v>
      </c>
      <c r="V216" t="s">
        <v>2965</v>
      </c>
      <c r="X216" t="s">
        <v>2914</v>
      </c>
    </row>
    <row r="217" spans="1:24" ht="16" customHeight="1" x14ac:dyDescent="0.6">
      <c r="A217" t="s">
        <v>3590</v>
      </c>
      <c r="B217" t="s">
        <v>17</v>
      </c>
      <c r="C217" t="s">
        <v>2994</v>
      </c>
      <c r="E217" t="s">
        <v>2909</v>
      </c>
      <c r="F217">
        <v>2033804</v>
      </c>
      <c r="G217" t="s">
        <v>3463</v>
      </c>
      <c r="H217">
        <v>396799427</v>
      </c>
      <c r="I217">
        <v>60</v>
      </c>
      <c r="J217" s="98">
        <v>0.75</v>
      </c>
      <c r="K217" s="79">
        <v>46122.9375</v>
      </c>
      <c r="M217" t="s">
        <v>2910</v>
      </c>
      <c r="N217" s="99">
        <v>46299</v>
      </c>
      <c r="P217" t="s">
        <v>3591</v>
      </c>
      <c r="Q217" t="s">
        <v>967</v>
      </c>
      <c r="R217" t="s">
        <v>3073</v>
      </c>
      <c r="S217" t="s">
        <v>1868</v>
      </c>
      <c r="T217" t="s">
        <v>3592</v>
      </c>
      <c r="X217" t="s">
        <v>2914</v>
      </c>
    </row>
    <row r="218" spans="1:24" ht="16" customHeight="1" x14ac:dyDescent="0.6">
      <c r="A218" t="s">
        <v>3593</v>
      </c>
      <c r="B218" t="s">
        <v>17</v>
      </c>
      <c r="C218" t="s">
        <v>3142</v>
      </c>
      <c r="E218" t="s">
        <v>2917</v>
      </c>
      <c r="F218">
        <v>1714094</v>
      </c>
      <c r="G218" t="s">
        <v>3143</v>
      </c>
      <c r="H218">
        <v>961790126</v>
      </c>
      <c r="I218">
        <v>180</v>
      </c>
      <c r="J218" t="s">
        <v>2919</v>
      </c>
      <c r="K218" s="79">
        <v>46122.916666666664</v>
      </c>
      <c r="L218" t="s">
        <v>3594</v>
      </c>
      <c r="M218" t="s">
        <v>2910</v>
      </c>
      <c r="N218" s="99">
        <v>46299</v>
      </c>
      <c r="O218" s="75">
        <v>0.9375</v>
      </c>
      <c r="P218" t="s">
        <v>3595</v>
      </c>
      <c r="Q218" t="s">
        <v>967</v>
      </c>
      <c r="R218" t="s">
        <v>3002</v>
      </c>
      <c r="S218" t="s">
        <v>1868</v>
      </c>
      <c r="T218" t="s">
        <v>3596</v>
      </c>
      <c r="V218" t="s">
        <v>2947</v>
      </c>
      <c r="X218" t="s">
        <v>2914</v>
      </c>
    </row>
    <row r="219" spans="1:24" ht="16" customHeight="1" x14ac:dyDescent="0.6">
      <c r="A219" t="s">
        <v>3597</v>
      </c>
      <c r="B219" t="s">
        <v>17</v>
      </c>
      <c r="C219" t="s">
        <v>2986</v>
      </c>
      <c r="E219" t="s">
        <v>2930</v>
      </c>
      <c r="F219">
        <v>3150112</v>
      </c>
      <c r="G219" t="s">
        <v>3598</v>
      </c>
      <c r="H219">
        <v>965514797</v>
      </c>
      <c r="I219">
        <v>75</v>
      </c>
      <c r="J219" s="98">
        <v>0.75</v>
      </c>
      <c r="K219" s="79">
        <v>46122.875</v>
      </c>
      <c r="M219" t="s">
        <v>2910</v>
      </c>
      <c r="N219" s="99">
        <v>46299</v>
      </c>
      <c r="P219" t="s">
        <v>3599</v>
      </c>
      <c r="Q219" t="s">
        <v>967</v>
      </c>
      <c r="R219" t="s">
        <v>3190</v>
      </c>
      <c r="S219" t="s">
        <v>1868</v>
      </c>
      <c r="T219" t="s">
        <v>3026</v>
      </c>
      <c r="V219" t="s">
        <v>2965</v>
      </c>
      <c r="X219" t="s">
        <v>2914</v>
      </c>
    </row>
    <row r="220" spans="1:24" ht="16" customHeight="1" x14ac:dyDescent="0.6">
      <c r="A220" t="s">
        <v>3600</v>
      </c>
      <c r="B220" t="s">
        <v>17</v>
      </c>
      <c r="C220" t="s">
        <v>3601</v>
      </c>
      <c r="E220" t="s">
        <v>2917</v>
      </c>
      <c r="F220">
        <v>1882650</v>
      </c>
      <c r="H220">
        <v>775748473</v>
      </c>
      <c r="I220">
        <v>50</v>
      </c>
      <c r="J220" s="98">
        <v>1</v>
      </c>
      <c r="K220" s="79">
        <v>46122.875</v>
      </c>
      <c r="L220" t="s">
        <v>3602</v>
      </c>
      <c r="M220" t="s">
        <v>2910</v>
      </c>
      <c r="N220" s="99">
        <v>46299</v>
      </c>
      <c r="P220" t="s">
        <v>3603</v>
      </c>
      <c r="Q220" t="s">
        <v>967</v>
      </c>
      <c r="R220" t="s">
        <v>2978</v>
      </c>
      <c r="S220" t="s">
        <v>1868</v>
      </c>
      <c r="T220" t="s">
        <v>3230</v>
      </c>
      <c r="V220" t="s">
        <v>2947</v>
      </c>
      <c r="X220" t="s">
        <v>2914</v>
      </c>
    </row>
    <row r="221" spans="1:24" ht="16" customHeight="1" x14ac:dyDescent="0.6">
      <c r="A221" t="s">
        <v>3604</v>
      </c>
      <c r="B221" t="s">
        <v>17</v>
      </c>
      <c r="C221" t="s">
        <v>3055</v>
      </c>
      <c r="E221" t="s">
        <v>2930</v>
      </c>
      <c r="F221">
        <v>3152447</v>
      </c>
      <c r="H221">
        <v>914595782</v>
      </c>
      <c r="I221">
        <v>30</v>
      </c>
      <c r="J221" s="98">
        <v>0.5</v>
      </c>
      <c r="K221" s="79">
        <v>46122.9375</v>
      </c>
      <c r="M221" t="s">
        <v>2910</v>
      </c>
      <c r="N221" s="99">
        <v>46299</v>
      </c>
      <c r="P221" t="s">
        <v>3605</v>
      </c>
      <c r="Q221" t="s">
        <v>967</v>
      </c>
      <c r="R221" t="s">
        <v>3606</v>
      </c>
      <c r="S221" t="s">
        <v>1868</v>
      </c>
      <c r="T221" t="s">
        <v>3388</v>
      </c>
      <c r="V221" t="s">
        <v>2965</v>
      </c>
      <c r="X221" t="s">
        <v>2914</v>
      </c>
    </row>
    <row r="222" spans="1:24" ht="16" customHeight="1" x14ac:dyDescent="0.6">
      <c r="A222" t="s">
        <v>3607</v>
      </c>
      <c r="B222" t="s">
        <v>17</v>
      </c>
      <c r="C222" t="s">
        <v>2994</v>
      </c>
      <c r="E222" t="s">
        <v>2930</v>
      </c>
      <c r="F222">
        <v>2033804</v>
      </c>
      <c r="G222" t="s">
        <v>3463</v>
      </c>
      <c r="H222">
        <v>396799427</v>
      </c>
      <c r="I222">
        <v>100</v>
      </c>
      <c r="J222" s="98">
        <v>1</v>
      </c>
      <c r="K222" s="79">
        <v>46122.927083333336</v>
      </c>
      <c r="M222" t="s">
        <v>2910</v>
      </c>
      <c r="N222" s="99">
        <v>46299</v>
      </c>
      <c r="P222" t="s">
        <v>3608</v>
      </c>
      <c r="Q222" t="s">
        <v>1356</v>
      </c>
      <c r="R222" t="s">
        <v>3609</v>
      </c>
      <c r="S222" t="s">
        <v>1868</v>
      </c>
      <c r="T222" t="s">
        <v>3610</v>
      </c>
      <c r="V222" t="s">
        <v>2965</v>
      </c>
      <c r="X222" t="s">
        <v>2914</v>
      </c>
    </row>
    <row r="223" spans="1:24" ht="16" customHeight="1" x14ac:dyDescent="0.6">
      <c r="A223" t="s">
        <v>3611</v>
      </c>
      <c r="B223" t="s">
        <v>17</v>
      </c>
      <c r="C223" t="s">
        <v>3041</v>
      </c>
      <c r="E223" t="s">
        <v>2930</v>
      </c>
      <c r="F223">
        <v>3119517</v>
      </c>
      <c r="H223">
        <v>776705243</v>
      </c>
      <c r="I223">
        <v>20</v>
      </c>
      <c r="J223" s="98">
        <v>0.75</v>
      </c>
      <c r="K223" s="79">
        <v>46123.166666666664</v>
      </c>
      <c r="L223" t="s">
        <v>3612</v>
      </c>
      <c r="M223" t="s">
        <v>2910</v>
      </c>
      <c r="N223" s="99">
        <v>46330</v>
      </c>
      <c r="O223" s="75">
        <v>0.16666666666666666</v>
      </c>
      <c r="P223" t="s">
        <v>3613</v>
      </c>
      <c r="Q223" t="s">
        <v>967</v>
      </c>
      <c r="R223" t="s">
        <v>2941</v>
      </c>
      <c r="S223" t="s">
        <v>1868</v>
      </c>
      <c r="T223" t="s">
        <v>3614</v>
      </c>
      <c r="V223" t="s">
        <v>2965</v>
      </c>
      <c r="X223" t="s">
        <v>2914</v>
      </c>
    </row>
    <row r="224" spans="1:24" ht="16" customHeight="1" x14ac:dyDescent="0.6">
      <c r="A224" t="s">
        <v>3615</v>
      </c>
      <c r="B224" t="s">
        <v>17</v>
      </c>
      <c r="C224" t="s">
        <v>2916</v>
      </c>
      <c r="E224" t="s">
        <v>2930</v>
      </c>
      <c r="F224">
        <v>3122693</v>
      </c>
      <c r="G224" t="s">
        <v>2918</v>
      </c>
      <c r="H224">
        <v>867140497</v>
      </c>
      <c r="I224">
        <v>100</v>
      </c>
      <c r="J224" s="98">
        <v>0.5</v>
      </c>
      <c r="K224" s="79">
        <v>46122.833333333336</v>
      </c>
      <c r="L224" t="s">
        <v>3616</v>
      </c>
      <c r="M224" t="s">
        <v>2910</v>
      </c>
      <c r="N224" s="99">
        <v>46299</v>
      </c>
      <c r="P224" t="s">
        <v>3617</v>
      </c>
      <c r="Q224" t="s">
        <v>1356</v>
      </c>
      <c r="R224" t="s">
        <v>3618</v>
      </c>
      <c r="S224" t="s">
        <v>1868</v>
      </c>
      <c r="T224" t="s">
        <v>3619</v>
      </c>
      <c r="V224" t="s">
        <v>2965</v>
      </c>
      <c r="X224" t="s">
        <v>2914</v>
      </c>
    </row>
    <row r="225" spans="1:24" ht="16" customHeight="1" x14ac:dyDescent="0.6">
      <c r="A225" t="s">
        <v>3620</v>
      </c>
      <c r="B225" t="s">
        <v>17</v>
      </c>
      <c r="C225" t="s">
        <v>3036</v>
      </c>
      <c r="E225" t="s">
        <v>2917</v>
      </c>
      <c r="F225">
        <v>3146992</v>
      </c>
      <c r="H225">
        <v>3973082002</v>
      </c>
      <c r="I225">
        <v>80</v>
      </c>
      <c r="J225" s="98">
        <v>0.75</v>
      </c>
      <c r="K225" s="79">
        <v>46123.208333333336</v>
      </c>
      <c r="M225" t="s">
        <v>2910</v>
      </c>
      <c r="N225" s="99">
        <v>46330</v>
      </c>
      <c r="O225" s="75">
        <v>0.20833333333333334</v>
      </c>
      <c r="P225" t="s">
        <v>3621</v>
      </c>
      <c r="Q225" t="s">
        <v>967</v>
      </c>
      <c r="R225" t="s">
        <v>3622</v>
      </c>
      <c r="S225" t="s">
        <v>1868</v>
      </c>
      <c r="T225" t="s">
        <v>3623</v>
      </c>
      <c r="V225" t="s">
        <v>2965</v>
      </c>
      <c r="X225" t="s">
        <v>2914</v>
      </c>
    </row>
    <row r="226" spans="1:24" ht="16" customHeight="1" x14ac:dyDescent="0.6">
      <c r="A226" t="s">
        <v>3624</v>
      </c>
      <c r="B226" t="s">
        <v>17</v>
      </c>
      <c r="C226" t="s">
        <v>3049</v>
      </c>
      <c r="E226" t="s">
        <v>2917</v>
      </c>
      <c r="F226">
        <v>3074147</v>
      </c>
      <c r="H226">
        <v>945806398</v>
      </c>
      <c r="I226">
        <v>100</v>
      </c>
      <c r="J226" s="98">
        <v>1</v>
      </c>
      <c r="K226" s="79">
        <v>46122.895833333336</v>
      </c>
      <c r="L226" t="s">
        <v>3234</v>
      </c>
      <c r="M226" t="s">
        <v>2910</v>
      </c>
      <c r="N226" s="99">
        <v>46299</v>
      </c>
      <c r="P226" t="s">
        <v>3625</v>
      </c>
      <c r="Q226" t="s">
        <v>967</v>
      </c>
      <c r="R226" t="s">
        <v>2932</v>
      </c>
      <c r="S226" t="s">
        <v>1868</v>
      </c>
      <c r="T226" t="s">
        <v>2933</v>
      </c>
      <c r="V226" t="s">
        <v>3009</v>
      </c>
      <c r="X226" t="s">
        <v>2914</v>
      </c>
    </row>
    <row r="227" spans="1:24" ht="16" customHeight="1" x14ac:dyDescent="0.6">
      <c r="A227" t="s">
        <v>3626</v>
      </c>
      <c r="B227" t="s">
        <v>17</v>
      </c>
      <c r="C227" t="s">
        <v>3142</v>
      </c>
      <c r="E227" t="s">
        <v>2917</v>
      </c>
      <c r="F227">
        <v>1714094</v>
      </c>
      <c r="G227" t="s">
        <v>3143</v>
      </c>
      <c r="H227">
        <v>961790126</v>
      </c>
      <c r="I227">
        <v>70</v>
      </c>
      <c r="J227" s="98">
        <v>0.75</v>
      </c>
      <c r="K227" s="79">
        <v>46122.916666666664</v>
      </c>
      <c r="M227" t="s">
        <v>2910</v>
      </c>
      <c r="N227" s="99">
        <v>46299</v>
      </c>
      <c r="P227" t="s">
        <v>3627</v>
      </c>
      <c r="Q227" t="s">
        <v>1356</v>
      </c>
      <c r="R227" t="s">
        <v>3628</v>
      </c>
      <c r="S227" t="s">
        <v>1868</v>
      </c>
      <c r="T227" t="s">
        <v>2922</v>
      </c>
      <c r="V227" t="s">
        <v>2965</v>
      </c>
      <c r="X227" t="s">
        <v>2914</v>
      </c>
    </row>
    <row r="228" spans="1:24" ht="16" customHeight="1" x14ac:dyDescent="0.6">
      <c r="A228" t="s">
        <v>3629</v>
      </c>
      <c r="B228" t="s">
        <v>17</v>
      </c>
      <c r="C228" t="s">
        <v>2935</v>
      </c>
      <c r="E228" t="s">
        <v>2930</v>
      </c>
      <c r="F228">
        <v>3138621</v>
      </c>
      <c r="H228">
        <v>983362477</v>
      </c>
      <c r="I228">
        <v>50</v>
      </c>
      <c r="J228" s="98">
        <v>0.5</v>
      </c>
      <c r="K228" s="79">
        <v>46122.916666666664</v>
      </c>
      <c r="M228" t="s">
        <v>2910</v>
      </c>
      <c r="N228" s="99">
        <v>46299</v>
      </c>
      <c r="O228" s="75">
        <v>0.91666666666666663</v>
      </c>
      <c r="P228" t="s">
        <v>3630</v>
      </c>
      <c r="Q228" t="s">
        <v>967</v>
      </c>
      <c r="R228" t="s">
        <v>3210</v>
      </c>
      <c r="S228" t="s">
        <v>1868</v>
      </c>
      <c r="T228" t="s">
        <v>3063</v>
      </c>
      <c r="V228" t="s">
        <v>2965</v>
      </c>
      <c r="X228" t="s">
        <v>2914</v>
      </c>
    </row>
    <row r="229" spans="1:24" ht="16" customHeight="1" x14ac:dyDescent="0.6">
      <c r="A229" t="s">
        <v>3631</v>
      </c>
      <c r="B229" t="s">
        <v>17</v>
      </c>
      <c r="C229" t="s">
        <v>3632</v>
      </c>
      <c r="E229" t="s">
        <v>2917</v>
      </c>
      <c r="F229">
        <v>3120684</v>
      </c>
      <c r="H229">
        <v>899906675</v>
      </c>
      <c r="I229">
        <v>100</v>
      </c>
      <c r="J229" s="98">
        <v>1</v>
      </c>
      <c r="K229" s="79">
        <v>46122.916666666664</v>
      </c>
      <c r="M229" t="s">
        <v>2910</v>
      </c>
      <c r="N229" s="99">
        <v>46299</v>
      </c>
      <c r="O229" s="75">
        <v>0.94791666666666663</v>
      </c>
      <c r="P229" t="s">
        <v>3633</v>
      </c>
      <c r="Q229" t="s">
        <v>967</v>
      </c>
      <c r="R229" t="s">
        <v>2983</v>
      </c>
      <c r="S229" t="s">
        <v>1868</v>
      </c>
      <c r="T229" t="s">
        <v>3634</v>
      </c>
      <c r="V229" t="s">
        <v>2965</v>
      </c>
      <c r="X229" t="s">
        <v>2914</v>
      </c>
    </row>
    <row r="230" spans="1:24" ht="16" customHeight="1" x14ac:dyDescent="0.6">
      <c r="A230" t="s">
        <v>3635</v>
      </c>
      <c r="B230" t="s">
        <v>17</v>
      </c>
      <c r="C230" t="s">
        <v>3632</v>
      </c>
      <c r="E230" t="s">
        <v>2909</v>
      </c>
      <c r="F230">
        <v>3120684</v>
      </c>
      <c r="H230">
        <v>899906675</v>
      </c>
      <c r="I230">
        <v>40</v>
      </c>
      <c r="J230" s="98">
        <v>0.3</v>
      </c>
      <c r="K230" s="79">
        <v>46123.208333333336</v>
      </c>
      <c r="M230" t="s">
        <v>2910</v>
      </c>
      <c r="N230" s="99">
        <v>46330</v>
      </c>
      <c r="O230" s="75">
        <v>0.20833333333333334</v>
      </c>
      <c r="P230" t="s">
        <v>3636</v>
      </c>
      <c r="Q230" t="s">
        <v>967</v>
      </c>
      <c r="R230" t="s">
        <v>3637</v>
      </c>
      <c r="S230" t="s">
        <v>1868</v>
      </c>
      <c r="T230" t="s">
        <v>3638</v>
      </c>
      <c r="X230" t="s">
        <v>2914</v>
      </c>
    </row>
    <row r="231" spans="1:24" ht="16" customHeight="1" x14ac:dyDescent="0.6">
      <c r="A231" t="s">
        <v>3639</v>
      </c>
      <c r="B231" t="s">
        <v>17</v>
      </c>
      <c r="C231" t="s">
        <v>3093</v>
      </c>
      <c r="E231" t="s">
        <v>2930</v>
      </c>
      <c r="F231">
        <v>1872928</v>
      </c>
      <c r="H231">
        <v>344176032</v>
      </c>
      <c r="I231">
        <v>300</v>
      </c>
      <c r="J231" s="98">
        <v>1</v>
      </c>
      <c r="K231" s="79">
        <v>46123.875</v>
      </c>
      <c r="M231" t="s">
        <v>2910</v>
      </c>
      <c r="N231" s="99">
        <v>46330</v>
      </c>
      <c r="O231" t="s">
        <v>3640</v>
      </c>
      <c r="P231" t="s">
        <v>3641</v>
      </c>
      <c r="Q231" t="s">
        <v>967</v>
      </c>
      <c r="R231" t="s">
        <v>2932</v>
      </c>
      <c r="S231" t="s">
        <v>1868</v>
      </c>
      <c r="T231" t="s">
        <v>3642</v>
      </c>
      <c r="V231" t="s">
        <v>2965</v>
      </c>
      <c r="X231" t="s">
        <v>2914</v>
      </c>
    </row>
    <row r="232" spans="1:24" ht="16" customHeight="1" x14ac:dyDescent="0.6">
      <c r="A232" t="s">
        <v>3643</v>
      </c>
      <c r="B232" t="s">
        <v>17</v>
      </c>
      <c r="C232" t="s">
        <v>2976</v>
      </c>
      <c r="E232" t="s">
        <v>2917</v>
      </c>
      <c r="F232">
        <v>1871696</v>
      </c>
      <c r="H232">
        <v>774688086</v>
      </c>
      <c r="I232">
        <v>100</v>
      </c>
      <c r="J232" t="s">
        <v>2919</v>
      </c>
      <c r="K232" s="79">
        <v>46123.583333333336</v>
      </c>
      <c r="M232" t="s">
        <v>3029</v>
      </c>
      <c r="X232" t="s">
        <v>2914</v>
      </c>
    </row>
    <row r="233" spans="1:24" ht="16" customHeight="1" x14ac:dyDescent="0.6">
      <c r="A233" t="s">
        <v>3644</v>
      </c>
      <c r="B233" t="s">
        <v>17</v>
      </c>
      <c r="C233" t="s">
        <v>3041</v>
      </c>
      <c r="E233" t="s">
        <v>2930</v>
      </c>
      <c r="F233">
        <v>3132927</v>
      </c>
      <c r="H233">
        <v>367129993</v>
      </c>
      <c r="I233">
        <v>30</v>
      </c>
      <c r="J233" s="98">
        <v>1</v>
      </c>
      <c r="K233" s="79">
        <v>46123.916666666664</v>
      </c>
      <c r="M233" t="s">
        <v>2910</v>
      </c>
      <c r="N233" s="99">
        <v>46330</v>
      </c>
      <c r="O233" s="75">
        <v>0.91666666666666663</v>
      </c>
      <c r="P233" t="s">
        <v>3645</v>
      </c>
      <c r="Q233" t="s">
        <v>967</v>
      </c>
      <c r="R233" t="s">
        <v>3013</v>
      </c>
      <c r="S233" t="s">
        <v>1868</v>
      </c>
      <c r="T233" t="s">
        <v>3309</v>
      </c>
      <c r="V233" t="s">
        <v>2965</v>
      </c>
      <c r="X233" t="s">
        <v>2914</v>
      </c>
    </row>
    <row r="234" spans="1:24" ht="16" customHeight="1" x14ac:dyDescent="0.6">
      <c r="A234" t="s">
        <v>3646</v>
      </c>
      <c r="B234" t="s">
        <v>17</v>
      </c>
      <c r="C234" t="s">
        <v>3093</v>
      </c>
      <c r="E234" t="s">
        <v>2930</v>
      </c>
      <c r="F234">
        <v>3135107</v>
      </c>
      <c r="H234">
        <v>344436412</v>
      </c>
      <c r="I234">
        <v>120</v>
      </c>
      <c r="J234" s="98">
        <v>1</v>
      </c>
      <c r="K234" s="79">
        <v>46123.916666666664</v>
      </c>
      <c r="M234" t="s">
        <v>2910</v>
      </c>
      <c r="N234" s="99">
        <v>46330</v>
      </c>
      <c r="O234" t="s">
        <v>3647</v>
      </c>
      <c r="P234" t="s">
        <v>3645</v>
      </c>
      <c r="Q234" t="s">
        <v>967</v>
      </c>
      <c r="R234" t="s">
        <v>3013</v>
      </c>
      <c r="S234" t="s">
        <v>1868</v>
      </c>
      <c r="T234" t="s">
        <v>3309</v>
      </c>
      <c r="V234" t="s">
        <v>2965</v>
      </c>
      <c r="X234" t="s">
        <v>2914</v>
      </c>
    </row>
    <row r="235" spans="1:24" ht="16" customHeight="1" x14ac:dyDescent="0.6">
      <c r="A235" t="s">
        <v>3648</v>
      </c>
      <c r="B235" t="s">
        <v>17</v>
      </c>
      <c r="C235" t="s">
        <v>3544</v>
      </c>
      <c r="E235" t="s">
        <v>2930</v>
      </c>
      <c r="F235">
        <v>3126417</v>
      </c>
      <c r="H235">
        <v>325209813</v>
      </c>
      <c r="I235">
        <v>100</v>
      </c>
      <c r="J235" s="98">
        <v>0.75</v>
      </c>
      <c r="K235" s="79">
        <v>46123.916666666664</v>
      </c>
      <c r="M235" t="s">
        <v>2910</v>
      </c>
      <c r="N235" s="99">
        <v>46330</v>
      </c>
      <c r="O235" t="s">
        <v>3235</v>
      </c>
      <c r="P235" t="s">
        <v>3649</v>
      </c>
      <c r="Q235" t="s">
        <v>967</v>
      </c>
      <c r="R235" t="s">
        <v>3210</v>
      </c>
      <c r="S235" t="s">
        <v>1868</v>
      </c>
      <c r="T235" t="s">
        <v>3063</v>
      </c>
      <c r="V235" t="s">
        <v>2965</v>
      </c>
      <c r="X235" t="s">
        <v>2914</v>
      </c>
    </row>
    <row r="236" spans="1:24" ht="16" customHeight="1" x14ac:dyDescent="0.6">
      <c r="A236" t="s">
        <v>3650</v>
      </c>
      <c r="B236" t="s">
        <v>17</v>
      </c>
      <c r="C236" t="s">
        <v>3247</v>
      </c>
      <c r="E236" t="s">
        <v>2917</v>
      </c>
      <c r="F236">
        <v>3153024</v>
      </c>
      <c r="G236" t="s">
        <v>3651</v>
      </c>
      <c r="H236">
        <v>988454957</v>
      </c>
      <c r="I236">
        <v>200</v>
      </c>
      <c r="J236" s="98">
        <v>1</v>
      </c>
      <c r="K236" s="79">
        <v>46123.885416666664</v>
      </c>
      <c r="M236" t="s">
        <v>2910</v>
      </c>
      <c r="N236" s="99">
        <v>46330</v>
      </c>
      <c r="O236" s="75">
        <v>0.91666666666666663</v>
      </c>
      <c r="P236" t="s">
        <v>3652</v>
      </c>
      <c r="Q236" t="s">
        <v>967</v>
      </c>
      <c r="R236" t="s">
        <v>3468</v>
      </c>
      <c r="S236" t="s">
        <v>1868</v>
      </c>
      <c r="T236" t="s">
        <v>3370</v>
      </c>
      <c r="V236" t="s">
        <v>2965</v>
      </c>
      <c r="X236" t="s">
        <v>2914</v>
      </c>
    </row>
    <row r="237" spans="1:24" ht="16" customHeight="1" x14ac:dyDescent="0.6">
      <c r="A237" t="s">
        <v>3653</v>
      </c>
      <c r="B237" t="s">
        <v>17</v>
      </c>
      <c r="C237" t="s">
        <v>3632</v>
      </c>
      <c r="E237" t="s">
        <v>2930</v>
      </c>
      <c r="F237">
        <v>3120684</v>
      </c>
      <c r="H237">
        <v>899906675</v>
      </c>
      <c r="I237">
        <v>40</v>
      </c>
      <c r="J237" s="98">
        <v>0.3</v>
      </c>
      <c r="K237" s="79">
        <v>46123.875</v>
      </c>
      <c r="M237" t="s">
        <v>2910</v>
      </c>
      <c r="N237" s="99">
        <v>46330</v>
      </c>
      <c r="P237" t="s">
        <v>3654</v>
      </c>
      <c r="Q237" t="s">
        <v>1356</v>
      </c>
      <c r="R237" t="s">
        <v>3076</v>
      </c>
      <c r="S237" t="s">
        <v>1868</v>
      </c>
      <c r="T237" t="s">
        <v>3655</v>
      </c>
      <c r="V237" t="s">
        <v>2965</v>
      </c>
      <c r="X237" t="s">
        <v>2914</v>
      </c>
    </row>
    <row r="238" spans="1:24" ht="16" customHeight="1" x14ac:dyDescent="0.6">
      <c r="A238" t="s">
        <v>3656</v>
      </c>
      <c r="B238" t="s">
        <v>17</v>
      </c>
      <c r="C238" t="s">
        <v>3601</v>
      </c>
      <c r="E238" t="s">
        <v>2930</v>
      </c>
      <c r="F238">
        <v>1882650</v>
      </c>
      <c r="H238">
        <v>775748473</v>
      </c>
      <c r="I238">
        <v>40</v>
      </c>
      <c r="J238" s="98">
        <v>1</v>
      </c>
      <c r="K238" s="79">
        <v>46122.875</v>
      </c>
      <c r="M238" t="s">
        <v>2910</v>
      </c>
      <c r="N238" s="99">
        <v>46330</v>
      </c>
      <c r="P238" t="s">
        <v>3654</v>
      </c>
      <c r="Q238" t="s">
        <v>1356</v>
      </c>
      <c r="R238" t="s">
        <v>3076</v>
      </c>
      <c r="S238" t="s">
        <v>1868</v>
      </c>
      <c r="T238" t="s">
        <v>3655</v>
      </c>
      <c r="V238" t="s">
        <v>2965</v>
      </c>
      <c r="X238" t="s">
        <v>2914</v>
      </c>
    </row>
    <row r="239" spans="1:24" ht="16" customHeight="1" x14ac:dyDescent="0.6">
      <c r="A239" t="s">
        <v>3657</v>
      </c>
      <c r="B239" t="s">
        <v>17</v>
      </c>
      <c r="C239" t="s">
        <v>3142</v>
      </c>
      <c r="E239" t="s">
        <v>2917</v>
      </c>
      <c r="F239">
        <v>1714094</v>
      </c>
      <c r="G239" t="s">
        <v>3143</v>
      </c>
      <c r="H239">
        <v>962790126</v>
      </c>
      <c r="I239">
        <v>100</v>
      </c>
      <c r="J239" s="98">
        <v>1</v>
      </c>
      <c r="K239" s="79">
        <v>46123.916666666664</v>
      </c>
      <c r="M239" t="s">
        <v>2910</v>
      </c>
      <c r="N239" s="99">
        <v>46330</v>
      </c>
      <c r="P239" t="s">
        <v>3658</v>
      </c>
      <c r="Q239" t="s">
        <v>1356</v>
      </c>
      <c r="R239" t="s">
        <v>3002</v>
      </c>
      <c r="S239" t="s">
        <v>1868</v>
      </c>
      <c r="T239" t="s">
        <v>3550</v>
      </c>
      <c r="V239" t="s">
        <v>2965</v>
      </c>
      <c r="X239" t="s">
        <v>2914</v>
      </c>
    </row>
    <row r="240" spans="1:24" ht="16" customHeight="1" x14ac:dyDescent="0.6">
      <c r="A240" t="s">
        <v>3659</v>
      </c>
      <c r="B240" t="s">
        <v>17</v>
      </c>
      <c r="C240" t="s">
        <v>3031</v>
      </c>
      <c r="E240" t="s">
        <v>2917</v>
      </c>
      <c r="F240">
        <v>3147977</v>
      </c>
      <c r="H240">
        <v>797255556</v>
      </c>
      <c r="I240">
        <v>100</v>
      </c>
      <c r="J240" s="98">
        <v>1</v>
      </c>
      <c r="K240" s="79">
        <v>46123.895833333336</v>
      </c>
      <c r="M240" t="s">
        <v>2910</v>
      </c>
      <c r="N240" s="99">
        <v>46330</v>
      </c>
      <c r="O240" s="75">
        <v>0.91666666666666663</v>
      </c>
      <c r="P240" t="s">
        <v>3660</v>
      </c>
      <c r="Q240" t="s">
        <v>967</v>
      </c>
      <c r="R240" t="s">
        <v>3229</v>
      </c>
      <c r="S240" t="s">
        <v>1868</v>
      </c>
      <c r="T240" t="s">
        <v>3230</v>
      </c>
      <c r="V240" t="s">
        <v>2947</v>
      </c>
      <c r="X240" t="s">
        <v>2914</v>
      </c>
    </row>
    <row r="241" spans="1:24" ht="16" customHeight="1" x14ac:dyDescent="0.6">
      <c r="A241" t="s">
        <v>3661</v>
      </c>
      <c r="B241" t="s">
        <v>17</v>
      </c>
      <c r="C241" t="s">
        <v>3055</v>
      </c>
      <c r="E241" t="s">
        <v>2930</v>
      </c>
      <c r="F241">
        <v>3152447</v>
      </c>
      <c r="H241">
        <v>914595782</v>
      </c>
      <c r="I241">
        <v>30</v>
      </c>
      <c r="J241" s="98">
        <v>0.3</v>
      </c>
      <c r="K241" s="79">
        <v>46123.927083333336</v>
      </c>
      <c r="L241" t="s">
        <v>3662</v>
      </c>
      <c r="M241" t="s">
        <v>2910</v>
      </c>
      <c r="N241" s="99">
        <v>46330</v>
      </c>
      <c r="O241" s="75">
        <v>0.91666666666666663</v>
      </c>
      <c r="P241" t="s">
        <v>3663</v>
      </c>
      <c r="Q241" t="s">
        <v>967</v>
      </c>
      <c r="R241" t="s">
        <v>3190</v>
      </c>
      <c r="S241" t="s">
        <v>1868</v>
      </c>
      <c r="T241" t="s">
        <v>3026</v>
      </c>
      <c r="V241" t="s">
        <v>2965</v>
      </c>
      <c r="X241" t="s">
        <v>2914</v>
      </c>
    </row>
    <row r="242" spans="1:24" ht="16" customHeight="1" x14ac:dyDescent="0.6">
      <c r="A242" t="s">
        <v>3664</v>
      </c>
      <c r="B242" t="s">
        <v>17</v>
      </c>
      <c r="C242" t="s">
        <v>3041</v>
      </c>
      <c r="E242" t="s">
        <v>2909</v>
      </c>
      <c r="F242">
        <v>3132927</v>
      </c>
      <c r="H242">
        <v>367129993</v>
      </c>
      <c r="I242">
        <v>15</v>
      </c>
      <c r="J242" s="98">
        <v>0.3</v>
      </c>
      <c r="K242" s="79">
        <v>46124.208333333336</v>
      </c>
      <c r="M242" t="s">
        <v>2910</v>
      </c>
      <c r="N242" s="99">
        <v>46360</v>
      </c>
      <c r="O242" s="75">
        <v>0.125</v>
      </c>
      <c r="P242" t="s">
        <v>3665</v>
      </c>
      <c r="Q242" t="s">
        <v>967</v>
      </c>
      <c r="R242" t="s">
        <v>464</v>
      </c>
      <c r="S242" t="s">
        <v>1868</v>
      </c>
      <c r="T242" t="s">
        <v>3666</v>
      </c>
      <c r="V242" t="s">
        <v>202</v>
      </c>
      <c r="X242" t="s">
        <v>2914</v>
      </c>
    </row>
    <row r="243" spans="1:24" ht="16" customHeight="1" x14ac:dyDescent="0.6">
      <c r="A243" t="s">
        <v>3667</v>
      </c>
      <c r="B243" t="s">
        <v>17</v>
      </c>
      <c r="C243" t="s">
        <v>2976</v>
      </c>
      <c r="E243" t="s">
        <v>2917</v>
      </c>
      <c r="F243">
        <v>1871696</v>
      </c>
      <c r="H243">
        <v>774688086</v>
      </c>
      <c r="I243">
        <v>50</v>
      </c>
      <c r="J243" s="98">
        <v>0.5</v>
      </c>
      <c r="K243" s="79">
        <v>46123.927083333336</v>
      </c>
      <c r="M243" t="s">
        <v>2910</v>
      </c>
      <c r="N243" s="99">
        <v>46330</v>
      </c>
      <c r="O243" t="s">
        <v>3668</v>
      </c>
      <c r="P243" t="s">
        <v>3669</v>
      </c>
      <c r="Q243" t="s">
        <v>967</v>
      </c>
      <c r="R243" t="s">
        <v>3670</v>
      </c>
      <c r="S243" t="s">
        <v>1868</v>
      </c>
      <c r="T243" t="s">
        <v>3671</v>
      </c>
      <c r="V243" t="s">
        <v>2947</v>
      </c>
      <c r="X243" t="s">
        <v>2914</v>
      </c>
    </row>
    <row r="244" spans="1:24" ht="16" customHeight="1" x14ac:dyDescent="0.6">
      <c r="A244" t="s">
        <v>3672</v>
      </c>
      <c r="B244" t="s">
        <v>17</v>
      </c>
      <c r="C244" t="s">
        <v>2976</v>
      </c>
      <c r="E244" t="s">
        <v>2917</v>
      </c>
      <c r="F244">
        <v>1871696</v>
      </c>
      <c r="H244">
        <v>774688086</v>
      </c>
      <c r="I244">
        <v>100</v>
      </c>
      <c r="J244" t="s">
        <v>2919</v>
      </c>
      <c r="K244" s="79">
        <v>46124.5</v>
      </c>
      <c r="M244" t="s">
        <v>2955</v>
      </c>
      <c r="X244" t="s">
        <v>2914</v>
      </c>
    </row>
    <row r="245" spans="1:24" ht="16" customHeight="1" x14ac:dyDescent="0.6">
      <c r="A245" t="s">
        <v>3673</v>
      </c>
      <c r="B245" t="s">
        <v>17</v>
      </c>
      <c r="C245" t="s">
        <v>3674</v>
      </c>
      <c r="E245" t="s">
        <v>2909</v>
      </c>
      <c r="F245">
        <v>3131195</v>
      </c>
      <c r="H245">
        <v>332234223</v>
      </c>
      <c r="I245">
        <v>15</v>
      </c>
      <c r="J245" s="98">
        <v>0.5</v>
      </c>
      <c r="K245" s="79">
        <v>46125.166666666664</v>
      </c>
      <c r="M245" t="s">
        <v>2910</v>
      </c>
      <c r="N245" s="101">
        <v>41365</v>
      </c>
      <c r="O245" s="75">
        <v>0.125</v>
      </c>
      <c r="P245" t="s">
        <v>3675</v>
      </c>
      <c r="Q245" t="s">
        <v>967</v>
      </c>
      <c r="R245" t="s">
        <v>464</v>
      </c>
      <c r="S245" t="s">
        <v>1868</v>
      </c>
      <c r="T245" t="s">
        <v>3666</v>
      </c>
      <c r="X245" t="s">
        <v>2914</v>
      </c>
    </row>
    <row r="246" spans="1:24" ht="16" customHeight="1" x14ac:dyDescent="0.6">
      <c r="A246" t="s">
        <v>3676</v>
      </c>
      <c r="B246" t="s">
        <v>17</v>
      </c>
      <c r="C246" t="s">
        <v>3055</v>
      </c>
      <c r="E246" t="s">
        <v>2917</v>
      </c>
      <c r="F246">
        <v>3152447</v>
      </c>
      <c r="H246">
        <v>914595782</v>
      </c>
      <c r="I246">
        <v>30</v>
      </c>
      <c r="J246" s="98">
        <v>0.3</v>
      </c>
      <c r="K246" s="79">
        <v>46125.5</v>
      </c>
      <c r="M246" t="s">
        <v>2910</v>
      </c>
      <c r="N246" s="101">
        <v>41365</v>
      </c>
      <c r="P246" t="s">
        <v>3677</v>
      </c>
      <c r="Q246" t="s">
        <v>967</v>
      </c>
      <c r="X246" t="s">
        <v>2914</v>
      </c>
    </row>
    <row r="247" spans="1:24" ht="16" customHeight="1" x14ac:dyDescent="0.6">
      <c r="A247" t="s">
        <v>3678</v>
      </c>
      <c r="B247" t="s">
        <v>17</v>
      </c>
      <c r="C247" t="s">
        <v>2976</v>
      </c>
      <c r="E247" t="s">
        <v>2917</v>
      </c>
      <c r="F247">
        <v>3124891</v>
      </c>
      <c r="H247">
        <v>977330980</v>
      </c>
      <c r="I247">
        <v>300</v>
      </c>
      <c r="J247" t="s">
        <v>2919</v>
      </c>
      <c r="K247" s="79">
        <v>46125.604166666664</v>
      </c>
      <c r="M247" t="s">
        <v>3029</v>
      </c>
      <c r="N247" s="101">
        <v>41365</v>
      </c>
      <c r="X247" t="s">
        <v>2914</v>
      </c>
    </row>
    <row r="248" spans="1:24" ht="16" customHeight="1" x14ac:dyDescent="0.6">
      <c r="A248" t="s">
        <v>3679</v>
      </c>
      <c r="B248" t="s">
        <v>17</v>
      </c>
      <c r="C248" t="s">
        <v>2954</v>
      </c>
      <c r="E248" t="s">
        <v>2917</v>
      </c>
      <c r="F248">
        <v>3129272</v>
      </c>
      <c r="G248">
        <v>937329651</v>
      </c>
      <c r="H248">
        <v>876177676</v>
      </c>
      <c r="I248">
        <v>89</v>
      </c>
      <c r="J248" s="98">
        <v>0.75</v>
      </c>
      <c r="K248" s="79">
        <v>46125.90625</v>
      </c>
      <c r="M248" t="s">
        <v>2910</v>
      </c>
      <c r="N248" s="101">
        <v>41365</v>
      </c>
      <c r="O248" s="75">
        <v>0.91666666666666663</v>
      </c>
      <c r="P248" t="s">
        <v>3680</v>
      </c>
      <c r="Q248" t="s">
        <v>967</v>
      </c>
      <c r="R248" t="s">
        <v>3210</v>
      </c>
      <c r="S248" t="s">
        <v>1868</v>
      </c>
      <c r="T248" t="s">
        <v>3063</v>
      </c>
      <c r="V248" t="s">
        <v>2965</v>
      </c>
      <c r="X248" t="s">
        <v>2914</v>
      </c>
    </row>
    <row r="249" spans="1:24" ht="16" customHeight="1" x14ac:dyDescent="0.6">
      <c r="A249" t="s">
        <v>3681</v>
      </c>
      <c r="B249" t="s">
        <v>17</v>
      </c>
      <c r="C249" t="s">
        <v>3093</v>
      </c>
      <c r="E249" t="s">
        <v>2930</v>
      </c>
      <c r="F249">
        <v>1872928</v>
      </c>
      <c r="H249">
        <v>344176032</v>
      </c>
      <c r="I249">
        <v>200</v>
      </c>
      <c r="J249" s="98">
        <v>1</v>
      </c>
      <c r="K249" s="79">
        <v>46125.875</v>
      </c>
      <c r="M249" t="s">
        <v>2910</v>
      </c>
      <c r="N249" s="101">
        <v>41365</v>
      </c>
      <c r="O249" s="75">
        <v>0.94791666666666663</v>
      </c>
      <c r="P249" t="s">
        <v>3682</v>
      </c>
      <c r="Q249" t="s">
        <v>1356</v>
      </c>
      <c r="R249" t="s">
        <v>2951</v>
      </c>
      <c r="S249" t="s">
        <v>1868</v>
      </c>
      <c r="T249" t="s">
        <v>2952</v>
      </c>
      <c r="V249" t="s">
        <v>2965</v>
      </c>
      <c r="X249" t="s">
        <v>2914</v>
      </c>
    </row>
    <row r="250" spans="1:24" ht="16" customHeight="1" x14ac:dyDescent="0.6">
      <c r="A250" t="s">
        <v>3683</v>
      </c>
      <c r="B250" t="s">
        <v>17</v>
      </c>
      <c r="C250" t="s">
        <v>2916</v>
      </c>
      <c r="E250" t="s">
        <v>2917</v>
      </c>
      <c r="F250">
        <v>3070766</v>
      </c>
      <c r="G250" t="s">
        <v>3684</v>
      </c>
      <c r="H250">
        <v>376156434</v>
      </c>
      <c r="I250">
        <v>500</v>
      </c>
      <c r="J250" t="s">
        <v>2919</v>
      </c>
      <c r="K250" s="79">
        <v>46125.958333333336</v>
      </c>
      <c r="L250" t="s">
        <v>3685</v>
      </c>
      <c r="M250" t="s">
        <v>2910</v>
      </c>
      <c r="N250" s="101">
        <v>41365</v>
      </c>
      <c r="P250" t="s">
        <v>3686</v>
      </c>
      <c r="R250" s="73" t="s">
        <v>3687</v>
      </c>
      <c r="S250" t="s">
        <v>3688</v>
      </c>
      <c r="T250" t="s">
        <v>3689</v>
      </c>
      <c r="X250" t="s">
        <v>2914</v>
      </c>
    </row>
    <row r="251" spans="1:24" ht="16" customHeight="1" x14ac:dyDescent="0.6">
      <c r="A251" t="s">
        <v>3690</v>
      </c>
      <c r="B251" t="s">
        <v>17</v>
      </c>
      <c r="C251" t="s">
        <v>2986</v>
      </c>
      <c r="E251" t="s">
        <v>2917</v>
      </c>
      <c r="F251">
        <v>3054722</v>
      </c>
      <c r="G251" t="s">
        <v>3691</v>
      </c>
      <c r="H251">
        <v>938197698</v>
      </c>
      <c r="I251">
        <v>100</v>
      </c>
      <c r="J251" s="98">
        <v>1</v>
      </c>
      <c r="K251" s="79">
        <v>46125.875</v>
      </c>
      <c r="M251" t="s">
        <v>2910</v>
      </c>
      <c r="N251" s="101">
        <v>41365</v>
      </c>
      <c r="O251" s="75">
        <v>0.94444444444444442</v>
      </c>
      <c r="P251" t="s">
        <v>3692</v>
      </c>
      <c r="Q251" t="s">
        <v>1356</v>
      </c>
      <c r="R251" t="s">
        <v>3693</v>
      </c>
      <c r="S251" t="s">
        <v>1868</v>
      </c>
      <c r="T251" t="s">
        <v>3694</v>
      </c>
      <c r="V251" t="s">
        <v>2965</v>
      </c>
      <c r="X251" t="s">
        <v>2914</v>
      </c>
    </row>
    <row r="252" spans="1:24" ht="16" customHeight="1" x14ac:dyDescent="0.6">
      <c r="A252" t="s">
        <v>3695</v>
      </c>
      <c r="B252" t="s">
        <v>17</v>
      </c>
      <c r="C252" t="s">
        <v>3372</v>
      </c>
      <c r="E252" t="s">
        <v>2917</v>
      </c>
      <c r="F252">
        <v>3130980</v>
      </c>
      <c r="H252">
        <v>334527926</v>
      </c>
      <c r="I252">
        <v>300</v>
      </c>
      <c r="J252" s="98">
        <v>1</v>
      </c>
      <c r="K252" s="79">
        <v>46125.791666666664</v>
      </c>
      <c r="M252" t="s">
        <v>2955</v>
      </c>
      <c r="X252" t="s">
        <v>2914</v>
      </c>
    </row>
    <row r="253" spans="1:24" ht="16" customHeight="1" x14ac:dyDescent="0.6">
      <c r="A253" t="s">
        <v>3696</v>
      </c>
      <c r="B253" t="s">
        <v>17</v>
      </c>
      <c r="C253" t="s">
        <v>3221</v>
      </c>
      <c r="E253" t="s">
        <v>2917</v>
      </c>
      <c r="F253">
        <v>3151831</v>
      </c>
      <c r="H253">
        <v>908404630</v>
      </c>
      <c r="I253">
        <v>100</v>
      </c>
      <c r="J253" s="98">
        <v>0.75</v>
      </c>
      <c r="K253" s="79">
        <v>46125.75</v>
      </c>
      <c r="L253" t="s">
        <v>3697</v>
      </c>
      <c r="M253" t="s">
        <v>2910</v>
      </c>
      <c r="N253" s="101">
        <v>41365</v>
      </c>
      <c r="P253" t="s">
        <v>3698</v>
      </c>
      <c r="Q253" t="s">
        <v>1356</v>
      </c>
      <c r="R253" t="s">
        <v>3699</v>
      </c>
      <c r="S253" t="s">
        <v>1868</v>
      </c>
      <c r="T253" t="s">
        <v>3700</v>
      </c>
      <c r="V253" t="s">
        <v>2965</v>
      </c>
      <c r="X253" t="s">
        <v>2914</v>
      </c>
    </row>
    <row r="254" spans="1:24" ht="16" customHeight="1" x14ac:dyDescent="0.6">
      <c r="A254" t="s">
        <v>3701</v>
      </c>
      <c r="B254" t="s">
        <v>17</v>
      </c>
      <c r="C254" t="s">
        <v>2976</v>
      </c>
      <c r="E254" t="s">
        <v>2917</v>
      </c>
      <c r="F254">
        <v>1871696</v>
      </c>
      <c r="H254">
        <v>774688086</v>
      </c>
      <c r="I254">
        <v>100</v>
      </c>
      <c r="J254" t="s">
        <v>2919</v>
      </c>
      <c r="K254" s="79">
        <v>46123.9375</v>
      </c>
      <c r="L254" t="s">
        <v>3702</v>
      </c>
      <c r="M254" t="s">
        <v>2910</v>
      </c>
      <c r="N254" s="101">
        <v>41365</v>
      </c>
      <c r="Q254" t="s">
        <v>967</v>
      </c>
      <c r="R254" t="s">
        <v>3703</v>
      </c>
      <c r="S254" t="s">
        <v>3704</v>
      </c>
      <c r="T254" t="s">
        <v>3705</v>
      </c>
      <c r="V254" t="s">
        <v>2965</v>
      </c>
      <c r="X254" t="s">
        <v>2914</v>
      </c>
    </row>
    <row r="255" spans="1:24" ht="16" customHeight="1" x14ac:dyDescent="0.6">
      <c r="A255" t="s">
        <v>3706</v>
      </c>
      <c r="B255" t="s">
        <v>17</v>
      </c>
      <c r="C255" t="s">
        <v>3093</v>
      </c>
      <c r="E255" t="s">
        <v>2930</v>
      </c>
      <c r="F255">
        <v>1872928</v>
      </c>
      <c r="H255">
        <v>344176032</v>
      </c>
      <c r="I255">
        <v>300</v>
      </c>
      <c r="J255" t="s">
        <v>2919</v>
      </c>
      <c r="K255" s="79">
        <v>46125.875</v>
      </c>
      <c r="L255" t="s">
        <v>3707</v>
      </c>
      <c r="M255" t="s">
        <v>2910</v>
      </c>
      <c r="N255" s="101">
        <v>41365</v>
      </c>
      <c r="O255" s="75">
        <v>0.91666666666666663</v>
      </c>
      <c r="P255" t="s">
        <v>3708</v>
      </c>
      <c r="Q255" t="s">
        <v>1356</v>
      </c>
      <c r="R255" t="s">
        <v>3452</v>
      </c>
      <c r="S255" t="s">
        <v>1868</v>
      </c>
      <c r="T255" t="s">
        <v>3453</v>
      </c>
      <c r="V255" t="s">
        <v>2965</v>
      </c>
      <c r="X255" t="s">
        <v>2914</v>
      </c>
    </row>
    <row r="256" spans="1:24" ht="16" customHeight="1" x14ac:dyDescent="0.6">
      <c r="A256" t="s">
        <v>3709</v>
      </c>
      <c r="B256" t="s">
        <v>17</v>
      </c>
      <c r="C256" t="s">
        <v>2957</v>
      </c>
      <c r="E256" t="s">
        <v>2909</v>
      </c>
      <c r="F256">
        <v>1802852</v>
      </c>
      <c r="H256">
        <v>974607460</v>
      </c>
      <c r="I256">
        <v>100</v>
      </c>
      <c r="J256" s="98">
        <v>0.75</v>
      </c>
      <c r="K256" s="79">
        <v>46125.875</v>
      </c>
      <c r="M256" t="s">
        <v>2910</v>
      </c>
      <c r="N256" s="101">
        <v>41365</v>
      </c>
      <c r="P256" t="s">
        <v>3710</v>
      </c>
      <c r="Q256" t="s">
        <v>967</v>
      </c>
      <c r="R256" t="s">
        <v>3711</v>
      </c>
      <c r="S256" t="s">
        <v>1868</v>
      </c>
      <c r="T256" t="s">
        <v>3461</v>
      </c>
      <c r="V256" t="s">
        <v>202</v>
      </c>
      <c r="X256" t="s">
        <v>2914</v>
      </c>
    </row>
    <row r="257" spans="1:24" ht="16" customHeight="1" x14ac:dyDescent="0.6">
      <c r="A257" t="s">
        <v>3712</v>
      </c>
      <c r="B257" t="s">
        <v>17</v>
      </c>
      <c r="C257" t="s">
        <v>2994</v>
      </c>
      <c r="E257" t="s">
        <v>2909</v>
      </c>
      <c r="F257">
        <v>2033804</v>
      </c>
      <c r="H257">
        <v>396799427</v>
      </c>
      <c r="I257">
        <v>100</v>
      </c>
      <c r="J257" s="98">
        <v>1</v>
      </c>
      <c r="K257" s="79">
        <v>46125.895833333336</v>
      </c>
      <c r="M257" t="s">
        <v>2910</v>
      </c>
      <c r="N257" s="101">
        <v>41365</v>
      </c>
      <c r="P257" t="s">
        <v>3713</v>
      </c>
      <c r="Q257" t="s">
        <v>967</v>
      </c>
      <c r="R257" t="s">
        <v>3073</v>
      </c>
      <c r="S257" t="s">
        <v>1868</v>
      </c>
      <c r="T257" t="s">
        <v>3592</v>
      </c>
      <c r="V257" t="s">
        <v>202</v>
      </c>
      <c r="X257" t="s">
        <v>2914</v>
      </c>
    </row>
    <row r="258" spans="1:24" ht="16" customHeight="1" x14ac:dyDescent="0.6">
      <c r="A258" t="s">
        <v>3714</v>
      </c>
      <c r="B258" t="s">
        <v>17</v>
      </c>
      <c r="C258" t="s">
        <v>3093</v>
      </c>
      <c r="E258" t="s">
        <v>2930</v>
      </c>
      <c r="F258">
        <v>1872928</v>
      </c>
      <c r="H258">
        <v>344176032</v>
      </c>
      <c r="I258">
        <v>300</v>
      </c>
      <c r="J258" t="s">
        <v>2919</v>
      </c>
      <c r="K258" s="79">
        <v>46125.916666666664</v>
      </c>
      <c r="M258" t="s">
        <v>2910</v>
      </c>
      <c r="N258" s="101">
        <v>41365</v>
      </c>
      <c r="P258" t="s">
        <v>3715</v>
      </c>
      <c r="Q258" t="s">
        <v>967</v>
      </c>
      <c r="R258" t="s">
        <v>3013</v>
      </c>
      <c r="S258" t="s">
        <v>1868</v>
      </c>
      <c r="T258" t="s">
        <v>3309</v>
      </c>
      <c r="V258" t="s">
        <v>2965</v>
      </c>
      <c r="X258" t="s">
        <v>2914</v>
      </c>
    </row>
    <row r="259" spans="1:24" ht="16" customHeight="1" x14ac:dyDescent="0.6">
      <c r="A259" t="s">
        <v>3716</v>
      </c>
      <c r="B259" t="s">
        <v>17</v>
      </c>
      <c r="C259" t="s">
        <v>3247</v>
      </c>
      <c r="E259" t="s">
        <v>2917</v>
      </c>
      <c r="F259">
        <v>3127246</v>
      </c>
      <c r="H259">
        <v>385161509</v>
      </c>
      <c r="I259">
        <v>200</v>
      </c>
      <c r="J259" s="98">
        <v>1</v>
      </c>
      <c r="K259" s="79">
        <v>46125.916666666664</v>
      </c>
      <c r="M259" t="s">
        <v>2910</v>
      </c>
      <c r="N259" s="101">
        <v>41365</v>
      </c>
      <c r="P259" t="s">
        <v>3717</v>
      </c>
      <c r="Q259" t="s">
        <v>967</v>
      </c>
      <c r="R259" t="s">
        <v>3575</v>
      </c>
      <c r="S259" t="s">
        <v>1868</v>
      </c>
      <c r="T259" t="s">
        <v>2933</v>
      </c>
      <c r="V259" t="s">
        <v>2965</v>
      </c>
      <c r="X259" t="s">
        <v>2914</v>
      </c>
    </row>
    <row r="260" spans="1:24" ht="16" customHeight="1" x14ac:dyDescent="0.6">
      <c r="A260" t="s">
        <v>3718</v>
      </c>
      <c r="B260" t="s">
        <v>17</v>
      </c>
      <c r="C260" t="s">
        <v>3719</v>
      </c>
      <c r="E260" t="s">
        <v>2930</v>
      </c>
      <c r="F260">
        <v>3131686</v>
      </c>
      <c r="G260" t="s">
        <v>3720</v>
      </c>
      <c r="H260">
        <v>985077421</v>
      </c>
      <c r="I260">
        <v>100</v>
      </c>
      <c r="J260" s="98">
        <v>1</v>
      </c>
      <c r="K260" s="79">
        <v>46125.875</v>
      </c>
      <c r="M260" t="s">
        <v>2910</v>
      </c>
      <c r="N260" s="101">
        <v>41365</v>
      </c>
      <c r="P260" t="s">
        <v>3721</v>
      </c>
      <c r="Q260" t="s">
        <v>1356</v>
      </c>
      <c r="R260" t="s">
        <v>3722</v>
      </c>
      <c r="S260" t="s">
        <v>1868</v>
      </c>
      <c r="T260" t="s">
        <v>3723</v>
      </c>
      <c r="V260" t="s">
        <v>2965</v>
      </c>
      <c r="X260" t="s">
        <v>2914</v>
      </c>
    </row>
    <row r="261" spans="1:24" ht="16" customHeight="1" x14ac:dyDescent="0.6">
      <c r="A261" t="s">
        <v>3724</v>
      </c>
      <c r="B261" t="s">
        <v>17</v>
      </c>
      <c r="C261" t="s">
        <v>3311</v>
      </c>
      <c r="E261" t="s">
        <v>2930</v>
      </c>
      <c r="F261">
        <v>3044380</v>
      </c>
      <c r="G261" t="s">
        <v>3312</v>
      </c>
      <c r="H261">
        <v>794980050</v>
      </c>
      <c r="I261">
        <v>50</v>
      </c>
      <c r="J261" s="98">
        <v>1</v>
      </c>
      <c r="K261" s="79">
        <v>46125.854166666664</v>
      </c>
      <c r="M261" t="s">
        <v>2910</v>
      </c>
      <c r="N261" s="101">
        <v>41365</v>
      </c>
      <c r="P261" t="s">
        <v>3725</v>
      </c>
      <c r="Q261" t="s">
        <v>1356</v>
      </c>
      <c r="R261" t="s">
        <v>3281</v>
      </c>
      <c r="S261" t="s">
        <v>1868</v>
      </c>
      <c r="T261" t="s">
        <v>3726</v>
      </c>
      <c r="V261" t="s">
        <v>2965</v>
      </c>
      <c r="X261" t="s">
        <v>2914</v>
      </c>
    </row>
    <row r="262" spans="1:24" ht="16" customHeight="1" x14ac:dyDescent="0.6">
      <c r="A262" t="s">
        <v>3727</v>
      </c>
      <c r="B262" t="s">
        <v>17</v>
      </c>
      <c r="C262" t="s">
        <v>3547</v>
      </c>
      <c r="D262" t="s">
        <v>140</v>
      </c>
      <c r="E262" t="s">
        <v>2930</v>
      </c>
      <c r="F262">
        <v>3020591</v>
      </c>
      <c r="G262" t="s">
        <v>3728</v>
      </c>
      <c r="H262">
        <v>988544750</v>
      </c>
      <c r="I262">
        <v>50</v>
      </c>
      <c r="J262" s="98">
        <v>0.5</v>
      </c>
      <c r="K262" s="79">
        <v>46125.916666666664</v>
      </c>
      <c r="M262" t="s">
        <v>2910</v>
      </c>
      <c r="N262" s="101">
        <v>41365</v>
      </c>
      <c r="P262" t="s">
        <v>3725</v>
      </c>
      <c r="Q262" t="s">
        <v>1356</v>
      </c>
      <c r="R262" t="s">
        <v>3281</v>
      </c>
      <c r="S262" t="s">
        <v>1868</v>
      </c>
      <c r="T262" t="s">
        <v>3726</v>
      </c>
      <c r="V262" t="s">
        <v>2965</v>
      </c>
      <c r="X262" t="s">
        <v>2914</v>
      </c>
    </row>
    <row r="263" spans="1:24" ht="16" customHeight="1" x14ac:dyDescent="0.6">
      <c r="A263" t="s">
        <v>3729</v>
      </c>
      <c r="B263" t="s">
        <v>17</v>
      </c>
      <c r="C263" t="s">
        <v>2939</v>
      </c>
      <c r="E263" t="s">
        <v>2917</v>
      </c>
      <c r="F263">
        <v>3152551</v>
      </c>
      <c r="H263">
        <v>866782808</v>
      </c>
      <c r="I263">
        <v>100</v>
      </c>
      <c r="J263" s="98">
        <v>1</v>
      </c>
      <c r="K263" s="79">
        <v>46125.895833333336</v>
      </c>
      <c r="L263" t="s">
        <v>3050</v>
      </c>
      <c r="M263" t="s">
        <v>2910</v>
      </c>
      <c r="N263" s="101">
        <v>41365</v>
      </c>
      <c r="O263" s="75">
        <v>0.9375</v>
      </c>
      <c r="P263" t="s">
        <v>3730</v>
      </c>
      <c r="Q263" t="s">
        <v>1356</v>
      </c>
      <c r="R263" t="s">
        <v>3731</v>
      </c>
      <c r="S263" t="s">
        <v>1868</v>
      </c>
      <c r="T263" t="s">
        <v>3274</v>
      </c>
      <c r="V263" t="s">
        <v>2965</v>
      </c>
      <c r="X263" t="s">
        <v>2914</v>
      </c>
    </row>
    <row r="264" spans="1:24" ht="16" customHeight="1" x14ac:dyDescent="0.6">
      <c r="A264" t="s">
        <v>3732</v>
      </c>
      <c r="B264" t="s">
        <v>17</v>
      </c>
      <c r="C264" t="s">
        <v>3632</v>
      </c>
      <c r="E264" t="s">
        <v>2917</v>
      </c>
      <c r="F264">
        <v>3120684</v>
      </c>
      <c r="G264" t="s">
        <v>3733</v>
      </c>
      <c r="H264">
        <v>977886876</v>
      </c>
      <c r="I264">
        <v>100</v>
      </c>
      <c r="J264" s="98">
        <v>1</v>
      </c>
      <c r="K264" s="79">
        <v>46125.916666666664</v>
      </c>
      <c r="M264" t="s">
        <v>2910</v>
      </c>
      <c r="N264" s="101">
        <v>41365</v>
      </c>
      <c r="P264" t="s">
        <v>3734</v>
      </c>
      <c r="Q264" t="s">
        <v>1356</v>
      </c>
      <c r="R264" t="s">
        <v>2983</v>
      </c>
      <c r="S264" t="s">
        <v>1868</v>
      </c>
      <c r="T264" t="s">
        <v>3735</v>
      </c>
      <c r="V264" t="s">
        <v>2965</v>
      </c>
      <c r="X264" t="s">
        <v>2914</v>
      </c>
    </row>
    <row r="265" spans="1:24" ht="16" customHeight="1" x14ac:dyDescent="0.6">
      <c r="A265" t="s">
        <v>3736</v>
      </c>
      <c r="B265" t="s">
        <v>17</v>
      </c>
      <c r="C265" t="s">
        <v>2957</v>
      </c>
      <c r="E265" t="s">
        <v>2930</v>
      </c>
      <c r="F265">
        <v>1802852</v>
      </c>
      <c r="H265">
        <v>974607460</v>
      </c>
      <c r="I265">
        <v>100</v>
      </c>
      <c r="J265" s="98">
        <v>0.75</v>
      </c>
      <c r="K265" s="79">
        <v>46125.916666666664</v>
      </c>
      <c r="M265" t="s">
        <v>2910</v>
      </c>
      <c r="N265" s="101">
        <v>41365</v>
      </c>
      <c r="P265" t="s">
        <v>3737</v>
      </c>
      <c r="Q265" t="s">
        <v>967</v>
      </c>
      <c r="R265" t="s">
        <v>3304</v>
      </c>
      <c r="S265" t="s">
        <v>1868</v>
      </c>
      <c r="T265" t="s">
        <v>3305</v>
      </c>
      <c r="V265" t="s">
        <v>2965</v>
      </c>
      <c r="X265" t="s">
        <v>2914</v>
      </c>
    </row>
    <row r="266" spans="1:24" ht="16" customHeight="1" x14ac:dyDescent="0.6">
      <c r="A266" t="s">
        <v>3738</v>
      </c>
      <c r="B266" t="s">
        <v>17</v>
      </c>
      <c r="C266" t="s">
        <v>3011</v>
      </c>
      <c r="E266" t="s">
        <v>2930</v>
      </c>
      <c r="F266">
        <v>2041292</v>
      </c>
      <c r="H266">
        <v>908626193</v>
      </c>
      <c r="I266">
        <v>50</v>
      </c>
      <c r="J266" s="98">
        <v>0.5</v>
      </c>
      <c r="K266" s="79">
        <v>46125.875</v>
      </c>
      <c r="M266" t="s">
        <v>2910</v>
      </c>
      <c r="N266" s="101">
        <v>41365</v>
      </c>
      <c r="O266" s="75">
        <v>0.94791666666666663</v>
      </c>
      <c r="P266" t="s">
        <v>3739</v>
      </c>
      <c r="Q266" t="s">
        <v>1356</v>
      </c>
      <c r="R266" t="s">
        <v>3740</v>
      </c>
      <c r="S266" t="s">
        <v>1868</v>
      </c>
      <c r="T266" t="s">
        <v>3741</v>
      </c>
      <c r="V266" t="s">
        <v>2965</v>
      </c>
      <c r="X266" t="s">
        <v>2914</v>
      </c>
    </row>
    <row r="267" spans="1:24" ht="16" customHeight="1" x14ac:dyDescent="0.6">
      <c r="A267" t="s">
        <v>3742</v>
      </c>
      <c r="B267" t="s">
        <v>17</v>
      </c>
      <c r="C267" t="s">
        <v>3142</v>
      </c>
      <c r="E267" t="s">
        <v>2917</v>
      </c>
      <c r="F267">
        <v>1714094</v>
      </c>
      <c r="G267" t="s">
        <v>3143</v>
      </c>
      <c r="H267">
        <v>962790126</v>
      </c>
      <c r="I267">
        <v>100</v>
      </c>
      <c r="J267" s="98">
        <v>1</v>
      </c>
      <c r="K267" s="79">
        <v>46125.875</v>
      </c>
      <c r="M267" t="s">
        <v>2910</v>
      </c>
      <c r="N267" s="101">
        <v>41365</v>
      </c>
      <c r="P267" t="s">
        <v>3743</v>
      </c>
      <c r="Q267" t="s">
        <v>1356</v>
      </c>
      <c r="R267" t="s">
        <v>3002</v>
      </c>
      <c r="S267" t="s">
        <v>1868</v>
      </c>
      <c r="T267" t="s">
        <v>3596</v>
      </c>
      <c r="V267" t="s">
        <v>2965</v>
      </c>
      <c r="X267" t="s">
        <v>2914</v>
      </c>
    </row>
    <row r="268" spans="1:24" ht="16" customHeight="1" x14ac:dyDescent="0.6">
      <c r="A268" t="s">
        <v>3744</v>
      </c>
      <c r="B268" t="s">
        <v>17</v>
      </c>
      <c r="C268" t="s">
        <v>3022</v>
      </c>
      <c r="E268" t="s">
        <v>2930</v>
      </c>
      <c r="F268">
        <v>3135714</v>
      </c>
      <c r="G268" t="s">
        <v>3745</v>
      </c>
      <c r="H268">
        <v>333124453</v>
      </c>
      <c r="I268">
        <v>400</v>
      </c>
      <c r="J268" s="98">
        <v>1</v>
      </c>
      <c r="K268" s="79">
        <v>46125.875</v>
      </c>
      <c r="L268" t="s">
        <v>3746</v>
      </c>
      <c r="M268" t="s">
        <v>2910</v>
      </c>
      <c r="N268" s="101">
        <v>41365</v>
      </c>
      <c r="P268" t="s">
        <v>3747</v>
      </c>
      <c r="Q268" t="s">
        <v>1356</v>
      </c>
      <c r="R268" t="s">
        <v>3076</v>
      </c>
      <c r="S268" t="s">
        <v>1868</v>
      </c>
      <c r="T268" t="s">
        <v>3077</v>
      </c>
      <c r="V268" t="s">
        <v>2965</v>
      </c>
      <c r="X268" t="s">
        <v>2914</v>
      </c>
    </row>
    <row r="269" spans="1:24" ht="16" customHeight="1" x14ac:dyDescent="0.6">
      <c r="A269" t="s">
        <v>3748</v>
      </c>
      <c r="B269" t="s">
        <v>17</v>
      </c>
      <c r="C269" t="s">
        <v>3005</v>
      </c>
      <c r="E269" t="s">
        <v>2917</v>
      </c>
      <c r="F269">
        <v>3152949</v>
      </c>
      <c r="H269">
        <v>903892201</v>
      </c>
      <c r="I269">
        <v>30</v>
      </c>
      <c r="J269" s="98">
        <v>0.5</v>
      </c>
      <c r="K269" s="79">
        <v>46125.916666666664</v>
      </c>
      <c r="M269" t="s">
        <v>3029</v>
      </c>
      <c r="X269" t="s">
        <v>2914</v>
      </c>
    </row>
    <row r="270" spans="1:24" ht="16" customHeight="1" x14ac:dyDescent="0.6">
      <c r="A270" t="s">
        <v>3749</v>
      </c>
      <c r="B270" t="s">
        <v>17</v>
      </c>
      <c r="C270" t="s">
        <v>3036</v>
      </c>
      <c r="E270" t="s">
        <v>2917</v>
      </c>
      <c r="F270">
        <v>3146332</v>
      </c>
      <c r="H270">
        <v>973082002</v>
      </c>
      <c r="I270">
        <v>200</v>
      </c>
      <c r="J270" s="98">
        <v>1</v>
      </c>
      <c r="K270" s="79">
        <v>46125.958333333336</v>
      </c>
      <c r="M270" t="s">
        <v>2910</v>
      </c>
      <c r="N270" s="101">
        <v>41365</v>
      </c>
      <c r="O270" s="75">
        <v>0.9375</v>
      </c>
      <c r="P270" t="s">
        <v>3750</v>
      </c>
      <c r="Q270" t="s">
        <v>1356</v>
      </c>
      <c r="R270" t="s">
        <v>3751</v>
      </c>
      <c r="S270" t="s">
        <v>1868</v>
      </c>
      <c r="T270" t="s">
        <v>3752</v>
      </c>
      <c r="V270" t="s">
        <v>2965</v>
      </c>
      <c r="X270" t="s">
        <v>2914</v>
      </c>
    </row>
    <row r="271" spans="1:24" ht="16" customHeight="1" x14ac:dyDescent="0.6">
      <c r="A271" t="s">
        <v>3753</v>
      </c>
      <c r="B271" t="s">
        <v>17</v>
      </c>
      <c r="C271" t="s">
        <v>3217</v>
      </c>
      <c r="E271" t="s">
        <v>2917</v>
      </c>
      <c r="F271">
        <v>3162541</v>
      </c>
      <c r="H271">
        <v>848519679</v>
      </c>
      <c r="I271">
        <v>100</v>
      </c>
      <c r="J271" s="98">
        <v>1</v>
      </c>
      <c r="K271" s="79">
        <v>46125.895833333336</v>
      </c>
      <c r="M271" t="s">
        <v>2910</v>
      </c>
      <c r="N271" s="101">
        <v>41365</v>
      </c>
      <c r="P271" t="s">
        <v>3754</v>
      </c>
      <c r="Q271" t="s">
        <v>967</v>
      </c>
      <c r="R271" t="s">
        <v>3229</v>
      </c>
      <c r="S271" t="s">
        <v>1868</v>
      </c>
      <c r="T271" t="s">
        <v>3230</v>
      </c>
      <c r="V271" t="s">
        <v>2947</v>
      </c>
      <c r="X271" t="s">
        <v>2914</v>
      </c>
    </row>
    <row r="272" spans="1:24" ht="16" customHeight="1" x14ac:dyDescent="0.6">
      <c r="A272" t="s">
        <v>3755</v>
      </c>
      <c r="B272" t="s">
        <v>17</v>
      </c>
      <c r="C272" t="s">
        <v>3055</v>
      </c>
      <c r="E272" t="s">
        <v>2930</v>
      </c>
      <c r="F272">
        <v>3152447</v>
      </c>
      <c r="H272">
        <v>914595782</v>
      </c>
      <c r="I272">
        <v>30</v>
      </c>
      <c r="J272" s="98">
        <v>0.3</v>
      </c>
      <c r="K272" s="79">
        <v>46123.9375</v>
      </c>
      <c r="M272" t="s">
        <v>2910</v>
      </c>
      <c r="N272" s="101">
        <v>41365</v>
      </c>
      <c r="P272" t="s">
        <v>3756</v>
      </c>
      <c r="Q272" t="s">
        <v>967</v>
      </c>
      <c r="R272" t="s">
        <v>3025</v>
      </c>
      <c r="S272" t="s">
        <v>1868</v>
      </c>
      <c r="T272" t="s">
        <v>3026</v>
      </c>
      <c r="V272" t="s">
        <v>2965</v>
      </c>
      <c r="X272" t="s">
        <v>2914</v>
      </c>
    </row>
    <row r="273" spans="1:24" ht="16" customHeight="1" x14ac:dyDescent="0.6">
      <c r="A273" t="s">
        <v>3757</v>
      </c>
      <c r="B273" t="s">
        <v>17</v>
      </c>
      <c r="C273" t="s">
        <v>2994</v>
      </c>
      <c r="E273" t="s">
        <v>2930</v>
      </c>
      <c r="F273">
        <v>2033804</v>
      </c>
      <c r="H273">
        <v>396799427</v>
      </c>
      <c r="I273">
        <v>100</v>
      </c>
      <c r="J273" s="98">
        <v>1</v>
      </c>
      <c r="K273" s="79">
        <v>46125.916666666664</v>
      </c>
      <c r="M273" t="s">
        <v>2910</v>
      </c>
      <c r="N273" s="101">
        <v>41365</v>
      </c>
      <c r="P273" t="s">
        <v>3758</v>
      </c>
      <c r="Q273" t="s">
        <v>1356</v>
      </c>
      <c r="R273" t="s">
        <v>3759</v>
      </c>
      <c r="S273" t="s">
        <v>1868</v>
      </c>
      <c r="T273" t="s">
        <v>3610</v>
      </c>
      <c r="V273" t="s">
        <v>2965</v>
      </c>
      <c r="X273" t="s">
        <v>2914</v>
      </c>
    </row>
    <row r="274" spans="1:24" ht="16" customHeight="1" x14ac:dyDescent="0.6">
      <c r="A274" t="s">
        <v>3760</v>
      </c>
      <c r="B274" t="s">
        <v>17</v>
      </c>
      <c r="C274" t="s">
        <v>2935</v>
      </c>
      <c r="E274" t="s">
        <v>2917</v>
      </c>
      <c r="F274">
        <v>3138621</v>
      </c>
      <c r="H274">
        <v>983362477</v>
      </c>
      <c r="I274">
        <v>50</v>
      </c>
      <c r="J274" s="98">
        <v>0.5</v>
      </c>
      <c r="K274" s="79">
        <v>46125.916666666664</v>
      </c>
      <c r="M274" t="s">
        <v>2910</v>
      </c>
      <c r="N274" s="101">
        <v>41365</v>
      </c>
      <c r="P274" t="s">
        <v>3761</v>
      </c>
      <c r="Q274" t="s">
        <v>1356</v>
      </c>
      <c r="R274" t="s">
        <v>3762</v>
      </c>
      <c r="S274" t="s">
        <v>1868</v>
      </c>
      <c r="T274" t="s">
        <v>3763</v>
      </c>
      <c r="V274" t="s">
        <v>2965</v>
      </c>
      <c r="X274" t="s">
        <v>2914</v>
      </c>
    </row>
    <row r="275" spans="1:24" ht="16" customHeight="1" x14ac:dyDescent="0.6">
      <c r="A275" t="s">
        <v>3764</v>
      </c>
      <c r="B275" t="s">
        <v>17</v>
      </c>
      <c r="C275" t="s">
        <v>3765</v>
      </c>
      <c r="D275" t="s">
        <v>3766</v>
      </c>
      <c r="E275" t="s">
        <v>2917</v>
      </c>
      <c r="F275">
        <v>2045807</v>
      </c>
      <c r="G275" t="s">
        <v>3767</v>
      </c>
      <c r="H275">
        <v>974273992</v>
      </c>
      <c r="I275">
        <v>200</v>
      </c>
      <c r="J275" s="98">
        <v>1</v>
      </c>
      <c r="K275" s="79">
        <v>46125.916666666664</v>
      </c>
      <c r="M275" t="s">
        <v>2910</v>
      </c>
      <c r="N275" s="101">
        <v>41365</v>
      </c>
      <c r="P275" t="s">
        <v>3768</v>
      </c>
      <c r="Q275" t="s">
        <v>1356</v>
      </c>
      <c r="R275" t="s">
        <v>3769</v>
      </c>
      <c r="S275" t="s">
        <v>1868</v>
      </c>
      <c r="T275" t="s">
        <v>3770</v>
      </c>
      <c r="V275" t="s">
        <v>2965</v>
      </c>
      <c r="X275" t="s">
        <v>2914</v>
      </c>
    </row>
    <row r="276" spans="1:24" ht="16" customHeight="1" x14ac:dyDescent="0.6">
      <c r="A276" t="s">
        <v>3771</v>
      </c>
      <c r="B276" t="s">
        <v>17</v>
      </c>
      <c r="C276" t="s">
        <v>3049</v>
      </c>
      <c r="E276" t="s">
        <v>2909</v>
      </c>
      <c r="F276">
        <v>3121707</v>
      </c>
      <c r="H276">
        <v>931842110</v>
      </c>
      <c r="I276">
        <v>50</v>
      </c>
      <c r="J276" s="98">
        <v>1</v>
      </c>
      <c r="K276" s="79">
        <v>46125.895833333336</v>
      </c>
      <c r="L276" t="s">
        <v>3772</v>
      </c>
      <c r="M276" t="s">
        <v>2910</v>
      </c>
      <c r="N276" s="101">
        <v>41365</v>
      </c>
      <c r="P276" t="s">
        <v>3773</v>
      </c>
      <c r="Q276" t="s">
        <v>967</v>
      </c>
      <c r="R276" t="s">
        <v>3774</v>
      </c>
      <c r="S276" t="s">
        <v>1868</v>
      </c>
      <c r="T276" t="s">
        <v>3775</v>
      </c>
      <c r="V276" t="s">
        <v>202</v>
      </c>
      <c r="X276" t="s">
        <v>2914</v>
      </c>
    </row>
    <row r="277" spans="1:24" ht="16" customHeight="1" x14ac:dyDescent="0.6">
      <c r="A277" t="s">
        <v>3776</v>
      </c>
      <c r="B277" t="s">
        <v>17</v>
      </c>
      <c r="C277" t="s">
        <v>3049</v>
      </c>
      <c r="E277" t="s">
        <v>2930</v>
      </c>
      <c r="F277">
        <v>3121707</v>
      </c>
      <c r="H277">
        <v>931842110</v>
      </c>
      <c r="I277">
        <v>50</v>
      </c>
      <c r="J277" s="98">
        <v>1</v>
      </c>
      <c r="K277" s="79">
        <v>46125.895833333336</v>
      </c>
      <c r="L277" t="s">
        <v>3084</v>
      </c>
      <c r="M277" t="s">
        <v>2910</v>
      </c>
      <c r="N277" s="101">
        <v>41365</v>
      </c>
      <c r="P277" t="s">
        <v>3756</v>
      </c>
      <c r="Q277" t="s">
        <v>967</v>
      </c>
      <c r="R277" t="s">
        <v>3025</v>
      </c>
      <c r="S277" t="s">
        <v>1868</v>
      </c>
      <c r="T277" t="s">
        <v>3026</v>
      </c>
      <c r="V277" t="s">
        <v>2965</v>
      </c>
      <c r="X277" t="s">
        <v>2914</v>
      </c>
    </row>
    <row r="278" spans="1:24" ht="16" customHeight="1" x14ac:dyDescent="0.6">
      <c r="A278" t="s">
        <v>3777</v>
      </c>
      <c r="B278" t="s">
        <v>17</v>
      </c>
      <c r="C278" t="s">
        <v>3380</v>
      </c>
      <c r="E278" t="s">
        <v>2917</v>
      </c>
      <c r="F278">
        <v>257501</v>
      </c>
      <c r="G278" t="s">
        <v>3440</v>
      </c>
      <c r="H278">
        <v>906946474</v>
      </c>
      <c r="I278">
        <v>50</v>
      </c>
      <c r="J278" s="98">
        <v>1</v>
      </c>
      <c r="K278" s="79">
        <v>46125.916666666664</v>
      </c>
      <c r="L278" t="s">
        <v>3778</v>
      </c>
      <c r="M278" t="s">
        <v>2955</v>
      </c>
      <c r="X278" t="s">
        <v>2914</v>
      </c>
    </row>
    <row r="279" spans="1:24" ht="16" customHeight="1" x14ac:dyDescent="0.6">
      <c r="A279" t="s">
        <v>3779</v>
      </c>
      <c r="B279" t="s">
        <v>17</v>
      </c>
      <c r="C279" t="s">
        <v>2994</v>
      </c>
      <c r="E279" t="s">
        <v>2930</v>
      </c>
      <c r="F279">
        <v>2033804</v>
      </c>
      <c r="H279">
        <v>396799427</v>
      </c>
      <c r="I279">
        <v>100</v>
      </c>
      <c r="J279" s="98">
        <v>1</v>
      </c>
      <c r="K279" s="79">
        <v>46125.9375</v>
      </c>
      <c r="M279" t="s">
        <v>2910</v>
      </c>
      <c r="N279" s="101">
        <v>41365</v>
      </c>
      <c r="P279" t="s">
        <v>3780</v>
      </c>
      <c r="Q279" t="s">
        <v>967</v>
      </c>
      <c r="R279" t="s">
        <v>3781</v>
      </c>
      <c r="S279" t="s">
        <v>1868</v>
      </c>
      <c r="T279" t="s">
        <v>3782</v>
      </c>
      <c r="V279" t="s">
        <v>2965</v>
      </c>
      <c r="X279" t="s">
        <v>2914</v>
      </c>
    </row>
    <row r="280" spans="1:24" ht="16" customHeight="1" x14ac:dyDescent="0.6">
      <c r="A280" t="s">
        <v>3783</v>
      </c>
      <c r="B280" t="s">
        <v>17</v>
      </c>
      <c r="C280" t="s">
        <v>3242</v>
      </c>
      <c r="E280" t="s">
        <v>2930</v>
      </c>
      <c r="F280">
        <v>3139139</v>
      </c>
      <c r="H280">
        <v>977705672</v>
      </c>
      <c r="I280">
        <v>100</v>
      </c>
      <c r="J280" s="98">
        <v>1</v>
      </c>
      <c r="K280" s="79">
        <v>46125.916666666664</v>
      </c>
      <c r="M280" t="s">
        <v>2910</v>
      </c>
      <c r="N280" s="101">
        <v>41365</v>
      </c>
      <c r="P280" t="s">
        <v>3784</v>
      </c>
      <c r="Q280" t="s">
        <v>1356</v>
      </c>
      <c r="R280" t="s">
        <v>3785</v>
      </c>
      <c r="S280" t="s">
        <v>1868</v>
      </c>
      <c r="T280" t="s">
        <v>3786</v>
      </c>
      <c r="V280" t="s">
        <v>2965</v>
      </c>
      <c r="X280" t="s">
        <v>2914</v>
      </c>
    </row>
    <row r="281" spans="1:24" ht="16" customHeight="1" x14ac:dyDescent="0.6">
      <c r="A281" t="s">
        <v>3787</v>
      </c>
      <c r="B281" t="s">
        <v>17</v>
      </c>
      <c r="C281" t="s">
        <v>3380</v>
      </c>
      <c r="E281" t="s">
        <v>2917</v>
      </c>
      <c r="F281">
        <v>3106634</v>
      </c>
      <c r="H281">
        <v>908377969</v>
      </c>
      <c r="I281">
        <v>50</v>
      </c>
      <c r="J281" s="98">
        <v>0.75</v>
      </c>
      <c r="K281" s="79">
        <v>46125.916666666664</v>
      </c>
      <c r="M281" t="s">
        <v>2955</v>
      </c>
      <c r="X281" t="s">
        <v>2914</v>
      </c>
    </row>
    <row r="282" spans="1:24" ht="16" customHeight="1" x14ac:dyDescent="0.6">
      <c r="A282" t="s">
        <v>3788</v>
      </c>
      <c r="B282" t="s">
        <v>17</v>
      </c>
      <c r="C282" t="s">
        <v>3041</v>
      </c>
      <c r="E282" t="s">
        <v>2930</v>
      </c>
      <c r="F282">
        <v>3132927</v>
      </c>
      <c r="H282">
        <v>367129993</v>
      </c>
      <c r="I282">
        <v>15</v>
      </c>
      <c r="J282" s="98">
        <v>0.3</v>
      </c>
      <c r="K282" s="79">
        <v>46126.208333333336</v>
      </c>
      <c r="M282" t="s">
        <v>2910</v>
      </c>
      <c r="N282" s="101">
        <v>41730</v>
      </c>
      <c r="O282" s="75">
        <v>0.16666666666666666</v>
      </c>
      <c r="P282" t="s">
        <v>3789</v>
      </c>
      <c r="Q282" t="s">
        <v>967</v>
      </c>
      <c r="R282" t="s">
        <v>464</v>
      </c>
      <c r="S282" t="s">
        <v>1868</v>
      </c>
      <c r="T282" t="s">
        <v>3666</v>
      </c>
      <c r="V282" t="s">
        <v>2965</v>
      </c>
      <c r="X282" t="s">
        <v>2914</v>
      </c>
    </row>
    <row r="283" spans="1:24" ht="16" customHeight="1" x14ac:dyDescent="0.6">
      <c r="A283" t="s">
        <v>3790</v>
      </c>
      <c r="B283" t="s">
        <v>17</v>
      </c>
      <c r="C283" t="s">
        <v>2908</v>
      </c>
      <c r="E283" t="s">
        <v>2930</v>
      </c>
      <c r="F283">
        <v>3142038</v>
      </c>
      <c r="H283">
        <v>949288266</v>
      </c>
      <c r="I283">
        <v>80</v>
      </c>
      <c r="J283" s="98">
        <v>1</v>
      </c>
      <c r="K283" s="79">
        <v>46125.916666666664</v>
      </c>
      <c r="M283" t="s">
        <v>3029</v>
      </c>
      <c r="X283" t="s">
        <v>2914</v>
      </c>
    </row>
    <row r="284" spans="1:24" ht="16" customHeight="1" x14ac:dyDescent="0.6">
      <c r="A284" t="s">
        <v>3791</v>
      </c>
      <c r="B284" t="s">
        <v>17</v>
      </c>
      <c r="C284" t="s">
        <v>2908</v>
      </c>
      <c r="E284" t="s">
        <v>2917</v>
      </c>
      <c r="F284">
        <v>3142038</v>
      </c>
      <c r="G284" t="s">
        <v>3792</v>
      </c>
      <c r="H284">
        <v>949288266</v>
      </c>
      <c r="I284">
        <v>80</v>
      </c>
      <c r="J284" s="98">
        <v>0.75</v>
      </c>
      <c r="K284" s="79">
        <v>46126.1875</v>
      </c>
      <c r="M284" t="s">
        <v>2910</v>
      </c>
      <c r="N284" s="101">
        <v>41730</v>
      </c>
      <c r="O284" s="75">
        <v>0.20833333333333334</v>
      </c>
      <c r="P284" t="s">
        <v>3793</v>
      </c>
      <c r="Q284" t="s">
        <v>3364</v>
      </c>
      <c r="R284" t="s">
        <v>2912</v>
      </c>
      <c r="S284" t="s">
        <v>1868</v>
      </c>
      <c r="T284" t="s">
        <v>3794</v>
      </c>
      <c r="X284" t="s">
        <v>2914</v>
      </c>
    </row>
    <row r="285" spans="1:24" ht="16" customHeight="1" x14ac:dyDescent="0.6">
      <c r="A285" t="s">
        <v>3795</v>
      </c>
      <c r="B285" t="s">
        <v>17</v>
      </c>
      <c r="C285" t="s">
        <v>3632</v>
      </c>
      <c r="E285" t="s">
        <v>2909</v>
      </c>
      <c r="F285">
        <v>3120684</v>
      </c>
      <c r="G285" t="s">
        <v>3733</v>
      </c>
      <c r="H285">
        <v>977886876</v>
      </c>
      <c r="I285">
        <v>100</v>
      </c>
      <c r="J285" s="98">
        <v>1</v>
      </c>
      <c r="K285" s="79">
        <v>46126.208333333336</v>
      </c>
      <c r="M285" t="s">
        <v>2910</v>
      </c>
      <c r="N285" s="101">
        <v>41730</v>
      </c>
      <c r="O285" s="75">
        <v>0.20833333333333334</v>
      </c>
      <c r="P285" t="s">
        <v>3796</v>
      </c>
      <c r="Q285" t="s">
        <v>967</v>
      </c>
      <c r="R285" t="s">
        <v>3637</v>
      </c>
      <c r="S285" t="s">
        <v>1868</v>
      </c>
      <c r="T285" t="s">
        <v>3638</v>
      </c>
      <c r="V285" t="s">
        <v>202</v>
      </c>
      <c r="X285" t="s">
        <v>2914</v>
      </c>
    </row>
    <row r="286" spans="1:24" ht="16" customHeight="1" x14ac:dyDescent="0.6">
      <c r="A286" t="s">
        <v>3797</v>
      </c>
      <c r="B286" t="s">
        <v>17</v>
      </c>
      <c r="C286" t="s">
        <v>3066</v>
      </c>
      <c r="E286" t="s">
        <v>2930</v>
      </c>
      <c r="F286">
        <v>3139780</v>
      </c>
      <c r="H286">
        <v>979532214</v>
      </c>
      <c r="I286">
        <v>9</v>
      </c>
      <c r="J286" s="98">
        <v>0.75</v>
      </c>
      <c r="K286" s="79">
        <v>46126.229166666664</v>
      </c>
      <c r="M286" t="s">
        <v>2910</v>
      </c>
      <c r="N286" s="101">
        <v>41730</v>
      </c>
      <c r="O286" s="75">
        <v>0.20833333333333334</v>
      </c>
      <c r="P286" t="s">
        <v>3798</v>
      </c>
      <c r="Q286" t="s">
        <v>967</v>
      </c>
      <c r="R286" t="s">
        <v>3068</v>
      </c>
      <c r="S286" t="s">
        <v>1868</v>
      </c>
      <c r="T286" t="s">
        <v>3799</v>
      </c>
      <c r="V286" t="s">
        <v>2965</v>
      </c>
      <c r="X286" t="s">
        <v>2914</v>
      </c>
    </row>
    <row r="287" spans="1:24" ht="16" customHeight="1" x14ac:dyDescent="0.6">
      <c r="A287" t="s">
        <v>3800</v>
      </c>
      <c r="B287" t="s">
        <v>17</v>
      </c>
      <c r="C287" t="s">
        <v>3047</v>
      </c>
      <c r="E287" t="s">
        <v>2917</v>
      </c>
      <c r="F287">
        <v>3164737</v>
      </c>
      <c r="H287">
        <v>328559865</v>
      </c>
      <c r="I287">
        <v>20</v>
      </c>
      <c r="J287" s="98">
        <v>0.5</v>
      </c>
      <c r="K287" s="79">
        <v>46126.208333333336</v>
      </c>
      <c r="M287" t="s">
        <v>2910</v>
      </c>
      <c r="N287" s="101">
        <v>41730</v>
      </c>
      <c r="O287" s="75">
        <v>0.20833333333333334</v>
      </c>
      <c r="P287" t="s">
        <v>3801</v>
      </c>
      <c r="Q287" t="s">
        <v>967</v>
      </c>
      <c r="R287" t="s">
        <v>3112</v>
      </c>
      <c r="S287" t="s">
        <v>1868</v>
      </c>
      <c r="T287" t="s">
        <v>3802</v>
      </c>
      <c r="X287" t="s">
        <v>2914</v>
      </c>
    </row>
    <row r="288" spans="1:24" ht="16" customHeight="1" x14ac:dyDescent="0.6">
      <c r="A288" t="s">
        <v>3803</v>
      </c>
      <c r="B288" t="s">
        <v>17</v>
      </c>
      <c r="C288" t="s">
        <v>3036</v>
      </c>
      <c r="E288" t="s">
        <v>2917</v>
      </c>
      <c r="F288">
        <v>3146332</v>
      </c>
      <c r="H288">
        <v>973082002</v>
      </c>
      <c r="I288">
        <v>80</v>
      </c>
      <c r="J288" s="98">
        <v>0.75</v>
      </c>
      <c r="K288" s="79">
        <v>46126.208333333336</v>
      </c>
      <c r="M288" t="s">
        <v>2910</v>
      </c>
      <c r="N288" s="101">
        <v>41730</v>
      </c>
      <c r="O288" s="75">
        <v>0.20833333333333334</v>
      </c>
      <c r="P288" t="s">
        <v>3804</v>
      </c>
      <c r="Q288" t="s">
        <v>967</v>
      </c>
      <c r="X288" t="s">
        <v>2914</v>
      </c>
    </row>
    <row r="289" spans="1:24" ht="16" customHeight="1" x14ac:dyDescent="0.6">
      <c r="A289" t="s">
        <v>3805</v>
      </c>
      <c r="B289" t="s">
        <v>17</v>
      </c>
      <c r="C289" t="s">
        <v>3601</v>
      </c>
      <c r="E289" t="s">
        <v>2930</v>
      </c>
      <c r="F289">
        <v>1882650</v>
      </c>
      <c r="H289">
        <v>775748473</v>
      </c>
      <c r="I289">
        <v>40</v>
      </c>
      <c r="J289" s="98">
        <v>1</v>
      </c>
      <c r="K289" s="79">
        <v>46126.208333333336</v>
      </c>
      <c r="M289" t="s">
        <v>2910</v>
      </c>
      <c r="N289" s="101">
        <v>41730</v>
      </c>
      <c r="O289" s="75">
        <v>0.20833333333333334</v>
      </c>
      <c r="P289" t="s">
        <v>3806</v>
      </c>
      <c r="Q289" t="s">
        <v>967</v>
      </c>
      <c r="R289" t="s">
        <v>3224</v>
      </c>
      <c r="S289" t="s">
        <v>1868</v>
      </c>
      <c r="T289" t="s">
        <v>3807</v>
      </c>
      <c r="V289" t="s">
        <v>2965</v>
      </c>
      <c r="X289" t="s">
        <v>2914</v>
      </c>
    </row>
    <row r="290" spans="1:24" ht="16" customHeight="1" x14ac:dyDescent="0.6">
      <c r="A290" t="s">
        <v>3808</v>
      </c>
      <c r="B290" t="s">
        <v>17</v>
      </c>
      <c r="C290" t="s">
        <v>3809</v>
      </c>
      <c r="E290" t="s">
        <v>2917</v>
      </c>
      <c r="F290">
        <v>1884115</v>
      </c>
      <c r="H290">
        <v>971578282</v>
      </c>
      <c r="I290">
        <v>30</v>
      </c>
      <c r="J290" s="98">
        <v>0.5</v>
      </c>
      <c r="K290" s="79">
        <v>46126.5</v>
      </c>
      <c r="M290" t="s">
        <v>2910</v>
      </c>
      <c r="N290" s="101">
        <v>41730</v>
      </c>
      <c r="P290" t="s">
        <v>3810</v>
      </c>
      <c r="X290" t="s">
        <v>2914</v>
      </c>
    </row>
    <row r="291" spans="1:24" ht="16" customHeight="1" x14ac:dyDescent="0.6">
      <c r="A291" t="s">
        <v>3811</v>
      </c>
      <c r="B291" t="s">
        <v>17</v>
      </c>
      <c r="C291" t="s">
        <v>2976</v>
      </c>
      <c r="E291" t="s">
        <v>2917</v>
      </c>
      <c r="F291">
        <v>1871696</v>
      </c>
      <c r="H291">
        <v>774688086</v>
      </c>
      <c r="I291">
        <v>100</v>
      </c>
      <c r="J291" t="s">
        <v>2919</v>
      </c>
      <c r="K291" s="79">
        <v>46126.208333333336</v>
      </c>
      <c r="M291" t="s">
        <v>2910</v>
      </c>
      <c r="N291" s="101">
        <v>41730</v>
      </c>
      <c r="O291" s="75">
        <v>0.20833333333333334</v>
      </c>
      <c r="P291" t="s">
        <v>3812</v>
      </c>
      <c r="Q291" t="s">
        <v>967</v>
      </c>
      <c r="R291" t="s">
        <v>3813</v>
      </c>
      <c r="S291" t="s">
        <v>1868</v>
      </c>
      <c r="T291" t="s">
        <v>3814</v>
      </c>
      <c r="V291" t="s">
        <v>202</v>
      </c>
      <c r="X291" t="s">
        <v>2914</v>
      </c>
    </row>
    <row r="292" spans="1:24" ht="16" customHeight="1" x14ac:dyDescent="0.6">
      <c r="A292" t="s">
        <v>3815</v>
      </c>
      <c r="B292" t="s">
        <v>17</v>
      </c>
      <c r="C292" t="s">
        <v>3005</v>
      </c>
      <c r="E292" t="s">
        <v>2917</v>
      </c>
      <c r="F292">
        <v>3122228</v>
      </c>
      <c r="H292">
        <v>376123717</v>
      </c>
      <c r="I292">
        <v>30</v>
      </c>
      <c r="J292" s="98">
        <v>0.3</v>
      </c>
      <c r="K292" s="79">
        <v>46126.208333333336</v>
      </c>
      <c r="M292" t="s">
        <v>3029</v>
      </c>
      <c r="X292" t="s">
        <v>2914</v>
      </c>
    </row>
    <row r="293" spans="1:24" ht="16" customHeight="1" x14ac:dyDescent="0.6">
      <c r="A293" t="s">
        <v>3816</v>
      </c>
      <c r="B293" t="s">
        <v>17</v>
      </c>
      <c r="C293" t="s">
        <v>3005</v>
      </c>
      <c r="E293" t="s">
        <v>2917</v>
      </c>
      <c r="F293">
        <v>3152949</v>
      </c>
      <c r="H293">
        <v>903892201</v>
      </c>
      <c r="I293">
        <v>30</v>
      </c>
      <c r="J293" s="98">
        <v>0.3</v>
      </c>
      <c r="K293" s="79">
        <v>46126.416666666664</v>
      </c>
      <c r="M293" t="s">
        <v>3029</v>
      </c>
      <c r="X293" t="s">
        <v>2914</v>
      </c>
    </row>
    <row r="294" spans="1:24" ht="16" customHeight="1" x14ac:dyDescent="0.6">
      <c r="A294" t="s">
        <v>3817</v>
      </c>
      <c r="B294" t="s">
        <v>17</v>
      </c>
      <c r="C294" t="s">
        <v>3036</v>
      </c>
      <c r="E294" t="s">
        <v>2909</v>
      </c>
      <c r="F294">
        <v>3156430</v>
      </c>
      <c r="H294">
        <v>382049610</v>
      </c>
      <c r="I294">
        <v>50</v>
      </c>
      <c r="J294" s="98">
        <v>0.75</v>
      </c>
      <c r="K294" s="79">
        <v>46126.333333333336</v>
      </c>
      <c r="M294" t="s">
        <v>3029</v>
      </c>
      <c r="X294" t="s">
        <v>2914</v>
      </c>
    </row>
    <row r="295" spans="1:24" ht="16" customHeight="1" x14ac:dyDescent="0.6">
      <c r="A295" t="s">
        <v>3818</v>
      </c>
      <c r="B295" t="s">
        <v>17</v>
      </c>
      <c r="C295" t="s">
        <v>2976</v>
      </c>
      <c r="E295" t="s">
        <v>2917</v>
      </c>
      <c r="F295">
        <v>1871696</v>
      </c>
      <c r="H295">
        <v>774688086</v>
      </c>
      <c r="I295">
        <v>100</v>
      </c>
      <c r="J295" t="s">
        <v>2919</v>
      </c>
      <c r="K295" s="79">
        <v>46126.625</v>
      </c>
      <c r="L295" t="s">
        <v>3819</v>
      </c>
      <c r="M295" t="s">
        <v>3029</v>
      </c>
      <c r="X295" t="s">
        <v>2914</v>
      </c>
    </row>
    <row r="296" spans="1:24" ht="16" customHeight="1" x14ac:dyDescent="0.6">
      <c r="A296" t="s">
        <v>3820</v>
      </c>
      <c r="B296" t="s">
        <v>17</v>
      </c>
      <c r="C296" t="s">
        <v>3093</v>
      </c>
      <c r="E296" t="s">
        <v>2930</v>
      </c>
      <c r="F296">
        <v>1872928</v>
      </c>
      <c r="H296">
        <v>344176032</v>
      </c>
      <c r="I296">
        <v>100</v>
      </c>
      <c r="J296" s="98">
        <v>1</v>
      </c>
      <c r="K296" s="79">
        <v>46126.875</v>
      </c>
      <c r="M296" t="s">
        <v>2910</v>
      </c>
      <c r="N296" s="101">
        <v>41730</v>
      </c>
      <c r="O296" s="75">
        <v>0.94791666666666663</v>
      </c>
      <c r="P296" t="s">
        <v>3821</v>
      </c>
      <c r="Q296" t="s">
        <v>1356</v>
      </c>
      <c r="R296" t="s">
        <v>2951</v>
      </c>
      <c r="S296" t="s">
        <v>1868</v>
      </c>
      <c r="T296" t="s">
        <v>2952</v>
      </c>
      <c r="V296" t="s">
        <v>2965</v>
      </c>
      <c r="X296" t="s">
        <v>2914</v>
      </c>
    </row>
    <row r="297" spans="1:24" ht="16" customHeight="1" x14ac:dyDescent="0.6">
      <c r="A297" t="s">
        <v>3822</v>
      </c>
      <c r="B297" t="s">
        <v>17</v>
      </c>
      <c r="C297" t="s">
        <v>3179</v>
      </c>
      <c r="E297" t="s">
        <v>2930</v>
      </c>
      <c r="F297">
        <v>3149706</v>
      </c>
      <c r="G297" t="s">
        <v>3180</v>
      </c>
      <c r="H297">
        <v>706395955</v>
      </c>
      <c r="I297">
        <v>300</v>
      </c>
      <c r="J297" s="98">
        <v>1</v>
      </c>
      <c r="K297" s="79">
        <v>46126.666666666664</v>
      </c>
      <c r="M297" t="s">
        <v>2910</v>
      </c>
      <c r="N297" s="101">
        <v>41730</v>
      </c>
      <c r="O297" s="75">
        <v>0.75</v>
      </c>
      <c r="P297" t="s">
        <v>3823</v>
      </c>
      <c r="Q297" t="s">
        <v>967</v>
      </c>
      <c r="R297" t="s">
        <v>3824</v>
      </c>
      <c r="S297" t="s">
        <v>1868</v>
      </c>
      <c r="T297" t="s">
        <v>3825</v>
      </c>
      <c r="V297" t="s">
        <v>2965</v>
      </c>
      <c r="X297" t="s">
        <v>2914</v>
      </c>
    </row>
    <row r="298" spans="1:24" ht="16" customHeight="1" x14ac:dyDescent="0.6">
      <c r="A298" t="s">
        <v>3826</v>
      </c>
      <c r="B298" t="s">
        <v>17</v>
      </c>
      <c r="C298" t="s">
        <v>2916</v>
      </c>
      <c r="E298" t="s">
        <v>2917</v>
      </c>
      <c r="F298">
        <v>3070766</v>
      </c>
      <c r="G298" t="s">
        <v>3684</v>
      </c>
      <c r="H298">
        <v>376156434</v>
      </c>
      <c r="I298">
        <v>100</v>
      </c>
      <c r="J298" s="98">
        <v>1</v>
      </c>
      <c r="K298" s="79">
        <v>46126.916666666664</v>
      </c>
      <c r="M298" t="s">
        <v>2910</v>
      </c>
      <c r="N298" s="101">
        <v>41730</v>
      </c>
      <c r="O298" s="75">
        <v>0.94791666666666663</v>
      </c>
      <c r="P298" t="s">
        <v>3827</v>
      </c>
      <c r="Q298" t="s">
        <v>1356</v>
      </c>
      <c r="R298" t="s">
        <v>3076</v>
      </c>
      <c r="S298" t="s">
        <v>1868</v>
      </c>
      <c r="T298" t="s">
        <v>3077</v>
      </c>
      <c r="V298" t="s">
        <v>2965</v>
      </c>
      <c r="X298" t="s">
        <v>2914</v>
      </c>
    </row>
    <row r="299" spans="1:24" ht="16" customHeight="1" x14ac:dyDescent="0.6">
      <c r="A299" t="s">
        <v>3828</v>
      </c>
      <c r="B299" t="s">
        <v>17</v>
      </c>
      <c r="C299" t="s">
        <v>3093</v>
      </c>
      <c r="E299" t="s">
        <v>2930</v>
      </c>
      <c r="F299">
        <v>1872928</v>
      </c>
      <c r="H299">
        <v>344176032</v>
      </c>
      <c r="I299">
        <v>200</v>
      </c>
      <c r="J299" t="s">
        <v>2919</v>
      </c>
      <c r="K299" s="79">
        <v>46126.895833333336</v>
      </c>
      <c r="L299" t="s">
        <v>3829</v>
      </c>
      <c r="M299" t="s">
        <v>2910</v>
      </c>
      <c r="N299" s="101">
        <v>41730</v>
      </c>
      <c r="O299" s="75">
        <v>0.95833333333333337</v>
      </c>
      <c r="P299" t="s">
        <v>3830</v>
      </c>
      <c r="Q299" t="s">
        <v>1356</v>
      </c>
      <c r="R299" t="s">
        <v>3281</v>
      </c>
      <c r="S299" t="s">
        <v>1868</v>
      </c>
      <c r="T299" t="s">
        <v>3008</v>
      </c>
      <c r="V299" t="s">
        <v>2965</v>
      </c>
      <c r="X299" t="s">
        <v>2914</v>
      </c>
    </row>
    <row r="300" spans="1:24" ht="16" customHeight="1" x14ac:dyDescent="0.6">
      <c r="A300" t="s">
        <v>3831</v>
      </c>
      <c r="B300" t="s">
        <v>17</v>
      </c>
      <c r="C300" t="s">
        <v>2994</v>
      </c>
      <c r="E300" t="s">
        <v>2909</v>
      </c>
      <c r="F300">
        <v>2033804</v>
      </c>
      <c r="H300">
        <v>396799427</v>
      </c>
      <c r="I300">
        <v>100</v>
      </c>
      <c r="J300" s="98">
        <v>1</v>
      </c>
      <c r="K300" s="79">
        <v>46126.916666666664</v>
      </c>
      <c r="M300" t="s">
        <v>2910</v>
      </c>
      <c r="N300" s="101">
        <v>41730</v>
      </c>
      <c r="P300" t="s">
        <v>3832</v>
      </c>
      <c r="Q300" t="s">
        <v>967</v>
      </c>
      <c r="R300" t="s">
        <v>2996</v>
      </c>
      <c r="S300" t="s">
        <v>1868</v>
      </c>
      <c r="T300" t="s">
        <v>2997</v>
      </c>
      <c r="V300" t="s">
        <v>202</v>
      </c>
      <c r="X300" t="s">
        <v>2914</v>
      </c>
    </row>
    <row r="301" spans="1:24" ht="16" customHeight="1" x14ac:dyDescent="0.6">
      <c r="A301" t="s">
        <v>3833</v>
      </c>
      <c r="B301" t="s">
        <v>17</v>
      </c>
      <c r="C301" t="s">
        <v>3055</v>
      </c>
      <c r="E301" t="s">
        <v>2930</v>
      </c>
      <c r="F301">
        <v>3166023</v>
      </c>
      <c r="H301">
        <v>707311202</v>
      </c>
      <c r="I301">
        <v>30</v>
      </c>
      <c r="J301" s="98">
        <v>0.3</v>
      </c>
      <c r="K301" s="79">
        <v>46126.9375</v>
      </c>
      <c r="M301" t="s">
        <v>2910</v>
      </c>
      <c r="N301" s="101">
        <v>41730</v>
      </c>
      <c r="O301" s="75">
        <v>0.89583333333333337</v>
      </c>
      <c r="P301" t="s">
        <v>3834</v>
      </c>
      <c r="Q301" t="s">
        <v>967</v>
      </c>
      <c r="R301" t="s">
        <v>2978</v>
      </c>
      <c r="S301" t="s">
        <v>1868</v>
      </c>
      <c r="T301" t="s">
        <v>2979</v>
      </c>
      <c r="V301" t="s">
        <v>2965</v>
      </c>
      <c r="X301" t="s">
        <v>2914</v>
      </c>
    </row>
    <row r="302" spans="1:24" ht="16" customHeight="1" x14ac:dyDescent="0.6">
      <c r="A302" t="s">
        <v>3835</v>
      </c>
      <c r="B302" t="s">
        <v>17</v>
      </c>
      <c r="C302" t="s">
        <v>2986</v>
      </c>
      <c r="E302" t="s">
        <v>2930</v>
      </c>
      <c r="F302">
        <v>3150112</v>
      </c>
      <c r="G302" t="s">
        <v>3836</v>
      </c>
      <c r="H302">
        <v>965514797</v>
      </c>
      <c r="I302">
        <v>50</v>
      </c>
      <c r="J302" s="98">
        <v>0.75</v>
      </c>
      <c r="K302" s="79">
        <v>46126.875</v>
      </c>
      <c r="M302" t="s">
        <v>2910</v>
      </c>
      <c r="N302" s="101">
        <v>41730</v>
      </c>
      <c r="O302" s="75">
        <v>0.91666666666666663</v>
      </c>
      <c r="P302" t="s">
        <v>3834</v>
      </c>
      <c r="Q302" t="s">
        <v>967</v>
      </c>
      <c r="R302" t="s">
        <v>2978</v>
      </c>
      <c r="S302" t="s">
        <v>1868</v>
      </c>
      <c r="T302" t="s">
        <v>2979</v>
      </c>
      <c r="V302" t="s">
        <v>2965</v>
      </c>
      <c r="X302" t="s">
        <v>2914</v>
      </c>
    </row>
    <row r="303" spans="1:24" ht="16" customHeight="1" x14ac:dyDescent="0.6">
      <c r="A303" t="s">
        <v>3837</v>
      </c>
      <c r="B303" t="s">
        <v>17</v>
      </c>
      <c r="C303" t="s">
        <v>2976</v>
      </c>
      <c r="E303" t="s">
        <v>2917</v>
      </c>
      <c r="F303">
        <v>3124891</v>
      </c>
      <c r="H303">
        <v>977330980</v>
      </c>
      <c r="I303">
        <v>3000</v>
      </c>
      <c r="J303" t="s">
        <v>2919</v>
      </c>
      <c r="K303" s="79">
        <v>46126.875</v>
      </c>
      <c r="M303" t="s">
        <v>2910</v>
      </c>
      <c r="N303" s="101">
        <v>41730</v>
      </c>
      <c r="O303" s="75">
        <v>0.91666666666666663</v>
      </c>
      <c r="P303" t="s">
        <v>3838</v>
      </c>
      <c r="Q303" t="s">
        <v>967</v>
      </c>
      <c r="R303" t="s">
        <v>3210</v>
      </c>
      <c r="S303" t="s">
        <v>1868</v>
      </c>
      <c r="T303" t="s">
        <v>3063</v>
      </c>
      <c r="V303" t="s">
        <v>2965</v>
      </c>
      <c r="X303" t="s">
        <v>2914</v>
      </c>
    </row>
    <row r="304" spans="1:24" ht="16" customHeight="1" x14ac:dyDescent="0.6">
      <c r="A304" t="s">
        <v>3839</v>
      </c>
      <c r="B304" t="s">
        <v>17</v>
      </c>
      <c r="C304" t="s">
        <v>2935</v>
      </c>
      <c r="E304" t="s">
        <v>2930</v>
      </c>
      <c r="F304">
        <v>3138621</v>
      </c>
      <c r="H304">
        <v>983362477</v>
      </c>
      <c r="I304">
        <v>50</v>
      </c>
      <c r="J304" s="98">
        <v>0.5</v>
      </c>
      <c r="K304" s="79">
        <v>46126.916666666664</v>
      </c>
      <c r="L304" t="s">
        <v>3840</v>
      </c>
      <c r="M304" t="s">
        <v>2910</v>
      </c>
      <c r="N304" s="101">
        <v>41730</v>
      </c>
      <c r="P304" t="s">
        <v>3841</v>
      </c>
      <c r="Q304" t="s">
        <v>967</v>
      </c>
      <c r="R304" t="s">
        <v>3304</v>
      </c>
      <c r="S304" t="s">
        <v>1868</v>
      </c>
      <c r="T304" t="s">
        <v>3305</v>
      </c>
      <c r="V304" t="s">
        <v>2965</v>
      </c>
      <c r="X304" t="s">
        <v>2914</v>
      </c>
    </row>
    <row r="305" spans="1:24" ht="16" customHeight="1" x14ac:dyDescent="0.6">
      <c r="A305" t="s">
        <v>3842</v>
      </c>
      <c r="B305" t="s">
        <v>17</v>
      </c>
      <c r="C305" t="s">
        <v>2976</v>
      </c>
      <c r="E305" t="s">
        <v>2917</v>
      </c>
      <c r="F305">
        <v>1871696</v>
      </c>
      <c r="H305">
        <v>774688086</v>
      </c>
      <c r="I305">
        <v>100</v>
      </c>
      <c r="J305" s="98">
        <v>0.75</v>
      </c>
      <c r="K305" s="79">
        <v>46126.9375</v>
      </c>
      <c r="M305" t="s">
        <v>2910</v>
      </c>
      <c r="N305" s="101">
        <v>41730</v>
      </c>
      <c r="O305" s="75">
        <v>0.95833333333333337</v>
      </c>
      <c r="P305" t="s">
        <v>3843</v>
      </c>
      <c r="Q305" t="s">
        <v>967</v>
      </c>
      <c r="R305" t="s">
        <v>3025</v>
      </c>
      <c r="S305" t="s">
        <v>1868</v>
      </c>
      <c r="T305" t="s">
        <v>3493</v>
      </c>
      <c r="V305" t="s">
        <v>2965</v>
      </c>
      <c r="X305" t="s">
        <v>2914</v>
      </c>
    </row>
    <row r="306" spans="1:24" ht="16" customHeight="1" x14ac:dyDescent="0.6">
      <c r="A306" t="s">
        <v>3844</v>
      </c>
      <c r="B306" t="s">
        <v>17</v>
      </c>
      <c r="C306" t="s">
        <v>3047</v>
      </c>
      <c r="E306" t="s">
        <v>2917</v>
      </c>
      <c r="F306">
        <v>3164737</v>
      </c>
      <c r="H306">
        <v>328559865</v>
      </c>
      <c r="I306">
        <v>30</v>
      </c>
      <c r="J306" s="98">
        <v>0.5</v>
      </c>
      <c r="K306" s="79">
        <v>46127.208333333336</v>
      </c>
      <c r="M306" t="s">
        <v>2910</v>
      </c>
      <c r="N306" s="101">
        <v>42095</v>
      </c>
      <c r="P306" t="s">
        <v>3845</v>
      </c>
      <c r="Q306" t="s">
        <v>967</v>
      </c>
      <c r="X306" t="s">
        <v>2914</v>
      </c>
    </row>
    <row r="307" spans="1:24" ht="16" customHeight="1" x14ac:dyDescent="0.6">
      <c r="A307" t="s">
        <v>3846</v>
      </c>
      <c r="B307" t="s">
        <v>17</v>
      </c>
      <c r="C307" t="s">
        <v>3126</v>
      </c>
      <c r="E307" t="s">
        <v>2930</v>
      </c>
      <c r="F307">
        <v>3124062</v>
      </c>
      <c r="H307">
        <v>966074753</v>
      </c>
      <c r="I307">
        <v>300</v>
      </c>
      <c r="J307" t="s">
        <v>2919</v>
      </c>
      <c r="K307" s="79">
        <v>46127.875</v>
      </c>
      <c r="L307" s="74" t="s">
        <v>3847</v>
      </c>
      <c r="M307" t="s">
        <v>2910</v>
      </c>
      <c r="N307" s="101">
        <v>42095</v>
      </c>
      <c r="Q307" t="s">
        <v>967</v>
      </c>
      <c r="R307" t="s">
        <v>3848</v>
      </c>
      <c r="S307" t="s">
        <v>3096</v>
      </c>
      <c r="T307" t="s">
        <v>3849</v>
      </c>
      <c r="V307" t="s">
        <v>2965</v>
      </c>
      <c r="X307" t="s">
        <v>2914</v>
      </c>
    </row>
    <row r="308" spans="1:24" ht="16" customHeight="1" x14ac:dyDescent="0.6">
      <c r="A308" t="s">
        <v>3850</v>
      </c>
      <c r="B308" t="s">
        <v>17</v>
      </c>
      <c r="C308" t="s">
        <v>3129</v>
      </c>
      <c r="E308" t="s">
        <v>2930</v>
      </c>
      <c r="F308">
        <v>1882650</v>
      </c>
      <c r="H308">
        <v>775748473</v>
      </c>
      <c r="I308">
        <v>300</v>
      </c>
      <c r="J308" t="s">
        <v>2919</v>
      </c>
      <c r="K308" s="79">
        <v>46127.645833333336</v>
      </c>
      <c r="L308" t="s">
        <v>3851</v>
      </c>
      <c r="M308" t="s">
        <v>2910</v>
      </c>
      <c r="N308" s="101">
        <v>42095</v>
      </c>
      <c r="O308" s="75">
        <v>0.66666666666666663</v>
      </c>
      <c r="P308" t="s">
        <v>3852</v>
      </c>
      <c r="Q308" t="s">
        <v>967</v>
      </c>
      <c r="R308" t="s">
        <v>3670</v>
      </c>
      <c r="S308" t="s">
        <v>1868</v>
      </c>
      <c r="T308" t="s">
        <v>2842</v>
      </c>
      <c r="V308" t="s">
        <v>2965</v>
      </c>
      <c r="X308" t="s">
        <v>2914</v>
      </c>
    </row>
    <row r="309" spans="1:24" ht="16" customHeight="1" x14ac:dyDescent="0.6">
      <c r="A309" t="s">
        <v>3853</v>
      </c>
      <c r="B309" t="s">
        <v>17</v>
      </c>
      <c r="C309" t="s">
        <v>3093</v>
      </c>
      <c r="E309" t="s">
        <v>2930</v>
      </c>
      <c r="F309">
        <v>3135107</v>
      </c>
      <c r="H309">
        <v>344436412</v>
      </c>
      <c r="I309">
        <v>120</v>
      </c>
      <c r="J309" s="98">
        <v>1</v>
      </c>
      <c r="K309" s="79">
        <v>46127.875</v>
      </c>
      <c r="M309" t="s">
        <v>3029</v>
      </c>
      <c r="X309" t="s">
        <v>2914</v>
      </c>
    </row>
    <row r="310" spans="1:24" ht="16" customHeight="1" x14ac:dyDescent="0.6">
      <c r="A310" t="s">
        <v>3854</v>
      </c>
      <c r="B310" t="s">
        <v>17</v>
      </c>
      <c r="C310" t="s">
        <v>3093</v>
      </c>
      <c r="E310" t="s">
        <v>2930</v>
      </c>
      <c r="F310">
        <v>1872928</v>
      </c>
      <c r="H310">
        <v>344176032</v>
      </c>
      <c r="I310">
        <v>400</v>
      </c>
      <c r="J310" t="s">
        <v>2919</v>
      </c>
      <c r="K310" s="79">
        <v>46127.895833333336</v>
      </c>
      <c r="L310" t="s">
        <v>3855</v>
      </c>
      <c r="M310" t="s">
        <v>3029</v>
      </c>
      <c r="X310" t="s">
        <v>2914</v>
      </c>
    </row>
    <row r="311" spans="1:24" ht="16" customHeight="1" x14ac:dyDescent="0.6">
      <c r="A311" t="s">
        <v>3856</v>
      </c>
      <c r="B311" t="s">
        <v>17</v>
      </c>
      <c r="C311" t="s">
        <v>3093</v>
      </c>
      <c r="E311" t="s">
        <v>2930</v>
      </c>
      <c r="F311">
        <v>1872928</v>
      </c>
      <c r="H311">
        <v>344176032</v>
      </c>
      <c r="I311">
        <v>400</v>
      </c>
      <c r="J311" t="s">
        <v>2919</v>
      </c>
      <c r="K311" s="79">
        <v>46127.916666666664</v>
      </c>
      <c r="L311" t="s">
        <v>3855</v>
      </c>
      <c r="M311" t="s">
        <v>2910</v>
      </c>
      <c r="N311" s="101">
        <v>42095</v>
      </c>
      <c r="O311" s="75">
        <v>0.91666666666666663</v>
      </c>
      <c r="P311" t="s">
        <v>3857</v>
      </c>
      <c r="Q311" t="s">
        <v>967</v>
      </c>
      <c r="R311" t="s">
        <v>3013</v>
      </c>
      <c r="S311" t="s">
        <v>1868</v>
      </c>
      <c r="T311" t="s">
        <v>2974</v>
      </c>
      <c r="V311" t="s">
        <v>2965</v>
      </c>
      <c r="X311" t="s">
        <v>2914</v>
      </c>
    </row>
    <row r="312" spans="1:24" ht="16" customHeight="1" x14ac:dyDescent="0.6">
      <c r="A312" t="s">
        <v>3858</v>
      </c>
      <c r="B312" t="s">
        <v>17</v>
      </c>
      <c r="C312" t="s">
        <v>3041</v>
      </c>
      <c r="E312" t="s">
        <v>2909</v>
      </c>
      <c r="F312">
        <v>3119517</v>
      </c>
      <c r="H312">
        <v>776705243</v>
      </c>
      <c r="I312">
        <v>100</v>
      </c>
      <c r="J312" s="98">
        <v>0.75</v>
      </c>
      <c r="K312" s="79">
        <v>46127.833333333336</v>
      </c>
      <c r="L312" t="s">
        <v>3859</v>
      </c>
      <c r="M312" t="s">
        <v>2955</v>
      </c>
      <c r="X312" t="s">
        <v>2914</v>
      </c>
    </row>
    <row r="313" spans="1:24" ht="16" customHeight="1" x14ac:dyDescent="0.6">
      <c r="A313" t="s">
        <v>3860</v>
      </c>
      <c r="B313" t="s">
        <v>17</v>
      </c>
      <c r="C313" t="s">
        <v>3861</v>
      </c>
      <c r="E313" t="s">
        <v>2917</v>
      </c>
      <c r="F313">
        <v>3106674</v>
      </c>
      <c r="G313" t="s">
        <v>3862</v>
      </c>
      <c r="H313">
        <v>787836887</v>
      </c>
      <c r="I313">
        <v>50</v>
      </c>
      <c r="J313" s="98">
        <v>0.5</v>
      </c>
      <c r="K313" s="79">
        <v>46127.666666666664</v>
      </c>
      <c r="M313" t="s">
        <v>3029</v>
      </c>
      <c r="X313" t="s">
        <v>2914</v>
      </c>
    </row>
    <row r="314" spans="1:24" ht="16" customHeight="1" x14ac:dyDescent="0.6">
      <c r="A314" t="s">
        <v>3863</v>
      </c>
      <c r="B314" t="s">
        <v>17</v>
      </c>
      <c r="C314" t="s">
        <v>3126</v>
      </c>
      <c r="E314" t="s">
        <v>2917</v>
      </c>
      <c r="F314">
        <v>3124062</v>
      </c>
      <c r="H314">
        <v>966074753</v>
      </c>
      <c r="I314">
        <v>150</v>
      </c>
      <c r="J314" s="98">
        <v>1</v>
      </c>
      <c r="K314" s="79">
        <v>46127.895833333336</v>
      </c>
      <c r="L314" s="74" t="s">
        <v>3864</v>
      </c>
      <c r="M314" t="s">
        <v>2910</v>
      </c>
      <c r="N314" s="101">
        <v>42095</v>
      </c>
      <c r="P314" t="s">
        <v>3865</v>
      </c>
      <c r="X314" t="s">
        <v>2914</v>
      </c>
    </row>
    <row r="315" spans="1:24" ht="16" customHeight="1" x14ac:dyDescent="0.6">
      <c r="A315" t="s">
        <v>3866</v>
      </c>
      <c r="B315" t="s">
        <v>17</v>
      </c>
      <c r="C315" t="s">
        <v>3011</v>
      </c>
      <c r="E315" t="s">
        <v>2930</v>
      </c>
      <c r="F315">
        <v>2041292</v>
      </c>
      <c r="H315">
        <v>908626193</v>
      </c>
      <c r="I315">
        <v>70</v>
      </c>
      <c r="J315" s="98">
        <v>0.75</v>
      </c>
      <c r="K315" s="79">
        <v>46127.875</v>
      </c>
      <c r="M315" t="s">
        <v>2910</v>
      </c>
      <c r="N315" s="101">
        <v>42095</v>
      </c>
      <c r="O315" s="75">
        <v>0.92708333333333337</v>
      </c>
      <c r="P315" t="s">
        <v>3867</v>
      </c>
      <c r="Q315" t="s">
        <v>967</v>
      </c>
      <c r="R315" t="s">
        <v>3369</v>
      </c>
      <c r="S315" t="s">
        <v>1868</v>
      </c>
      <c r="T315" t="s">
        <v>3469</v>
      </c>
      <c r="V315" t="s">
        <v>2965</v>
      </c>
      <c r="X315" t="s">
        <v>2914</v>
      </c>
    </row>
    <row r="316" spans="1:24" ht="16" customHeight="1" x14ac:dyDescent="0.6">
      <c r="A316" t="s">
        <v>3868</v>
      </c>
      <c r="B316" t="s">
        <v>17</v>
      </c>
      <c r="C316" t="s">
        <v>3179</v>
      </c>
      <c r="E316" t="s">
        <v>2930</v>
      </c>
      <c r="F316">
        <v>3149706</v>
      </c>
      <c r="G316" t="s">
        <v>3180</v>
      </c>
      <c r="H316">
        <v>706395955</v>
      </c>
      <c r="I316">
        <v>300</v>
      </c>
      <c r="J316" s="98">
        <v>1</v>
      </c>
      <c r="K316" s="79">
        <v>46127.708333333336</v>
      </c>
      <c r="M316" t="s">
        <v>3029</v>
      </c>
      <c r="X316" t="s">
        <v>2914</v>
      </c>
    </row>
    <row r="317" spans="1:24" ht="16" customHeight="1" x14ac:dyDescent="0.6">
      <c r="A317" t="s">
        <v>3869</v>
      </c>
      <c r="B317" t="s">
        <v>17</v>
      </c>
      <c r="C317" t="s">
        <v>3154</v>
      </c>
      <c r="E317" t="s">
        <v>2930</v>
      </c>
      <c r="F317">
        <v>3110684</v>
      </c>
      <c r="H317">
        <v>931249063</v>
      </c>
      <c r="I317">
        <v>100</v>
      </c>
      <c r="J317" s="98">
        <v>0.75</v>
      </c>
      <c r="K317" s="79">
        <v>46127.875</v>
      </c>
      <c r="M317" t="s">
        <v>2955</v>
      </c>
      <c r="X317" t="s">
        <v>2914</v>
      </c>
    </row>
    <row r="318" spans="1:24" ht="16" customHeight="1" x14ac:dyDescent="0.6">
      <c r="A318" t="s">
        <v>3870</v>
      </c>
      <c r="B318" t="s">
        <v>17</v>
      </c>
      <c r="C318" t="s">
        <v>3719</v>
      </c>
      <c r="E318" t="s">
        <v>2930</v>
      </c>
      <c r="F318">
        <v>3131686</v>
      </c>
      <c r="G318" t="s">
        <v>3720</v>
      </c>
      <c r="H318">
        <v>985077421</v>
      </c>
      <c r="I318">
        <v>100</v>
      </c>
      <c r="J318" s="98">
        <v>1</v>
      </c>
      <c r="K318" s="79">
        <v>46127.875</v>
      </c>
      <c r="M318" t="s">
        <v>2910</v>
      </c>
      <c r="N318" s="101">
        <v>42095</v>
      </c>
      <c r="P318" t="s">
        <v>3871</v>
      </c>
      <c r="Q318" t="s">
        <v>967</v>
      </c>
      <c r="R318" t="s">
        <v>3016</v>
      </c>
      <c r="S318" t="s">
        <v>1868</v>
      </c>
      <c r="T318" t="s">
        <v>3017</v>
      </c>
      <c r="V318" t="s">
        <v>2965</v>
      </c>
      <c r="X318" t="s">
        <v>2914</v>
      </c>
    </row>
    <row r="319" spans="1:24" ht="16" customHeight="1" x14ac:dyDescent="0.6">
      <c r="A319" t="s">
        <v>3872</v>
      </c>
      <c r="B319" t="s">
        <v>17</v>
      </c>
      <c r="C319" t="s">
        <v>3055</v>
      </c>
      <c r="E319" t="s">
        <v>2930</v>
      </c>
      <c r="F319">
        <v>3166023</v>
      </c>
      <c r="H319">
        <v>707311202</v>
      </c>
      <c r="I319">
        <v>30</v>
      </c>
      <c r="J319" s="98">
        <v>0.3</v>
      </c>
      <c r="K319" s="79">
        <v>46127.75</v>
      </c>
      <c r="M319" t="s">
        <v>2955</v>
      </c>
      <c r="X319" t="s">
        <v>2914</v>
      </c>
    </row>
    <row r="320" spans="1:24" ht="16" customHeight="1" x14ac:dyDescent="0.6">
      <c r="A320" t="s">
        <v>3873</v>
      </c>
      <c r="B320" t="s">
        <v>17</v>
      </c>
      <c r="C320" t="s">
        <v>3055</v>
      </c>
      <c r="E320" t="s">
        <v>2930</v>
      </c>
      <c r="F320">
        <v>3166023</v>
      </c>
      <c r="H320">
        <v>707311202</v>
      </c>
      <c r="I320">
        <v>30</v>
      </c>
      <c r="J320" s="98">
        <v>0.3</v>
      </c>
      <c r="K320" s="79">
        <v>46127.9375</v>
      </c>
      <c r="M320" t="s">
        <v>2910</v>
      </c>
      <c r="N320" s="101">
        <v>42095</v>
      </c>
      <c r="O320" s="75">
        <v>0.90625</v>
      </c>
      <c r="P320" t="s">
        <v>3867</v>
      </c>
      <c r="Q320" t="s">
        <v>967</v>
      </c>
      <c r="R320" t="s">
        <v>3369</v>
      </c>
      <c r="S320" t="s">
        <v>1868</v>
      </c>
      <c r="T320" t="s">
        <v>3469</v>
      </c>
      <c r="V320" t="s">
        <v>2965</v>
      </c>
      <c r="X320" t="s">
        <v>2914</v>
      </c>
    </row>
    <row r="321" spans="1:24" ht="16" customHeight="1" x14ac:dyDescent="0.6">
      <c r="A321" t="s">
        <v>3874</v>
      </c>
      <c r="B321" t="s">
        <v>17</v>
      </c>
      <c r="C321" t="s">
        <v>2994</v>
      </c>
      <c r="E321" t="s">
        <v>2909</v>
      </c>
      <c r="F321">
        <v>2033804</v>
      </c>
      <c r="H321">
        <v>396799427</v>
      </c>
      <c r="I321">
        <v>100</v>
      </c>
      <c r="J321" s="98">
        <v>1</v>
      </c>
      <c r="K321" s="79">
        <v>46127.916666666664</v>
      </c>
      <c r="M321" t="s">
        <v>2910</v>
      </c>
      <c r="N321" s="101">
        <v>42095</v>
      </c>
      <c r="P321" t="s">
        <v>3875</v>
      </c>
      <c r="Q321" t="s">
        <v>967</v>
      </c>
      <c r="R321" t="s">
        <v>2996</v>
      </c>
      <c r="S321" t="s">
        <v>1868</v>
      </c>
      <c r="T321" t="s">
        <v>2997</v>
      </c>
      <c r="V321" t="s">
        <v>202</v>
      </c>
      <c r="X321" t="s">
        <v>2914</v>
      </c>
    </row>
    <row r="322" spans="1:24" ht="16" customHeight="1" x14ac:dyDescent="0.6">
      <c r="A322" t="s">
        <v>3876</v>
      </c>
      <c r="B322" t="s">
        <v>17</v>
      </c>
      <c r="C322" t="s">
        <v>2957</v>
      </c>
      <c r="E322" t="s">
        <v>2909</v>
      </c>
      <c r="F322">
        <v>1802852</v>
      </c>
      <c r="H322">
        <v>974607460</v>
      </c>
      <c r="I322">
        <v>100</v>
      </c>
      <c r="J322" s="98">
        <v>0.75</v>
      </c>
      <c r="K322" s="79">
        <v>46127.875</v>
      </c>
      <c r="M322" t="s">
        <v>2910</v>
      </c>
      <c r="N322" s="101">
        <v>42095</v>
      </c>
      <c r="P322" t="s">
        <v>3877</v>
      </c>
      <c r="Q322" t="s">
        <v>967</v>
      </c>
      <c r="R322" t="s">
        <v>2937</v>
      </c>
      <c r="S322" t="s">
        <v>1868</v>
      </c>
      <c r="T322" t="s">
        <v>2960</v>
      </c>
      <c r="V322" t="s">
        <v>202</v>
      </c>
      <c r="X322" t="s">
        <v>2914</v>
      </c>
    </row>
    <row r="323" spans="1:24" ht="16" customHeight="1" x14ac:dyDescent="0.6">
      <c r="A323" t="s">
        <v>3878</v>
      </c>
      <c r="B323" t="s">
        <v>17</v>
      </c>
      <c r="C323" t="s">
        <v>3247</v>
      </c>
      <c r="E323" t="s">
        <v>2917</v>
      </c>
      <c r="F323">
        <v>3127246</v>
      </c>
      <c r="H323">
        <v>385161509</v>
      </c>
      <c r="I323">
        <v>200</v>
      </c>
      <c r="J323" s="98">
        <v>1</v>
      </c>
      <c r="K323" s="79">
        <v>46127.895833333336</v>
      </c>
      <c r="M323" t="s">
        <v>2910</v>
      </c>
      <c r="N323" s="101">
        <v>42095</v>
      </c>
      <c r="O323" s="75">
        <v>0.91666666666666663</v>
      </c>
      <c r="P323" t="s">
        <v>3879</v>
      </c>
      <c r="Q323" t="s">
        <v>967</v>
      </c>
      <c r="R323" t="s">
        <v>3880</v>
      </c>
      <c r="S323" t="s">
        <v>1868</v>
      </c>
      <c r="T323" t="s">
        <v>2989</v>
      </c>
      <c r="V323" t="s">
        <v>2965</v>
      </c>
      <c r="X323" t="s">
        <v>2914</v>
      </c>
    </row>
    <row r="324" spans="1:24" ht="16" customHeight="1" x14ac:dyDescent="0.6">
      <c r="A324" t="s">
        <v>3881</v>
      </c>
      <c r="B324" t="s">
        <v>17</v>
      </c>
      <c r="C324" t="s">
        <v>2954</v>
      </c>
      <c r="E324" t="s">
        <v>2930</v>
      </c>
      <c r="F324">
        <v>3129272</v>
      </c>
      <c r="G324">
        <v>937329651</v>
      </c>
      <c r="H324">
        <v>876177676</v>
      </c>
      <c r="I324">
        <v>60</v>
      </c>
      <c r="J324" s="98">
        <v>0.5</v>
      </c>
      <c r="K324" s="79">
        <v>46127.895833333336</v>
      </c>
      <c r="M324" t="s">
        <v>2910</v>
      </c>
      <c r="N324" s="101">
        <v>42095</v>
      </c>
      <c r="P324" t="s">
        <v>3882</v>
      </c>
      <c r="Q324" t="s">
        <v>967</v>
      </c>
      <c r="R324" t="s">
        <v>3883</v>
      </c>
      <c r="S324" t="s">
        <v>1868</v>
      </c>
      <c r="T324" t="s">
        <v>3884</v>
      </c>
      <c r="V324" t="s">
        <v>2965</v>
      </c>
      <c r="X324" t="s">
        <v>2914</v>
      </c>
    </row>
    <row r="325" spans="1:24" ht="16" customHeight="1" x14ac:dyDescent="0.6">
      <c r="A325" t="s">
        <v>3885</v>
      </c>
      <c r="B325" t="s">
        <v>17</v>
      </c>
      <c r="C325" t="s">
        <v>2986</v>
      </c>
      <c r="E325" t="s">
        <v>2930</v>
      </c>
      <c r="F325">
        <v>3150112</v>
      </c>
      <c r="G325" t="s">
        <v>3836</v>
      </c>
      <c r="H325">
        <v>965514797</v>
      </c>
      <c r="I325">
        <v>30</v>
      </c>
      <c r="J325" s="98">
        <v>0.5</v>
      </c>
      <c r="K325" s="79">
        <v>46127.895833333336</v>
      </c>
      <c r="M325" t="s">
        <v>2910</v>
      </c>
      <c r="N325" s="101">
        <v>42095</v>
      </c>
      <c r="P325" t="s">
        <v>3886</v>
      </c>
      <c r="X325" t="s">
        <v>2914</v>
      </c>
    </row>
    <row r="326" spans="1:24" ht="16" customHeight="1" x14ac:dyDescent="0.6">
      <c r="A326" t="s">
        <v>3887</v>
      </c>
      <c r="B326" t="s">
        <v>17</v>
      </c>
      <c r="C326" t="s">
        <v>3041</v>
      </c>
      <c r="E326" t="s">
        <v>2909</v>
      </c>
      <c r="F326">
        <v>3119517</v>
      </c>
      <c r="H326">
        <v>776705243</v>
      </c>
      <c r="I326">
        <v>100</v>
      </c>
      <c r="J326" s="98">
        <v>1</v>
      </c>
      <c r="K326" s="79">
        <v>46128.166666666664</v>
      </c>
      <c r="L326" t="s">
        <v>3888</v>
      </c>
      <c r="M326" t="s">
        <v>2910</v>
      </c>
      <c r="N326" s="101">
        <v>42461</v>
      </c>
      <c r="O326" s="75">
        <v>0.16666666666666666</v>
      </c>
      <c r="P326" t="s">
        <v>3889</v>
      </c>
      <c r="Q326" t="s">
        <v>967</v>
      </c>
      <c r="R326" t="s">
        <v>2941</v>
      </c>
      <c r="X326" t="s">
        <v>2914</v>
      </c>
    </row>
    <row r="327" spans="1:24" ht="16" customHeight="1" x14ac:dyDescent="0.6">
      <c r="A327" t="s">
        <v>3890</v>
      </c>
      <c r="B327" t="s">
        <v>17</v>
      </c>
      <c r="C327" t="s">
        <v>2916</v>
      </c>
      <c r="E327" t="s">
        <v>2930</v>
      </c>
      <c r="F327">
        <v>3070766</v>
      </c>
      <c r="G327" t="s">
        <v>3684</v>
      </c>
      <c r="H327">
        <v>376156434</v>
      </c>
      <c r="I327">
        <v>50</v>
      </c>
      <c r="J327" s="98">
        <v>0.3</v>
      </c>
      <c r="K327" s="79">
        <v>46127.875</v>
      </c>
      <c r="M327" t="s">
        <v>2910</v>
      </c>
      <c r="N327" s="101">
        <v>42095</v>
      </c>
      <c r="P327" t="s">
        <v>3891</v>
      </c>
      <c r="X327" t="s">
        <v>2914</v>
      </c>
    </row>
    <row r="328" spans="1:24" ht="16" customHeight="1" x14ac:dyDescent="0.6">
      <c r="A328" t="s">
        <v>3892</v>
      </c>
      <c r="B328" t="s">
        <v>17</v>
      </c>
      <c r="C328" t="s">
        <v>3893</v>
      </c>
      <c r="E328" t="s">
        <v>2930</v>
      </c>
      <c r="F328">
        <v>3059259</v>
      </c>
      <c r="G328" t="s">
        <v>3894</v>
      </c>
      <c r="H328">
        <v>812367458</v>
      </c>
      <c r="I328">
        <v>50</v>
      </c>
      <c r="J328" s="98">
        <v>0.5</v>
      </c>
      <c r="K328" s="79">
        <v>46127.854166666664</v>
      </c>
      <c r="M328" t="s">
        <v>2910</v>
      </c>
      <c r="N328" s="101">
        <v>42095</v>
      </c>
      <c r="P328" t="s">
        <v>3895</v>
      </c>
      <c r="X328" t="s">
        <v>2914</v>
      </c>
    </row>
    <row r="329" spans="1:24" ht="16" customHeight="1" x14ac:dyDescent="0.6">
      <c r="A329" t="s">
        <v>3896</v>
      </c>
      <c r="B329" t="s">
        <v>17</v>
      </c>
      <c r="C329" t="s">
        <v>3242</v>
      </c>
      <c r="E329" t="s">
        <v>2930</v>
      </c>
      <c r="F329">
        <v>3139139</v>
      </c>
      <c r="H329">
        <v>977705672</v>
      </c>
      <c r="I329">
        <v>100</v>
      </c>
      <c r="J329" s="98">
        <v>1</v>
      </c>
      <c r="K329" s="79">
        <v>46127.916666666664</v>
      </c>
      <c r="M329" t="s">
        <v>2955</v>
      </c>
      <c r="X329" t="s">
        <v>2914</v>
      </c>
    </row>
    <row r="330" spans="1:24" ht="16" customHeight="1" x14ac:dyDescent="0.6">
      <c r="A330" t="s">
        <v>3897</v>
      </c>
      <c r="B330" t="s">
        <v>17</v>
      </c>
      <c r="C330" t="s">
        <v>3093</v>
      </c>
      <c r="E330" t="s">
        <v>2930</v>
      </c>
      <c r="F330">
        <v>1872928</v>
      </c>
      <c r="H330">
        <v>344176032</v>
      </c>
      <c r="I330">
        <v>120</v>
      </c>
      <c r="J330" s="98">
        <v>1</v>
      </c>
      <c r="K330" s="79">
        <v>46128.1875</v>
      </c>
      <c r="M330" t="s">
        <v>2910</v>
      </c>
      <c r="N330" s="101">
        <v>42461</v>
      </c>
      <c r="O330" s="75">
        <v>0.20833333333333334</v>
      </c>
      <c r="P330" t="s">
        <v>3898</v>
      </c>
      <c r="X330" t="s">
        <v>2914</v>
      </c>
    </row>
    <row r="331" spans="1:24" ht="16" customHeight="1" x14ac:dyDescent="0.6">
      <c r="A331" t="s">
        <v>3899</v>
      </c>
      <c r="B331" t="s">
        <v>17</v>
      </c>
      <c r="C331" t="s">
        <v>3126</v>
      </c>
      <c r="E331" t="s">
        <v>2917</v>
      </c>
      <c r="F331">
        <v>3124062</v>
      </c>
      <c r="H331">
        <v>966074753</v>
      </c>
      <c r="I331">
        <v>120</v>
      </c>
      <c r="J331" s="98">
        <v>1</v>
      </c>
      <c r="K331" s="79">
        <v>46128.416666666664</v>
      </c>
      <c r="L331" s="74" t="s">
        <v>3900</v>
      </c>
      <c r="M331" t="s">
        <v>3029</v>
      </c>
      <c r="X331" t="s">
        <v>2914</v>
      </c>
    </row>
    <row r="332" spans="1:24" ht="16" customHeight="1" x14ac:dyDescent="0.6">
      <c r="A332" t="s">
        <v>3901</v>
      </c>
      <c r="B332" t="s">
        <v>17</v>
      </c>
      <c r="C332" t="s">
        <v>3126</v>
      </c>
      <c r="E332" t="s">
        <v>2930</v>
      </c>
      <c r="F332">
        <v>3124062</v>
      </c>
      <c r="H332">
        <v>966074753</v>
      </c>
      <c r="I332">
        <v>300</v>
      </c>
      <c r="J332" t="s">
        <v>2919</v>
      </c>
      <c r="K332" s="79">
        <v>46128.895833333336</v>
      </c>
      <c r="L332" s="74" t="s">
        <v>3902</v>
      </c>
      <c r="M332" t="s">
        <v>2910</v>
      </c>
      <c r="N332" s="101">
        <v>42461</v>
      </c>
      <c r="O332" s="75">
        <v>0.90625</v>
      </c>
      <c r="P332" t="s">
        <v>3903</v>
      </c>
      <c r="Q332" t="s">
        <v>1356</v>
      </c>
      <c r="R332" t="s">
        <v>2951</v>
      </c>
      <c r="S332" t="s">
        <v>1868</v>
      </c>
      <c r="T332" t="s">
        <v>2952</v>
      </c>
      <c r="V332" t="s">
        <v>2965</v>
      </c>
      <c r="X332" t="s">
        <v>2914</v>
      </c>
    </row>
    <row r="333" spans="1:24" ht="16" customHeight="1" x14ac:dyDescent="0.6">
      <c r="A333" t="s">
        <v>3904</v>
      </c>
      <c r="B333" t="s">
        <v>17</v>
      </c>
      <c r="C333" t="s">
        <v>3129</v>
      </c>
      <c r="E333" t="s">
        <v>2930</v>
      </c>
      <c r="F333">
        <v>1882650</v>
      </c>
      <c r="H333">
        <v>775748473</v>
      </c>
      <c r="I333">
        <v>130</v>
      </c>
      <c r="J333" s="98">
        <v>1</v>
      </c>
      <c r="K333" s="79">
        <v>46128.645833333336</v>
      </c>
      <c r="M333" t="s">
        <v>2910</v>
      </c>
      <c r="N333" s="101">
        <v>42461</v>
      </c>
      <c r="O333" s="75">
        <v>0.70833333333333337</v>
      </c>
      <c r="P333" t="s">
        <v>3905</v>
      </c>
      <c r="Q333" t="s">
        <v>967</v>
      </c>
      <c r="R333" t="s">
        <v>2941</v>
      </c>
      <c r="S333" t="s">
        <v>1868</v>
      </c>
      <c r="T333" t="s">
        <v>3906</v>
      </c>
      <c r="V333" t="s">
        <v>2965</v>
      </c>
      <c r="X333" t="s">
        <v>2914</v>
      </c>
    </row>
    <row r="334" spans="1:24" ht="16" customHeight="1" x14ac:dyDescent="0.6">
      <c r="A334" t="s">
        <v>3907</v>
      </c>
      <c r="B334" t="s">
        <v>17</v>
      </c>
      <c r="C334" t="s">
        <v>3719</v>
      </c>
      <c r="E334" t="s">
        <v>2930</v>
      </c>
      <c r="F334">
        <v>3131686</v>
      </c>
      <c r="G334" t="s">
        <v>3720</v>
      </c>
      <c r="H334">
        <v>985077421</v>
      </c>
      <c r="I334">
        <v>150</v>
      </c>
      <c r="J334" s="98">
        <v>1</v>
      </c>
      <c r="K334" s="79">
        <v>46128.875</v>
      </c>
      <c r="M334" t="s">
        <v>2910</v>
      </c>
      <c r="N334" s="101">
        <v>42461</v>
      </c>
      <c r="O334" s="75">
        <v>0.875</v>
      </c>
      <c r="P334" t="s">
        <v>3908</v>
      </c>
      <c r="Q334" t="s">
        <v>967</v>
      </c>
      <c r="R334" t="s">
        <v>3395</v>
      </c>
      <c r="S334" t="s">
        <v>1868</v>
      </c>
      <c r="T334" t="s">
        <v>3017</v>
      </c>
      <c r="V334" t="s">
        <v>2965</v>
      </c>
      <c r="X334" t="s">
        <v>2914</v>
      </c>
    </row>
    <row r="335" spans="1:24" ht="16" customHeight="1" x14ac:dyDescent="0.6">
      <c r="A335" t="s">
        <v>3909</v>
      </c>
      <c r="B335" t="s">
        <v>17</v>
      </c>
      <c r="C335" t="s">
        <v>2939</v>
      </c>
      <c r="E335" t="s">
        <v>2917</v>
      </c>
      <c r="F335">
        <v>3152551</v>
      </c>
      <c r="H335">
        <v>866782808</v>
      </c>
      <c r="I335">
        <v>100</v>
      </c>
      <c r="J335" s="98">
        <v>1</v>
      </c>
      <c r="K335" s="79">
        <v>46128.895833333336</v>
      </c>
      <c r="M335" t="s">
        <v>2955</v>
      </c>
      <c r="X335" t="s">
        <v>2914</v>
      </c>
    </row>
    <row r="336" spans="1:24" ht="16" customHeight="1" x14ac:dyDescent="0.6">
      <c r="A336" t="s">
        <v>3910</v>
      </c>
      <c r="B336" t="s">
        <v>17</v>
      </c>
      <c r="C336" t="s">
        <v>3911</v>
      </c>
      <c r="E336" t="s">
        <v>2930</v>
      </c>
      <c r="F336">
        <v>3133755</v>
      </c>
      <c r="H336">
        <v>397071195</v>
      </c>
      <c r="I336">
        <v>100</v>
      </c>
      <c r="J336" s="98">
        <v>0.75</v>
      </c>
      <c r="K336" s="79">
        <v>46128.916666666664</v>
      </c>
      <c r="M336" t="s">
        <v>2910</v>
      </c>
      <c r="N336" s="101">
        <v>42461</v>
      </c>
      <c r="O336" s="75">
        <v>0.875</v>
      </c>
      <c r="P336" t="s">
        <v>3912</v>
      </c>
      <c r="Q336" t="s">
        <v>967</v>
      </c>
      <c r="R336" t="s">
        <v>3913</v>
      </c>
      <c r="S336" t="s">
        <v>1868</v>
      </c>
      <c r="T336" t="s">
        <v>3914</v>
      </c>
      <c r="V336" t="s">
        <v>2965</v>
      </c>
      <c r="X336" t="s">
        <v>2914</v>
      </c>
    </row>
    <row r="337" spans="1:24" ht="16" customHeight="1" x14ac:dyDescent="0.6">
      <c r="A337" t="s">
        <v>3915</v>
      </c>
      <c r="B337" t="s">
        <v>17</v>
      </c>
      <c r="C337" t="s">
        <v>2957</v>
      </c>
      <c r="E337" t="s">
        <v>2909</v>
      </c>
      <c r="F337">
        <v>1802852</v>
      </c>
      <c r="H337">
        <v>974607460</v>
      </c>
      <c r="I337">
        <v>100</v>
      </c>
      <c r="J337" s="98">
        <v>0.75</v>
      </c>
      <c r="K337" s="79">
        <v>46128.875</v>
      </c>
      <c r="M337" t="s">
        <v>2910</v>
      </c>
      <c r="N337" s="101">
        <v>42461</v>
      </c>
      <c r="O337" s="75">
        <v>0.90625</v>
      </c>
      <c r="P337" t="s">
        <v>3916</v>
      </c>
      <c r="Q337" t="s">
        <v>967</v>
      </c>
      <c r="R337" t="s">
        <v>3711</v>
      </c>
      <c r="S337" t="s">
        <v>1868</v>
      </c>
      <c r="T337" t="s">
        <v>2960</v>
      </c>
      <c r="V337" t="s">
        <v>202</v>
      </c>
      <c r="X337" t="s">
        <v>2914</v>
      </c>
    </row>
    <row r="338" spans="1:24" ht="16" customHeight="1" x14ac:dyDescent="0.6">
      <c r="A338" t="s">
        <v>3917</v>
      </c>
      <c r="B338" t="s">
        <v>17</v>
      </c>
      <c r="C338" t="s">
        <v>2994</v>
      </c>
      <c r="E338" t="s">
        <v>2909</v>
      </c>
      <c r="F338">
        <v>2033804</v>
      </c>
      <c r="H338">
        <v>396799427</v>
      </c>
      <c r="I338">
        <v>100</v>
      </c>
      <c r="J338" s="98">
        <v>1</v>
      </c>
      <c r="K338" s="79">
        <v>46128.895833333336</v>
      </c>
      <c r="M338" t="s">
        <v>2910</v>
      </c>
      <c r="N338" s="101">
        <v>42461</v>
      </c>
      <c r="O338" s="75">
        <v>0.91666666666666663</v>
      </c>
      <c r="P338" t="s">
        <v>3918</v>
      </c>
      <c r="Q338" t="s">
        <v>967</v>
      </c>
      <c r="R338" t="s">
        <v>2996</v>
      </c>
      <c r="S338" t="s">
        <v>1868</v>
      </c>
      <c r="T338" t="s">
        <v>2997</v>
      </c>
      <c r="V338" t="s">
        <v>202</v>
      </c>
      <c r="X338" t="s">
        <v>2914</v>
      </c>
    </row>
    <row r="339" spans="1:24" ht="16" customHeight="1" x14ac:dyDescent="0.6">
      <c r="A339" t="s">
        <v>3919</v>
      </c>
      <c r="B339" t="s">
        <v>17</v>
      </c>
      <c r="C339" t="s">
        <v>2986</v>
      </c>
      <c r="E339" t="s">
        <v>2930</v>
      </c>
      <c r="F339">
        <v>3150112</v>
      </c>
      <c r="G339" t="s">
        <v>3920</v>
      </c>
      <c r="H339">
        <v>965514797</v>
      </c>
      <c r="I339">
        <v>50</v>
      </c>
      <c r="J339" s="98">
        <v>0.5</v>
      </c>
      <c r="K339" s="79">
        <v>46128.895833333336</v>
      </c>
      <c r="M339" t="s">
        <v>2910</v>
      </c>
      <c r="N339" s="101">
        <v>42461</v>
      </c>
      <c r="O339" s="75">
        <v>0.9375</v>
      </c>
      <c r="P339" t="s">
        <v>3921</v>
      </c>
      <c r="Q339" t="s">
        <v>967</v>
      </c>
      <c r="R339" t="s">
        <v>2932</v>
      </c>
      <c r="S339" t="s">
        <v>1868</v>
      </c>
      <c r="T339" t="s">
        <v>2933</v>
      </c>
      <c r="V339" t="s">
        <v>2965</v>
      </c>
      <c r="X339" t="s">
        <v>2914</v>
      </c>
    </row>
    <row r="340" spans="1:24" ht="16" customHeight="1" x14ac:dyDescent="0.6">
      <c r="A340" t="s">
        <v>3922</v>
      </c>
      <c r="B340" t="s">
        <v>17</v>
      </c>
      <c r="C340" t="s">
        <v>3055</v>
      </c>
      <c r="E340" t="s">
        <v>2930</v>
      </c>
      <c r="F340">
        <v>3152447</v>
      </c>
      <c r="H340">
        <v>914595782</v>
      </c>
      <c r="I340">
        <v>30</v>
      </c>
      <c r="J340" s="98">
        <v>0.3</v>
      </c>
      <c r="K340" s="79">
        <v>46128.927083333336</v>
      </c>
      <c r="M340" t="s">
        <v>2910</v>
      </c>
      <c r="N340" s="101">
        <v>42461</v>
      </c>
      <c r="O340" s="75">
        <v>0.90625</v>
      </c>
      <c r="P340" t="s">
        <v>3921</v>
      </c>
      <c r="Q340" t="s">
        <v>967</v>
      </c>
      <c r="R340" t="s">
        <v>2932</v>
      </c>
      <c r="S340" t="s">
        <v>1868</v>
      </c>
      <c r="T340" t="s">
        <v>2933</v>
      </c>
      <c r="V340" t="s">
        <v>2965</v>
      </c>
      <c r="X340" t="s">
        <v>2914</v>
      </c>
    </row>
    <row r="341" spans="1:24" ht="16" customHeight="1" x14ac:dyDescent="0.6">
      <c r="A341" t="s">
        <v>3923</v>
      </c>
      <c r="B341" t="s">
        <v>17</v>
      </c>
      <c r="D341">
        <v>22205000</v>
      </c>
      <c r="E341" t="s">
        <v>2917</v>
      </c>
      <c r="F341">
        <v>3083614</v>
      </c>
      <c r="H341">
        <v>987725335</v>
      </c>
      <c r="I341">
        <v>70</v>
      </c>
      <c r="J341" s="98">
        <v>0.75</v>
      </c>
      <c r="K341" s="79">
        <v>46128.916666666664</v>
      </c>
      <c r="M341" t="s">
        <v>2955</v>
      </c>
      <c r="X341" t="s">
        <v>2914</v>
      </c>
    </row>
    <row r="342" spans="1:24" ht="16" customHeight="1" x14ac:dyDescent="0.6">
      <c r="A342" t="s">
        <v>3924</v>
      </c>
      <c r="B342" t="s">
        <v>17</v>
      </c>
      <c r="C342" t="s">
        <v>3547</v>
      </c>
      <c r="D342" t="s">
        <v>140</v>
      </c>
      <c r="E342" t="s">
        <v>2930</v>
      </c>
      <c r="F342">
        <v>3020591</v>
      </c>
      <c r="H342">
        <v>988544750</v>
      </c>
      <c r="I342">
        <v>200</v>
      </c>
      <c r="J342" s="98">
        <v>1</v>
      </c>
      <c r="K342" s="79">
        <v>46128.895833333336</v>
      </c>
      <c r="M342" t="s">
        <v>2910</v>
      </c>
      <c r="N342" s="101">
        <v>42461</v>
      </c>
      <c r="O342" s="75">
        <v>0.91666666666666663</v>
      </c>
      <c r="P342" t="s">
        <v>3925</v>
      </c>
      <c r="Q342" t="s">
        <v>967</v>
      </c>
      <c r="R342" t="s">
        <v>3002</v>
      </c>
      <c r="S342" t="s">
        <v>1868</v>
      </c>
      <c r="T342" t="s">
        <v>3550</v>
      </c>
      <c r="V342" t="s">
        <v>2965</v>
      </c>
      <c r="X342" t="s">
        <v>2914</v>
      </c>
    </row>
    <row r="343" spans="1:24" ht="16" customHeight="1" x14ac:dyDescent="0.6">
      <c r="A343" t="s">
        <v>3926</v>
      </c>
      <c r="B343" t="s">
        <v>17</v>
      </c>
      <c r="C343" t="s">
        <v>3031</v>
      </c>
      <c r="E343" t="s">
        <v>2917</v>
      </c>
      <c r="F343">
        <v>3152729</v>
      </c>
      <c r="H343">
        <v>941792245</v>
      </c>
      <c r="I343">
        <v>100</v>
      </c>
      <c r="J343" s="98">
        <v>1</v>
      </c>
      <c r="K343" s="79">
        <v>46128.895833333336</v>
      </c>
      <c r="M343" t="s">
        <v>2910</v>
      </c>
      <c r="N343" s="101">
        <v>42461</v>
      </c>
      <c r="O343" s="75">
        <v>0.89583333333333337</v>
      </c>
      <c r="P343" t="s">
        <v>3927</v>
      </c>
      <c r="Q343" t="s">
        <v>967</v>
      </c>
      <c r="R343" t="s">
        <v>3369</v>
      </c>
      <c r="S343" t="s">
        <v>1868</v>
      </c>
      <c r="T343" t="s">
        <v>3469</v>
      </c>
      <c r="V343" t="s">
        <v>2965</v>
      </c>
      <c r="X343" t="s">
        <v>2914</v>
      </c>
    </row>
    <row r="344" spans="1:24" ht="16" customHeight="1" x14ac:dyDescent="0.6">
      <c r="A344" t="s">
        <v>3928</v>
      </c>
      <c r="B344" t="s">
        <v>17</v>
      </c>
      <c r="C344" t="s">
        <v>3049</v>
      </c>
      <c r="E344" t="s">
        <v>2930</v>
      </c>
      <c r="F344">
        <v>3121707</v>
      </c>
      <c r="H344">
        <v>931842110</v>
      </c>
      <c r="I344">
        <v>50</v>
      </c>
      <c r="J344" s="98">
        <v>1</v>
      </c>
      <c r="K344" s="79">
        <v>46128.916666666664</v>
      </c>
      <c r="M344" t="s">
        <v>2910</v>
      </c>
      <c r="N344" s="101">
        <v>42461</v>
      </c>
      <c r="O344" s="75">
        <v>0.875</v>
      </c>
      <c r="P344" t="s">
        <v>3929</v>
      </c>
      <c r="Q344" t="s">
        <v>967</v>
      </c>
      <c r="R344" t="s">
        <v>3013</v>
      </c>
      <c r="S344" t="s">
        <v>1868</v>
      </c>
      <c r="T344" t="s">
        <v>2974</v>
      </c>
      <c r="V344" t="s">
        <v>3009</v>
      </c>
      <c r="X344" t="s">
        <v>2914</v>
      </c>
    </row>
    <row r="345" spans="1:24" ht="16" customHeight="1" x14ac:dyDescent="0.6">
      <c r="A345" t="s">
        <v>3930</v>
      </c>
      <c r="B345" t="s">
        <v>17</v>
      </c>
      <c r="C345" t="s">
        <v>3142</v>
      </c>
      <c r="E345" t="s">
        <v>2930</v>
      </c>
      <c r="F345">
        <v>1714094</v>
      </c>
      <c r="H345">
        <v>961790126</v>
      </c>
      <c r="I345">
        <v>50</v>
      </c>
      <c r="J345" s="98">
        <v>0.75</v>
      </c>
      <c r="K345" s="79">
        <v>46128.916666666664</v>
      </c>
      <c r="M345" t="s">
        <v>2910</v>
      </c>
      <c r="N345" s="101">
        <v>42461</v>
      </c>
      <c r="O345" s="75">
        <v>0.90625</v>
      </c>
      <c r="P345" t="s">
        <v>3931</v>
      </c>
      <c r="Q345" t="s">
        <v>967</v>
      </c>
      <c r="R345" t="s">
        <v>3076</v>
      </c>
      <c r="S345" t="s">
        <v>1868</v>
      </c>
      <c r="T345" t="s">
        <v>3655</v>
      </c>
      <c r="V345" t="s">
        <v>2965</v>
      </c>
      <c r="X345" t="s">
        <v>2914</v>
      </c>
    </row>
    <row r="346" spans="1:24" ht="16" customHeight="1" x14ac:dyDescent="0.6">
      <c r="A346" t="s">
        <v>3932</v>
      </c>
      <c r="B346" t="s">
        <v>17</v>
      </c>
      <c r="C346" t="s">
        <v>3041</v>
      </c>
      <c r="E346" t="s">
        <v>2930</v>
      </c>
      <c r="F346">
        <v>3132927</v>
      </c>
      <c r="H346">
        <v>367129993</v>
      </c>
      <c r="I346">
        <v>20</v>
      </c>
      <c r="J346" s="98">
        <v>1</v>
      </c>
      <c r="K346" s="79">
        <v>46128.916666666664</v>
      </c>
      <c r="M346" t="s">
        <v>2955</v>
      </c>
      <c r="X346" t="s">
        <v>2914</v>
      </c>
    </row>
    <row r="347" spans="1:24" ht="16" customHeight="1" x14ac:dyDescent="0.6">
      <c r="A347" t="s">
        <v>3933</v>
      </c>
      <c r="B347" t="s">
        <v>17</v>
      </c>
      <c r="C347" t="s">
        <v>3011</v>
      </c>
      <c r="E347" t="s">
        <v>2930</v>
      </c>
      <c r="F347">
        <v>3050886</v>
      </c>
      <c r="H347">
        <v>907153889</v>
      </c>
      <c r="I347">
        <v>100</v>
      </c>
      <c r="J347" s="98">
        <v>1</v>
      </c>
      <c r="K347" s="79">
        <v>46128.895833333336</v>
      </c>
      <c r="M347" t="s">
        <v>2910</v>
      </c>
      <c r="N347" s="101">
        <v>42461</v>
      </c>
      <c r="O347" s="75">
        <v>0.88541666666666663</v>
      </c>
      <c r="P347" t="s">
        <v>3934</v>
      </c>
      <c r="Q347" t="s">
        <v>967</v>
      </c>
      <c r="R347" t="s">
        <v>3058</v>
      </c>
      <c r="S347" t="s">
        <v>1868</v>
      </c>
      <c r="T347" t="s">
        <v>3059</v>
      </c>
      <c r="V347" t="s">
        <v>2965</v>
      </c>
      <c r="X347" t="s">
        <v>2914</v>
      </c>
    </row>
    <row r="348" spans="1:24" ht="16" customHeight="1" x14ac:dyDescent="0.6">
      <c r="A348" t="s">
        <v>3935</v>
      </c>
      <c r="B348" t="s">
        <v>17</v>
      </c>
      <c r="C348" t="s">
        <v>3047</v>
      </c>
      <c r="E348" t="s">
        <v>2917</v>
      </c>
      <c r="F348">
        <v>3164737</v>
      </c>
      <c r="H348">
        <v>328559865</v>
      </c>
      <c r="I348">
        <v>100</v>
      </c>
      <c r="J348" s="98">
        <v>0.75</v>
      </c>
      <c r="K348" s="79">
        <v>46128.958333333336</v>
      </c>
      <c r="M348" t="s">
        <v>2910</v>
      </c>
      <c r="N348" s="101">
        <v>42461</v>
      </c>
      <c r="O348" s="75">
        <v>0.90625</v>
      </c>
      <c r="P348" t="s">
        <v>3936</v>
      </c>
      <c r="Q348" t="s">
        <v>967</v>
      </c>
      <c r="R348" t="s">
        <v>3210</v>
      </c>
      <c r="S348" t="s">
        <v>1868</v>
      </c>
      <c r="T348" t="s">
        <v>3063</v>
      </c>
      <c r="V348" t="s">
        <v>2965</v>
      </c>
      <c r="X348" t="s">
        <v>2914</v>
      </c>
    </row>
    <row r="349" spans="1:24" ht="16" customHeight="1" x14ac:dyDescent="0.6">
      <c r="A349" t="s">
        <v>3937</v>
      </c>
      <c r="B349" t="s">
        <v>17</v>
      </c>
      <c r="C349" t="s">
        <v>3314</v>
      </c>
      <c r="D349" t="s">
        <v>3315</v>
      </c>
      <c r="E349" t="s">
        <v>2917</v>
      </c>
      <c r="F349">
        <v>3083614</v>
      </c>
      <c r="H349">
        <v>987725335</v>
      </c>
      <c r="I349">
        <v>75</v>
      </c>
      <c r="J349" s="98">
        <v>0.75</v>
      </c>
      <c r="K349" s="79">
        <v>46128.916666666664</v>
      </c>
      <c r="M349" t="s">
        <v>2910</v>
      </c>
      <c r="N349" s="101">
        <v>42461</v>
      </c>
      <c r="P349" t="s">
        <v>3938</v>
      </c>
      <c r="Q349" t="s">
        <v>967</v>
      </c>
      <c r="R349" t="s">
        <v>3606</v>
      </c>
      <c r="S349" t="s">
        <v>1868</v>
      </c>
      <c r="T349" t="s">
        <v>3388</v>
      </c>
      <c r="V349" t="s">
        <v>2965</v>
      </c>
      <c r="X349" t="s">
        <v>2914</v>
      </c>
    </row>
    <row r="350" spans="1:24" ht="16" customHeight="1" x14ac:dyDescent="0.6">
      <c r="A350" t="s">
        <v>3939</v>
      </c>
      <c r="B350" t="s">
        <v>17</v>
      </c>
      <c r="C350" t="s">
        <v>3041</v>
      </c>
      <c r="E350" t="s">
        <v>2930</v>
      </c>
      <c r="F350">
        <v>3132927</v>
      </c>
      <c r="H350">
        <v>367129993</v>
      </c>
      <c r="I350">
        <v>10</v>
      </c>
      <c r="J350" s="98">
        <v>0.3</v>
      </c>
      <c r="K350" s="79">
        <v>46129.208333333336</v>
      </c>
      <c r="L350" t="s">
        <v>3940</v>
      </c>
      <c r="M350" t="s">
        <v>2910</v>
      </c>
      <c r="N350" s="101">
        <v>42826</v>
      </c>
      <c r="O350" s="75">
        <v>0.16666666666666666</v>
      </c>
      <c r="P350" t="s">
        <v>3941</v>
      </c>
      <c r="Q350" t="s">
        <v>967</v>
      </c>
      <c r="R350" t="s">
        <v>2941</v>
      </c>
      <c r="S350" t="s">
        <v>1868</v>
      </c>
      <c r="X350" t="s">
        <v>2914</v>
      </c>
    </row>
    <row r="351" spans="1:24" ht="16" customHeight="1" x14ac:dyDescent="0.6">
      <c r="A351" t="s">
        <v>3942</v>
      </c>
      <c r="B351" t="s">
        <v>17</v>
      </c>
      <c r="C351" t="s">
        <v>3066</v>
      </c>
      <c r="E351" t="s">
        <v>2930</v>
      </c>
      <c r="F351">
        <v>1881780</v>
      </c>
      <c r="H351">
        <v>346339027</v>
      </c>
      <c r="I351">
        <v>100</v>
      </c>
      <c r="J351" s="98">
        <v>0.75</v>
      </c>
      <c r="K351" s="79">
        <v>46129.229166666664</v>
      </c>
      <c r="M351" t="s">
        <v>2910</v>
      </c>
      <c r="N351" s="101">
        <v>42826</v>
      </c>
      <c r="O351" s="75">
        <v>0.20833333333333334</v>
      </c>
      <c r="P351" t="s">
        <v>3943</v>
      </c>
      <c r="Q351" t="s">
        <v>967</v>
      </c>
      <c r="R351" t="s">
        <v>3068</v>
      </c>
      <c r="S351" t="s">
        <v>1868</v>
      </c>
      <c r="X351" t="s">
        <v>2914</v>
      </c>
    </row>
    <row r="352" spans="1:24" ht="16" customHeight="1" x14ac:dyDescent="0.6">
      <c r="A352" t="s">
        <v>3944</v>
      </c>
      <c r="B352" t="s">
        <v>17</v>
      </c>
      <c r="C352" t="s">
        <v>3047</v>
      </c>
      <c r="E352" t="s">
        <v>2917</v>
      </c>
      <c r="F352">
        <v>3164737</v>
      </c>
      <c r="H352">
        <v>328559865</v>
      </c>
      <c r="I352">
        <v>80</v>
      </c>
      <c r="J352" s="98">
        <v>0.5</v>
      </c>
      <c r="K352" s="79">
        <v>46129.208333333336</v>
      </c>
      <c r="M352" t="s">
        <v>2910</v>
      </c>
      <c r="N352" s="101">
        <v>42826</v>
      </c>
      <c r="O352" s="75">
        <v>0.20833333333333334</v>
      </c>
      <c r="P352" t="s">
        <v>3945</v>
      </c>
      <c r="Q352" t="s">
        <v>967</v>
      </c>
      <c r="R352" t="s">
        <v>3112</v>
      </c>
      <c r="S352" t="s">
        <v>1868</v>
      </c>
      <c r="X352" t="s">
        <v>2914</v>
      </c>
    </row>
    <row r="353" spans="1:24" ht="16" customHeight="1" x14ac:dyDescent="0.6">
      <c r="A353" t="s">
        <v>3946</v>
      </c>
      <c r="B353" t="s">
        <v>17</v>
      </c>
      <c r="C353" t="s">
        <v>3179</v>
      </c>
      <c r="E353" t="s">
        <v>2930</v>
      </c>
      <c r="F353">
        <v>3149706</v>
      </c>
      <c r="G353" t="s">
        <v>3180</v>
      </c>
      <c r="H353">
        <v>706395955</v>
      </c>
      <c r="I353">
        <v>300</v>
      </c>
      <c r="J353" s="98">
        <v>1</v>
      </c>
      <c r="K353" s="79">
        <v>46129.708333333336</v>
      </c>
      <c r="M353" t="s">
        <v>3029</v>
      </c>
      <c r="N353" s="101">
        <v>42826</v>
      </c>
      <c r="X353" t="s">
        <v>2914</v>
      </c>
    </row>
    <row r="354" spans="1:24" ht="16" customHeight="1" x14ac:dyDescent="0.6">
      <c r="A354" t="s">
        <v>3947</v>
      </c>
      <c r="B354" t="s">
        <v>17</v>
      </c>
      <c r="C354" t="s">
        <v>2943</v>
      </c>
      <c r="E354" t="s">
        <v>2930</v>
      </c>
      <c r="F354">
        <v>1884115</v>
      </c>
      <c r="H354">
        <v>971578282</v>
      </c>
      <c r="I354">
        <v>47</v>
      </c>
      <c r="J354" s="98">
        <v>0.75</v>
      </c>
      <c r="K354" s="79">
        <v>46129.916666666664</v>
      </c>
      <c r="M354" t="s">
        <v>2910</v>
      </c>
      <c r="N354" s="101">
        <v>42826</v>
      </c>
      <c r="P354" t="s">
        <v>3948</v>
      </c>
      <c r="Q354" t="s">
        <v>967</v>
      </c>
      <c r="R354" t="s">
        <v>3949</v>
      </c>
      <c r="S354" t="s">
        <v>1868</v>
      </c>
      <c r="T354" t="s">
        <v>3026</v>
      </c>
      <c r="V354" t="s">
        <v>2965</v>
      </c>
      <c r="X354" t="s">
        <v>2914</v>
      </c>
    </row>
    <row r="355" spans="1:24" ht="16" customHeight="1" x14ac:dyDescent="0.6">
      <c r="A355" t="s">
        <v>3950</v>
      </c>
      <c r="B355" t="s">
        <v>17</v>
      </c>
      <c r="C355" t="s">
        <v>3247</v>
      </c>
      <c r="E355" t="s">
        <v>2917</v>
      </c>
      <c r="F355">
        <v>3127246</v>
      </c>
      <c r="H355">
        <v>385161509</v>
      </c>
      <c r="I355">
        <v>200</v>
      </c>
      <c r="J355" s="98">
        <v>1</v>
      </c>
      <c r="K355" s="79">
        <v>46129.895833333336</v>
      </c>
      <c r="M355" t="s">
        <v>2955</v>
      </c>
      <c r="X355" t="s">
        <v>2914</v>
      </c>
    </row>
    <row r="356" spans="1:24" ht="16" customHeight="1" x14ac:dyDescent="0.6">
      <c r="A356" t="s">
        <v>3951</v>
      </c>
      <c r="B356" t="s">
        <v>17</v>
      </c>
      <c r="C356" t="s">
        <v>3055</v>
      </c>
      <c r="E356" t="s">
        <v>2930</v>
      </c>
      <c r="F356">
        <v>3152447</v>
      </c>
      <c r="H356">
        <v>914595782</v>
      </c>
      <c r="I356">
        <v>30</v>
      </c>
      <c r="J356" s="98">
        <v>0.3</v>
      </c>
      <c r="K356" s="79">
        <v>46128.9375</v>
      </c>
      <c r="M356" t="s">
        <v>2910</v>
      </c>
      <c r="N356" s="101">
        <v>42826</v>
      </c>
      <c r="P356" t="s">
        <v>3948</v>
      </c>
      <c r="Q356" t="s">
        <v>967</v>
      </c>
      <c r="R356" t="s">
        <v>3949</v>
      </c>
      <c r="S356" t="s">
        <v>1868</v>
      </c>
      <c r="T356" t="s">
        <v>3026</v>
      </c>
      <c r="V356" t="s">
        <v>2965</v>
      </c>
      <c r="X356" t="s">
        <v>2914</v>
      </c>
    </row>
    <row r="357" spans="1:24" ht="16" customHeight="1" x14ac:dyDescent="0.6">
      <c r="A357" t="s">
        <v>3952</v>
      </c>
      <c r="B357" t="s">
        <v>17</v>
      </c>
      <c r="C357" t="s">
        <v>2954</v>
      </c>
      <c r="E357" t="s">
        <v>2930</v>
      </c>
      <c r="F357">
        <v>3129272</v>
      </c>
      <c r="G357">
        <v>937329651</v>
      </c>
      <c r="H357">
        <v>876177676</v>
      </c>
      <c r="I357">
        <v>60</v>
      </c>
      <c r="J357" s="98">
        <v>0.5</v>
      </c>
      <c r="K357" s="79">
        <v>46129.90625</v>
      </c>
      <c r="M357" t="s">
        <v>2910</v>
      </c>
      <c r="N357" s="101">
        <v>42826</v>
      </c>
      <c r="O357" s="75">
        <v>0.91666666666666663</v>
      </c>
      <c r="P357" t="s">
        <v>3953</v>
      </c>
      <c r="Q357" t="s">
        <v>967</v>
      </c>
      <c r="R357" t="s">
        <v>3575</v>
      </c>
      <c r="S357" t="s">
        <v>1868</v>
      </c>
      <c r="T357" t="s">
        <v>2933</v>
      </c>
      <c r="V357" t="s">
        <v>2965</v>
      </c>
      <c r="X357" t="s">
        <v>2914</v>
      </c>
    </row>
    <row r="358" spans="1:24" ht="16" customHeight="1" x14ac:dyDescent="0.6">
      <c r="A358" t="s">
        <v>3954</v>
      </c>
      <c r="B358" t="s">
        <v>17</v>
      </c>
      <c r="C358" t="s">
        <v>3041</v>
      </c>
      <c r="E358" t="s">
        <v>2930</v>
      </c>
      <c r="F358">
        <v>3132927</v>
      </c>
      <c r="H358">
        <v>367129993</v>
      </c>
      <c r="I358">
        <v>15</v>
      </c>
      <c r="J358" s="98">
        <v>0.5</v>
      </c>
      <c r="K358" s="79">
        <v>46130.208333333336</v>
      </c>
      <c r="L358" t="s">
        <v>3940</v>
      </c>
      <c r="M358" t="s">
        <v>2910</v>
      </c>
      <c r="N358" s="101">
        <v>43191</v>
      </c>
      <c r="O358" s="75">
        <v>0.16666666666666666</v>
      </c>
      <c r="P358" t="s">
        <v>3955</v>
      </c>
      <c r="Q358" t="s">
        <v>967</v>
      </c>
      <c r="R358" t="s">
        <v>2941</v>
      </c>
      <c r="S358" t="s">
        <v>1868</v>
      </c>
      <c r="T358" t="s">
        <v>3956</v>
      </c>
      <c r="V358" t="s">
        <v>2965</v>
      </c>
      <c r="X358" t="s">
        <v>2914</v>
      </c>
    </row>
    <row r="359" spans="1:24" ht="16" customHeight="1" x14ac:dyDescent="0.6">
      <c r="A359" t="s">
        <v>3957</v>
      </c>
      <c r="B359" t="s">
        <v>17</v>
      </c>
      <c r="C359" t="s">
        <v>3958</v>
      </c>
      <c r="E359" t="s">
        <v>2917</v>
      </c>
      <c r="F359">
        <v>3099988</v>
      </c>
      <c r="G359" t="s">
        <v>3959</v>
      </c>
      <c r="H359">
        <v>767838956</v>
      </c>
      <c r="I359">
        <v>50</v>
      </c>
      <c r="J359" s="98">
        <v>0.5</v>
      </c>
      <c r="K359" s="79">
        <v>46130.895833333336</v>
      </c>
      <c r="L359" t="s">
        <v>3960</v>
      </c>
      <c r="M359" t="s">
        <v>3206</v>
      </c>
      <c r="X359" t="s">
        <v>2914</v>
      </c>
    </row>
    <row r="360" spans="1:24" ht="16" customHeight="1" x14ac:dyDescent="0.6">
      <c r="A360" t="s">
        <v>3961</v>
      </c>
      <c r="B360" t="s">
        <v>17</v>
      </c>
      <c r="C360" t="s">
        <v>3179</v>
      </c>
      <c r="E360" t="s">
        <v>2930</v>
      </c>
      <c r="F360">
        <v>3149706</v>
      </c>
      <c r="G360" t="s">
        <v>3180</v>
      </c>
      <c r="H360">
        <v>706395955</v>
      </c>
      <c r="I360">
        <v>300</v>
      </c>
      <c r="J360" s="98">
        <v>1</v>
      </c>
      <c r="K360" s="79">
        <v>46130.708333333336</v>
      </c>
      <c r="M360" t="s">
        <v>2910</v>
      </c>
      <c r="X360" t="s">
        <v>3962</v>
      </c>
    </row>
    <row r="361" spans="1:24" ht="16" customHeight="1" x14ac:dyDescent="0.6">
      <c r="A361" t="s">
        <v>3963</v>
      </c>
      <c r="B361" t="s">
        <v>17</v>
      </c>
      <c r="C361" t="s">
        <v>3031</v>
      </c>
      <c r="E361" t="s">
        <v>2917</v>
      </c>
      <c r="F361">
        <v>3147977</v>
      </c>
      <c r="H361">
        <v>797255556</v>
      </c>
      <c r="I361">
        <v>149</v>
      </c>
      <c r="J361" s="98">
        <v>1</v>
      </c>
      <c r="K361" s="79">
        <v>46130.958333333336</v>
      </c>
      <c r="M361" t="s">
        <v>2910</v>
      </c>
      <c r="N361" s="101">
        <v>43191</v>
      </c>
      <c r="P361" t="s">
        <v>3964</v>
      </c>
      <c r="Q361" t="s">
        <v>967</v>
      </c>
      <c r="R361" t="s">
        <v>3575</v>
      </c>
      <c r="S361" t="s">
        <v>1868</v>
      </c>
      <c r="T361" t="s">
        <v>3117</v>
      </c>
      <c r="V361" t="s">
        <v>3009</v>
      </c>
      <c r="X361" t="s">
        <v>2914</v>
      </c>
    </row>
    <row r="362" spans="1:24" ht="16" customHeight="1" x14ac:dyDescent="0.6">
      <c r="A362" t="s">
        <v>3965</v>
      </c>
      <c r="B362" t="s">
        <v>17</v>
      </c>
      <c r="C362" t="s">
        <v>3093</v>
      </c>
      <c r="E362" t="s">
        <v>2930</v>
      </c>
      <c r="F362">
        <v>1872928</v>
      </c>
      <c r="H362">
        <v>344176032</v>
      </c>
      <c r="I362">
        <v>70</v>
      </c>
      <c r="J362" s="98">
        <v>0.75</v>
      </c>
      <c r="K362" s="79">
        <v>46130.895833333336</v>
      </c>
      <c r="M362" t="s">
        <v>2910</v>
      </c>
      <c r="N362" s="101">
        <v>43191</v>
      </c>
      <c r="P362" t="s">
        <v>3966</v>
      </c>
      <c r="Q362" t="s">
        <v>967</v>
      </c>
      <c r="R362" t="s">
        <v>3013</v>
      </c>
      <c r="S362" t="s">
        <v>1868</v>
      </c>
      <c r="T362" t="s">
        <v>3309</v>
      </c>
      <c r="V362" t="s">
        <v>2965</v>
      </c>
      <c r="X362" t="s">
        <v>2914</v>
      </c>
    </row>
    <row r="363" spans="1:24" ht="16" customHeight="1" x14ac:dyDescent="0.6">
      <c r="A363" t="s">
        <v>3967</v>
      </c>
      <c r="B363" t="s">
        <v>17</v>
      </c>
      <c r="C363" t="s">
        <v>3055</v>
      </c>
      <c r="E363" t="s">
        <v>2930</v>
      </c>
      <c r="F363">
        <v>3152447</v>
      </c>
      <c r="H363">
        <v>914595782</v>
      </c>
      <c r="I363">
        <v>20</v>
      </c>
      <c r="J363" s="98">
        <v>0.3</v>
      </c>
      <c r="K363" s="79">
        <v>46130.927083333336</v>
      </c>
      <c r="M363" t="s">
        <v>2910</v>
      </c>
      <c r="N363" s="101">
        <v>43191</v>
      </c>
      <c r="P363" t="s">
        <v>3968</v>
      </c>
      <c r="Q363" t="s">
        <v>967</v>
      </c>
      <c r="R363" t="s">
        <v>3210</v>
      </c>
      <c r="S363" t="s">
        <v>1868</v>
      </c>
      <c r="T363" t="s">
        <v>3063</v>
      </c>
      <c r="V363" t="s">
        <v>2965</v>
      </c>
      <c r="X363" t="s">
        <v>2914</v>
      </c>
    </row>
    <row r="364" spans="1:24" ht="16" customHeight="1" x14ac:dyDescent="0.6">
      <c r="A364" t="s">
        <v>3969</v>
      </c>
      <c r="B364" t="s">
        <v>17</v>
      </c>
      <c r="C364" t="s">
        <v>3958</v>
      </c>
      <c r="E364" t="s">
        <v>2917</v>
      </c>
      <c r="F364">
        <v>3099988</v>
      </c>
      <c r="G364" t="s">
        <v>3959</v>
      </c>
      <c r="H364">
        <v>767838956</v>
      </c>
      <c r="I364">
        <v>30</v>
      </c>
      <c r="J364" s="98">
        <v>0.3</v>
      </c>
      <c r="K364" s="79">
        <v>46131.166666666664</v>
      </c>
      <c r="L364" s="74" t="s">
        <v>3970</v>
      </c>
      <c r="M364" t="s">
        <v>3029</v>
      </c>
      <c r="X364" t="s">
        <v>2914</v>
      </c>
    </row>
    <row r="365" spans="1:24" ht="16" customHeight="1" x14ac:dyDescent="0.6">
      <c r="A365" t="s">
        <v>3971</v>
      </c>
      <c r="B365" t="s">
        <v>17</v>
      </c>
      <c r="C365" t="s">
        <v>2929</v>
      </c>
      <c r="E365" t="s">
        <v>2930</v>
      </c>
      <c r="F365">
        <v>1874442</v>
      </c>
      <c r="G365" t="s">
        <v>3972</v>
      </c>
      <c r="H365">
        <v>349694008</v>
      </c>
      <c r="I365">
        <v>25</v>
      </c>
      <c r="J365" s="98">
        <v>0.3</v>
      </c>
      <c r="K365" s="79">
        <v>46130.927083333336</v>
      </c>
      <c r="M365" t="s">
        <v>2910</v>
      </c>
      <c r="N365" s="101">
        <v>43191</v>
      </c>
      <c r="P365" t="s">
        <v>3973</v>
      </c>
      <c r="Q365" t="s">
        <v>967</v>
      </c>
      <c r="R365" t="s">
        <v>3304</v>
      </c>
      <c r="S365" t="s">
        <v>1868</v>
      </c>
      <c r="T365" t="s">
        <v>3305</v>
      </c>
      <c r="V365" t="s">
        <v>2965</v>
      </c>
      <c r="X365" t="s">
        <v>2914</v>
      </c>
    </row>
    <row r="366" spans="1:24" ht="16" customHeight="1" x14ac:dyDescent="0.6">
      <c r="A366" t="s">
        <v>3974</v>
      </c>
      <c r="B366" t="s">
        <v>17</v>
      </c>
      <c r="C366" t="s">
        <v>3809</v>
      </c>
      <c r="E366" t="s">
        <v>2917</v>
      </c>
      <c r="F366">
        <v>1884115</v>
      </c>
      <c r="H366">
        <v>971578282</v>
      </c>
      <c r="I366">
        <v>30</v>
      </c>
      <c r="J366" s="98">
        <v>0.5</v>
      </c>
      <c r="K366" s="79">
        <v>46131.541666666664</v>
      </c>
      <c r="M366" t="s">
        <v>2910</v>
      </c>
      <c r="N366" s="101">
        <v>43556</v>
      </c>
      <c r="P366" t="s">
        <v>3975</v>
      </c>
      <c r="Q366" t="s">
        <v>967</v>
      </c>
      <c r="R366" t="s">
        <v>2996</v>
      </c>
      <c r="S366" t="s">
        <v>1553</v>
      </c>
      <c r="T366" t="s">
        <v>2427</v>
      </c>
      <c r="V366" t="s">
        <v>202</v>
      </c>
      <c r="X366" t="s">
        <v>2914</v>
      </c>
    </row>
    <row r="367" spans="1:24" ht="16" customHeight="1" x14ac:dyDescent="0.6">
      <c r="A367" t="s">
        <v>3976</v>
      </c>
      <c r="B367" t="s">
        <v>17</v>
      </c>
      <c r="C367" t="s">
        <v>3049</v>
      </c>
      <c r="E367" t="s">
        <v>2909</v>
      </c>
      <c r="F367">
        <v>3121707</v>
      </c>
      <c r="H367">
        <v>931842110</v>
      </c>
      <c r="I367">
        <v>50</v>
      </c>
      <c r="J367" s="98">
        <v>0.5</v>
      </c>
      <c r="K367" s="79">
        <v>46131.875</v>
      </c>
      <c r="L367" t="s">
        <v>3977</v>
      </c>
      <c r="M367" t="s">
        <v>2955</v>
      </c>
      <c r="X367" t="s">
        <v>2914</v>
      </c>
    </row>
    <row r="368" spans="1:24" ht="16" customHeight="1" x14ac:dyDescent="0.6">
      <c r="A368" t="s">
        <v>3978</v>
      </c>
      <c r="B368" t="s">
        <v>17</v>
      </c>
      <c r="C368" t="s">
        <v>3179</v>
      </c>
      <c r="E368" t="s">
        <v>2930</v>
      </c>
      <c r="F368">
        <v>3149706</v>
      </c>
      <c r="G368" t="s">
        <v>3180</v>
      </c>
      <c r="H368">
        <v>706395955</v>
      </c>
      <c r="I368">
        <v>300</v>
      </c>
      <c r="J368" s="98">
        <v>1</v>
      </c>
      <c r="K368" s="79">
        <v>46132.625</v>
      </c>
      <c r="M368" t="s">
        <v>2910</v>
      </c>
      <c r="X368" t="s">
        <v>3962</v>
      </c>
    </row>
    <row r="369" spans="1:24" ht="16" customHeight="1" x14ac:dyDescent="0.6">
      <c r="A369" t="s">
        <v>3979</v>
      </c>
      <c r="B369" t="s">
        <v>17</v>
      </c>
      <c r="C369" t="s">
        <v>3126</v>
      </c>
      <c r="E369" t="s">
        <v>2930</v>
      </c>
      <c r="F369">
        <v>3124062</v>
      </c>
      <c r="H369">
        <v>966074753</v>
      </c>
      <c r="I369">
        <v>300</v>
      </c>
      <c r="J369" t="s">
        <v>2919</v>
      </c>
      <c r="K369" s="79">
        <v>46132.875</v>
      </c>
      <c r="L369" s="74" t="s">
        <v>3980</v>
      </c>
      <c r="M369" t="s">
        <v>2910</v>
      </c>
      <c r="N369" s="101">
        <v>43922</v>
      </c>
      <c r="P369" t="s">
        <v>3981</v>
      </c>
      <c r="Q369" t="s">
        <v>967</v>
      </c>
      <c r="R369" t="s">
        <v>3982</v>
      </c>
      <c r="S369" t="s">
        <v>3096</v>
      </c>
      <c r="T369" t="s">
        <v>3983</v>
      </c>
      <c r="V369" t="s">
        <v>2965</v>
      </c>
      <c r="X369" t="s">
        <v>2914</v>
      </c>
    </row>
    <row r="370" spans="1:24" ht="16" customHeight="1" x14ac:dyDescent="0.6">
      <c r="A370" t="s">
        <v>3984</v>
      </c>
      <c r="B370" t="s">
        <v>17</v>
      </c>
      <c r="C370" t="s">
        <v>2954</v>
      </c>
      <c r="E370" t="s">
        <v>2930</v>
      </c>
      <c r="F370">
        <v>3129272</v>
      </c>
      <c r="G370">
        <v>937329651</v>
      </c>
      <c r="H370">
        <v>876177676</v>
      </c>
      <c r="I370">
        <v>80</v>
      </c>
      <c r="J370" s="98">
        <v>0.75</v>
      </c>
      <c r="K370" s="79">
        <v>46132.895833333336</v>
      </c>
      <c r="M370" t="s">
        <v>3029</v>
      </c>
      <c r="X370" t="s">
        <v>3962</v>
      </c>
    </row>
    <row r="371" spans="1:24" ht="16" customHeight="1" x14ac:dyDescent="0.6">
      <c r="A371" t="s">
        <v>3985</v>
      </c>
      <c r="B371" t="s">
        <v>17</v>
      </c>
      <c r="C371" t="s">
        <v>2986</v>
      </c>
      <c r="E371" t="s">
        <v>2917</v>
      </c>
      <c r="F371">
        <v>3150112</v>
      </c>
      <c r="G371" t="s">
        <v>3986</v>
      </c>
      <c r="H371">
        <v>965514797</v>
      </c>
      <c r="I371">
        <v>75</v>
      </c>
      <c r="J371" s="98">
        <v>0.75</v>
      </c>
      <c r="K371" s="79">
        <v>46132.895833333336</v>
      </c>
      <c r="M371" t="s">
        <v>2910</v>
      </c>
      <c r="N371" s="101">
        <v>43922</v>
      </c>
      <c r="P371" t="s">
        <v>3987</v>
      </c>
      <c r="Q371" t="s">
        <v>967</v>
      </c>
      <c r="R371" t="s">
        <v>3249</v>
      </c>
      <c r="S371" t="s">
        <v>1868</v>
      </c>
      <c r="T371" t="s">
        <v>3988</v>
      </c>
      <c r="V371" t="s">
        <v>2965</v>
      </c>
      <c r="X371" t="s">
        <v>2914</v>
      </c>
    </row>
    <row r="372" spans="1:24" ht="16" customHeight="1" x14ac:dyDescent="0.6">
      <c r="A372" t="s">
        <v>3989</v>
      </c>
      <c r="B372" t="s">
        <v>17</v>
      </c>
      <c r="C372" t="s">
        <v>3547</v>
      </c>
      <c r="D372" t="s">
        <v>140</v>
      </c>
      <c r="E372" t="s">
        <v>2930</v>
      </c>
      <c r="F372">
        <v>3020591</v>
      </c>
      <c r="H372">
        <v>988544750</v>
      </c>
      <c r="I372">
        <v>198</v>
      </c>
      <c r="J372" s="98">
        <v>1</v>
      </c>
      <c r="K372" s="79">
        <v>46132.875</v>
      </c>
      <c r="M372" t="s">
        <v>2910</v>
      </c>
      <c r="N372" s="101">
        <v>43922</v>
      </c>
      <c r="P372" t="s">
        <v>3990</v>
      </c>
      <c r="Q372" t="s">
        <v>1356</v>
      </c>
      <c r="R372" t="s">
        <v>3991</v>
      </c>
      <c r="S372" t="s">
        <v>1868</v>
      </c>
      <c r="T372" t="s">
        <v>3992</v>
      </c>
      <c r="V372" t="s">
        <v>2965</v>
      </c>
      <c r="X372" t="s">
        <v>2914</v>
      </c>
    </row>
    <row r="373" spans="1:24" ht="16" customHeight="1" x14ac:dyDescent="0.6">
      <c r="A373" t="s">
        <v>3993</v>
      </c>
      <c r="B373" t="s">
        <v>17</v>
      </c>
      <c r="C373" t="s">
        <v>3719</v>
      </c>
      <c r="E373" t="s">
        <v>2930</v>
      </c>
      <c r="F373">
        <v>3131686</v>
      </c>
      <c r="G373" t="s">
        <v>3720</v>
      </c>
      <c r="H373">
        <v>985077421</v>
      </c>
      <c r="I373">
        <v>120</v>
      </c>
      <c r="J373" s="98">
        <v>1</v>
      </c>
      <c r="K373" s="79">
        <v>46132.875</v>
      </c>
      <c r="L373" t="s">
        <v>3994</v>
      </c>
      <c r="M373" t="s">
        <v>2910</v>
      </c>
      <c r="N373" s="101">
        <v>43922</v>
      </c>
      <c r="O373" s="75">
        <v>0.91666666666666663</v>
      </c>
      <c r="P373" t="s">
        <v>3995</v>
      </c>
      <c r="Q373" t="s">
        <v>967</v>
      </c>
      <c r="R373" t="s">
        <v>2988</v>
      </c>
      <c r="S373" t="s">
        <v>1868</v>
      </c>
      <c r="T373" t="s">
        <v>2989</v>
      </c>
      <c r="V373" t="s">
        <v>2965</v>
      </c>
      <c r="X373" t="s">
        <v>2914</v>
      </c>
    </row>
    <row r="374" spans="1:24" ht="16" customHeight="1" x14ac:dyDescent="0.6">
      <c r="A374" t="s">
        <v>3996</v>
      </c>
      <c r="B374" t="s">
        <v>17</v>
      </c>
      <c r="C374" t="s">
        <v>3129</v>
      </c>
      <c r="E374" t="s">
        <v>2930</v>
      </c>
      <c r="F374">
        <v>1882650</v>
      </c>
      <c r="H374">
        <v>775748473</v>
      </c>
      <c r="I374">
        <v>200</v>
      </c>
      <c r="J374" t="s">
        <v>2919</v>
      </c>
      <c r="K374" s="79">
        <v>46132.75</v>
      </c>
      <c r="L374" t="s">
        <v>3997</v>
      </c>
      <c r="M374" t="s">
        <v>2910</v>
      </c>
      <c r="N374" s="101">
        <v>43922</v>
      </c>
      <c r="O374" s="75">
        <v>0.88541666666666663</v>
      </c>
      <c r="P374" t="s">
        <v>3998</v>
      </c>
      <c r="Q374" t="s">
        <v>1356</v>
      </c>
      <c r="R374" t="s">
        <v>3266</v>
      </c>
      <c r="S374" t="s">
        <v>1868</v>
      </c>
      <c r="T374" t="s">
        <v>3999</v>
      </c>
      <c r="V374" t="s">
        <v>2965</v>
      </c>
      <c r="X374" t="s">
        <v>2914</v>
      </c>
    </row>
    <row r="375" spans="1:24" ht="16" customHeight="1" x14ac:dyDescent="0.6">
      <c r="A375" t="s">
        <v>4000</v>
      </c>
      <c r="B375" t="s">
        <v>17</v>
      </c>
      <c r="C375" t="s">
        <v>2916</v>
      </c>
      <c r="E375" t="s">
        <v>2917</v>
      </c>
      <c r="F375">
        <v>3070766</v>
      </c>
      <c r="G375" t="s">
        <v>3684</v>
      </c>
      <c r="H375">
        <v>376156434</v>
      </c>
      <c r="I375">
        <v>100</v>
      </c>
      <c r="J375" s="98">
        <v>1</v>
      </c>
      <c r="K375" s="79">
        <v>46132.916666666664</v>
      </c>
      <c r="M375" t="s">
        <v>2910</v>
      </c>
      <c r="N375" s="101">
        <v>43922</v>
      </c>
      <c r="O375" s="75">
        <v>0.89583333333333337</v>
      </c>
      <c r="P375" t="s">
        <v>4001</v>
      </c>
      <c r="Q375" t="s">
        <v>1356</v>
      </c>
      <c r="R375" t="s">
        <v>4002</v>
      </c>
      <c r="S375" t="s">
        <v>1868</v>
      </c>
      <c r="T375" t="s">
        <v>4003</v>
      </c>
      <c r="V375" t="s">
        <v>2965</v>
      </c>
      <c r="X375" t="s">
        <v>2914</v>
      </c>
    </row>
    <row r="376" spans="1:24" ht="16" customHeight="1" x14ac:dyDescent="0.6">
      <c r="A376" t="s">
        <v>4004</v>
      </c>
      <c r="B376" t="s">
        <v>17</v>
      </c>
      <c r="C376" t="s">
        <v>3066</v>
      </c>
      <c r="E376" t="s">
        <v>2930</v>
      </c>
      <c r="F376">
        <v>1881780</v>
      </c>
      <c r="H376">
        <v>346339027</v>
      </c>
      <c r="I376">
        <v>100</v>
      </c>
      <c r="J376" s="98">
        <v>0.75</v>
      </c>
      <c r="K376" s="79">
        <v>46132.875</v>
      </c>
      <c r="M376" t="s">
        <v>2910</v>
      </c>
      <c r="N376" s="101">
        <v>43922</v>
      </c>
      <c r="O376" s="75">
        <v>0.89583333333333337</v>
      </c>
      <c r="P376" t="s">
        <v>4005</v>
      </c>
      <c r="Q376" t="s">
        <v>1356</v>
      </c>
      <c r="R376" t="s">
        <v>4006</v>
      </c>
      <c r="S376" t="s">
        <v>1868</v>
      </c>
      <c r="T376" t="s">
        <v>3655</v>
      </c>
      <c r="V376" t="s">
        <v>2965</v>
      </c>
      <c r="X376" t="s">
        <v>2914</v>
      </c>
    </row>
    <row r="377" spans="1:24" ht="16" customHeight="1" x14ac:dyDescent="0.6">
      <c r="A377" t="s">
        <v>4007</v>
      </c>
      <c r="B377" t="s">
        <v>17</v>
      </c>
      <c r="C377" t="s">
        <v>3632</v>
      </c>
      <c r="E377" t="s">
        <v>2930</v>
      </c>
      <c r="F377">
        <v>3120684</v>
      </c>
      <c r="H377">
        <v>899906675</v>
      </c>
      <c r="I377">
        <v>100</v>
      </c>
      <c r="J377" s="98">
        <v>1</v>
      </c>
      <c r="K377" s="79">
        <v>46132.895833333336</v>
      </c>
      <c r="M377" t="s">
        <v>2910</v>
      </c>
      <c r="N377" s="101">
        <v>43922</v>
      </c>
      <c r="O377" s="75">
        <v>0.95833333333333337</v>
      </c>
      <c r="P377" t="s">
        <v>4008</v>
      </c>
      <c r="Q377" t="s">
        <v>1356</v>
      </c>
      <c r="R377" t="s">
        <v>4009</v>
      </c>
      <c r="S377" t="s">
        <v>1868</v>
      </c>
      <c r="T377" t="s">
        <v>4010</v>
      </c>
      <c r="V377" t="s">
        <v>2965</v>
      </c>
      <c r="X377" t="s">
        <v>2914</v>
      </c>
    </row>
    <row r="378" spans="1:24" ht="16" customHeight="1" x14ac:dyDescent="0.6">
      <c r="A378" t="s">
        <v>4011</v>
      </c>
      <c r="B378" t="s">
        <v>17</v>
      </c>
      <c r="C378" t="s">
        <v>3314</v>
      </c>
      <c r="D378" t="s">
        <v>3315</v>
      </c>
      <c r="E378" t="s">
        <v>2917</v>
      </c>
      <c r="F378">
        <v>3083614</v>
      </c>
      <c r="H378">
        <v>987725335</v>
      </c>
      <c r="I378">
        <v>100</v>
      </c>
      <c r="J378" s="98">
        <v>1</v>
      </c>
      <c r="K378" s="79">
        <v>46132.916666666664</v>
      </c>
      <c r="M378" t="s">
        <v>2910</v>
      </c>
      <c r="N378" s="101">
        <v>43922</v>
      </c>
      <c r="O378" s="75">
        <v>0.9375</v>
      </c>
      <c r="P378" t="s">
        <v>4012</v>
      </c>
      <c r="Q378" t="s">
        <v>1356</v>
      </c>
      <c r="R378" t="s">
        <v>3002</v>
      </c>
      <c r="S378" t="s">
        <v>1868</v>
      </c>
      <c r="T378" t="s">
        <v>3003</v>
      </c>
      <c r="V378" t="s">
        <v>2965</v>
      </c>
      <c r="X378" t="s">
        <v>2914</v>
      </c>
    </row>
    <row r="379" spans="1:24" ht="16" customHeight="1" x14ac:dyDescent="0.6">
      <c r="A379" t="s">
        <v>4013</v>
      </c>
      <c r="B379" t="s">
        <v>17</v>
      </c>
      <c r="C379" t="s">
        <v>4014</v>
      </c>
      <c r="E379" t="s">
        <v>2917</v>
      </c>
      <c r="F379">
        <v>3058243</v>
      </c>
      <c r="H379">
        <v>349019264</v>
      </c>
      <c r="I379">
        <v>50</v>
      </c>
      <c r="J379" s="98">
        <v>0.5</v>
      </c>
      <c r="K379" s="79">
        <v>46132.875</v>
      </c>
      <c r="L379" t="s">
        <v>4015</v>
      </c>
      <c r="M379" t="s">
        <v>2910</v>
      </c>
      <c r="N379" s="101">
        <v>43922</v>
      </c>
      <c r="O379" s="75">
        <v>0.95833333333333337</v>
      </c>
      <c r="P379" t="s">
        <v>4016</v>
      </c>
      <c r="Q379" t="s">
        <v>967</v>
      </c>
      <c r="R379" t="s">
        <v>3058</v>
      </c>
      <c r="S379" t="s">
        <v>1868</v>
      </c>
      <c r="T379" t="s">
        <v>3059</v>
      </c>
      <c r="V379" t="s">
        <v>202</v>
      </c>
      <c r="X379" t="s">
        <v>2914</v>
      </c>
    </row>
    <row r="380" spans="1:24" ht="16" customHeight="1" x14ac:dyDescent="0.6">
      <c r="A380" t="s">
        <v>4017</v>
      </c>
      <c r="B380" t="s">
        <v>17</v>
      </c>
      <c r="C380" t="s">
        <v>2935</v>
      </c>
      <c r="E380" t="s">
        <v>2917</v>
      </c>
      <c r="F380">
        <v>1874426</v>
      </c>
      <c r="H380">
        <v>949394466</v>
      </c>
      <c r="I380">
        <v>120</v>
      </c>
      <c r="J380" s="98">
        <v>1</v>
      </c>
      <c r="K380" s="79">
        <v>46132.9375</v>
      </c>
      <c r="M380" t="s">
        <v>2910</v>
      </c>
      <c r="N380" s="101">
        <v>43922</v>
      </c>
      <c r="O380" s="75">
        <v>0.95833333333333337</v>
      </c>
      <c r="P380" t="s">
        <v>4018</v>
      </c>
      <c r="Q380" t="s">
        <v>967</v>
      </c>
      <c r="R380" t="s">
        <v>4019</v>
      </c>
      <c r="S380" t="s">
        <v>1868</v>
      </c>
      <c r="T380" t="s">
        <v>4020</v>
      </c>
      <c r="V380" t="s">
        <v>2965</v>
      </c>
      <c r="X380" t="s">
        <v>2914</v>
      </c>
    </row>
    <row r="381" spans="1:24" ht="16" customHeight="1" x14ac:dyDescent="0.6">
      <c r="A381" t="s">
        <v>4021</v>
      </c>
      <c r="B381" t="s">
        <v>17</v>
      </c>
      <c r="C381" t="s">
        <v>3380</v>
      </c>
      <c r="E381" t="s">
        <v>2930</v>
      </c>
      <c r="F381">
        <v>3106634</v>
      </c>
      <c r="H381">
        <v>908377969</v>
      </c>
      <c r="I381">
        <v>80</v>
      </c>
      <c r="J381" s="98">
        <v>1</v>
      </c>
      <c r="K381" s="79">
        <v>46132.875</v>
      </c>
      <c r="M381" t="s">
        <v>2910</v>
      </c>
      <c r="N381" s="101">
        <v>43922</v>
      </c>
      <c r="O381" s="75">
        <v>0.90625</v>
      </c>
      <c r="P381" t="s">
        <v>4022</v>
      </c>
      <c r="Q381" t="s">
        <v>967</v>
      </c>
      <c r="R381" t="s">
        <v>3013</v>
      </c>
      <c r="S381" t="s">
        <v>1868</v>
      </c>
      <c r="T381" t="s">
        <v>3309</v>
      </c>
      <c r="V381" t="s">
        <v>2965</v>
      </c>
      <c r="X381" t="s">
        <v>2914</v>
      </c>
    </row>
    <row r="382" spans="1:24" ht="16" customHeight="1" x14ac:dyDescent="0.6">
      <c r="A382" t="s">
        <v>4023</v>
      </c>
      <c r="B382" t="s">
        <v>17</v>
      </c>
      <c r="C382" t="s">
        <v>4024</v>
      </c>
      <c r="D382" t="s">
        <v>4025</v>
      </c>
      <c r="E382" t="s">
        <v>2930</v>
      </c>
      <c r="F382">
        <v>3125854</v>
      </c>
      <c r="H382">
        <v>935485966</v>
      </c>
      <c r="I382">
        <v>75</v>
      </c>
      <c r="J382" s="98">
        <v>0.5</v>
      </c>
      <c r="K382" s="79">
        <v>46132.833333333336</v>
      </c>
      <c r="M382" t="s">
        <v>2955</v>
      </c>
      <c r="X382" t="s">
        <v>2914</v>
      </c>
    </row>
    <row r="383" spans="1:24" ht="16" customHeight="1" x14ac:dyDescent="0.6">
      <c r="A383" t="s">
        <v>4026</v>
      </c>
      <c r="B383" t="s">
        <v>17</v>
      </c>
      <c r="C383" t="s">
        <v>2957</v>
      </c>
      <c r="E383" t="s">
        <v>2909</v>
      </c>
      <c r="F383">
        <v>1802852</v>
      </c>
      <c r="H383">
        <v>974607460</v>
      </c>
      <c r="I383">
        <v>100</v>
      </c>
      <c r="J383" s="98">
        <v>0.75</v>
      </c>
      <c r="K383" s="79">
        <v>46132.875</v>
      </c>
      <c r="M383" t="s">
        <v>2910</v>
      </c>
      <c r="N383" s="101">
        <v>43922</v>
      </c>
      <c r="P383" t="s">
        <v>4027</v>
      </c>
      <c r="Q383" t="s">
        <v>967</v>
      </c>
      <c r="R383" t="s">
        <v>3711</v>
      </c>
      <c r="S383" t="s">
        <v>1868</v>
      </c>
      <c r="T383" t="s">
        <v>3461</v>
      </c>
      <c r="V383" t="s">
        <v>202</v>
      </c>
      <c r="X383" t="s">
        <v>2914</v>
      </c>
    </row>
    <row r="384" spans="1:24" ht="16" customHeight="1" x14ac:dyDescent="0.6">
      <c r="A384" t="s">
        <v>4028</v>
      </c>
      <c r="B384" t="s">
        <v>17</v>
      </c>
      <c r="C384" t="s">
        <v>3011</v>
      </c>
      <c r="E384" t="s">
        <v>2930</v>
      </c>
      <c r="F384">
        <v>3050886</v>
      </c>
      <c r="H384">
        <v>907153889</v>
      </c>
      <c r="I384">
        <v>100</v>
      </c>
      <c r="J384" s="98">
        <v>1</v>
      </c>
      <c r="K384" s="79">
        <v>46132.895833333336</v>
      </c>
      <c r="M384" t="s">
        <v>2910</v>
      </c>
      <c r="N384" s="101">
        <v>43922</v>
      </c>
      <c r="O384" s="75">
        <v>0.92708333333333337</v>
      </c>
      <c r="P384" t="s">
        <v>4029</v>
      </c>
      <c r="Q384" t="s">
        <v>967</v>
      </c>
      <c r="R384" t="s">
        <v>3210</v>
      </c>
      <c r="S384" t="s">
        <v>1868</v>
      </c>
      <c r="T384" t="s">
        <v>3063</v>
      </c>
      <c r="V384" t="s">
        <v>2965</v>
      </c>
      <c r="X384" t="s">
        <v>2914</v>
      </c>
    </row>
    <row r="385" spans="1:24" ht="16" customHeight="1" x14ac:dyDescent="0.6">
      <c r="A385" t="s">
        <v>4030</v>
      </c>
      <c r="B385" t="s">
        <v>17</v>
      </c>
      <c r="C385" t="s">
        <v>3208</v>
      </c>
      <c r="E385" t="s">
        <v>2917</v>
      </c>
      <c r="F385">
        <v>3089234</v>
      </c>
      <c r="H385">
        <v>904023657</v>
      </c>
      <c r="I385">
        <v>100</v>
      </c>
      <c r="J385" s="98">
        <v>0.75</v>
      </c>
      <c r="K385" s="79">
        <v>46132.875</v>
      </c>
      <c r="L385" t="s">
        <v>4031</v>
      </c>
      <c r="M385" t="s">
        <v>2910</v>
      </c>
      <c r="N385" s="101">
        <v>43922</v>
      </c>
      <c r="P385" t="s">
        <v>4032</v>
      </c>
      <c r="Q385" t="s">
        <v>1356</v>
      </c>
      <c r="R385" t="s">
        <v>3785</v>
      </c>
      <c r="S385" t="s">
        <v>1868</v>
      </c>
      <c r="T385" t="s">
        <v>4033</v>
      </c>
      <c r="V385" t="s">
        <v>2965</v>
      </c>
      <c r="X385" t="s">
        <v>2914</v>
      </c>
    </row>
    <row r="386" spans="1:24" ht="16" customHeight="1" x14ac:dyDescent="0.6">
      <c r="A386" t="s">
        <v>4034</v>
      </c>
      <c r="B386" t="s">
        <v>17</v>
      </c>
      <c r="C386" t="s">
        <v>3041</v>
      </c>
      <c r="E386" t="s">
        <v>2930</v>
      </c>
      <c r="F386">
        <v>3119517</v>
      </c>
      <c r="H386">
        <v>776705243</v>
      </c>
      <c r="I386">
        <v>100</v>
      </c>
      <c r="J386" s="98">
        <v>1</v>
      </c>
      <c r="K386" s="79">
        <v>46132.833333333336</v>
      </c>
      <c r="L386" t="s">
        <v>4035</v>
      </c>
      <c r="M386" t="s">
        <v>2955</v>
      </c>
      <c r="X386" t="s">
        <v>2914</v>
      </c>
    </row>
    <row r="387" spans="1:24" ht="16" customHeight="1" x14ac:dyDescent="0.6">
      <c r="A387" t="s">
        <v>4036</v>
      </c>
      <c r="B387" t="s">
        <v>17</v>
      </c>
      <c r="C387" t="s">
        <v>3217</v>
      </c>
      <c r="E387" t="s">
        <v>2917</v>
      </c>
      <c r="F387">
        <v>3138935</v>
      </c>
      <c r="H387">
        <v>707613027</v>
      </c>
      <c r="I387">
        <v>200</v>
      </c>
      <c r="J387" s="98">
        <v>1</v>
      </c>
      <c r="K387" s="79">
        <v>46132.916666666664</v>
      </c>
      <c r="L387" t="s">
        <v>4037</v>
      </c>
      <c r="M387" t="s">
        <v>2910</v>
      </c>
      <c r="N387" s="101">
        <v>43922</v>
      </c>
      <c r="P387" t="s">
        <v>4038</v>
      </c>
      <c r="Q387" t="s">
        <v>1356</v>
      </c>
      <c r="R387" t="s">
        <v>4039</v>
      </c>
      <c r="S387" t="s">
        <v>1868</v>
      </c>
      <c r="T387" t="s">
        <v>4040</v>
      </c>
      <c r="V387" t="s">
        <v>2965</v>
      </c>
      <c r="X387" t="s">
        <v>2914</v>
      </c>
    </row>
    <row r="388" spans="1:24" ht="16" customHeight="1" x14ac:dyDescent="0.6">
      <c r="A388" t="s">
        <v>4041</v>
      </c>
      <c r="B388" t="s">
        <v>17</v>
      </c>
      <c r="C388" t="s">
        <v>3101</v>
      </c>
      <c r="E388" t="s">
        <v>2930</v>
      </c>
      <c r="F388">
        <v>3126032</v>
      </c>
      <c r="H388">
        <v>378799783</v>
      </c>
      <c r="I388">
        <v>129</v>
      </c>
      <c r="J388" s="98">
        <v>1</v>
      </c>
      <c r="K388" s="79">
        <v>46132.916666666664</v>
      </c>
      <c r="M388" t="s">
        <v>2910</v>
      </c>
      <c r="N388" s="101">
        <v>43922</v>
      </c>
      <c r="O388" s="75">
        <v>0.95833333333333337</v>
      </c>
      <c r="P388" t="s">
        <v>4042</v>
      </c>
      <c r="Q388" t="s">
        <v>1356</v>
      </c>
      <c r="R388" t="s">
        <v>4043</v>
      </c>
      <c r="S388" t="s">
        <v>1868</v>
      </c>
      <c r="T388" t="s">
        <v>3008</v>
      </c>
      <c r="V388" t="s">
        <v>2965</v>
      </c>
      <c r="X388" t="s">
        <v>2914</v>
      </c>
    </row>
    <row r="389" spans="1:24" ht="16" customHeight="1" x14ac:dyDescent="0.6">
      <c r="A389" t="s">
        <v>4044</v>
      </c>
      <c r="B389" t="s">
        <v>17</v>
      </c>
      <c r="C389" t="s">
        <v>3055</v>
      </c>
      <c r="E389" t="s">
        <v>2930</v>
      </c>
      <c r="F389">
        <v>3152447</v>
      </c>
      <c r="H389">
        <v>914595782</v>
      </c>
      <c r="I389">
        <v>30</v>
      </c>
      <c r="J389" s="98">
        <v>0.3</v>
      </c>
      <c r="K389" s="79">
        <v>46132.9375</v>
      </c>
      <c r="M389" t="s">
        <v>2910</v>
      </c>
      <c r="N389" s="101">
        <v>43922</v>
      </c>
      <c r="O389" s="75">
        <v>0.9375</v>
      </c>
      <c r="P389" t="s">
        <v>4022</v>
      </c>
      <c r="Q389" t="s">
        <v>967</v>
      </c>
      <c r="R389" t="s">
        <v>3013</v>
      </c>
      <c r="S389" t="s">
        <v>1868</v>
      </c>
      <c r="T389" t="s">
        <v>3309</v>
      </c>
      <c r="V389" t="s">
        <v>2965</v>
      </c>
      <c r="X389" t="s">
        <v>2914</v>
      </c>
    </row>
    <row r="390" spans="1:24" ht="16" customHeight="1" x14ac:dyDescent="0.6">
      <c r="A390" t="s">
        <v>4045</v>
      </c>
      <c r="B390" t="s">
        <v>17</v>
      </c>
      <c r="C390" t="s">
        <v>3142</v>
      </c>
      <c r="E390" t="s">
        <v>2917</v>
      </c>
      <c r="F390">
        <v>1714094</v>
      </c>
      <c r="G390" t="s">
        <v>3143</v>
      </c>
      <c r="H390">
        <v>962790126</v>
      </c>
      <c r="I390">
        <v>100</v>
      </c>
      <c r="J390" s="98">
        <v>1</v>
      </c>
      <c r="K390" s="79">
        <v>46132.875</v>
      </c>
      <c r="M390" t="s">
        <v>2910</v>
      </c>
      <c r="N390" s="101">
        <v>43922</v>
      </c>
      <c r="O390" s="75">
        <v>0.9375</v>
      </c>
      <c r="P390" t="s">
        <v>4046</v>
      </c>
      <c r="Q390" t="s">
        <v>1356</v>
      </c>
      <c r="R390" t="s">
        <v>4047</v>
      </c>
      <c r="S390" t="s">
        <v>1868</v>
      </c>
      <c r="T390" t="s">
        <v>4048</v>
      </c>
      <c r="V390" t="s">
        <v>2965</v>
      </c>
      <c r="X390" t="s">
        <v>2914</v>
      </c>
    </row>
    <row r="391" spans="1:24" ht="16" customHeight="1" x14ac:dyDescent="0.6">
      <c r="A391" t="s">
        <v>4049</v>
      </c>
      <c r="B391" t="s">
        <v>17</v>
      </c>
      <c r="C391" t="s">
        <v>3520</v>
      </c>
      <c r="E391" t="s">
        <v>2917</v>
      </c>
      <c r="F391">
        <v>2040776</v>
      </c>
      <c r="H391">
        <v>969399220</v>
      </c>
      <c r="I391">
        <v>70</v>
      </c>
      <c r="J391" s="98">
        <v>0.75</v>
      </c>
      <c r="K391" s="79">
        <v>46132.854166666664</v>
      </c>
      <c r="M391" t="s">
        <v>2910</v>
      </c>
      <c r="N391" s="101">
        <v>43922</v>
      </c>
      <c r="O391" s="75">
        <v>0.9375</v>
      </c>
      <c r="P391" t="s">
        <v>4050</v>
      </c>
      <c r="Q391" t="s">
        <v>1356</v>
      </c>
      <c r="R391" t="s">
        <v>4051</v>
      </c>
      <c r="S391" t="s">
        <v>1868</v>
      </c>
      <c r="T391" t="s">
        <v>4052</v>
      </c>
      <c r="V391" t="s">
        <v>2965</v>
      </c>
      <c r="X391" t="s">
        <v>2914</v>
      </c>
    </row>
    <row r="392" spans="1:24" ht="16" customHeight="1" x14ac:dyDescent="0.6">
      <c r="A392" t="s">
        <v>4053</v>
      </c>
      <c r="B392" t="s">
        <v>17</v>
      </c>
      <c r="C392" t="s">
        <v>3544</v>
      </c>
      <c r="E392" t="s">
        <v>2930</v>
      </c>
      <c r="F392">
        <v>3126417</v>
      </c>
      <c r="H392">
        <v>325209813</v>
      </c>
      <c r="I392">
        <v>100</v>
      </c>
      <c r="J392" s="98">
        <v>0.75</v>
      </c>
      <c r="K392" s="79">
        <v>46132.916666666664</v>
      </c>
      <c r="M392" t="s">
        <v>2910</v>
      </c>
      <c r="N392" s="101">
        <v>43922</v>
      </c>
      <c r="O392" s="75">
        <v>0.90625</v>
      </c>
      <c r="P392" t="s">
        <v>4054</v>
      </c>
      <c r="Q392" t="s">
        <v>967</v>
      </c>
      <c r="R392" t="s">
        <v>3387</v>
      </c>
      <c r="S392" t="s">
        <v>1868</v>
      </c>
      <c r="T392" t="s">
        <v>3388</v>
      </c>
      <c r="V392" t="s">
        <v>2965</v>
      </c>
      <c r="X392" t="s">
        <v>2914</v>
      </c>
    </row>
    <row r="393" spans="1:24" ht="16" customHeight="1" x14ac:dyDescent="0.6">
      <c r="A393" t="s">
        <v>4055</v>
      </c>
      <c r="B393" t="s">
        <v>17</v>
      </c>
      <c r="C393" t="s">
        <v>3247</v>
      </c>
      <c r="E393" t="s">
        <v>2917</v>
      </c>
      <c r="F393">
        <v>3153024</v>
      </c>
      <c r="G393" t="s">
        <v>3651</v>
      </c>
      <c r="H393">
        <v>988454957</v>
      </c>
      <c r="I393">
        <v>200</v>
      </c>
      <c r="J393" s="98">
        <v>1</v>
      </c>
      <c r="K393" s="79">
        <v>46132.916666666664</v>
      </c>
      <c r="M393" t="s">
        <v>2910</v>
      </c>
      <c r="N393" s="101">
        <v>43922</v>
      </c>
      <c r="O393" s="75">
        <v>0.94791666666666663</v>
      </c>
      <c r="P393" t="s">
        <v>4056</v>
      </c>
      <c r="Q393" t="s">
        <v>1356</v>
      </c>
      <c r="R393" t="s">
        <v>3781</v>
      </c>
      <c r="S393" t="s">
        <v>1868</v>
      </c>
      <c r="T393" t="s">
        <v>3782</v>
      </c>
      <c r="V393" t="s">
        <v>2965</v>
      </c>
      <c r="X393" t="s">
        <v>2914</v>
      </c>
    </row>
    <row r="394" spans="1:24" ht="16" customHeight="1" x14ac:dyDescent="0.6">
      <c r="A394" t="s">
        <v>4057</v>
      </c>
      <c r="B394" t="s">
        <v>17</v>
      </c>
      <c r="C394" t="s">
        <v>2939</v>
      </c>
      <c r="E394" t="s">
        <v>2917</v>
      </c>
      <c r="F394">
        <v>3152551</v>
      </c>
      <c r="H394">
        <v>866782808</v>
      </c>
      <c r="I394">
        <v>100</v>
      </c>
      <c r="J394" s="98">
        <v>1</v>
      </c>
      <c r="K394" s="79">
        <v>46132.895833333336</v>
      </c>
      <c r="L394" t="s">
        <v>4058</v>
      </c>
      <c r="M394" t="s">
        <v>2910</v>
      </c>
      <c r="N394" s="101">
        <v>43922</v>
      </c>
      <c r="O394" s="75">
        <v>0.94791666666666663</v>
      </c>
      <c r="P394" t="s">
        <v>4059</v>
      </c>
      <c r="Q394" t="s">
        <v>1356</v>
      </c>
      <c r="R394" t="s">
        <v>3731</v>
      </c>
      <c r="S394" t="s">
        <v>1868</v>
      </c>
      <c r="T394" t="s">
        <v>4060</v>
      </c>
      <c r="V394" t="s">
        <v>2965</v>
      </c>
      <c r="X394" t="s">
        <v>2914</v>
      </c>
    </row>
    <row r="395" spans="1:24" ht="16" customHeight="1" x14ac:dyDescent="0.6">
      <c r="A395" t="s">
        <v>4061</v>
      </c>
      <c r="B395" t="s">
        <v>17</v>
      </c>
      <c r="C395" t="s">
        <v>4062</v>
      </c>
      <c r="E395" t="s">
        <v>2917</v>
      </c>
      <c r="F395">
        <v>3136236</v>
      </c>
      <c r="H395">
        <v>989177205</v>
      </c>
      <c r="I395">
        <v>40</v>
      </c>
      <c r="J395" s="98">
        <v>0.5</v>
      </c>
      <c r="K395" s="79">
        <v>46132.885416666664</v>
      </c>
      <c r="M395" t="s">
        <v>3029</v>
      </c>
      <c r="X395" t="s">
        <v>2914</v>
      </c>
    </row>
    <row r="396" spans="1:24" ht="16" customHeight="1" x14ac:dyDescent="0.6">
      <c r="A396" t="s">
        <v>4063</v>
      </c>
      <c r="B396" t="s">
        <v>17</v>
      </c>
      <c r="C396" t="s">
        <v>2994</v>
      </c>
      <c r="E396" t="s">
        <v>2909</v>
      </c>
      <c r="F396">
        <v>3023633</v>
      </c>
      <c r="G396" t="s">
        <v>4064</v>
      </c>
      <c r="H396">
        <v>936207489</v>
      </c>
      <c r="I396">
        <v>70</v>
      </c>
      <c r="J396" s="98">
        <v>1</v>
      </c>
      <c r="K396" s="79">
        <v>46132.927083333336</v>
      </c>
      <c r="M396" t="s">
        <v>2910</v>
      </c>
      <c r="N396" s="101">
        <v>43922</v>
      </c>
      <c r="O396" s="75">
        <v>0.91666666666666663</v>
      </c>
      <c r="P396" t="s">
        <v>4065</v>
      </c>
      <c r="Q396" t="s">
        <v>967</v>
      </c>
      <c r="R396" t="s">
        <v>2996</v>
      </c>
      <c r="S396" t="s">
        <v>1868</v>
      </c>
      <c r="T396" t="s">
        <v>2997</v>
      </c>
      <c r="V396" t="s">
        <v>202</v>
      </c>
      <c r="X396" t="s">
        <v>2914</v>
      </c>
    </row>
    <row r="397" spans="1:24" ht="16" customHeight="1" x14ac:dyDescent="0.6">
      <c r="A397" t="s">
        <v>4066</v>
      </c>
      <c r="B397" t="s">
        <v>17</v>
      </c>
      <c r="C397" t="s">
        <v>3221</v>
      </c>
      <c r="E397" t="s">
        <v>2917</v>
      </c>
      <c r="F397">
        <v>3151831</v>
      </c>
      <c r="H397">
        <v>908404630</v>
      </c>
      <c r="I397">
        <v>50</v>
      </c>
      <c r="J397" s="98">
        <v>0.5</v>
      </c>
      <c r="K397" s="79">
        <v>46132.875</v>
      </c>
      <c r="L397" t="s">
        <v>3697</v>
      </c>
      <c r="M397" t="s">
        <v>3029</v>
      </c>
      <c r="X397" t="s">
        <v>2914</v>
      </c>
    </row>
    <row r="398" spans="1:24" ht="16" customHeight="1" x14ac:dyDescent="0.6">
      <c r="A398" t="s">
        <v>4067</v>
      </c>
      <c r="B398" t="s">
        <v>17</v>
      </c>
      <c r="C398" t="s">
        <v>3179</v>
      </c>
      <c r="E398" t="s">
        <v>2930</v>
      </c>
      <c r="F398">
        <v>3149706</v>
      </c>
      <c r="G398" t="s">
        <v>3180</v>
      </c>
      <c r="H398">
        <v>706395955</v>
      </c>
      <c r="I398">
        <v>300</v>
      </c>
      <c r="J398" s="98">
        <v>1</v>
      </c>
      <c r="K398" s="79">
        <v>46132.875</v>
      </c>
      <c r="M398" t="s">
        <v>3029</v>
      </c>
      <c r="X398" t="s">
        <v>2914</v>
      </c>
    </row>
    <row r="399" spans="1:24" ht="16" customHeight="1" x14ac:dyDescent="0.6">
      <c r="A399" t="s">
        <v>4068</v>
      </c>
      <c r="B399" t="s">
        <v>17</v>
      </c>
      <c r="C399" t="s">
        <v>3022</v>
      </c>
      <c r="E399" t="s">
        <v>2930</v>
      </c>
      <c r="F399">
        <v>3135714</v>
      </c>
      <c r="G399" t="s">
        <v>3175</v>
      </c>
      <c r="H399">
        <v>333124453</v>
      </c>
      <c r="I399">
        <v>500</v>
      </c>
      <c r="J399" s="98">
        <v>1</v>
      </c>
      <c r="K399" s="79">
        <v>46132.875</v>
      </c>
      <c r="L399" t="s">
        <v>4069</v>
      </c>
      <c r="M399" t="s">
        <v>3029</v>
      </c>
      <c r="X399" t="s">
        <v>2914</v>
      </c>
    </row>
    <row r="400" spans="1:24" ht="16" customHeight="1" x14ac:dyDescent="0.6">
      <c r="A400" t="s">
        <v>4070</v>
      </c>
      <c r="B400" t="s">
        <v>17</v>
      </c>
      <c r="C400" t="s">
        <v>3031</v>
      </c>
      <c r="E400" t="s">
        <v>2917</v>
      </c>
      <c r="F400">
        <v>3152729</v>
      </c>
      <c r="H400">
        <v>941792245</v>
      </c>
      <c r="I400">
        <v>100</v>
      </c>
      <c r="J400" s="98">
        <v>1</v>
      </c>
      <c r="K400" s="79">
        <v>46132.916666666664</v>
      </c>
      <c r="M400" t="s">
        <v>2910</v>
      </c>
      <c r="N400" s="101">
        <v>43922</v>
      </c>
      <c r="O400" s="75">
        <v>0.95833333333333337</v>
      </c>
      <c r="P400" t="s">
        <v>4071</v>
      </c>
      <c r="Q400" t="s">
        <v>1356</v>
      </c>
      <c r="R400" s="73" t="s">
        <v>4072</v>
      </c>
      <c r="S400" t="s">
        <v>1868</v>
      </c>
      <c r="T400" t="s">
        <v>4073</v>
      </c>
      <c r="V400" t="s">
        <v>2965</v>
      </c>
      <c r="X400" t="s">
        <v>2914</v>
      </c>
    </row>
    <row r="401" spans="1:24" ht="16" customHeight="1" x14ac:dyDescent="0.6">
      <c r="A401" t="s">
        <v>4074</v>
      </c>
      <c r="B401" t="s">
        <v>17</v>
      </c>
      <c r="C401" t="s">
        <v>3242</v>
      </c>
      <c r="E401" t="s">
        <v>2917</v>
      </c>
      <c r="F401">
        <v>3139139</v>
      </c>
      <c r="H401">
        <v>977705672</v>
      </c>
      <c r="I401">
        <v>100</v>
      </c>
      <c r="J401" s="98">
        <v>1</v>
      </c>
      <c r="K401" s="79">
        <v>46132.875</v>
      </c>
      <c r="M401" t="s">
        <v>2910</v>
      </c>
      <c r="N401" s="101">
        <v>43922</v>
      </c>
      <c r="O401" s="75">
        <v>0.94791666666666663</v>
      </c>
      <c r="P401" t="s">
        <v>4075</v>
      </c>
      <c r="Q401" t="s">
        <v>1356</v>
      </c>
      <c r="R401" t="s">
        <v>4076</v>
      </c>
      <c r="S401" t="s">
        <v>1356</v>
      </c>
      <c r="T401" t="s">
        <v>4077</v>
      </c>
      <c r="V401" t="s">
        <v>2965</v>
      </c>
      <c r="X401" t="s">
        <v>2914</v>
      </c>
    </row>
    <row r="402" spans="1:24" ht="16" customHeight="1" x14ac:dyDescent="0.6">
      <c r="A402" t="s">
        <v>4078</v>
      </c>
      <c r="B402" t="s">
        <v>17</v>
      </c>
      <c r="C402" t="s">
        <v>3036</v>
      </c>
      <c r="E402" t="s">
        <v>2909</v>
      </c>
      <c r="F402">
        <v>3146332</v>
      </c>
      <c r="H402">
        <v>973082002</v>
      </c>
      <c r="I402">
        <v>150</v>
      </c>
      <c r="J402" s="98">
        <v>0.75</v>
      </c>
      <c r="K402" s="79">
        <v>46132.927083333336</v>
      </c>
      <c r="L402" t="s">
        <v>4079</v>
      </c>
      <c r="M402" t="s">
        <v>2910</v>
      </c>
      <c r="N402" s="101">
        <v>43922</v>
      </c>
      <c r="O402" s="75">
        <v>0.91666666666666663</v>
      </c>
      <c r="P402" t="s">
        <v>4080</v>
      </c>
      <c r="Q402" t="s">
        <v>967</v>
      </c>
      <c r="R402" t="s">
        <v>3249</v>
      </c>
      <c r="S402" t="s">
        <v>1868</v>
      </c>
      <c r="T402" t="s">
        <v>3988</v>
      </c>
      <c r="V402" t="s">
        <v>202</v>
      </c>
      <c r="X402" t="s">
        <v>2914</v>
      </c>
    </row>
    <row r="403" spans="1:24" ht="16" customHeight="1" x14ac:dyDescent="0.6">
      <c r="A403" t="s">
        <v>4081</v>
      </c>
      <c r="B403" t="s">
        <v>17</v>
      </c>
      <c r="C403" t="s">
        <v>2976</v>
      </c>
      <c r="E403" t="s">
        <v>2917</v>
      </c>
      <c r="F403">
        <v>3124891</v>
      </c>
      <c r="H403">
        <v>977330980</v>
      </c>
      <c r="I403">
        <v>200</v>
      </c>
      <c r="J403" s="98">
        <v>1</v>
      </c>
      <c r="K403" s="79">
        <v>46132.895833333336</v>
      </c>
      <c r="M403" t="s">
        <v>2910</v>
      </c>
      <c r="N403" s="101">
        <v>43922</v>
      </c>
      <c r="O403" s="75">
        <v>0.95833333333333337</v>
      </c>
      <c r="P403" t="s">
        <v>4082</v>
      </c>
      <c r="Q403" t="s">
        <v>1356</v>
      </c>
      <c r="R403" t="s">
        <v>4083</v>
      </c>
      <c r="S403" t="s">
        <v>3096</v>
      </c>
      <c r="T403" t="s">
        <v>4084</v>
      </c>
      <c r="V403" t="s">
        <v>2965</v>
      </c>
      <c r="X403" t="s">
        <v>2914</v>
      </c>
    </row>
    <row r="404" spans="1:24" ht="16" customHeight="1" x14ac:dyDescent="0.6">
      <c r="A404" t="s">
        <v>4085</v>
      </c>
      <c r="B404" t="s">
        <v>17</v>
      </c>
      <c r="C404" t="s">
        <v>2943</v>
      </c>
      <c r="E404" t="s">
        <v>2930</v>
      </c>
      <c r="F404">
        <v>1884115</v>
      </c>
      <c r="H404">
        <v>971568282</v>
      </c>
      <c r="I404">
        <v>30</v>
      </c>
      <c r="J404" s="98">
        <v>0.5</v>
      </c>
      <c r="K404" s="79">
        <v>46132.916666666664</v>
      </c>
      <c r="M404" t="s">
        <v>3029</v>
      </c>
      <c r="X404" t="s">
        <v>2914</v>
      </c>
    </row>
    <row r="405" spans="1:24" ht="16" customHeight="1" x14ac:dyDescent="0.6">
      <c r="A405" t="s">
        <v>4086</v>
      </c>
      <c r="B405" t="s">
        <v>17</v>
      </c>
      <c r="C405" t="s">
        <v>3179</v>
      </c>
      <c r="E405" t="s">
        <v>2909</v>
      </c>
      <c r="F405">
        <v>3149706</v>
      </c>
      <c r="G405" t="s">
        <v>3180</v>
      </c>
      <c r="H405">
        <v>706395955</v>
      </c>
      <c r="I405">
        <v>50</v>
      </c>
      <c r="J405" s="98">
        <v>0.75</v>
      </c>
      <c r="K405" s="79">
        <v>46132.916666666664</v>
      </c>
      <c r="M405" t="s">
        <v>2910</v>
      </c>
      <c r="N405" s="101">
        <v>43922</v>
      </c>
      <c r="O405" s="75">
        <v>0.95833333333333337</v>
      </c>
      <c r="P405" t="s">
        <v>4087</v>
      </c>
      <c r="Q405" t="s">
        <v>967</v>
      </c>
      <c r="R405" t="s">
        <v>2996</v>
      </c>
      <c r="S405" t="s">
        <v>1868</v>
      </c>
      <c r="T405" t="s">
        <v>4088</v>
      </c>
      <c r="V405" t="s">
        <v>202</v>
      </c>
      <c r="X405" t="s">
        <v>2914</v>
      </c>
    </row>
    <row r="406" spans="1:24" ht="16" customHeight="1" x14ac:dyDescent="0.6">
      <c r="A406" t="s">
        <v>4089</v>
      </c>
      <c r="B406" t="s">
        <v>17</v>
      </c>
      <c r="C406" t="s">
        <v>3911</v>
      </c>
      <c r="E406" t="s">
        <v>2909</v>
      </c>
      <c r="F406">
        <v>3052071</v>
      </c>
      <c r="H406">
        <v>377278354</v>
      </c>
      <c r="I406">
        <v>100</v>
      </c>
      <c r="J406" s="98">
        <v>0.75</v>
      </c>
      <c r="K406" s="79">
        <v>46132.875</v>
      </c>
      <c r="M406" t="s">
        <v>2910</v>
      </c>
      <c r="N406" s="101">
        <v>43922</v>
      </c>
      <c r="O406" s="75">
        <v>0.92708333333333337</v>
      </c>
      <c r="P406" t="s">
        <v>4090</v>
      </c>
      <c r="Q406" t="s">
        <v>967</v>
      </c>
      <c r="R406" t="s">
        <v>3038</v>
      </c>
      <c r="S406" t="s">
        <v>1868</v>
      </c>
      <c r="T406" t="s">
        <v>3039</v>
      </c>
      <c r="V406" t="s">
        <v>202</v>
      </c>
      <c r="X406" t="s">
        <v>2914</v>
      </c>
    </row>
    <row r="407" spans="1:24" ht="16" customHeight="1" x14ac:dyDescent="0.6">
      <c r="A407" t="s">
        <v>4091</v>
      </c>
      <c r="B407" t="s">
        <v>17</v>
      </c>
      <c r="C407" t="s">
        <v>2976</v>
      </c>
      <c r="E407" t="s">
        <v>2917</v>
      </c>
      <c r="F407">
        <v>1871696</v>
      </c>
      <c r="H407">
        <v>774688086</v>
      </c>
      <c r="I407">
        <v>100</v>
      </c>
      <c r="J407" t="s">
        <v>2919</v>
      </c>
      <c r="K407" s="79">
        <v>46132.916666666664</v>
      </c>
      <c r="L407" t="s">
        <v>4092</v>
      </c>
      <c r="M407" t="s">
        <v>2910</v>
      </c>
      <c r="N407" s="101">
        <v>43922</v>
      </c>
      <c r="O407" s="75">
        <v>0.95833333333333337</v>
      </c>
      <c r="P407" t="s">
        <v>4082</v>
      </c>
      <c r="Q407" t="s">
        <v>1356</v>
      </c>
      <c r="R407" t="s">
        <v>4083</v>
      </c>
      <c r="S407" t="s">
        <v>3096</v>
      </c>
      <c r="T407" t="s">
        <v>4084</v>
      </c>
      <c r="V407" t="s">
        <v>2965</v>
      </c>
      <c r="X407" t="s">
        <v>2914</v>
      </c>
    </row>
    <row r="408" spans="1:24" ht="16" customHeight="1" x14ac:dyDescent="0.6">
      <c r="A408" t="s">
        <v>4093</v>
      </c>
      <c r="B408" t="s">
        <v>17</v>
      </c>
      <c r="C408" t="s">
        <v>2994</v>
      </c>
      <c r="E408" t="s">
        <v>2930</v>
      </c>
      <c r="F408">
        <v>3023633</v>
      </c>
      <c r="G408" t="s">
        <v>4064</v>
      </c>
      <c r="H408">
        <v>936207489</v>
      </c>
      <c r="I408">
        <v>100</v>
      </c>
      <c r="J408" s="98">
        <v>1</v>
      </c>
      <c r="K408" s="79">
        <v>46132.916666666664</v>
      </c>
      <c r="M408" t="s">
        <v>2910</v>
      </c>
      <c r="N408" s="101">
        <v>43922</v>
      </c>
      <c r="O408" s="75">
        <v>0.95833333333333337</v>
      </c>
      <c r="P408" t="s">
        <v>4094</v>
      </c>
      <c r="Q408" t="s">
        <v>1356</v>
      </c>
      <c r="R408" t="s">
        <v>4095</v>
      </c>
      <c r="S408" t="s">
        <v>1868</v>
      </c>
      <c r="T408" t="s">
        <v>4096</v>
      </c>
      <c r="V408" t="s">
        <v>2965</v>
      </c>
      <c r="X408" t="s">
        <v>2914</v>
      </c>
    </row>
    <row r="409" spans="1:24" ht="16" customHeight="1" x14ac:dyDescent="0.6">
      <c r="A409" t="s">
        <v>4097</v>
      </c>
      <c r="B409" t="s">
        <v>17</v>
      </c>
      <c r="C409" t="s">
        <v>3047</v>
      </c>
      <c r="E409" t="s">
        <v>2930</v>
      </c>
      <c r="F409">
        <v>3161741</v>
      </c>
      <c r="H409">
        <v>355529239</v>
      </c>
      <c r="I409">
        <v>30</v>
      </c>
      <c r="J409" s="98">
        <v>0.5</v>
      </c>
      <c r="K409" s="79">
        <v>46132.927083333336</v>
      </c>
      <c r="M409" t="s">
        <v>3029</v>
      </c>
      <c r="X409" t="s">
        <v>2914</v>
      </c>
    </row>
    <row r="410" spans="1:24" ht="16" customHeight="1" x14ac:dyDescent="0.6">
      <c r="A410" t="s">
        <v>4098</v>
      </c>
      <c r="B410" t="s">
        <v>17</v>
      </c>
      <c r="C410" t="s">
        <v>3036</v>
      </c>
      <c r="E410" t="s">
        <v>2917</v>
      </c>
      <c r="F410">
        <v>3146332</v>
      </c>
      <c r="H410">
        <v>973082002</v>
      </c>
      <c r="I410">
        <v>150</v>
      </c>
      <c r="J410" s="98">
        <v>1</v>
      </c>
      <c r="K410" s="79">
        <v>46132.9375</v>
      </c>
      <c r="M410" t="s">
        <v>2910</v>
      </c>
      <c r="N410" s="101">
        <v>43922</v>
      </c>
      <c r="O410" s="75">
        <v>0.95833333333333337</v>
      </c>
      <c r="P410" t="s">
        <v>4099</v>
      </c>
      <c r="Q410" t="s">
        <v>1356</v>
      </c>
      <c r="R410" s="73" t="s">
        <v>4100</v>
      </c>
      <c r="S410" t="s">
        <v>1868</v>
      </c>
      <c r="T410" t="s">
        <v>4101</v>
      </c>
      <c r="V410" t="s">
        <v>2965</v>
      </c>
      <c r="X410" t="s">
        <v>2914</v>
      </c>
    </row>
    <row r="411" spans="1:24" ht="16" customHeight="1" x14ac:dyDescent="0.6">
      <c r="A411" t="s">
        <v>4102</v>
      </c>
      <c r="B411" t="s">
        <v>17</v>
      </c>
      <c r="C411" t="s">
        <v>2957</v>
      </c>
      <c r="E411" t="s">
        <v>2930</v>
      </c>
      <c r="F411">
        <v>3153015</v>
      </c>
      <c r="H411">
        <v>973797545</v>
      </c>
      <c r="I411">
        <v>300</v>
      </c>
      <c r="J411" s="98">
        <v>1</v>
      </c>
      <c r="K411" s="79">
        <v>46132.895833333336</v>
      </c>
      <c r="M411" t="s">
        <v>2955</v>
      </c>
      <c r="X411" t="s">
        <v>2914</v>
      </c>
    </row>
    <row r="412" spans="1:24" ht="16" customHeight="1" x14ac:dyDescent="0.6">
      <c r="A412" t="s">
        <v>4103</v>
      </c>
      <c r="B412" t="s">
        <v>17</v>
      </c>
      <c r="C412" t="s">
        <v>3380</v>
      </c>
      <c r="E412" t="s">
        <v>2930</v>
      </c>
      <c r="F412">
        <v>3106634</v>
      </c>
      <c r="H412">
        <v>908377969</v>
      </c>
      <c r="I412">
        <v>60</v>
      </c>
      <c r="J412" s="98">
        <v>0.75</v>
      </c>
      <c r="K412" s="79">
        <v>46132.916666666664</v>
      </c>
      <c r="M412" t="s">
        <v>2955</v>
      </c>
      <c r="X412" t="s">
        <v>2914</v>
      </c>
    </row>
    <row r="413" spans="1:24" ht="16" customHeight="1" x14ac:dyDescent="0.6">
      <c r="A413" t="s">
        <v>4104</v>
      </c>
      <c r="B413" t="s">
        <v>17</v>
      </c>
      <c r="C413" t="s">
        <v>2957</v>
      </c>
      <c r="E413" t="s">
        <v>2930</v>
      </c>
      <c r="F413">
        <v>3153015</v>
      </c>
      <c r="H413">
        <v>973797545</v>
      </c>
      <c r="I413">
        <v>200</v>
      </c>
      <c r="J413" s="98">
        <v>1</v>
      </c>
      <c r="K413" s="79">
        <v>46132.895833333336</v>
      </c>
      <c r="M413" t="s">
        <v>2910</v>
      </c>
      <c r="N413" s="101">
        <v>43922</v>
      </c>
      <c r="O413" s="75">
        <v>0.95833333333333337</v>
      </c>
      <c r="P413" t="s">
        <v>4105</v>
      </c>
      <c r="Q413" t="s">
        <v>1356</v>
      </c>
      <c r="R413" t="s">
        <v>3769</v>
      </c>
      <c r="S413" t="s">
        <v>1868</v>
      </c>
      <c r="T413" t="s">
        <v>4106</v>
      </c>
      <c r="X413" t="s">
        <v>2914</v>
      </c>
    </row>
    <row r="414" spans="1:24" ht="16" customHeight="1" x14ac:dyDescent="0.6">
      <c r="A414" t="s">
        <v>4107</v>
      </c>
      <c r="B414" t="s">
        <v>17</v>
      </c>
      <c r="C414" t="s">
        <v>2924</v>
      </c>
      <c r="E414" t="s">
        <v>2917</v>
      </c>
      <c r="F414">
        <v>3126307</v>
      </c>
      <c r="G414" t="s">
        <v>4108</v>
      </c>
      <c r="H414">
        <v>794289382</v>
      </c>
      <c r="I414">
        <v>50</v>
      </c>
      <c r="J414" s="98">
        <v>1</v>
      </c>
      <c r="K414" s="79">
        <v>46132.9375</v>
      </c>
      <c r="M414" t="s">
        <v>3029</v>
      </c>
      <c r="X414" t="s">
        <v>2914</v>
      </c>
    </row>
    <row r="415" spans="1:24" ht="16" customHeight="1" x14ac:dyDescent="0.6">
      <c r="A415" t="s">
        <v>4109</v>
      </c>
      <c r="B415" t="s">
        <v>17</v>
      </c>
      <c r="C415" t="s">
        <v>4062</v>
      </c>
      <c r="E415" t="s">
        <v>2917</v>
      </c>
      <c r="F415">
        <v>3136236</v>
      </c>
      <c r="H415">
        <v>989177205</v>
      </c>
      <c r="I415">
        <v>30</v>
      </c>
      <c r="J415" s="98">
        <v>0.5</v>
      </c>
      <c r="K415" s="79">
        <v>46133.208333333336</v>
      </c>
      <c r="M415" t="s">
        <v>2910</v>
      </c>
      <c r="N415" s="101">
        <v>44287</v>
      </c>
      <c r="O415" s="75">
        <v>0.20833333333333334</v>
      </c>
      <c r="P415" t="s">
        <v>4110</v>
      </c>
      <c r="Q415" t="s">
        <v>967</v>
      </c>
      <c r="R415" t="s">
        <v>4111</v>
      </c>
      <c r="S415" t="s">
        <v>1868</v>
      </c>
      <c r="X415" t="s">
        <v>2914</v>
      </c>
    </row>
    <row r="416" spans="1:24" ht="16" customHeight="1" x14ac:dyDescent="0.6">
      <c r="A416" t="s">
        <v>4112</v>
      </c>
      <c r="B416" t="s">
        <v>17</v>
      </c>
      <c r="C416" t="s">
        <v>3232</v>
      </c>
      <c r="E416" t="s">
        <v>2930</v>
      </c>
      <c r="F416">
        <v>3123441</v>
      </c>
      <c r="H416">
        <v>969884070</v>
      </c>
      <c r="I416">
        <v>200</v>
      </c>
      <c r="J416" s="98">
        <v>0.5</v>
      </c>
      <c r="K416" s="79">
        <v>46133.208333333336</v>
      </c>
      <c r="M416" t="s">
        <v>2910</v>
      </c>
      <c r="N416" s="101">
        <v>44287</v>
      </c>
      <c r="O416" s="75">
        <v>0.20833333333333334</v>
      </c>
      <c r="P416" t="s">
        <v>4113</v>
      </c>
      <c r="X416" t="s">
        <v>2914</v>
      </c>
    </row>
    <row r="417" spans="1:24" ht="16" customHeight="1" x14ac:dyDescent="0.6">
      <c r="A417" t="s">
        <v>4114</v>
      </c>
      <c r="B417" t="s">
        <v>17</v>
      </c>
      <c r="C417" t="s">
        <v>3049</v>
      </c>
      <c r="E417" t="s">
        <v>2917</v>
      </c>
      <c r="F417">
        <v>3074147</v>
      </c>
      <c r="H417">
        <v>945806398</v>
      </c>
      <c r="I417">
        <v>100</v>
      </c>
      <c r="J417" s="98">
        <v>1</v>
      </c>
      <c r="K417" s="79">
        <v>46132.916666666664</v>
      </c>
      <c r="L417" t="s">
        <v>3234</v>
      </c>
      <c r="M417" t="s">
        <v>2910</v>
      </c>
      <c r="N417" s="101">
        <v>43922</v>
      </c>
      <c r="P417" t="s">
        <v>4115</v>
      </c>
      <c r="Q417" t="s">
        <v>1356</v>
      </c>
      <c r="R417" t="s">
        <v>3452</v>
      </c>
      <c r="S417" t="s">
        <v>1868</v>
      </c>
      <c r="T417" t="s">
        <v>4116</v>
      </c>
      <c r="V417" t="s">
        <v>2965</v>
      </c>
      <c r="X417" t="s">
        <v>2914</v>
      </c>
    </row>
    <row r="418" spans="1:24" ht="16" customHeight="1" x14ac:dyDescent="0.6">
      <c r="A418" t="s">
        <v>4117</v>
      </c>
      <c r="B418" t="s">
        <v>17</v>
      </c>
      <c r="C418" t="s">
        <v>3041</v>
      </c>
      <c r="E418" t="s">
        <v>2930</v>
      </c>
      <c r="F418">
        <v>3119517</v>
      </c>
      <c r="H418">
        <v>367129993</v>
      </c>
      <c r="I418">
        <v>30</v>
      </c>
      <c r="J418" s="98">
        <v>0.75</v>
      </c>
      <c r="K418" s="79">
        <v>46133.166666666664</v>
      </c>
      <c r="L418" t="s">
        <v>4118</v>
      </c>
      <c r="M418" t="s">
        <v>2910</v>
      </c>
      <c r="N418" s="101">
        <v>44287</v>
      </c>
      <c r="O418" s="75">
        <v>0.16666666666666666</v>
      </c>
      <c r="P418" t="s">
        <v>4119</v>
      </c>
      <c r="Q418" t="s">
        <v>967</v>
      </c>
      <c r="R418" t="s">
        <v>2941</v>
      </c>
      <c r="S418" t="s">
        <v>1868</v>
      </c>
      <c r="X418" t="s">
        <v>2914</v>
      </c>
    </row>
    <row r="419" spans="1:24" ht="16" customHeight="1" x14ac:dyDescent="0.6">
      <c r="A419" t="s">
        <v>4120</v>
      </c>
      <c r="B419" t="s">
        <v>17</v>
      </c>
      <c r="C419" t="s">
        <v>3380</v>
      </c>
      <c r="E419" t="s">
        <v>2930</v>
      </c>
      <c r="F419">
        <v>257501</v>
      </c>
      <c r="G419" t="s">
        <v>3440</v>
      </c>
      <c r="H419">
        <v>906946474</v>
      </c>
      <c r="I419">
        <v>80</v>
      </c>
      <c r="J419" s="98">
        <v>1</v>
      </c>
      <c r="K419" s="79">
        <v>46132.916666666664</v>
      </c>
      <c r="M419" t="s">
        <v>2910</v>
      </c>
      <c r="N419" s="101">
        <v>43922</v>
      </c>
      <c r="P419" t="s">
        <v>4022</v>
      </c>
      <c r="Q419" t="s">
        <v>967</v>
      </c>
      <c r="R419" t="s">
        <v>3013</v>
      </c>
      <c r="S419" t="s">
        <v>1868</v>
      </c>
      <c r="T419" t="s">
        <v>3309</v>
      </c>
      <c r="V419" t="s">
        <v>2965</v>
      </c>
      <c r="X419" t="s">
        <v>2914</v>
      </c>
    </row>
    <row r="420" spans="1:24" ht="16" customHeight="1" x14ac:dyDescent="0.6">
      <c r="A420" t="s">
        <v>4121</v>
      </c>
      <c r="B420" t="s">
        <v>17</v>
      </c>
      <c r="C420" t="s">
        <v>3093</v>
      </c>
      <c r="E420" t="s">
        <v>2930</v>
      </c>
      <c r="F420">
        <v>1872928</v>
      </c>
      <c r="H420">
        <v>344176032</v>
      </c>
      <c r="I420">
        <v>40</v>
      </c>
      <c r="J420" s="98">
        <v>0.5</v>
      </c>
      <c r="K420" s="79">
        <v>46133.1875</v>
      </c>
      <c r="M420" t="s">
        <v>2910</v>
      </c>
      <c r="N420" s="101">
        <v>44287</v>
      </c>
      <c r="O420" s="75">
        <v>0.1875</v>
      </c>
      <c r="P420" t="s">
        <v>4119</v>
      </c>
      <c r="Q420" t="s">
        <v>967</v>
      </c>
      <c r="R420" t="s">
        <v>2941</v>
      </c>
      <c r="S420" t="s">
        <v>1868</v>
      </c>
      <c r="X420" t="s">
        <v>2914</v>
      </c>
    </row>
    <row r="421" spans="1:24" ht="16" customHeight="1" x14ac:dyDescent="0.6">
      <c r="A421" t="s">
        <v>4122</v>
      </c>
      <c r="B421" t="s">
        <v>17</v>
      </c>
      <c r="C421" t="s">
        <v>3601</v>
      </c>
      <c r="E421" t="s">
        <v>2917</v>
      </c>
      <c r="F421">
        <v>3053950</v>
      </c>
      <c r="G421" t="s">
        <v>4123</v>
      </c>
      <c r="H421">
        <v>77886803</v>
      </c>
      <c r="I421">
        <v>200</v>
      </c>
      <c r="J421" s="98">
        <v>1</v>
      </c>
      <c r="K421" s="79">
        <v>46132.916666666664</v>
      </c>
      <c r="M421" t="s">
        <v>2910</v>
      </c>
      <c r="N421" s="101">
        <v>43922</v>
      </c>
      <c r="O421" s="75">
        <v>0.94791666666666663</v>
      </c>
      <c r="P421" t="s">
        <v>4124</v>
      </c>
      <c r="Q421" t="s">
        <v>967</v>
      </c>
      <c r="R421" t="s">
        <v>537</v>
      </c>
      <c r="S421" t="s">
        <v>1868</v>
      </c>
      <c r="T421" t="s">
        <v>4125</v>
      </c>
      <c r="V421" t="s">
        <v>2965</v>
      </c>
      <c r="X421" t="s">
        <v>2914</v>
      </c>
    </row>
    <row r="422" spans="1:24" ht="16" customHeight="1" x14ac:dyDescent="0.6">
      <c r="A422" t="s">
        <v>4126</v>
      </c>
      <c r="B422" t="s">
        <v>17</v>
      </c>
      <c r="C422" t="s">
        <v>2908</v>
      </c>
      <c r="E422" t="s">
        <v>2909</v>
      </c>
      <c r="F422">
        <v>3165609</v>
      </c>
      <c r="H422">
        <v>333142105</v>
      </c>
      <c r="I422">
        <v>40</v>
      </c>
      <c r="J422" s="98">
        <v>0.5</v>
      </c>
      <c r="K422" s="79">
        <v>46133.208333333336</v>
      </c>
      <c r="L422" t="s">
        <v>4127</v>
      </c>
      <c r="M422" t="s">
        <v>2955</v>
      </c>
      <c r="X422" t="s">
        <v>2914</v>
      </c>
    </row>
    <row r="423" spans="1:24" ht="16" customHeight="1" x14ac:dyDescent="0.6">
      <c r="A423" t="s">
        <v>4128</v>
      </c>
      <c r="B423" t="s">
        <v>17</v>
      </c>
      <c r="C423" t="s">
        <v>3022</v>
      </c>
      <c r="E423" t="s">
        <v>2917</v>
      </c>
      <c r="F423">
        <v>3135714</v>
      </c>
      <c r="H423">
        <v>333124453</v>
      </c>
      <c r="I423">
        <v>500</v>
      </c>
      <c r="J423" s="98">
        <v>1</v>
      </c>
      <c r="K423" s="79">
        <v>46133.208333333336</v>
      </c>
      <c r="M423" t="s">
        <v>2910</v>
      </c>
      <c r="N423" s="101">
        <v>44287</v>
      </c>
      <c r="O423" s="75">
        <v>0.20833333333333334</v>
      </c>
      <c r="P423" t="s">
        <v>4129</v>
      </c>
      <c r="Q423" t="s">
        <v>4130</v>
      </c>
      <c r="X423" t="s">
        <v>2914</v>
      </c>
    </row>
    <row r="424" spans="1:24" ht="16" customHeight="1" x14ac:dyDescent="0.6">
      <c r="A424" t="s">
        <v>4131</v>
      </c>
      <c r="B424" t="s">
        <v>17</v>
      </c>
      <c r="C424" t="s">
        <v>3055</v>
      </c>
      <c r="E424" t="s">
        <v>2930</v>
      </c>
      <c r="F424">
        <v>3152447</v>
      </c>
      <c r="H424">
        <v>914595782</v>
      </c>
      <c r="I424">
        <v>50</v>
      </c>
      <c r="J424" s="98">
        <v>0.5</v>
      </c>
      <c r="K424" s="79">
        <v>46132.958333333336</v>
      </c>
      <c r="M424" t="s">
        <v>3029</v>
      </c>
      <c r="X424" t="s">
        <v>2914</v>
      </c>
    </row>
    <row r="425" spans="1:24" ht="16" customHeight="1" x14ac:dyDescent="0.6">
      <c r="A425" t="s">
        <v>4132</v>
      </c>
      <c r="B425" t="s">
        <v>17</v>
      </c>
      <c r="C425" t="s">
        <v>3055</v>
      </c>
      <c r="E425" t="s">
        <v>2917</v>
      </c>
      <c r="F425">
        <v>3103523</v>
      </c>
      <c r="H425">
        <v>975083289</v>
      </c>
      <c r="I425">
        <v>40</v>
      </c>
      <c r="J425" s="98">
        <v>0.3</v>
      </c>
      <c r="K425" s="79">
        <v>46133.458333333336</v>
      </c>
      <c r="L425" t="s">
        <v>4133</v>
      </c>
      <c r="M425" t="s">
        <v>2910</v>
      </c>
      <c r="O425" s="75">
        <v>0.65625</v>
      </c>
      <c r="P425" t="s">
        <v>4134</v>
      </c>
      <c r="Q425" t="s">
        <v>967</v>
      </c>
      <c r="R425" t="s">
        <v>2996</v>
      </c>
      <c r="S425" t="s">
        <v>1192</v>
      </c>
      <c r="T425" t="s">
        <v>2427</v>
      </c>
      <c r="V425" t="s">
        <v>202</v>
      </c>
      <c r="X425" t="s">
        <v>4135</v>
      </c>
    </row>
    <row r="426" spans="1:24" ht="16" customHeight="1" x14ac:dyDescent="0.6">
      <c r="A426" t="s">
        <v>4136</v>
      </c>
      <c r="B426" t="s">
        <v>17</v>
      </c>
      <c r="C426" t="s">
        <v>3314</v>
      </c>
      <c r="D426" t="s">
        <v>3315</v>
      </c>
      <c r="E426" t="s">
        <v>2909</v>
      </c>
      <c r="F426">
        <v>3083614</v>
      </c>
      <c r="H426">
        <v>987725335</v>
      </c>
      <c r="I426">
        <v>30</v>
      </c>
      <c r="J426" s="98">
        <v>0.3</v>
      </c>
      <c r="K426" s="79">
        <v>46132.958333333336</v>
      </c>
      <c r="M426" t="s">
        <v>3029</v>
      </c>
      <c r="X426" t="s">
        <v>2914</v>
      </c>
    </row>
    <row r="427" spans="1:24" ht="16" customHeight="1" x14ac:dyDescent="0.6">
      <c r="A427" t="s">
        <v>4137</v>
      </c>
      <c r="B427" t="s">
        <v>17</v>
      </c>
      <c r="C427" t="s">
        <v>3047</v>
      </c>
      <c r="E427" t="s">
        <v>2917</v>
      </c>
      <c r="F427">
        <v>3161741</v>
      </c>
      <c r="H427">
        <v>355529239</v>
      </c>
      <c r="I427">
        <v>30</v>
      </c>
      <c r="J427" s="98">
        <v>0.5</v>
      </c>
      <c r="K427" s="79">
        <v>46133.208333333336</v>
      </c>
      <c r="M427" t="s">
        <v>2910</v>
      </c>
      <c r="N427" s="101">
        <v>44287</v>
      </c>
      <c r="O427" s="75">
        <v>0.20833333333333334</v>
      </c>
      <c r="P427" t="s">
        <v>4138</v>
      </c>
      <c r="Q427" t="s">
        <v>967</v>
      </c>
      <c r="X427" t="s">
        <v>2914</v>
      </c>
    </row>
    <row r="428" spans="1:24" ht="16" customHeight="1" x14ac:dyDescent="0.6">
      <c r="A428" t="s">
        <v>4139</v>
      </c>
      <c r="B428" t="s">
        <v>17</v>
      </c>
      <c r="C428" t="s">
        <v>3221</v>
      </c>
      <c r="E428" t="s">
        <v>2930</v>
      </c>
      <c r="F428">
        <v>3151831</v>
      </c>
      <c r="H428">
        <v>908404630</v>
      </c>
      <c r="I428">
        <v>150</v>
      </c>
      <c r="J428" s="98">
        <v>0.75</v>
      </c>
      <c r="K428" s="79">
        <v>46132.979166666664</v>
      </c>
      <c r="L428" t="s">
        <v>4140</v>
      </c>
      <c r="M428" t="s">
        <v>3029</v>
      </c>
      <c r="X428" t="s">
        <v>2914</v>
      </c>
    </row>
    <row r="429" spans="1:24" ht="16" customHeight="1" x14ac:dyDescent="0.6">
      <c r="A429" t="s">
        <v>4141</v>
      </c>
      <c r="B429" t="s">
        <v>17</v>
      </c>
      <c r="C429" t="s">
        <v>4014</v>
      </c>
      <c r="E429" t="s">
        <v>2930</v>
      </c>
      <c r="F429">
        <v>3058243</v>
      </c>
      <c r="H429">
        <v>349019264</v>
      </c>
      <c r="I429">
        <v>80</v>
      </c>
      <c r="J429" s="98">
        <v>0.75</v>
      </c>
      <c r="K429" s="79">
        <v>46133.1875</v>
      </c>
      <c r="L429" t="s">
        <v>4142</v>
      </c>
      <c r="M429" t="s">
        <v>2910</v>
      </c>
      <c r="N429" s="101">
        <v>44287</v>
      </c>
      <c r="O429" s="75">
        <v>0.22222222222222221</v>
      </c>
      <c r="P429" t="s">
        <v>4143</v>
      </c>
      <c r="Q429" t="s">
        <v>3364</v>
      </c>
      <c r="V429" t="s">
        <v>2965</v>
      </c>
      <c r="X429" t="s">
        <v>2914</v>
      </c>
    </row>
    <row r="430" spans="1:24" ht="16" customHeight="1" x14ac:dyDescent="0.6">
      <c r="A430" t="s">
        <v>4144</v>
      </c>
      <c r="B430" t="s">
        <v>17</v>
      </c>
      <c r="C430" t="s">
        <v>3221</v>
      </c>
      <c r="E430" t="s">
        <v>2917</v>
      </c>
      <c r="F430">
        <v>3151831</v>
      </c>
      <c r="H430">
        <v>908404630</v>
      </c>
      <c r="I430">
        <v>150</v>
      </c>
      <c r="J430" s="98">
        <v>0.75</v>
      </c>
      <c r="K430" s="79">
        <v>46133.208333333336</v>
      </c>
      <c r="L430" t="s">
        <v>4145</v>
      </c>
      <c r="M430" t="s">
        <v>2910</v>
      </c>
      <c r="N430" s="101">
        <v>44287</v>
      </c>
      <c r="O430" s="75">
        <v>0.20833333333333334</v>
      </c>
      <c r="P430" t="s">
        <v>4146</v>
      </c>
      <c r="Q430" t="s">
        <v>3364</v>
      </c>
      <c r="X430" t="s">
        <v>2914</v>
      </c>
    </row>
    <row r="431" spans="1:24" ht="16" customHeight="1" x14ac:dyDescent="0.6">
      <c r="A431" t="s">
        <v>4147</v>
      </c>
      <c r="B431" t="s">
        <v>17</v>
      </c>
      <c r="C431" t="s">
        <v>3601</v>
      </c>
      <c r="E431" t="s">
        <v>2930</v>
      </c>
      <c r="F431">
        <v>3053950</v>
      </c>
      <c r="H431">
        <v>778868036</v>
      </c>
      <c r="I431">
        <v>50</v>
      </c>
      <c r="J431" s="98">
        <v>1</v>
      </c>
      <c r="K431" s="79">
        <v>46132.96875</v>
      </c>
      <c r="M431" t="s">
        <v>2910</v>
      </c>
      <c r="N431" s="101">
        <v>44287</v>
      </c>
      <c r="O431" s="75">
        <v>0.20833333333333334</v>
      </c>
      <c r="P431" t="s">
        <v>4148</v>
      </c>
      <c r="V431" t="s">
        <v>2965</v>
      </c>
      <c r="X431" t="s">
        <v>2914</v>
      </c>
    </row>
    <row r="432" spans="1:24" ht="16" customHeight="1" x14ac:dyDescent="0.6">
      <c r="A432" t="s">
        <v>4149</v>
      </c>
      <c r="B432" t="s">
        <v>17</v>
      </c>
      <c r="C432" t="s">
        <v>3242</v>
      </c>
      <c r="E432" t="s">
        <v>2909</v>
      </c>
      <c r="F432">
        <v>3026908</v>
      </c>
      <c r="H432">
        <v>979496510</v>
      </c>
      <c r="I432">
        <v>60</v>
      </c>
      <c r="J432" s="98">
        <v>0.5</v>
      </c>
      <c r="K432" s="79">
        <v>46133.208333333336</v>
      </c>
      <c r="M432" t="s">
        <v>3029</v>
      </c>
      <c r="N432" s="101">
        <v>44287</v>
      </c>
      <c r="X432" t="s">
        <v>2914</v>
      </c>
    </row>
    <row r="433" spans="1:24" ht="16" customHeight="1" x14ac:dyDescent="0.6">
      <c r="A433" t="s">
        <v>4150</v>
      </c>
      <c r="B433" t="s">
        <v>17</v>
      </c>
      <c r="C433" t="s">
        <v>2939</v>
      </c>
      <c r="E433" t="s">
        <v>2909</v>
      </c>
      <c r="F433">
        <v>3152551</v>
      </c>
      <c r="H433">
        <v>937002597</v>
      </c>
      <c r="I433">
        <v>30</v>
      </c>
      <c r="J433" s="98">
        <v>0.3</v>
      </c>
      <c r="K433" s="79">
        <v>46133.208333333336</v>
      </c>
      <c r="M433" t="s">
        <v>2910</v>
      </c>
      <c r="N433" s="101">
        <v>44287</v>
      </c>
      <c r="O433" s="75">
        <v>0.20833333333333334</v>
      </c>
      <c r="P433" t="s">
        <v>4151</v>
      </c>
      <c r="Q433" t="s">
        <v>967</v>
      </c>
      <c r="X433" t="s">
        <v>2914</v>
      </c>
    </row>
    <row r="434" spans="1:24" ht="16" customHeight="1" x14ac:dyDescent="0.6">
      <c r="A434" t="s">
        <v>4152</v>
      </c>
      <c r="B434" t="s">
        <v>17</v>
      </c>
      <c r="C434" t="s">
        <v>2957</v>
      </c>
      <c r="E434" t="s">
        <v>2930</v>
      </c>
      <c r="F434">
        <v>3153015</v>
      </c>
      <c r="H434">
        <v>973797545</v>
      </c>
      <c r="I434">
        <v>200</v>
      </c>
      <c r="J434" s="98">
        <v>1</v>
      </c>
      <c r="K434" s="79">
        <v>46133.208333333336</v>
      </c>
      <c r="M434" t="s">
        <v>3029</v>
      </c>
      <c r="N434" s="101">
        <v>44287</v>
      </c>
      <c r="X434" t="s">
        <v>2914</v>
      </c>
    </row>
    <row r="435" spans="1:24" ht="16" customHeight="1" x14ac:dyDescent="0.6">
      <c r="A435" t="s">
        <v>4153</v>
      </c>
      <c r="B435" t="s">
        <v>17</v>
      </c>
      <c r="C435" t="s">
        <v>3242</v>
      </c>
      <c r="E435" t="s">
        <v>2909</v>
      </c>
      <c r="F435">
        <v>3165452</v>
      </c>
      <c r="H435">
        <v>38352899</v>
      </c>
      <c r="I435">
        <v>60</v>
      </c>
      <c r="J435" s="98">
        <v>0.5</v>
      </c>
      <c r="K435" s="79">
        <v>46133.208333333336</v>
      </c>
      <c r="M435" t="s">
        <v>3029</v>
      </c>
      <c r="N435" s="101">
        <v>44287</v>
      </c>
      <c r="X435" t="s">
        <v>2914</v>
      </c>
    </row>
    <row r="436" spans="1:24" ht="16" customHeight="1" x14ac:dyDescent="0.6">
      <c r="A436" t="s">
        <v>4154</v>
      </c>
      <c r="B436" t="s">
        <v>17</v>
      </c>
      <c r="C436" t="s">
        <v>3242</v>
      </c>
      <c r="E436" t="s">
        <v>2917</v>
      </c>
      <c r="F436">
        <v>3036907</v>
      </c>
      <c r="H436">
        <v>979496510</v>
      </c>
      <c r="I436">
        <v>75</v>
      </c>
      <c r="J436" s="98">
        <v>0.5</v>
      </c>
      <c r="K436" s="79">
        <v>46133.208333333336</v>
      </c>
      <c r="M436" t="s">
        <v>2910</v>
      </c>
      <c r="N436" s="101">
        <v>44287</v>
      </c>
      <c r="O436" s="75">
        <v>0.22916666666666666</v>
      </c>
      <c r="P436" t="s">
        <v>4155</v>
      </c>
      <c r="Q436" t="s">
        <v>967</v>
      </c>
      <c r="V436" t="s">
        <v>2965</v>
      </c>
      <c r="X436" t="s">
        <v>2914</v>
      </c>
    </row>
    <row r="437" spans="1:24" ht="16" customHeight="1" x14ac:dyDescent="0.6">
      <c r="A437" t="s">
        <v>4156</v>
      </c>
      <c r="B437" t="s">
        <v>17</v>
      </c>
      <c r="C437" t="s">
        <v>3031</v>
      </c>
      <c r="E437" t="s">
        <v>2917</v>
      </c>
      <c r="F437">
        <v>3152729</v>
      </c>
      <c r="H437">
        <v>941792245</v>
      </c>
      <c r="I437">
        <v>100</v>
      </c>
      <c r="J437" s="98">
        <v>1</v>
      </c>
      <c r="K437" s="79">
        <v>46133.208333333336</v>
      </c>
      <c r="M437" t="s">
        <v>2910</v>
      </c>
      <c r="N437" s="101">
        <v>44287</v>
      </c>
      <c r="O437" s="75">
        <v>0.20833333333333334</v>
      </c>
      <c r="P437" t="s">
        <v>4157</v>
      </c>
      <c r="Q437" t="s">
        <v>967</v>
      </c>
      <c r="X437" t="s">
        <v>2914</v>
      </c>
    </row>
    <row r="438" spans="1:24" ht="16" customHeight="1" x14ac:dyDescent="0.6">
      <c r="A438" t="s">
        <v>4158</v>
      </c>
      <c r="B438" t="s">
        <v>17</v>
      </c>
      <c r="C438" t="s">
        <v>2976</v>
      </c>
      <c r="E438" t="s">
        <v>2917</v>
      </c>
      <c r="F438">
        <v>1871696</v>
      </c>
      <c r="H438">
        <v>774688086</v>
      </c>
      <c r="I438">
        <v>100</v>
      </c>
      <c r="J438" t="s">
        <v>2919</v>
      </c>
      <c r="K438" s="79">
        <v>46133.625</v>
      </c>
      <c r="M438" t="s">
        <v>3029</v>
      </c>
      <c r="X438" t="s">
        <v>2914</v>
      </c>
    </row>
    <row r="439" spans="1:24" ht="16" customHeight="1" x14ac:dyDescent="0.6">
      <c r="A439" t="s">
        <v>4159</v>
      </c>
      <c r="B439" t="s">
        <v>17</v>
      </c>
      <c r="C439" t="s">
        <v>3129</v>
      </c>
      <c r="E439" t="s">
        <v>2930</v>
      </c>
      <c r="F439">
        <v>1882650</v>
      </c>
      <c r="H439">
        <v>775748473</v>
      </c>
      <c r="I439">
        <v>150</v>
      </c>
      <c r="J439" s="98">
        <v>1</v>
      </c>
      <c r="K439" s="79">
        <v>46133.625</v>
      </c>
      <c r="M439" t="s">
        <v>2910</v>
      </c>
      <c r="N439" s="101">
        <v>44287</v>
      </c>
      <c r="P439" t="s">
        <v>4160</v>
      </c>
      <c r="Q439" t="s">
        <v>967</v>
      </c>
      <c r="R439" t="s">
        <v>4161</v>
      </c>
      <c r="S439" t="s">
        <v>1868</v>
      </c>
      <c r="T439" t="s">
        <v>4162</v>
      </c>
      <c r="V439" t="s">
        <v>2965</v>
      </c>
      <c r="X439" t="s">
        <v>2914</v>
      </c>
    </row>
    <row r="440" spans="1:24" ht="16" customHeight="1" x14ac:dyDescent="0.6">
      <c r="A440" t="s">
        <v>4163</v>
      </c>
      <c r="B440" t="s">
        <v>17</v>
      </c>
      <c r="C440" t="s">
        <v>2994</v>
      </c>
      <c r="E440" t="s">
        <v>2930</v>
      </c>
      <c r="F440">
        <v>3023633</v>
      </c>
      <c r="G440" t="s">
        <v>4064</v>
      </c>
      <c r="H440">
        <v>936207489</v>
      </c>
      <c r="I440">
        <v>100</v>
      </c>
      <c r="J440" s="98">
        <v>1</v>
      </c>
      <c r="K440" s="79">
        <v>46133.666666666664</v>
      </c>
      <c r="M440" t="s">
        <v>3029</v>
      </c>
      <c r="X440" t="s">
        <v>2914</v>
      </c>
    </row>
    <row r="441" spans="1:24" ht="16" customHeight="1" x14ac:dyDescent="0.6">
      <c r="A441" t="s">
        <v>4164</v>
      </c>
      <c r="B441" t="s">
        <v>17</v>
      </c>
      <c r="C441" t="s">
        <v>2954</v>
      </c>
      <c r="E441" t="s">
        <v>2930</v>
      </c>
      <c r="F441">
        <v>3129272</v>
      </c>
      <c r="G441">
        <v>937329651</v>
      </c>
      <c r="H441">
        <v>876177676</v>
      </c>
      <c r="I441">
        <v>80</v>
      </c>
      <c r="J441" s="98">
        <v>0.75</v>
      </c>
      <c r="K441" s="79">
        <v>46133.916666666664</v>
      </c>
      <c r="M441" t="s">
        <v>2910</v>
      </c>
      <c r="N441" s="101">
        <v>44287</v>
      </c>
      <c r="O441" s="75">
        <v>0.9375</v>
      </c>
      <c r="P441" t="s">
        <v>4165</v>
      </c>
      <c r="Q441" t="s">
        <v>1356</v>
      </c>
      <c r="R441" t="s">
        <v>2983</v>
      </c>
      <c r="S441" t="s">
        <v>1868</v>
      </c>
      <c r="T441" t="s">
        <v>4166</v>
      </c>
      <c r="V441" t="s">
        <v>2965</v>
      </c>
      <c r="X441" t="s">
        <v>2914</v>
      </c>
    </row>
    <row r="442" spans="1:24" ht="16" customHeight="1" x14ac:dyDescent="0.6">
      <c r="A442" t="s">
        <v>4167</v>
      </c>
      <c r="B442" t="s">
        <v>17</v>
      </c>
      <c r="C442" t="s">
        <v>3055</v>
      </c>
      <c r="E442" t="s">
        <v>2930</v>
      </c>
      <c r="F442">
        <v>3152447</v>
      </c>
      <c r="H442">
        <v>914595782</v>
      </c>
      <c r="I442">
        <v>50</v>
      </c>
      <c r="J442" s="98">
        <v>0.75</v>
      </c>
      <c r="K442" s="79">
        <v>46133.9375</v>
      </c>
      <c r="M442" t="s">
        <v>2910</v>
      </c>
      <c r="N442" s="101">
        <v>44287</v>
      </c>
      <c r="O442" s="75">
        <v>0.90625</v>
      </c>
      <c r="P442" t="s">
        <v>4168</v>
      </c>
      <c r="Q442" t="s">
        <v>967</v>
      </c>
      <c r="R442" t="s">
        <v>4169</v>
      </c>
      <c r="S442" t="s">
        <v>1868</v>
      </c>
      <c r="T442" t="s">
        <v>3063</v>
      </c>
      <c r="V442" t="s">
        <v>2965</v>
      </c>
      <c r="X442" t="s">
        <v>2914</v>
      </c>
    </row>
    <row r="443" spans="1:24" ht="16" customHeight="1" x14ac:dyDescent="0.6">
      <c r="A443" t="s">
        <v>4170</v>
      </c>
      <c r="B443" t="s">
        <v>17</v>
      </c>
      <c r="C443" t="s">
        <v>4171</v>
      </c>
      <c r="D443" t="s">
        <v>4172</v>
      </c>
      <c r="E443" t="s">
        <v>2917</v>
      </c>
      <c r="F443">
        <v>3070766</v>
      </c>
      <c r="G443" t="s">
        <v>3684</v>
      </c>
      <c r="H443">
        <v>376156434</v>
      </c>
      <c r="I443">
        <v>100</v>
      </c>
      <c r="J443" s="98">
        <v>1</v>
      </c>
      <c r="K443" s="79">
        <v>46133.833333333336</v>
      </c>
      <c r="M443" t="s">
        <v>2910</v>
      </c>
      <c r="N443" s="101">
        <v>44287</v>
      </c>
      <c r="O443" s="75">
        <v>0.94791666666666663</v>
      </c>
      <c r="P443" t="s">
        <v>4173</v>
      </c>
      <c r="Q443" t="s">
        <v>1356</v>
      </c>
      <c r="R443" t="s">
        <v>2951</v>
      </c>
      <c r="S443" t="s">
        <v>1868</v>
      </c>
      <c r="T443" t="s">
        <v>3538</v>
      </c>
      <c r="V443" t="s">
        <v>2965</v>
      </c>
      <c r="X443" t="s">
        <v>2914</v>
      </c>
    </row>
    <row r="444" spans="1:24" ht="16" customHeight="1" x14ac:dyDescent="0.6">
      <c r="A444" t="s">
        <v>4174</v>
      </c>
      <c r="B444" t="s">
        <v>17</v>
      </c>
      <c r="C444" t="s">
        <v>3179</v>
      </c>
      <c r="E444" t="s">
        <v>2930</v>
      </c>
      <c r="F444">
        <v>3149706</v>
      </c>
      <c r="G444" t="s">
        <v>3180</v>
      </c>
      <c r="H444">
        <v>706395955</v>
      </c>
      <c r="I444">
        <v>300</v>
      </c>
      <c r="J444" s="98">
        <v>1</v>
      </c>
      <c r="K444" s="79">
        <v>46133.875</v>
      </c>
      <c r="M444" t="s">
        <v>2955</v>
      </c>
      <c r="N444" s="101">
        <v>44287</v>
      </c>
      <c r="X444" t="s">
        <v>2914</v>
      </c>
    </row>
    <row r="445" spans="1:24" ht="16" customHeight="1" x14ac:dyDescent="0.6">
      <c r="A445" t="s">
        <v>4175</v>
      </c>
      <c r="B445" t="s">
        <v>17</v>
      </c>
      <c r="C445" t="s">
        <v>2976</v>
      </c>
      <c r="E445" t="s">
        <v>2917</v>
      </c>
      <c r="F445">
        <v>3124891</v>
      </c>
      <c r="H445">
        <v>977330980</v>
      </c>
      <c r="I445">
        <v>200</v>
      </c>
      <c r="J445" s="98">
        <v>1</v>
      </c>
      <c r="K445" s="79">
        <v>46133.90625</v>
      </c>
      <c r="M445" t="s">
        <v>2910</v>
      </c>
      <c r="N445" s="101">
        <v>44287</v>
      </c>
      <c r="O445" s="75">
        <v>0.90625</v>
      </c>
      <c r="P445" t="s">
        <v>4176</v>
      </c>
      <c r="Q445" t="s">
        <v>967</v>
      </c>
      <c r="R445" t="s">
        <v>2973</v>
      </c>
      <c r="S445" t="s">
        <v>1868</v>
      </c>
      <c r="T445" t="s">
        <v>2974</v>
      </c>
      <c r="V445" t="s">
        <v>3009</v>
      </c>
      <c r="X445" t="s">
        <v>2914</v>
      </c>
    </row>
    <row r="446" spans="1:24" ht="16" customHeight="1" x14ac:dyDescent="0.6">
      <c r="A446" t="s">
        <v>4177</v>
      </c>
      <c r="B446" t="s">
        <v>17</v>
      </c>
      <c r="C446" t="s">
        <v>3247</v>
      </c>
      <c r="E446" t="s">
        <v>2909</v>
      </c>
      <c r="F446">
        <v>3127246</v>
      </c>
      <c r="G446" t="s">
        <v>4178</v>
      </c>
      <c r="H446">
        <v>385161509</v>
      </c>
      <c r="I446">
        <v>100</v>
      </c>
      <c r="J446" s="98">
        <v>1</v>
      </c>
      <c r="K446" s="79">
        <v>46133.9375</v>
      </c>
      <c r="M446" t="s">
        <v>2955</v>
      </c>
      <c r="N446" s="101">
        <v>44287</v>
      </c>
      <c r="X446" t="s">
        <v>2914</v>
      </c>
    </row>
    <row r="447" spans="1:24" ht="16" customHeight="1" x14ac:dyDescent="0.6">
      <c r="A447" t="s">
        <v>4179</v>
      </c>
      <c r="B447" t="s">
        <v>17</v>
      </c>
      <c r="C447" t="s">
        <v>2929</v>
      </c>
      <c r="E447" t="s">
        <v>2930</v>
      </c>
      <c r="F447">
        <v>1874442</v>
      </c>
      <c r="G447" t="s">
        <v>3972</v>
      </c>
      <c r="H447">
        <v>349694008</v>
      </c>
      <c r="I447">
        <v>70</v>
      </c>
      <c r="J447" s="98">
        <v>1</v>
      </c>
      <c r="K447" s="79">
        <v>46133.875</v>
      </c>
      <c r="M447" t="s">
        <v>2910</v>
      </c>
      <c r="N447" s="101">
        <v>44287</v>
      </c>
      <c r="O447" s="75">
        <v>0.90625</v>
      </c>
      <c r="P447" t="s">
        <v>4180</v>
      </c>
      <c r="Q447" t="s">
        <v>967</v>
      </c>
      <c r="R447" t="s">
        <v>3575</v>
      </c>
      <c r="S447" t="s">
        <v>1868</v>
      </c>
      <c r="T447" t="s">
        <v>2933</v>
      </c>
      <c r="V447" t="s">
        <v>2965</v>
      </c>
      <c r="X447" t="s">
        <v>2914</v>
      </c>
    </row>
    <row r="448" spans="1:24" ht="16" customHeight="1" x14ac:dyDescent="0.6">
      <c r="A448" t="s">
        <v>4181</v>
      </c>
      <c r="B448" t="s">
        <v>17</v>
      </c>
      <c r="C448" t="s">
        <v>4182</v>
      </c>
      <c r="D448">
        <v>22473000</v>
      </c>
      <c r="E448" t="s">
        <v>2930</v>
      </c>
      <c r="F448">
        <v>3020591</v>
      </c>
      <c r="H448">
        <v>988544750</v>
      </c>
      <c r="I448">
        <v>200</v>
      </c>
      <c r="J448" s="98">
        <v>1</v>
      </c>
      <c r="K448" s="79">
        <v>46133.90625</v>
      </c>
      <c r="M448" t="s">
        <v>2955</v>
      </c>
      <c r="X448" t="s">
        <v>2914</v>
      </c>
    </row>
    <row r="449" spans="1:24" ht="16" customHeight="1" x14ac:dyDescent="0.6">
      <c r="A449" t="s">
        <v>4183</v>
      </c>
      <c r="B449" t="s">
        <v>17</v>
      </c>
      <c r="C449" t="s">
        <v>2994</v>
      </c>
      <c r="E449" t="s">
        <v>2909</v>
      </c>
      <c r="F449">
        <v>3023633</v>
      </c>
      <c r="G449" t="s">
        <v>4064</v>
      </c>
      <c r="H449">
        <v>936207489</v>
      </c>
      <c r="I449">
        <v>70</v>
      </c>
      <c r="J449" s="98">
        <v>1</v>
      </c>
      <c r="K449" s="79">
        <v>46133.927083333336</v>
      </c>
      <c r="M449" t="s">
        <v>2910</v>
      </c>
      <c r="N449" s="101">
        <v>44287</v>
      </c>
      <c r="O449" s="75">
        <v>0.91666666666666663</v>
      </c>
      <c r="P449" t="s">
        <v>4184</v>
      </c>
      <c r="Q449" t="s">
        <v>967</v>
      </c>
      <c r="R449" t="s">
        <v>3073</v>
      </c>
      <c r="S449" t="s">
        <v>1868</v>
      </c>
      <c r="T449" t="s">
        <v>2997</v>
      </c>
      <c r="V449" t="s">
        <v>202</v>
      </c>
      <c r="X449" t="s">
        <v>2914</v>
      </c>
    </row>
    <row r="450" spans="1:24" ht="16" customHeight="1" x14ac:dyDescent="0.6">
      <c r="A450" t="s">
        <v>4185</v>
      </c>
      <c r="B450" t="s">
        <v>17</v>
      </c>
      <c r="C450" t="s">
        <v>2986</v>
      </c>
      <c r="E450" t="s">
        <v>2930</v>
      </c>
      <c r="F450">
        <v>3150112</v>
      </c>
      <c r="G450" t="s">
        <v>3986</v>
      </c>
      <c r="H450">
        <v>965514797</v>
      </c>
      <c r="I450">
        <v>50</v>
      </c>
      <c r="J450" s="98">
        <v>0.75</v>
      </c>
      <c r="K450" s="79">
        <v>46133.895833333336</v>
      </c>
      <c r="M450" t="s">
        <v>2910</v>
      </c>
      <c r="N450" s="101">
        <v>44287</v>
      </c>
      <c r="O450" s="75">
        <v>0.90625</v>
      </c>
      <c r="P450" t="s">
        <v>4186</v>
      </c>
      <c r="Q450" t="s">
        <v>967</v>
      </c>
      <c r="R450" t="s">
        <v>3387</v>
      </c>
      <c r="S450" t="s">
        <v>1868</v>
      </c>
      <c r="T450" t="s">
        <v>3388</v>
      </c>
      <c r="V450" t="s">
        <v>2965</v>
      </c>
      <c r="X450" t="s">
        <v>2914</v>
      </c>
    </row>
    <row r="451" spans="1:24" ht="16" customHeight="1" x14ac:dyDescent="0.6">
      <c r="A451" t="s">
        <v>4187</v>
      </c>
      <c r="B451" t="s">
        <v>17</v>
      </c>
      <c r="C451" t="s">
        <v>4188</v>
      </c>
      <c r="D451" t="s">
        <v>4189</v>
      </c>
      <c r="E451" t="s">
        <v>2930</v>
      </c>
      <c r="F451">
        <v>3020591</v>
      </c>
      <c r="H451">
        <v>988544750</v>
      </c>
      <c r="I451">
        <v>200</v>
      </c>
      <c r="J451" s="98">
        <v>1</v>
      </c>
      <c r="K451" s="79">
        <v>46133.895833333336</v>
      </c>
      <c r="M451" t="s">
        <v>2910</v>
      </c>
      <c r="N451" s="101">
        <v>44287</v>
      </c>
      <c r="O451" s="75">
        <v>0.95833333333333337</v>
      </c>
      <c r="P451" t="s">
        <v>4190</v>
      </c>
      <c r="Q451" t="s">
        <v>1356</v>
      </c>
      <c r="R451" t="s">
        <v>3002</v>
      </c>
      <c r="S451" t="s">
        <v>1868</v>
      </c>
      <c r="T451" t="s">
        <v>3550</v>
      </c>
      <c r="V451" t="s">
        <v>2965</v>
      </c>
      <c r="X451" t="s">
        <v>2914</v>
      </c>
    </row>
    <row r="452" spans="1:24" ht="16" customHeight="1" x14ac:dyDescent="0.6">
      <c r="A452" t="s">
        <v>4191</v>
      </c>
      <c r="B452" t="s">
        <v>17</v>
      </c>
      <c r="C452" t="s">
        <v>3142</v>
      </c>
      <c r="E452" t="s">
        <v>2930</v>
      </c>
      <c r="F452">
        <v>1714094</v>
      </c>
      <c r="G452" t="s">
        <v>3143</v>
      </c>
      <c r="H452">
        <v>961790126</v>
      </c>
      <c r="I452">
        <v>100</v>
      </c>
      <c r="J452" s="98">
        <v>1</v>
      </c>
      <c r="K452" s="79">
        <v>46133.875</v>
      </c>
      <c r="M452" t="s">
        <v>2910</v>
      </c>
      <c r="N452" s="101">
        <v>44287</v>
      </c>
      <c r="O452" s="75">
        <v>0.9375</v>
      </c>
      <c r="P452" t="s">
        <v>4192</v>
      </c>
      <c r="Q452" t="s">
        <v>1356</v>
      </c>
      <c r="R452" t="s">
        <v>4193</v>
      </c>
      <c r="S452" t="s">
        <v>1868</v>
      </c>
      <c r="T452" t="s">
        <v>4194</v>
      </c>
      <c r="V452" t="s">
        <v>2965</v>
      </c>
      <c r="X452" t="s">
        <v>2914</v>
      </c>
    </row>
    <row r="453" spans="1:24" ht="16" customHeight="1" x14ac:dyDescent="0.6">
      <c r="A453" t="s">
        <v>4195</v>
      </c>
      <c r="B453" t="s">
        <v>17</v>
      </c>
      <c r="C453" t="s">
        <v>3028</v>
      </c>
      <c r="E453" t="s">
        <v>2909</v>
      </c>
      <c r="F453">
        <v>3078993</v>
      </c>
      <c r="H453">
        <v>931837212</v>
      </c>
      <c r="I453">
        <v>10</v>
      </c>
      <c r="J453" s="98">
        <v>0.3</v>
      </c>
      <c r="K453" s="79">
        <v>46134.208333333336</v>
      </c>
      <c r="L453" t="s">
        <v>4196</v>
      </c>
      <c r="M453" t="s">
        <v>2910</v>
      </c>
      <c r="N453" s="101">
        <v>44652</v>
      </c>
      <c r="O453" s="75">
        <v>0.14583333333333334</v>
      </c>
      <c r="P453" t="s">
        <v>4197</v>
      </c>
      <c r="Q453" t="s">
        <v>967</v>
      </c>
      <c r="R453" t="s">
        <v>2941</v>
      </c>
      <c r="S453" t="s">
        <v>1868</v>
      </c>
      <c r="T453" t="s">
        <v>4198</v>
      </c>
      <c r="X453" t="s">
        <v>2914</v>
      </c>
    </row>
    <row r="454" spans="1:24" ht="16" customHeight="1" x14ac:dyDescent="0.6">
      <c r="A454" t="s">
        <v>4199</v>
      </c>
      <c r="B454" t="s">
        <v>17</v>
      </c>
      <c r="C454" t="s">
        <v>3031</v>
      </c>
      <c r="F454">
        <v>3147977</v>
      </c>
      <c r="H454">
        <v>797255556</v>
      </c>
      <c r="I454">
        <v>60</v>
      </c>
      <c r="J454" s="98">
        <v>0.75</v>
      </c>
      <c r="K454" s="79">
        <v>46133.916666666664</v>
      </c>
      <c r="M454" t="s">
        <v>2910</v>
      </c>
      <c r="N454" s="101">
        <v>44287</v>
      </c>
      <c r="O454" s="75">
        <v>0.9375</v>
      </c>
      <c r="P454" t="s">
        <v>4200</v>
      </c>
      <c r="Q454" t="s">
        <v>1356</v>
      </c>
      <c r="R454" t="s">
        <v>3618</v>
      </c>
      <c r="S454" t="s">
        <v>1868</v>
      </c>
      <c r="T454" t="s">
        <v>3619</v>
      </c>
      <c r="V454" t="s">
        <v>3009</v>
      </c>
      <c r="X454" t="s">
        <v>2914</v>
      </c>
    </row>
    <row r="455" spans="1:24" ht="16" customHeight="1" x14ac:dyDescent="0.6">
      <c r="A455" t="s">
        <v>4201</v>
      </c>
      <c r="B455" t="s">
        <v>17</v>
      </c>
      <c r="C455" t="s">
        <v>3601</v>
      </c>
      <c r="E455" t="s">
        <v>2930</v>
      </c>
      <c r="F455">
        <v>1882650</v>
      </c>
      <c r="H455">
        <v>775748473</v>
      </c>
      <c r="I455">
        <v>80</v>
      </c>
      <c r="J455" s="98">
        <v>1</v>
      </c>
      <c r="K455" s="79">
        <v>46133.895833333336</v>
      </c>
      <c r="M455" t="s">
        <v>2910</v>
      </c>
      <c r="N455" s="101">
        <v>44287</v>
      </c>
      <c r="O455" s="75">
        <v>0.9375</v>
      </c>
      <c r="P455" t="s">
        <v>4202</v>
      </c>
      <c r="Q455" t="s">
        <v>1356</v>
      </c>
      <c r="R455" t="s">
        <v>4203</v>
      </c>
      <c r="S455" t="s">
        <v>1868</v>
      </c>
      <c r="T455" t="s">
        <v>4204</v>
      </c>
      <c r="V455" t="s">
        <v>2965</v>
      </c>
      <c r="X455" t="s">
        <v>2914</v>
      </c>
    </row>
    <row r="456" spans="1:24" ht="16" customHeight="1" x14ac:dyDescent="0.6">
      <c r="A456" t="s">
        <v>4205</v>
      </c>
      <c r="B456" t="s">
        <v>17</v>
      </c>
      <c r="C456" t="s">
        <v>3049</v>
      </c>
      <c r="E456" t="s">
        <v>2930</v>
      </c>
      <c r="F456">
        <v>3074147</v>
      </c>
      <c r="H456">
        <v>945806398</v>
      </c>
      <c r="I456">
        <v>65</v>
      </c>
      <c r="J456" s="98">
        <v>0.75</v>
      </c>
      <c r="K456" s="79">
        <v>46133.895833333336</v>
      </c>
      <c r="L456" t="s">
        <v>3234</v>
      </c>
      <c r="M456" t="s">
        <v>2910</v>
      </c>
      <c r="N456" s="101">
        <v>44287</v>
      </c>
      <c r="O456" s="75">
        <v>0.90625</v>
      </c>
      <c r="P456" t="s">
        <v>4206</v>
      </c>
      <c r="Q456" t="s">
        <v>967</v>
      </c>
      <c r="R456" t="s">
        <v>2978</v>
      </c>
      <c r="S456" t="s">
        <v>1868</v>
      </c>
      <c r="T456" t="s">
        <v>2979</v>
      </c>
      <c r="V456" t="s">
        <v>2947</v>
      </c>
      <c r="X456" t="s">
        <v>2914</v>
      </c>
    </row>
    <row r="457" spans="1:24" ht="16" customHeight="1" x14ac:dyDescent="0.6">
      <c r="A457" t="s">
        <v>4207</v>
      </c>
      <c r="B457" t="s">
        <v>17</v>
      </c>
      <c r="C457" t="s">
        <v>2976</v>
      </c>
      <c r="E457" t="s">
        <v>2917</v>
      </c>
      <c r="F457">
        <v>3124891</v>
      </c>
      <c r="H457">
        <v>977330980</v>
      </c>
      <c r="I457">
        <v>100</v>
      </c>
      <c r="J457" s="98">
        <v>1</v>
      </c>
      <c r="K457" s="79">
        <v>46133.947916666664</v>
      </c>
      <c r="M457" t="s">
        <v>3029</v>
      </c>
      <c r="X457" t="s">
        <v>2914</v>
      </c>
    </row>
    <row r="458" spans="1:24" ht="16" customHeight="1" x14ac:dyDescent="0.6">
      <c r="A458" t="s">
        <v>4208</v>
      </c>
      <c r="B458" t="s">
        <v>17</v>
      </c>
      <c r="C458" t="s">
        <v>3093</v>
      </c>
      <c r="E458" t="s">
        <v>2917</v>
      </c>
      <c r="F458">
        <v>1872928</v>
      </c>
      <c r="H458">
        <v>344176032</v>
      </c>
      <c r="I458">
        <v>100</v>
      </c>
      <c r="J458" s="98">
        <v>0.75</v>
      </c>
      <c r="K458" s="79">
        <v>46134.916666666664</v>
      </c>
      <c r="L458" t="s">
        <v>4209</v>
      </c>
      <c r="M458" t="s">
        <v>2910</v>
      </c>
      <c r="N458" s="101">
        <v>44652</v>
      </c>
      <c r="O458" s="75">
        <v>0.91666666666666663</v>
      </c>
      <c r="P458" t="s">
        <v>4210</v>
      </c>
      <c r="Q458" t="s">
        <v>1356</v>
      </c>
      <c r="R458" t="s">
        <v>2951</v>
      </c>
      <c r="T458" t="s">
        <v>3538</v>
      </c>
      <c r="V458" t="s">
        <v>3009</v>
      </c>
      <c r="X458" t="s">
        <v>2914</v>
      </c>
    </row>
    <row r="459" spans="1:24" ht="16" customHeight="1" x14ac:dyDescent="0.6">
      <c r="A459" t="s">
        <v>4211</v>
      </c>
      <c r="B459" t="s">
        <v>17</v>
      </c>
      <c r="C459" t="s">
        <v>2976</v>
      </c>
      <c r="E459" t="s">
        <v>2917</v>
      </c>
      <c r="F459">
        <v>3088512</v>
      </c>
      <c r="G459" t="s">
        <v>4212</v>
      </c>
      <c r="H459">
        <v>348556630</v>
      </c>
      <c r="I459">
        <v>200</v>
      </c>
      <c r="J459" t="s">
        <v>2919</v>
      </c>
      <c r="K459" s="79">
        <v>46134.645833333336</v>
      </c>
      <c r="M459" t="s">
        <v>3029</v>
      </c>
      <c r="X459" t="s">
        <v>2914</v>
      </c>
    </row>
    <row r="460" spans="1:24" ht="16" customHeight="1" x14ac:dyDescent="0.6">
      <c r="A460" t="s">
        <v>4213</v>
      </c>
      <c r="B460" t="s">
        <v>17</v>
      </c>
      <c r="C460" t="s">
        <v>3179</v>
      </c>
      <c r="E460" t="s">
        <v>2930</v>
      </c>
      <c r="F460">
        <v>3149706</v>
      </c>
      <c r="G460" t="s">
        <v>3180</v>
      </c>
      <c r="H460">
        <v>706395955</v>
      </c>
      <c r="I460">
        <v>300</v>
      </c>
      <c r="J460" s="98">
        <v>1</v>
      </c>
      <c r="K460" s="79">
        <v>46134.875</v>
      </c>
      <c r="M460" t="s">
        <v>2910</v>
      </c>
      <c r="N460" s="101">
        <v>44652</v>
      </c>
      <c r="O460" s="75">
        <v>0.875</v>
      </c>
      <c r="P460" t="s">
        <v>4214</v>
      </c>
      <c r="Q460" t="s">
        <v>967</v>
      </c>
      <c r="R460" t="s">
        <v>3149</v>
      </c>
      <c r="S460" t="s">
        <v>1868</v>
      </c>
      <c r="T460" t="s">
        <v>3039</v>
      </c>
      <c r="V460" t="s">
        <v>2965</v>
      </c>
      <c r="X460" t="s">
        <v>2914</v>
      </c>
    </row>
    <row r="461" spans="1:24" ht="16" customHeight="1" x14ac:dyDescent="0.6">
      <c r="A461" t="s">
        <v>4215</v>
      </c>
      <c r="B461" t="s">
        <v>17</v>
      </c>
      <c r="C461" t="s">
        <v>2957</v>
      </c>
      <c r="E461" t="s">
        <v>2909</v>
      </c>
      <c r="F461">
        <v>1802852</v>
      </c>
      <c r="H461">
        <v>974607460</v>
      </c>
      <c r="I461">
        <v>100</v>
      </c>
      <c r="J461" s="98">
        <v>0.75</v>
      </c>
      <c r="K461" s="79">
        <v>46134.875</v>
      </c>
      <c r="M461" t="s">
        <v>2910</v>
      </c>
      <c r="N461" s="101">
        <v>44652</v>
      </c>
      <c r="O461" s="75">
        <v>0.90625</v>
      </c>
      <c r="P461" t="s">
        <v>4216</v>
      </c>
      <c r="Q461" t="s">
        <v>967</v>
      </c>
      <c r="R461" t="s">
        <v>2937</v>
      </c>
      <c r="S461" t="s">
        <v>1868</v>
      </c>
      <c r="T461" t="s">
        <v>2960</v>
      </c>
      <c r="V461" t="s">
        <v>202</v>
      </c>
      <c r="X461" t="s">
        <v>2914</v>
      </c>
    </row>
    <row r="462" spans="1:24" ht="16" customHeight="1" x14ac:dyDescent="0.6">
      <c r="A462" t="s">
        <v>4217</v>
      </c>
      <c r="B462" t="s">
        <v>17</v>
      </c>
      <c r="C462" t="s">
        <v>2943</v>
      </c>
      <c r="E462" t="s">
        <v>2930</v>
      </c>
      <c r="F462">
        <v>1884115</v>
      </c>
      <c r="H462">
        <v>971578282</v>
      </c>
      <c r="I462">
        <v>25</v>
      </c>
      <c r="J462" s="98">
        <v>0.3</v>
      </c>
      <c r="K462" s="79">
        <v>46134.895833333336</v>
      </c>
      <c r="M462" t="s">
        <v>2910</v>
      </c>
      <c r="N462" s="101">
        <v>44652</v>
      </c>
      <c r="O462" s="75">
        <v>0.91666666666666663</v>
      </c>
      <c r="P462" t="s">
        <v>4218</v>
      </c>
      <c r="Q462" t="s">
        <v>967</v>
      </c>
      <c r="R462" t="s">
        <v>4219</v>
      </c>
      <c r="S462" t="s">
        <v>1868</v>
      </c>
      <c r="T462" t="s">
        <v>4220</v>
      </c>
      <c r="V462" t="s">
        <v>2965</v>
      </c>
      <c r="X462" t="s">
        <v>2914</v>
      </c>
    </row>
    <row r="463" spans="1:24" ht="16" customHeight="1" x14ac:dyDescent="0.6">
      <c r="A463" t="s">
        <v>4221</v>
      </c>
      <c r="B463" t="s">
        <v>17</v>
      </c>
      <c r="C463" t="s">
        <v>2994</v>
      </c>
      <c r="E463" t="s">
        <v>2909</v>
      </c>
      <c r="F463">
        <v>3023633</v>
      </c>
      <c r="G463" t="s">
        <v>4064</v>
      </c>
      <c r="H463">
        <v>936207489</v>
      </c>
      <c r="I463">
        <v>60</v>
      </c>
      <c r="J463" s="98">
        <v>1</v>
      </c>
      <c r="K463" s="79">
        <v>46134.916666666664</v>
      </c>
      <c r="M463" t="s">
        <v>2910</v>
      </c>
      <c r="N463" s="101">
        <v>44652</v>
      </c>
      <c r="O463" s="75">
        <v>0.90625</v>
      </c>
      <c r="P463" t="s">
        <v>4222</v>
      </c>
      <c r="Q463" t="s">
        <v>967</v>
      </c>
      <c r="R463" t="s">
        <v>2996</v>
      </c>
      <c r="S463" t="s">
        <v>1868</v>
      </c>
      <c r="T463" t="s">
        <v>2997</v>
      </c>
      <c r="V463" t="s">
        <v>202</v>
      </c>
      <c r="X463" t="s">
        <v>2914</v>
      </c>
    </row>
    <row r="464" spans="1:24" ht="16" customHeight="1" x14ac:dyDescent="0.6">
      <c r="A464" t="s">
        <v>4223</v>
      </c>
      <c r="B464" t="s">
        <v>17</v>
      </c>
      <c r="C464" t="s">
        <v>3142</v>
      </c>
      <c r="E464" t="s">
        <v>2930</v>
      </c>
      <c r="F464">
        <v>1714094</v>
      </c>
      <c r="G464" t="s">
        <v>3143</v>
      </c>
      <c r="H464">
        <v>961790126</v>
      </c>
      <c r="I464">
        <v>100</v>
      </c>
      <c r="J464" s="98">
        <v>0.75</v>
      </c>
      <c r="K464" s="79">
        <v>46134.875</v>
      </c>
      <c r="M464" t="s">
        <v>2910</v>
      </c>
      <c r="N464" s="101">
        <v>44652</v>
      </c>
      <c r="O464" s="75">
        <v>0.90625</v>
      </c>
      <c r="P464" t="s">
        <v>4224</v>
      </c>
      <c r="Q464" t="s">
        <v>967</v>
      </c>
      <c r="R464" t="s">
        <v>2973</v>
      </c>
      <c r="S464" t="s">
        <v>1868</v>
      </c>
      <c r="T464" t="s">
        <v>2974</v>
      </c>
      <c r="V464" t="s">
        <v>2965</v>
      </c>
      <c r="X464" t="s">
        <v>2914</v>
      </c>
    </row>
    <row r="465" spans="1:24" ht="16" customHeight="1" x14ac:dyDescent="0.6">
      <c r="A465" t="s">
        <v>4225</v>
      </c>
      <c r="B465" t="s">
        <v>17</v>
      </c>
      <c r="C465" t="s">
        <v>3055</v>
      </c>
      <c r="E465" t="s">
        <v>2930</v>
      </c>
      <c r="F465">
        <v>3152447</v>
      </c>
      <c r="H465">
        <v>914595782</v>
      </c>
      <c r="I465">
        <v>35</v>
      </c>
      <c r="J465" s="98">
        <v>0.5</v>
      </c>
      <c r="K465" s="79">
        <v>46134.9375</v>
      </c>
      <c r="M465" t="s">
        <v>2910</v>
      </c>
      <c r="N465" s="101">
        <v>44652</v>
      </c>
      <c r="O465" s="75">
        <v>0.90625</v>
      </c>
      <c r="P465" t="s">
        <v>4226</v>
      </c>
      <c r="Q465" t="s">
        <v>967</v>
      </c>
      <c r="R465" t="s">
        <v>3062</v>
      </c>
      <c r="S465" t="s">
        <v>1868</v>
      </c>
      <c r="T465" t="s">
        <v>3566</v>
      </c>
      <c r="V465" t="s">
        <v>2965</v>
      </c>
      <c r="X465" t="s">
        <v>2914</v>
      </c>
    </row>
    <row r="466" spans="1:24" ht="16" customHeight="1" x14ac:dyDescent="0.6">
      <c r="A466" t="s">
        <v>4227</v>
      </c>
      <c r="B466" t="s">
        <v>17</v>
      </c>
      <c r="C466" t="s">
        <v>2976</v>
      </c>
      <c r="E466" t="s">
        <v>2917</v>
      </c>
      <c r="F466">
        <v>3124891</v>
      </c>
      <c r="H466">
        <v>977330980</v>
      </c>
      <c r="I466">
        <v>100</v>
      </c>
      <c r="J466" s="98">
        <v>1</v>
      </c>
      <c r="K466" s="79">
        <v>46134.90625</v>
      </c>
      <c r="M466" t="s">
        <v>2910</v>
      </c>
      <c r="N466" s="101">
        <v>44652</v>
      </c>
      <c r="O466" s="75">
        <v>0.90972222222222221</v>
      </c>
      <c r="P466" t="s">
        <v>4228</v>
      </c>
      <c r="Q466" t="s">
        <v>967</v>
      </c>
      <c r="R466" t="s">
        <v>3229</v>
      </c>
      <c r="S466" t="s">
        <v>1868</v>
      </c>
      <c r="T466" t="s">
        <v>4229</v>
      </c>
      <c r="V466" t="s">
        <v>2947</v>
      </c>
      <c r="X466" t="s">
        <v>2914</v>
      </c>
    </row>
    <row r="467" spans="1:24" ht="16" customHeight="1" x14ac:dyDescent="0.6">
      <c r="A467" t="s">
        <v>4230</v>
      </c>
      <c r="B467" t="s">
        <v>17</v>
      </c>
      <c r="C467" t="s">
        <v>3047</v>
      </c>
      <c r="E467" t="s">
        <v>2917</v>
      </c>
      <c r="F467">
        <v>3164737</v>
      </c>
      <c r="H467">
        <v>328559865</v>
      </c>
      <c r="I467">
        <v>50</v>
      </c>
      <c r="J467" s="98">
        <v>0.5</v>
      </c>
      <c r="K467" s="79">
        <v>46134.895833333336</v>
      </c>
      <c r="M467" t="s">
        <v>2910</v>
      </c>
      <c r="N467" s="101">
        <v>44652</v>
      </c>
      <c r="O467" s="75">
        <v>0.9375</v>
      </c>
      <c r="P467" t="s">
        <v>4231</v>
      </c>
      <c r="Q467" t="s">
        <v>1356</v>
      </c>
      <c r="R467" t="s">
        <v>4232</v>
      </c>
      <c r="S467" t="s">
        <v>1868</v>
      </c>
      <c r="T467" t="s">
        <v>2984</v>
      </c>
      <c r="V467" t="s">
        <v>2965</v>
      </c>
      <c r="X467" t="s">
        <v>2914</v>
      </c>
    </row>
    <row r="468" spans="1:24" ht="16" customHeight="1" x14ac:dyDescent="0.6">
      <c r="A468" t="s">
        <v>4233</v>
      </c>
      <c r="B468" t="s">
        <v>17</v>
      </c>
      <c r="C468" t="s">
        <v>3601</v>
      </c>
      <c r="E468" t="s">
        <v>2930</v>
      </c>
      <c r="F468">
        <v>1882650</v>
      </c>
      <c r="G468" t="s">
        <v>4234</v>
      </c>
      <c r="H468">
        <v>775748473</v>
      </c>
      <c r="I468">
        <v>50</v>
      </c>
      <c r="J468" s="98">
        <v>1</v>
      </c>
      <c r="K468" s="79">
        <v>46134.916666666664</v>
      </c>
      <c r="M468" t="s">
        <v>2910</v>
      </c>
      <c r="N468" s="101">
        <v>44652</v>
      </c>
      <c r="O468" s="75">
        <v>0.91666666666666663</v>
      </c>
      <c r="P468" t="s">
        <v>4235</v>
      </c>
      <c r="Q468" t="s">
        <v>967</v>
      </c>
      <c r="R468" t="s">
        <v>2988</v>
      </c>
      <c r="S468" t="s">
        <v>1868</v>
      </c>
      <c r="T468" t="s">
        <v>2989</v>
      </c>
      <c r="V468" t="s">
        <v>2965</v>
      </c>
      <c r="X468" t="s">
        <v>2914</v>
      </c>
    </row>
    <row r="469" spans="1:24" ht="16" customHeight="1" x14ac:dyDescent="0.6">
      <c r="A469" t="s">
        <v>4236</v>
      </c>
      <c r="B469" t="s">
        <v>17</v>
      </c>
      <c r="C469" t="s">
        <v>3049</v>
      </c>
      <c r="E469" t="s">
        <v>2917</v>
      </c>
      <c r="F469">
        <v>3074147</v>
      </c>
      <c r="H469">
        <v>945806398</v>
      </c>
      <c r="I469">
        <v>100</v>
      </c>
      <c r="J469" s="98">
        <v>1</v>
      </c>
      <c r="K469" s="79">
        <v>46134.885416666664</v>
      </c>
      <c r="L469" t="s">
        <v>3234</v>
      </c>
      <c r="M469" t="s">
        <v>2910</v>
      </c>
      <c r="N469" s="101">
        <v>44652</v>
      </c>
      <c r="O469" s="75">
        <v>0.90625</v>
      </c>
      <c r="P469" t="s">
        <v>4237</v>
      </c>
      <c r="Q469" t="s">
        <v>967</v>
      </c>
      <c r="R469" t="s">
        <v>2932</v>
      </c>
      <c r="S469" t="s">
        <v>1868</v>
      </c>
      <c r="T469" t="s">
        <v>2933</v>
      </c>
      <c r="V469" t="s">
        <v>3009</v>
      </c>
      <c r="X469" t="s">
        <v>2914</v>
      </c>
    </row>
    <row r="470" spans="1:24" ht="16" customHeight="1" x14ac:dyDescent="0.6">
      <c r="A470" t="s">
        <v>4238</v>
      </c>
      <c r="B470" t="s">
        <v>17</v>
      </c>
      <c r="C470" t="s">
        <v>3055</v>
      </c>
      <c r="E470" t="s">
        <v>2930</v>
      </c>
      <c r="F470">
        <v>3152447</v>
      </c>
      <c r="H470">
        <v>914595782</v>
      </c>
      <c r="I470">
        <v>30</v>
      </c>
      <c r="J470" s="98">
        <v>0.5</v>
      </c>
      <c r="K470" s="79">
        <v>46135.9375</v>
      </c>
      <c r="M470" t="s">
        <v>2910</v>
      </c>
      <c r="N470" s="101">
        <v>45017</v>
      </c>
      <c r="O470" s="75">
        <v>0.89930555555555558</v>
      </c>
      <c r="P470" t="s">
        <v>4239</v>
      </c>
      <c r="Q470" t="s">
        <v>967</v>
      </c>
      <c r="R470" t="s">
        <v>3210</v>
      </c>
      <c r="S470" t="s">
        <v>1868</v>
      </c>
      <c r="T470" t="s">
        <v>2228</v>
      </c>
      <c r="V470" t="s">
        <v>2965</v>
      </c>
      <c r="X470" t="s">
        <v>2914</v>
      </c>
    </row>
    <row r="471" spans="1:24" ht="16" customHeight="1" x14ac:dyDescent="0.6">
      <c r="A471" t="s">
        <v>4240</v>
      </c>
      <c r="B471" t="s">
        <v>17</v>
      </c>
      <c r="C471" t="s">
        <v>3142</v>
      </c>
      <c r="E471" t="s">
        <v>2930</v>
      </c>
      <c r="F471">
        <v>1714094</v>
      </c>
      <c r="H471">
        <v>961790126</v>
      </c>
      <c r="I471">
        <v>70</v>
      </c>
      <c r="J471" s="98">
        <v>0.75</v>
      </c>
      <c r="K471" s="79">
        <v>46135.875</v>
      </c>
      <c r="M471" t="s">
        <v>2910</v>
      </c>
      <c r="N471" s="101">
        <v>45017</v>
      </c>
      <c r="O471" s="75">
        <v>0.89583333333333337</v>
      </c>
      <c r="P471" t="s">
        <v>4241</v>
      </c>
      <c r="Q471" t="s">
        <v>1356</v>
      </c>
      <c r="R471" t="s">
        <v>4242</v>
      </c>
      <c r="S471" t="s">
        <v>1868</v>
      </c>
      <c r="T471" t="s">
        <v>4243</v>
      </c>
      <c r="V471" t="s">
        <v>2965</v>
      </c>
      <c r="X471" t="s">
        <v>2914</v>
      </c>
    </row>
    <row r="472" spans="1:24" ht="16" customHeight="1" x14ac:dyDescent="0.6">
      <c r="A472" t="s">
        <v>4244</v>
      </c>
      <c r="B472" t="s">
        <v>17</v>
      </c>
      <c r="C472" t="s">
        <v>3601</v>
      </c>
      <c r="E472" t="s">
        <v>2930</v>
      </c>
      <c r="F472">
        <v>1882650</v>
      </c>
      <c r="G472" t="s">
        <v>4234</v>
      </c>
      <c r="H472">
        <v>775748473</v>
      </c>
      <c r="I472">
        <v>40</v>
      </c>
      <c r="J472" s="98">
        <v>1</v>
      </c>
      <c r="K472" s="79">
        <v>46135.875</v>
      </c>
      <c r="M472" t="s">
        <v>2910</v>
      </c>
      <c r="N472" s="101">
        <v>45017</v>
      </c>
      <c r="O472" s="75">
        <v>0.89583333333333337</v>
      </c>
      <c r="P472" t="s">
        <v>4245</v>
      </c>
      <c r="Q472" t="s">
        <v>1356</v>
      </c>
      <c r="R472" t="s">
        <v>3076</v>
      </c>
      <c r="S472" t="s">
        <v>1868</v>
      </c>
      <c r="T472" t="s">
        <v>4246</v>
      </c>
      <c r="V472" t="s">
        <v>2965</v>
      </c>
      <c r="X472" t="s">
        <v>2914</v>
      </c>
    </row>
    <row r="473" spans="1:24" ht="16" customHeight="1" x14ac:dyDescent="0.6">
      <c r="A473" t="s">
        <v>4247</v>
      </c>
      <c r="B473" t="s">
        <v>17</v>
      </c>
      <c r="C473" t="s">
        <v>2957</v>
      </c>
      <c r="E473" t="s">
        <v>2930</v>
      </c>
      <c r="F473">
        <v>3153015</v>
      </c>
      <c r="H473">
        <v>973797545</v>
      </c>
      <c r="I473">
        <v>200</v>
      </c>
      <c r="J473" t="s">
        <v>2919</v>
      </c>
      <c r="K473" s="79">
        <v>46135.875</v>
      </c>
      <c r="M473" t="s">
        <v>2910</v>
      </c>
      <c r="N473" s="101">
        <v>45017</v>
      </c>
      <c r="O473" s="75">
        <v>0.88888888888888884</v>
      </c>
      <c r="P473" t="s">
        <v>4248</v>
      </c>
      <c r="Q473" t="s">
        <v>967</v>
      </c>
      <c r="R473" t="s">
        <v>2996</v>
      </c>
      <c r="S473" t="s">
        <v>1868</v>
      </c>
      <c r="T473" t="s">
        <v>2997</v>
      </c>
      <c r="V473" t="s">
        <v>2965</v>
      </c>
      <c r="X473" t="s">
        <v>2914</v>
      </c>
    </row>
    <row r="474" spans="1:24" ht="16" customHeight="1" x14ac:dyDescent="0.6">
      <c r="A474" t="s">
        <v>4249</v>
      </c>
      <c r="B474" t="s">
        <v>17</v>
      </c>
      <c r="C474" t="s">
        <v>2976</v>
      </c>
      <c r="E474" t="s">
        <v>2917</v>
      </c>
      <c r="F474">
        <v>3124891</v>
      </c>
      <c r="H474">
        <v>774688086</v>
      </c>
      <c r="I474">
        <v>90</v>
      </c>
      <c r="J474" s="98">
        <v>1</v>
      </c>
      <c r="K474" s="79">
        <v>46135.895833333336</v>
      </c>
      <c r="M474" t="s">
        <v>2910</v>
      </c>
      <c r="N474" s="101">
        <v>45017</v>
      </c>
      <c r="O474" s="75">
        <v>0.90277777777777779</v>
      </c>
      <c r="P474" t="s">
        <v>4250</v>
      </c>
      <c r="Q474" t="s">
        <v>967</v>
      </c>
      <c r="R474" t="s">
        <v>2973</v>
      </c>
      <c r="S474" t="s">
        <v>1868</v>
      </c>
      <c r="T474" t="s">
        <v>2974</v>
      </c>
      <c r="V474" t="s">
        <v>3009</v>
      </c>
      <c r="X474" t="s">
        <v>2914</v>
      </c>
    </row>
    <row r="475" spans="1:24" ht="16" customHeight="1" x14ac:dyDescent="0.6">
      <c r="A475" t="s">
        <v>4251</v>
      </c>
      <c r="B475" t="s">
        <v>17</v>
      </c>
      <c r="C475" t="s">
        <v>2908</v>
      </c>
      <c r="E475" t="s">
        <v>2917</v>
      </c>
      <c r="F475">
        <v>3142038</v>
      </c>
      <c r="G475" t="s">
        <v>4252</v>
      </c>
      <c r="H475">
        <v>333142105</v>
      </c>
      <c r="I475">
        <v>100</v>
      </c>
      <c r="J475" s="98">
        <v>1</v>
      </c>
      <c r="K475" s="79">
        <v>46136.125</v>
      </c>
      <c r="M475" t="s">
        <v>2910</v>
      </c>
      <c r="N475" s="101">
        <v>45383</v>
      </c>
      <c r="P475" t="s">
        <v>4253</v>
      </c>
      <c r="Q475" t="s">
        <v>967</v>
      </c>
      <c r="X475" t="s">
        <v>2914</v>
      </c>
    </row>
    <row r="476" spans="1:24" ht="16" customHeight="1" x14ac:dyDescent="0.6">
      <c r="A476" t="s">
        <v>4254</v>
      </c>
      <c r="B476" t="s">
        <v>17</v>
      </c>
      <c r="C476" t="s">
        <v>2943</v>
      </c>
      <c r="E476" t="s">
        <v>2917</v>
      </c>
      <c r="F476">
        <v>1884115</v>
      </c>
      <c r="H476">
        <v>971578282</v>
      </c>
      <c r="I476">
        <v>35</v>
      </c>
      <c r="J476" s="98">
        <v>0.5</v>
      </c>
      <c r="K476" s="79">
        <v>46136.666666666664</v>
      </c>
      <c r="M476" t="s">
        <v>3029</v>
      </c>
      <c r="X476" t="s">
        <v>2914</v>
      </c>
    </row>
    <row r="477" spans="1:24" ht="16" customHeight="1" x14ac:dyDescent="0.6">
      <c r="A477" t="s">
        <v>4255</v>
      </c>
      <c r="B477" t="s">
        <v>17</v>
      </c>
      <c r="C477" t="s">
        <v>3055</v>
      </c>
      <c r="E477" t="s">
        <v>2930</v>
      </c>
      <c r="F477">
        <v>3152447</v>
      </c>
      <c r="H477">
        <v>914595782</v>
      </c>
      <c r="I477">
        <v>50</v>
      </c>
      <c r="J477" s="98">
        <v>0.75</v>
      </c>
      <c r="K477" s="79">
        <v>46136.9375</v>
      </c>
      <c r="M477" t="s">
        <v>2910</v>
      </c>
      <c r="N477" s="101">
        <v>45383</v>
      </c>
      <c r="P477" t="s">
        <v>4256</v>
      </c>
      <c r="Q477" t="s">
        <v>967</v>
      </c>
      <c r="X477" t="s">
        <v>2914</v>
      </c>
    </row>
    <row r="478" spans="1:24" ht="16" customHeight="1" x14ac:dyDescent="0.6">
      <c r="A478" t="s">
        <v>4257</v>
      </c>
      <c r="B478" t="s">
        <v>17</v>
      </c>
      <c r="C478" t="s">
        <v>3142</v>
      </c>
      <c r="E478" t="s">
        <v>2930</v>
      </c>
      <c r="F478">
        <v>1714094</v>
      </c>
      <c r="G478" t="s">
        <v>3143</v>
      </c>
      <c r="H478">
        <v>961790126</v>
      </c>
      <c r="I478">
        <v>100</v>
      </c>
      <c r="J478" s="98">
        <v>1</v>
      </c>
      <c r="K478" s="79">
        <v>46136.833333333336</v>
      </c>
      <c r="M478" t="s">
        <v>2910</v>
      </c>
      <c r="N478" s="101">
        <v>45383</v>
      </c>
      <c r="P478" t="s">
        <v>4258</v>
      </c>
      <c r="Q478" t="s">
        <v>967</v>
      </c>
      <c r="X478" t="s">
        <v>2914</v>
      </c>
    </row>
    <row r="479" spans="1:24" ht="16" customHeight="1" x14ac:dyDescent="0.6">
      <c r="A479" t="s">
        <v>4259</v>
      </c>
      <c r="B479" t="s">
        <v>17</v>
      </c>
      <c r="C479" t="s">
        <v>2969</v>
      </c>
      <c r="E479" t="s">
        <v>2930</v>
      </c>
      <c r="F479">
        <v>3120451</v>
      </c>
      <c r="G479" t="s">
        <v>4260</v>
      </c>
      <c r="H479">
        <v>369085819</v>
      </c>
      <c r="I479">
        <v>20</v>
      </c>
      <c r="J479" s="98">
        <v>0.5</v>
      </c>
      <c r="K479" s="79">
        <v>46136.875</v>
      </c>
      <c r="M479" t="s">
        <v>2910</v>
      </c>
      <c r="N479" s="101">
        <v>45383</v>
      </c>
      <c r="P479" t="s">
        <v>4261</v>
      </c>
      <c r="Q479" t="s">
        <v>967</v>
      </c>
      <c r="X479" t="s">
        <v>2914</v>
      </c>
    </row>
    <row r="480" spans="1:24" ht="16" customHeight="1" x14ac:dyDescent="0.6">
      <c r="A480" t="s">
        <v>4262</v>
      </c>
      <c r="B480" t="s">
        <v>17</v>
      </c>
      <c r="C480" t="s">
        <v>2935</v>
      </c>
      <c r="E480" t="s">
        <v>2930</v>
      </c>
      <c r="F480">
        <v>1874426</v>
      </c>
      <c r="H480">
        <v>949394466</v>
      </c>
      <c r="I480">
        <v>120</v>
      </c>
      <c r="J480" s="98">
        <v>1</v>
      </c>
      <c r="K480" s="79">
        <v>46136.916666666664</v>
      </c>
      <c r="M480" t="s">
        <v>2910</v>
      </c>
      <c r="N480" s="101">
        <v>45383</v>
      </c>
      <c r="P480" t="s">
        <v>4263</v>
      </c>
      <c r="Q480" t="s">
        <v>967</v>
      </c>
      <c r="X480" t="s">
        <v>2914</v>
      </c>
    </row>
    <row r="481" spans="1:24" ht="16" customHeight="1" x14ac:dyDescent="0.6">
      <c r="A481" t="s">
        <v>4264</v>
      </c>
      <c r="B481" t="s">
        <v>17</v>
      </c>
      <c r="C481" t="s">
        <v>2976</v>
      </c>
      <c r="E481" t="s">
        <v>2917</v>
      </c>
      <c r="F481">
        <v>3124891</v>
      </c>
      <c r="H481">
        <v>977330980</v>
      </c>
      <c r="I481">
        <v>60</v>
      </c>
      <c r="J481" s="98">
        <v>1</v>
      </c>
      <c r="K481" s="79">
        <v>46136.885416666664</v>
      </c>
      <c r="M481" t="s">
        <v>2910</v>
      </c>
      <c r="N481" s="101">
        <v>45383</v>
      </c>
      <c r="P481" t="s">
        <v>4265</v>
      </c>
      <c r="Q481" t="s">
        <v>967</v>
      </c>
      <c r="X481" t="s">
        <v>2914</v>
      </c>
    </row>
    <row r="482" spans="1:24" ht="16" customHeight="1" x14ac:dyDescent="0.6">
      <c r="A482" t="s">
        <v>4266</v>
      </c>
      <c r="B482" t="s">
        <v>17</v>
      </c>
      <c r="C482" t="s">
        <v>2908</v>
      </c>
      <c r="E482" t="s">
        <v>2909</v>
      </c>
      <c r="F482">
        <v>3165609</v>
      </c>
      <c r="H482">
        <v>333142105</v>
      </c>
      <c r="I482">
        <v>40</v>
      </c>
      <c r="J482" s="98">
        <v>0.5</v>
      </c>
      <c r="K482" s="79">
        <v>46136.916666666664</v>
      </c>
      <c r="M482" t="s">
        <v>2910</v>
      </c>
      <c r="N482" s="101">
        <v>45383</v>
      </c>
      <c r="P482" t="s">
        <v>4267</v>
      </c>
      <c r="Q482" t="s">
        <v>967</v>
      </c>
      <c r="X482" t="s">
        <v>2914</v>
      </c>
    </row>
    <row r="483" spans="1:24" ht="16" customHeight="1" x14ac:dyDescent="0.6">
      <c r="A483" t="s">
        <v>4268</v>
      </c>
      <c r="B483" t="s">
        <v>17</v>
      </c>
      <c r="C483" t="s">
        <v>3601</v>
      </c>
      <c r="E483" t="s">
        <v>2930</v>
      </c>
      <c r="F483">
        <v>1882650</v>
      </c>
      <c r="G483" t="s">
        <v>4234</v>
      </c>
      <c r="H483">
        <v>775748473</v>
      </c>
      <c r="I483">
        <v>50</v>
      </c>
      <c r="J483" s="98">
        <v>1</v>
      </c>
      <c r="K483" s="79">
        <v>46136.916666666664</v>
      </c>
      <c r="M483" t="s">
        <v>2910</v>
      </c>
      <c r="N483" s="101">
        <v>45383</v>
      </c>
      <c r="P483" t="s">
        <v>4269</v>
      </c>
      <c r="Q483" t="s">
        <v>967</v>
      </c>
      <c r="X483" t="s">
        <v>2914</v>
      </c>
    </row>
    <row r="484" spans="1:24" ht="16" customHeight="1" x14ac:dyDescent="0.6">
      <c r="A484" t="s">
        <v>4270</v>
      </c>
      <c r="B484" t="s">
        <v>17</v>
      </c>
      <c r="C484" t="s">
        <v>4271</v>
      </c>
      <c r="E484" t="s">
        <v>2917</v>
      </c>
      <c r="F484">
        <v>2043609</v>
      </c>
      <c r="H484">
        <v>777564574</v>
      </c>
      <c r="I484">
        <v>120</v>
      </c>
      <c r="J484" s="98">
        <v>1</v>
      </c>
      <c r="K484" s="79">
        <v>46135.9375</v>
      </c>
      <c r="M484" t="s">
        <v>3029</v>
      </c>
      <c r="X484" t="s">
        <v>2914</v>
      </c>
    </row>
    <row r="485" spans="1:24" ht="16" customHeight="1" x14ac:dyDescent="0.6">
      <c r="A485" t="s">
        <v>4272</v>
      </c>
      <c r="B485" t="s">
        <v>17</v>
      </c>
      <c r="C485" t="s">
        <v>3142</v>
      </c>
      <c r="E485" t="s">
        <v>2930</v>
      </c>
      <c r="F485">
        <v>1714094</v>
      </c>
      <c r="G485" t="s">
        <v>3143</v>
      </c>
      <c r="H485">
        <v>961790126</v>
      </c>
      <c r="I485">
        <v>50</v>
      </c>
      <c r="J485" s="98">
        <v>0.75</v>
      </c>
      <c r="K485" s="79">
        <v>46136.958333333336</v>
      </c>
      <c r="M485" t="s">
        <v>3029</v>
      </c>
      <c r="X485" t="s">
        <v>2914</v>
      </c>
    </row>
    <row r="486" spans="1:24" ht="16" customHeight="1" x14ac:dyDescent="0.6">
      <c r="A486" t="s">
        <v>4273</v>
      </c>
      <c r="B486" t="s">
        <v>17</v>
      </c>
      <c r="C486" t="s">
        <v>3242</v>
      </c>
      <c r="E486" t="s">
        <v>2917</v>
      </c>
      <c r="F486">
        <v>3139139</v>
      </c>
      <c r="H486">
        <v>977705672</v>
      </c>
      <c r="I486">
        <v>100</v>
      </c>
      <c r="J486" s="98">
        <v>1</v>
      </c>
      <c r="K486" s="79">
        <v>46136.979166666664</v>
      </c>
      <c r="M486" t="s">
        <v>2910</v>
      </c>
      <c r="N486" s="101">
        <v>45748</v>
      </c>
      <c r="P486" t="s">
        <v>4274</v>
      </c>
      <c r="Q486" t="s">
        <v>1356</v>
      </c>
      <c r="R486" t="s">
        <v>4275</v>
      </c>
      <c r="X486" t="s">
        <v>2914</v>
      </c>
    </row>
    <row r="487" spans="1:24" ht="16" customHeight="1" x14ac:dyDescent="0.6">
      <c r="A487" t="s">
        <v>4276</v>
      </c>
      <c r="B487" t="s">
        <v>17</v>
      </c>
      <c r="C487" t="s">
        <v>3142</v>
      </c>
      <c r="E487" t="s">
        <v>2930</v>
      </c>
      <c r="F487">
        <v>1714094</v>
      </c>
      <c r="G487" t="s">
        <v>3143</v>
      </c>
      <c r="H487">
        <v>961790126</v>
      </c>
      <c r="I487">
        <v>50</v>
      </c>
      <c r="J487" s="98">
        <v>0.75</v>
      </c>
      <c r="K487" s="79">
        <v>46137.208333333336</v>
      </c>
      <c r="M487" t="s">
        <v>2910</v>
      </c>
      <c r="N487" s="101">
        <v>45748</v>
      </c>
      <c r="O487" s="75">
        <v>0.20833333333333334</v>
      </c>
      <c r="P487" t="s">
        <v>4277</v>
      </c>
      <c r="Q487" t="s">
        <v>967</v>
      </c>
      <c r="X487" t="s">
        <v>2914</v>
      </c>
    </row>
    <row r="488" spans="1:24" ht="16" customHeight="1" x14ac:dyDescent="0.6">
      <c r="A488" t="s">
        <v>4278</v>
      </c>
      <c r="B488" t="s">
        <v>17</v>
      </c>
      <c r="C488" t="s">
        <v>3242</v>
      </c>
      <c r="E488" t="s">
        <v>2917</v>
      </c>
      <c r="F488">
        <v>3139139</v>
      </c>
      <c r="H488">
        <v>865357044</v>
      </c>
      <c r="I488">
        <v>100</v>
      </c>
      <c r="J488" s="98">
        <v>1</v>
      </c>
      <c r="K488" s="79">
        <v>46137.208333333336</v>
      </c>
      <c r="M488" t="s">
        <v>2910</v>
      </c>
      <c r="N488" s="101">
        <v>45748</v>
      </c>
      <c r="O488" s="75">
        <v>0.20833333333333334</v>
      </c>
      <c r="P488" t="s">
        <v>4279</v>
      </c>
      <c r="Q488" t="s">
        <v>967</v>
      </c>
      <c r="R488" t="s">
        <v>2973</v>
      </c>
      <c r="S488" t="s">
        <v>1868</v>
      </c>
      <c r="T488" t="s">
        <v>4280</v>
      </c>
      <c r="X488" t="s">
        <v>2914</v>
      </c>
    </row>
    <row r="489" spans="1:24" ht="16" customHeight="1" x14ac:dyDescent="0.6">
      <c r="A489" t="s">
        <v>4281</v>
      </c>
      <c r="B489" t="s">
        <v>17</v>
      </c>
      <c r="C489" t="s">
        <v>3126</v>
      </c>
      <c r="E489" t="s">
        <v>2917</v>
      </c>
      <c r="F489">
        <v>3161362</v>
      </c>
      <c r="H489">
        <v>365992108</v>
      </c>
      <c r="I489">
        <v>100</v>
      </c>
      <c r="J489" s="98">
        <v>1</v>
      </c>
      <c r="K489" s="79">
        <v>46137.625</v>
      </c>
      <c r="L489" t="s">
        <v>4282</v>
      </c>
      <c r="M489" t="s">
        <v>3029</v>
      </c>
      <c r="X489" t="s">
        <v>2914</v>
      </c>
    </row>
    <row r="490" spans="1:24" ht="16" customHeight="1" x14ac:dyDescent="0.6">
      <c r="A490" t="s">
        <v>4283</v>
      </c>
      <c r="B490" t="s">
        <v>17</v>
      </c>
      <c r="C490" t="s">
        <v>3126</v>
      </c>
      <c r="E490" t="s">
        <v>2917</v>
      </c>
      <c r="F490">
        <v>3161362</v>
      </c>
      <c r="H490">
        <v>365992108</v>
      </c>
      <c r="I490">
        <v>100</v>
      </c>
      <c r="J490" s="98">
        <v>1</v>
      </c>
      <c r="K490" s="79">
        <v>46137.895833333336</v>
      </c>
      <c r="L490" t="s">
        <v>4284</v>
      </c>
      <c r="M490" t="s">
        <v>2910</v>
      </c>
      <c r="N490" s="101">
        <v>45748</v>
      </c>
      <c r="P490" t="s">
        <v>4285</v>
      </c>
      <c r="Q490" t="s">
        <v>1356</v>
      </c>
      <c r="R490" t="s">
        <v>3140</v>
      </c>
      <c r="X490" t="s">
        <v>2914</v>
      </c>
    </row>
    <row r="491" spans="1:24" ht="16" customHeight="1" x14ac:dyDescent="0.6">
      <c r="A491" t="s">
        <v>4286</v>
      </c>
      <c r="B491" t="s">
        <v>17</v>
      </c>
      <c r="C491" t="s">
        <v>3093</v>
      </c>
      <c r="E491" t="s">
        <v>2930</v>
      </c>
      <c r="F491">
        <v>1872928</v>
      </c>
      <c r="H491">
        <v>344176032</v>
      </c>
      <c r="I491">
        <v>120</v>
      </c>
      <c r="J491" s="98">
        <v>1</v>
      </c>
      <c r="K491" s="79">
        <v>46137.895833333336</v>
      </c>
      <c r="M491" t="s">
        <v>2910</v>
      </c>
      <c r="N491" s="101">
        <v>45748</v>
      </c>
      <c r="P491" t="s">
        <v>4287</v>
      </c>
      <c r="Q491" t="s">
        <v>1356</v>
      </c>
      <c r="R491" t="s">
        <v>3135</v>
      </c>
      <c r="X491" t="s">
        <v>2914</v>
      </c>
    </row>
    <row r="492" spans="1:24" ht="16" customHeight="1" x14ac:dyDescent="0.6">
      <c r="A492" t="s">
        <v>4288</v>
      </c>
      <c r="B492" t="s">
        <v>17</v>
      </c>
      <c r="C492" t="s">
        <v>3055</v>
      </c>
      <c r="E492" t="s">
        <v>2930</v>
      </c>
      <c r="F492">
        <v>3152447</v>
      </c>
      <c r="H492">
        <v>914595782</v>
      </c>
      <c r="I492">
        <v>30</v>
      </c>
      <c r="J492" s="98">
        <v>0.75</v>
      </c>
      <c r="K492" s="79">
        <v>46137.9375</v>
      </c>
      <c r="M492" t="s">
        <v>2910</v>
      </c>
      <c r="N492" s="101">
        <v>45748</v>
      </c>
      <c r="P492" t="s">
        <v>4289</v>
      </c>
      <c r="Q492" t="s">
        <v>1356</v>
      </c>
      <c r="R492" t="s">
        <v>3358</v>
      </c>
      <c r="X492" t="s">
        <v>2914</v>
      </c>
    </row>
    <row r="493" spans="1:24" ht="16" customHeight="1" x14ac:dyDescent="0.6">
      <c r="A493" t="s">
        <v>4290</v>
      </c>
      <c r="B493" t="s">
        <v>17</v>
      </c>
      <c r="C493" t="s">
        <v>2957</v>
      </c>
      <c r="E493" t="s">
        <v>2909</v>
      </c>
      <c r="F493">
        <v>1802852</v>
      </c>
      <c r="H493">
        <v>974607460</v>
      </c>
      <c r="I493">
        <v>100</v>
      </c>
      <c r="J493" s="98">
        <v>0.75</v>
      </c>
      <c r="K493" s="79">
        <v>46137.875</v>
      </c>
      <c r="M493" t="s">
        <v>2910</v>
      </c>
      <c r="N493" s="101">
        <v>45748</v>
      </c>
      <c r="P493" t="s">
        <v>4291</v>
      </c>
      <c r="Q493" t="s">
        <v>967</v>
      </c>
      <c r="R493" t="s">
        <v>3073</v>
      </c>
      <c r="S493" t="s">
        <v>4292</v>
      </c>
      <c r="T493" t="s">
        <v>3592</v>
      </c>
      <c r="X493" t="s">
        <v>2914</v>
      </c>
    </row>
    <row r="494" spans="1:24" ht="16" customHeight="1" x14ac:dyDescent="0.6">
      <c r="A494" t="s">
        <v>4293</v>
      </c>
      <c r="B494" t="s">
        <v>17</v>
      </c>
      <c r="C494" t="s">
        <v>2957</v>
      </c>
      <c r="E494" t="s">
        <v>2930</v>
      </c>
      <c r="F494">
        <v>1802852</v>
      </c>
      <c r="H494">
        <v>974607460</v>
      </c>
      <c r="I494">
        <v>100</v>
      </c>
      <c r="J494" s="98">
        <v>0.75</v>
      </c>
      <c r="K494" s="79">
        <v>46137.916666666664</v>
      </c>
      <c r="M494" t="s">
        <v>2910</v>
      </c>
      <c r="N494" s="101">
        <v>45748</v>
      </c>
      <c r="P494" t="s">
        <v>4294</v>
      </c>
      <c r="Q494" t="s">
        <v>1356</v>
      </c>
      <c r="R494" t="s">
        <v>3166</v>
      </c>
      <c r="X494" t="s">
        <v>2914</v>
      </c>
    </row>
    <row r="495" spans="1:24" ht="16" customHeight="1" x14ac:dyDescent="0.6">
      <c r="A495" t="s">
        <v>4295</v>
      </c>
      <c r="B495" t="s">
        <v>17</v>
      </c>
      <c r="C495" t="s">
        <v>2976</v>
      </c>
      <c r="E495" t="s">
        <v>2917</v>
      </c>
      <c r="F495">
        <v>3124891</v>
      </c>
      <c r="H495">
        <v>977330980</v>
      </c>
      <c r="I495">
        <v>80</v>
      </c>
      <c r="J495" s="98">
        <v>1</v>
      </c>
      <c r="K495" s="79">
        <v>46137.895833333336</v>
      </c>
      <c r="M495" t="s">
        <v>2910</v>
      </c>
      <c r="N495" s="101">
        <v>45748</v>
      </c>
      <c r="P495" t="s">
        <v>4296</v>
      </c>
      <c r="Q495" t="s">
        <v>1356</v>
      </c>
      <c r="R495" t="s">
        <v>4297</v>
      </c>
      <c r="X495" t="s">
        <v>2914</v>
      </c>
    </row>
    <row r="496" spans="1:24" ht="16" customHeight="1" x14ac:dyDescent="0.6">
      <c r="A496" t="s">
        <v>4298</v>
      </c>
      <c r="B496" t="s">
        <v>17</v>
      </c>
      <c r="C496" t="s">
        <v>3041</v>
      </c>
      <c r="E496" t="s">
        <v>2930</v>
      </c>
      <c r="F496">
        <v>3119517</v>
      </c>
      <c r="H496">
        <v>776705243</v>
      </c>
      <c r="I496">
        <v>100</v>
      </c>
      <c r="J496" s="98">
        <v>1</v>
      </c>
      <c r="K496" s="79">
        <v>46137.833333333336</v>
      </c>
      <c r="L496" t="s">
        <v>4299</v>
      </c>
      <c r="M496" t="s">
        <v>3206</v>
      </c>
      <c r="X496" t="s">
        <v>2914</v>
      </c>
    </row>
    <row r="497" spans="1:24" ht="16" customHeight="1" x14ac:dyDescent="0.6">
      <c r="A497" t="s">
        <v>4300</v>
      </c>
      <c r="B497" t="s">
        <v>17</v>
      </c>
      <c r="C497" t="s">
        <v>3028</v>
      </c>
      <c r="E497" t="s">
        <v>2909</v>
      </c>
      <c r="F497">
        <v>3078993</v>
      </c>
      <c r="H497">
        <v>931837212</v>
      </c>
      <c r="I497">
        <v>4</v>
      </c>
      <c r="J497" s="98">
        <v>0.3</v>
      </c>
      <c r="K497" s="79">
        <v>46138.208333333336</v>
      </c>
      <c r="M497" t="s">
        <v>2910</v>
      </c>
      <c r="N497" s="99">
        <v>46138</v>
      </c>
      <c r="O497" s="75">
        <v>0.20833333333333334</v>
      </c>
      <c r="P497" t="s">
        <v>4301</v>
      </c>
      <c r="Q497" t="s">
        <v>967</v>
      </c>
      <c r="X497" t="s">
        <v>2914</v>
      </c>
    </row>
    <row r="498" spans="1:24" ht="16" customHeight="1" x14ac:dyDescent="0.6">
      <c r="A498" t="s">
        <v>4302</v>
      </c>
      <c r="B498" t="s">
        <v>17</v>
      </c>
      <c r="C498" t="s">
        <v>2969</v>
      </c>
      <c r="E498" t="s">
        <v>2917</v>
      </c>
      <c r="F498">
        <v>3120451</v>
      </c>
      <c r="H498">
        <v>369085819</v>
      </c>
      <c r="I498">
        <v>40</v>
      </c>
      <c r="J498" s="98">
        <v>0.75</v>
      </c>
      <c r="K498" s="79">
        <v>46137.895833333336</v>
      </c>
      <c r="M498" t="s">
        <v>2910</v>
      </c>
      <c r="N498" s="101">
        <v>45748</v>
      </c>
      <c r="P498" t="s">
        <v>4303</v>
      </c>
      <c r="Q498" t="s">
        <v>967</v>
      </c>
      <c r="R498" t="s">
        <v>4304</v>
      </c>
      <c r="S498" t="s">
        <v>4292</v>
      </c>
      <c r="T498" t="s">
        <v>2989</v>
      </c>
      <c r="V498" t="s">
        <v>2965</v>
      </c>
      <c r="X498" t="s">
        <v>2914</v>
      </c>
    </row>
    <row r="499" spans="1:24" ht="16" customHeight="1" x14ac:dyDescent="0.6">
      <c r="A499" t="s">
        <v>4305</v>
      </c>
      <c r="B499" t="s">
        <v>17</v>
      </c>
      <c r="C499" t="s">
        <v>2908</v>
      </c>
      <c r="E499" t="s">
        <v>2909</v>
      </c>
      <c r="F499">
        <v>3142038</v>
      </c>
      <c r="G499" t="s">
        <v>3792</v>
      </c>
      <c r="H499">
        <v>949288266</v>
      </c>
      <c r="I499">
        <v>15</v>
      </c>
      <c r="J499" s="98">
        <v>0.5</v>
      </c>
      <c r="K499" s="79">
        <v>46137.895833333336</v>
      </c>
      <c r="M499" t="s">
        <v>2910</v>
      </c>
      <c r="N499" s="101">
        <v>45748</v>
      </c>
      <c r="P499" t="s">
        <v>4306</v>
      </c>
      <c r="Q499" t="s">
        <v>967</v>
      </c>
      <c r="R499" t="s">
        <v>4307</v>
      </c>
      <c r="S499" t="s">
        <v>4292</v>
      </c>
      <c r="T499" t="s">
        <v>3388</v>
      </c>
      <c r="V499" t="s">
        <v>202</v>
      </c>
      <c r="X499" t="s">
        <v>2914</v>
      </c>
    </row>
    <row r="500" spans="1:24" ht="16" customHeight="1" x14ac:dyDescent="0.6">
      <c r="A500" t="s">
        <v>4308</v>
      </c>
      <c r="B500" t="s">
        <v>17</v>
      </c>
      <c r="C500" t="s">
        <v>4014</v>
      </c>
      <c r="E500" t="s">
        <v>2930</v>
      </c>
      <c r="F500">
        <v>3058243</v>
      </c>
      <c r="H500">
        <v>349019264</v>
      </c>
      <c r="I500">
        <v>15</v>
      </c>
      <c r="J500" s="98">
        <v>0.3</v>
      </c>
      <c r="K500" s="79">
        <v>46138.208333333336</v>
      </c>
      <c r="L500" t="s">
        <v>4309</v>
      </c>
      <c r="M500" t="s">
        <v>2910</v>
      </c>
      <c r="N500" s="101">
        <v>46113</v>
      </c>
      <c r="O500" s="75">
        <v>0.20833333333333334</v>
      </c>
      <c r="P500" t="s">
        <v>4310</v>
      </c>
      <c r="Q500" t="s">
        <v>967</v>
      </c>
      <c r="X500" t="s">
        <v>2914</v>
      </c>
    </row>
    <row r="501" spans="1:24" ht="16" customHeight="1" x14ac:dyDescent="0.6">
      <c r="A501" t="s">
        <v>4311</v>
      </c>
      <c r="B501" t="s">
        <v>17</v>
      </c>
      <c r="C501" t="s">
        <v>3041</v>
      </c>
      <c r="E501" t="s">
        <v>2930</v>
      </c>
      <c r="F501">
        <v>3119517</v>
      </c>
      <c r="H501">
        <v>776705243</v>
      </c>
      <c r="I501">
        <v>100</v>
      </c>
      <c r="J501" s="98">
        <v>1</v>
      </c>
      <c r="K501" s="79">
        <v>46138.166666666664</v>
      </c>
      <c r="L501" t="s">
        <v>4312</v>
      </c>
      <c r="M501" t="s">
        <v>2910</v>
      </c>
      <c r="N501" s="101">
        <v>46113</v>
      </c>
      <c r="O501" s="75">
        <v>0.16666666666666666</v>
      </c>
      <c r="Q501" t="s">
        <v>967</v>
      </c>
      <c r="X501" t="s">
        <v>2914</v>
      </c>
    </row>
    <row r="502" spans="1:24" ht="16" customHeight="1" x14ac:dyDescent="0.6">
      <c r="A502" t="s">
        <v>4313</v>
      </c>
      <c r="B502" t="s">
        <v>17</v>
      </c>
      <c r="C502" t="s">
        <v>3093</v>
      </c>
      <c r="E502" t="s">
        <v>2917</v>
      </c>
      <c r="F502">
        <v>1872928</v>
      </c>
      <c r="H502">
        <v>344176032</v>
      </c>
      <c r="I502">
        <v>95</v>
      </c>
      <c r="J502" s="98">
        <v>1</v>
      </c>
      <c r="K502" s="79">
        <v>46138.1875</v>
      </c>
      <c r="M502" t="s">
        <v>2910</v>
      </c>
      <c r="N502" s="101">
        <v>46113</v>
      </c>
      <c r="O502" s="75">
        <v>0.20833333333333334</v>
      </c>
      <c r="P502" t="s">
        <v>4314</v>
      </c>
      <c r="Q502" t="s">
        <v>967</v>
      </c>
      <c r="X502" t="s">
        <v>2914</v>
      </c>
    </row>
    <row r="503" spans="1:24" ht="16" customHeight="1" x14ac:dyDescent="0.6">
      <c r="A503" t="s">
        <v>4315</v>
      </c>
      <c r="B503" t="s">
        <v>17</v>
      </c>
      <c r="C503" t="s">
        <v>2986</v>
      </c>
      <c r="E503" t="s">
        <v>2930</v>
      </c>
      <c r="F503">
        <v>3150112</v>
      </c>
      <c r="G503" t="s">
        <v>3986</v>
      </c>
      <c r="H503">
        <v>965514797</v>
      </c>
      <c r="I503">
        <v>50</v>
      </c>
      <c r="J503" s="98">
        <v>0.5</v>
      </c>
      <c r="K503" s="79">
        <v>46138.833333333336</v>
      </c>
      <c r="M503" t="s">
        <v>2910</v>
      </c>
      <c r="N503" s="101">
        <v>46113</v>
      </c>
      <c r="O503" s="75">
        <v>0.86111111111111116</v>
      </c>
      <c r="P503" t="s">
        <v>4316</v>
      </c>
      <c r="Q503" t="s">
        <v>967</v>
      </c>
      <c r="R503" t="s">
        <v>3377</v>
      </c>
      <c r="S503" t="s">
        <v>4292</v>
      </c>
      <c r="T503" t="s">
        <v>4317</v>
      </c>
      <c r="X503" t="s">
        <v>2914</v>
      </c>
    </row>
    <row r="504" spans="1:24" ht="16" customHeight="1" x14ac:dyDescent="0.6">
      <c r="A504" t="s">
        <v>4318</v>
      </c>
      <c r="B504" t="s">
        <v>17</v>
      </c>
      <c r="C504" t="s">
        <v>3093</v>
      </c>
      <c r="E504" t="s">
        <v>2930</v>
      </c>
      <c r="F504">
        <v>3135107</v>
      </c>
      <c r="H504">
        <v>344436412</v>
      </c>
      <c r="I504">
        <v>500</v>
      </c>
      <c r="J504" t="s">
        <v>2919</v>
      </c>
      <c r="K504" s="79">
        <v>46139.895833333336</v>
      </c>
      <c r="L504" t="s">
        <v>4319</v>
      </c>
      <c r="M504" t="s">
        <v>2910</v>
      </c>
      <c r="N504" s="101">
        <v>46478</v>
      </c>
      <c r="O504" t="s">
        <v>4320</v>
      </c>
      <c r="P504" t="s">
        <v>4321</v>
      </c>
      <c r="Q504" t="s">
        <v>1356</v>
      </c>
      <c r="R504" t="s">
        <v>3781</v>
      </c>
      <c r="S504" t="s">
        <v>4292</v>
      </c>
      <c r="T504" t="s">
        <v>3782</v>
      </c>
      <c r="V504" t="s">
        <v>2965</v>
      </c>
      <c r="X504" t="s">
        <v>2914</v>
      </c>
    </row>
    <row r="505" spans="1:24" ht="16" customHeight="1" x14ac:dyDescent="0.6">
      <c r="A505" t="s">
        <v>4322</v>
      </c>
      <c r="B505" t="s">
        <v>17</v>
      </c>
      <c r="C505" t="s">
        <v>2957</v>
      </c>
      <c r="E505" t="s">
        <v>2909</v>
      </c>
      <c r="F505">
        <v>3153015</v>
      </c>
      <c r="H505">
        <v>973797545</v>
      </c>
      <c r="I505">
        <v>100</v>
      </c>
      <c r="J505" s="98">
        <v>1</v>
      </c>
      <c r="K505" s="79">
        <v>46139.854166666664</v>
      </c>
      <c r="M505" t="s">
        <v>2910</v>
      </c>
      <c r="N505" s="101">
        <v>46478</v>
      </c>
      <c r="O505" s="75">
        <v>0.91666666666666663</v>
      </c>
      <c r="P505" t="s">
        <v>4323</v>
      </c>
      <c r="Q505" t="s">
        <v>967</v>
      </c>
      <c r="R505" t="s">
        <v>2937</v>
      </c>
      <c r="S505" t="s">
        <v>4292</v>
      </c>
      <c r="T505" t="s">
        <v>2960</v>
      </c>
      <c r="V505" t="s">
        <v>202</v>
      </c>
      <c r="X505" t="s">
        <v>2914</v>
      </c>
    </row>
    <row r="506" spans="1:24" ht="16" customHeight="1" x14ac:dyDescent="0.6">
      <c r="A506" t="s">
        <v>4324</v>
      </c>
      <c r="B506" t="s">
        <v>17</v>
      </c>
      <c r="C506" t="s">
        <v>4325</v>
      </c>
      <c r="E506" t="s">
        <v>2909</v>
      </c>
      <c r="F506">
        <v>3137815</v>
      </c>
      <c r="H506">
        <v>981238027</v>
      </c>
      <c r="I506">
        <v>30</v>
      </c>
      <c r="J506" s="98">
        <v>0.3</v>
      </c>
      <c r="K506" s="79">
        <v>46139.90625</v>
      </c>
      <c r="M506" t="s">
        <v>2910</v>
      </c>
      <c r="N506" s="101">
        <v>46478</v>
      </c>
      <c r="O506" t="s">
        <v>3110</v>
      </c>
      <c r="P506" t="s">
        <v>4326</v>
      </c>
      <c r="Q506" t="s">
        <v>967</v>
      </c>
      <c r="R506" t="s">
        <v>4327</v>
      </c>
      <c r="S506" t="s">
        <v>4292</v>
      </c>
      <c r="T506" t="s">
        <v>4328</v>
      </c>
      <c r="V506" t="s">
        <v>202</v>
      </c>
      <c r="X506" t="s">
        <v>2914</v>
      </c>
    </row>
    <row r="507" spans="1:24" ht="16" customHeight="1" x14ac:dyDescent="0.6">
      <c r="A507" t="s">
        <v>4329</v>
      </c>
      <c r="B507" t="s">
        <v>17</v>
      </c>
      <c r="C507" t="s">
        <v>3142</v>
      </c>
      <c r="E507" t="s">
        <v>2930</v>
      </c>
      <c r="F507">
        <v>1714094</v>
      </c>
      <c r="H507">
        <v>961790126</v>
      </c>
      <c r="I507">
        <v>120</v>
      </c>
      <c r="J507" s="98">
        <v>1</v>
      </c>
      <c r="K507" s="79">
        <v>46139.833333333336</v>
      </c>
      <c r="M507" t="s">
        <v>2910</v>
      </c>
      <c r="N507" s="101">
        <v>46478</v>
      </c>
      <c r="O507" t="s">
        <v>3235</v>
      </c>
      <c r="P507" t="s">
        <v>4330</v>
      </c>
      <c r="Q507" t="s">
        <v>1356</v>
      </c>
      <c r="R507" t="s">
        <v>4331</v>
      </c>
      <c r="S507" t="s">
        <v>4292</v>
      </c>
      <c r="T507" t="s">
        <v>4194</v>
      </c>
      <c r="V507" t="s">
        <v>2965</v>
      </c>
      <c r="X507" t="s">
        <v>2914</v>
      </c>
    </row>
    <row r="508" spans="1:24" ht="16" customHeight="1" x14ac:dyDescent="0.6">
      <c r="A508" t="s">
        <v>4332</v>
      </c>
      <c r="B508" t="s">
        <v>17</v>
      </c>
      <c r="C508" t="s">
        <v>3247</v>
      </c>
      <c r="E508" t="s">
        <v>2917</v>
      </c>
      <c r="F508">
        <v>3153024</v>
      </c>
      <c r="G508" t="s">
        <v>3651</v>
      </c>
      <c r="H508">
        <v>988454957</v>
      </c>
      <c r="I508">
        <v>200</v>
      </c>
      <c r="J508" s="98">
        <v>1</v>
      </c>
      <c r="K508" s="79">
        <v>46139.875</v>
      </c>
      <c r="M508" t="s">
        <v>3206</v>
      </c>
      <c r="N508" s="101">
        <v>46478</v>
      </c>
      <c r="X508" t="s">
        <v>2914</v>
      </c>
    </row>
    <row r="509" spans="1:24" ht="16" customHeight="1" x14ac:dyDescent="0.6">
      <c r="A509" t="s">
        <v>4333</v>
      </c>
      <c r="B509" t="s">
        <v>17</v>
      </c>
      <c r="C509" t="s">
        <v>3055</v>
      </c>
      <c r="E509" t="s">
        <v>2930</v>
      </c>
      <c r="F509">
        <v>3152447</v>
      </c>
      <c r="H509">
        <v>914595782</v>
      </c>
      <c r="I509">
        <v>50</v>
      </c>
      <c r="J509" s="98">
        <v>0.75</v>
      </c>
      <c r="K509" s="79">
        <v>46139.9375</v>
      </c>
      <c r="M509" t="s">
        <v>2910</v>
      </c>
      <c r="N509" s="101">
        <v>46478</v>
      </c>
      <c r="O509" s="75">
        <v>0.91666666666666663</v>
      </c>
      <c r="P509" t="s">
        <v>4334</v>
      </c>
      <c r="Q509" t="s">
        <v>967</v>
      </c>
      <c r="R509" t="s">
        <v>3210</v>
      </c>
      <c r="S509" t="s">
        <v>4292</v>
      </c>
      <c r="T509" t="s">
        <v>4335</v>
      </c>
      <c r="V509" t="s">
        <v>2965</v>
      </c>
      <c r="X509" t="s">
        <v>2914</v>
      </c>
    </row>
    <row r="510" spans="1:24" ht="16" customHeight="1" x14ac:dyDescent="0.6">
      <c r="A510" t="s">
        <v>4336</v>
      </c>
      <c r="B510" t="s">
        <v>17</v>
      </c>
      <c r="C510" t="s">
        <v>2994</v>
      </c>
      <c r="E510" t="s">
        <v>2909</v>
      </c>
      <c r="F510">
        <v>2033804</v>
      </c>
      <c r="H510">
        <v>396799427</v>
      </c>
      <c r="I510">
        <v>100</v>
      </c>
      <c r="J510" s="98">
        <v>1</v>
      </c>
      <c r="K510" s="79">
        <v>46139.895833333336</v>
      </c>
      <c r="M510" t="s">
        <v>2955</v>
      </c>
      <c r="X510" t="s">
        <v>2914</v>
      </c>
    </row>
    <row r="511" spans="1:24" ht="16" customHeight="1" x14ac:dyDescent="0.6">
      <c r="A511" t="s">
        <v>4337</v>
      </c>
      <c r="B511" t="s">
        <v>17</v>
      </c>
      <c r="C511" t="s">
        <v>3242</v>
      </c>
      <c r="E511" t="s">
        <v>2930</v>
      </c>
      <c r="F511">
        <v>3139139</v>
      </c>
      <c r="H511">
        <v>977705672</v>
      </c>
      <c r="I511">
        <v>200</v>
      </c>
      <c r="J511" s="98">
        <v>1</v>
      </c>
      <c r="K511" s="79">
        <v>46139.875</v>
      </c>
      <c r="M511" t="s">
        <v>2910</v>
      </c>
      <c r="N511" s="101">
        <v>46478</v>
      </c>
      <c r="O511" s="75">
        <v>0.89583333333333337</v>
      </c>
      <c r="P511" t="s">
        <v>4338</v>
      </c>
      <c r="Q511" t="s">
        <v>967</v>
      </c>
      <c r="R511" t="s">
        <v>3304</v>
      </c>
      <c r="S511" t="s">
        <v>4292</v>
      </c>
      <c r="T511" t="s">
        <v>3305</v>
      </c>
      <c r="V511" t="s">
        <v>2965</v>
      </c>
      <c r="X511" t="s">
        <v>2914</v>
      </c>
    </row>
    <row r="512" spans="1:24" ht="16" customHeight="1" x14ac:dyDescent="0.6">
      <c r="A512" t="s">
        <v>4339</v>
      </c>
      <c r="B512" t="s">
        <v>17</v>
      </c>
      <c r="C512" t="s">
        <v>3601</v>
      </c>
      <c r="E512" t="s">
        <v>2930</v>
      </c>
      <c r="F512">
        <v>1882650</v>
      </c>
      <c r="G512" t="s">
        <v>4234</v>
      </c>
      <c r="H512">
        <v>775748473</v>
      </c>
      <c r="I512">
        <v>130</v>
      </c>
      <c r="J512" s="98">
        <v>1</v>
      </c>
      <c r="K512" s="79">
        <v>46139.875</v>
      </c>
      <c r="L512" s="74" t="s">
        <v>4340</v>
      </c>
      <c r="M512" t="s">
        <v>2910</v>
      </c>
      <c r="N512" s="101">
        <v>46478</v>
      </c>
      <c r="O512" s="75">
        <v>0.91666666666666663</v>
      </c>
      <c r="P512" t="s">
        <v>4341</v>
      </c>
      <c r="Q512" t="s">
        <v>1356</v>
      </c>
      <c r="R512" t="s">
        <v>3076</v>
      </c>
      <c r="S512" t="s">
        <v>4292</v>
      </c>
      <c r="T512" t="s">
        <v>3655</v>
      </c>
      <c r="V512" t="s">
        <v>2965</v>
      </c>
      <c r="X512" t="s">
        <v>2914</v>
      </c>
    </row>
    <row r="513" spans="1:24" ht="16" customHeight="1" x14ac:dyDescent="0.6">
      <c r="A513" t="s">
        <v>4342</v>
      </c>
      <c r="B513" t="s">
        <v>17</v>
      </c>
      <c r="C513" t="s">
        <v>3142</v>
      </c>
      <c r="E513" t="s">
        <v>2930</v>
      </c>
      <c r="F513">
        <v>1714094</v>
      </c>
      <c r="G513" t="s">
        <v>3143</v>
      </c>
      <c r="H513">
        <v>961790126</v>
      </c>
      <c r="I513">
        <v>120</v>
      </c>
      <c r="J513" s="98">
        <v>1</v>
      </c>
      <c r="K513" s="79">
        <v>46139.833333333336</v>
      </c>
      <c r="M513" t="s">
        <v>2955</v>
      </c>
      <c r="X513" t="s">
        <v>2914</v>
      </c>
    </row>
    <row r="514" spans="1:24" ht="16" customHeight="1" x14ac:dyDescent="0.6">
      <c r="A514" t="s">
        <v>4343</v>
      </c>
      <c r="B514" t="s">
        <v>17</v>
      </c>
      <c r="C514" t="s">
        <v>2916</v>
      </c>
      <c r="E514" t="s">
        <v>2917</v>
      </c>
      <c r="F514">
        <v>3070766</v>
      </c>
      <c r="G514" t="s">
        <v>3684</v>
      </c>
      <c r="H514">
        <v>376156434</v>
      </c>
      <c r="I514">
        <v>50</v>
      </c>
      <c r="J514" s="98">
        <v>0.5</v>
      </c>
      <c r="K514" s="79">
        <v>46139.916666666664</v>
      </c>
      <c r="M514" t="s">
        <v>2910</v>
      </c>
      <c r="N514" s="101">
        <v>46478</v>
      </c>
      <c r="O514" s="75">
        <v>0.91666666666666663</v>
      </c>
      <c r="P514" t="s">
        <v>4344</v>
      </c>
      <c r="Q514" t="s">
        <v>1356</v>
      </c>
      <c r="R514" t="s">
        <v>3266</v>
      </c>
      <c r="S514" t="s">
        <v>4292</v>
      </c>
      <c r="T514" t="s">
        <v>3999</v>
      </c>
      <c r="V514" t="s">
        <v>2965</v>
      </c>
      <c r="X514" t="s">
        <v>2914</v>
      </c>
    </row>
    <row r="515" spans="1:24" ht="16" customHeight="1" x14ac:dyDescent="0.6">
      <c r="A515" t="s">
        <v>4345</v>
      </c>
      <c r="B515" t="s">
        <v>17</v>
      </c>
      <c r="C515" t="s">
        <v>3142</v>
      </c>
      <c r="E515" t="s">
        <v>2930</v>
      </c>
      <c r="F515">
        <v>1714094</v>
      </c>
      <c r="G515" t="s">
        <v>3143</v>
      </c>
      <c r="H515">
        <v>961790126</v>
      </c>
      <c r="I515">
        <v>100</v>
      </c>
      <c r="J515" s="98">
        <v>1</v>
      </c>
      <c r="K515" s="79">
        <v>46139.875</v>
      </c>
      <c r="M515" t="s">
        <v>2910</v>
      </c>
      <c r="N515" s="101">
        <v>46478</v>
      </c>
      <c r="O515" s="75">
        <v>0.875</v>
      </c>
      <c r="P515" t="s">
        <v>4346</v>
      </c>
      <c r="Q515" t="s">
        <v>967</v>
      </c>
      <c r="R515" t="s">
        <v>3377</v>
      </c>
      <c r="S515" t="s">
        <v>4292</v>
      </c>
      <c r="T515" t="s">
        <v>3378</v>
      </c>
      <c r="V515" t="s">
        <v>2965</v>
      </c>
      <c r="X515" t="s">
        <v>2914</v>
      </c>
    </row>
    <row r="516" spans="1:24" ht="16" customHeight="1" x14ac:dyDescent="0.6">
      <c r="A516" t="s">
        <v>4347</v>
      </c>
      <c r="B516" t="s">
        <v>17</v>
      </c>
      <c r="C516" t="s">
        <v>2986</v>
      </c>
      <c r="E516" t="s">
        <v>2930</v>
      </c>
      <c r="F516">
        <v>3150112</v>
      </c>
      <c r="G516" t="s">
        <v>3920</v>
      </c>
      <c r="H516">
        <v>965514797</v>
      </c>
      <c r="I516">
        <v>50</v>
      </c>
      <c r="J516" s="98">
        <v>0.5</v>
      </c>
      <c r="K516" s="79">
        <v>46139.895833333336</v>
      </c>
      <c r="M516" t="s">
        <v>2910</v>
      </c>
      <c r="N516" s="101">
        <v>46478</v>
      </c>
      <c r="O516" t="s">
        <v>3235</v>
      </c>
      <c r="P516" t="s">
        <v>4348</v>
      </c>
      <c r="Q516" t="s">
        <v>967</v>
      </c>
      <c r="R516" t="s">
        <v>4349</v>
      </c>
      <c r="S516" t="s">
        <v>4292</v>
      </c>
      <c r="T516" t="s">
        <v>2997</v>
      </c>
      <c r="V516" t="s">
        <v>2965</v>
      </c>
      <c r="X516" t="s">
        <v>2914</v>
      </c>
    </row>
    <row r="517" spans="1:24" ht="16" customHeight="1" x14ac:dyDescent="0.6">
      <c r="A517" t="s">
        <v>4350</v>
      </c>
      <c r="B517" t="s">
        <v>17</v>
      </c>
      <c r="C517" t="s">
        <v>2976</v>
      </c>
      <c r="E517" t="s">
        <v>2917</v>
      </c>
      <c r="F517">
        <v>3124891</v>
      </c>
      <c r="H517">
        <v>977330980</v>
      </c>
      <c r="I517">
        <v>100</v>
      </c>
      <c r="J517" s="98">
        <v>1</v>
      </c>
      <c r="K517" s="79">
        <v>46139.90625</v>
      </c>
      <c r="M517" t="s">
        <v>2910</v>
      </c>
      <c r="N517" s="101">
        <v>46478</v>
      </c>
      <c r="O517" s="75">
        <v>0.91666666666666663</v>
      </c>
      <c r="P517" t="s">
        <v>4351</v>
      </c>
      <c r="Q517" t="s">
        <v>967</v>
      </c>
      <c r="R517" t="s">
        <v>3529</v>
      </c>
      <c r="S517" t="s">
        <v>4292</v>
      </c>
      <c r="T517" t="s">
        <v>4352</v>
      </c>
      <c r="V517" t="s">
        <v>2947</v>
      </c>
      <c r="X517" t="s">
        <v>2914</v>
      </c>
    </row>
    <row r="518" spans="1:24" ht="16" customHeight="1" x14ac:dyDescent="0.6">
      <c r="A518" t="s">
        <v>4353</v>
      </c>
      <c r="B518" t="s">
        <v>17</v>
      </c>
      <c r="C518" t="s">
        <v>3031</v>
      </c>
      <c r="E518" t="s">
        <v>2917</v>
      </c>
      <c r="F518">
        <v>3147977</v>
      </c>
      <c r="H518">
        <v>797255556</v>
      </c>
      <c r="I518">
        <v>75</v>
      </c>
      <c r="J518" s="98">
        <v>0.75</v>
      </c>
      <c r="K518" s="79">
        <v>46139.916666666664</v>
      </c>
      <c r="M518" t="s">
        <v>2910</v>
      </c>
      <c r="N518" s="101">
        <v>46478</v>
      </c>
      <c r="O518" s="75">
        <v>0.91666666666666663</v>
      </c>
      <c r="P518" t="s">
        <v>4354</v>
      </c>
      <c r="Q518" t="s">
        <v>1356</v>
      </c>
      <c r="R518" t="s">
        <v>4355</v>
      </c>
      <c r="S518" t="s">
        <v>4292</v>
      </c>
      <c r="T518" t="s">
        <v>3634</v>
      </c>
      <c r="V518" t="s">
        <v>3009</v>
      </c>
      <c r="X518" t="s">
        <v>2914</v>
      </c>
    </row>
    <row r="519" spans="1:24" ht="16" customHeight="1" x14ac:dyDescent="0.6">
      <c r="A519" t="s">
        <v>4356</v>
      </c>
      <c r="B519" t="s">
        <v>17</v>
      </c>
      <c r="C519" t="s">
        <v>2929</v>
      </c>
      <c r="E519" t="s">
        <v>2930</v>
      </c>
      <c r="F519">
        <v>1874442</v>
      </c>
      <c r="H519">
        <v>349694008</v>
      </c>
      <c r="I519">
        <v>68</v>
      </c>
      <c r="J519" s="98">
        <v>1</v>
      </c>
      <c r="K519" s="79">
        <v>46139.895833333336</v>
      </c>
      <c r="M519" t="s">
        <v>2910</v>
      </c>
      <c r="N519" s="101">
        <v>46478</v>
      </c>
      <c r="O519" t="s">
        <v>3235</v>
      </c>
      <c r="P519" t="s">
        <v>4357</v>
      </c>
      <c r="Q519" t="s">
        <v>967</v>
      </c>
      <c r="R519" t="s">
        <v>3025</v>
      </c>
      <c r="S519" t="s">
        <v>4292</v>
      </c>
      <c r="T519" t="s">
        <v>3026</v>
      </c>
      <c r="V519" t="s">
        <v>2965</v>
      </c>
      <c r="X519" t="s">
        <v>2914</v>
      </c>
    </row>
    <row r="520" spans="1:24" ht="16" customHeight="1" x14ac:dyDescent="0.6">
      <c r="A520" t="s">
        <v>4358</v>
      </c>
      <c r="B520" t="s">
        <v>17</v>
      </c>
      <c r="C520" t="s">
        <v>3093</v>
      </c>
      <c r="E520" t="s">
        <v>2930</v>
      </c>
      <c r="F520">
        <v>3135107</v>
      </c>
      <c r="H520">
        <v>344436412</v>
      </c>
      <c r="I520">
        <v>60</v>
      </c>
      <c r="J520" s="98">
        <v>0.75</v>
      </c>
      <c r="K520" s="79">
        <v>46140.1875</v>
      </c>
      <c r="M520" t="s">
        <v>2910</v>
      </c>
      <c r="N520" s="101">
        <v>46844</v>
      </c>
      <c r="O520" s="75">
        <v>0.16666666666666666</v>
      </c>
      <c r="P520" t="s">
        <v>4359</v>
      </c>
      <c r="Q520" t="s">
        <v>967</v>
      </c>
      <c r="X520" t="s">
        <v>2914</v>
      </c>
    </row>
    <row r="521" spans="1:24" ht="16" customHeight="1" x14ac:dyDescent="0.6">
      <c r="A521" t="s">
        <v>4360</v>
      </c>
      <c r="B521" t="s">
        <v>17</v>
      </c>
      <c r="C521" t="s">
        <v>2939</v>
      </c>
      <c r="E521" t="s">
        <v>2930</v>
      </c>
      <c r="F521">
        <v>3152551</v>
      </c>
      <c r="H521">
        <v>937002597</v>
      </c>
      <c r="I521">
        <v>30</v>
      </c>
      <c r="J521" s="98">
        <v>0.3</v>
      </c>
      <c r="K521" s="79">
        <v>46140.208333333336</v>
      </c>
      <c r="M521" t="s">
        <v>2910</v>
      </c>
      <c r="N521" s="101">
        <v>46844</v>
      </c>
      <c r="O521" s="75">
        <v>0.20833333333333334</v>
      </c>
      <c r="P521" t="s">
        <v>4361</v>
      </c>
      <c r="Q521" t="s">
        <v>967</v>
      </c>
      <c r="X521" t="s">
        <v>2914</v>
      </c>
    </row>
    <row r="522" spans="1:24" ht="16" customHeight="1" x14ac:dyDescent="0.6">
      <c r="A522" t="s">
        <v>4362</v>
      </c>
      <c r="B522" t="s">
        <v>17</v>
      </c>
      <c r="C522" t="s">
        <v>2957</v>
      </c>
      <c r="E522" t="s">
        <v>2909</v>
      </c>
      <c r="F522">
        <v>1802852</v>
      </c>
      <c r="H522">
        <v>974607460</v>
      </c>
      <c r="I522">
        <v>100</v>
      </c>
      <c r="J522" s="98">
        <v>0.75</v>
      </c>
      <c r="K522" s="79">
        <v>46140.875</v>
      </c>
      <c r="M522" t="s">
        <v>2910</v>
      </c>
      <c r="N522" s="101">
        <v>46844</v>
      </c>
      <c r="P522" t="s">
        <v>4363</v>
      </c>
      <c r="Q522" t="s">
        <v>967</v>
      </c>
      <c r="R522" t="s">
        <v>2937</v>
      </c>
      <c r="S522" t="s">
        <v>1868</v>
      </c>
      <c r="T522" t="s">
        <v>2960</v>
      </c>
      <c r="V522" t="s">
        <v>202</v>
      </c>
      <c r="X522" t="s">
        <v>2914</v>
      </c>
    </row>
    <row r="523" spans="1:24" ht="16" customHeight="1" x14ac:dyDescent="0.6">
      <c r="A523" t="s">
        <v>4364</v>
      </c>
      <c r="B523" t="s">
        <v>17</v>
      </c>
      <c r="C523" t="s">
        <v>3314</v>
      </c>
      <c r="D523" t="s">
        <v>3315</v>
      </c>
      <c r="E523" t="s">
        <v>2917</v>
      </c>
      <c r="F523">
        <v>3083614</v>
      </c>
      <c r="H523">
        <v>987725335</v>
      </c>
      <c r="I523">
        <v>70</v>
      </c>
      <c r="J523" s="98">
        <v>0.75</v>
      </c>
      <c r="K523" s="79">
        <v>46140.895833333336</v>
      </c>
      <c r="M523" t="s">
        <v>2910</v>
      </c>
      <c r="N523" s="101">
        <v>46844</v>
      </c>
      <c r="O523" s="75">
        <v>0.875</v>
      </c>
      <c r="P523" t="s">
        <v>4365</v>
      </c>
      <c r="Q523" t="s">
        <v>1356</v>
      </c>
      <c r="R523" t="s">
        <v>4366</v>
      </c>
      <c r="S523" t="s">
        <v>1868</v>
      </c>
      <c r="T523" t="s">
        <v>4367</v>
      </c>
      <c r="V523" t="s">
        <v>3009</v>
      </c>
      <c r="X523" t="s">
        <v>2914</v>
      </c>
    </row>
    <row r="524" spans="1:24" ht="16" customHeight="1" x14ac:dyDescent="0.6">
      <c r="A524" t="s">
        <v>4368</v>
      </c>
      <c r="B524" t="s">
        <v>17</v>
      </c>
      <c r="C524" t="s">
        <v>3055</v>
      </c>
      <c r="E524" t="s">
        <v>2930</v>
      </c>
      <c r="F524">
        <v>3152447</v>
      </c>
      <c r="H524">
        <v>914595782</v>
      </c>
      <c r="I524">
        <v>60</v>
      </c>
      <c r="J524" s="98">
        <v>0.75</v>
      </c>
      <c r="K524" s="79">
        <v>46140.947916666664</v>
      </c>
      <c r="M524" t="s">
        <v>2910</v>
      </c>
      <c r="N524" s="101">
        <v>46844</v>
      </c>
      <c r="O524" s="75">
        <v>0.90625</v>
      </c>
      <c r="P524" t="s">
        <v>4369</v>
      </c>
      <c r="Q524" t="s">
        <v>967</v>
      </c>
      <c r="R524" t="s">
        <v>3062</v>
      </c>
      <c r="S524" t="s">
        <v>1868</v>
      </c>
      <c r="T524" t="s">
        <v>3063</v>
      </c>
      <c r="V524" t="s">
        <v>2965</v>
      </c>
      <c r="X524" t="s">
        <v>2914</v>
      </c>
    </row>
    <row r="525" spans="1:24" ht="16" customHeight="1" x14ac:dyDescent="0.6">
      <c r="A525" t="s">
        <v>4370</v>
      </c>
      <c r="B525" t="s">
        <v>17</v>
      </c>
      <c r="C525" t="s">
        <v>3242</v>
      </c>
      <c r="E525" t="s">
        <v>2917</v>
      </c>
      <c r="F525">
        <v>3139139</v>
      </c>
      <c r="H525">
        <v>977705672</v>
      </c>
      <c r="I525">
        <v>100</v>
      </c>
      <c r="J525" s="98">
        <v>1</v>
      </c>
      <c r="K525" s="79">
        <v>46140.875</v>
      </c>
      <c r="M525" t="s">
        <v>2910</v>
      </c>
      <c r="N525" s="101">
        <v>46844</v>
      </c>
      <c r="O525" s="75">
        <v>0.875</v>
      </c>
      <c r="P525" t="s">
        <v>4371</v>
      </c>
      <c r="Q525" t="s">
        <v>967</v>
      </c>
      <c r="R525" t="s">
        <v>4372</v>
      </c>
      <c r="S525" t="s">
        <v>1868</v>
      </c>
      <c r="T525" t="s">
        <v>3775</v>
      </c>
      <c r="V525" t="s">
        <v>3009</v>
      </c>
      <c r="X525" t="s">
        <v>2914</v>
      </c>
    </row>
    <row r="526" spans="1:24" ht="16" customHeight="1" x14ac:dyDescent="0.6">
      <c r="A526" t="s">
        <v>4373</v>
      </c>
      <c r="B526" t="s">
        <v>17</v>
      </c>
      <c r="C526" t="s">
        <v>3601</v>
      </c>
      <c r="E526" t="s">
        <v>2917</v>
      </c>
      <c r="F526">
        <v>1882650</v>
      </c>
      <c r="G526" t="s">
        <v>4234</v>
      </c>
      <c r="H526">
        <v>775748473</v>
      </c>
      <c r="I526">
        <v>50</v>
      </c>
      <c r="J526" s="98">
        <v>1</v>
      </c>
      <c r="K526" s="79">
        <v>46140.875</v>
      </c>
      <c r="M526" t="s">
        <v>2910</v>
      </c>
      <c r="N526" s="101">
        <v>46844</v>
      </c>
      <c r="O526" s="75">
        <v>0.90972222222222221</v>
      </c>
      <c r="P526" t="s">
        <v>4374</v>
      </c>
      <c r="Q526" t="s">
        <v>967</v>
      </c>
      <c r="R526" t="s">
        <v>3149</v>
      </c>
      <c r="S526" t="s">
        <v>1868</v>
      </c>
      <c r="T526" t="s">
        <v>4375</v>
      </c>
      <c r="V526" t="s">
        <v>2947</v>
      </c>
      <c r="X526" t="s">
        <v>2914</v>
      </c>
    </row>
    <row r="527" spans="1:24" ht="16" customHeight="1" x14ac:dyDescent="0.6">
      <c r="A527" t="s">
        <v>4376</v>
      </c>
      <c r="B527" t="s">
        <v>17</v>
      </c>
      <c r="C527" t="s">
        <v>2916</v>
      </c>
      <c r="E527" t="s">
        <v>2917</v>
      </c>
      <c r="F527">
        <v>3070766</v>
      </c>
      <c r="G527" t="s">
        <v>3684</v>
      </c>
      <c r="H527">
        <v>376156434</v>
      </c>
      <c r="I527">
        <v>100</v>
      </c>
      <c r="J527" s="98">
        <v>0.75</v>
      </c>
      <c r="K527" s="79">
        <v>46140.916666666664</v>
      </c>
      <c r="M527" t="s">
        <v>2910</v>
      </c>
      <c r="N527" s="101">
        <v>46844</v>
      </c>
      <c r="O527" s="75">
        <v>0.94791666666666663</v>
      </c>
      <c r="P527" t="s">
        <v>4377</v>
      </c>
      <c r="Q527" t="s">
        <v>1356</v>
      </c>
      <c r="R527" t="s">
        <v>3076</v>
      </c>
      <c r="S527" t="s">
        <v>1868</v>
      </c>
      <c r="T527" t="s">
        <v>3655</v>
      </c>
      <c r="V527" t="s">
        <v>3009</v>
      </c>
      <c r="X527" t="s">
        <v>2914</v>
      </c>
    </row>
    <row r="528" spans="1:24" ht="16" customHeight="1" x14ac:dyDescent="0.6">
      <c r="A528" t="s">
        <v>4378</v>
      </c>
      <c r="B528" t="s">
        <v>17</v>
      </c>
      <c r="C528" t="s">
        <v>3142</v>
      </c>
      <c r="E528" t="s">
        <v>2930</v>
      </c>
      <c r="F528">
        <v>3100988</v>
      </c>
      <c r="H528">
        <v>775748473</v>
      </c>
      <c r="I528">
        <v>50</v>
      </c>
      <c r="J528" s="98">
        <v>1</v>
      </c>
      <c r="K528" s="79">
        <v>46140.875</v>
      </c>
      <c r="M528" t="s">
        <v>2910</v>
      </c>
      <c r="N528" s="101">
        <v>46844</v>
      </c>
      <c r="O528" s="75">
        <v>0.89583333333333337</v>
      </c>
      <c r="P528" t="s">
        <v>4379</v>
      </c>
      <c r="Q528" t="s">
        <v>967</v>
      </c>
      <c r="R528" t="s">
        <v>3013</v>
      </c>
      <c r="S528" t="s">
        <v>1868</v>
      </c>
      <c r="T528" t="s">
        <v>2974</v>
      </c>
      <c r="V528" t="s">
        <v>2965</v>
      </c>
      <c r="X528" t="s">
        <v>2914</v>
      </c>
    </row>
    <row r="529" spans="1:24" ht="16" customHeight="1" x14ac:dyDescent="0.6">
      <c r="A529" t="s">
        <v>4380</v>
      </c>
      <c r="B529" t="s">
        <v>17</v>
      </c>
      <c r="C529" t="s">
        <v>3049</v>
      </c>
      <c r="E529" t="s">
        <v>2930</v>
      </c>
      <c r="F529">
        <v>3121707</v>
      </c>
      <c r="H529">
        <v>931842110</v>
      </c>
      <c r="I529">
        <v>100</v>
      </c>
      <c r="J529" s="98">
        <v>1</v>
      </c>
      <c r="K529" s="79">
        <v>46140.875</v>
      </c>
      <c r="M529" t="s">
        <v>2955</v>
      </c>
      <c r="N529" s="101">
        <v>46844</v>
      </c>
      <c r="X529" t="s">
        <v>2914</v>
      </c>
    </row>
    <row r="530" spans="1:24" ht="16" customHeight="1" x14ac:dyDescent="0.6">
      <c r="A530" t="s">
        <v>4381</v>
      </c>
      <c r="B530" t="s">
        <v>17</v>
      </c>
      <c r="C530" t="s">
        <v>3022</v>
      </c>
      <c r="E530" t="s">
        <v>2930</v>
      </c>
      <c r="F530">
        <v>3135714</v>
      </c>
      <c r="H530">
        <v>333124453</v>
      </c>
      <c r="I530">
        <v>100</v>
      </c>
      <c r="J530" s="98">
        <v>0.75</v>
      </c>
      <c r="K530" s="79">
        <v>46140.916666666664</v>
      </c>
      <c r="L530" t="s">
        <v>4382</v>
      </c>
      <c r="M530" t="s">
        <v>2910</v>
      </c>
      <c r="N530" s="101">
        <v>46844</v>
      </c>
      <c r="O530" s="75">
        <v>0.91666666666666663</v>
      </c>
      <c r="P530" t="s">
        <v>4383</v>
      </c>
      <c r="Q530" t="s">
        <v>967</v>
      </c>
      <c r="R530" t="s">
        <v>2932</v>
      </c>
      <c r="S530" t="s">
        <v>1868</v>
      </c>
      <c r="T530" t="s">
        <v>2933</v>
      </c>
      <c r="V530" t="s">
        <v>2965</v>
      </c>
      <c r="X530" t="s">
        <v>2914</v>
      </c>
    </row>
    <row r="531" spans="1:24" ht="16" customHeight="1" x14ac:dyDescent="0.6">
      <c r="A531" t="s">
        <v>4384</v>
      </c>
      <c r="B531" t="s">
        <v>17</v>
      </c>
      <c r="C531" t="s">
        <v>3601</v>
      </c>
      <c r="E531" t="s">
        <v>2930</v>
      </c>
      <c r="F531">
        <v>1882650</v>
      </c>
      <c r="G531" t="s">
        <v>4234</v>
      </c>
      <c r="H531">
        <v>775748473</v>
      </c>
      <c r="I531">
        <v>40</v>
      </c>
      <c r="J531" s="98">
        <v>1</v>
      </c>
      <c r="K531" s="79">
        <v>46140.916666666664</v>
      </c>
      <c r="M531" t="s">
        <v>2910</v>
      </c>
      <c r="N531" s="101">
        <v>46844</v>
      </c>
      <c r="O531" s="75">
        <v>0.92708333333333337</v>
      </c>
      <c r="P531" t="s">
        <v>4385</v>
      </c>
      <c r="Q531" t="s">
        <v>967</v>
      </c>
      <c r="R531" t="s">
        <v>3407</v>
      </c>
      <c r="S531" t="s">
        <v>1868</v>
      </c>
      <c r="T531" t="s">
        <v>3530</v>
      </c>
      <c r="V531" t="s">
        <v>2965</v>
      </c>
      <c r="X531" t="s">
        <v>2914</v>
      </c>
    </row>
    <row r="532" spans="1:24" ht="16" customHeight="1" x14ac:dyDescent="0.6">
      <c r="A532" t="s">
        <v>4386</v>
      </c>
      <c r="B532" t="s">
        <v>17</v>
      </c>
      <c r="C532" t="s">
        <v>2976</v>
      </c>
      <c r="E532" t="s">
        <v>2917</v>
      </c>
      <c r="F532">
        <v>3124891</v>
      </c>
      <c r="H532">
        <v>977330980</v>
      </c>
      <c r="I532">
        <v>100</v>
      </c>
      <c r="J532" s="98">
        <v>1</v>
      </c>
      <c r="K532" s="79">
        <v>46140.927083333336</v>
      </c>
      <c r="M532" t="s">
        <v>2910</v>
      </c>
      <c r="N532" s="101">
        <v>46844</v>
      </c>
      <c r="O532" s="75">
        <v>0.91666666666666663</v>
      </c>
      <c r="P532" t="s">
        <v>4387</v>
      </c>
      <c r="Q532" t="s">
        <v>967</v>
      </c>
      <c r="R532" t="s">
        <v>4388</v>
      </c>
      <c r="S532" t="s">
        <v>1868</v>
      </c>
      <c r="T532" t="s">
        <v>4389</v>
      </c>
      <c r="V532" t="s">
        <v>2965</v>
      </c>
      <c r="X532" t="s">
        <v>2914</v>
      </c>
    </row>
    <row r="533" spans="1:24" ht="16" customHeight="1" x14ac:dyDescent="0.6">
      <c r="A533" t="s">
        <v>4390</v>
      </c>
      <c r="B533" t="s">
        <v>17</v>
      </c>
      <c r="C533" t="s">
        <v>2908</v>
      </c>
      <c r="E533" t="s">
        <v>2909</v>
      </c>
      <c r="F533">
        <v>3165609</v>
      </c>
      <c r="H533">
        <v>333142105</v>
      </c>
      <c r="I533">
        <v>30</v>
      </c>
      <c r="J533" s="98">
        <v>0.5</v>
      </c>
      <c r="K533" s="79">
        <v>46141.208333333336</v>
      </c>
      <c r="M533" t="s">
        <v>3029</v>
      </c>
      <c r="X533" t="s">
        <v>2914</v>
      </c>
    </row>
    <row r="534" spans="1:24" ht="16" customHeight="1" x14ac:dyDescent="0.6">
      <c r="A534" t="s">
        <v>4391</v>
      </c>
      <c r="B534" t="s">
        <v>17</v>
      </c>
      <c r="C534" t="s">
        <v>2943</v>
      </c>
      <c r="E534" t="s">
        <v>2917</v>
      </c>
      <c r="F534">
        <v>3161933</v>
      </c>
      <c r="H534">
        <v>338216314</v>
      </c>
      <c r="I534">
        <v>35</v>
      </c>
      <c r="J534" s="98">
        <v>1</v>
      </c>
      <c r="K534" s="79">
        <v>46141.625</v>
      </c>
      <c r="L534" t="s">
        <v>4392</v>
      </c>
      <c r="M534" t="s">
        <v>2910</v>
      </c>
      <c r="N534" s="101">
        <v>47209</v>
      </c>
      <c r="P534" t="s">
        <v>4393</v>
      </c>
      <c r="Q534" t="s">
        <v>967</v>
      </c>
      <c r="R534" t="s">
        <v>4394</v>
      </c>
      <c r="S534" t="s">
        <v>1868</v>
      </c>
      <c r="T534" t="s">
        <v>4395</v>
      </c>
      <c r="V534" t="s">
        <v>3009</v>
      </c>
      <c r="X534" t="s">
        <v>2914</v>
      </c>
    </row>
    <row r="535" spans="1:24" ht="16" customHeight="1" x14ac:dyDescent="0.6">
      <c r="A535" t="s">
        <v>4396</v>
      </c>
      <c r="B535" t="s">
        <v>17</v>
      </c>
      <c r="C535" t="s">
        <v>3055</v>
      </c>
      <c r="E535" t="s">
        <v>2930</v>
      </c>
      <c r="F535">
        <v>3152447</v>
      </c>
      <c r="H535">
        <v>914595782</v>
      </c>
      <c r="I535">
        <v>50</v>
      </c>
      <c r="J535" s="98">
        <v>0.75</v>
      </c>
      <c r="K535" s="79">
        <v>46141.927083333336</v>
      </c>
      <c r="M535" t="s">
        <v>2910</v>
      </c>
      <c r="N535" s="101">
        <v>47209</v>
      </c>
      <c r="O535" s="75">
        <v>0.90625</v>
      </c>
      <c r="P535" t="s">
        <v>4397</v>
      </c>
      <c r="Q535" t="s">
        <v>967</v>
      </c>
      <c r="R535" t="s">
        <v>3062</v>
      </c>
      <c r="S535" t="s">
        <v>1868</v>
      </c>
      <c r="T535" t="s">
        <v>3063</v>
      </c>
      <c r="V535" t="s">
        <v>2965</v>
      </c>
      <c r="X535" t="s">
        <v>2914</v>
      </c>
    </row>
    <row r="536" spans="1:24" ht="16" customHeight="1" x14ac:dyDescent="0.6">
      <c r="A536" t="s">
        <v>4398</v>
      </c>
      <c r="B536" t="s">
        <v>17</v>
      </c>
      <c r="C536" t="s">
        <v>2957</v>
      </c>
      <c r="E536" t="s">
        <v>2909</v>
      </c>
      <c r="F536">
        <v>1802852</v>
      </c>
      <c r="H536">
        <v>974607460</v>
      </c>
      <c r="I536">
        <v>50</v>
      </c>
      <c r="J536" s="98">
        <v>0.75</v>
      </c>
      <c r="K536" s="79">
        <v>46141.875</v>
      </c>
      <c r="M536" t="s">
        <v>2910</v>
      </c>
      <c r="N536" s="101">
        <v>47209</v>
      </c>
      <c r="O536" s="75">
        <v>0.91666666666666663</v>
      </c>
      <c r="P536" t="s">
        <v>4399</v>
      </c>
      <c r="Q536" t="s">
        <v>967</v>
      </c>
      <c r="R536" t="s">
        <v>2937</v>
      </c>
      <c r="S536" t="s">
        <v>1868</v>
      </c>
      <c r="T536" t="s">
        <v>2960</v>
      </c>
      <c r="V536" t="s">
        <v>202</v>
      </c>
      <c r="X536" t="s">
        <v>2914</v>
      </c>
    </row>
    <row r="537" spans="1:24" ht="16" customHeight="1" x14ac:dyDescent="0.6">
      <c r="A537" t="s">
        <v>4400</v>
      </c>
      <c r="B537" t="s">
        <v>17</v>
      </c>
      <c r="C537" t="s">
        <v>3022</v>
      </c>
      <c r="E537" t="s">
        <v>2930</v>
      </c>
      <c r="F537">
        <v>3135714</v>
      </c>
      <c r="H537">
        <v>333124453</v>
      </c>
      <c r="I537">
        <v>300</v>
      </c>
      <c r="J537" s="98">
        <v>0.75</v>
      </c>
      <c r="K537" s="79">
        <v>46141.875</v>
      </c>
      <c r="L537" t="s">
        <v>4401</v>
      </c>
      <c r="M537" t="s">
        <v>2910</v>
      </c>
      <c r="N537" s="101">
        <v>47209</v>
      </c>
      <c r="O537" s="75">
        <v>0.90625</v>
      </c>
      <c r="P537" t="s">
        <v>4402</v>
      </c>
      <c r="Q537" t="s">
        <v>967</v>
      </c>
      <c r="R537" t="s">
        <v>3387</v>
      </c>
      <c r="S537" t="s">
        <v>1868</v>
      </c>
      <c r="T537" t="s">
        <v>3388</v>
      </c>
      <c r="V537" t="s">
        <v>2965</v>
      </c>
      <c r="X537" t="s">
        <v>2914</v>
      </c>
    </row>
    <row r="538" spans="1:24" ht="16" customHeight="1" x14ac:dyDescent="0.6">
      <c r="A538" t="s">
        <v>4403</v>
      </c>
      <c r="B538" t="s">
        <v>17</v>
      </c>
      <c r="C538" t="s">
        <v>2969</v>
      </c>
      <c r="E538" t="s">
        <v>2917</v>
      </c>
      <c r="F538">
        <v>3088512</v>
      </c>
      <c r="G538" t="s">
        <v>4212</v>
      </c>
      <c r="H538">
        <v>348556630</v>
      </c>
      <c r="I538">
        <v>50</v>
      </c>
      <c r="J538" s="98">
        <v>0.75</v>
      </c>
      <c r="K538" s="79">
        <v>46141.90625</v>
      </c>
      <c r="M538" t="s">
        <v>2910</v>
      </c>
      <c r="N538" s="101">
        <v>47209</v>
      </c>
      <c r="P538" t="s">
        <v>4404</v>
      </c>
      <c r="Q538" t="s">
        <v>967</v>
      </c>
      <c r="R538" t="s">
        <v>2978</v>
      </c>
      <c r="S538" t="s">
        <v>1868</v>
      </c>
      <c r="T538" t="s">
        <v>2979</v>
      </c>
      <c r="V538" t="s">
        <v>2947</v>
      </c>
      <c r="X538" t="s">
        <v>2914</v>
      </c>
    </row>
    <row r="539" spans="1:24" ht="16" customHeight="1" x14ac:dyDescent="0.6">
      <c r="A539" t="s">
        <v>4405</v>
      </c>
      <c r="B539" t="s">
        <v>17</v>
      </c>
      <c r="C539" t="s">
        <v>2939</v>
      </c>
      <c r="E539" t="s">
        <v>2930</v>
      </c>
      <c r="F539">
        <v>2038263</v>
      </c>
      <c r="H539">
        <v>908234624</v>
      </c>
      <c r="I539">
        <v>40</v>
      </c>
      <c r="J539" s="98">
        <v>0.5</v>
      </c>
      <c r="K539" s="79">
        <v>46142.208333333336</v>
      </c>
      <c r="M539" t="s">
        <v>2910</v>
      </c>
      <c r="N539" s="101">
        <v>11049</v>
      </c>
      <c r="P539" t="s">
        <v>4406</v>
      </c>
      <c r="Q539" t="s">
        <v>967</v>
      </c>
      <c r="X539" t="s">
        <v>2914</v>
      </c>
    </row>
    <row r="540" spans="1:24" ht="16" customHeight="1" x14ac:dyDescent="0.6">
      <c r="A540" t="s">
        <v>4407</v>
      </c>
      <c r="B540" t="s">
        <v>17</v>
      </c>
      <c r="C540" t="s">
        <v>3093</v>
      </c>
      <c r="E540" t="s">
        <v>2930</v>
      </c>
      <c r="F540">
        <v>1872928</v>
      </c>
      <c r="H540">
        <v>344176032</v>
      </c>
      <c r="I540">
        <v>200</v>
      </c>
      <c r="J540" t="s">
        <v>2919</v>
      </c>
      <c r="K540" s="79">
        <v>46142.895833333336</v>
      </c>
      <c r="L540" t="s">
        <v>4408</v>
      </c>
      <c r="M540" t="s">
        <v>2910</v>
      </c>
      <c r="N540" s="101">
        <v>11049</v>
      </c>
      <c r="P540" t="s">
        <v>4409</v>
      </c>
      <c r="Q540" t="s">
        <v>1356</v>
      </c>
      <c r="R540" t="s">
        <v>3452</v>
      </c>
      <c r="S540" t="s">
        <v>1868</v>
      </c>
      <c r="T540" t="s">
        <v>3453</v>
      </c>
      <c r="V540" t="s">
        <v>2965</v>
      </c>
      <c r="X540" t="s">
        <v>2914</v>
      </c>
    </row>
    <row r="541" spans="1:24" ht="16" customHeight="1" x14ac:dyDescent="0.6">
      <c r="A541" t="s">
        <v>4410</v>
      </c>
      <c r="B541" t="s">
        <v>17</v>
      </c>
      <c r="C541" t="s">
        <v>3093</v>
      </c>
      <c r="E541" t="s">
        <v>2930</v>
      </c>
      <c r="F541">
        <v>1872928</v>
      </c>
      <c r="H541">
        <v>344176032</v>
      </c>
      <c r="I541">
        <v>200</v>
      </c>
      <c r="J541" t="s">
        <v>2919</v>
      </c>
      <c r="K541" s="79">
        <v>46142.916666666664</v>
      </c>
      <c r="M541" t="s">
        <v>2910</v>
      </c>
      <c r="N541" s="101">
        <v>11049</v>
      </c>
      <c r="P541" t="s">
        <v>4411</v>
      </c>
      <c r="Q541" t="s">
        <v>1356</v>
      </c>
      <c r="R541" t="s">
        <v>4412</v>
      </c>
      <c r="S541" t="s">
        <v>1868</v>
      </c>
      <c r="T541" t="s">
        <v>4413</v>
      </c>
      <c r="V541" t="s">
        <v>2965</v>
      </c>
      <c r="X541" t="s">
        <v>2914</v>
      </c>
    </row>
    <row r="542" spans="1:24" ht="16" customHeight="1" x14ac:dyDescent="0.6">
      <c r="A542" t="s">
        <v>4414</v>
      </c>
      <c r="B542" t="s">
        <v>17</v>
      </c>
      <c r="C542" t="s">
        <v>3093</v>
      </c>
      <c r="E542" t="s">
        <v>2930</v>
      </c>
      <c r="F542">
        <v>3135107</v>
      </c>
      <c r="H542">
        <v>344436412</v>
      </c>
      <c r="I542">
        <v>60</v>
      </c>
      <c r="J542" s="98">
        <v>0.75</v>
      </c>
      <c r="K542" s="79">
        <v>46143.1875</v>
      </c>
      <c r="M542" t="s">
        <v>2910</v>
      </c>
      <c r="N542" s="99">
        <v>46027</v>
      </c>
      <c r="O542" s="75">
        <v>0.15625</v>
      </c>
      <c r="P542" t="s">
        <v>4415</v>
      </c>
      <c r="Q542" t="s">
        <v>967</v>
      </c>
      <c r="R542" t="s">
        <v>2941</v>
      </c>
      <c r="S542" t="s">
        <v>1868</v>
      </c>
      <c r="T542" t="s">
        <v>4198</v>
      </c>
      <c r="V542" t="s">
        <v>2965</v>
      </c>
      <c r="X542" t="s">
        <v>2914</v>
      </c>
    </row>
    <row r="543" spans="1:24" ht="16" customHeight="1" x14ac:dyDescent="0.6">
      <c r="A543" t="s">
        <v>4416</v>
      </c>
      <c r="B543" t="s">
        <v>17</v>
      </c>
      <c r="C543" t="s">
        <v>4417</v>
      </c>
      <c r="E543" t="s">
        <v>2917</v>
      </c>
      <c r="F543">
        <v>3114838</v>
      </c>
      <c r="H543">
        <v>869064143</v>
      </c>
      <c r="I543">
        <v>50</v>
      </c>
      <c r="J543" s="98">
        <v>0.75</v>
      </c>
      <c r="K543" s="79">
        <v>46143.875</v>
      </c>
      <c r="M543" t="s">
        <v>2955</v>
      </c>
      <c r="X543" t="s">
        <v>2914</v>
      </c>
    </row>
    <row r="544" spans="1:24" ht="16" customHeight="1" x14ac:dyDescent="0.6">
      <c r="A544" t="s">
        <v>4418</v>
      </c>
      <c r="B544" t="s">
        <v>17</v>
      </c>
      <c r="C544" t="s">
        <v>3055</v>
      </c>
      <c r="E544" t="s">
        <v>2930</v>
      </c>
      <c r="F544">
        <v>3166023</v>
      </c>
      <c r="H544">
        <v>707311202</v>
      </c>
      <c r="I544">
        <v>30</v>
      </c>
      <c r="J544" s="98">
        <v>0.3</v>
      </c>
      <c r="K544" s="79">
        <v>46143.9375</v>
      </c>
      <c r="M544" t="s">
        <v>2910</v>
      </c>
      <c r="N544" s="99">
        <v>46027</v>
      </c>
      <c r="P544" t="s">
        <v>4419</v>
      </c>
      <c r="Q544" t="s">
        <v>967</v>
      </c>
      <c r="R544" t="s">
        <v>4420</v>
      </c>
      <c r="S544" t="s">
        <v>1868</v>
      </c>
      <c r="T544" t="s">
        <v>4421</v>
      </c>
      <c r="V544" t="s">
        <v>2965</v>
      </c>
      <c r="X544" t="s">
        <v>2914</v>
      </c>
    </row>
    <row r="545" spans="1:24" ht="16" customHeight="1" x14ac:dyDescent="0.6">
      <c r="A545" t="s">
        <v>4422</v>
      </c>
      <c r="B545" t="s">
        <v>17</v>
      </c>
      <c r="C545" t="s">
        <v>4171</v>
      </c>
      <c r="D545" t="s">
        <v>4172</v>
      </c>
      <c r="E545" t="s">
        <v>2917</v>
      </c>
      <c r="F545">
        <v>3070766</v>
      </c>
      <c r="G545" t="s">
        <v>3684</v>
      </c>
      <c r="H545">
        <v>376156434</v>
      </c>
      <c r="I545">
        <v>100</v>
      </c>
      <c r="J545" s="98">
        <v>1</v>
      </c>
      <c r="K545" s="79">
        <v>46144.583333333336</v>
      </c>
      <c r="M545" t="s">
        <v>2955</v>
      </c>
      <c r="X545" t="s">
        <v>2914</v>
      </c>
    </row>
    <row r="546" spans="1:24" ht="16" customHeight="1" x14ac:dyDescent="0.6">
      <c r="A546" t="s">
        <v>4423</v>
      </c>
      <c r="B546" t="s">
        <v>17</v>
      </c>
      <c r="C546" t="s">
        <v>3258</v>
      </c>
      <c r="E546" t="s">
        <v>2917</v>
      </c>
      <c r="F546">
        <v>3109385</v>
      </c>
      <c r="H546">
        <v>966006271</v>
      </c>
      <c r="I546">
        <v>100</v>
      </c>
      <c r="J546" s="98">
        <v>1</v>
      </c>
      <c r="K546" s="79">
        <v>46144.875</v>
      </c>
      <c r="L546" t="s">
        <v>4424</v>
      </c>
      <c r="M546" t="s">
        <v>2910</v>
      </c>
      <c r="N546" s="99">
        <v>46058</v>
      </c>
      <c r="P546" t="s">
        <v>4425</v>
      </c>
      <c r="Q546" t="s">
        <v>967</v>
      </c>
      <c r="R546" t="s">
        <v>2932</v>
      </c>
      <c r="S546" t="s">
        <v>1868</v>
      </c>
      <c r="T546" t="s">
        <v>2933</v>
      </c>
      <c r="V546" t="s">
        <v>2965</v>
      </c>
      <c r="X546" t="s">
        <v>2914</v>
      </c>
    </row>
    <row r="547" spans="1:24" ht="16" customHeight="1" x14ac:dyDescent="0.6">
      <c r="A547" t="s">
        <v>4426</v>
      </c>
      <c r="B547" t="s">
        <v>17</v>
      </c>
      <c r="C547" t="s">
        <v>3247</v>
      </c>
      <c r="E547" t="s">
        <v>2917</v>
      </c>
      <c r="F547">
        <v>3160349</v>
      </c>
      <c r="H547">
        <v>903095687</v>
      </c>
      <c r="I547">
        <v>200</v>
      </c>
      <c r="J547" s="98">
        <v>1</v>
      </c>
      <c r="K547" s="79">
        <v>46144.875</v>
      </c>
      <c r="M547" t="s">
        <v>2910</v>
      </c>
      <c r="N547" s="99">
        <v>46058</v>
      </c>
      <c r="P547" t="s">
        <v>4427</v>
      </c>
      <c r="Q547" t="s">
        <v>1356</v>
      </c>
      <c r="R547" t="s">
        <v>4428</v>
      </c>
      <c r="S547" t="s">
        <v>1868</v>
      </c>
      <c r="T547" t="s">
        <v>4429</v>
      </c>
      <c r="V547" t="s">
        <v>2965</v>
      </c>
      <c r="X547" t="s">
        <v>2914</v>
      </c>
    </row>
    <row r="548" spans="1:24" ht="16" customHeight="1" x14ac:dyDescent="0.6">
      <c r="A548" t="s">
        <v>4430</v>
      </c>
      <c r="B548" t="s">
        <v>17</v>
      </c>
      <c r="C548" t="s">
        <v>4431</v>
      </c>
      <c r="E548" t="s">
        <v>2917</v>
      </c>
      <c r="F548">
        <v>2043839</v>
      </c>
      <c r="H548">
        <v>961314334</v>
      </c>
      <c r="I548">
        <v>50</v>
      </c>
      <c r="J548" s="98">
        <v>0.3</v>
      </c>
      <c r="K548" s="79">
        <v>46144.885416666664</v>
      </c>
      <c r="L548" t="s">
        <v>4432</v>
      </c>
      <c r="M548" t="s">
        <v>2910</v>
      </c>
      <c r="N548" s="99">
        <v>46058</v>
      </c>
      <c r="P548" t="s">
        <v>4433</v>
      </c>
      <c r="Q548" t="s">
        <v>967</v>
      </c>
      <c r="R548" t="s">
        <v>4434</v>
      </c>
      <c r="S548" t="s">
        <v>1868</v>
      </c>
      <c r="T548" t="s">
        <v>3039</v>
      </c>
      <c r="V548" t="s">
        <v>2965</v>
      </c>
      <c r="X548" t="s">
        <v>2914</v>
      </c>
    </row>
    <row r="549" spans="1:24" ht="16" customHeight="1" x14ac:dyDescent="0.6">
      <c r="A549" t="s">
        <v>4435</v>
      </c>
      <c r="B549" t="s">
        <v>17</v>
      </c>
      <c r="C549" t="s">
        <v>3314</v>
      </c>
      <c r="D549" t="s">
        <v>3315</v>
      </c>
      <c r="E549" t="s">
        <v>2917</v>
      </c>
      <c r="F549">
        <v>3083614</v>
      </c>
      <c r="H549">
        <v>98772535</v>
      </c>
      <c r="I549">
        <v>70</v>
      </c>
      <c r="J549" s="98">
        <v>0.75</v>
      </c>
      <c r="K549" s="79">
        <v>46144.895833333336</v>
      </c>
      <c r="M549" t="s">
        <v>2955</v>
      </c>
      <c r="N549" s="99">
        <v>46058</v>
      </c>
      <c r="X549" t="s">
        <v>2914</v>
      </c>
    </row>
    <row r="550" spans="1:24" ht="16" customHeight="1" x14ac:dyDescent="0.6">
      <c r="A550" t="s">
        <v>4436</v>
      </c>
      <c r="B550" t="s">
        <v>17</v>
      </c>
      <c r="C550" t="s">
        <v>2916</v>
      </c>
      <c r="E550" t="s">
        <v>2917</v>
      </c>
      <c r="F550">
        <v>3122639</v>
      </c>
      <c r="G550" t="s">
        <v>2918</v>
      </c>
      <c r="H550">
        <v>867140497</v>
      </c>
      <c r="I550">
        <v>100</v>
      </c>
      <c r="J550" t="s">
        <v>2919</v>
      </c>
      <c r="K550" s="79">
        <v>46144.916666666664</v>
      </c>
      <c r="L550" t="s">
        <v>4437</v>
      </c>
      <c r="M550" t="s">
        <v>2910</v>
      </c>
      <c r="N550" s="99">
        <v>46058</v>
      </c>
      <c r="P550" t="s">
        <v>4438</v>
      </c>
      <c r="Q550" t="s">
        <v>1356</v>
      </c>
      <c r="R550" t="s">
        <v>4439</v>
      </c>
      <c r="S550" t="s">
        <v>1868</v>
      </c>
      <c r="T550" t="s">
        <v>4440</v>
      </c>
      <c r="V550" t="s">
        <v>2965</v>
      </c>
      <c r="X550" t="s">
        <v>2914</v>
      </c>
    </row>
    <row r="551" spans="1:24" ht="16" customHeight="1" x14ac:dyDescent="0.6">
      <c r="A551" t="s">
        <v>4441</v>
      </c>
      <c r="B551" t="s">
        <v>17</v>
      </c>
      <c r="C551" t="s">
        <v>3055</v>
      </c>
      <c r="E551" t="s">
        <v>2930</v>
      </c>
      <c r="F551">
        <v>3152447</v>
      </c>
      <c r="H551">
        <v>914595782</v>
      </c>
      <c r="I551">
        <v>50</v>
      </c>
      <c r="J551" s="98">
        <v>0.75</v>
      </c>
      <c r="K551" s="79">
        <v>46144.927083333336</v>
      </c>
      <c r="M551" t="s">
        <v>2910</v>
      </c>
      <c r="N551" s="99">
        <v>46058</v>
      </c>
      <c r="P551" t="s">
        <v>4442</v>
      </c>
      <c r="Q551" t="s">
        <v>967</v>
      </c>
      <c r="R551" t="s">
        <v>3062</v>
      </c>
      <c r="S551" t="s">
        <v>1868</v>
      </c>
      <c r="T551" t="s">
        <v>3063</v>
      </c>
      <c r="V551" t="s">
        <v>2965</v>
      </c>
      <c r="X551" t="s">
        <v>2914</v>
      </c>
    </row>
    <row r="552" spans="1:24" ht="16" customHeight="1" x14ac:dyDescent="0.6">
      <c r="A552" t="s">
        <v>4443</v>
      </c>
      <c r="B552" t="s">
        <v>17</v>
      </c>
      <c r="C552" t="s">
        <v>3242</v>
      </c>
      <c r="E552" t="s">
        <v>2930</v>
      </c>
      <c r="F552">
        <v>3165452</v>
      </c>
      <c r="H552">
        <v>383527899</v>
      </c>
      <c r="I552">
        <v>60</v>
      </c>
      <c r="J552" s="98">
        <v>0.5</v>
      </c>
      <c r="K552" s="79">
        <v>46144.875</v>
      </c>
      <c r="M552" t="s">
        <v>2910</v>
      </c>
      <c r="N552" s="99">
        <v>46058</v>
      </c>
      <c r="P552" t="s">
        <v>4444</v>
      </c>
      <c r="Q552" t="s">
        <v>967</v>
      </c>
      <c r="R552" t="s">
        <v>3013</v>
      </c>
      <c r="S552" t="s">
        <v>1868</v>
      </c>
      <c r="T552" t="s">
        <v>2974</v>
      </c>
      <c r="V552" t="s">
        <v>2965</v>
      </c>
      <c r="X552" t="s">
        <v>2914</v>
      </c>
    </row>
    <row r="553" spans="1:24" ht="16" customHeight="1" x14ac:dyDescent="0.6">
      <c r="A553" t="s">
        <v>4445</v>
      </c>
      <c r="B553" t="s">
        <v>17</v>
      </c>
      <c r="C553" t="s">
        <v>3632</v>
      </c>
      <c r="E553" t="s">
        <v>2917</v>
      </c>
      <c r="F553">
        <v>3120684</v>
      </c>
      <c r="H553">
        <v>899906675</v>
      </c>
      <c r="I553">
        <v>100</v>
      </c>
      <c r="J553" s="98">
        <v>1</v>
      </c>
      <c r="K553" s="79">
        <v>46144.958333333336</v>
      </c>
      <c r="M553" t="s">
        <v>2910</v>
      </c>
      <c r="N553" s="99">
        <v>46058</v>
      </c>
      <c r="P553" t="s">
        <v>4446</v>
      </c>
      <c r="Q553" t="s">
        <v>967</v>
      </c>
      <c r="R553" t="s">
        <v>3407</v>
      </c>
      <c r="S553" t="s">
        <v>1868</v>
      </c>
      <c r="T553" t="s">
        <v>4447</v>
      </c>
      <c r="V553" t="s">
        <v>2965</v>
      </c>
      <c r="X553" t="s">
        <v>2914</v>
      </c>
    </row>
    <row r="554" spans="1:24" ht="16" customHeight="1" x14ac:dyDescent="0.6">
      <c r="A554" t="s">
        <v>4448</v>
      </c>
      <c r="B554" t="s">
        <v>17</v>
      </c>
      <c r="C554" t="s">
        <v>4062</v>
      </c>
      <c r="E554" t="s">
        <v>2917</v>
      </c>
      <c r="F554">
        <v>3136236</v>
      </c>
      <c r="H554">
        <v>989177205</v>
      </c>
      <c r="I554">
        <v>30</v>
      </c>
      <c r="J554" s="98">
        <v>0.5</v>
      </c>
      <c r="K554" s="79">
        <v>46144.90625</v>
      </c>
      <c r="M554" t="s">
        <v>3029</v>
      </c>
      <c r="X554" t="s">
        <v>2914</v>
      </c>
    </row>
    <row r="555" spans="1:24" ht="16" customHeight="1" x14ac:dyDescent="0.6">
      <c r="A555" t="s">
        <v>4449</v>
      </c>
      <c r="B555" t="s">
        <v>17</v>
      </c>
      <c r="C555" t="s">
        <v>3036</v>
      </c>
      <c r="E555" t="s">
        <v>2917</v>
      </c>
      <c r="F555">
        <v>3146332</v>
      </c>
      <c r="H555">
        <v>973082002</v>
      </c>
      <c r="I555">
        <v>180</v>
      </c>
      <c r="J555" s="98">
        <v>1</v>
      </c>
      <c r="K555" s="79">
        <v>46144.916666666664</v>
      </c>
      <c r="L555" t="s">
        <v>4450</v>
      </c>
      <c r="M555" t="s">
        <v>2910</v>
      </c>
      <c r="N555" t="s">
        <v>4451</v>
      </c>
      <c r="P555" t="s">
        <v>4452</v>
      </c>
      <c r="Q555" t="s">
        <v>967</v>
      </c>
      <c r="R555" t="s">
        <v>3781</v>
      </c>
      <c r="S555" t="s">
        <v>1868</v>
      </c>
      <c r="T555" t="s">
        <v>3782</v>
      </c>
      <c r="X555" t="s">
        <v>2914</v>
      </c>
    </row>
    <row r="556" spans="1:24" ht="16" customHeight="1" x14ac:dyDescent="0.6">
      <c r="A556" t="s">
        <v>4453</v>
      </c>
      <c r="B556" t="s">
        <v>17</v>
      </c>
      <c r="C556" t="s">
        <v>4454</v>
      </c>
      <c r="E556" t="s">
        <v>2930</v>
      </c>
      <c r="F556">
        <v>2042954</v>
      </c>
      <c r="H556">
        <v>908145225</v>
      </c>
      <c r="I556">
        <v>30</v>
      </c>
      <c r="J556" s="98">
        <v>0.5</v>
      </c>
      <c r="K556" s="79">
        <v>46144.875</v>
      </c>
      <c r="M556" t="s">
        <v>2910</v>
      </c>
      <c r="N556" s="99">
        <v>46058</v>
      </c>
      <c r="P556" t="s">
        <v>4444</v>
      </c>
      <c r="Q556" t="s">
        <v>967</v>
      </c>
      <c r="R556" t="s">
        <v>3013</v>
      </c>
      <c r="S556" t="s">
        <v>1868</v>
      </c>
      <c r="T556" t="s">
        <v>2974</v>
      </c>
      <c r="V556" t="s">
        <v>2965</v>
      </c>
      <c r="X556" t="s">
        <v>2914</v>
      </c>
    </row>
    <row r="557" spans="1:24" ht="16" customHeight="1" x14ac:dyDescent="0.6">
      <c r="A557" t="s">
        <v>4455</v>
      </c>
      <c r="B557" t="s">
        <v>17</v>
      </c>
      <c r="C557" t="s">
        <v>2969</v>
      </c>
      <c r="E557" t="s">
        <v>2930</v>
      </c>
      <c r="F557">
        <v>3120451</v>
      </c>
      <c r="G557" t="s">
        <v>4456</v>
      </c>
      <c r="H557">
        <v>369085819</v>
      </c>
      <c r="I557">
        <v>20</v>
      </c>
      <c r="J557" s="98">
        <v>0.5</v>
      </c>
      <c r="K557" s="79">
        <v>46144.895833333336</v>
      </c>
      <c r="L557" t="s">
        <v>4457</v>
      </c>
      <c r="M557" t="s">
        <v>2910</v>
      </c>
      <c r="N557" s="99">
        <v>46058</v>
      </c>
      <c r="P557" t="s">
        <v>4425</v>
      </c>
      <c r="Q557" t="s">
        <v>967</v>
      </c>
      <c r="R557" t="s">
        <v>2932</v>
      </c>
      <c r="S557" t="s">
        <v>1868</v>
      </c>
      <c r="T557" t="s">
        <v>2933</v>
      </c>
      <c r="V557" t="s">
        <v>2965</v>
      </c>
      <c r="X557" t="s">
        <v>2914</v>
      </c>
    </row>
    <row r="558" spans="1:24" ht="16" customHeight="1" x14ac:dyDescent="0.6">
      <c r="A558" t="s">
        <v>4458</v>
      </c>
      <c r="B558" t="s">
        <v>17</v>
      </c>
      <c r="C558" t="s">
        <v>2924</v>
      </c>
      <c r="E558" t="s">
        <v>2917</v>
      </c>
      <c r="F558">
        <v>3126307</v>
      </c>
      <c r="G558" t="s">
        <v>4108</v>
      </c>
      <c r="H558">
        <v>794289382</v>
      </c>
      <c r="I558">
        <v>50</v>
      </c>
      <c r="J558" s="98">
        <v>1</v>
      </c>
      <c r="K558" s="79">
        <v>46144.9375</v>
      </c>
      <c r="M558" t="s">
        <v>2910</v>
      </c>
      <c r="N558" s="99">
        <v>46058</v>
      </c>
      <c r="P558" t="s">
        <v>4459</v>
      </c>
      <c r="Q558" t="s">
        <v>967</v>
      </c>
      <c r="R558" t="s">
        <v>3173</v>
      </c>
      <c r="S558" t="s">
        <v>1868</v>
      </c>
      <c r="T558" t="s">
        <v>4460</v>
      </c>
      <c r="V558" t="s">
        <v>2965</v>
      </c>
      <c r="X558" t="s">
        <v>2914</v>
      </c>
    </row>
    <row r="559" spans="1:24" ht="16" customHeight="1" x14ac:dyDescent="0.6">
      <c r="A559" t="s">
        <v>4461</v>
      </c>
      <c r="B559" t="s">
        <v>17</v>
      </c>
      <c r="C559" t="s">
        <v>2976</v>
      </c>
      <c r="E559" t="s">
        <v>2917</v>
      </c>
      <c r="F559">
        <v>1871696</v>
      </c>
      <c r="H559">
        <v>774688086</v>
      </c>
      <c r="I559">
        <v>50</v>
      </c>
      <c r="J559" s="98">
        <v>1</v>
      </c>
      <c r="K559" s="79">
        <v>46144.927083333336</v>
      </c>
      <c r="M559" t="s">
        <v>2910</v>
      </c>
      <c r="N559" s="99">
        <v>46058</v>
      </c>
      <c r="P559" t="s">
        <v>4462</v>
      </c>
      <c r="Q559" t="s">
        <v>1356</v>
      </c>
      <c r="R559" t="s">
        <v>3618</v>
      </c>
      <c r="S559" t="s">
        <v>1868</v>
      </c>
      <c r="T559" t="s">
        <v>3619</v>
      </c>
      <c r="X559" t="s">
        <v>2914</v>
      </c>
    </row>
    <row r="560" spans="1:24" ht="16" customHeight="1" x14ac:dyDescent="0.6">
      <c r="A560" t="s">
        <v>4463</v>
      </c>
      <c r="B560" t="s">
        <v>17</v>
      </c>
      <c r="C560" t="s">
        <v>3036</v>
      </c>
      <c r="E560" t="s">
        <v>2909</v>
      </c>
      <c r="F560">
        <v>3146332</v>
      </c>
      <c r="H560">
        <v>973082002</v>
      </c>
      <c r="I560">
        <v>80</v>
      </c>
      <c r="J560" s="98">
        <v>0.5</v>
      </c>
      <c r="K560" s="79">
        <v>46144.9375</v>
      </c>
      <c r="M560" t="s">
        <v>2910</v>
      </c>
      <c r="N560" s="99">
        <v>46058</v>
      </c>
      <c r="P560" t="s">
        <v>4464</v>
      </c>
      <c r="Q560" t="s">
        <v>967</v>
      </c>
      <c r="R560" t="s">
        <v>3058</v>
      </c>
      <c r="S560" t="s">
        <v>1868</v>
      </c>
      <c r="T560" t="s">
        <v>4465</v>
      </c>
      <c r="V560" t="s">
        <v>202</v>
      </c>
      <c r="X560" t="s">
        <v>2914</v>
      </c>
    </row>
    <row r="561" spans="1:24" ht="16" customHeight="1" x14ac:dyDescent="0.6">
      <c r="A561" t="s">
        <v>4466</v>
      </c>
      <c r="B561" t="s">
        <v>17</v>
      </c>
      <c r="C561" t="s">
        <v>2957</v>
      </c>
      <c r="E561" t="s">
        <v>2930</v>
      </c>
      <c r="F561">
        <v>1802852</v>
      </c>
      <c r="H561">
        <v>974607460</v>
      </c>
      <c r="I561">
        <v>100</v>
      </c>
      <c r="J561" s="98">
        <v>1</v>
      </c>
      <c r="K561" s="79">
        <v>46144.208333333336</v>
      </c>
      <c r="M561" t="s">
        <v>2910</v>
      </c>
      <c r="N561" s="99">
        <v>46086</v>
      </c>
      <c r="O561" s="75">
        <v>0.23958333333333334</v>
      </c>
      <c r="P561" t="s">
        <v>4467</v>
      </c>
      <c r="X561" t="s">
        <v>2914</v>
      </c>
    </row>
    <row r="562" spans="1:24" ht="16" customHeight="1" x14ac:dyDescent="0.6">
      <c r="A562" t="s">
        <v>4468</v>
      </c>
      <c r="B562" t="s">
        <v>17</v>
      </c>
      <c r="C562" t="s">
        <v>2924</v>
      </c>
      <c r="E562" t="s">
        <v>2909</v>
      </c>
      <c r="F562">
        <v>3126307</v>
      </c>
      <c r="H562">
        <v>388910849</v>
      </c>
      <c r="I562">
        <v>20</v>
      </c>
      <c r="J562" s="98">
        <v>1</v>
      </c>
      <c r="K562" s="79">
        <v>46145.208333333336</v>
      </c>
      <c r="M562" t="s">
        <v>2910</v>
      </c>
      <c r="N562" s="99">
        <v>46086</v>
      </c>
      <c r="O562" s="75">
        <v>0.20833333333333334</v>
      </c>
      <c r="P562" t="s">
        <v>4469</v>
      </c>
      <c r="X562" t="s">
        <v>2914</v>
      </c>
    </row>
    <row r="563" spans="1:24" ht="16" customHeight="1" x14ac:dyDescent="0.6">
      <c r="A563" t="s">
        <v>4470</v>
      </c>
      <c r="B563" t="s">
        <v>17</v>
      </c>
      <c r="C563" t="s">
        <v>2957</v>
      </c>
      <c r="E563" t="s">
        <v>2930</v>
      </c>
      <c r="F563">
        <v>3153015</v>
      </c>
      <c r="H563">
        <v>973797545</v>
      </c>
      <c r="I563">
        <v>100</v>
      </c>
      <c r="J563" s="98">
        <v>1</v>
      </c>
      <c r="K563" s="79">
        <v>46146.208333333336</v>
      </c>
      <c r="M563" t="s">
        <v>2910</v>
      </c>
      <c r="N563" s="99">
        <v>46117</v>
      </c>
      <c r="O563" s="75">
        <v>0.20833333333333334</v>
      </c>
      <c r="P563" t="s">
        <v>4471</v>
      </c>
      <c r="Q563" t="s">
        <v>967</v>
      </c>
      <c r="X563" t="s">
        <v>2914</v>
      </c>
    </row>
    <row r="564" spans="1:24" ht="16" customHeight="1" x14ac:dyDescent="0.6">
      <c r="A564" t="s">
        <v>4472</v>
      </c>
      <c r="B564" t="s">
        <v>17</v>
      </c>
      <c r="C564" t="s">
        <v>2976</v>
      </c>
      <c r="E564" t="s">
        <v>2917</v>
      </c>
      <c r="F564">
        <v>1871696</v>
      </c>
      <c r="H564">
        <v>774688086</v>
      </c>
      <c r="I564">
        <v>100</v>
      </c>
      <c r="J564" s="98">
        <v>1</v>
      </c>
      <c r="K564" s="79">
        <v>46145.916666666664</v>
      </c>
      <c r="M564" t="s">
        <v>3029</v>
      </c>
      <c r="N564" s="99">
        <v>46086</v>
      </c>
      <c r="X564" t="s">
        <v>2914</v>
      </c>
    </row>
    <row r="565" spans="1:24" ht="16" customHeight="1" x14ac:dyDescent="0.6">
      <c r="A565" t="s">
        <v>4473</v>
      </c>
      <c r="B565" t="s">
        <v>17</v>
      </c>
      <c r="C565" t="s">
        <v>3093</v>
      </c>
      <c r="E565" t="s">
        <v>2930</v>
      </c>
      <c r="F565">
        <v>1872928</v>
      </c>
      <c r="H565">
        <v>344176032</v>
      </c>
      <c r="I565">
        <v>70</v>
      </c>
      <c r="J565" s="98">
        <v>0.75</v>
      </c>
      <c r="K565" s="79">
        <v>46146.895833333336</v>
      </c>
      <c r="M565" t="s">
        <v>2910</v>
      </c>
      <c r="N565" s="99">
        <v>46117</v>
      </c>
      <c r="P565" t="s">
        <v>3135</v>
      </c>
      <c r="X565" t="s">
        <v>2914</v>
      </c>
    </row>
    <row r="566" spans="1:24" ht="16" customHeight="1" x14ac:dyDescent="0.6">
      <c r="A566" t="s">
        <v>4474</v>
      </c>
      <c r="B566" t="s">
        <v>17</v>
      </c>
      <c r="C566" t="s">
        <v>3311</v>
      </c>
      <c r="E566" t="s">
        <v>2917</v>
      </c>
      <c r="F566">
        <v>3044380</v>
      </c>
      <c r="G566" t="s">
        <v>3312</v>
      </c>
      <c r="H566">
        <v>794980050</v>
      </c>
      <c r="I566">
        <v>100</v>
      </c>
      <c r="J566" s="98">
        <v>1</v>
      </c>
      <c r="K566" s="79">
        <v>46146.875</v>
      </c>
      <c r="M566" t="s">
        <v>2910</v>
      </c>
      <c r="N566" s="99">
        <v>46117</v>
      </c>
      <c r="P566" t="s">
        <v>4475</v>
      </c>
      <c r="X566" t="s">
        <v>2914</v>
      </c>
    </row>
    <row r="567" spans="1:24" ht="16" customHeight="1" x14ac:dyDescent="0.6">
      <c r="A567" t="s">
        <v>4476</v>
      </c>
      <c r="B567" t="s">
        <v>17</v>
      </c>
      <c r="C567" t="s">
        <v>3129</v>
      </c>
      <c r="E567" t="s">
        <v>2930</v>
      </c>
      <c r="F567">
        <v>1882650</v>
      </c>
      <c r="G567" t="s">
        <v>4234</v>
      </c>
      <c r="H567">
        <v>775748473</v>
      </c>
      <c r="I567">
        <v>100</v>
      </c>
      <c r="J567" s="98">
        <v>1</v>
      </c>
      <c r="K567" s="79">
        <v>46146.791666666664</v>
      </c>
      <c r="M567" t="s">
        <v>2910</v>
      </c>
      <c r="N567" s="99">
        <v>46117</v>
      </c>
      <c r="O567" s="75">
        <v>0.88541666666666663</v>
      </c>
      <c r="P567" t="s">
        <v>4477</v>
      </c>
      <c r="Q567" t="s">
        <v>1356</v>
      </c>
      <c r="R567" s="73" t="s">
        <v>4478</v>
      </c>
      <c r="S567" t="s">
        <v>1868</v>
      </c>
      <c r="T567" t="s">
        <v>4479</v>
      </c>
      <c r="V567" t="s">
        <v>2965</v>
      </c>
      <c r="X567" t="s">
        <v>2914</v>
      </c>
    </row>
    <row r="568" spans="1:24" ht="16" customHeight="1" x14ac:dyDescent="0.6">
      <c r="A568" t="s">
        <v>4480</v>
      </c>
      <c r="B568" t="s">
        <v>17</v>
      </c>
      <c r="C568" t="s">
        <v>3314</v>
      </c>
      <c r="D568" t="s">
        <v>3315</v>
      </c>
      <c r="E568" t="s">
        <v>2917</v>
      </c>
      <c r="F568">
        <v>3083614</v>
      </c>
      <c r="H568">
        <v>987725335</v>
      </c>
      <c r="I568">
        <v>100</v>
      </c>
      <c r="J568" s="98">
        <v>1</v>
      </c>
      <c r="K568" s="79">
        <v>46146.9375</v>
      </c>
      <c r="M568" t="s">
        <v>2910</v>
      </c>
      <c r="N568" s="99">
        <v>46117</v>
      </c>
      <c r="P568" t="s">
        <v>3316</v>
      </c>
      <c r="X568" t="s">
        <v>2914</v>
      </c>
    </row>
    <row r="569" spans="1:24" ht="16" customHeight="1" x14ac:dyDescent="0.6">
      <c r="A569" t="s">
        <v>4481</v>
      </c>
      <c r="B569" t="s">
        <v>17</v>
      </c>
      <c r="C569" t="s">
        <v>3142</v>
      </c>
      <c r="E569" t="s">
        <v>2930</v>
      </c>
      <c r="F569">
        <v>1714094</v>
      </c>
      <c r="G569" t="s">
        <v>3143</v>
      </c>
      <c r="H569">
        <v>961790126</v>
      </c>
      <c r="I569">
        <v>100</v>
      </c>
      <c r="J569" s="98">
        <v>1</v>
      </c>
      <c r="K569" s="79">
        <v>46146.875</v>
      </c>
      <c r="M569" t="s">
        <v>2910</v>
      </c>
      <c r="N569" s="99">
        <v>46117</v>
      </c>
      <c r="O569" s="75">
        <v>0.90625</v>
      </c>
      <c r="P569" t="s">
        <v>4482</v>
      </c>
      <c r="Q569" t="s">
        <v>967</v>
      </c>
      <c r="R569" t="s">
        <v>4483</v>
      </c>
      <c r="S569" t="s">
        <v>1868</v>
      </c>
      <c r="T569" t="s">
        <v>4460</v>
      </c>
      <c r="V569" t="s">
        <v>2965</v>
      </c>
      <c r="X569" t="s">
        <v>2914</v>
      </c>
    </row>
    <row r="570" spans="1:24" ht="16" customHeight="1" x14ac:dyDescent="0.6">
      <c r="A570" t="s">
        <v>4484</v>
      </c>
      <c r="B570" t="s">
        <v>17</v>
      </c>
      <c r="C570" t="s">
        <v>2916</v>
      </c>
      <c r="E570" t="s">
        <v>2917</v>
      </c>
      <c r="F570">
        <v>3070766</v>
      </c>
      <c r="G570" t="s">
        <v>3684</v>
      </c>
      <c r="H570">
        <v>376156434</v>
      </c>
      <c r="I570">
        <v>100</v>
      </c>
      <c r="J570" s="98">
        <v>1</v>
      </c>
      <c r="K570" s="79">
        <v>46146.916666666664</v>
      </c>
      <c r="M570" t="s">
        <v>2910</v>
      </c>
      <c r="N570" s="99">
        <v>46117</v>
      </c>
      <c r="P570" t="s">
        <v>3891</v>
      </c>
      <c r="X570" t="s">
        <v>2914</v>
      </c>
    </row>
    <row r="571" spans="1:24" ht="16" customHeight="1" x14ac:dyDescent="0.6">
      <c r="A571" t="s">
        <v>4485</v>
      </c>
      <c r="B571" t="s">
        <v>17</v>
      </c>
      <c r="C571" t="s">
        <v>4486</v>
      </c>
      <c r="E571" t="s">
        <v>2917</v>
      </c>
      <c r="F571">
        <v>3071201</v>
      </c>
      <c r="H571">
        <v>385246347</v>
      </c>
      <c r="I571">
        <v>100</v>
      </c>
      <c r="J571" s="98">
        <v>1</v>
      </c>
      <c r="K571" s="79">
        <v>46146.9375</v>
      </c>
      <c r="M571" t="s">
        <v>2910</v>
      </c>
      <c r="N571" s="99">
        <v>46117</v>
      </c>
      <c r="P571" t="s">
        <v>4487</v>
      </c>
      <c r="X571" t="s">
        <v>2914</v>
      </c>
    </row>
    <row r="572" spans="1:24" ht="16" customHeight="1" x14ac:dyDescent="0.6">
      <c r="A572" t="s">
        <v>4488</v>
      </c>
      <c r="B572" t="s">
        <v>17</v>
      </c>
      <c r="C572" t="s">
        <v>3055</v>
      </c>
      <c r="E572" t="s">
        <v>2930</v>
      </c>
      <c r="F572">
        <v>3152447</v>
      </c>
      <c r="H572">
        <v>914595782</v>
      </c>
      <c r="I572">
        <v>50</v>
      </c>
      <c r="J572" s="98">
        <v>0.75</v>
      </c>
      <c r="K572" s="79">
        <v>46146.927083333336</v>
      </c>
      <c r="M572" t="s">
        <v>2910</v>
      </c>
      <c r="N572" s="99">
        <v>46117</v>
      </c>
      <c r="P572" t="s">
        <v>3358</v>
      </c>
      <c r="X572" t="s">
        <v>2914</v>
      </c>
    </row>
    <row r="573" spans="1:24" ht="16" customHeight="1" x14ac:dyDescent="0.6">
      <c r="A573" t="s">
        <v>4489</v>
      </c>
      <c r="B573" t="s">
        <v>17</v>
      </c>
      <c r="C573" t="s">
        <v>2994</v>
      </c>
      <c r="E573" t="s">
        <v>2909</v>
      </c>
      <c r="F573">
        <v>3023633</v>
      </c>
      <c r="G573" t="s">
        <v>4064</v>
      </c>
      <c r="H573">
        <v>936207489</v>
      </c>
      <c r="I573">
        <v>60</v>
      </c>
      <c r="J573" s="98">
        <v>1</v>
      </c>
      <c r="K573" s="79">
        <v>46146.927083333336</v>
      </c>
      <c r="M573" t="s">
        <v>2910</v>
      </c>
      <c r="N573" s="99">
        <v>46117</v>
      </c>
      <c r="O573" s="75">
        <v>0.91666666666666663</v>
      </c>
      <c r="P573" t="s">
        <v>4490</v>
      </c>
      <c r="Q573" t="s">
        <v>967</v>
      </c>
      <c r="R573" t="s">
        <v>2996</v>
      </c>
      <c r="S573" t="s">
        <v>1868</v>
      </c>
      <c r="T573" t="s">
        <v>2997</v>
      </c>
      <c r="V573" t="s">
        <v>202</v>
      </c>
      <c r="X573" t="s">
        <v>2914</v>
      </c>
    </row>
    <row r="574" spans="1:24" ht="16" customHeight="1" x14ac:dyDescent="0.6">
      <c r="A574" t="s">
        <v>4491</v>
      </c>
      <c r="B574" t="s">
        <v>17</v>
      </c>
      <c r="C574" t="s">
        <v>3036</v>
      </c>
      <c r="E574" t="s">
        <v>2909</v>
      </c>
      <c r="F574">
        <v>3146332</v>
      </c>
      <c r="H574">
        <v>973082002</v>
      </c>
      <c r="I574">
        <v>80</v>
      </c>
      <c r="J574" s="98">
        <v>0.75</v>
      </c>
      <c r="K574" s="79">
        <v>46146.9375</v>
      </c>
      <c r="M574" t="s">
        <v>2910</v>
      </c>
      <c r="N574" s="99">
        <v>46117</v>
      </c>
      <c r="P574" t="s">
        <v>4492</v>
      </c>
      <c r="Q574" t="s">
        <v>967</v>
      </c>
      <c r="R574" t="s">
        <v>3038</v>
      </c>
      <c r="S574" t="s">
        <v>1868</v>
      </c>
      <c r="T574" t="s">
        <v>3039</v>
      </c>
      <c r="V574" t="s">
        <v>202</v>
      </c>
      <c r="X574" t="s">
        <v>2914</v>
      </c>
    </row>
    <row r="575" spans="1:24" ht="16" customHeight="1" x14ac:dyDescent="0.6">
      <c r="A575" t="s">
        <v>4493</v>
      </c>
      <c r="B575" t="s">
        <v>17</v>
      </c>
      <c r="C575" t="s">
        <v>3258</v>
      </c>
      <c r="E575" t="s">
        <v>2930</v>
      </c>
      <c r="F575">
        <v>3109385</v>
      </c>
      <c r="H575">
        <v>966006271</v>
      </c>
      <c r="I575">
        <v>100</v>
      </c>
      <c r="J575" s="98">
        <v>1</v>
      </c>
      <c r="K575" s="79">
        <v>46146.895833333336</v>
      </c>
      <c r="M575" t="s">
        <v>2910</v>
      </c>
      <c r="N575" s="99">
        <v>46117</v>
      </c>
      <c r="P575" t="s">
        <v>4494</v>
      </c>
      <c r="X575" t="s">
        <v>2914</v>
      </c>
    </row>
    <row r="576" spans="1:24" ht="16" customHeight="1" x14ac:dyDescent="0.6">
      <c r="A576" t="s">
        <v>4495</v>
      </c>
      <c r="B576" t="s">
        <v>17</v>
      </c>
      <c r="C576" t="s">
        <v>2939</v>
      </c>
      <c r="E576" t="s">
        <v>2917</v>
      </c>
      <c r="F576">
        <v>3152551</v>
      </c>
      <c r="H576">
        <v>866782808</v>
      </c>
      <c r="I576">
        <v>200</v>
      </c>
      <c r="J576" s="98">
        <v>1</v>
      </c>
      <c r="K576" s="79">
        <v>46146.916666666664</v>
      </c>
      <c r="L576" t="s">
        <v>3234</v>
      </c>
      <c r="M576" t="s">
        <v>2910</v>
      </c>
      <c r="N576" s="99">
        <v>46117</v>
      </c>
      <c r="P576" t="s">
        <v>4496</v>
      </c>
      <c r="R576" t="s">
        <v>4497</v>
      </c>
      <c r="X576" t="s">
        <v>2914</v>
      </c>
    </row>
    <row r="577" spans="1:24" ht="16" customHeight="1" x14ac:dyDescent="0.6">
      <c r="A577" t="s">
        <v>4498</v>
      </c>
      <c r="B577" t="s">
        <v>17</v>
      </c>
      <c r="C577" t="s">
        <v>2976</v>
      </c>
      <c r="E577" t="s">
        <v>2917</v>
      </c>
      <c r="F577">
        <v>1871696</v>
      </c>
      <c r="H577">
        <v>774688086</v>
      </c>
      <c r="I577">
        <v>200</v>
      </c>
      <c r="J577" t="s">
        <v>2919</v>
      </c>
      <c r="K577" s="79">
        <v>46146.895833333336</v>
      </c>
      <c r="M577" t="s">
        <v>2910</v>
      </c>
      <c r="N577" s="99">
        <v>46117</v>
      </c>
      <c r="O577" s="75">
        <v>0.90625</v>
      </c>
      <c r="P577" t="s">
        <v>4499</v>
      </c>
      <c r="Q577" t="s">
        <v>967</v>
      </c>
      <c r="R577" t="s">
        <v>3468</v>
      </c>
      <c r="T577" t="s">
        <v>3469</v>
      </c>
      <c r="V577" t="s">
        <v>2965</v>
      </c>
      <c r="X577" t="s">
        <v>2914</v>
      </c>
    </row>
    <row r="578" spans="1:24" ht="16" customHeight="1" x14ac:dyDescent="0.6">
      <c r="A578" t="s">
        <v>4500</v>
      </c>
      <c r="B578" t="s">
        <v>17</v>
      </c>
      <c r="C578" t="s">
        <v>3217</v>
      </c>
      <c r="E578" t="s">
        <v>2917</v>
      </c>
      <c r="F578">
        <v>3138935</v>
      </c>
      <c r="H578">
        <v>707613027</v>
      </c>
      <c r="I578">
        <v>100</v>
      </c>
      <c r="J578" s="98">
        <v>0.75</v>
      </c>
      <c r="K578" s="79">
        <v>46146.916666666664</v>
      </c>
      <c r="L578" t="s">
        <v>4037</v>
      </c>
      <c r="M578" t="s">
        <v>2910</v>
      </c>
      <c r="N578" s="99">
        <v>46117</v>
      </c>
      <c r="P578" t="s">
        <v>4501</v>
      </c>
      <c r="R578" t="s">
        <v>4497</v>
      </c>
      <c r="X578" t="s">
        <v>2914</v>
      </c>
    </row>
    <row r="579" spans="1:24" ht="16" customHeight="1" x14ac:dyDescent="0.6">
      <c r="A579" t="s">
        <v>4502</v>
      </c>
      <c r="B579" t="s">
        <v>17</v>
      </c>
      <c r="C579" t="s">
        <v>4503</v>
      </c>
      <c r="D579">
        <v>21428000</v>
      </c>
      <c r="E579" t="s">
        <v>2930</v>
      </c>
      <c r="F579">
        <v>3156702</v>
      </c>
      <c r="H579">
        <v>869572421</v>
      </c>
      <c r="I579">
        <v>100</v>
      </c>
      <c r="J579" s="98">
        <v>1</v>
      </c>
      <c r="K579" s="79">
        <v>46146.958333333336</v>
      </c>
      <c r="M579" t="s">
        <v>2955</v>
      </c>
      <c r="X579" t="s">
        <v>2914</v>
      </c>
    </row>
    <row r="580" spans="1:24" ht="16" customHeight="1" x14ac:dyDescent="0.6">
      <c r="A580" t="s">
        <v>4504</v>
      </c>
      <c r="B580" t="s">
        <v>17</v>
      </c>
      <c r="C580" t="s">
        <v>3179</v>
      </c>
      <c r="E580" t="s">
        <v>2909</v>
      </c>
      <c r="F580">
        <v>3149706</v>
      </c>
      <c r="G580" t="s">
        <v>3180</v>
      </c>
      <c r="H580">
        <v>706395955</v>
      </c>
      <c r="I580">
        <v>150</v>
      </c>
      <c r="J580" s="98">
        <v>1</v>
      </c>
      <c r="K580" s="79">
        <v>46146.895833333336</v>
      </c>
      <c r="M580" t="s">
        <v>2910</v>
      </c>
      <c r="N580" s="99">
        <v>46117</v>
      </c>
      <c r="O580" s="75">
        <v>0.91666666666666663</v>
      </c>
      <c r="P580" t="s">
        <v>4505</v>
      </c>
      <c r="Q580" t="s">
        <v>967</v>
      </c>
      <c r="R580" t="s">
        <v>2937</v>
      </c>
      <c r="S580" t="s">
        <v>1868</v>
      </c>
      <c r="T580" t="s">
        <v>2960</v>
      </c>
      <c r="V580" t="s">
        <v>202</v>
      </c>
      <c r="X580" t="s">
        <v>2914</v>
      </c>
    </row>
    <row r="581" spans="1:24" ht="16" customHeight="1" x14ac:dyDescent="0.6">
      <c r="A581" t="s">
        <v>4506</v>
      </c>
      <c r="B581" t="s">
        <v>17</v>
      </c>
      <c r="C581" t="s">
        <v>3049</v>
      </c>
      <c r="E581" t="s">
        <v>2909</v>
      </c>
      <c r="F581">
        <v>3074147</v>
      </c>
      <c r="H581">
        <v>945806398</v>
      </c>
      <c r="I581">
        <v>50</v>
      </c>
      <c r="J581" s="98">
        <v>0.5</v>
      </c>
      <c r="K581" s="79">
        <v>46146.895833333336</v>
      </c>
      <c r="L581" t="s">
        <v>3234</v>
      </c>
      <c r="M581" t="s">
        <v>2910</v>
      </c>
      <c r="N581" s="99">
        <v>46117</v>
      </c>
      <c r="O581" s="75">
        <v>0.90625</v>
      </c>
      <c r="P581" t="s">
        <v>4507</v>
      </c>
      <c r="Q581" t="s">
        <v>967</v>
      </c>
      <c r="R581" t="s">
        <v>2978</v>
      </c>
      <c r="S581" t="s">
        <v>1868</v>
      </c>
      <c r="T581" t="s">
        <v>2979</v>
      </c>
      <c r="V581" t="s">
        <v>202</v>
      </c>
      <c r="X581" t="s">
        <v>2914</v>
      </c>
    </row>
    <row r="582" spans="1:24" ht="16" customHeight="1" x14ac:dyDescent="0.6">
      <c r="A582" t="s">
        <v>4508</v>
      </c>
      <c r="B582" t="s">
        <v>17</v>
      </c>
      <c r="C582" t="s">
        <v>2969</v>
      </c>
      <c r="E582" t="s">
        <v>2917</v>
      </c>
      <c r="F582">
        <v>3120451</v>
      </c>
      <c r="G582" t="s">
        <v>4456</v>
      </c>
      <c r="H582">
        <v>369085819</v>
      </c>
      <c r="I582">
        <v>60</v>
      </c>
      <c r="J582" s="98">
        <v>1</v>
      </c>
      <c r="K582" s="79">
        <v>46146.916666666664</v>
      </c>
      <c r="M582" t="s">
        <v>2910</v>
      </c>
      <c r="N582" s="99">
        <v>46117</v>
      </c>
      <c r="P582" t="s">
        <v>4509</v>
      </c>
      <c r="R582" t="s">
        <v>4497</v>
      </c>
      <c r="X582" t="s">
        <v>2914</v>
      </c>
    </row>
    <row r="583" spans="1:24" ht="16" customHeight="1" x14ac:dyDescent="0.6">
      <c r="A583" t="s">
        <v>4510</v>
      </c>
      <c r="B583" t="s">
        <v>17</v>
      </c>
      <c r="C583" t="s">
        <v>2935</v>
      </c>
      <c r="E583" t="s">
        <v>2930</v>
      </c>
      <c r="F583">
        <v>3168214</v>
      </c>
      <c r="H583">
        <v>909262240</v>
      </c>
      <c r="I583">
        <v>50</v>
      </c>
      <c r="J583" s="98">
        <v>0.5</v>
      </c>
      <c r="K583" s="79">
        <v>46146.916666666664</v>
      </c>
      <c r="M583" t="s">
        <v>2910</v>
      </c>
      <c r="N583" s="99">
        <v>46117</v>
      </c>
      <c r="P583" t="s">
        <v>4511</v>
      </c>
      <c r="R583" t="s">
        <v>4497</v>
      </c>
      <c r="X583" t="s">
        <v>2914</v>
      </c>
    </row>
    <row r="584" spans="1:24" ht="16" customHeight="1" x14ac:dyDescent="0.6">
      <c r="A584" t="s">
        <v>4512</v>
      </c>
      <c r="B584" t="s">
        <v>17</v>
      </c>
      <c r="C584" t="s">
        <v>3022</v>
      </c>
      <c r="E584" t="s">
        <v>2930</v>
      </c>
      <c r="F584">
        <v>3135714</v>
      </c>
      <c r="H584">
        <v>333124453</v>
      </c>
      <c r="I584">
        <v>300</v>
      </c>
      <c r="J584" s="98">
        <v>0.75</v>
      </c>
      <c r="K584" s="79">
        <v>46146.916666666664</v>
      </c>
      <c r="L584" t="s">
        <v>4513</v>
      </c>
      <c r="M584" t="s">
        <v>2910</v>
      </c>
      <c r="N584" s="99">
        <v>46117</v>
      </c>
      <c r="P584" t="s">
        <v>3177</v>
      </c>
      <c r="R584" t="s">
        <v>4497</v>
      </c>
      <c r="X584" t="s">
        <v>2914</v>
      </c>
    </row>
    <row r="585" spans="1:24" ht="16" customHeight="1" x14ac:dyDescent="0.6">
      <c r="A585" t="s">
        <v>4514</v>
      </c>
      <c r="B585" t="s">
        <v>17</v>
      </c>
      <c r="C585" t="s">
        <v>2976</v>
      </c>
      <c r="E585" t="s">
        <v>2917</v>
      </c>
      <c r="F585">
        <v>1871696</v>
      </c>
      <c r="H585">
        <v>774688086</v>
      </c>
      <c r="I585">
        <v>200</v>
      </c>
      <c r="J585" t="s">
        <v>2919</v>
      </c>
      <c r="K585" s="79">
        <v>46146.9375</v>
      </c>
      <c r="M585" t="s">
        <v>2910</v>
      </c>
      <c r="N585" s="99">
        <v>46117</v>
      </c>
      <c r="O585" s="75">
        <v>0.94791666666666663</v>
      </c>
      <c r="P585" t="s">
        <v>4515</v>
      </c>
      <c r="Q585" t="s">
        <v>967</v>
      </c>
      <c r="R585" t="s">
        <v>3529</v>
      </c>
      <c r="S585" t="s">
        <v>1868</v>
      </c>
      <c r="T585" t="s">
        <v>3530</v>
      </c>
      <c r="V585" t="s">
        <v>2947</v>
      </c>
      <c r="X585" t="s">
        <v>2914</v>
      </c>
    </row>
    <row r="586" spans="1:24" ht="16" customHeight="1" x14ac:dyDescent="0.6">
      <c r="A586" t="s">
        <v>4516</v>
      </c>
      <c r="B586" t="s">
        <v>17</v>
      </c>
      <c r="C586" t="s">
        <v>4517</v>
      </c>
      <c r="D586" t="s">
        <v>4518</v>
      </c>
      <c r="E586" t="s">
        <v>2917</v>
      </c>
      <c r="F586">
        <v>2045807</v>
      </c>
      <c r="G586" t="s">
        <v>3767</v>
      </c>
      <c r="H586">
        <v>974273992</v>
      </c>
      <c r="I586">
        <v>200</v>
      </c>
      <c r="J586" s="98">
        <v>1</v>
      </c>
      <c r="K586" s="79">
        <v>46146.9375</v>
      </c>
      <c r="M586" t="s">
        <v>2910</v>
      </c>
      <c r="N586" s="99">
        <v>46117</v>
      </c>
      <c r="P586" t="s">
        <v>4519</v>
      </c>
      <c r="X586" t="s">
        <v>2914</v>
      </c>
    </row>
    <row r="587" spans="1:24" ht="16" customHeight="1" x14ac:dyDescent="0.6">
      <c r="A587" t="s">
        <v>4520</v>
      </c>
      <c r="B587" t="s">
        <v>17</v>
      </c>
      <c r="C587" t="s">
        <v>2986</v>
      </c>
      <c r="E587" t="s">
        <v>2917</v>
      </c>
      <c r="F587">
        <v>1765374</v>
      </c>
      <c r="H587">
        <v>388374599</v>
      </c>
      <c r="I587">
        <v>20</v>
      </c>
      <c r="J587" s="98">
        <v>0.3</v>
      </c>
      <c r="K587" s="79">
        <v>46147.1875</v>
      </c>
      <c r="L587" t="s">
        <v>4521</v>
      </c>
      <c r="M587" t="s">
        <v>2910</v>
      </c>
      <c r="N587" s="99">
        <v>46147</v>
      </c>
      <c r="O587" s="75">
        <v>0.20833333333333334</v>
      </c>
      <c r="Q587" t="s">
        <v>967</v>
      </c>
      <c r="T587" t="s">
        <v>4522</v>
      </c>
      <c r="V587" t="s">
        <v>202</v>
      </c>
      <c r="X587" t="s">
        <v>2914</v>
      </c>
    </row>
    <row r="588" spans="1:24" ht="16" customHeight="1" x14ac:dyDescent="0.6">
      <c r="A588" t="s">
        <v>4523</v>
      </c>
      <c r="B588" t="s">
        <v>17</v>
      </c>
      <c r="C588" t="s">
        <v>2986</v>
      </c>
      <c r="E588" t="s">
        <v>2930</v>
      </c>
      <c r="F588">
        <v>3150112</v>
      </c>
      <c r="G588" t="s">
        <v>3920</v>
      </c>
      <c r="H588">
        <v>965514797</v>
      </c>
      <c r="I588">
        <v>50</v>
      </c>
      <c r="J588" s="98">
        <v>0.5</v>
      </c>
      <c r="K588" s="79">
        <v>46147.1875</v>
      </c>
      <c r="M588" t="s">
        <v>2910</v>
      </c>
      <c r="N588" s="99">
        <v>46147</v>
      </c>
      <c r="O588" s="75">
        <v>0.20833333333333334</v>
      </c>
      <c r="Q588" t="s">
        <v>967</v>
      </c>
      <c r="V588" t="s">
        <v>2965</v>
      </c>
      <c r="X588" t="s">
        <v>2914</v>
      </c>
    </row>
    <row r="589" spans="1:24" ht="16" customHeight="1" x14ac:dyDescent="0.6">
      <c r="A589" t="s">
        <v>4524</v>
      </c>
      <c r="B589" t="s">
        <v>17</v>
      </c>
      <c r="C589" t="s">
        <v>3022</v>
      </c>
      <c r="E589" t="s">
        <v>2917</v>
      </c>
      <c r="F589">
        <v>3135714</v>
      </c>
      <c r="H589">
        <v>333124453</v>
      </c>
      <c r="I589">
        <v>-200</v>
      </c>
      <c r="J589" s="98">
        <v>0.75</v>
      </c>
      <c r="K589" s="79">
        <v>46146.208333333336</v>
      </c>
      <c r="M589" t="s">
        <v>2910</v>
      </c>
      <c r="N589" s="99">
        <v>46147</v>
      </c>
      <c r="O589" s="75">
        <v>0.20833333333333334</v>
      </c>
      <c r="P589" t="s">
        <v>4525</v>
      </c>
      <c r="Q589" t="s">
        <v>4130</v>
      </c>
      <c r="R589" t="s">
        <v>4526</v>
      </c>
      <c r="S589" t="s">
        <v>1868</v>
      </c>
      <c r="T589" t="s">
        <v>4527</v>
      </c>
      <c r="V589" t="s">
        <v>2965</v>
      </c>
      <c r="X589" t="s">
        <v>2914</v>
      </c>
    </row>
    <row r="590" spans="1:24" ht="16" customHeight="1" x14ac:dyDescent="0.6">
      <c r="A590" t="s">
        <v>4528</v>
      </c>
      <c r="B590" t="s">
        <v>17</v>
      </c>
      <c r="C590" t="s">
        <v>3242</v>
      </c>
      <c r="E590" t="s">
        <v>2930</v>
      </c>
      <c r="F590">
        <v>3165452</v>
      </c>
      <c r="H590">
        <v>383527899</v>
      </c>
      <c r="I590">
        <v>60</v>
      </c>
      <c r="J590" s="98">
        <v>1</v>
      </c>
      <c r="K590" s="79">
        <v>46147.208333333336</v>
      </c>
      <c r="M590" t="s">
        <v>2910</v>
      </c>
      <c r="N590" s="99">
        <v>46147</v>
      </c>
      <c r="O590" s="75">
        <v>0.20833333333333334</v>
      </c>
      <c r="P590" t="s">
        <v>4529</v>
      </c>
      <c r="Q590" t="s">
        <v>967</v>
      </c>
      <c r="X590" t="s">
        <v>2914</v>
      </c>
    </row>
    <row r="591" spans="1:24" ht="16" customHeight="1" x14ac:dyDescent="0.6">
      <c r="A591" t="s">
        <v>4530</v>
      </c>
      <c r="B591" t="s">
        <v>17</v>
      </c>
      <c r="C591" t="s">
        <v>2976</v>
      </c>
      <c r="E591" t="s">
        <v>2917</v>
      </c>
      <c r="F591">
        <v>3088973</v>
      </c>
      <c r="G591" t="s">
        <v>4531</v>
      </c>
      <c r="H591">
        <v>399502819</v>
      </c>
      <c r="I591">
        <v>300</v>
      </c>
      <c r="J591" s="98">
        <v>1</v>
      </c>
      <c r="K591" s="79">
        <v>46147.416666666664</v>
      </c>
      <c r="M591" t="s">
        <v>3029</v>
      </c>
      <c r="N591" s="99">
        <v>46147</v>
      </c>
      <c r="X591" t="s">
        <v>2914</v>
      </c>
    </row>
    <row r="592" spans="1:24" ht="16" customHeight="1" x14ac:dyDescent="0.6">
      <c r="A592" t="s">
        <v>4532</v>
      </c>
      <c r="B592" t="s">
        <v>17</v>
      </c>
      <c r="C592" t="s">
        <v>2976</v>
      </c>
      <c r="E592" t="s">
        <v>2917</v>
      </c>
      <c r="F592">
        <v>1871696</v>
      </c>
      <c r="H592">
        <v>774688086</v>
      </c>
      <c r="I592">
        <v>200</v>
      </c>
      <c r="J592" t="s">
        <v>2919</v>
      </c>
      <c r="K592" s="79">
        <v>46147.5</v>
      </c>
      <c r="M592" t="s">
        <v>3029</v>
      </c>
      <c r="N592" s="99">
        <v>46147</v>
      </c>
      <c r="X592" t="s">
        <v>2914</v>
      </c>
    </row>
    <row r="593" spans="1:24" ht="16" customHeight="1" x14ac:dyDescent="0.6">
      <c r="A593" t="s">
        <v>4533</v>
      </c>
      <c r="B593" t="s">
        <v>17</v>
      </c>
      <c r="C593" t="s">
        <v>2994</v>
      </c>
      <c r="E593" t="s">
        <v>2917</v>
      </c>
      <c r="F593">
        <v>2033804</v>
      </c>
      <c r="H593">
        <v>396799427</v>
      </c>
      <c r="I593">
        <v>80</v>
      </c>
      <c r="J593" s="98">
        <v>1</v>
      </c>
      <c r="K593" s="79">
        <v>46147.645833333336</v>
      </c>
      <c r="M593" t="s">
        <v>3029</v>
      </c>
      <c r="N593" s="99">
        <v>46147</v>
      </c>
      <c r="X593" t="s">
        <v>2914</v>
      </c>
    </row>
    <row r="594" spans="1:24" ht="16" customHeight="1" x14ac:dyDescent="0.6">
      <c r="A594" t="s">
        <v>4534</v>
      </c>
      <c r="B594" t="s">
        <v>17</v>
      </c>
      <c r="C594" t="s">
        <v>2986</v>
      </c>
      <c r="E594" t="s">
        <v>2917</v>
      </c>
      <c r="F594">
        <v>3150112</v>
      </c>
      <c r="G594" t="s">
        <v>3920</v>
      </c>
      <c r="H594">
        <v>965514797</v>
      </c>
      <c r="I594">
        <v>150</v>
      </c>
      <c r="J594" s="98">
        <v>1</v>
      </c>
      <c r="K594" s="79">
        <v>46147.645833333336</v>
      </c>
      <c r="L594" t="s">
        <v>4535</v>
      </c>
      <c r="M594" t="s">
        <v>3029</v>
      </c>
      <c r="N594" s="99">
        <v>46147</v>
      </c>
      <c r="X594" t="s">
        <v>2914</v>
      </c>
    </row>
    <row r="595" spans="1:24" ht="16" customHeight="1" x14ac:dyDescent="0.6">
      <c r="A595" t="s">
        <v>4536</v>
      </c>
      <c r="B595" t="s">
        <v>17</v>
      </c>
      <c r="C595" t="s">
        <v>3126</v>
      </c>
      <c r="E595" t="s">
        <v>2930</v>
      </c>
      <c r="F595">
        <v>3124062</v>
      </c>
      <c r="H595">
        <v>966074753</v>
      </c>
      <c r="I595">
        <v>300</v>
      </c>
      <c r="J595" t="s">
        <v>2919</v>
      </c>
      <c r="K595" s="79">
        <v>46147.875</v>
      </c>
      <c r="L595" s="74" t="s">
        <v>4537</v>
      </c>
      <c r="M595" t="s">
        <v>3029</v>
      </c>
      <c r="X595" t="s">
        <v>2914</v>
      </c>
    </row>
    <row r="596" spans="1:24" ht="16" customHeight="1" x14ac:dyDescent="0.6">
      <c r="A596" t="s">
        <v>4538</v>
      </c>
      <c r="B596" t="s">
        <v>17</v>
      </c>
      <c r="C596" t="s">
        <v>3129</v>
      </c>
      <c r="E596" t="s">
        <v>2930</v>
      </c>
      <c r="F596">
        <v>1882650</v>
      </c>
      <c r="G596" t="s">
        <v>4234</v>
      </c>
      <c r="H596">
        <v>775748473</v>
      </c>
      <c r="I596">
        <v>500</v>
      </c>
      <c r="J596" t="s">
        <v>2919</v>
      </c>
      <c r="K596" s="79">
        <v>46147.666666666664</v>
      </c>
      <c r="L596" t="s">
        <v>4539</v>
      </c>
      <c r="M596" t="s">
        <v>2910</v>
      </c>
      <c r="N596" s="99">
        <v>46147</v>
      </c>
      <c r="P596" t="s">
        <v>4540</v>
      </c>
      <c r="Q596" t="s">
        <v>967</v>
      </c>
      <c r="R596" t="s">
        <v>4541</v>
      </c>
      <c r="S596" t="s">
        <v>3339</v>
      </c>
      <c r="T596" t="s">
        <v>4542</v>
      </c>
      <c r="V596" t="s">
        <v>2965</v>
      </c>
      <c r="X596" t="s">
        <v>2914</v>
      </c>
    </row>
    <row r="597" spans="1:24" ht="16" customHeight="1" x14ac:dyDescent="0.6">
      <c r="A597" t="s">
        <v>4543</v>
      </c>
      <c r="B597" t="s">
        <v>17</v>
      </c>
      <c r="C597" t="s">
        <v>3142</v>
      </c>
      <c r="E597" t="s">
        <v>2930</v>
      </c>
      <c r="F597">
        <v>1714094</v>
      </c>
      <c r="G597" t="s">
        <v>3143</v>
      </c>
      <c r="H597">
        <v>961790126</v>
      </c>
      <c r="I597">
        <v>130</v>
      </c>
      <c r="J597" s="98">
        <v>1</v>
      </c>
      <c r="K597" s="79">
        <v>46147.708333333336</v>
      </c>
      <c r="M597" t="s">
        <v>2910</v>
      </c>
      <c r="N597" s="99">
        <v>46147</v>
      </c>
      <c r="O597" s="75">
        <v>0.75</v>
      </c>
      <c r="P597" t="s">
        <v>4544</v>
      </c>
      <c r="Q597" t="s">
        <v>1356</v>
      </c>
      <c r="R597" t="s">
        <v>4331</v>
      </c>
      <c r="S597" t="s">
        <v>1868</v>
      </c>
      <c r="T597" t="s">
        <v>4194</v>
      </c>
      <c r="V597" t="s">
        <v>2965</v>
      </c>
      <c r="X597" t="s">
        <v>2914</v>
      </c>
    </row>
    <row r="598" spans="1:24" ht="16" customHeight="1" x14ac:dyDescent="0.6">
      <c r="A598" t="s">
        <v>4545</v>
      </c>
      <c r="B598" t="s">
        <v>17</v>
      </c>
      <c r="C598" t="s">
        <v>3093</v>
      </c>
      <c r="E598" t="s">
        <v>2930</v>
      </c>
      <c r="F598">
        <v>1872928</v>
      </c>
      <c r="H598">
        <v>344176032</v>
      </c>
      <c r="I598">
        <v>200</v>
      </c>
      <c r="J598" t="s">
        <v>2919</v>
      </c>
      <c r="K598" s="79">
        <v>46147.895833333336</v>
      </c>
      <c r="L598" t="s">
        <v>4546</v>
      </c>
      <c r="M598" t="s">
        <v>2910</v>
      </c>
      <c r="N598" s="99">
        <v>46147</v>
      </c>
      <c r="O598" s="75">
        <v>0.90625</v>
      </c>
      <c r="P598" t="s">
        <v>4547</v>
      </c>
      <c r="Q598" t="s">
        <v>967</v>
      </c>
      <c r="R598" t="s">
        <v>4019</v>
      </c>
      <c r="S598" t="s">
        <v>1868</v>
      </c>
      <c r="T598" t="s">
        <v>3884</v>
      </c>
      <c r="V598" t="s">
        <v>2965</v>
      </c>
      <c r="X598" t="s">
        <v>2914</v>
      </c>
    </row>
    <row r="599" spans="1:24" ht="16" customHeight="1" x14ac:dyDescent="0.6">
      <c r="A599" t="s">
        <v>4548</v>
      </c>
      <c r="B599" t="s">
        <v>17</v>
      </c>
      <c r="C599" t="s">
        <v>3093</v>
      </c>
      <c r="E599" t="s">
        <v>2930</v>
      </c>
      <c r="F599">
        <v>1872928</v>
      </c>
      <c r="H599">
        <v>344176032</v>
      </c>
      <c r="I599">
        <v>200</v>
      </c>
      <c r="J599" t="s">
        <v>2919</v>
      </c>
      <c r="K599" s="79">
        <v>46147.916666666664</v>
      </c>
      <c r="M599" t="s">
        <v>3029</v>
      </c>
      <c r="X599" t="s">
        <v>2914</v>
      </c>
    </row>
    <row r="600" spans="1:24" ht="16" customHeight="1" x14ac:dyDescent="0.6">
      <c r="A600" t="s">
        <v>4549</v>
      </c>
      <c r="B600" t="s">
        <v>17</v>
      </c>
      <c r="C600" t="s">
        <v>2986</v>
      </c>
      <c r="E600" t="s">
        <v>2917</v>
      </c>
      <c r="F600">
        <v>3150112</v>
      </c>
      <c r="G600" t="s">
        <v>3920</v>
      </c>
      <c r="H600">
        <v>965514797</v>
      </c>
      <c r="I600">
        <v>150</v>
      </c>
      <c r="J600" s="98">
        <v>0.75</v>
      </c>
      <c r="K600" s="79">
        <v>46147.875</v>
      </c>
      <c r="M600" t="s">
        <v>2910</v>
      </c>
      <c r="N600" s="99">
        <v>46147</v>
      </c>
      <c r="P600" t="s">
        <v>3886</v>
      </c>
      <c r="X600" t="s">
        <v>2914</v>
      </c>
    </row>
    <row r="601" spans="1:24" ht="16" customHeight="1" x14ac:dyDescent="0.6">
      <c r="A601" t="s">
        <v>4550</v>
      </c>
      <c r="B601" t="s">
        <v>17</v>
      </c>
      <c r="C601" t="s">
        <v>3154</v>
      </c>
      <c r="E601" t="s">
        <v>2930</v>
      </c>
      <c r="F601">
        <v>3110684</v>
      </c>
      <c r="H601">
        <v>931249063</v>
      </c>
      <c r="I601">
        <v>100</v>
      </c>
      <c r="J601" s="98">
        <v>0.75</v>
      </c>
      <c r="K601" s="79">
        <v>46147.833333333336</v>
      </c>
      <c r="M601" t="s">
        <v>2910</v>
      </c>
      <c r="N601" s="99">
        <v>46147</v>
      </c>
      <c r="O601" s="75">
        <v>0.89583333333333337</v>
      </c>
      <c r="P601" t="s">
        <v>4551</v>
      </c>
      <c r="Q601" t="s">
        <v>1356</v>
      </c>
      <c r="R601" t="s">
        <v>4552</v>
      </c>
      <c r="S601" t="s">
        <v>1868</v>
      </c>
      <c r="T601" t="s">
        <v>4553</v>
      </c>
      <c r="V601" t="s">
        <v>2965</v>
      </c>
      <c r="X601" t="s">
        <v>2914</v>
      </c>
    </row>
    <row r="602" spans="1:24" ht="16" customHeight="1" x14ac:dyDescent="0.6">
      <c r="A602" t="s">
        <v>4554</v>
      </c>
      <c r="B602" t="s">
        <v>17</v>
      </c>
      <c r="C602" t="s">
        <v>3247</v>
      </c>
      <c r="E602" t="s">
        <v>2917</v>
      </c>
      <c r="F602">
        <v>3160349</v>
      </c>
      <c r="H602">
        <v>903095687</v>
      </c>
      <c r="I602">
        <v>200</v>
      </c>
      <c r="J602" s="98">
        <v>1</v>
      </c>
      <c r="K602" s="79">
        <v>46147.875</v>
      </c>
      <c r="M602" t="s">
        <v>2910</v>
      </c>
      <c r="N602" s="99">
        <v>46147</v>
      </c>
      <c r="P602" t="s">
        <v>4555</v>
      </c>
      <c r="X602" t="s">
        <v>2914</v>
      </c>
    </row>
    <row r="603" spans="1:24" ht="16" customHeight="1" x14ac:dyDescent="0.6">
      <c r="A603" t="s">
        <v>4556</v>
      </c>
      <c r="B603" t="s">
        <v>17</v>
      </c>
      <c r="C603" t="s">
        <v>2957</v>
      </c>
      <c r="E603" t="s">
        <v>2909</v>
      </c>
      <c r="F603">
        <v>3153015</v>
      </c>
      <c r="H603">
        <v>9737975445</v>
      </c>
      <c r="I603">
        <v>100</v>
      </c>
      <c r="J603" s="98">
        <v>1</v>
      </c>
      <c r="K603" s="79">
        <v>46147.854166666664</v>
      </c>
      <c r="M603" t="s">
        <v>2910</v>
      </c>
      <c r="N603" s="99">
        <v>46147</v>
      </c>
      <c r="O603" s="75">
        <v>0.91666666666666663</v>
      </c>
      <c r="P603" t="s">
        <v>4557</v>
      </c>
      <c r="Q603" t="s">
        <v>967</v>
      </c>
      <c r="R603" t="s">
        <v>2937</v>
      </c>
      <c r="S603" t="s">
        <v>1868</v>
      </c>
      <c r="T603" t="s">
        <v>2960</v>
      </c>
      <c r="V603" t="s">
        <v>202</v>
      </c>
      <c r="X603" t="s">
        <v>2914</v>
      </c>
    </row>
    <row r="604" spans="1:24" ht="16" customHeight="1" x14ac:dyDescent="0.6">
      <c r="A604" t="s">
        <v>4558</v>
      </c>
      <c r="B604" t="s">
        <v>17</v>
      </c>
      <c r="C604" t="s">
        <v>4325</v>
      </c>
      <c r="E604" t="s">
        <v>2909</v>
      </c>
      <c r="F604">
        <v>3034128</v>
      </c>
      <c r="G604" t="s">
        <v>4559</v>
      </c>
      <c r="H604">
        <v>942171659</v>
      </c>
      <c r="I604">
        <v>20</v>
      </c>
      <c r="J604" s="98">
        <v>0.3</v>
      </c>
      <c r="K604" s="79">
        <v>46147.895833333336</v>
      </c>
      <c r="M604" t="s">
        <v>2910</v>
      </c>
      <c r="N604" s="99">
        <v>46147</v>
      </c>
      <c r="P604" t="s">
        <v>4560</v>
      </c>
      <c r="Q604" t="s">
        <v>967</v>
      </c>
      <c r="R604" t="s">
        <v>2978</v>
      </c>
      <c r="S604" t="s">
        <v>1868</v>
      </c>
      <c r="T604" t="s">
        <v>2979</v>
      </c>
      <c r="V604" t="s">
        <v>202</v>
      </c>
      <c r="X604" t="s">
        <v>2914</v>
      </c>
    </row>
    <row r="605" spans="1:24" ht="16" customHeight="1" x14ac:dyDescent="0.6">
      <c r="A605" t="s">
        <v>4561</v>
      </c>
      <c r="B605" t="s">
        <v>17</v>
      </c>
      <c r="C605" t="s">
        <v>3093</v>
      </c>
      <c r="E605" t="s">
        <v>2909</v>
      </c>
      <c r="F605">
        <v>1872928</v>
      </c>
      <c r="H605">
        <v>344176032</v>
      </c>
      <c r="I605">
        <v>50</v>
      </c>
      <c r="J605" s="98">
        <v>0.5</v>
      </c>
      <c r="K605" s="79">
        <v>46147.916666666664</v>
      </c>
      <c r="L605" t="s">
        <v>4562</v>
      </c>
      <c r="M605" t="s">
        <v>2910</v>
      </c>
      <c r="N605" s="99">
        <v>46147</v>
      </c>
      <c r="O605" s="75">
        <v>0.90625</v>
      </c>
      <c r="P605" t="s">
        <v>4563</v>
      </c>
      <c r="Q605" t="s">
        <v>967</v>
      </c>
      <c r="R605" t="s">
        <v>3377</v>
      </c>
      <c r="S605" t="s">
        <v>1868</v>
      </c>
      <c r="T605" t="s">
        <v>4317</v>
      </c>
      <c r="V605" t="s">
        <v>202</v>
      </c>
      <c r="X605" t="s">
        <v>2914</v>
      </c>
    </row>
    <row r="606" spans="1:24" ht="16" customHeight="1" x14ac:dyDescent="0.6">
      <c r="A606" t="s">
        <v>4564</v>
      </c>
      <c r="B606" t="s">
        <v>17</v>
      </c>
      <c r="C606" t="s">
        <v>3126</v>
      </c>
      <c r="E606" t="s">
        <v>2930</v>
      </c>
      <c r="F606">
        <v>3124062</v>
      </c>
      <c r="H606">
        <v>966074753</v>
      </c>
      <c r="I606">
        <v>300</v>
      </c>
      <c r="J606" t="s">
        <v>2919</v>
      </c>
      <c r="K606" s="79">
        <v>46147.916666666664</v>
      </c>
      <c r="L606" s="74" t="s">
        <v>4565</v>
      </c>
      <c r="M606" t="s">
        <v>3029</v>
      </c>
      <c r="X606" t="s">
        <v>2914</v>
      </c>
    </row>
    <row r="607" spans="1:24" ht="16" customHeight="1" x14ac:dyDescent="0.6">
      <c r="A607" t="s">
        <v>4566</v>
      </c>
      <c r="B607" t="s">
        <v>17</v>
      </c>
      <c r="C607" t="s">
        <v>3129</v>
      </c>
      <c r="E607" t="s">
        <v>2930</v>
      </c>
      <c r="F607">
        <v>1882650</v>
      </c>
      <c r="G607" t="s">
        <v>4234</v>
      </c>
      <c r="H607">
        <v>775748473</v>
      </c>
      <c r="I607">
        <v>250</v>
      </c>
      <c r="J607" t="s">
        <v>2919</v>
      </c>
      <c r="K607" s="79">
        <v>46147.854166666664</v>
      </c>
      <c r="L607" t="s">
        <v>4567</v>
      </c>
      <c r="M607" t="s">
        <v>2910</v>
      </c>
      <c r="N607" s="99">
        <v>46147</v>
      </c>
      <c r="O607" s="75">
        <v>0.85416666666666663</v>
      </c>
      <c r="P607" t="s">
        <v>4568</v>
      </c>
      <c r="Q607" t="s">
        <v>1356</v>
      </c>
      <c r="R607" s="73" t="s">
        <v>4478</v>
      </c>
      <c r="S607" t="s">
        <v>1868</v>
      </c>
      <c r="T607" t="s">
        <v>4479</v>
      </c>
      <c r="V607" t="s">
        <v>2965</v>
      </c>
      <c r="X607" t="s">
        <v>2914</v>
      </c>
    </row>
    <row r="608" spans="1:24" ht="16" customHeight="1" x14ac:dyDescent="0.6">
      <c r="A608" t="s">
        <v>4569</v>
      </c>
      <c r="B608" t="s">
        <v>17</v>
      </c>
      <c r="C608" t="s">
        <v>3055</v>
      </c>
      <c r="E608" t="s">
        <v>2930</v>
      </c>
      <c r="F608">
        <v>3152447</v>
      </c>
      <c r="H608">
        <v>914595782</v>
      </c>
      <c r="I608">
        <v>50</v>
      </c>
      <c r="J608" s="98">
        <v>1</v>
      </c>
      <c r="K608" s="79">
        <v>46147.927083333336</v>
      </c>
      <c r="M608" t="s">
        <v>2910</v>
      </c>
      <c r="N608" s="99">
        <v>46147</v>
      </c>
      <c r="P608" t="s">
        <v>3358</v>
      </c>
      <c r="X608" t="s">
        <v>2914</v>
      </c>
    </row>
    <row r="609" spans="1:24" ht="16" customHeight="1" x14ac:dyDescent="0.6">
      <c r="A609" t="s">
        <v>4570</v>
      </c>
      <c r="B609" t="s">
        <v>17</v>
      </c>
      <c r="C609" t="s">
        <v>3022</v>
      </c>
      <c r="E609" t="s">
        <v>2930</v>
      </c>
      <c r="F609">
        <v>3135714</v>
      </c>
      <c r="H609">
        <v>333124453</v>
      </c>
      <c r="I609">
        <v>500</v>
      </c>
      <c r="J609" s="98">
        <v>1</v>
      </c>
      <c r="K609" s="79">
        <v>46147.895833333336</v>
      </c>
      <c r="L609" t="s">
        <v>4571</v>
      </c>
      <c r="M609" t="s">
        <v>2910</v>
      </c>
      <c r="N609" s="99">
        <v>46147</v>
      </c>
      <c r="P609" t="s">
        <v>3177</v>
      </c>
      <c r="X609" t="s">
        <v>2914</v>
      </c>
    </row>
    <row r="610" spans="1:24" ht="16" customHeight="1" x14ac:dyDescent="0.6">
      <c r="A610" t="s">
        <v>4572</v>
      </c>
      <c r="B610" t="s">
        <v>17</v>
      </c>
      <c r="C610" t="s">
        <v>3142</v>
      </c>
      <c r="E610" t="s">
        <v>2930</v>
      </c>
      <c r="F610">
        <v>1714094</v>
      </c>
      <c r="G610" t="s">
        <v>3143</v>
      </c>
      <c r="H610">
        <v>961790126</v>
      </c>
      <c r="I610">
        <v>100</v>
      </c>
      <c r="J610" s="98">
        <v>1</v>
      </c>
      <c r="K610" s="79">
        <v>46147.833333333336</v>
      </c>
      <c r="M610" t="s">
        <v>2910</v>
      </c>
      <c r="N610" s="99">
        <v>46147</v>
      </c>
      <c r="O610" s="75">
        <v>0.91666666666666663</v>
      </c>
      <c r="P610" t="s">
        <v>4573</v>
      </c>
      <c r="Q610" t="s">
        <v>1356</v>
      </c>
      <c r="R610" t="s">
        <v>4574</v>
      </c>
      <c r="S610" t="s">
        <v>1868</v>
      </c>
      <c r="T610" t="s">
        <v>2974</v>
      </c>
      <c r="V610" t="s">
        <v>2965</v>
      </c>
      <c r="X610" t="s">
        <v>2914</v>
      </c>
    </row>
    <row r="611" spans="1:24" ht="16" customHeight="1" x14ac:dyDescent="0.6">
      <c r="A611" t="s">
        <v>4575</v>
      </c>
      <c r="B611" t="s">
        <v>17</v>
      </c>
      <c r="C611" t="s">
        <v>4576</v>
      </c>
      <c r="D611">
        <v>22205000</v>
      </c>
      <c r="E611" t="s">
        <v>2930</v>
      </c>
      <c r="F611">
        <v>3108436</v>
      </c>
      <c r="H611">
        <v>903477068</v>
      </c>
      <c r="I611">
        <v>100</v>
      </c>
      <c r="J611" s="98">
        <v>1</v>
      </c>
      <c r="K611" s="79">
        <v>46147.885416666664</v>
      </c>
      <c r="M611" t="s">
        <v>2955</v>
      </c>
      <c r="X611" t="s">
        <v>2914</v>
      </c>
    </row>
    <row r="612" spans="1:24" ht="16" customHeight="1" x14ac:dyDescent="0.6">
      <c r="A612" t="s">
        <v>4577</v>
      </c>
      <c r="B612" t="s">
        <v>17</v>
      </c>
      <c r="C612" t="s">
        <v>4578</v>
      </c>
      <c r="D612" t="s">
        <v>4579</v>
      </c>
      <c r="E612" t="s">
        <v>2930</v>
      </c>
      <c r="F612">
        <v>3108436</v>
      </c>
      <c r="H612">
        <v>903477068</v>
      </c>
      <c r="I612">
        <v>100</v>
      </c>
      <c r="J612" s="98">
        <v>1</v>
      </c>
      <c r="K612" s="79">
        <v>46147.885416666664</v>
      </c>
      <c r="M612" t="s">
        <v>2910</v>
      </c>
      <c r="N612" s="99">
        <v>46147</v>
      </c>
      <c r="P612" t="s">
        <v>3316</v>
      </c>
      <c r="X612" t="s">
        <v>2914</v>
      </c>
    </row>
    <row r="613" spans="1:24" ht="16" customHeight="1" x14ac:dyDescent="0.6">
      <c r="A613" t="s">
        <v>4580</v>
      </c>
      <c r="B613" t="s">
        <v>17</v>
      </c>
      <c r="C613" t="s">
        <v>3208</v>
      </c>
      <c r="E613" t="s">
        <v>2917</v>
      </c>
      <c r="F613">
        <v>3089234</v>
      </c>
      <c r="G613" t="s">
        <v>4581</v>
      </c>
      <c r="H613">
        <v>904023657</v>
      </c>
      <c r="I613">
        <v>200</v>
      </c>
      <c r="J613" t="s">
        <v>2919</v>
      </c>
      <c r="K613" s="79">
        <v>46147.791666666664</v>
      </c>
      <c r="L613" t="s">
        <v>4582</v>
      </c>
      <c r="M613" t="s">
        <v>2910</v>
      </c>
      <c r="N613" s="99">
        <v>46147</v>
      </c>
      <c r="O613" s="75">
        <v>0.9375</v>
      </c>
      <c r="P613" t="s">
        <v>4583</v>
      </c>
      <c r="Q613" t="s">
        <v>967</v>
      </c>
      <c r="R613" t="s">
        <v>3025</v>
      </c>
      <c r="S613" t="s">
        <v>1868</v>
      </c>
      <c r="T613" t="s">
        <v>3493</v>
      </c>
      <c r="V613" t="s">
        <v>2965</v>
      </c>
      <c r="X613" t="s">
        <v>2914</v>
      </c>
    </row>
    <row r="614" spans="1:24" ht="16" customHeight="1" x14ac:dyDescent="0.6">
      <c r="A614" t="s">
        <v>4584</v>
      </c>
      <c r="B614" t="s">
        <v>17</v>
      </c>
      <c r="C614" t="s">
        <v>3129</v>
      </c>
      <c r="E614" t="s">
        <v>2930</v>
      </c>
      <c r="F614">
        <v>1882650</v>
      </c>
      <c r="G614" t="s">
        <v>4234</v>
      </c>
      <c r="H614">
        <v>775748473</v>
      </c>
      <c r="I614">
        <v>150</v>
      </c>
      <c r="J614" t="s">
        <v>2919</v>
      </c>
      <c r="K614" s="79">
        <v>46147.875</v>
      </c>
      <c r="M614" t="s">
        <v>2910</v>
      </c>
      <c r="N614" s="99">
        <v>46147</v>
      </c>
      <c r="P614" t="s">
        <v>4585</v>
      </c>
      <c r="Q614" t="s">
        <v>967</v>
      </c>
      <c r="R614" t="s">
        <v>3369</v>
      </c>
      <c r="S614" t="s">
        <v>1868</v>
      </c>
      <c r="T614" t="s">
        <v>3469</v>
      </c>
      <c r="V614" t="s">
        <v>2965</v>
      </c>
      <c r="X614" t="s">
        <v>2914</v>
      </c>
    </row>
    <row r="615" spans="1:24" ht="16" customHeight="1" x14ac:dyDescent="0.6">
      <c r="A615" t="s">
        <v>4586</v>
      </c>
      <c r="B615" t="s">
        <v>17</v>
      </c>
      <c r="C615" t="s">
        <v>2916</v>
      </c>
      <c r="E615" t="s">
        <v>2917</v>
      </c>
      <c r="F615">
        <v>3070766</v>
      </c>
      <c r="G615" t="s">
        <v>3684</v>
      </c>
      <c r="H615">
        <v>376156434</v>
      </c>
      <c r="I615">
        <v>100</v>
      </c>
      <c r="J615" s="98">
        <v>1</v>
      </c>
      <c r="K615" s="79">
        <v>46147.916666666664</v>
      </c>
      <c r="M615" t="s">
        <v>2910</v>
      </c>
      <c r="N615" s="99">
        <v>46147</v>
      </c>
      <c r="P615" t="s">
        <v>3891</v>
      </c>
      <c r="X615" t="s">
        <v>2914</v>
      </c>
    </row>
    <row r="616" spans="1:24" ht="16" customHeight="1" x14ac:dyDescent="0.6">
      <c r="A616" t="s">
        <v>4587</v>
      </c>
      <c r="B616" t="s">
        <v>17</v>
      </c>
      <c r="C616" t="s">
        <v>3258</v>
      </c>
      <c r="E616" t="s">
        <v>2930</v>
      </c>
      <c r="F616">
        <v>1874426</v>
      </c>
      <c r="H616">
        <v>949394466</v>
      </c>
      <c r="I616">
        <v>80</v>
      </c>
      <c r="J616" s="98">
        <v>0.75</v>
      </c>
      <c r="K616" s="79">
        <v>46147.90625</v>
      </c>
      <c r="M616" t="s">
        <v>3029</v>
      </c>
      <c r="N616" s="99">
        <v>46147</v>
      </c>
      <c r="X616" t="s">
        <v>2914</v>
      </c>
    </row>
    <row r="617" spans="1:24" ht="16" customHeight="1" x14ac:dyDescent="0.6">
      <c r="A617" t="s">
        <v>4588</v>
      </c>
      <c r="B617" t="s">
        <v>17</v>
      </c>
      <c r="C617" t="s">
        <v>2935</v>
      </c>
      <c r="E617" t="s">
        <v>2930</v>
      </c>
      <c r="F617">
        <v>1874426</v>
      </c>
      <c r="H617">
        <v>949394466</v>
      </c>
      <c r="I617">
        <v>100</v>
      </c>
      <c r="J617" s="98">
        <v>1</v>
      </c>
      <c r="K617" s="79">
        <v>46147.927083333336</v>
      </c>
      <c r="M617" t="s">
        <v>2910</v>
      </c>
      <c r="N617" s="99">
        <v>46147</v>
      </c>
      <c r="P617" t="s">
        <v>4511</v>
      </c>
      <c r="X617" t="s">
        <v>2914</v>
      </c>
    </row>
    <row r="618" spans="1:24" ht="16" customHeight="1" x14ac:dyDescent="0.6">
      <c r="A618" t="s">
        <v>4589</v>
      </c>
      <c r="B618" t="s">
        <v>17</v>
      </c>
      <c r="C618" t="s">
        <v>3221</v>
      </c>
      <c r="E618" t="s">
        <v>2930</v>
      </c>
      <c r="F618">
        <v>3151831</v>
      </c>
      <c r="H618">
        <v>908404630</v>
      </c>
      <c r="I618">
        <v>50</v>
      </c>
      <c r="J618" s="98">
        <v>0.5</v>
      </c>
      <c r="K618" s="79">
        <v>46147.916666666664</v>
      </c>
      <c r="L618" t="s">
        <v>4590</v>
      </c>
      <c r="M618" t="s">
        <v>2910</v>
      </c>
      <c r="N618" s="99">
        <v>46147</v>
      </c>
      <c r="P618" t="s">
        <v>3373</v>
      </c>
      <c r="X618" t="s">
        <v>2914</v>
      </c>
    </row>
    <row r="619" spans="1:24" ht="16" customHeight="1" x14ac:dyDescent="0.6">
      <c r="A619" t="s">
        <v>4591</v>
      </c>
      <c r="B619" t="s">
        <v>17</v>
      </c>
      <c r="C619" t="s">
        <v>4517</v>
      </c>
      <c r="D619" t="s">
        <v>4518</v>
      </c>
      <c r="E619" t="s">
        <v>2917</v>
      </c>
      <c r="F619">
        <v>2045807</v>
      </c>
      <c r="H619">
        <v>974273992</v>
      </c>
      <c r="I619">
        <v>100</v>
      </c>
      <c r="J619" s="98">
        <v>1</v>
      </c>
      <c r="K619" s="79">
        <v>46147.916666666664</v>
      </c>
      <c r="M619" t="s">
        <v>2910</v>
      </c>
      <c r="N619" s="99">
        <v>46147</v>
      </c>
      <c r="P619" t="s">
        <v>4519</v>
      </c>
      <c r="X619" t="s">
        <v>2914</v>
      </c>
    </row>
    <row r="620" spans="1:24" ht="16" customHeight="1" x14ac:dyDescent="0.6">
      <c r="A620" t="s">
        <v>4592</v>
      </c>
      <c r="B620" t="s">
        <v>17</v>
      </c>
      <c r="C620" t="s">
        <v>3031</v>
      </c>
      <c r="E620" t="s">
        <v>2917</v>
      </c>
      <c r="F620">
        <v>3147977</v>
      </c>
      <c r="H620">
        <v>797255556</v>
      </c>
      <c r="I620">
        <v>150</v>
      </c>
      <c r="J620" s="98">
        <v>1</v>
      </c>
      <c r="K620" s="79">
        <v>46147.958333333336</v>
      </c>
      <c r="M620" t="s">
        <v>2910</v>
      </c>
      <c r="N620" s="99">
        <v>46147</v>
      </c>
      <c r="O620" s="75">
        <v>0.94791666666666663</v>
      </c>
      <c r="P620" t="s">
        <v>4593</v>
      </c>
      <c r="Q620" t="s">
        <v>967</v>
      </c>
      <c r="R620" t="s">
        <v>3529</v>
      </c>
      <c r="S620" t="s">
        <v>1868</v>
      </c>
      <c r="T620" t="s">
        <v>3530</v>
      </c>
      <c r="V620" t="s">
        <v>2965</v>
      </c>
      <c r="X620" t="s">
        <v>2914</v>
      </c>
    </row>
    <row r="621" spans="1:24" ht="16" customHeight="1" x14ac:dyDescent="0.6">
      <c r="A621" t="s">
        <v>4594</v>
      </c>
      <c r="B621" t="s">
        <v>17</v>
      </c>
      <c r="C621" t="s">
        <v>3036</v>
      </c>
      <c r="E621" t="s">
        <v>2909</v>
      </c>
      <c r="F621">
        <v>3146332</v>
      </c>
      <c r="H621">
        <v>973082002</v>
      </c>
      <c r="I621">
        <v>80</v>
      </c>
      <c r="J621" s="98">
        <v>0.75</v>
      </c>
      <c r="K621" s="79">
        <v>46147.927083333336</v>
      </c>
      <c r="L621" t="s">
        <v>4595</v>
      </c>
      <c r="M621" t="s">
        <v>2910</v>
      </c>
      <c r="N621" s="99">
        <v>46147</v>
      </c>
      <c r="P621" t="s">
        <v>4596</v>
      </c>
      <c r="Q621" t="s">
        <v>967</v>
      </c>
      <c r="R621" t="s">
        <v>2996</v>
      </c>
      <c r="S621" t="s">
        <v>1868</v>
      </c>
      <c r="T621" t="s">
        <v>2997</v>
      </c>
      <c r="V621" t="s">
        <v>202</v>
      </c>
      <c r="X621" t="s">
        <v>2914</v>
      </c>
    </row>
    <row r="622" spans="1:24" ht="16" customHeight="1" x14ac:dyDescent="0.6">
      <c r="A622" t="s">
        <v>4597</v>
      </c>
      <c r="B622" t="s">
        <v>17</v>
      </c>
      <c r="C622" t="s">
        <v>3208</v>
      </c>
      <c r="E622" t="s">
        <v>2917</v>
      </c>
      <c r="F622">
        <v>3089234</v>
      </c>
      <c r="G622" t="s">
        <v>4581</v>
      </c>
      <c r="H622">
        <v>904023657</v>
      </c>
      <c r="I622">
        <v>300</v>
      </c>
      <c r="J622" t="s">
        <v>2919</v>
      </c>
      <c r="K622" s="79">
        <v>46147.916666666664</v>
      </c>
      <c r="M622" t="s">
        <v>3029</v>
      </c>
      <c r="N622" s="99">
        <v>46147</v>
      </c>
      <c r="X622" t="s">
        <v>2914</v>
      </c>
    </row>
    <row r="623" spans="1:24" ht="16" customHeight="1" x14ac:dyDescent="0.6">
      <c r="A623" t="s">
        <v>4598</v>
      </c>
      <c r="B623" t="s">
        <v>17</v>
      </c>
      <c r="C623" t="s">
        <v>3380</v>
      </c>
      <c r="E623" t="s">
        <v>2917</v>
      </c>
      <c r="F623">
        <v>3106634</v>
      </c>
      <c r="H623">
        <v>908377969</v>
      </c>
      <c r="I623">
        <v>50</v>
      </c>
      <c r="J623" s="98">
        <v>0.5</v>
      </c>
      <c r="K623" s="79">
        <v>46147.9375</v>
      </c>
      <c r="M623" t="s">
        <v>2910</v>
      </c>
      <c r="N623" s="99">
        <v>46147</v>
      </c>
      <c r="P623" t="s">
        <v>3381</v>
      </c>
      <c r="X623" t="s">
        <v>2914</v>
      </c>
    </row>
    <row r="624" spans="1:24" ht="16" customHeight="1" x14ac:dyDescent="0.6">
      <c r="A624" t="s">
        <v>4599</v>
      </c>
      <c r="B624" t="s">
        <v>17</v>
      </c>
      <c r="C624" t="s">
        <v>4062</v>
      </c>
      <c r="E624" t="s">
        <v>2917</v>
      </c>
      <c r="F624">
        <v>3136236</v>
      </c>
      <c r="H624">
        <v>989177205</v>
      </c>
      <c r="I624">
        <v>40</v>
      </c>
      <c r="J624" s="98">
        <v>0.5</v>
      </c>
      <c r="K624" s="79">
        <v>46147.885416666664</v>
      </c>
      <c r="M624" t="s">
        <v>2910</v>
      </c>
      <c r="N624" s="99">
        <v>46147</v>
      </c>
      <c r="P624" t="s">
        <v>4600</v>
      </c>
      <c r="X624" t="s">
        <v>2914</v>
      </c>
    </row>
    <row r="625" spans="1:24" ht="16" customHeight="1" x14ac:dyDescent="0.6">
      <c r="A625" t="s">
        <v>4601</v>
      </c>
      <c r="B625" t="s">
        <v>17</v>
      </c>
      <c r="C625" t="s">
        <v>3047</v>
      </c>
      <c r="E625" t="s">
        <v>2917</v>
      </c>
      <c r="F625">
        <v>3164747</v>
      </c>
      <c r="H625">
        <v>328559865</v>
      </c>
      <c r="I625">
        <v>50</v>
      </c>
      <c r="J625" s="98">
        <v>0.5</v>
      </c>
      <c r="K625" s="79">
        <v>46147.916666666664</v>
      </c>
      <c r="M625" t="s">
        <v>2910</v>
      </c>
      <c r="N625" s="99">
        <v>46147</v>
      </c>
      <c r="P625" t="s">
        <v>4602</v>
      </c>
      <c r="Q625" t="s">
        <v>967</v>
      </c>
      <c r="R625" t="s">
        <v>3210</v>
      </c>
      <c r="S625" t="s">
        <v>1868</v>
      </c>
      <c r="T625" t="s">
        <v>3063</v>
      </c>
      <c r="V625" t="s">
        <v>2965</v>
      </c>
      <c r="X625" t="s">
        <v>2914</v>
      </c>
    </row>
    <row r="626" spans="1:24" ht="16" customHeight="1" x14ac:dyDescent="0.6">
      <c r="A626" t="s">
        <v>4603</v>
      </c>
      <c r="B626" t="s">
        <v>17</v>
      </c>
      <c r="C626" t="s">
        <v>3142</v>
      </c>
      <c r="E626" t="s">
        <v>2930</v>
      </c>
      <c r="F626">
        <v>1714094</v>
      </c>
      <c r="H626">
        <v>961790126</v>
      </c>
      <c r="I626">
        <v>-100</v>
      </c>
      <c r="J626" s="98">
        <v>1</v>
      </c>
      <c r="K626" s="79">
        <v>46147.916666666664</v>
      </c>
      <c r="M626" t="s">
        <v>2910</v>
      </c>
      <c r="N626" s="99">
        <v>46147</v>
      </c>
      <c r="O626" s="75">
        <v>0.95833333333333337</v>
      </c>
      <c r="P626" t="s">
        <v>4604</v>
      </c>
      <c r="Q626" t="s">
        <v>967</v>
      </c>
      <c r="R626" t="s">
        <v>4605</v>
      </c>
      <c r="S626" t="s">
        <v>1868</v>
      </c>
      <c r="T626" t="s">
        <v>4606</v>
      </c>
      <c r="V626" t="s">
        <v>2965</v>
      </c>
      <c r="X626" t="s">
        <v>2914</v>
      </c>
    </row>
    <row r="627" spans="1:24" ht="16" customHeight="1" x14ac:dyDescent="0.6">
      <c r="A627" t="s">
        <v>4607</v>
      </c>
      <c r="B627" t="s">
        <v>17</v>
      </c>
      <c r="C627" t="s">
        <v>2994</v>
      </c>
      <c r="E627" t="s">
        <v>2909</v>
      </c>
      <c r="F627">
        <v>3023633</v>
      </c>
      <c r="G627" t="s">
        <v>4064</v>
      </c>
      <c r="H627">
        <v>936207489</v>
      </c>
      <c r="I627">
        <v>50</v>
      </c>
      <c r="J627" s="98">
        <v>1</v>
      </c>
      <c r="K627" s="79">
        <v>46147.927083333336</v>
      </c>
      <c r="M627" t="s">
        <v>2910</v>
      </c>
      <c r="N627" s="99">
        <v>46147</v>
      </c>
      <c r="P627" t="s">
        <v>4596</v>
      </c>
      <c r="Q627" t="s">
        <v>967</v>
      </c>
      <c r="R627" t="s">
        <v>2996</v>
      </c>
      <c r="S627" t="s">
        <v>1868</v>
      </c>
      <c r="T627" t="s">
        <v>2997</v>
      </c>
      <c r="V627" t="s">
        <v>202</v>
      </c>
      <c r="X627" t="s">
        <v>2914</v>
      </c>
    </row>
    <row r="628" spans="1:24" ht="16" customHeight="1" x14ac:dyDescent="0.6">
      <c r="A628" t="s">
        <v>4608</v>
      </c>
      <c r="B628" t="s">
        <v>17</v>
      </c>
      <c r="C628" t="s">
        <v>3028</v>
      </c>
      <c r="E628" t="s">
        <v>2909</v>
      </c>
      <c r="F628">
        <v>3078993</v>
      </c>
      <c r="H628">
        <v>931837212</v>
      </c>
      <c r="I628">
        <v>10</v>
      </c>
      <c r="J628" s="98">
        <v>0.3</v>
      </c>
      <c r="K628" s="79">
        <v>46148.208333333336</v>
      </c>
      <c r="M628" t="s">
        <v>3029</v>
      </c>
      <c r="N628" s="99">
        <v>46147</v>
      </c>
      <c r="X628" t="s">
        <v>2914</v>
      </c>
    </row>
    <row r="629" spans="1:24" ht="16" customHeight="1" x14ac:dyDescent="0.6">
      <c r="A629" t="s">
        <v>4609</v>
      </c>
      <c r="B629" t="s">
        <v>17</v>
      </c>
      <c r="C629" t="s">
        <v>2939</v>
      </c>
      <c r="E629" t="s">
        <v>2917</v>
      </c>
      <c r="F629">
        <v>3131431</v>
      </c>
      <c r="H629">
        <v>898164592</v>
      </c>
      <c r="I629">
        <v>150</v>
      </c>
      <c r="J629" s="98">
        <v>1</v>
      </c>
      <c r="K629" s="79">
        <v>46147.916666666664</v>
      </c>
      <c r="L629" t="s">
        <v>4610</v>
      </c>
      <c r="M629" t="s">
        <v>2910</v>
      </c>
      <c r="N629" s="99">
        <v>46147</v>
      </c>
      <c r="O629" s="75">
        <v>0.95833333333333337</v>
      </c>
      <c r="P629" t="s">
        <v>4611</v>
      </c>
      <c r="Q629" t="s">
        <v>967</v>
      </c>
      <c r="R629" t="s">
        <v>3711</v>
      </c>
      <c r="S629" t="s">
        <v>1868</v>
      </c>
      <c r="T629" t="s">
        <v>2960</v>
      </c>
      <c r="V629" t="s">
        <v>202</v>
      </c>
      <c r="X629" t="s">
        <v>2914</v>
      </c>
    </row>
    <row r="630" spans="1:24" ht="16" customHeight="1" x14ac:dyDescent="0.6">
      <c r="A630" t="s">
        <v>4612</v>
      </c>
      <c r="B630" t="s">
        <v>17</v>
      </c>
      <c r="C630" t="s">
        <v>2976</v>
      </c>
      <c r="E630" t="s">
        <v>2917</v>
      </c>
      <c r="F630">
        <v>1871696</v>
      </c>
      <c r="H630">
        <v>774688086</v>
      </c>
      <c r="I630">
        <v>200</v>
      </c>
      <c r="J630" t="s">
        <v>2919</v>
      </c>
      <c r="K630" s="79">
        <v>46147.895833333336</v>
      </c>
      <c r="L630" t="s">
        <v>4613</v>
      </c>
      <c r="M630" t="s">
        <v>2910</v>
      </c>
      <c r="N630" s="99">
        <v>46147</v>
      </c>
      <c r="P630" t="s">
        <v>4614</v>
      </c>
      <c r="Q630" t="s">
        <v>967</v>
      </c>
      <c r="R630" t="s">
        <v>2988</v>
      </c>
      <c r="S630" t="s">
        <v>1868</v>
      </c>
      <c r="T630" t="s">
        <v>2989</v>
      </c>
      <c r="V630" t="s">
        <v>2965</v>
      </c>
      <c r="X630" t="s">
        <v>2914</v>
      </c>
    </row>
    <row r="631" spans="1:24" ht="16" customHeight="1" x14ac:dyDescent="0.6">
      <c r="A631" t="s">
        <v>4615</v>
      </c>
      <c r="B631" t="s">
        <v>17</v>
      </c>
      <c r="C631" t="s">
        <v>3179</v>
      </c>
      <c r="E631" t="s">
        <v>2909</v>
      </c>
      <c r="F631">
        <v>3149706</v>
      </c>
      <c r="G631" t="s">
        <v>3180</v>
      </c>
      <c r="H631">
        <v>706395955</v>
      </c>
      <c r="I631">
        <v>150</v>
      </c>
      <c r="J631" s="98">
        <v>1</v>
      </c>
      <c r="K631" s="79">
        <v>46147.916666666664</v>
      </c>
      <c r="M631" t="s">
        <v>2910</v>
      </c>
      <c r="N631" s="99">
        <v>46147</v>
      </c>
      <c r="P631" t="s">
        <v>4616</v>
      </c>
      <c r="Q631" t="s">
        <v>967</v>
      </c>
      <c r="R631" t="s">
        <v>3058</v>
      </c>
      <c r="S631" t="s">
        <v>1868</v>
      </c>
      <c r="T631" t="s">
        <v>3059</v>
      </c>
      <c r="V631" t="s">
        <v>202</v>
      </c>
      <c r="X631" t="s">
        <v>2914</v>
      </c>
    </row>
    <row r="632" spans="1:24" ht="16" customHeight="1" x14ac:dyDescent="0.6">
      <c r="A632" t="s">
        <v>4617</v>
      </c>
      <c r="B632" t="s">
        <v>17</v>
      </c>
      <c r="C632" t="s">
        <v>3552</v>
      </c>
      <c r="E632" t="s">
        <v>2909</v>
      </c>
      <c r="F632">
        <v>3091343</v>
      </c>
      <c r="G632" t="s">
        <v>3186</v>
      </c>
      <c r="H632">
        <v>906898492</v>
      </c>
      <c r="I632">
        <v>100</v>
      </c>
      <c r="J632" s="98">
        <v>0.5</v>
      </c>
      <c r="K632" s="79">
        <v>46147.916666666664</v>
      </c>
      <c r="M632" t="s">
        <v>3029</v>
      </c>
      <c r="N632" s="99">
        <v>46147</v>
      </c>
      <c r="X632" t="s">
        <v>2914</v>
      </c>
    </row>
    <row r="633" spans="1:24" ht="16" customHeight="1" x14ac:dyDescent="0.6">
      <c r="A633" t="s">
        <v>4618</v>
      </c>
      <c r="B633" t="s">
        <v>17</v>
      </c>
      <c r="C633" t="s">
        <v>3093</v>
      </c>
      <c r="E633" t="s">
        <v>2930</v>
      </c>
      <c r="F633">
        <v>3135107</v>
      </c>
      <c r="H633">
        <v>344436412</v>
      </c>
      <c r="I633">
        <v>150</v>
      </c>
      <c r="J633" s="98">
        <v>1</v>
      </c>
      <c r="K633" s="79">
        <v>46148.1875</v>
      </c>
      <c r="M633" t="s">
        <v>3029</v>
      </c>
      <c r="N633" s="99">
        <v>46147</v>
      </c>
      <c r="X633" t="s">
        <v>2914</v>
      </c>
    </row>
    <row r="634" spans="1:24" ht="16" customHeight="1" x14ac:dyDescent="0.6">
      <c r="A634" t="s">
        <v>4619</v>
      </c>
      <c r="B634" t="s">
        <v>17</v>
      </c>
      <c r="C634" t="s">
        <v>3036</v>
      </c>
      <c r="E634" t="s">
        <v>2930</v>
      </c>
      <c r="F634">
        <v>3146332</v>
      </c>
      <c r="H634">
        <v>973082002</v>
      </c>
      <c r="I634">
        <v>100</v>
      </c>
      <c r="J634" s="98">
        <v>1</v>
      </c>
      <c r="K634" s="79">
        <v>46147.958333333336</v>
      </c>
      <c r="M634" t="s">
        <v>2910</v>
      </c>
      <c r="N634" s="99">
        <v>46147</v>
      </c>
      <c r="P634" t="s">
        <v>4620</v>
      </c>
      <c r="X634" t="s">
        <v>2914</v>
      </c>
    </row>
    <row r="635" spans="1:24" ht="16" customHeight="1" x14ac:dyDescent="0.6">
      <c r="A635" t="s">
        <v>4621</v>
      </c>
      <c r="B635" t="s">
        <v>17</v>
      </c>
      <c r="C635" t="s">
        <v>3232</v>
      </c>
      <c r="E635" t="s">
        <v>2917</v>
      </c>
      <c r="F635">
        <v>3123441</v>
      </c>
      <c r="G635" t="s">
        <v>4622</v>
      </c>
      <c r="H635">
        <v>969884070</v>
      </c>
      <c r="I635">
        <v>500</v>
      </c>
      <c r="J635" s="98">
        <v>0.75</v>
      </c>
      <c r="K635" s="79">
        <v>46147.875</v>
      </c>
      <c r="M635" t="s">
        <v>2910</v>
      </c>
      <c r="N635" s="99">
        <v>46147</v>
      </c>
      <c r="P635" t="s">
        <v>4623</v>
      </c>
      <c r="Q635" t="s">
        <v>967</v>
      </c>
      <c r="R635" t="s">
        <v>2932</v>
      </c>
      <c r="S635" t="s">
        <v>1868</v>
      </c>
      <c r="T635" t="s">
        <v>2933</v>
      </c>
      <c r="V635" t="s">
        <v>202</v>
      </c>
      <c r="X635" t="s">
        <v>2914</v>
      </c>
    </row>
    <row r="636" spans="1:24" ht="16" customHeight="1" x14ac:dyDescent="0.6">
      <c r="A636" t="s">
        <v>4624</v>
      </c>
      <c r="B636" t="s">
        <v>17</v>
      </c>
      <c r="C636" t="s">
        <v>2935</v>
      </c>
      <c r="E636" t="s">
        <v>2917</v>
      </c>
      <c r="F636">
        <v>3168214</v>
      </c>
      <c r="H636">
        <v>909262240</v>
      </c>
      <c r="I636">
        <v>100</v>
      </c>
      <c r="J636" s="98">
        <v>1</v>
      </c>
      <c r="K636" s="79">
        <v>46147.9375</v>
      </c>
      <c r="M636" t="s">
        <v>3029</v>
      </c>
      <c r="X636" t="s">
        <v>2914</v>
      </c>
    </row>
    <row r="637" spans="1:24" ht="16" customHeight="1" x14ac:dyDescent="0.6">
      <c r="A637" t="s">
        <v>4625</v>
      </c>
      <c r="B637" t="s">
        <v>17</v>
      </c>
      <c r="C637" t="s">
        <v>2957</v>
      </c>
      <c r="E637" t="s">
        <v>2930</v>
      </c>
      <c r="F637">
        <v>3153015</v>
      </c>
      <c r="H637">
        <v>973797545</v>
      </c>
      <c r="I637">
        <v>200</v>
      </c>
      <c r="J637" s="98">
        <v>1</v>
      </c>
      <c r="K637" s="79">
        <v>46147.90625</v>
      </c>
      <c r="M637" t="s">
        <v>2910</v>
      </c>
      <c r="N637" s="99">
        <v>46147</v>
      </c>
      <c r="P637" t="s">
        <v>4626</v>
      </c>
      <c r="X637" t="s">
        <v>2914</v>
      </c>
    </row>
    <row r="638" spans="1:24" ht="16" customHeight="1" x14ac:dyDescent="0.6">
      <c r="A638" t="s">
        <v>4627</v>
      </c>
      <c r="B638" t="s">
        <v>17</v>
      </c>
      <c r="C638" t="s">
        <v>2969</v>
      </c>
      <c r="E638" t="s">
        <v>2917</v>
      </c>
      <c r="F638">
        <v>3120451</v>
      </c>
      <c r="G638" t="s">
        <v>4456</v>
      </c>
      <c r="H638">
        <v>369085819</v>
      </c>
      <c r="I638">
        <v>50</v>
      </c>
      <c r="J638" s="98">
        <v>0.75</v>
      </c>
      <c r="K638" s="79">
        <v>46147.90625</v>
      </c>
      <c r="M638" t="s">
        <v>2910</v>
      </c>
      <c r="N638" s="99">
        <v>46147</v>
      </c>
      <c r="P638" t="s">
        <v>4509</v>
      </c>
      <c r="X638" t="s">
        <v>2914</v>
      </c>
    </row>
    <row r="639" spans="1:24" ht="16" customHeight="1" x14ac:dyDescent="0.6">
      <c r="A639" t="s">
        <v>4628</v>
      </c>
      <c r="B639" t="s">
        <v>17</v>
      </c>
      <c r="C639" t="s">
        <v>4629</v>
      </c>
      <c r="E639" t="s">
        <v>2930</v>
      </c>
      <c r="F639">
        <v>3157219</v>
      </c>
      <c r="H639">
        <v>949647105</v>
      </c>
      <c r="I639">
        <v>50</v>
      </c>
      <c r="J639" s="98">
        <v>0.75</v>
      </c>
      <c r="K639" s="79">
        <v>46147.9375</v>
      </c>
      <c r="L639" t="s">
        <v>4630</v>
      </c>
      <c r="M639" t="s">
        <v>3029</v>
      </c>
      <c r="X639" t="s">
        <v>2914</v>
      </c>
    </row>
    <row r="640" spans="1:24" ht="16" customHeight="1" x14ac:dyDescent="0.6">
      <c r="A640" t="s">
        <v>4631</v>
      </c>
      <c r="B640" t="s">
        <v>17</v>
      </c>
      <c r="C640" t="s">
        <v>2939</v>
      </c>
      <c r="E640" t="s">
        <v>2917</v>
      </c>
      <c r="F640">
        <v>3131431</v>
      </c>
      <c r="H640">
        <v>898164592</v>
      </c>
      <c r="I640">
        <v>148</v>
      </c>
      <c r="J640" s="98">
        <v>1</v>
      </c>
      <c r="K640" s="79">
        <v>46147.916666666664</v>
      </c>
      <c r="L640" t="s">
        <v>4632</v>
      </c>
      <c r="M640" t="s">
        <v>2910</v>
      </c>
      <c r="N640" s="99">
        <v>46147</v>
      </c>
      <c r="P640" t="s">
        <v>4496</v>
      </c>
      <c r="X640" t="s">
        <v>2914</v>
      </c>
    </row>
    <row r="641" spans="1:24" ht="16" customHeight="1" x14ac:dyDescent="0.6">
      <c r="A641" t="s">
        <v>4633</v>
      </c>
      <c r="B641" t="s">
        <v>17</v>
      </c>
      <c r="C641" t="s">
        <v>2994</v>
      </c>
      <c r="E641" t="s">
        <v>2930</v>
      </c>
      <c r="F641">
        <v>3023633</v>
      </c>
      <c r="G641" t="s">
        <v>4064</v>
      </c>
      <c r="H641">
        <v>936207489</v>
      </c>
      <c r="I641">
        <v>70</v>
      </c>
      <c r="J641" s="98">
        <v>1</v>
      </c>
      <c r="K641" s="79">
        <v>46147.9375</v>
      </c>
      <c r="M641" t="s">
        <v>2910</v>
      </c>
      <c r="N641" s="99">
        <v>46147</v>
      </c>
      <c r="P641" t="s">
        <v>4634</v>
      </c>
      <c r="X641" t="s">
        <v>2914</v>
      </c>
    </row>
    <row r="642" spans="1:24" ht="16" customHeight="1" x14ac:dyDescent="0.6">
      <c r="A642" t="s">
        <v>4635</v>
      </c>
      <c r="B642" t="s">
        <v>17</v>
      </c>
      <c r="C642" t="s">
        <v>3011</v>
      </c>
      <c r="E642" t="s">
        <v>2909</v>
      </c>
      <c r="F642">
        <v>2041292</v>
      </c>
      <c r="H642">
        <v>908626193</v>
      </c>
      <c r="I642">
        <v>70</v>
      </c>
      <c r="J642" s="98">
        <v>0.75</v>
      </c>
      <c r="K642" s="79">
        <v>46147.90625</v>
      </c>
      <c r="L642" t="s">
        <v>4636</v>
      </c>
      <c r="M642" t="s">
        <v>2910</v>
      </c>
      <c r="N642" s="99">
        <v>46147</v>
      </c>
      <c r="P642" t="s">
        <v>4623</v>
      </c>
      <c r="Q642" t="s">
        <v>967</v>
      </c>
      <c r="R642" t="s">
        <v>2932</v>
      </c>
      <c r="S642" t="s">
        <v>1868</v>
      </c>
      <c r="T642" t="s">
        <v>2933</v>
      </c>
      <c r="V642" t="s">
        <v>202</v>
      </c>
      <c r="X642" t="s">
        <v>2914</v>
      </c>
    </row>
    <row r="643" spans="1:24" ht="16" customHeight="1" x14ac:dyDescent="0.6">
      <c r="A643" t="s">
        <v>4637</v>
      </c>
      <c r="B643" t="s">
        <v>17</v>
      </c>
      <c r="C643" t="s">
        <v>3049</v>
      </c>
      <c r="E643" t="s">
        <v>2909</v>
      </c>
      <c r="F643">
        <v>3074147</v>
      </c>
      <c r="H643">
        <v>945806398</v>
      </c>
      <c r="I643">
        <v>50</v>
      </c>
      <c r="J643" s="98">
        <v>0.75</v>
      </c>
      <c r="K643" s="79">
        <v>46147.90625</v>
      </c>
      <c r="L643" t="s">
        <v>4638</v>
      </c>
      <c r="M643" t="s">
        <v>2910</v>
      </c>
      <c r="N643" s="99">
        <v>46147</v>
      </c>
      <c r="P643" t="s">
        <v>4560</v>
      </c>
      <c r="Q643" t="s">
        <v>967</v>
      </c>
      <c r="R643" t="s">
        <v>2978</v>
      </c>
      <c r="S643" t="s">
        <v>1868</v>
      </c>
      <c r="T643" t="s">
        <v>2979</v>
      </c>
      <c r="V643" t="s">
        <v>202</v>
      </c>
      <c r="X643" t="s">
        <v>2914</v>
      </c>
    </row>
    <row r="644" spans="1:24" ht="16" customHeight="1" x14ac:dyDescent="0.6">
      <c r="A644" t="s">
        <v>4639</v>
      </c>
      <c r="B644" t="s">
        <v>17</v>
      </c>
      <c r="C644" t="s">
        <v>2924</v>
      </c>
      <c r="E644" t="s">
        <v>2917</v>
      </c>
      <c r="F644">
        <v>3140984</v>
      </c>
      <c r="H644">
        <v>388910849</v>
      </c>
      <c r="I644">
        <v>100</v>
      </c>
      <c r="J644" s="98">
        <v>1</v>
      </c>
      <c r="K644" s="79">
        <v>46147.9375</v>
      </c>
      <c r="M644" t="s">
        <v>2910</v>
      </c>
      <c r="N644" s="99">
        <v>46147</v>
      </c>
      <c r="P644" t="s">
        <v>4640</v>
      </c>
      <c r="Q644" t="s">
        <v>967</v>
      </c>
      <c r="R644" t="s">
        <v>3073</v>
      </c>
      <c r="S644" t="s">
        <v>1868</v>
      </c>
      <c r="T644" t="s">
        <v>3592</v>
      </c>
      <c r="V644" t="s">
        <v>202</v>
      </c>
      <c r="X644" t="s">
        <v>2914</v>
      </c>
    </row>
    <row r="645" spans="1:24" ht="16" customHeight="1" x14ac:dyDescent="0.6">
      <c r="A645" t="s">
        <v>4641</v>
      </c>
      <c r="B645" t="s">
        <v>17</v>
      </c>
      <c r="C645" t="s">
        <v>4642</v>
      </c>
      <c r="E645" t="s">
        <v>2917</v>
      </c>
      <c r="F645">
        <v>3044369</v>
      </c>
      <c r="H645">
        <v>773593091</v>
      </c>
      <c r="I645">
        <v>50</v>
      </c>
      <c r="J645" s="98">
        <v>0.5</v>
      </c>
      <c r="K645" s="79">
        <v>46148.1875</v>
      </c>
      <c r="M645" t="s">
        <v>3029</v>
      </c>
      <c r="X645" t="s">
        <v>2914</v>
      </c>
    </row>
    <row r="646" spans="1:24" ht="16" customHeight="1" x14ac:dyDescent="0.6">
      <c r="A646" t="s">
        <v>4643</v>
      </c>
      <c r="B646" t="s">
        <v>17</v>
      </c>
      <c r="C646" t="s">
        <v>4644</v>
      </c>
      <c r="D646" t="s">
        <v>4645</v>
      </c>
      <c r="E646" t="s">
        <v>2917</v>
      </c>
      <c r="F646">
        <v>2045807</v>
      </c>
      <c r="H646">
        <v>974273992</v>
      </c>
      <c r="I646">
        <v>100</v>
      </c>
      <c r="J646" s="98">
        <v>1</v>
      </c>
      <c r="K646" s="79">
        <v>46147.927083333336</v>
      </c>
      <c r="M646" t="s">
        <v>2910</v>
      </c>
      <c r="N646" s="99">
        <v>46147</v>
      </c>
      <c r="P646" t="s">
        <v>4646</v>
      </c>
      <c r="Q646" t="s">
        <v>967</v>
      </c>
      <c r="R646" t="s">
        <v>3149</v>
      </c>
      <c r="S646" t="s">
        <v>1868</v>
      </c>
      <c r="T646" t="s">
        <v>4647</v>
      </c>
      <c r="V646" t="s">
        <v>202</v>
      </c>
      <c r="X646" t="s">
        <v>2914</v>
      </c>
    </row>
    <row r="647" spans="1:24" ht="16" customHeight="1" x14ac:dyDescent="0.6">
      <c r="A647" t="s">
        <v>4648</v>
      </c>
      <c r="B647" t="s">
        <v>17</v>
      </c>
      <c r="C647" t="s">
        <v>4649</v>
      </c>
      <c r="D647" t="s">
        <v>4650</v>
      </c>
      <c r="E647" t="s">
        <v>2917</v>
      </c>
      <c r="F647">
        <v>3108436</v>
      </c>
      <c r="H647">
        <v>903477068</v>
      </c>
      <c r="I647">
        <v>100</v>
      </c>
      <c r="J647" s="98">
        <v>1</v>
      </c>
      <c r="K647" s="79">
        <v>46147.916666666664</v>
      </c>
      <c r="M647" t="s">
        <v>2955</v>
      </c>
      <c r="X647" t="s">
        <v>2914</v>
      </c>
    </row>
    <row r="648" spans="1:24" ht="16" customHeight="1" x14ac:dyDescent="0.6">
      <c r="A648" t="s">
        <v>4651</v>
      </c>
      <c r="B648" t="s">
        <v>17</v>
      </c>
      <c r="C648" t="s">
        <v>4652</v>
      </c>
      <c r="D648" t="s">
        <v>4653</v>
      </c>
      <c r="E648" t="s">
        <v>2917</v>
      </c>
      <c r="F648">
        <v>3108436</v>
      </c>
      <c r="H648">
        <v>903477068</v>
      </c>
      <c r="I648">
        <v>100</v>
      </c>
      <c r="J648" s="98">
        <v>1</v>
      </c>
      <c r="K648" s="79">
        <v>46147.916666666664</v>
      </c>
      <c r="M648" t="s">
        <v>2955</v>
      </c>
      <c r="X648" t="s">
        <v>2914</v>
      </c>
    </row>
    <row r="649" spans="1:24" ht="16" customHeight="1" x14ac:dyDescent="0.6">
      <c r="A649" t="s">
        <v>4654</v>
      </c>
      <c r="B649" t="s">
        <v>17</v>
      </c>
      <c r="C649" t="s">
        <v>4517</v>
      </c>
      <c r="D649" t="s">
        <v>4518</v>
      </c>
      <c r="E649" t="s">
        <v>2917</v>
      </c>
      <c r="F649">
        <v>2045807</v>
      </c>
      <c r="H649">
        <v>974273992</v>
      </c>
      <c r="I649">
        <v>500</v>
      </c>
      <c r="J649" s="98">
        <v>1</v>
      </c>
      <c r="K649" s="79">
        <v>46147.9375</v>
      </c>
      <c r="L649" s="74" t="s">
        <v>4655</v>
      </c>
      <c r="M649" t="s">
        <v>3029</v>
      </c>
      <c r="X649" t="s">
        <v>2914</v>
      </c>
    </row>
    <row r="650" spans="1:24" ht="16" customHeight="1" x14ac:dyDescent="0.6">
      <c r="A650" t="s">
        <v>4656</v>
      </c>
      <c r="B650" t="s">
        <v>17</v>
      </c>
      <c r="C650" t="s">
        <v>4657</v>
      </c>
      <c r="E650" t="s">
        <v>2909</v>
      </c>
      <c r="F650">
        <v>3164233</v>
      </c>
      <c r="H650">
        <v>934162734</v>
      </c>
      <c r="I650">
        <v>2</v>
      </c>
      <c r="J650" s="98">
        <v>0.3</v>
      </c>
      <c r="K650" s="79">
        <v>46148.208333333336</v>
      </c>
      <c r="M650" t="s">
        <v>2910</v>
      </c>
      <c r="N650" s="99">
        <v>46178</v>
      </c>
      <c r="O650" s="75">
        <v>0.20833333333333334</v>
      </c>
      <c r="P650" t="s">
        <v>4658</v>
      </c>
      <c r="Q650" t="s">
        <v>3364</v>
      </c>
      <c r="X650" t="s">
        <v>2914</v>
      </c>
    </row>
    <row r="651" spans="1:24" ht="16" customHeight="1" x14ac:dyDescent="0.6">
      <c r="A651" t="s">
        <v>4659</v>
      </c>
      <c r="B651" t="s">
        <v>17</v>
      </c>
      <c r="C651" t="s">
        <v>4629</v>
      </c>
      <c r="E651" t="s">
        <v>2930</v>
      </c>
      <c r="F651">
        <v>3157219</v>
      </c>
      <c r="G651" t="s">
        <v>4660</v>
      </c>
      <c r="H651">
        <v>949647105</v>
      </c>
      <c r="I651">
        <v>70</v>
      </c>
      <c r="J651" s="98">
        <v>0.75</v>
      </c>
      <c r="K651" s="79">
        <v>46148.1875</v>
      </c>
      <c r="L651" t="s">
        <v>4661</v>
      </c>
      <c r="M651" t="s">
        <v>2910</v>
      </c>
      <c r="N651" s="99">
        <v>46178</v>
      </c>
      <c r="O651" s="75">
        <v>0.20833333333333334</v>
      </c>
      <c r="P651" t="s">
        <v>4662</v>
      </c>
      <c r="Q651" t="s">
        <v>3364</v>
      </c>
      <c r="X651" t="s">
        <v>2914</v>
      </c>
    </row>
    <row r="652" spans="1:24" ht="16" customHeight="1" x14ac:dyDescent="0.6">
      <c r="A652" t="s">
        <v>4663</v>
      </c>
      <c r="B652" t="s">
        <v>17</v>
      </c>
      <c r="C652" t="s">
        <v>3049</v>
      </c>
      <c r="E652" t="s">
        <v>2930</v>
      </c>
      <c r="F652">
        <v>3074147</v>
      </c>
      <c r="H652">
        <v>945806398</v>
      </c>
      <c r="I652">
        <v>20</v>
      </c>
      <c r="J652" s="98">
        <v>0.3</v>
      </c>
      <c r="K652" s="79">
        <v>46148.208333333336</v>
      </c>
      <c r="L652" t="s">
        <v>3234</v>
      </c>
      <c r="M652" t="s">
        <v>2910</v>
      </c>
      <c r="N652" s="99">
        <v>46178</v>
      </c>
      <c r="O652" s="75">
        <v>0.20833333333333334</v>
      </c>
      <c r="P652" t="s">
        <v>4664</v>
      </c>
      <c r="Q652" t="s">
        <v>3364</v>
      </c>
      <c r="X652" t="s">
        <v>2914</v>
      </c>
    </row>
    <row r="653" spans="1:24" ht="16" customHeight="1" x14ac:dyDescent="0.6">
      <c r="A653" t="s">
        <v>4665</v>
      </c>
      <c r="B653" t="s">
        <v>17</v>
      </c>
      <c r="C653" t="s">
        <v>2976</v>
      </c>
      <c r="E653" t="s">
        <v>2917</v>
      </c>
      <c r="F653">
        <v>1871696</v>
      </c>
      <c r="H653">
        <v>774688086</v>
      </c>
      <c r="I653">
        <v>200</v>
      </c>
      <c r="J653" t="s">
        <v>2919</v>
      </c>
      <c r="K653" s="79">
        <v>46147.958333333336</v>
      </c>
      <c r="M653" t="s">
        <v>3029</v>
      </c>
      <c r="X653" t="s">
        <v>2914</v>
      </c>
    </row>
    <row r="654" spans="1:24" ht="16" customHeight="1" x14ac:dyDescent="0.6">
      <c r="A654" t="s">
        <v>4666</v>
      </c>
      <c r="B654" t="s">
        <v>17</v>
      </c>
      <c r="C654" t="s">
        <v>4642</v>
      </c>
      <c r="E654" t="s">
        <v>2930</v>
      </c>
      <c r="F654">
        <v>3044369</v>
      </c>
      <c r="H654">
        <v>773593091</v>
      </c>
      <c r="I654">
        <v>40</v>
      </c>
      <c r="J654" s="98">
        <v>0.5</v>
      </c>
      <c r="K654" s="79">
        <v>46148.1875</v>
      </c>
      <c r="M654" t="s">
        <v>2910</v>
      </c>
      <c r="N654" s="99">
        <v>46178</v>
      </c>
      <c r="O654" s="75">
        <v>0.20833333333333334</v>
      </c>
      <c r="P654" t="s">
        <v>4667</v>
      </c>
      <c r="Q654" t="s">
        <v>3417</v>
      </c>
      <c r="X654" t="s">
        <v>2914</v>
      </c>
    </row>
    <row r="655" spans="1:24" ht="16" customHeight="1" x14ac:dyDescent="0.6">
      <c r="A655" t="s">
        <v>4668</v>
      </c>
      <c r="B655" t="s">
        <v>17</v>
      </c>
      <c r="C655" t="s">
        <v>3242</v>
      </c>
      <c r="E655" t="s">
        <v>2930</v>
      </c>
      <c r="F655">
        <v>3139139</v>
      </c>
      <c r="H655">
        <v>977705672</v>
      </c>
      <c r="I655">
        <v>200</v>
      </c>
      <c r="J655" s="98">
        <v>1</v>
      </c>
      <c r="K655" s="79">
        <v>46148.041666666664</v>
      </c>
      <c r="M655" t="s">
        <v>2910</v>
      </c>
      <c r="N655" s="99">
        <v>46178</v>
      </c>
      <c r="O655" s="75">
        <v>0.20833333333333334</v>
      </c>
      <c r="P655" s="74" t="s">
        <v>4669</v>
      </c>
      <c r="Q655" t="s">
        <v>967</v>
      </c>
      <c r="X655" t="s">
        <v>2914</v>
      </c>
    </row>
    <row r="656" spans="1:24" ht="16" customHeight="1" x14ac:dyDescent="0.6">
      <c r="A656" t="s">
        <v>4670</v>
      </c>
      <c r="B656" t="s">
        <v>17</v>
      </c>
      <c r="C656" t="s">
        <v>4062</v>
      </c>
      <c r="E656" t="s">
        <v>2917</v>
      </c>
      <c r="F656">
        <v>3136236</v>
      </c>
      <c r="H656">
        <v>989177205</v>
      </c>
      <c r="I656">
        <v>40</v>
      </c>
      <c r="J656" s="98">
        <v>0.75</v>
      </c>
      <c r="K656" s="79">
        <v>46148.177083333336</v>
      </c>
      <c r="M656" t="s">
        <v>2910</v>
      </c>
      <c r="N656" s="99">
        <v>46178</v>
      </c>
      <c r="O656" s="75">
        <v>0.20833333333333334</v>
      </c>
      <c r="P656" t="s">
        <v>4671</v>
      </c>
      <c r="Q656" t="s">
        <v>967</v>
      </c>
      <c r="X656" t="s">
        <v>2914</v>
      </c>
    </row>
    <row r="657" spans="1:24" ht="16" customHeight="1" x14ac:dyDescent="0.6">
      <c r="A657" t="s">
        <v>4672</v>
      </c>
      <c r="B657" t="s">
        <v>17</v>
      </c>
      <c r="C657" t="s">
        <v>2971</v>
      </c>
      <c r="E657" t="s">
        <v>2909</v>
      </c>
      <c r="F657">
        <v>3131853</v>
      </c>
      <c r="H657">
        <v>902981006</v>
      </c>
      <c r="I657">
        <v>30</v>
      </c>
      <c r="J657" s="98">
        <v>0.5</v>
      </c>
      <c r="K657" s="79">
        <v>46148.1875</v>
      </c>
      <c r="M657" t="s">
        <v>2910</v>
      </c>
      <c r="N657" s="99">
        <v>46178</v>
      </c>
      <c r="O657" s="75">
        <v>0.16666666666666666</v>
      </c>
      <c r="P657" t="s">
        <v>4673</v>
      </c>
      <c r="Q657" t="s">
        <v>967</v>
      </c>
      <c r="X657" t="s">
        <v>2914</v>
      </c>
    </row>
    <row r="658" spans="1:24" ht="16" customHeight="1" x14ac:dyDescent="0.6">
      <c r="A658" t="s">
        <v>4674</v>
      </c>
      <c r="B658" t="s">
        <v>17</v>
      </c>
      <c r="C658" t="s">
        <v>3036</v>
      </c>
      <c r="E658" t="s">
        <v>2930</v>
      </c>
      <c r="F658">
        <v>3146332</v>
      </c>
      <c r="H658">
        <v>973082002</v>
      </c>
      <c r="I658">
        <v>80</v>
      </c>
      <c r="J658" s="98">
        <v>0.75</v>
      </c>
      <c r="K658" s="79">
        <v>46148.208333333336</v>
      </c>
      <c r="M658" t="s">
        <v>2910</v>
      </c>
      <c r="N658" s="99">
        <v>46178</v>
      </c>
      <c r="O658" s="75">
        <v>0.20833333333333334</v>
      </c>
      <c r="P658" t="s">
        <v>4675</v>
      </c>
      <c r="Q658" t="s">
        <v>967</v>
      </c>
      <c r="X658" t="s">
        <v>2914</v>
      </c>
    </row>
    <row r="659" spans="1:24" ht="16" customHeight="1" x14ac:dyDescent="0.6">
      <c r="A659" t="s">
        <v>4676</v>
      </c>
      <c r="B659" t="s">
        <v>17</v>
      </c>
      <c r="C659" t="s">
        <v>3258</v>
      </c>
      <c r="E659" t="s">
        <v>2917</v>
      </c>
      <c r="F659">
        <v>1874426</v>
      </c>
      <c r="H659">
        <v>949394466</v>
      </c>
      <c r="I659">
        <v>70</v>
      </c>
      <c r="J659" s="98">
        <v>0.75</v>
      </c>
      <c r="K659" s="79">
        <v>46148.208333333336</v>
      </c>
      <c r="M659" t="s">
        <v>2910</v>
      </c>
      <c r="N659" s="99">
        <v>46178</v>
      </c>
      <c r="O659" s="75">
        <v>0.20833333333333334</v>
      </c>
      <c r="P659" t="s">
        <v>4677</v>
      </c>
      <c r="Q659" t="s">
        <v>3364</v>
      </c>
      <c r="X659" t="s">
        <v>2914</v>
      </c>
    </row>
    <row r="660" spans="1:24" ht="16" customHeight="1" x14ac:dyDescent="0.6">
      <c r="A660" t="s">
        <v>4678</v>
      </c>
      <c r="B660" t="s">
        <v>17</v>
      </c>
      <c r="C660" t="s">
        <v>2924</v>
      </c>
      <c r="E660" t="s">
        <v>2930</v>
      </c>
      <c r="F660">
        <v>3140984</v>
      </c>
      <c r="H660">
        <v>388910849</v>
      </c>
      <c r="I660">
        <v>70</v>
      </c>
      <c r="J660" s="98">
        <v>1</v>
      </c>
      <c r="K660" s="79">
        <v>46148.208333333336</v>
      </c>
      <c r="M660" t="s">
        <v>2910</v>
      </c>
      <c r="N660" s="99">
        <v>46178</v>
      </c>
      <c r="O660" s="75">
        <v>0.20833333333333334</v>
      </c>
      <c r="P660" t="s">
        <v>4679</v>
      </c>
      <c r="Q660" t="s">
        <v>967</v>
      </c>
      <c r="X660" t="s">
        <v>2914</v>
      </c>
    </row>
    <row r="661" spans="1:24" ht="16" customHeight="1" x14ac:dyDescent="0.6">
      <c r="A661" t="s">
        <v>4680</v>
      </c>
      <c r="B661" t="s">
        <v>17</v>
      </c>
      <c r="C661" t="s">
        <v>2935</v>
      </c>
      <c r="E661" t="s">
        <v>2930</v>
      </c>
      <c r="F661">
        <v>3126160</v>
      </c>
      <c r="H661">
        <v>933892556</v>
      </c>
      <c r="I661">
        <v>50</v>
      </c>
      <c r="J661" s="98">
        <v>0.75</v>
      </c>
      <c r="K661" s="79">
        <v>46148.208333333336</v>
      </c>
      <c r="M661" t="s">
        <v>2910</v>
      </c>
      <c r="N661" s="99">
        <v>46178</v>
      </c>
      <c r="O661" s="75">
        <v>0.20833333333333334</v>
      </c>
      <c r="P661" t="s">
        <v>4681</v>
      </c>
      <c r="Q661" t="s">
        <v>967</v>
      </c>
      <c r="X661" t="s">
        <v>2914</v>
      </c>
    </row>
    <row r="662" spans="1:24" ht="16" customHeight="1" x14ac:dyDescent="0.6">
      <c r="A662" t="s">
        <v>4682</v>
      </c>
      <c r="B662" t="s">
        <v>17</v>
      </c>
      <c r="C662" t="s">
        <v>3093</v>
      </c>
      <c r="E662" t="s">
        <v>2930</v>
      </c>
      <c r="F662">
        <v>3135107</v>
      </c>
      <c r="H662">
        <v>344436412</v>
      </c>
      <c r="I662">
        <v>150</v>
      </c>
      <c r="J662" s="98">
        <v>1</v>
      </c>
      <c r="K662" s="79">
        <v>46148.416666666664</v>
      </c>
      <c r="M662" t="s">
        <v>2910</v>
      </c>
      <c r="N662" s="99">
        <v>46178</v>
      </c>
      <c r="O662" s="75">
        <v>0.52083333333333337</v>
      </c>
      <c r="P662" t="s">
        <v>4683</v>
      </c>
      <c r="Q662" t="s">
        <v>967</v>
      </c>
      <c r="R662" t="s">
        <v>4684</v>
      </c>
      <c r="S662" t="s">
        <v>1868</v>
      </c>
      <c r="T662" t="s">
        <v>4685</v>
      </c>
      <c r="V662" t="s">
        <v>202</v>
      </c>
      <c r="X662" t="s">
        <v>2914</v>
      </c>
    </row>
    <row r="663" spans="1:24" ht="16" customHeight="1" x14ac:dyDescent="0.6">
      <c r="A663" t="s">
        <v>4686</v>
      </c>
      <c r="B663" t="s">
        <v>17</v>
      </c>
      <c r="C663" t="s">
        <v>3126</v>
      </c>
      <c r="E663" t="s">
        <v>2930</v>
      </c>
      <c r="F663">
        <v>3124062</v>
      </c>
      <c r="H663">
        <v>966074753</v>
      </c>
      <c r="I663">
        <v>100</v>
      </c>
      <c r="J663" s="98">
        <v>1</v>
      </c>
      <c r="K663" s="79">
        <v>46148.4375</v>
      </c>
      <c r="M663" t="s">
        <v>2910</v>
      </c>
      <c r="N663" s="99">
        <v>46178</v>
      </c>
      <c r="O663" s="75">
        <v>0.5625</v>
      </c>
      <c r="P663" t="s">
        <v>4687</v>
      </c>
      <c r="Q663" t="s">
        <v>967</v>
      </c>
      <c r="R663" t="s">
        <v>2932</v>
      </c>
      <c r="S663" t="s">
        <v>1868</v>
      </c>
      <c r="T663" t="s">
        <v>2164</v>
      </c>
      <c r="V663" t="s">
        <v>2965</v>
      </c>
      <c r="X663" t="s">
        <v>2914</v>
      </c>
    </row>
    <row r="664" spans="1:24" ht="16" customHeight="1" x14ac:dyDescent="0.6">
      <c r="A664" t="s">
        <v>4688</v>
      </c>
      <c r="B664" t="s">
        <v>17</v>
      </c>
      <c r="C664" t="s">
        <v>3126</v>
      </c>
      <c r="E664" t="s">
        <v>2917</v>
      </c>
      <c r="F664">
        <v>3124062</v>
      </c>
      <c r="H664">
        <v>966074753</v>
      </c>
      <c r="I664">
        <v>100</v>
      </c>
      <c r="J664" s="98">
        <v>1</v>
      </c>
      <c r="K664" s="79">
        <v>46148.458333333336</v>
      </c>
      <c r="M664" t="s">
        <v>2955</v>
      </c>
      <c r="N664" s="99">
        <v>46178</v>
      </c>
      <c r="X664" t="s">
        <v>2914</v>
      </c>
    </row>
    <row r="665" spans="1:24" ht="16" customHeight="1" x14ac:dyDescent="0.6">
      <c r="A665" t="s">
        <v>4689</v>
      </c>
      <c r="B665" t="s">
        <v>17</v>
      </c>
      <c r="C665" t="s">
        <v>3208</v>
      </c>
      <c r="E665" t="s">
        <v>2930</v>
      </c>
      <c r="F665">
        <v>3089234</v>
      </c>
      <c r="G665" t="s">
        <v>4581</v>
      </c>
      <c r="H665">
        <v>904023657</v>
      </c>
      <c r="I665">
        <v>50</v>
      </c>
      <c r="J665" s="98">
        <v>1</v>
      </c>
      <c r="K665" s="79">
        <v>46148.458333333336</v>
      </c>
      <c r="L665" s="74" t="s">
        <v>4690</v>
      </c>
      <c r="M665" t="s">
        <v>3029</v>
      </c>
      <c r="N665" s="99">
        <v>46178</v>
      </c>
      <c r="X665" t="s">
        <v>2914</v>
      </c>
    </row>
    <row r="666" spans="1:24" ht="16" customHeight="1" x14ac:dyDescent="0.6">
      <c r="A666" t="s">
        <v>4691</v>
      </c>
      <c r="B666" t="s">
        <v>17</v>
      </c>
      <c r="C666" t="s">
        <v>3142</v>
      </c>
      <c r="E666" t="s">
        <v>2917</v>
      </c>
      <c r="F666">
        <v>1714094</v>
      </c>
      <c r="G666" t="s">
        <v>3143</v>
      </c>
      <c r="H666">
        <v>961790126</v>
      </c>
      <c r="I666">
        <v>150</v>
      </c>
      <c r="J666" s="98">
        <v>1</v>
      </c>
      <c r="K666" s="79">
        <v>46148.5</v>
      </c>
      <c r="M666" t="s">
        <v>2910</v>
      </c>
      <c r="N666" s="99">
        <v>46178</v>
      </c>
      <c r="O666" s="75">
        <v>0.625</v>
      </c>
      <c r="P666" t="s">
        <v>4692</v>
      </c>
      <c r="Q666" t="s">
        <v>967</v>
      </c>
      <c r="R666" s="73" t="s">
        <v>4693</v>
      </c>
      <c r="S666" t="s">
        <v>3339</v>
      </c>
      <c r="T666" t="s">
        <v>4694</v>
      </c>
      <c r="V666" t="s">
        <v>2965</v>
      </c>
      <c r="X666" t="s">
        <v>2914</v>
      </c>
    </row>
    <row r="667" spans="1:24" ht="16" customHeight="1" x14ac:dyDescent="0.6">
      <c r="A667" t="s">
        <v>4695</v>
      </c>
      <c r="B667" t="s">
        <v>17</v>
      </c>
      <c r="C667" t="s">
        <v>4629</v>
      </c>
      <c r="E667" t="s">
        <v>2917</v>
      </c>
      <c r="F667">
        <v>3126149</v>
      </c>
      <c r="H667">
        <v>338551953</v>
      </c>
      <c r="I667">
        <v>120</v>
      </c>
      <c r="J667" s="98">
        <v>1</v>
      </c>
      <c r="K667" s="79">
        <v>46148.416666666664</v>
      </c>
      <c r="L667" t="s">
        <v>4696</v>
      </c>
      <c r="M667" t="s">
        <v>3029</v>
      </c>
      <c r="N667" s="99">
        <v>46178</v>
      </c>
      <c r="X667" t="s">
        <v>2914</v>
      </c>
    </row>
    <row r="668" spans="1:24" ht="16" customHeight="1" x14ac:dyDescent="0.6">
      <c r="A668" t="s">
        <v>4697</v>
      </c>
      <c r="B668" t="s">
        <v>17</v>
      </c>
      <c r="C668" t="s">
        <v>4517</v>
      </c>
      <c r="D668" t="s">
        <v>4518</v>
      </c>
      <c r="E668" t="s">
        <v>2917</v>
      </c>
      <c r="F668">
        <v>3162056</v>
      </c>
      <c r="H668">
        <v>905555176</v>
      </c>
      <c r="I668">
        <v>100</v>
      </c>
      <c r="J668" s="98">
        <v>1</v>
      </c>
      <c r="K668" s="79">
        <v>46148.5</v>
      </c>
      <c r="M668" t="s">
        <v>3029</v>
      </c>
      <c r="N668" s="99">
        <v>46178</v>
      </c>
      <c r="X668" t="s">
        <v>2914</v>
      </c>
    </row>
    <row r="669" spans="1:24" ht="16" customHeight="1" x14ac:dyDescent="0.6">
      <c r="A669" t="s">
        <v>4698</v>
      </c>
      <c r="B669" t="s">
        <v>17</v>
      </c>
      <c r="C669" t="s">
        <v>2969</v>
      </c>
      <c r="E669" t="s">
        <v>2917</v>
      </c>
      <c r="F669">
        <v>3120451</v>
      </c>
      <c r="G669" t="s">
        <v>4456</v>
      </c>
      <c r="H669">
        <v>369085819</v>
      </c>
      <c r="I669">
        <v>100</v>
      </c>
      <c r="J669" s="98">
        <v>1</v>
      </c>
      <c r="K669" s="79">
        <v>46148.520833333336</v>
      </c>
      <c r="L669" t="s">
        <v>4699</v>
      </c>
      <c r="M669" t="s">
        <v>3029</v>
      </c>
      <c r="N669" s="99">
        <v>46178</v>
      </c>
      <c r="X669" t="s">
        <v>2914</v>
      </c>
    </row>
    <row r="670" spans="1:24" ht="16" customHeight="1" x14ac:dyDescent="0.6">
      <c r="A670" t="s">
        <v>4700</v>
      </c>
      <c r="B670" t="s">
        <v>17</v>
      </c>
      <c r="C670" t="s">
        <v>2994</v>
      </c>
      <c r="E670" t="s">
        <v>2930</v>
      </c>
      <c r="F670">
        <v>2033804</v>
      </c>
      <c r="H670">
        <v>396799427</v>
      </c>
      <c r="I670">
        <v>100</v>
      </c>
      <c r="J670" s="98">
        <v>1</v>
      </c>
      <c r="K670" s="79">
        <v>46148.645833333336</v>
      </c>
      <c r="M670" t="s">
        <v>2910</v>
      </c>
      <c r="N670" s="99">
        <v>46178</v>
      </c>
      <c r="O670" s="75">
        <v>0.60416666666666663</v>
      </c>
      <c r="P670" t="s">
        <v>4701</v>
      </c>
      <c r="Q670" t="s">
        <v>967</v>
      </c>
      <c r="R670" t="s">
        <v>3541</v>
      </c>
      <c r="S670" t="s">
        <v>1868</v>
      </c>
      <c r="T670" t="s">
        <v>2802</v>
      </c>
      <c r="V670" t="s">
        <v>2965</v>
      </c>
      <c r="X670" t="s">
        <v>2914</v>
      </c>
    </row>
    <row r="671" spans="1:24" ht="16" customHeight="1" x14ac:dyDescent="0.6">
      <c r="A671" t="s">
        <v>4702</v>
      </c>
      <c r="B671" t="s">
        <v>17</v>
      </c>
      <c r="C671" t="s">
        <v>3601</v>
      </c>
      <c r="E671" t="s">
        <v>2917</v>
      </c>
      <c r="F671">
        <v>1882650</v>
      </c>
      <c r="H671">
        <v>775748473</v>
      </c>
      <c r="I671">
        <v>150</v>
      </c>
      <c r="J671" s="98">
        <v>1</v>
      </c>
      <c r="K671" s="79">
        <v>46148.625</v>
      </c>
      <c r="M671" t="s">
        <v>2910</v>
      </c>
      <c r="N671" s="99">
        <v>46178</v>
      </c>
      <c r="O671" s="75">
        <v>0.64583333333333337</v>
      </c>
      <c r="P671" t="s">
        <v>4703</v>
      </c>
      <c r="Q671" t="s">
        <v>967</v>
      </c>
      <c r="R671" t="s">
        <v>3670</v>
      </c>
      <c r="S671" t="s">
        <v>1868</v>
      </c>
      <c r="T671" t="s">
        <v>2842</v>
      </c>
      <c r="V671" t="s">
        <v>2965</v>
      </c>
      <c r="X671" t="s">
        <v>2914</v>
      </c>
    </row>
    <row r="672" spans="1:24" ht="16" customHeight="1" x14ac:dyDescent="0.6">
      <c r="A672" t="s">
        <v>4704</v>
      </c>
      <c r="B672" t="s">
        <v>17</v>
      </c>
      <c r="C672" t="s">
        <v>3129</v>
      </c>
      <c r="E672" t="s">
        <v>2930</v>
      </c>
      <c r="F672">
        <v>1882650</v>
      </c>
      <c r="G672" t="s">
        <v>4234</v>
      </c>
      <c r="H672">
        <v>775748473</v>
      </c>
      <c r="I672">
        <v>400</v>
      </c>
      <c r="J672" t="s">
        <v>2919</v>
      </c>
      <c r="K672" s="79">
        <v>46148.708333333336</v>
      </c>
      <c r="M672" t="s">
        <v>2910</v>
      </c>
      <c r="N672" s="99">
        <v>46178</v>
      </c>
      <c r="P672" t="s">
        <v>4705</v>
      </c>
      <c r="Q672" t="s">
        <v>1356</v>
      </c>
      <c r="R672" t="s">
        <v>4706</v>
      </c>
      <c r="S672" t="s">
        <v>1868</v>
      </c>
      <c r="T672" t="s">
        <v>4479</v>
      </c>
      <c r="V672" t="s">
        <v>2965</v>
      </c>
      <c r="X672" t="s">
        <v>2914</v>
      </c>
    </row>
    <row r="673" spans="1:24" ht="16" customHeight="1" x14ac:dyDescent="0.6">
      <c r="A673" t="s">
        <v>4707</v>
      </c>
      <c r="B673" t="s">
        <v>17</v>
      </c>
      <c r="C673" t="s">
        <v>2969</v>
      </c>
      <c r="E673" t="s">
        <v>2930</v>
      </c>
      <c r="F673">
        <v>3120451</v>
      </c>
      <c r="G673" t="s">
        <v>4456</v>
      </c>
      <c r="H673">
        <v>369085819</v>
      </c>
      <c r="I673">
        <v>100</v>
      </c>
      <c r="J673" s="98">
        <v>1</v>
      </c>
      <c r="K673" s="79">
        <v>46148.677083333336</v>
      </c>
      <c r="L673" t="s">
        <v>4708</v>
      </c>
      <c r="M673" t="s">
        <v>3029</v>
      </c>
      <c r="N673" s="99">
        <v>46178</v>
      </c>
      <c r="X673" t="s">
        <v>2914</v>
      </c>
    </row>
    <row r="674" spans="1:24" ht="16" customHeight="1" x14ac:dyDescent="0.6">
      <c r="A674" t="s">
        <v>4709</v>
      </c>
      <c r="B674" t="s">
        <v>17</v>
      </c>
      <c r="C674" t="s">
        <v>3093</v>
      </c>
      <c r="E674" t="s">
        <v>2930</v>
      </c>
      <c r="F674">
        <v>1872928</v>
      </c>
      <c r="H674">
        <v>344176032</v>
      </c>
      <c r="I674">
        <v>70</v>
      </c>
      <c r="J674" s="98">
        <v>1</v>
      </c>
      <c r="K674" s="79">
        <v>46148.916666666664</v>
      </c>
      <c r="L674" t="s">
        <v>4710</v>
      </c>
      <c r="M674" t="s">
        <v>2910</v>
      </c>
      <c r="N674" s="99">
        <v>46178</v>
      </c>
      <c r="O674" s="75">
        <v>0.875</v>
      </c>
      <c r="P674" t="s">
        <v>4711</v>
      </c>
      <c r="Q674" t="s">
        <v>967</v>
      </c>
      <c r="R674" t="s">
        <v>4019</v>
      </c>
      <c r="S674" t="s">
        <v>4712</v>
      </c>
      <c r="T674" t="s">
        <v>3884</v>
      </c>
      <c r="V674" t="s">
        <v>2965</v>
      </c>
      <c r="X674" t="s">
        <v>2914</v>
      </c>
    </row>
    <row r="675" spans="1:24" ht="16" customHeight="1" x14ac:dyDescent="0.6">
      <c r="A675" t="s">
        <v>4713</v>
      </c>
      <c r="B675" t="s">
        <v>17</v>
      </c>
      <c r="C675" t="s">
        <v>3126</v>
      </c>
      <c r="E675" t="s">
        <v>2930</v>
      </c>
      <c r="F675">
        <v>3124062</v>
      </c>
      <c r="H675">
        <v>966074753</v>
      </c>
      <c r="I675">
        <v>100</v>
      </c>
      <c r="J675" s="98">
        <v>1</v>
      </c>
      <c r="K675" s="79">
        <v>46148.8125</v>
      </c>
      <c r="M675" t="s">
        <v>2910</v>
      </c>
      <c r="N675" s="99">
        <v>46178</v>
      </c>
      <c r="O675" s="75">
        <v>0.91666666666666663</v>
      </c>
      <c r="P675" t="s">
        <v>4714</v>
      </c>
      <c r="Q675" t="s">
        <v>967</v>
      </c>
      <c r="R675" t="s">
        <v>4715</v>
      </c>
      <c r="S675" t="s">
        <v>4712</v>
      </c>
      <c r="T675" t="s">
        <v>3309</v>
      </c>
      <c r="V675" t="s">
        <v>2965</v>
      </c>
      <c r="X675" t="s">
        <v>2914</v>
      </c>
    </row>
    <row r="676" spans="1:24" ht="16" customHeight="1" x14ac:dyDescent="0.6">
      <c r="A676" t="s">
        <v>4716</v>
      </c>
      <c r="B676" t="s">
        <v>17</v>
      </c>
      <c r="C676" t="s">
        <v>3154</v>
      </c>
      <c r="E676" t="s">
        <v>2930</v>
      </c>
      <c r="F676">
        <v>3110684</v>
      </c>
      <c r="H676">
        <v>931249063</v>
      </c>
      <c r="I676">
        <v>100</v>
      </c>
      <c r="J676" s="98">
        <v>0.75</v>
      </c>
      <c r="K676" s="79">
        <v>46148.833333333336</v>
      </c>
      <c r="M676" t="s">
        <v>2955</v>
      </c>
      <c r="N676" s="99">
        <v>46178</v>
      </c>
      <c r="X676" t="s">
        <v>2914</v>
      </c>
    </row>
    <row r="677" spans="1:24" ht="16" customHeight="1" x14ac:dyDescent="0.6">
      <c r="A677" t="s">
        <v>4717</v>
      </c>
      <c r="B677" t="s">
        <v>17</v>
      </c>
      <c r="C677" t="s">
        <v>4517</v>
      </c>
      <c r="D677" t="s">
        <v>4518</v>
      </c>
      <c r="E677" t="s">
        <v>2930</v>
      </c>
      <c r="F677">
        <v>3162056</v>
      </c>
      <c r="H677">
        <v>905555176</v>
      </c>
      <c r="I677">
        <v>100</v>
      </c>
      <c r="J677" s="98">
        <v>1</v>
      </c>
      <c r="K677" s="79">
        <v>46148.9375</v>
      </c>
      <c r="M677" t="s">
        <v>2910</v>
      </c>
      <c r="N677" s="99">
        <v>46178</v>
      </c>
      <c r="P677" t="s">
        <v>4519</v>
      </c>
      <c r="X677" t="s">
        <v>2914</v>
      </c>
    </row>
    <row r="678" spans="1:24" ht="16" customHeight="1" x14ac:dyDescent="0.6">
      <c r="A678" t="s">
        <v>4718</v>
      </c>
      <c r="B678" t="s">
        <v>17</v>
      </c>
      <c r="C678" t="s">
        <v>3055</v>
      </c>
      <c r="E678" t="s">
        <v>2930</v>
      </c>
      <c r="F678">
        <v>3152447</v>
      </c>
      <c r="H678">
        <v>914595782</v>
      </c>
      <c r="I678">
        <v>50</v>
      </c>
      <c r="J678" s="98">
        <v>0.75</v>
      </c>
      <c r="K678" s="79">
        <v>46148.708333333336</v>
      </c>
      <c r="M678" t="s">
        <v>2910</v>
      </c>
      <c r="N678" s="99">
        <v>46178</v>
      </c>
      <c r="P678" t="s">
        <v>3358</v>
      </c>
      <c r="X678" t="s">
        <v>2914</v>
      </c>
    </row>
    <row r="679" spans="1:24" ht="16" customHeight="1" x14ac:dyDescent="0.6">
      <c r="A679" t="s">
        <v>4719</v>
      </c>
      <c r="B679" t="s">
        <v>17</v>
      </c>
      <c r="C679" t="s">
        <v>3129</v>
      </c>
      <c r="E679" t="s">
        <v>2930</v>
      </c>
      <c r="F679">
        <v>1882650</v>
      </c>
      <c r="G679" t="s">
        <v>4234</v>
      </c>
      <c r="H679">
        <v>775748473</v>
      </c>
      <c r="I679">
        <v>150</v>
      </c>
      <c r="J679" t="s">
        <v>2919</v>
      </c>
      <c r="K679" s="79">
        <v>46148.75</v>
      </c>
      <c r="L679" t="s">
        <v>4720</v>
      </c>
      <c r="M679" t="s">
        <v>2910</v>
      </c>
      <c r="N679" s="99">
        <v>46178</v>
      </c>
      <c r="P679" t="s">
        <v>4721</v>
      </c>
      <c r="Q679" t="s">
        <v>1356</v>
      </c>
      <c r="R679" t="s">
        <v>2951</v>
      </c>
      <c r="S679" t="s">
        <v>1868</v>
      </c>
      <c r="T679" t="s">
        <v>3538</v>
      </c>
      <c r="V679" t="s">
        <v>2965</v>
      </c>
      <c r="X679" t="s">
        <v>2914</v>
      </c>
    </row>
    <row r="680" spans="1:24" ht="16" customHeight="1" x14ac:dyDescent="0.6">
      <c r="A680" t="s">
        <v>4722</v>
      </c>
      <c r="B680" t="s">
        <v>17</v>
      </c>
      <c r="C680" t="s">
        <v>4188</v>
      </c>
      <c r="D680" t="s">
        <v>4189</v>
      </c>
      <c r="E680" t="s">
        <v>2930</v>
      </c>
      <c r="F680">
        <v>3020591</v>
      </c>
      <c r="H680">
        <v>988544750</v>
      </c>
      <c r="I680">
        <v>200</v>
      </c>
      <c r="J680" s="98">
        <v>1</v>
      </c>
      <c r="K680" s="79">
        <v>46148.916666666664</v>
      </c>
      <c r="L680" t="s">
        <v>4723</v>
      </c>
      <c r="M680" t="s">
        <v>2910</v>
      </c>
      <c r="N680" s="99">
        <v>46178</v>
      </c>
      <c r="P680" t="s">
        <v>4600</v>
      </c>
      <c r="R680" t="s">
        <v>4724</v>
      </c>
      <c r="X680" t="s">
        <v>2914</v>
      </c>
    </row>
    <row r="681" spans="1:24" ht="16" customHeight="1" x14ac:dyDescent="0.6">
      <c r="A681" t="s">
        <v>4725</v>
      </c>
      <c r="B681" t="s">
        <v>17</v>
      </c>
      <c r="C681" t="s">
        <v>2969</v>
      </c>
      <c r="E681" t="s">
        <v>2930</v>
      </c>
      <c r="F681">
        <v>3120451</v>
      </c>
      <c r="G681" t="s">
        <v>4456</v>
      </c>
      <c r="H681">
        <v>369085819</v>
      </c>
      <c r="I681">
        <v>150</v>
      </c>
      <c r="J681" s="98">
        <v>1</v>
      </c>
      <c r="K681" s="79">
        <v>46148.875</v>
      </c>
      <c r="M681" t="s">
        <v>2910</v>
      </c>
      <c r="N681" s="99">
        <v>46178</v>
      </c>
      <c r="P681" t="s">
        <v>4509</v>
      </c>
      <c r="X681" t="s">
        <v>2914</v>
      </c>
    </row>
    <row r="682" spans="1:24" ht="16" customHeight="1" x14ac:dyDescent="0.6">
      <c r="A682" t="s">
        <v>4726</v>
      </c>
      <c r="B682" t="s">
        <v>17</v>
      </c>
      <c r="C682" t="s">
        <v>3093</v>
      </c>
      <c r="E682" t="s">
        <v>2930</v>
      </c>
      <c r="F682">
        <v>3135107</v>
      </c>
      <c r="H682">
        <v>344436412</v>
      </c>
      <c r="I682">
        <v>140</v>
      </c>
      <c r="J682" s="98">
        <v>1</v>
      </c>
      <c r="K682" s="79">
        <v>46148.9375</v>
      </c>
      <c r="M682" t="s">
        <v>3029</v>
      </c>
      <c r="N682" s="99">
        <v>46178</v>
      </c>
      <c r="X682" t="s">
        <v>2914</v>
      </c>
    </row>
    <row r="683" spans="1:24" ht="16" customHeight="1" x14ac:dyDescent="0.6">
      <c r="A683" t="s">
        <v>4727</v>
      </c>
      <c r="B683" t="s">
        <v>17</v>
      </c>
      <c r="C683" t="s">
        <v>3129</v>
      </c>
      <c r="E683" t="s">
        <v>2930</v>
      </c>
      <c r="F683">
        <v>1882650</v>
      </c>
      <c r="G683" t="s">
        <v>4234</v>
      </c>
      <c r="H683">
        <v>775748473</v>
      </c>
      <c r="I683">
        <v>150</v>
      </c>
      <c r="J683" t="s">
        <v>2919</v>
      </c>
      <c r="K683" s="79">
        <v>46148.8125</v>
      </c>
      <c r="M683" t="s">
        <v>2910</v>
      </c>
      <c r="N683" s="99">
        <v>46178</v>
      </c>
      <c r="O683" s="75">
        <v>0.82291666666666663</v>
      </c>
      <c r="P683" t="s">
        <v>4728</v>
      </c>
      <c r="Q683" t="s">
        <v>1356</v>
      </c>
      <c r="R683" t="s">
        <v>3076</v>
      </c>
      <c r="S683" t="s">
        <v>1868</v>
      </c>
      <c r="T683" t="s">
        <v>3655</v>
      </c>
      <c r="V683" t="s">
        <v>2965</v>
      </c>
      <c r="X683" t="s">
        <v>2914</v>
      </c>
    </row>
    <row r="684" spans="1:24" ht="16" customHeight="1" x14ac:dyDescent="0.6">
      <c r="A684" t="s">
        <v>4729</v>
      </c>
      <c r="B684" t="s">
        <v>17</v>
      </c>
      <c r="C684" t="s">
        <v>3129</v>
      </c>
      <c r="E684" t="s">
        <v>2930</v>
      </c>
      <c r="F684">
        <v>1882650</v>
      </c>
      <c r="G684" t="s">
        <v>4234</v>
      </c>
      <c r="H684">
        <v>775748473</v>
      </c>
      <c r="I684">
        <v>140</v>
      </c>
      <c r="J684" t="s">
        <v>2919</v>
      </c>
      <c r="K684" s="79">
        <v>46148.833333333336</v>
      </c>
      <c r="M684" t="s">
        <v>2910</v>
      </c>
      <c r="N684" s="99">
        <v>46178</v>
      </c>
      <c r="P684" t="s">
        <v>4730</v>
      </c>
      <c r="Q684" t="s">
        <v>1356</v>
      </c>
      <c r="R684" s="73" t="s">
        <v>4478</v>
      </c>
      <c r="S684" t="s">
        <v>1868</v>
      </c>
      <c r="T684" t="s">
        <v>4479</v>
      </c>
      <c r="V684" t="s">
        <v>2965</v>
      </c>
      <c r="X684" t="s">
        <v>2914</v>
      </c>
    </row>
    <row r="685" spans="1:24" ht="16" customHeight="1" x14ac:dyDescent="0.6">
      <c r="A685" t="s">
        <v>4731</v>
      </c>
      <c r="B685" t="s">
        <v>17</v>
      </c>
      <c r="C685" t="s">
        <v>3208</v>
      </c>
      <c r="E685" t="s">
        <v>2917</v>
      </c>
      <c r="F685">
        <v>3089234</v>
      </c>
      <c r="G685" t="s">
        <v>4581</v>
      </c>
      <c r="H685">
        <v>904023657</v>
      </c>
      <c r="I685">
        <v>300</v>
      </c>
      <c r="J685" t="s">
        <v>2919</v>
      </c>
      <c r="K685" s="79">
        <v>46148.916666666664</v>
      </c>
      <c r="M685" t="s">
        <v>2955</v>
      </c>
      <c r="X685" t="s">
        <v>2914</v>
      </c>
    </row>
    <row r="686" spans="1:24" ht="16" customHeight="1" x14ac:dyDescent="0.6">
      <c r="A686" t="s">
        <v>4732</v>
      </c>
      <c r="B686" t="s">
        <v>17</v>
      </c>
      <c r="C686" t="s">
        <v>3242</v>
      </c>
      <c r="E686" t="s">
        <v>2917</v>
      </c>
      <c r="F686">
        <v>3165452</v>
      </c>
      <c r="H686">
        <v>383527899</v>
      </c>
      <c r="I686">
        <v>60</v>
      </c>
      <c r="J686" s="98">
        <v>1</v>
      </c>
      <c r="K686" s="79">
        <v>46148.958333333336</v>
      </c>
      <c r="L686" t="s">
        <v>4733</v>
      </c>
      <c r="M686" t="s">
        <v>2910</v>
      </c>
      <c r="N686" s="99">
        <v>46178</v>
      </c>
      <c r="P686" t="s">
        <v>4275</v>
      </c>
      <c r="X686" t="s">
        <v>2914</v>
      </c>
    </row>
    <row r="687" spans="1:24" ht="16" customHeight="1" x14ac:dyDescent="0.6">
      <c r="A687" t="s">
        <v>4734</v>
      </c>
      <c r="B687" t="s">
        <v>17</v>
      </c>
      <c r="C687" t="s">
        <v>2929</v>
      </c>
      <c r="E687" t="s">
        <v>2930</v>
      </c>
      <c r="F687">
        <v>1874442</v>
      </c>
      <c r="H687">
        <v>349694008</v>
      </c>
      <c r="I687">
        <v>65</v>
      </c>
      <c r="J687" s="98">
        <v>1</v>
      </c>
      <c r="K687" s="79">
        <v>46148.833333333336</v>
      </c>
      <c r="M687" t="s">
        <v>2910</v>
      </c>
      <c r="N687" s="99">
        <v>46178</v>
      </c>
      <c r="P687" t="s">
        <v>4735</v>
      </c>
      <c r="Q687" t="s">
        <v>1356</v>
      </c>
      <c r="R687" t="s">
        <v>4736</v>
      </c>
      <c r="S687" t="s">
        <v>1868</v>
      </c>
      <c r="T687" t="s">
        <v>4737</v>
      </c>
      <c r="V687" t="s">
        <v>2965</v>
      </c>
      <c r="X687" t="s">
        <v>2914</v>
      </c>
    </row>
    <row r="688" spans="1:24" ht="16" customHeight="1" x14ac:dyDescent="0.6">
      <c r="A688" t="s">
        <v>4738</v>
      </c>
      <c r="B688" t="s">
        <v>17</v>
      </c>
      <c r="C688" t="s">
        <v>3142</v>
      </c>
      <c r="E688" t="s">
        <v>2930</v>
      </c>
      <c r="F688">
        <v>1714094</v>
      </c>
      <c r="G688" t="s">
        <v>3143</v>
      </c>
      <c r="H688">
        <v>961790126</v>
      </c>
      <c r="I688">
        <v>100</v>
      </c>
      <c r="J688" s="98">
        <v>1</v>
      </c>
      <c r="K688" s="79">
        <v>46148.875</v>
      </c>
      <c r="M688" t="s">
        <v>2910</v>
      </c>
      <c r="N688" s="99">
        <v>46178</v>
      </c>
      <c r="O688" s="75">
        <v>0.91666666666666663</v>
      </c>
      <c r="P688" t="s">
        <v>4739</v>
      </c>
      <c r="Q688" t="s">
        <v>1356</v>
      </c>
      <c r="R688" t="s">
        <v>3002</v>
      </c>
      <c r="S688" t="s">
        <v>1868</v>
      </c>
      <c r="T688" t="s">
        <v>3550</v>
      </c>
      <c r="V688" t="s">
        <v>2965</v>
      </c>
      <c r="X688" t="s">
        <v>2914</v>
      </c>
    </row>
    <row r="689" spans="1:24" ht="16" customHeight="1" x14ac:dyDescent="0.6">
      <c r="A689" t="s">
        <v>4740</v>
      </c>
      <c r="B689" t="s">
        <v>17</v>
      </c>
      <c r="C689" t="s">
        <v>2939</v>
      </c>
      <c r="E689" t="s">
        <v>2917</v>
      </c>
      <c r="F689">
        <v>2038263</v>
      </c>
      <c r="H689">
        <v>908234624</v>
      </c>
      <c r="I689">
        <v>100</v>
      </c>
      <c r="J689" s="98">
        <v>1</v>
      </c>
      <c r="K689" s="79">
        <v>46148.895833333336</v>
      </c>
      <c r="L689" t="s">
        <v>4741</v>
      </c>
      <c r="M689" t="s">
        <v>2910</v>
      </c>
      <c r="N689" s="99">
        <v>46178</v>
      </c>
      <c r="P689" t="s">
        <v>4496</v>
      </c>
      <c r="X689" t="s">
        <v>2914</v>
      </c>
    </row>
    <row r="690" spans="1:24" ht="16" customHeight="1" x14ac:dyDescent="0.6">
      <c r="A690" t="s">
        <v>4742</v>
      </c>
      <c r="B690" t="s">
        <v>17</v>
      </c>
      <c r="C690" t="s">
        <v>3632</v>
      </c>
      <c r="E690" t="s">
        <v>2917</v>
      </c>
      <c r="F690">
        <v>3167378</v>
      </c>
      <c r="H690">
        <v>825589878</v>
      </c>
      <c r="I690">
        <v>200</v>
      </c>
      <c r="J690" t="s">
        <v>2919</v>
      </c>
      <c r="K690" s="79">
        <v>46148.916666666664</v>
      </c>
      <c r="M690" t="s">
        <v>2910</v>
      </c>
      <c r="N690" s="99">
        <v>46178</v>
      </c>
      <c r="O690" s="75">
        <v>0.9375</v>
      </c>
      <c r="P690" t="s">
        <v>4743</v>
      </c>
      <c r="Q690" t="s">
        <v>967</v>
      </c>
      <c r="R690" t="s">
        <v>2932</v>
      </c>
      <c r="S690" t="s">
        <v>1868</v>
      </c>
      <c r="T690" t="s">
        <v>2933</v>
      </c>
      <c r="V690" t="s">
        <v>2965</v>
      </c>
      <c r="X690" t="s">
        <v>2914</v>
      </c>
    </row>
    <row r="691" spans="1:24" ht="16" customHeight="1" x14ac:dyDescent="0.6">
      <c r="A691" t="s">
        <v>4744</v>
      </c>
      <c r="B691" t="s">
        <v>17</v>
      </c>
      <c r="C691" t="s">
        <v>3031</v>
      </c>
      <c r="E691" t="s">
        <v>2917</v>
      </c>
      <c r="F691">
        <v>3017616</v>
      </c>
      <c r="H691">
        <v>707033652</v>
      </c>
      <c r="I691">
        <v>120</v>
      </c>
      <c r="J691" s="98">
        <v>1</v>
      </c>
      <c r="K691" s="79">
        <v>46148.916666666664</v>
      </c>
      <c r="M691" t="s">
        <v>2910</v>
      </c>
      <c r="N691" s="99">
        <v>46178</v>
      </c>
      <c r="P691" t="s">
        <v>4745</v>
      </c>
      <c r="Q691" t="s">
        <v>1356</v>
      </c>
      <c r="R691" t="s">
        <v>4746</v>
      </c>
      <c r="S691" t="s">
        <v>1868</v>
      </c>
      <c r="T691" t="s">
        <v>4747</v>
      </c>
      <c r="V691" t="s">
        <v>2965</v>
      </c>
      <c r="X691" t="s">
        <v>2914</v>
      </c>
    </row>
    <row r="692" spans="1:24" ht="16" customHeight="1" x14ac:dyDescent="0.6">
      <c r="A692" t="s">
        <v>4748</v>
      </c>
      <c r="B692" t="s">
        <v>17</v>
      </c>
      <c r="C692" t="s">
        <v>2994</v>
      </c>
      <c r="E692" t="s">
        <v>2909</v>
      </c>
      <c r="F692">
        <v>3023633</v>
      </c>
      <c r="G692" t="s">
        <v>4064</v>
      </c>
      <c r="H692">
        <v>936207489</v>
      </c>
      <c r="I692">
        <v>40</v>
      </c>
      <c r="J692" s="98">
        <v>1</v>
      </c>
      <c r="K692" s="79">
        <v>46148.927083333336</v>
      </c>
      <c r="M692" t="s">
        <v>2910</v>
      </c>
      <c r="N692" s="99">
        <v>46178</v>
      </c>
      <c r="P692" t="s">
        <v>4749</v>
      </c>
      <c r="Q692" t="s">
        <v>967</v>
      </c>
      <c r="R692" t="s">
        <v>2996</v>
      </c>
      <c r="S692" t="s">
        <v>1868</v>
      </c>
      <c r="T692" t="s">
        <v>2997</v>
      </c>
      <c r="V692" t="s">
        <v>202</v>
      </c>
      <c r="X692" t="s">
        <v>2914</v>
      </c>
    </row>
    <row r="693" spans="1:24" ht="16" customHeight="1" x14ac:dyDescent="0.6">
      <c r="A693" t="s">
        <v>4750</v>
      </c>
      <c r="B693" t="s">
        <v>17</v>
      </c>
      <c r="C693" t="s">
        <v>3258</v>
      </c>
      <c r="E693" t="s">
        <v>2930</v>
      </c>
      <c r="F693">
        <v>3109385</v>
      </c>
      <c r="H693">
        <v>966006271</v>
      </c>
      <c r="I693">
        <v>30</v>
      </c>
      <c r="J693" s="98">
        <v>0.5</v>
      </c>
      <c r="K693" s="79">
        <v>46148.885416666664</v>
      </c>
      <c r="M693" t="s">
        <v>2910</v>
      </c>
      <c r="N693" s="99">
        <v>46178</v>
      </c>
      <c r="P693" t="s">
        <v>4751</v>
      </c>
      <c r="Q693" t="s">
        <v>967</v>
      </c>
      <c r="R693" t="s">
        <v>2988</v>
      </c>
      <c r="S693" t="s">
        <v>1868</v>
      </c>
      <c r="T693" t="s">
        <v>2989</v>
      </c>
      <c r="V693" t="s">
        <v>2965</v>
      </c>
      <c r="X693" t="s">
        <v>2914</v>
      </c>
    </row>
    <row r="694" spans="1:24" ht="16" customHeight="1" x14ac:dyDescent="0.6">
      <c r="A694" t="s">
        <v>4752</v>
      </c>
      <c r="B694" t="s">
        <v>17</v>
      </c>
      <c r="C694" t="s">
        <v>4753</v>
      </c>
      <c r="E694" t="s">
        <v>2917</v>
      </c>
      <c r="F694">
        <v>3010957</v>
      </c>
      <c r="H694">
        <v>778867295</v>
      </c>
      <c r="I694">
        <v>30</v>
      </c>
      <c r="J694" s="98">
        <v>0.3</v>
      </c>
      <c r="K694" s="79">
        <v>46149.208333333336</v>
      </c>
      <c r="M694" t="s">
        <v>2910</v>
      </c>
      <c r="N694" s="99">
        <v>46208</v>
      </c>
      <c r="O694" s="75">
        <v>0.20833333333333334</v>
      </c>
      <c r="P694" t="s">
        <v>4754</v>
      </c>
      <c r="Q694" t="s">
        <v>967</v>
      </c>
      <c r="X694" t="s">
        <v>2914</v>
      </c>
    </row>
    <row r="695" spans="1:24" ht="16" customHeight="1" x14ac:dyDescent="0.6">
      <c r="A695" t="s">
        <v>4755</v>
      </c>
      <c r="B695" t="s">
        <v>17</v>
      </c>
      <c r="C695" t="s">
        <v>3242</v>
      </c>
      <c r="E695" t="s">
        <v>2917</v>
      </c>
      <c r="F695">
        <v>3165452</v>
      </c>
      <c r="H695">
        <v>383527899</v>
      </c>
      <c r="I695">
        <v>60</v>
      </c>
      <c r="J695" s="98">
        <v>1</v>
      </c>
      <c r="K695" s="79">
        <v>46148.916666666664</v>
      </c>
      <c r="L695" t="s">
        <v>4756</v>
      </c>
      <c r="M695" t="s">
        <v>2910</v>
      </c>
      <c r="N695" s="99">
        <v>46178</v>
      </c>
      <c r="O695" s="75">
        <v>0.94444444444444442</v>
      </c>
      <c r="P695" t="s">
        <v>4757</v>
      </c>
      <c r="Q695" t="s">
        <v>1356</v>
      </c>
      <c r="R695" t="s">
        <v>4758</v>
      </c>
      <c r="S695" t="s">
        <v>1868</v>
      </c>
      <c r="T695" t="s">
        <v>4759</v>
      </c>
      <c r="V695" t="s">
        <v>2965</v>
      </c>
      <c r="X695" t="s">
        <v>2914</v>
      </c>
    </row>
    <row r="696" spans="1:24" ht="16" customHeight="1" x14ac:dyDescent="0.6">
      <c r="A696" t="s">
        <v>4760</v>
      </c>
      <c r="B696" t="s">
        <v>17</v>
      </c>
      <c r="C696" t="s">
        <v>3719</v>
      </c>
      <c r="E696" t="s">
        <v>2909</v>
      </c>
      <c r="F696">
        <v>3131686</v>
      </c>
      <c r="G696" t="s">
        <v>3720</v>
      </c>
      <c r="H696">
        <v>985077421</v>
      </c>
      <c r="I696">
        <v>100</v>
      </c>
      <c r="J696" s="98">
        <v>1</v>
      </c>
      <c r="K696" s="79">
        <v>46148.885416666664</v>
      </c>
      <c r="L696" t="s">
        <v>4761</v>
      </c>
      <c r="M696" t="s">
        <v>2910</v>
      </c>
      <c r="N696" s="99">
        <v>46178</v>
      </c>
      <c r="P696" t="s">
        <v>4762</v>
      </c>
      <c r="Q696" t="s">
        <v>967</v>
      </c>
      <c r="R696" t="s">
        <v>4763</v>
      </c>
      <c r="S696" t="s">
        <v>1868</v>
      </c>
      <c r="T696" t="s">
        <v>3059</v>
      </c>
      <c r="V696" t="s">
        <v>202</v>
      </c>
      <c r="X696" t="s">
        <v>2914</v>
      </c>
    </row>
    <row r="697" spans="1:24" ht="16" customHeight="1" x14ac:dyDescent="0.6">
      <c r="A697" t="s">
        <v>4764</v>
      </c>
      <c r="B697" t="s">
        <v>17</v>
      </c>
      <c r="C697" t="s">
        <v>3380</v>
      </c>
      <c r="E697" t="s">
        <v>2917</v>
      </c>
      <c r="F697">
        <v>3106634</v>
      </c>
      <c r="H697">
        <v>908377969</v>
      </c>
      <c r="I697">
        <v>30</v>
      </c>
      <c r="J697" s="98">
        <v>0.3</v>
      </c>
      <c r="K697" s="79">
        <v>46148.916666666664</v>
      </c>
      <c r="M697" t="s">
        <v>3029</v>
      </c>
      <c r="N697" s="99">
        <v>46178</v>
      </c>
      <c r="X697" t="s">
        <v>2914</v>
      </c>
    </row>
    <row r="698" spans="1:24" ht="16" customHeight="1" x14ac:dyDescent="0.6">
      <c r="A698" t="s">
        <v>4765</v>
      </c>
      <c r="B698" t="s">
        <v>17</v>
      </c>
      <c r="C698" t="s">
        <v>3036</v>
      </c>
      <c r="E698" t="s">
        <v>2917</v>
      </c>
      <c r="F698">
        <v>3156430</v>
      </c>
      <c r="H698">
        <v>382049610</v>
      </c>
      <c r="I698">
        <v>50</v>
      </c>
      <c r="J698" s="98">
        <v>1</v>
      </c>
      <c r="K698" s="79">
        <v>46148.90625</v>
      </c>
      <c r="M698" t="s">
        <v>2910</v>
      </c>
      <c r="N698" s="99">
        <v>46178</v>
      </c>
      <c r="O698" s="75">
        <v>0.95833333333333337</v>
      </c>
      <c r="P698" t="s">
        <v>4762</v>
      </c>
      <c r="Q698" t="s">
        <v>967</v>
      </c>
      <c r="R698" t="s">
        <v>3025</v>
      </c>
      <c r="S698" t="s">
        <v>1868</v>
      </c>
      <c r="T698" t="s">
        <v>4766</v>
      </c>
      <c r="V698" t="s">
        <v>2965</v>
      </c>
      <c r="X698" t="s">
        <v>2914</v>
      </c>
    </row>
    <row r="699" spans="1:24" ht="16" customHeight="1" x14ac:dyDescent="0.6">
      <c r="A699" t="s">
        <v>4767</v>
      </c>
      <c r="B699" t="s">
        <v>17</v>
      </c>
      <c r="C699" t="s">
        <v>3049</v>
      </c>
      <c r="E699" t="s">
        <v>2909</v>
      </c>
      <c r="F699">
        <v>3074147</v>
      </c>
      <c r="H699">
        <v>945806398</v>
      </c>
      <c r="I699">
        <v>50</v>
      </c>
      <c r="J699" s="98">
        <v>0.5</v>
      </c>
      <c r="K699" s="79">
        <v>46148.895833333336</v>
      </c>
      <c r="L699" t="s">
        <v>3234</v>
      </c>
      <c r="M699" t="s">
        <v>2910</v>
      </c>
      <c r="N699" s="99">
        <v>46178</v>
      </c>
      <c r="O699" s="75">
        <v>0.90625</v>
      </c>
      <c r="P699" t="s">
        <v>4768</v>
      </c>
      <c r="Q699" t="s">
        <v>967</v>
      </c>
      <c r="R699" t="s">
        <v>4769</v>
      </c>
      <c r="S699" t="s">
        <v>1868</v>
      </c>
      <c r="T699" t="s">
        <v>4770</v>
      </c>
      <c r="V699" t="s">
        <v>202</v>
      </c>
      <c r="X699" t="s">
        <v>2914</v>
      </c>
    </row>
    <row r="700" spans="1:24" ht="16" customHeight="1" x14ac:dyDescent="0.6">
      <c r="A700" t="s">
        <v>4771</v>
      </c>
      <c r="B700" t="s">
        <v>17</v>
      </c>
      <c r="C700" t="s">
        <v>3232</v>
      </c>
      <c r="E700" t="s">
        <v>2930</v>
      </c>
      <c r="F700">
        <v>3123441</v>
      </c>
      <c r="G700" t="s">
        <v>4772</v>
      </c>
      <c r="H700">
        <v>969884070</v>
      </c>
      <c r="I700">
        <v>200</v>
      </c>
      <c r="J700" s="98">
        <v>0.75</v>
      </c>
      <c r="K700" s="79">
        <v>46148.958333333336</v>
      </c>
      <c r="L700" t="s">
        <v>4772</v>
      </c>
      <c r="M700" t="s">
        <v>2910</v>
      </c>
      <c r="N700" s="99">
        <v>46178</v>
      </c>
      <c r="O700" s="75">
        <v>0.91666666666666663</v>
      </c>
      <c r="P700" t="s">
        <v>4773</v>
      </c>
      <c r="Q700" t="s">
        <v>967</v>
      </c>
      <c r="R700" t="s">
        <v>3210</v>
      </c>
      <c r="S700" t="s">
        <v>1868</v>
      </c>
      <c r="T700" t="s">
        <v>3063</v>
      </c>
      <c r="V700" t="s">
        <v>2965</v>
      </c>
      <c r="X700" t="s">
        <v>2914</v>
      </c>
    </row>
    <row r="701" spans="1:24" ht="16" customHeight="1" x14ac:dyDescent="0.6">
      <c r="A701" t="s">
        <v>4774</v>
      </c>
      <c r="B701" t="s">
        <v>17</v>
      </c>
      <c r="C701" t="s">
        <v>2976</v>
      </c>
      <c r="E701" t="s">
        <v>2917</v>
      </c>
      <c r="F701">
        <v>3142412</v>
      </c>
      <c r="G701" t="s">
        <v>4775</v>
      </c>
      <c r="H701">
        <v>773468919</v>
      </c>
      <c r="I701">
        <v>200</v>
      </c>
      <c r="J701" s="98">
        <v>1</v>
      </c>
      <c r="K701" s="79">
        <v>46148.416666666664</v>
      </c>
      <c r="M701" t="s">
        <v>2910</v>
      </c>
      <c r="N701" s="99">
        <v>46178</v>
      </c>
      <c r="P701" t="s">
        <v>4776</v>
      </c>
      <c r="Q701" t="s">
        <v>1356</v>
      </c>
      <c r="R701" t="s">
        <v>4777</v>
      </c>
      <c r="S701" t="s">
        <v>1868</v>
      </c>
      <c r="T701" t="s">
        <v>4778</v>
      </c>
      <c r="V701" t="s">
        <v>2965</v>
      </c>
      <c r="X701" t="s">
        <v>2914</v>
      </c>
    </row>
    <row r="702" spans="1:24" ht="16" customHeight="1" x14ac:dyDescent="0.6">
      <c r="A702" t="s">
        <v>4779</v>
      </c>
      <c r="B702" t="s">
        <v>17</v>
      </c>
      <c r="C702" t="s">
        <v>3179</v>
      </c>
      <c r="E702" t="s">
        <v>2930</v>
      </c>
      <c r="F702">
        <v>3149706</v>
      </c>
      <c r="G702" t="s">
        <v>3180</v>
      </c>
      <c r="H702">
        <v>706395955</v>
      </c>
      <c r="I702">
        <v>300</v>
      </c>
      <c r="J702" s="98">
        <v>1</v>
      </c>
      <c r="K702" s="79">
        <v>46148.958333333336</v>
      </c>
      <c r="M702" t="s">
        <v>3029</v>
      </c>
      <c r="N702" s="99">
        <v>46178</v>
      </c>
      <c r="X702" t="s">
        <v>2914</v>
      </c>
    </row>
    <row r="703" spans="1:24" ht="16" customHeight="1" x14ac:dyDescent="0.6">
      <c r="A703" t="s">
        <v>4780</v>
      </c>
      <c r="B703" t="s">
        <v>17</v>
      </c>
      <c r="C703" t="s">
        <v>3179</v>
      </c>
      <c r="E703" t="s">
        <v>2909</v>
      </c>
      <c r="F703">
        <v>3149706</v>
      </c>
      <c r="G703" t="s">
        <v>3180</v>
      </c>
      <c r="H703">
        <v>706395955</v>
      </c>
      <c r="I703">
        <v>150</v>
      </c>
      <c r="J703" s="98">
        <v>1</v>
      </c>
      <c r="K703" s="79">
        <v>46148.958333333336</v>
      </c>
      <c r="M703" t="s">
        <v>3029</v>
      </c>
      <c r="N703" s="99">
        <v>46178</v>
      </c>
      <c r="X703" t="s">
        <v>2914</v>
      </c>
    </row>
    <row r="704" spans="1:24" ht="16" customHeight="1" x14ac:dyDescent="0.6">
      <c r="A704" t="s">
        <v>4781</v>
      </c>
      <c r="B704" t="s">
        <v>17</v>
      </c>
      <c r="C704" t="s">
        <v>3047</v>
      </c>
      <c r="E704" t="s">
        <v>2930</v>
      </c>
      <c r="F704">
        <v>3168346</v>
      </c>
      <c r="G704" t="s">
        <v>4782</v>
      </c>
      <c r="H704">
        <v>394659030</v>
      </c>
      <c r="I704">
        <v>10</v>
      </c>
      <c r="J704" s="98">
        <v>0.3</v>
      </c>
      <c r="K704" s="79">
        <v>46148.916666666664</v>
      </c>
      <c r="M704" t="s">
        <v>3029</v>
      </c>
      <c r="N704" s="99">
        <v>46178</v>
      </c>
      <c r="X704" t="s">
        <v>2914</v>
      </c>
    </row>
    <row r="705" spans="1:24" ht="16" customHeight="1" x14ac:dyDescent="0.6">
      <c r="A705" t="s">
        <v>4783</v>
      </c>
      <c r="B705" t="s">
        <v>17</v>
      </c>
      <c r="C705" t="s">
        <v>3011</v>
      </c>
      <c r="E705" t="s">
        <v>2909</v>
      </c>
      <c r="F705">
        <v>3050886</v>
      </c>
      <c r="H705">
        <v>907153889</v>
      </c>
      <c r="I705">
        <v>100</v>
      </c>
      <c r="J705" s="98">
        <v>1</v>
      </c>
      <c r="K705" s="79">
        <v>46148.916666666664</v>
      </c>
      <c r="M705" t="s">
        <v>2955</v>
      </c>
      <c r="N705" s="99">
        <v>46178</v>
      </c>
      <c r="X705" t="s">
        <v>2914</v>
      </c>
    </row>
    <row r="706" spans="1:24" ht="16" customHeight="1" x14ac:dyDescent="0.6">
      <c r="A706" t="s">
        <v>4784</v>
      </c>
      <c r="B706" t="s">
        <v>17</v>
      </c>
      <c r="C706" t="s">
        <v>3036</v>
      </c>
      <c r="E706" t="s">
        <v>2909</v>
      </c>
      <c r="F706">
        <v>3156430</v>
      </c>
      <c r="H706">
        <v>382049610</v>
      </c>
      <c r="I706">
        <v>30</v>
      </c>
      <c r="J706" s="98">
        <v>0.75</v>
      </c>
      <c r="K706" s="79">
        <v>46148.9375</v>
      </c>
      <c r="M706" t="s">
        <v>2910</v>
      </c>
      <c r="N706" s="99">
        <v>46178</v>
      </c>
      <c r="O706" s="75">
        <v>0.95833333333333337</v>
      </c>
      <c r="P706" t="s">
        <v>4785</v>
      </c>
      <c r="Q706" t="s">
        <v>967</v>
      </c>
      <c r="R706" t="s">
        <v>3529</v>
      </c>
      <c r="S706" t="s">
        <v>1868</v>
      </c>
      <c r="T706" t="s">
        <v>4786</v>
      </c>
      <c r="V706" t="s">
        <v>202</v>
      </c>
      <c r="X706" t="s">
        <v>2914</v>
      </c>
    </row>
    <row r="707" spans="1:24" ht="16" customHeight="1" x14ac:dyDescent="0.6">
      <c r="A707" t="s">
        <v>4787</v>
      </c>
      <c r="B707" t="s">
        <v>17</v>
      </c>
      <c r="C707" t="s">
        <v>3047</v>
      </c>
      <c r="E707" t="s">
        <v>2930</v>
      </c>
      <c r="F707">
        <v>3168346</v>
      </c>
      <c r="G707" t="s">
        <v>4782</v>
      </c>
      <c r="H707">
        <v>394659030</v>
      </c>
      <c r="I707">
        <v>10</v>
      </c>
      <c r="J707" s="98">
        <v>0.3</v>
      </c>
      <c r="K707" s="79">
        <v>46149.208333333336</v>
      </c>
      <c r="M707" t="s">
        <v>2910</v>
      </c>
      <c r="N707" s="99">
        <v>46208</v>
      </c>
      <c r="O707" s="75">
        <v>0.20833333333333334</v>
      </c>
      <c r="P707" t="s">
        <v>4754</v>
      </c>
      <c r="Q707" t="s">
        <v>967</v>
      </c>
      <c r="S707" t="s">
        <v>1868</v>
      </c>
      <c r="X707" t="s">
        <v>2914</v>
      </c>
    </row>
    <row r="708" spans="1:24" ht="16" customHeight="1" x14ac:dyDescent="0.6">
      <c r="A708" t="s">
        <v>4788</v>
      </c>
      <c r="B708" t="s">
        <v>17</v>
      </c>
      <c r="C708" t="s">
        <v>3547</v>
      </c>
      <c r="D708" t="s">
        <v>140</v>
      </c>
      <c r="E708" t="s">
        <v>2917</v>
      </c>
      <c r="F708">
        <v>3020591</v>
      </c>
      <c r="H708">
        <v>988544750</v>
      </c>
      <c r="I708">
        <v>200</v>
      </c>
      <c r="J708" s="98">
        <v>1</v>
      </c>
      <c r="K708" s="79">
        <v>46149.166666666664</v>
      </c>
      <c r="M708" t="s">
        <v>2910</v>
      </c>
      <c r="N708" s="99">
        <v>46208</v>
      </c>
      <c r="O708" s="75">
        <v>0.20833333333333334</v>
      </c>
      <c r="P708" t="s">
        <v>4789</v>
      </c>
      <c r="Q708" t="s">
        <v>1356</v>
      </c>
      <c r="S708" t="s">
        <v>1868</v>
      </c>
      <c r="X708" t="s">
        <v>2914</v>
      </c>
    </row>
    <row r="709" spans="1:24" ht="16" customHeight="1" x14ac:dyDescent="0.6">
      <c r="A709" t="s">
        <v>4790</v>
      </c>
      <c r="B709" t="s">
        <v>17</v>
      </c>
      <c r="C709" t="s">
        <v>2957</v>
      </c>
      <c r="E709" t="s">
        <v>2930</v>
      </c>
      <c r="F709">
        <v>3153015</v>
      </c>
      <c r="H709">
        <v>973797545</v>
      </c>
      <c r="I709">
        <v>100</v>
      </c>
      <c r="J709" s="98">
        <v>1</v>
      </c>
      <c r="K709" s="79">
        <v>46149.21875</v>
      </c>
      <c r="M709" t="s">
        <v>2910</v>
      </c>
      <c r="N709" s="99">
        <v>46208</v>
      </c>
      <c r="O709" s="75">
        <v>0.20833333333333334</v>
      </c>
      <c r="P709" t="s">
        <v>4791</v>
      </c>
      <c r="Q709" t="s">
        <v>1356</v>
      </c>
      <c r="R709">
        <v>2041</v>
      </c>
      <c r="S709" t="s">
        <v>1868</v>
      </c>
      <c r="X709" t="s">
        <v>2914</v>
      </c>
    </row>
    <row r="710" spans="1:24" ht="16" customHeight="1" x14ac:dyDescent="0.6">
      <c r="A710" t="s">
        <v>4792</v>
      </c>
      <c r="B710" t="s">
        <v>17</v>
      </c>
      <c r="C710" t="s">
        <v>3031</v>
      </c>
      <c r="E710" t="s">
        <v>2917</v>
      </c>
      <c r="F710">
        <v>3147977</v>
      </c>
      <c r="H710">
        <v>797255556</v>
      </c>
      <c r="I710">
        <v>100</v>
      </c>
      <c r="J710" s="98">
        <v>1</v>
      </c>
      <c r="K710" s="79">
        <v>46149.229166666664</v>
      </c>
      <c r="M710" t="s">
        <v>2910</v>
      </c>
      <c r="N710" s="99">
        <v>46208</v>
      </c>
      <c r="O710" s="75">
        <v>0.20833333333333334</v>
      </c>
      <c r="P710" t="s">
        <v>4793</v>
      </c>
      <c r="Q710" t="s">
        <v>1356</v>
      </c>
      <c r="S710" t="s">
        <v>1868</v>
      </c>
      <c r="X710" t="s">
        <v>2914</v>
      </c>
    </row>
    <row r="711" spans="1:24" ht="16" customHeight="1" x14ac:dyDescent="0.6">
      <c r="A711" t="s">
        <v>4794</v>
      </c>
      <c r="B711" t="s">
        <v>17</v>
      </c>
      <c r="C711" t="s">
        <v>2939</v>
      </c>
      <c r="E711" t="s">
        <v>2917</v>
      </c>
      <c r="F711">
        <v>2038263</v>
      </c>
      <c r="H711">
        <v>908234624</v>
      </c>
      <c r="I711">
        <v>29</v>
      </c>
      <c r="J711" s="98">
        <v>0.5</v>
      </c>
      <c r="K711" s="79">
        <v>46149.208333333336</v>
      </c>
      <c r="M711" t="s">
        <v>2910</v>
      </c>
      <c r="N711" s="99">
        <v>46208</v>
      </c>
      <c r="O711" s="75">
        <v>0.20833333333333334</v>
      </c>
      <c r="P711" t="s">
        <v>4795</v>
      </c>
      <c r="Q711" t="s">
        <v>967</v>
      </c>
      <c r="R711" t="s">
        <v>3249</v>
      </c>
      <c r="S711" t="s">
        <v>1868</v>
      </c>
      <c r="T711" t="s">
        <v>3250</v>
      </c>
      <c r="X711" t="s">
        <v>2914</v>
      </c>
    </row>
    <row r="712" spans="1:24" ht="16" customHeight="1" x14ac:dyDescent="0.6">
      <c r="A712" t="s">
        <v>4796</v>
      </c>
      <c r="B712" t="s">
        <v>17</v>
      </c>
      <c r="C712" t="s">
        <v>4797</v>
      </c>
      <c r="E712" t="s">
        <v>2930</v>
      </c>
      <c r="F712">
        <v>3031270</v>
      </c>
      <c r="G712" t="s">
        <v>4798</v>
      </c>
      <c r="H712">
        <v>862888359</v>
      </c>
      <c r="I712">
        <v>50</v>
      </c>
      <c r="J712" s="98">
        <v>0.5</v>
      </c>
      <c r="K712" s="79">
        <v>46150.208333333336</v>
      </c>
      <c r="M712" t="s">
        <v>2910</v>
      </c>
      <c r="N712" s="99">
        <v>46208</v>
      </c>
      <c r="O712" s="75">
        <v>0.20833333333333334</v>
      </c>
      <c r="P712" t="s">
        <v>4799</v>
      </c>
      <c r="Q712" t="s">
        <v>3568</v>
      </c>
      <c r="R712" t="s">
        <v>4800</v>
      </c>
      <c r="S712" t="s">
        <v>1868</v>
      </c>
      <c r="T712" t="s">
        <v>4801</v>
      </c>
      <c r="X712" t="s">
        <v>2914</v>
      </c>
    </row>
    <row r="713" spans="1:24" ht="16" customHeight="1" x14ac:dyDescent="0.6">
      <c r="A713" t="s">
        <v>4802</v>
      </c>
      <c r="B713" t="s">
        <v>17</v>
      </c>
      <c r="C713" t="s">
        <v>4803</v>
      </c>
      <c r="D713" t="s">
        <v>4804</v>
      </c>
      <c r="E713" t="s">
        <v>2917</v>
      </c>
      <c r="F713">
        <v>3122639</v>
      </c>
      <c r="G713" t="s">
        <v>2918</v>
      </c>
      <c r="H713">
        <v>867140497</v>
      </c>
      <c r="I713">
        <v>100</v>
      </c>
      <c r="J713" s="98">
        <v>1</v>
      </c>
      <c r="K713" s="79">
        <v>46149.625</v>
      </c>
      <c r="L713" t="s">
        <v>4805</v>
      </c>
      <c r="M713" t="s">
        <v>2910</v>
      </c>
      <c r="N713" s="99">
        <v>46208</v>
      </c>
      <c r="O713" s="75">
        <v>0.60416666666666663</v>
      </c>
      <c r="P713" t="s">
        <v>4806</v>
      </c>
      <c r="Q713" t="s">
        <v>967</v>
      </c>
      <c r="R713" t="s">
        <v>4807</v>
      </c>
      <c r="S713" t="s">
        <v>1868</v>
      </c>
      <c r="T713" t="s">
        <v>2834</v>
      </c>
      <c r="V713" t="s">
        <v>2965</v>
      </c>
      <c r="X713" t="s">
        <v>2914</v>
      </c>
    </row>
    <row r="714" spans="1:24" ht="16" customHeight="1" x14ac:dyDescent="0.6">
      <c r="A714" t="s">
        <v>4808</v>
      </c>
      <c r="B714" t="s">
        <v>17</v>
      </c>
      <c r="C714" t="s">
        <v>2976</v>
      </c>
      <c r="E714" t="s">
        <v>2917</v>
      </c>
      <c r="F714">
        <v>3124891</v>
      </c>
      <c r="H714">
        <v>774688086</v>
      </c>
      <c r="I714">
        <v>90</v>
      </c>
      <c r="J714" s="98">
        <v>1</v>
      </c>
      <c r="K714" s="79">
        <v>46149.604166666664</v>
      </c>
      <c r="M714" t="s">
        <v>2910</v>
      </c>
      <c r="N714" s="99">
        <v>46208</v>
      </c>
      <c r="P714" t="s">
        <v>4809</v>
      </c>
      <c r="Q714" t="s">
        <v>967</v>
      </c>
      <c r="R714" t="s">
        <v>3711</v>
      </c>
      <c r="S714" t="s">
        <v>1868</v>
      </c>
      <c r="T714" t="s">
        <v>2960</v>
      </c>
      <c r="V714" t="s">
        <v>202</v>
      </c>
      <c r="X714" t="s">
        <v>2914</v>
      </c>
    </row>
    <row r="715" spans="1:24" ht="16" customHeight="1" x14ac:dyDescent="0.6">
      <c r="A715" t="s">
        <v>4810</v>
      </c>
      <c r="B715" t="s">
        <v>17</v>
      </c>
      <c r="C715" t="s">
        <v>3601</v>
      </c>
      <c r="E715" t="s">
        <v>2930</v>
      </c>
      <c r="F715">
        <v>1882650</v>
      </c>
      <c r="G715" t="s">
        <v>4234</v>
      </c>
      <c r="H715">
        <v>775748473</v>
      </c>
      <c r="I715">
        <v>120</v>
      </c>
      <c r="J715" s="98">
        <v>1</v>
      </c>
      <c r="K715" s="79">
        <v>46149.645833333336</v>
      </c>
      <c r="M715" t="s">
        <v>2910</v>
      </c>
      <c r="N715" s="99">
        <v>46208</v>
      </c>
      <c r="P715" t="s">
        <v>4811</v>
      </c>
      <c r="Q715" t="s">
        <v>1356</v>
      </c>
      <c r="R715" s="73" t="s">
        <v>4478</v>
      </c>
      <c r="S715" t="s">
        <v>1868</v>
      </c>
      <c r="T715" t="s">
        <v>4479</v>
      </c>
      <c r="V715" t="s">
        <v>2965</v>
      </c>
      <c r="X715" t="s">
        <v>2914</v>
      </c>
    </row>
    <row r="716" spans="1:24" ht="16" customHeight="1" x14ac:dyDescent="0.6">
      <c r="A716" t="s">
        <v>4812</v>
      </c>
      <c r="B716" t="s">
        <v>17</v>
      </c>
      <c r="C716" t="s">
        <v>3093</v>
      </c>
      <c r="E716" t="s">
        <v>2930</v>
      </c>
      <c r="F716">
        <v>3135107</v>
      </c>
      <c r="H716">
        <v>344436412</v>
      </c>
      <c r="I716">
        <v>130</v>
      </c>
      <c r="J716" s="98">
        <v>1</v>
      </c>
      <c r="K716" s="79">
        <v>46149.875</v>
      </c>
      <c r="M716" t="s">
        <v>2910</v>
      </c>
      <c r="N716" s="99">
        <v>46208</v>
      </c>
      <c r="O716" s="75">
        <v>0.875</v>
      </c>
      <c r="P716" t="s">
        <v>4813</v>
      </c>
      <c r="Q716" t="s">
        <v>1356</v>
      </c>
      <c r="R716" t="s">
        <v>4814</v>
      </c>
      <c r="S716" t="s">
        <v>1868</v>
      </c>
      <c r="T716" t="s">
        <v>4815</v>
      </c>
      <c r="V716" t="s">
        <v>2965</v>
      </c>
      <c r="X716" t="s">
        <v>2914</v>
      </c>
    </row>
    <row r="717" spans="1:24" ht="16" customHeight="1" x14ac:dyDescent="0.6">
      <c r="A717" t="s">
        <v>4816</v>
      </c>
      <c r="B717" t="s">
        <v>17</v>
      </c>
      <c r="C717" t="s">
        <v>3547</v>
      </c>
      <c r="D717" t="s">
        <v>140</v>
      </c>
      <c r="E717" t="s">
        <v>2930</v>
      </c>
      <c r="F717">
        <v>3020591</v>
      </c>
      <c r="H717">
        <v>988544750</v>
      </c>
      <c r="I717">
        <v>200</v>
      </c>
      <c r="J717" s="98">
        <v>1</v>
      </c>
      <c r="K717" s="79">
        <v>46149.895833333336</v>
      </c>
      <c r="M717" t="s">
        <v>2910</v>
      </c>
      <c r="N717" s="99">
        <v>46208</v>
      </c>
      <c r="P717" t="s">
        <v>4817</v>
      </c>
      <c r="Q717" t="s">
        <v>1356</v>
      </c>
      <c r="R717" t="s">
        <v>3002</v>
      </c>
      <c r="S717" t="s">
        <v>1868</v>
      </c>
      <c r="T717" t="s">
        <v>3550</v>
      </c>
      <c r="V717" t="s">
        <v>2965</v>
      </c>
      <c r="X717" t="s">
        <v>2914</v>
      </c>
    </row>
    <row r="718" spans="1:24" ht="16" customHeight="1" x14ac:dyDescent="0.6">
      <c r="A718" t="s">
        <v>4818</v>
      </c>
      <c r="B718" t="s">
        <v>17</v>
      </c>
      <c r="C718" t="s">
        <v>2957</v>
      </c>
      <c r="E718" t="s">
        <v>2930</v>
      </c>
      <c r="F718">
        <v>1802852</v>
      </c>
      <c r="H718">
        <v>974607460</v>
      </c>
      <c r="I718">
        <v>100</v>
      </c>
      <c r="J718" s="98">
        <v>1</v>
      </c>
      <c r="K718" s="79">
        <v>46149.84375</v>
      </c>
      <c r="M718" t="s">
        <v>2910</v>
      </c>
      <c r="N718" s="99">
        <v>46208</v>
      </c>
      <c r="P718" t="s">
        <v>4819</v>
      </c>
      <c r="Q718" t="s">
        <v>1356</v>
      </c>
      <c r="R718" t="s">
        <v>4820</v>
      </c>
      <c r="S718" t="s">
        <v>3096</v>
      </c>
      <c r="T718" t="s">
        <v>4821</v>
      </c>
      <c r="V718" t="s">
        <v>2965</v>
      </c>
      <c r="X718" t="s">
        <v>2914</v>
      </c>
    </row>
    <row r="719" spans="1:24" ht="16" customHeight="1" x14ac:dyDescent="0.6">
      <c r="A719" t="s">
        <v>4822</v>
      </c>
      <c r="B719" t="s">
        <v>17</v>
      </c>
      <c r="C719" t="s">
        <v>2957</v>
      </c>
      <c r="E719" t="s">
        <v>2930</v>
      </c>
      <c r="F719">
        <v>1802852</v>
      </c>
      <c r="H719">
        <v>974607460</v>
      </c>
      <c r="I719">
        <v>100</v>
      </c>
      <c r="J719" s="98">
        <v>1</v>
      </c>
      <c r="K719" s="79">
        <v>46149.854166666664</v>
      </c>
      <c r="M719" t="s">
        <v>2910</v>
      </c>
      <c r="N719" s="99">
        <v>46208</v>
      </c>
      <c r="P719" t="s">
        <v>4819</v>
      </c>
      <c r="Q719" t="s">
        <v>1356</v>
      </c>
      <c r="R719" t="s">
        <v>4820</v>
      </c>
      <c r="S719" t="s">
        <v>3096</v>
      </c>
      <c r="T719" t="s">
        <v>4821</v>
      </c>
      <c r="V719" t="s">
        <v>2965</v>
      </c>
      <c r="X719" t="s">
        <v>2914</v>
      </c>
    </row>
    <row r="720" spans="1:24" ht="16" customHeight="1" x14ac:dyDescent="0.6">
      <c r="A720" t="s">
        <v>4823</v>
      </c>
      <c r="B720" t="s">
        <v>17</v>
      </c>
      <c r="C720" t="s">
        <v>3055</v>
      </c>
      <c r="E720" t="s">
        <v>2930</v>
      </c>
      <c r="F720">
        <v>3152447</v>
      </c>
      <c r="H720">
        <v>914595782</v>
      </c>
      <c r="I720">
        <v>45</v>
      </c>
      <c r="J720" s="98">
        <v>0.75</v>
      </c>
      <c r="K720" s="79">
        <v>46149.9375</v>
      </c>
      <c r="M720" t="s">
        <v>2910</v>
      </c>
      <c r="N720" s="99">
        <v>46208</v>
      </c>
      <c r="O720" s="75">
        <v>0.89583333333333337</v>
      </c>
      <c r="P720" t="s">
        <v>4824</v>
      </c>
      <c r="Q720" t="s">
        <v>967</v>
      </c>
      <c r="R720" t="s">
        <v>3210</v>
      </c>
      <c r="S720" t="s">
        <v>1868</v>
      </c>
      <c r="T720" t="s">
        <v>3566</v>
      </c>
      <c r="V720" t="s">
        <v>2965</v>
      </c>
      <c r="X720" t="s">
        <v>2914</v>
      </c>
    </row>
    <row r="721" spans="1:24" ht="16" customHeight="1" x14ac:dyDescent="0.6">
      <c r="A721" t="s">
        <v>4825</v>
      </c>
      <c r="B721" t="s">
        <v>17</v>
      </c>
      <c r="C721" t="s">
        <v>2986</v>
      </c>
      <c r="E721" t="s">
        <v>2930</v>
      </c>
      <c r="F721">
        <v>3150112</v>
      </c>
      <c r="G721" t="s">
        <v>3920</v>
      </c>
      <c r="H721">
        <v>965514797</v>
      </c>
      <c r="I721">
        <v>150</v>
      </c>
      <c r="J721" s="98">
        <v>0.75</v>
      </c>
      <c r="K721" s="79">
        <v>46149.875</v>
      </c>
      <c r="M721" t="s">
        <v>2910</v>
      </c>
      <c r="N721" s="99">
        <v>46208</v>
      </c>
      <c r="O721" s="75">
        <v>0.91666666666666663</v>
      </c>
      <c r="P721" t="s">
        <v>4826</v>
      </c>
      <c r="Q721" t="s">
        <v>967</v>
      </c>
      <c r="R721" t="s">
        <v>3190</v>
      </c>
      <c r="S721" t="s">
        <v>1868</v>
      </c>
      <c r="T721" t="s">
        <v>3026</v>
      </c>
      <c r="V721" t="s">
        <v>2965</v>
      </c>
      <c r="X721" t="s">
        <v>2914</v>
      </c>
    </row>
    <row r="722" spans="1:24" ht="16" customHeight="1" x14ac:dyDescent="0.6">
      <c r="A722" t="s">
        <v>4827</v>
      </c>
      <c r="B722" t="s">
        <v>17</v>
      </c>
      <c r="C722" t="s">
        <v>2957</v>
      </c>
      <c r="E722" t="s">
        <v>2909</v>
      </c>
      <c r="F722">
        <v>1802852</v>
      </c>
      <c r="H722">
        <v>974607460</v>
      </c>
      <c r="I722">
        <v>50</v>
      </c>
      <c r="J722" s="98">
        <v>0.75</v>
      </c>
      <c r="K722" s="79">
        <v>46149.875</v>
      </c>
      <c r="M722" t="s">
        <v>2910</v>
      </c>
      <c r="N722" s="99">
        <v>46208</v>
      </c>
      <c r="O722" s="75">
        <v>0.90625</v>
      </c>
      <c r="P722" t="s">
        <v>4828</v>
      </c>
      <c r="Q722" t="s">
        <v>967</v>
      </c>
      <c r="R722" t="s">
        <v>3711</v>
      </c>
      <c r="S722" t="s">
        <v>1868</v>
      </c>
      <c r="T722" t="s">
        <v>2960</v>
      </c>
      <c r="V722" t="s">
        <v>202</v>
      </c>
      <c r="X722" t="s">
        <v>2914</v>
      </c>
    </row>
    <row r="723" spans="1:24" ht="16" customHeight="1" x14ac:dyDescent="0.6">
      <c r="A723" t="s">
        <v>4829</v>
      </c>
      <c r="B723" t="s">
        <v>17</v>
      </c>
      <c r="C723" t="s">
        <v>3179</v>
      </c>
      <c r="E723" t="s">
        <v>2909</v>
      </c>
      <c r="F723">
        <v>3149706</v>
      </c>
      <c r="G723" t="s">
        <v>3180</v>
      </c>
      <c r="H723">
        <v>706395955</v>
      </c>
      <c r="I723">
        <v>150</v>
      </c>
      <c r="J723" s="98">
        <v>1</v>
      </c>
      <c r="K723" s="79">
        <v>46149.875</v>
      </c>
      <c r="M723" t="s">
        <v>2910</v>
      </c>
      <c r="N723" s="99">
        <v>46208</v>
      </c>
      <c r="O723" s="75">
        <v>0.86111111111111116</v>
      </c>
      <c r="P723" t="s">
        <v>4830</v>
      </c>
      <c r="Q723" t="s">
        <v>967</v>
      </c>
      <c r="R723" t="s">
        <v>3038</v>
      </c>
      <c r="S723" t="s">
        <v>1868</v>
      </c>
      <c r="T723" t="s">
        <v>3039</v>
      </c>
      <c r="V723" t="s">
        <v>202</v>
      </c>
      <c r="X723" t="s">
        <v>2914</v>
      </c>
    </row>
    <row r="724" spans="1:24" ht="16" customHeight="1" x14ac:dyDescent="0.6">
      <c r="A724" t="s">
        <v>4831</v>
      </c>
      <c r="B724" t="s">
        <v>17</v>
      </c>
      <c r="C724" t="s">
        <v>3179</v>
      </c>
      <c r="E724" t="s">
        <v>2909</v>
      </c>
      <c r="F724">
        <v>3149706</v>
      </c>
      <c r="G724" t="s">
        <v>3180</v>
      </c>
      <c r="H724">
        <v>706395955</v>
      </c>
      <c r="I724">
        <v>150</v>
      </c>
      <c r="J724" s="98">
        <v>1</v>
      </c>
      <c r="K724" s="79">
        <v>46149.895833333336</v>
      </c>
      <c r="M724" t="s">
        <v>2910</v>
      </c>
      <c r="N724" s="99">
        <v>46208</v>
      </c>
      <c r="O724" s="75">
        <v>0.91666666666666663</v>
      </c>
      <c r="P724" t="s">
        <v>4832</v>
      </c>
      <c r="Q724" t="s">
        <v>967</v>
      </c>
      <c r="R724" t="s">
        <v>4833</v>
      </c>
      <c r="S724" t="s">
        <v>1868</v>
      </c>
      <c r="T724" t="s">
        <v>3059</v>
      </c>
      <c r="V724" t="s">
        <v>202</v>
      </c>
      <c r="X724" t="s">
        <v>2914</v>
      </c>
    </row>
    <row r="725" spans="1:24" ht="16" customHeight="1" x14ac:dyDescent="0.6">
      <c r="A725" t="s">
        <v>4834</v>
      </c>
      <c r="B725" t="s">
        <v>17</v>
      </c>
      <c r="C725" t="s">
        <v>2994</v>
      </c>
      <c r="E725" t="s">
        <v>2909</v>
      </c>
      <c r="F725">
        <v>3023633</v>
      </c>
      <c r="G725" t="s">
        <v>4064</v>
      </c>
      <c r="H725">
        <v>936207489</v>
      </c>
      <c r="I725">
        <v>50</v>
      </c>
      <c r="J725" s="98">
        <v>1</v>
      </c>
      <c r="K725" s="79">
        <v>46149.927083333336</v>
      </c>
      <c r="M725" t="s">
        <v>2910</v>
      </c>
      <c r="N725" s="99">
        <v>46208</v>
      </c>
      <c r="O725" s="75">
        <v>0.91666666666666663</v>
      </c>
      <c r="P725" t="s">
        <v>4835</v>
      </c>
      <c r="Q725" t="s">
        <v>967</v>
      </c>
      <c r="R725" t="s">
        <v>3073</v>
      </c>
      <c r="S725" t="s">
        <v>1868</v>
      </c>
      <c r="T725" t="s">
        <v>2997</v>
      </c>
      <c r="V725" t="s">
        <v>202</v>
      </c>
      <c r="X725" t="s">
        <v>2914</v>
      </c>
    </row>
    <row r="726" spans="1:24" ht="16" customHeight="1" x14ac:dyDescent="0.6">
      <c r="A726" t="s">
        <v>4836</v>
      </c>
      <c r="B726" t="s">
        <v>17</v>
      </c>
      <c r="C726" t="s">
        <v>3142</v>
      </c>
      <c r="E726" t="s">
        <v>2930</v>
      </c>
      <c r="F726">
        <v>1714094</v>
      </c>
      <c r="G726" t="s">
        <v>3143</v>
      </c>
      <c r="H726">
        <v>961790126</v>
      </c>
      <c r="I726">
        <v>150</v>
      </c>
      <c r="J726" s="98">
        <v>1</v>
      </c>
      <c r="K726" s="79">
        <v>46149.875</v>
      </c>
      <c r="M726" t="s">
        <v>2910</v>
      </c>
      <c r="N726" s="99">
        <v>46208</v>
      </c>
      <c r="O726" s="75">
        <v>0.91666666666666663</v>
      </c>
      <c r="P726" t="s">
        <v>4837</v>
      </c>
      <c r="Q726" t="s">
        <v>967</v>
      </c>
      <c r="R726" t="s">
        <v>4331</v>
      </c>
      <c r="S726" t="s">
        <v>1868</v>
      </c>
      <c r="T726" t="s">
        <v>4838</v>
      </c>
      <c r="V726" t="s">
        <v>2965</v>
      </c>
      <c r="X726" t="s">
        <v>2914</v>
      </c>
    </row>
    <row r="727" spans="1:24" ht="16" customHeight="1" x14ac:dyDescent="0.6">
      <c r="A727" t="s">
        <v>4839</v>
      </c>
      <c r="B727" t="s">
        <v>17</v>
      </c>
      <c r="C727" t="s">
        <v>3242</v>
      </c>
      <c r="E727" t="s">
        <v>2930</v>
      </c>
      <c r="F727">
        <v>3139139</v>
      </c>
      <c r="H727">
        <v>977705672</v>
      </c>
      <c r="I727">
        <v>100</v>
      </c>
      <c r="J727" s="98">
        <v>1</v>
      </c>
      <c r="K727" s="79">
        <v>46149.875</v>
      </c>
      <c r="M727" t="s">
        <v>2910</v>
      </c>
      <c r="N727" s="99">
        <v>46208</v>
      </c>
      <c r="O727" s="75">
        <v>0.94791666666666663</v>
      </c>
      <c r="P727" t="s">
        <v>4840</v>
      </c>
      <c r="Q727" t="s">
        <v>967</v>
      </c>
      <c r="R727" t="s">
        <v>3013</v>
      </c>
      <c r="S727" t="s">
        <v>1868</v>
      </c>
      <c r="T727" t="s">
        <v>2974</v>
      </c>
      <c r="V727" t="s">
        <v>2965</v>
      </c>
      <c r="X727" t="s">
        <v>2914</v>
      </c>
    </row>
    <row r="728" spans="1:24" ht="16" customHeight="1" x14ac:dyDescent="0.6">
      <c r="A728" t="s">
        <v>4841</v>
      </c>
      <c r="B728" t="s">
        <v>17</v>
      </c>
      <c r="C728" t="s">
        <v>3036</v>
      </c>
      <c r="E728" t="s">
        <v>2909</v>
      </c>
      <c r="F728">
        <v>3146332</v>
      </c>
      <c r="H728">
        <v>382049610</v>
      </c>
      <c r="I728">
        <v>50</v>
      </c>
      <c r="J728" s="98">
        <v>0.75</v>
      </c>
      <c r="K728" s="79">
        <v>46148.916666666664</v>
      </c>
      <c r="M728" t="s">
        <v>2910</v>
      </c>
      <c r="N728" s="99">
        <v>46208</v>
      </c>
      <c r="O728" s="75">
        <v>0.88541666666666663</v>
      </c>
      <c r="P728" t="s">
        <v>4842</v>
      </c>
      <c r="Q728" t="s">
        <v>967</v>
      </c>
      <c r="R728" t="s">
        <v>3013</v>
      </c>
      <c r="S728" t="s">
        <v>1868</v>
      </c>
      <c r="T728" t="s">
        <v>2974</v>
      </c>
      <c r="V728" t="s">
        <v>202</v>
      </c>
      <c r="X728" t="s">
        <v>2914</v>
      </c>
    </row>
    <row r="729" spans="1:24" ht="16" customHeight="1" x14ac:dyDescent="0.6">
      <c r="A729" t="s">
        <v>4843</v>
      </c>
      <c r="B729" t="s">
        <v>17</v>
      </c>
      <c r="C729" t="s">
        <v>3601</v>
      </c>
      <c r="E729" t="s">
        <v>2930</v>
      </c>
      <c r="F729">
        <v>1882650</v>
      </c>
      <c r="G729" t="s">
        <v>4234</v>
      </c>
      <c r="H729">
        <v>775748473</v>
      </c>
      <c r="I729">
        <v>70</v>
      </c>
      <c r="J729" s="98">
        <v>1</v>
      </c>
      <c r="K729" s="79">
        <v>46149.875</v>
      </c>
      <c r="M729" t="s">
        <v>2955</v>
      </c>
      <c r="O729" s="75">
        <v>0.90625</v>
      </c>
      <c r="X729" t="s">
        <v>2914</v>
      </c>
    </row>
    <row r="730" spans="1:24" ht="16" customHeight="1" x14ac:dyDescent="0.6">
      <c r="A730" t="s">
        <v>4844</v>
      </c>
      <c r="B730" t="s">
        <v>17</v>
      </c>
      <c r="C730" t="s">
        <v>2969</v>
      </c>
      <c r="E730" t="s">
        <v>2917</v>
      </c>
      <c r="F730">
        <v>3120451</v>
      </c>
      <c r="G730" t="s">
        <v>4456</v>
      </c>
      <c r="H730">
        <v>369085819</v>
      </c>
      <c r="I730">
        <v>60</v>
      </c>
      <c r="J730" s="98">
        <v>0.75</v>
      </c>
      <c r="K730" s="79">
        <v>46149.916666666664</v>
      </c>
      <c r="M730" t="s">
        <v>2910</v>
      </c>
      <c r="N730" s="99">
        <v>46208</v>
      </c>
      <c r="O730" s="75">
        <v>0.90625</v>
      </c>
      <c r="P730" t="s">
        <v>4845</v>
      </c>
      <c r="Q730" t="s">
        <v>967</v>
      </c>
      <c r="R730" t="s">
        <v>2932</v>
      </c>
      <c r="S730" t="s">
        <v>1868</v>
      </c>
      <c r="T730" t="s">
        <v>2933</v>
      </c>
      <c r="V730" t="s">
        <v>3009</v>
      </c>
      <c r="X730" t="s">
        <v>2914</v>
      </c>
    </row>
    <row r="731" spans="1:24" ht="16" customHeight="1" x14ac:dyDescent="0.6">
      <c r="A731" t="s">
        <v>4846</v>
      </c>
      <c r="B731" t="s">
        <v>17</v>
      </c>
      <c r="C731" t="s">
        <v>3380</v>
      </c>
      <c r="E731" t="s">
        <v>2917</v>
      </c>
      <c r="F731">
        <v>3106634</v>
      </c>
      <c r="H731">
        <v>908377969</v>
      </c>
      <c r="I731">
        <v>30</v>
      </c>
      <c r="J731" s="98">
        <v>0.3</v>
      </c>
      <c r="K731" s="79">
        <v>46149.916666666664</v>
      </c>
      <c r="M731" t="s">
        <v>2910</v>
      </c>
      <c r="N731" s="99">
        <v>46208</v>
      </c>
      <c r="P731" t="s">
        <v>4847</v>
      </c>
      <c r="Q731" t="s">
        <v>967</v>
      </c>
      <c r="R731" t="s">
        <v>3033</v>
      </c>
      <c r="S731" t="s">
        <v>1868</v>
      </c>
      <c r="T731" t="s">
        <v>4848</v>
      </c>
      <c r="V731" t="s">
        <v>2947</v>
      </c>
      <c r="X731" t="s">
        <v>2914</v>
      </c>
    </row>
    <row r="732" spans="1:24" ht="16" customHeight="1" x14ac:dyDescent="0.6">
      <c r="A732" t="s">
        <v>4849</v>
      </c>
      <c r="B732" t="s">
        <v>17</v>
      </c>
      <c r="C732" t="s">
        <v>3049</v>
      </c>
      <c r="E732" t="s">
        <v>2909</v>
      </c>
      <c r="F732">
        <v>3074147</v>
      </c>
      <c r="H732">
        <v>945806398</v>
      </c>
      <c r="I732">
        <v>50</v>
      </c>
      <c r="J732" s="98">
        <v>0.75</v>
      </c>
      <c r="K732" s="79">
        <v>46149.895833333336</v>
      </c>
      <c r="L732" t="s">
        <v>3234</v>
      </c>
      <c r="M732" t="s">
        <v>2910</v>
      </c>
      <c r="N732" s="99">
        <v>46208</v>
      </c>
      <c r="O732" s="75">
        <v>0.91666666666666663</v>
      </c>
      <c r="P732" t="s">
        <v>4850</v>
      </c>
      <c r="Q732" t="s">
        <v>967</v>
      </c>
      <c r="R732" t="s">
        <v>4851</v>
      </c>
      <c r="S732" t="s">
        <v>1868</v>
      </c>
      <c r="T732" t="s">
        <v>4770</v>
      </c>
      <c r="V732" t="s">
        <v>202</v>
      </c>
      <c r="X732" t="s">
        <v>2914</v>
      </c>
    </row>
    <row r="733" spans="1:24" ht="16" customHeight="1" x14ac:dyDescent="0.6">
      <c r="A733" t="s">
        <v>4852</v>
      </c>
      <c r="B733" t="s">
        <v>17</v>
      </c>
      <c r="C733" t="s">
        <v>2986</v>
      </c>
      <c r="E733" t="s">
        <v>2917</v>
      </c>
      <c r="F733">
        <v>3150112</v>
      </c>
      <c r="G733" t="s">
        <v>3920</v>
      </c>
      <c r="H733">
        <v>965514797</v>
      </c>
      <c r="I733">
        <v>150</v>
      </c>
      <c r="J733" s="98">
        <v>1</v>
      </c>
      <c r="K733" s="79">
        <v>46150.666666666664</v>
      </c>
      <c r="M733" t="s">
        <v>2910</v>
      </c>
      <c r="N733" s="99">
        <v>46239</v>
      </c>
      <c r="P733" t="s">
        <v>4853</v>
      </c>
      <c r="Q733" t="s">
        <v>967</v>
      </c>
      <c r="R733" t="s">
        <v>3033</v>
      </c>
      <c r="S733" t="s">
        <v>1868</v>
      </c>
      <c r="T733" t="s">
        <v>2185</v>
      </c>
      <c r="V733" t="s">
        <v>2965</v>
      </c>
      <c r="X733" t="s">
        <v>2914</v>
      </c>
    </row>
    <row r="734" spans="1:24" ht="16" customHeight="1" x14ac:dyDescent="0.6">
      <c r="A734" t="s">
        <v>4854</v>
      </c>
      <c r="B734" t="s">
        <v>17</v>
      </c>
      <c r="C734" t="s">
        <v>3093</v>
      </c>
      <c r="E734" t="s">
        <v>2930</v>
      </c>
      <c r="F734">
        <v>3135107</v>
      </c>
      <c r="H734">
        <v>344436412</v>
      </c>
      <c r="I734">
        <v>600</v>
      </c>
      <c r="J734" s="98">
        <v>1</v>
      </c>
      <c r="K734" s="79">
        <v>46150.875</v>
      </c>
      <c r="L734" t="s">
        <v>4855</v>
      </c>
      <c r="M734" t="s">
        <v>2955</v>
      </c>
      <c r="N734" s="99">
        <v>46239</v>
      </c>
      <c r="X734" t="s">
        <v>2914</v>
      </c>
    </row>
    <row r="735" spans="1:24" ht="16" customHeight="1" x14ac:dyDescent="0.6">
      <c r="A735" t="s">
        <v>4856</v>
      </c>
      <c r="B735" t="s">
        <v>17</v>
      </c>
      <c r="C735" t="s">
        <v>3093</v>
      </c>
      <c r="E735" t="s">
        <v>2930</v>
      </c>
      <c r="F735">
        <v>3135107</v>
      </c>
      <c r="H735">
        <v>344436412</v>
      </c>
      <c r="I735">
        <v>600</v>
      </c>
      <c r="J735" s="98">
        <v>1</v>
      </c>
      <c r="K735" s="79">
        <v>46150.895833333336</v>
      </c>
      <c r="L735" t="s">
        <v>4855</v>
      </c>
      <c r="M735" t="s">
        <v>2955</v>
      </c>
      <c r="N735" s="99">
        <v>46239</v>
      </c>
      <c r="X735" t="s">
        <v>2914</v>
      </c>
    </row>
    <row r="736" spans="1:24" ht="16" customHeight="1" x14ac:dyDescent="0.6">
      <c r="A736" t="s">
        <v>4857</v>
      </c>
      <c r="B736" t="s">
        <v>17</v>
      </c>
      <c r="C736" t="s">
        <v>3093</v>
      </c>
      <c r="E736" t="s">
        <v>2930</v>
      </c>
      <c r="F736">
        <v>3135107</v>
      </c>
      <c r="H736">
        <v>344436412</v>
      </c>
      <c r="I736">
        <v>60</v>
      </c>
      <c r="J736" s="98">
        <v>1</v>
      </c>
      <c r="K736" s="79">
        <v>46150.916666666664</v>
      </c>
      <c r="L736" t="s">
        <v>4855</v>
      </c>
      <c r="M736" t="s">
        <v>2910</v>
      </c>
      <c r="N736" s="99">
        <v>46239</v>
      </c>
      <c r="O736" s="75">
        <v>0.89583333333333337</v>
      </c>
      <c r="P736" t="s">
        <v>4858</v>
      </c>
      <c r="Q736" t="s">
        <v>1356</v>
      </c>
      <c r="R736" t="s">
        <v>4859</v>
      </c>
      <c r="S736" t="s">
        <v>1868</v>
      </c>
      <c r="T736" t="s">
        <v>4860</v>
      </c>
      <c r="V736" t="s">
        <v>2965</v>
      </c>
      <c r="X736" t="s">
        <v>2914</v>
      </c>
    </row>
    <row r="737" spans="1:24" ht="16" customHeight="1" x14ac:dyDescent="0.6">
      <c r="A737" t="s">
        <v>4861</v>
      </c>
      <c r="B737" t="s">
        <v>17</v>
      </c>
      <c r="C737" t="s">
        <v>3093</v>
      </c>
      <c r="E737" t="s">
        <v>2930</v>
      </c>
      <c r="F737">
        <v>3135107</v>
      </c>
      <c r="H737">
        <v>344436412</v>
      </c>
      <c r="I737">
        <v>600</v>
      </c>
      <c r="J737" s="98">
        <v>1</v>
      </c>
      <c r="K737" s="79">
        <v>46150.9375</v>
      </c>
      <c r="L737" t="s">
        <v>4855</v>
      </c>
      <c r="M737" t="s">
        <v>2910</v>
      </c>
      <c r="N737" s="99">
        <v>46239</v>
      </c>
      <c r="O737" s="75">
        <v>0.90625</v>
      </c>
      <c r="P737" t="s">
        <v>4862</v>
      </c>
      <c r="Q737" t="s">
        <v>1356</v>
      </c>
      <c r="R737" t="s">
        <v>4863</v>
      </c>
      <c r="S737" t="s">
        <v>1868</v>
      </c>
      <c r="T737" t="s">
        <v>4864</v>
      </c>
      <c r="V737" t="s">
        <v>2965</v>
      </c>
      <c r="X737" t="s">
        <v>2914</v>
      </c>
    </row>
    <row r="738" spans="1:24" ht="16" customHeight="1" x14ac:dyDescent="0.6">
      <c r="A738" t="s">
        <v>4865</v>
      </c>
      <c r="B738" t="s">
        <v>17</v>
      </c>
      <c r="C738" t="s">
        <v>3055</v>
      </c>
      <c r="E738" t="s">
        <v>2930</v>
      </c>
      <c r="F738">
        <v>3152447</v>
      </c>
      <c r="H738">
        <v>914595782</v>
      </c>
      <c r="I738">
        <v>50</v>
      </c>
      <c r="J738" s="98">
        <v>0.75</v>
      </c>
      <c r="K738" s="79">
        <v>46150.9375</v>
      </c>
      <c r="M738" t="s">
        <v>2910</v>
      </c>
      <c r="N738" s="99">
        <v>46239</v>
      </c>
      <c r="O738" s="75">
        <v>0.91666666666666663</v>
      </c>
      <c r="P738" t="s">
        <v>4866</v>
      </c>
      <c r="Q738" t="s">
        <v>967</v>
      </c>
      <c r="R738" t="s">
        <v>3210</v>
      </c>
      <c r="S738" t="s">
        <v>1868</v>
      </c>
      <c r="T738" t="s">
        <v>3566</v>
      </c>
      <c r="V738" t="s">
        <v>2965</v>
      </c>
      <c r="X738" t="s">
        <v>2914</v>
      </c>
    </row>
    <row r="739" spans="1:24" ht="16" customHeight="1" x14ac:dyDescent="0.6">
      <c r="A739" t="s">
        <v>4867</v>
      </c>
      <c r="B739" t="s">
        <v>17</v>
      </c>
      <c r="C739" t="s">
        <v>3041</v>
      </c>
      <c r="E739" t="s">
        <v>2930</v>
      </c>
      <c r="F739">
        <v>3132927</v>
      </c>
      <c r="H739">
        <v>367129993</v>
      </c>
      <c r="I739">
        <v>45</v>
      </c>
      <c r="J739" s="98">
        <v>1</v>
      </c>
      <c r="K739" s="79">
        <v>46150.895833333336</v>
      </c>
      <c r="M739" t="s">
        <v>2910</v>
      </c>
      <c r="N739" s="99">
        <v>46239</v>
      </c>
      <c r="O739" s="75">
        <v>0.89583333333333337</v>
      </c>
      <c r="P739" t="s">
        <v>4868</v>
      </c>
      <c r="Q739" t="s">
        <v>1356</v>
      </c>
      <c r="R739" t="s">
        <v>4869</v>
      </c>
      <c r="S739" t="s">
        <v>1868</v>
      </c>
      <c r="T739" t="s">
        <v>4870</v>
      </c>
      <c r="U739" t="s">
        <v>4871</v>
      </c>
      <c r="V739" t="s">
        <v>2965</v>
      </c>
      <c r="X739" t="s">
        <v>2914</v>
      </c>
    </row>
    <row r="740" spans="1:24" ht="16" customHeight="1" x14ac:dyDescent="0.6">
      <c r="A740" t="s">
        <v>4872</v>
      </c>
      <c r="B740" t="s">
        <v>17</v>
      </c>
      <c r="C740" t="s">
        <v>3242</v>
      </c>
      <c r="E740" t="s">
        <v>2917</v>
      </c>
      <c r="F740">
        <v>3165452</v>
      </c>
      <c r="H740">
        <v>383527899</v>
      </c>
      <c r="I740">
        <v>60</v>
      </c>
      <c r="J740" s="98">
        <v>1</v>
      </c>
      <c r="K740" s="79">
        <v>46150.916666666664</v>
      </c>
      <c r="M740" t="s">
        <v>2955</v>
      </c>
      <c r="N740" s="99">
        <v>46239</v>
      </c>
      <c r="X740" t="s">
        <v>2914</v>
      </c>
    </row>
    <row r="741" spans="1:24" ht="16" customHeight="1" x14ac:dyDescent="0.6">
      <c r="A741" t="s">
        <v>4873</v>
      </c>
      <c r="B741" t="s">
        <v>17</v>
      </c>
      <c r="C741" t="s">
        <v>4182</v>
      </c>
      <c r="D741">
        <v>22473000</v>
      </c>
      <c r="E741" t="s">
        <v>2930</v>
      </c>
      <c r="F741">
        <v>3147296</v>
      </c>
      <c r="G741" t="s">
        <v>4874</v>
      </c>
      <c r="H741">
        <v>988544750</v>
      </c>
      <c r="I741">
        <v>200</v>
      </c>
      <c r="J741" s="98">
        <v>1</v>
      </c>
      <c r="K741" s="79">
        <v>46150.895833333336</v>
      </c>
      <c r="M741" t="s">
        <v>2955</v>
      </c>
      <c r="N741" s="99">
        <v>46239</v>
      </c>
      <c r="X741" t="s">
        <v>2914</v>
      </c>
    </row>
    <row r="742" spans="1:24" ht="16" customHeight="1" x14ac:dyDescent="0.6">
      <c r="A742" t="s">
        <v>4875</v>
      </c>
      <c r="B742" t="s">
        <v>17</v>
      </c>
      <c r="C742" t="s">
        <v>2943</v>
      </c>
      <c r="E742" t="s">
        <v>2930</v>
      </c>
      <c r="F742">
        <v>1884115</v>
      </c>
      <c r="H742">
        <v>971578282</v>
      </c>
      <c r="I742">
        <v>40</v>
      </c>
      <c r="J742" s="98">
        <v>0.5</v>
      </c>
      <c r="K742" s="79">
        <v>46150.875</v>
      </c>
      <c r="M742" t="s">
        <v>2910</v>
      </c>
      <c r="N742" s="99">
        <v>46239</v>
      </c>
      <c r="O742" s="75">
        <v>0.875</v>
      </c>
      <c r="P742" t="s">
        <v>4876</v>
      </c>
      <c r="Q742" t="s">
        <v>967</v>
      </c>
      <c r="R742" t="s">
        <v>3149</v>
      </c>
      <c r="S742" t="s">
        <v>1868</v>
      </c>
      <c r="T742" t="s">
        <v>3039</v>
      </c>
      <c r="V742" t="s">
        <v>2965</v>
      </c>
      <c r="X742" t="s">
        <v>2914</v>
      </c>
    </row>
    <row r="743" spans="1:24" ht="16" customHeight="1" x14ac:dyDescent="0.6">
      <c r="A743" t="s">
        <v>4877</v>
      </c>
      <c r="B743" t="s">
        <v>17</v>
      </c>
      <c r="C743" t="s">
        <v>2969</v>
      </c>
      <c r="E743" t="s">
        <v>2917</v>
      </c>
      <c r="F743">
        <v>3120451</v>
      </c>
      <c r="H743">
        <v>369085819</v>
      </c>
      <c r="I743">
        <v>40</v>
      </c>
      <c r="J743" s="98">
        <v>0.5</v>
      </c>
      <c r="K743" s="79">
        <v>46150.885416666664</v>
      </c>
      <c r="M743" t="s">
        <v>2910</v>
      </c>
      <c r="N743" s="99">
        <v>46239</v>
      </c>
      <c r="P743" t="s">
        <v>4878</v>
      </c>
      <c r="Q743" t="s">
        <v>967</v>
      </c>
      <c r="R743" t="s">
        <v>3445</v>
      </c>
      <c r="S743" t="s">
        <v>1868</v>
      </c>
      <c r="T743" t="s">
        <v>4879</v>
      </c>
      <c r="V743" t="s">
        <v>2947</v>
      </c>
      <c r="X743" t="s">
        <v>2914</v>
      </c>
    </row>
    <row r="744" spans="1:24" ht="16" customHeight="1" x14ac:dyDescent="0.6">
      <c r="A744" t="s">
        <v>4880</v>
      </c>
      <c r="B744" t="s">
        <v>17</v>
      </c>
      <c r="C744" t="s">
        <v>3258</v>
      </c>
      <c r="E744" t="s">
        <v>2930</v>
      </c>
      <c r="F744">
        <v>3109385</v>
      </c>
      <c r="H744">
        <v>966006271</v>
      </c>
      <c r="I744">
        <v>100</v>
      </c>
      <c r="J744" s="98">
        <v>1</v>
      </c>
      <c r="K744" s="79">
        <v>46150.875</v>
      </c>
      <c r="M744" t="s">
        <v>2910</v>
      </c>
      <c r="N744" s="99">
        <v>46239</v>
      </c>
      <c r="O744" s="75">
        <v>0.88541666666666663</v>
      </c>
      <c r="P744" t="s">
        <v>4881</v>
      </c>
      <c r="Q744" t="s">
        <v>967</v>
      </c>
      <c r="R744" t="s">
        <v>2973</v>
      </c>
      <c r="S744" t="s">
        <v>1868</v>
      </c>
      <c r="T744" t="s">
        <v>2974</v>
      </c>
      <c r="V744" t="s">
        <v>2965</v>
      </c>
      <c r="X744" t="s">
        <v>2914</v>
      </c>
    </row>
    <row r="745" spans="1:24" ht="16" customHeight="1" x14ac:dyDescent="0.6">
      <c r="A745" t="s">
        <v>4882</v>
      </c>
      <c r="B745" t="s">
        <v>17</v>
      </c>
      <c r="C745" t="s">
        <v>3031</v>
      </c>
      <c r="E745" t="s">
        <v>2917</v>
      </c>
      <c r="F745">
        <v>3017616</v>
      </c>
      <c r="G745" t="s">
        <v>4883</v>
      </c>
      <c r="H745">
        <v>797033652</v>
      </c>
      <c r="I745">
        <v>80</v>
      </c>
      <c r="J745" s="98">
        <v>1</v>
      </c>
      <c r="K745" s="79">
        <v>46150.916666666664</v>
      </c>
      <c r="M745" t="s">
        <v>2910</v>
      </c>
      <c r="N745" s="99">
        <v>46239</v>
      </c>
      <c r="O745" s="75">
        <v>0.9375</v>
      </c>
      <c r="P745" t="s">
        <v>4884</v>
      </c>
      <c r="Q745" t="s">
        <v>967</v>
      </c>
      <c r="R745" t="s">
        <v>2978</v>
      </c>
      <c r="S745" t="s">
        <v>1868</v>
      </c>
      <c r="T745" t="s">
        <v>2979</v>
      </c>
      <c r="V745" t="s">
        <v>2947</v>
      </c>
      <c r="X745" t="s">
        <v>2914</v>
      </c>
    </row>
    <row r="746" spans="1:24" ht="16" customHeight="1" x14ac:dyDescent="0.6">
      <c r="A746" t="s">
        <v>4885</v>
      </c>
      <c r="B746" t="s">
        <v>17</v>
      </c>
      <c r="C746" t="s">
        <v>3601</v>
      </c>
      <c r="E746" t="s">
        <v>2917</v>
      </c>
      <c r="F746">
        <v>1882650</v>
      </c>
      <c r="G746" t="s">
        <v>4234</v>
      </c>
      <c r="H746">
        <v>775748473</v>
      </c>
      <c r="I746">
        <v>40</v>
      </c>
      <c r="J746" s="98">
        <v>1</v>
      </c>
      <c r="K746" s="79">
        <v>46150.875</v>
      </c>
      <c r="M746" t="s">
        <v>2910</v>
      </c>
      <c r="N746" s="99">
        <v>46239</v>
      </c>
      <c r="O746" s="75">
        <v>0.91666666666666663</v>
      </c>
      <c r="P746" t="s">
        <v>4886</v>
      </c>
      <c r="Q746" t="s">
        <v>967</v>
      </c>
      <c r="R746" t="s">
        <v>3304</v>
      </c>
      <c r="S746" t="s">
        <v>1868</v>
      </c>
      <c r="T746" t="s">
        <v>2989</v>
      </c>
      <c r="V746" t="s">
        <v>2965</v>
      </c>
      <c r="X746" t="s">
        <v>2914</v>
      </c>
    </row>
    <row r="747" spans="1:24" ht="16" customHeight="1" x14ac:dyDescent="0.6">
      <c r="A747" t="s">
        <v>4887</v>
      </c>
      <c r="B747" t="s">
        <v>17</v>
      </c>
      <c r="C747" t="s">
        <v>2935</v>
      </c>
      <c r="E747" t="s">
        <v>2930</v>
      </c>
      <c r="F747">
        <v>3168214</v>
      </c>
      <c r="H747">
        <v>909262240</v>
      </c>
      <c r="I747">
        <v>50</v>
      </c>
      <c r="J747" s="98">
        <v>0.3</v>
      </c>
      <c r="K747" s="79">
        <v>46150.916666666664</v>
      </c>
      <c r="M747" t="s">
        <v>2910</v>
      </c>
      <c r="N747" s="99">
        <v>46239</v>
      </c>
      <c r="P747" t="s">
        <v>4888</v>
      </c>
      <c r="Q747" t="s">
        <v>967</v>
      </c>
      <c r="R747" t="s">
        <v>3369</v>
      </c>
      <c r="S747" t="s">
        <v>1868</v>
      </c>
      <c r="T747" t="s">
        <v>3469</v>
      </c>
      <c r="V747" t="s">
        <v>2965</v>
      </c>
      <c r="X747" t="s">
        <v>2914</v>
      </c>
    </row>
    <row r="748" spans="1:24" ht="16" customHeight="1" x14ac:dyDescent="0.6">
      <c r="A748" t="s">
        <v>4889</v>
      </c>
      <c r="B748" t="s">
        <v>17</v>
      </c>
      <c r="C748" t="s">
        <v>3547</v>
      </c>
      <c r="D748" t="s">
        <v>140</v>
      </c>
      <c r="E748" t="s">
        <v>2930</v>
      </c>
      <c r="F748">
        <v>3020591</v>
      </c>
      <c r="H748">
        <v>988544750</v>
      </c>
      <c r="I748">
        <v>200</v>
      </c>
      <c r="J748" s="98">
        <v>1</v>
      </c>
      <c r="K748" s="79">
        <v>46150.895833333336</v>
      </c>
      <c r="M748" t="s">
        <v>2910</v>
      </c>
      <c r="N748" s="99">
        <v>46239</v>
      </c>
      <c r="O748" s="75">
        <v>0.9375</v>
      </c>
      <c r="P748" t="s">
        <v>4890</v>
      </c>
      <c r="Q748" t="s">
        <v>1356</v>
      </c>
      <c r="R748" t="s">
        <v>3002</v>
      </c>
      <c r="S748" t="s">
        <v>1868</v>
      </c>
      <c r="T748" t="s">
        <v>3550</v>
      </c>
      <c r="V748" t="s">
        <v>2965</v>
      </c>
      <c r="X748" t="s">
        <v>2914</v>
      </c>
    </row>
    <row r="749" spans="1:24" ht="16" customHeight="1" x14ac:dyDescent="0.6">
      <c r="A749" t="s">
        <v>4891</v>
      </c>
      <c r="B749" t="s">
        <v>17</v>
      </c>
      <c r="C749" t="s">
        <v>3049</v>
      </c>
      <c r="E749" t="s">
        <v>2909</v>
      </c>
      <c r="F749">
        <v>3074147</v>
      </c>
      <c r="H749">
        <v>945806398</v>
      </c>
      <c r="I749">
        <v>50</v>
      </c>
      <c r="J749" s="98">
        <v>0.5</v>
      </c>
      <c r="K749" s="79">
        <v>46150.895833333336</v>
      </c>
      <c r="L749" t="s">
        <v>3050</v>
      </c>
      <c r="M749" t="s">
        <v>2910</v>
      </c>
      <c r="N749" s="99">
        <v>46239</v>
      </c>
      <c r="O749" s="75">
        <v>0.90625</v>
      </c>
      <c r="P749" t="s">
        <v>4892</v>
      </c>
      <c r="Q749" t="s">
        <v>967</v>
      </c>
      <c r="R749" t="s">
        <v>4769</v>
      </c>
      <c r="S749" t="s">
        <v>1868</v>
      </c>
      <c r="T749" t="s">
        <v>4770</v>
      </c>
      <c r="V749" t="s">
        <v>202</v>
      </c>
      <c r="X749" t="s">
        <v>2914</v>
      </c>
    </row>
    <row r="750" spans="1:24" ht="16" customHeight="1" x14ac:dyDescent="0.6">
      <c r="A750" t="s">
        <v>4893</v>
      </c>
      <c r="B750" t="s">
        <v>17</v>
      </c>
      <c r="C750" t="s">
        <v>3179</v>
      </c>
      <c r="E750" t="s">
        <v>2909</v>
      </c>
      <c r="F750">
        <v>3149706</v>
      </c>
      <c r="G750" t="s">
        <v>3180</v>
      </c>
      <c r="H750">
        <v>706395955</v>
      </c>
      <c r="I750">
        <v>150</v>
      </c>
      <c r="J750" s="98">
        <v>1</v>
      </c>
      <c r="K750" s="79">
        <v>46150.916666666664</v>
      </c>
      <c r="M750" t="s">
        <v>2910</v>
      </c>
      <c r="N750" s="99">
        <v>46270</v>
      </c>
      <c r="X750" t="s">
        <v>2914</v>
      </c>
    </row>
    <row r="751" spans="1:24" ht="16" customHeight="1" x14ac:dyDescent="0.6">
      <c r="A751" t="s">
        <v>4894</v>
      </c>
      <c r="B751" t="s">
        <v>17</v>
      </c>
      <c r="C751" t="s">
        <v>3036</v>
      </c>
      <c r="E751" t="s">
        <v>2917</v>
      </c>
      <c r="F751">
        <v>3146332</v>
      </c>
      <c r="H751">
        <v>973082002</v>
      </c>
      <c r="I751">
        <v>50</v>
      </c>
      <c r="J751" s="98">
        <v>0.5</v>
      </c>
      <c r="K751" s="79">
        <v>46151.208333333336</v>
      </c>
      <c r="M751" t="s">
        <v>2910</v>
      </c>
      <c r="N751" s="99">
        <v>46270</v>
      </c>
      <c r="O751" s="75">
        <v>0.20833333333333334</v>
      </c>
      <c r="P751" t="s">
        <v>4895</v>
      </c>
      <c r="Q751" t="s">
        <v>967</v>
      </c>
      <c r="R751" t="s">
        <v>3033</v>
      </c>
      <c r="S751" t="s">
        <v>1868</v>
      </c>
      <c r="X751" t="s">
        <v>2914</v>
      </c>
    </row>
    <row r="752" spans="1:24" ht="16" customHeight="1" x14ac:dyDescent="0.6">
      <c r="A752" t="s">
        <v>4896</v>
      </c>
      <c r="B752" t="s">
        <v>17</v>
      </c>
      <c r="C752" t="s">
        <v>3093</v>
      </c>
      <c r="E752" t="s">
        <v>2930</v>
      </c>
      <c r="F752">
        <v>3135107</v>
      </c>
      <c r="H752">
        <v>344436412</v>
      </c>
      <c r="I752">
        <v>200</v>
      </c>
      <c r="J752" s="98">
        <v>1</v>
      </c>
      <c r="K752" s="79">
        <v>46151.458333333336</v>
      </c>
      <c r="M752" t="s">
        <v>3029</v>
      </c>
      <c r="N752" s="99">
        <v>46270</v>
      </c>
      <c r="X752" t="s">
        <v>2914</v>
      </c>
    </row>
    <row r="753" spans="1:24" ht="16" customHeight="1" x14ac:dyDescent="0.6">
      <c r="A753" t="s">
        <v>4897</v>
      </c>
      <c r="B753" t="s">
        <v>17</v>
      </c>
      <c r="C753" t="s">
        <v>3093</v>
      </c>
      <c r="E753" t="s">
        <v>2930</v>
      </c>
      <c r="F753">
        <v>1872928</v>
      </c>
      <c r="H753">
        <v>344176032</v>
      </c>
      <c r="I753">
        <v>70</v>
      </c>
      <c r="J753" s="98">
        <v>1</v>
      </c>
      <c r="K753" s="79">
        <v>46151.875</v>
      </c>
      <c r="L753" t="s">
        <v>4898</v>
      </c>
      <c r="M753" t="s">
        <v>2910</v>
      </c>
      <c r="N753" s="99">
        <v>46270</v>
      </c>
      <c r="O753" s="75">
        <v>0.875</v>
      </c>
      <c r="P753" t="s">
        <v>4899</v>
      </c>
      <c r="Q753" t="s">
        <v>1356</v>
      </c>
      <c r="R753" s="73" t="s">
        <v>4900</v>
      </c>
      <c r="S753" t="s">
        <v>1868</v>
      </c>
      <c r="T753" t="s">
        <v>4901</v>
      </c>
      <c r="V753" t="s">
        <v>2965</v>
      </c>
      <c r="X753" t="s">
        <v>2914</v>
      </c>
    </row>
    <row r="754" spans="1:24" ht="16" customHeight="1" x14ac:dyDescent="0.6">
      <c r="A754" t="s">
        <v>4902</v>
      </c>
      <c r="B754" t="s">
        <v>17</v>
      </c>
      <c r="C754" t="s">
        <v>3055</v>
      </c>
      <c r="E754" t="s">
        <v>2930</v>
      </c>
      <c r="F754">
        <v>3152447</v>
      </c>
      <c r="H754">
        <v>914595782</v>
      </c>
      <c r="I754">
        <v>50</v>
      </c>
      <c r="J754" s="98">
        <v>0.75</v>
      </c>
      <c r="K754" s="79">
        <v>46151.9375</v>
      </c>
      <c r="M754" t="s">
        <v>2910</v>
      </c>
      <c r="N754" s="99">
        <v>46270</v>
      </c>
      <c r="O754" t="s">
        <v>3474</v>
      </c>
      <c r="P754" t="s">
        <v>4903</v>
      </c>
      <c r="Q754" t="s">
        <v>967</v>
      </c>
      <c r="R754" t="s">
        <v>3210</v>
      </c>
      <c r="S754" t="s">
        <v>1868</v>
      </c>
      <c r="T754" t="s">
        <v>3566</v>
      </c>
      <c r="V754" t="s">
        <v>2965</v>
      </c>
      <c r="X754" t="s">
        <v>2914</v>
      </c>
    </row>
    <row r="755" spans="1:24" ht="16" customHeight="1" x14ac:dyDescent="0.6">
      <c r="A755" t="s">
        <v>4904</v>
      </c>
      <c r="B755" t="s">
        <v>17</v>
      </c>
      <c r="C755" t="s">
        <v>2957</v>
      </c>
      <c r="E755" t="s">
        <v>2909</v>
      </c>
      <c r="F755">
        <v>3153015</v>
      </c>
      <c r="H755">
        <v>973797545</v>
      </c>
      <c r="I755">
        <v>100</v>
      </c>
      <c r="J755" s="98">
        <v>1</v>
      </c>
      <c r="K755" s="79">
        <v>46151.854166666664</v>
      </c>
      <c r="M755" t="s">
        <v>2910</v>
      </c>
      <c r="N755" s="99">
        <v>46270</v>
      </c>
      <c r="O755" t="s">
        <v>3474</v>
      </c>
      <c r="P755" t="s">
        <v>4905</v>
      </c>
      <c r="Q755" t="s">
        <v>967</v>
      </c>
      <c r="R755" t="s">
        <v>3711</v>
      </c>
      <c r="S755" t="s">
        <v>1868</v>
      </c>
      <c r="T755" t="s">
        <v>2960</v>
      </c>
      <c r="V755" t="s">
        <v>202</v>
      </c>
      <c r="X755" t="s">
        <v>2914</v>
      </c>
    </row>
    <row r="756" spans="1:24" ht="16" customHeight="1" x14ac:dyDescent="0.6">
      <c r="A756" t="s">
        <v>4906</v>
      </c>
      <c r="B756" t="s">
        <v>17</v>
      </c>
      <c r="C756" t="s">
        <v>4907</v>
      </c>
      <c r="D756" t="s">
        <v>4908</v>
      </c>
      <c r="E756" t="s">
        <v>2917</v>
      </c>
      <c r="F756">
        <v>3108436</v>
      </c>
      <c r="H756">
        <v>903477068</v>
      </c>
      <c r="I756">
        <v>100</v>
      </c>
      <c r="J756" s="98">
        <v>1</v>
      </c>
      <c r="K756" s="79">
        <v>46151.885416666664</v>
      </c>
      <c r="M756" t="s">
        <v>2910</v>
      </c>
      <c r="N756" s="99">
        <v>46270</v>
      </c>
      <c r="P756" t="s">
        <v>4909</v>
      </c>
      <c r="Q756" t="s">
        <v>967</v>
      </c>
      <c r="R756" t="s">
        <v>783</v>
      </c>
      <c r="S756" t="s">
        <v>1868</v>
      </c>
      <c r="T756" t="s">
        <v>2997</v>
      </c>
      <c r="V756" t="s">
        <v>2947</v>
      </c>
      <c r="X756" t="s">
        <v>2914</v>
      </c>
    </row>
    <row r="757" spans="1:24" ht="16" customHeight="1" x14ac:dyDescent="0.6">
      <c r="A757" t="s">
        <v>4910</v>
      </c>
      <c r="B757" t="s">
        <v>17</v>
      </c>
      <c r="C757" t="s">
        <v>3142</v>
      </c>
      <c r="E757" t="s">
        <v>2930</v>
      </c>
      <c r="F757">
        <v>1714094</v>
      </c>
      <c r="G757" t="s">
        <v>3143</v>
      </c>
      <c r="H757">
        <v>961790126</v>
      </c>
      <c r="I757">
        <v>80</v>
      </c>
      <c r="J757" s="98">
        <v>0.75</v>
      </c>
      <c r="K757" s="79">
        <v>46151.916666666664</v>
      </c>
      <c r="M757" t="s">
        <v>2910</v>
      </c>
      <c r="N757" s="99">
        <v>46270</v>
      </c>
      <c r="P757" t="s">
        <v>4911</v>
      </c>
      <c r="Q757" t="s">
        <v>1356</v>
      </c>
      <c r="R757" t="s">
        <v>4331</v>
      </c>
      <c r="S757" t="s">
        <v>1868</v>
      </c>
      <c r="T757" t="s">
        <v>4912</v>
      </c>
      <c r="V757" t="s">
        <v>2965</v>
      </c>
      <c r="X757" t="s">
        <v>2914</v>
      </c>
    </row>
    <row r="758" spans="1:24" ht="16" customHeight="1" x14ac:dyDescent="0.6">
      <c r="A758" t="s">
        <v>4913</v>
      </c>
      <c r="B758" t="s">
        <v>17</v>
      </c>
      <c r="C758" t="s">
        <v>3258</v>
      </c>
      <c r="E758" t="s">
        <v>2930</v>
      </c>
      <c r="F758">
        <v>3109385</v>
      </c>
      <c r="H758">
        <v>966006271</v>
      </c>
      <c r="I758">
        <v>100</v>
      </c>
      <c r="J758" s="98">
        <v>1</v>
      </c>
      <c r="K758" s="79">
        <v>46151.875</v>
      </c>
      <c r="M758" t="s">
        <v>2910</v>
      </c>
      <c r="N758" s="99">
        <v>46270</v>
      </c>
      <c r="P758" t="s">
        <v>4914</v>
      </c>
      <c r="Q758" t="s">
        <v>967</v>
      </c>
      <c r="R758" t="s">
        <v>3575</v>
      </c>
      <c r="S758" t="s">
        <v>1868</v>
      </c>
      <c r="T758" t="s">
        <v>2933</v>
      </c>
      <c r="V758" t="s">
        <v>2965</v>
      </c>
      <c r="X758" t="s">
        <v>2914</v>
      </c>
    </row>
    <row r="759" spans="1:24" ht="16" customHeight="1" x14ac:dyDescent="0.6">
      <c r="A759" t="s">
        <v>4915</v>
      </c>
      <c r="B759" t="s">
        <v>17</v>
      </c>
      <c r="C759" t="s">
        <v>2969</v>
      </c>
      <c r="E759" t="s">
        <v>2917</v>
      </c>
      <c r="F759">
        <v>3120451</v>
      </c>
      <c r="H759">
        <v>369085819</v>
      </c>
      <c r="I759">
        <v>50</v>
      </c>
      <c r="J759" s="98">
        <v>0.5</v>
      </c>
      <c r="K759" s="79">
        <v>46151.885416666664</v>
      </c>
      <c r="M759" t="s">
        <v>2910</v>
      </c>
      <c r="N759" s="99">
        <v>46270</v>
      </c>
      <c r="P759" t="s">
        <v>4916</v>
      </c>
      <c r="Q759" t="s">
        <v>967</v>
      </c>
      <c r="R759" t="s">
        <v>3445</v>
      </c>
      <c r="S759" t="s">
        <v>1868</v>
      </c>
      <c r="T759" t="s">
        <v>4879</v>
      </c>
      <c r="V759" t="s">
        <v>2947</v>
      </c>
      <c r="X759" t="s">
        <v>2914</v>
      </c>
    </row>
    <row r="760" spans="1:24" ht="16" customHeight="1" x14ac:dyDescent="0.6">
      <c r="A760" t="s">
        <v>4917</v>
      </c>
      <c r="B760" t="s">
        <v>17</v>
      </c>
      <c r="C760" t="s">
        <v>2986</v>
      </c>
      <c r="E760" t="s">
        <v>2917</v>
      </c>
      <c r="F760">
        <v>3150112</v>
      </c>
      <c r="G760" t="s">
        <v>3920</v>
      </c>
      <c r="H760">
        <v>965514797</v>
      </c>
      <c r="I760">
        <v>150</v>
      </c>
      <c r="J760" s="98">
        <v>0.5</v>
      </c>
      <c r="K760" s="79">
        <v>46152.208333333336</v>
      </c>
      <c r="M760" t="s">
        <v>2910</v>
      </c>
      <c r="N760" s="99">
        <v>46300</v>
      </c>
      <c r="P760" t="s">
        <v>4918</v>
      </c>
      <c r="X760" t="s">
        <v>2914</v>
      </c>
    </row>
    <row r="761" spans="1:24" ht="16" customHeight="1" x14ac:dyDescent="0.6">
      <c r="A761" t="s">
        <v>4919</v>
      </c>
      <c r="B761" t="s">
        <v>17</v>
      </c>
      <c r="C761" t="s">
        <v>2943</v>
      </c>
      <c r="E761" t="s">
        <v>2930</v>
      </c>
      <c r="F761">
        <v>1884115</v>
      </c>
      <c r="H761">
        <v>971578282</v>
      </c>
      <c r="I761">
        <v>35</v>
      </c>
      <c r="J761" s="98">
        <v>0.5</v>
      </c>
      <c r="K761" s="79">
        <v>46152.666666666664</v>
      </c>
      <c r="M761" t="s">
        <v>2955</v>
      </c>
      <c r="N761" s="99">
        <v>46300</v>
      </c>
      <c r="X761" t="s">
        <v>2914</v>
      </c>
    </row>
    <row r="762" spans="1:24" ht="16" customHeight="1" x14ac:dyDescent="0.6">
      <c r="A762" t="s">
        <v>4920</v>
      </c>
      <c r="B762" t="s">
        <v>17</v>
      </c>
      <c r="C762" t="s">
        <v>2957</v>
      </c>
      <c r="E762" t="s">
        <v>2930</v>
      </c>
      <c r="F762">
        <v>3153015</v>
      </c>
      <c r="H762">
        <v>973797545</v>
      </c>
      <c r="I762">
        <v>100</v>
      </c>
      <c r="J762" s="98">
        <v>1</v>
      </c>
      <c r="K762" s="79">
        <v>46151.34375</v>
      </c>
      <c r="M762" t="s">
        <v>2955</v>
      </c>
      <c r="N762" s="99">
        <v>46300</v>
      </c>
      <c r="X762" t="s">
        <v>2914</v>
      </c>
    </row>
    <row r="763" spans="1:24" ht="16" customHeight="1" x14ac:dyDescent="0.6">
      <c r="A763" t="s">
        <v>4921</v>
      </c>
      <c r="B763" t="s">
        <v>17</v>
      </c>
      <c r="C763" t="s">
        <v>2957</v>
      </c>
      <c r="E763" t="s">
        <v>2930</v>
      </c>
      <c r="F763">
        <v>3153015</v>
      </c>
      <c r="H763">
        <v>9737975445</v>
      </c>
      <c r="I763">
        <v>99</v>
      </c>
      <c r="J763" s="98">
        <v>1</v>
      </c>
      <c r="K763" s="79">
        <v>46152.916666666664</v>
      </c>
      <c r="M763" t="s">
        <v>2955</v>
      </c>
      <c r="N763" s="99">
        <v>46300</v>
      </c>
      <c r="X763" t="s">
        <v>2914</v>
      </c>
    </row>
    <row r="764" spans="1:24" ht="16" customHeight="1" x14ac:dyDescent="0.6">
      <c r="A764" t="s">
        <v>4922</v>
      </c>
      <c r="B764" t="s">
        <v>17</v>
      </c>
      <c r="C764" t="s">
        <v>2943</v>
      </c>
      <c r="E764" t="s">
        <v>2917</v>
      </c>
      <c r="F764">
        <v>3161933</v>
      </c>
      <c r="H764">
        <v>338216314</v>
      </c>
      <c r="I764">
        <v>30</v>
      </c>
      <c r="J764" s="98">
        <v>1</v>
      </c>
      <c r="K764" s="79">
        <v>46153.583333333336</v>
      </c>
      <c r="L764" t="s">
        <v>4923</v>
      </c>
      <c r="M764" t="s">
        <v>3029</v>
      </c>
      <c r="N764" s="99">
        <v>46331</v>
      </c>
      <c r="X764" t="s">
        <v>2914</v>
      </c>
    </row>
    <row r="765" spans="1:24" ht="16" customHeight="1" x14ac:dyDescent="0.6">
      <c r="A765" t="s">
        <v>4924</v>
      </c>
      <c r="B765" t="s">
        <v>17</v>
      </c>
      <c r="C765" t="s">
        <v>2976</v>
      </c>
      <c r="E765" t="s">
        <v>2917</v>
      </c>
      <c r="F765">
        <v>1871696</v>
      </c>
      <c r="H765">
        <v>774688086</v>
      </c>
      <c r="I765">
        <v>200</v>
      </c>
      <c r="J765" t="s">
        <v>2919</v>
      </c>
      <c r="K765" s="79">
        <v>46153.541666666664</v>
      </c>
      <c r="M765" t="s">
        <v>3029</v>
      </c>
      <c r="N765" s="99">
        <v>46331</v>
      </c>
      <c r="X765" t="s">
        <v>2914</v>
      </c>
    </row>
    <row r="766" spans="1:24" ht="16" customHeight="1" x14ac:dyDescent="0.6">
      <c r="A766" t="s">
        <v>4925</v>
      </c>
      <c r="B766" t="s">
        <v>17</v>
      </c>
      <c r="C766" t="s">
        <v>3129</v>
      </c>
      <c r="E766" t="s">
        <v>2930</v>
      </c>
      <c r="F766">
        <v>1882650</v>
      </c>
      <c r="G766" t="s">
        <v>4234</v>
      </c>
      <c r="H766">
        <v>775748473</v>
      </c>
      <c r="I766">
        <v>500</v>
      </c>
      <c r="J766" t="s">
        <v>2919</v>
      </c>
      <c r="K766" s="79">
        <v>46153.708333333336</v>
      </c>
      <c r="L766" t="s">
        <v>4926</v>
      </c>
      <c r="M766" t="s">
        <v>2910</v>
      </c>
      <c r="N766" s="99">
        <v>46331</v>
      </c>
      <c r="P766" t="s">
        <v>4927</v>
      </c>
      <c r="Q766" t="s">
        <v>967</v>
      </c>
      <c r="R766" t="s">
        <v>4928</v>
      </c>
      <c r="S766" t="s">
        <v>3096</v>
      </c>
      <c r="T766" t="s">
        <v>4929</v>
      </c>
      <c r="V766" t="s">
        <v>2965</v>
      </c>
      <c r="X766" t="s">
        <v>2914</v>
      </c>
    </row>
    <row r="767" spans="1:24" ht="16" customHeight="1" x14ac:dyDescent="0.6">
      <c r="A767" t="s">
        <v>4930</v>
      </c>
      <c r="B767" t="s">
        <v>17</v>
      </c>
      <c r="C767" t="s">
        <v>3547</v>
      </c>
      <c r="D767" t="s">
        <v>140</v>
      </c>
      <c r="E767" t="s">
        <v>2930</v>
      </c>
      <c r="F767">
        <v>3020591</v>
      </c>
      <c r="G767" t="s">
        <v>3728</v>
      </c>
      <c r="H767">
        <v>988544750</v>
      </c>
      <c r="I767">
        <v>200</v>
      </c>
      <c r="J767" s="98">
        <v>1</v>
      </c>
      <c r="K767" s="79">
        <v>46153.895833333336</v>
      </c>
      <c r="L767" t="s">
        <v>4931</v>
      </c>
      <c r="M767" t="s">
        <v>2910</v>
      </c>
      <c r="N767" s="99">
        <v>46331</v>
      </c>
      <c r="P767" t="s">
        <v>4932</v>
      </c>
      <c r="Q767" t="s">
        <v>1356</v>
      </c>
      <c r="R767" t="s">
        <v>2963</v>
      </c>
      <c r="S767" t="s">
        <v>1868</v>
      </c>
      <c r="T767" t="s">
        <v>2964</v>
      </c>
      <c r="V767" t="s">
        <v>2965</v>
      </c>
      <c r="X767" t="s">
        <v>2914</v>
      </c>
    </row>
    <row r="768" spans="1:24" ht="16" customHeight="1" x14ac:dyDescent="0.6">
      <c r="A768" t="s">
        <v>4933</v>
      </c>
      <c r="B768" t="s">
        <v>17</v>
      </c>
      <c r="C768" t="s">
        <v>3372</v>
      </c>
      <c r="E768" t="s">
        <v>2917</v>
      </c>
      <c r="F768">
        <v>3097182</v>
      </c>
      <c r="H768">
        <v>382891109</v>
      </c>
      <c r="I768">
        <v>200</v>
      </c>
      <c r="J768" s="98">
        <v>1</v>
      </c>
      <c r="K768" s="79">
        <v>46153.854166666664</v>
      </c>
      <c r="M768" t="s">
        <v>2910</v>
      </c>
      <c r="N768" s="99">
        <v>46331</v>
      </c>
      <c r="P768" t="s">
        <v>4934</v>
      </c>
      <c r="Q768" t="s">
        <v>1356</v>
      </c>
      <c r="R768" t="s">
        <v>3693</v>
      </c>
      <c r="S768" t="s">
        <v>1868</v>
      </c>
      <c r="T768" t="s">
        <v>3694</v>
      </c>
      <c r="V768" t="s">
        <v>2965</v>
      </c>
      <c r="X768" t="s">
        <v>2914</v>
      </c>
    </row>
    <row r="769" spans="1:24" ht="16" customHeight="1" x14ac:dyDescent="0.6">
      <c r="A769" t="s">
        <v>4935</v>
      </c>
      <c r="B769" t="s">
        <v>17</v>
      </c>
      <c r="C769" t="s">
        <v>3242</v>
      </c>
      <c r="E769" t="s">
        <v>2917</v>
      </c>
      <c r="F769">
        <v>3165452</v>
      </c>
      <c r="H769">
        <v>383527899</v>
      </c>
      <c r="I769">
        <v>60</v>
      </c>
      <c r="J769" s="98">
        <v>1</v>
      </c>
      <c r="K769" s="79">
        <v>46153.916666666664</v>
      </c>
      <c r="M769" t="s">
        <v>2910</v>
      </c>
      <c r="N769" s="99">
        <v>46331</v>
      </c>
      <c r="P769" t="s">
        <v>4936</v>
      </c>
      <c r="Q769" t="s">
        <v>1356</v>
      </c>
      <c r="R769" t="s">
        <v>4937</v>
      </c>
      <c r="S769" t="s">
        <v>1868</v>
      </c>
      <c r="T769" t="s">
        <v>4938</v>
      </c>
      <c r="V769" t="s">
        <v>2965</v>
      </c>
      <c r="X769" t="s">
        <v>2914</v>
      </c>
    </row>
    <row r="770" spans="1:24" ht="16" customHeight="1" x14ac:dyDescent="0.6">
      <c r="A770" t="s">
        <v>4939</v>
      </c>
      <c r="B770" t="s">
        <v>17</v>
      </c>
      <c r="C770" t="s">
        <v>2939</v>
      </c>
      <c r="E770" t="s">
        <v>2917</v>
      </c>
      <c r="F770">
        <v>3152551</v>
      </c>
      <c r="H770">
        <v>866782808</v>
      </c>
      <c r="I770">
        <v>100</v>
      </c>
      <c r="J770" s="98">
        <v>1</v>
      </c>
      <c r="K770" s="79">
        <v>46153.895833333336</v>
      </c>
      <c r="L770" t="s">
        <v>3050</v>
      </c>
      <c r="N770" s="99">
        <v>46331</v>
      </c>
      <c r="X770" t="s">
        <v>4135</v>
      </c>
    </row>
    <row r="771" spans="1:24" ht="16" customHeight="1" x14ac:dyDescent="0.6">
      <c r="A771" t="s">
        <v>4940</v>
      </c>
      <c r="B771" t="s">
        <v>17</v>
      </c>
      <c r="C771" t="s">
        <v>3022</v>
      </c>
      <c r="E771" t="s">
        <v>2930</v>
      </c>
      <c r="F771">
        <v>3135714</v>
      </c>
      <c r="H771">
        <v>333124453</v>
      </c>
      <c r="I771">
        <v>400</v>
      </c>
      <c r="J771" s="98">
        <v>1</v>
      </c>
      <c r="K771" s="79">
        <v>46153.875</v>
      </c>
      <c r="L771" t="s">
        <v>4941</v>
      </c>
      <c r="M771" t="s">
        <v>2910</v>
      </c>
      <c r="N771" s="99">
        <v>46331</v>
      </c>
      <c r="P771" t="s">
        <v>4942</v>
      </c>
      <c r="Q771" t="s">
        <v>1356</v>
      </c>
      <c r="R771" t="s">
        <v>4943</v>
      </c>
      <c r="S771" t="s">
        <v>1868</v>
      </c>
      <c r="T771" t="s">
        <v>4944</v>
      </c>
      <c r="V771" t="s">
        <v>2965</v>
      </c>
      <c r="X771" t="s">
        <v>2914</v>
      </c>
    </row>
    <row r="772" spans="1:24" ht="16" customHeight="1" x14ac:dyDescent="0.6">
      <c r="A772" t="s">
        <v>4945</v>
      </c>
      <c r="B772" t="s">
        <v>17</v>
      </c>
      <c r="C772" t="s">
        <v>3247</v>
      </c>
      <c r="E772" t="s">
        <v>2917</v>
      </c>
      <c r="F772">
        <v>3160349</v>
      </c>
      <c r="H772">
        <v>903095687</v>
      </c>
      <c r="I772">
        <v>197</v>
      </c>
      <c r="J772" s="98">
        <v>1</v>
      </c>
      <c r="K772" s="79">
        <v>46153.875</v>
      </c>
      <c r="N772" s="99">
        <v>46331</v>
      </c>
      <c r="X772" t="s">
        <v>4135</v>
      </c>
    </row>
    <row r="773" spans="1:24" ht="16" customHeight="1" x14ac:dyDescent="0.6">
      <c r="A773" t="s">
        <v>4946</v>
      </c>
      <c r="B773" t="s">
        <v>17</v>
      </c>
      <c r="C773" t="s">
        <v>3719</v>
      </c>
      <c r="E773" t="s">
        <v>2930</v>
      </c>
      <c r="F773">
        <v>3131686</v>
      </c>
      <c r="G773" t="s">
        <v>3720</v>
      </c>
      <c r="H773">
        <v>985077421</v>
      </c>
      <c r="I773">
        <v>100</v>
      </c>
      <c r="J773" s="98">
        <v>1</v>
      </c>
      <c r="K773" s="79">
        <v>46153.875</v>
      </c>
      <c r="L773" t="s">
        <v>4947</v>
      </c>
      <c r="M773" t="s">
        <v>2910</v>
      </c>
      <c r="N773" s="99">
        <v>46331</v>
      </c>
      <c r="P773" t="s">
        <v>4948</v>
      </c>
      <c r="Q773" t="s">
        <v>1356</v>
      </c>
      <c r="R773" t="s">
        <v>4949</v>
      </c>
      <c r="S773" t="s">
        <v>1868</v>
      </c>
      <c r="T773" t="s">
        <v>4950</v>
      </c>
      <c r="V773" t="s">
        <v>2965</v>
      </c>
      <c r="X773" t="s">
        <v>2914</v>
      </c>
    </row>
    <row r="774" spans="1:24" ht="16" customHeight="1" x14ac:dyDescent="0.6">
      <c r="A774" t="s">
        <v>4951</v>
      </c>
      <c r="B774" t="s">
        <v>17</v>
      </c>
      <c r="C774" t="s">
        <v>3911</v>
      </c>
      <c r="E774" t="s">
        <v>2930</v>
      </c>
      <c r="F774">
        <v>3133755</v>
      </c>
      <c r="G774" t="s">
        <v>4952</v>
      </c>
      <c r="H774">
        <v>397071195</v>
      </c>
      <c r="I774">
        <v>100</v>
      </c>
      <c r="J774" s="98">
        <v>0.5</v>
      </c>
      <c r="K774" s="79">
        <v>46153.895833333336</v>
      </c>
      <c r="X774" t="s">
        <v>4135</v>
      </c>
    </row>
    <row r="775" spans="1:24" ht="16" customHeight="1" x14ac:dyDescent="0.6">
      <c r="A775" t="s">
        <v>4953</v>
      </c>
      <c r="B775" t="s">
        <v>17</v>
      </c>
      <c r="C775" t="s">
        <v>2976</v>
      </c>
      <c r="E775" t="s">
        <v>2917</v>
      </c>
      <c r="F775">
        <v>1871696</v>
      </c>
      <c r="H775">
        <v>774688086</v>
      </c>
      <c r="I775">
        <v>200</v>
      </c>
      <c r="J775" t="s">
        <v>2919</v>
      </c>
      <c r="K775" s="79">
        <v>46153.916666666664</v>
      </c>
      <c r="M775" t="s">
        <v>2910</v>
      </c>
      <c r="N775" s="99">
        <v>46331</v>
      </c>
      <c r="O775" s="75">
        <v>0.91666666666666663</v>
      </c>
      <c r="P775" t="s">
        <v>4954</v>
      </c>
      <c r="Q775" t="s">
        <v>1356</v>
      </c>
      <c r="R775" t="s">
        <v>3785</v>
      </c>
      <c r="S775" t="s">
        <v>1868</v>
      </c>
      <c r="T775" t="s">
        <v>4033</v>
      </c>
      <c r="V775" t="s">
        <v>2965</v>
      </c>
      <c r="X775" t="s">
        <v>2914</v>
      </c>
    </row>
    <row r="776" spans="1:24" ht="16" customHeight="1" x14ac:dyDescent="0.6">
      <c r="A776" t="s">
        <v>4955</v>
      </c>
      <c r="B776" t="s">
        <v>17</v>
      </c>
      <c r="C776" t="s">
        <v>2994</v>
      </c>
      <c r="E776" t="s">
        <v>2909</v>
      </c>
      <c r="F776">
        <v>2033804</v>
      </c>
      <c r="H776">
        <v>396799427</v>
      </c>
      <c r="I776">
        <v>100</v>
      </c>
      <c r="J776" s="98">
        <v>1</v>
      </c>
      <c r="K776" s="79">
        <v>46153.895833333336</v>
      </c>
      <c r="M776" t="s">
        <v>2910</v>
      </c>
      <c r="N776" s="99">
        <v>46331</v>
      </c>
      <c r="O776" s="75">
        <v>0.91666666666666663</v>
      </c>
      <c r="P776" t="s">
        <v>4956</v>
      </c>
      <c r="Q776" t="s">
        <v>967</v>
      </c>
      <c r="R776" t="s">
        <v>3073</v>
      </c>
      <c r="S776" t="s">
        <v>1868</v>
      </c>
      <c r="T776" t="s">
        <v>2997</v>
      </c>
      <c r="V776" t="s">
        <v>202</v>
      </c>
      <c r="X776" t="s">
        <v>2914</v>
      </c>
    </row>
    <row r="777" spans="1:24" ht="16" customHeight="1" x14ac:dyDescent="0.6">
      <c r="A777" t="s">
        <v>4957</v>
      </c>
      <c r="B777" t="s">
        <v>17</v>
      </c>
      <c r="C777" t="s">
        <v>3601</v>
      </c>
      <c r="E777" t="s">
        <v>2917</v>
      </c>
      <c r="F777">
        <v>1882650</v>
      </c>
      <c r="G777" t="s">
        <v>4234</v>
      </c>
      <c r="H777">
        <v>775748473</v>
      </c>
      <c r="I777">
        <v>130</v>
      </c>
      <c r="J777" s="98">
        <v>1</v>
      </c>
      <c r="K777" s="79">
        <v>46153.875</v>
      </c>
      <c r="M777" t="s">
        <v>2910</v>
      </c>
      <c r="N777" s="99">
        <v>46331</v>
      </c>
      <c r="O777" s="75">
        <v>0.91666666666666663</v>
      </c>
      <c r="P777" t="s">
        <v>4958</v>
      </c>
      <c r="Q777" t="s">
        <v>1356</v>
      </c>
      <c r="R777" t="s">
        <v>2921</v>
      </c>
      <c r="S777" t="s">
        <v>1868</v>
      </c>
      <c r="T777" t="s">
        <v>4959</v>
      </c>
      <c r="V777" t="s">
        <v>2965</v>
      </c>
      <c r="X777" t="s">
        <v>2914</v>
      </c>
    </row>
    <row r="778" spans="1:24" ht="16" customHeight="1" x14ac:dyDescent="0.6">
      <c r="A778" t="s">
        <v>4960</v>
      </c>
      <c r="B778" t="s">
        <v>17</v>
      </c>
      <c r="C778" t="s">
        <v>3142</v>
      </c>
      <c r="E778" t="s">
        <v>2930</v>
      </c>
      <c r="F778">
        <v>1714094</v>
      </c>
      <c r="G778" t="s">
        <v>3143</v>
      </c>
      <c r="H778">
        <v>961790126</v>
      </c>
      <c r="I778">
        <v>150</v>
      </c>
      <c r="J778" s="98">
        <v>1</v>
      </c>
      <c r="K778" s="79">
        <v>46153.875</v>
      </c>
      <c r="M778" t="s">
        <v>2910</v>
      </c>
      <c r="N778" s="99">
        <v>46331</v>
      </c>
      <c r="O778" s="75">
        <v>0.9375</v>
      </c>
      <c r="P778" t="s">
        <v>4961</v>
      </c>
      <c r="Q778" t="s">
        <v>1356</v>
      </c>
      <c r="R778" t="s">
        <v>4006</v>
      </c>
      <c r="S778" t="s">
        <v>1868</v>
      </c>
      <c r="T778" t="s">
        <v>3655</v>
      </c>
      <c r="V778" t="s">
        <v>2965</v>
      </c>
      <c r="X778" t="s">
        <v>2914</v>
      </c>
    </row>
    <row r="779" spans="1:24" ht="16" customHeight="1" x14ac:dyDescent="0.6">
      <c r="A779" t="s">
        <v>4962</v>
      </c>
      <c r="B779" t="s">
        <v>17</v>
      </c>
      <c r="C779" t="s">
        <v>2908</v>
      </c>
      <c r="E779" t="s">
        <v>2909</v>
      </c>
      <c r="F779">
        <v>3142038</v>
      </c>
      <c r="G779" t="s">
        <v>4963</v>
      </c>
      <c r="H779">
        <v>949288266</v>
      </c>
      <c r="I779">
        <v>30</v>
      </c>
      <c r="J779" s="98">
        <v>0.5</v>
      </c>
      <c r="K779" s="79">
        <v>46153.833333333336</v>
      </c>
      <c r="X779" t="s">
        <v>4135</v>
      </c>
    </row>
    <row r="780" spans="1:24" ht="16" customHeight="1" x14ac:dyDescent="0.6">
      <c r="A780" t="s">
        <v>4964</v>
      </c>
      <c r="B780" t="s">
        <v>17</v>
      </c>
      <c r="C780" t="s">
        <v>3049</v>
      </c>
      <c r="E780" t="s">
        <v>2930</v>
      </c>
      <c r="F780">
        <v>3121707</v>
      </c>
      <c r="H780">
        <v>707009158</v>
      </c>
      <c r="I780">
        <v>100</v>
      </c>
      <c r="J780" s="98">
        <v>1</v>
      </c>
      <c r="K780" s="79">
        <v>46153.875</v>
      </c>
      <c r="L780" t="s">
        <v>4965</v>
      </c>
      <c r="X780" t="s">
        <v>4135</v>
      </c>
    </row>
    <row r="781" spans="1:24" ht="16" customHeight="1" x14ac:dyDescent="0.6">
      <c r="A781" t="s">
        <v>4966</v>
      </c>
      <c r="B781" t="s">
        <v>17</v>
      </c>
      <c r="C781" t="s">
        <v>3055</v>
      </c>
      <c r="E781" t="s">
        <v>2930</v>
      </c>
      <c r="F781">
        <v>3152447</v>
      </c>
      <c r="H781">
        <v>914595782</v>
      </c>
      <c r="I781">
        <v>50</v>
      </c>
      <c r="J781" s="98">
        <v>0.75</v>
      </c>
      <c r="K781" s="79">
        <v>46153.9375</v>
      </c>
      <c r="X781" t="s">
        <v>4135</v>
      </c>
    </row>
    <row r="782" spans="1:24" ht="16" customHeight="1" x14ac:dyDescent="0.6">
      <c r="A782" t="s">
        <v>4967</v>
      </c>
      <c r="B782" t="s">
        <v>17</v>
      </c>
      <c r="C782" t="s">
        <v>3066</v>
      </c>
      <c r="E782" t="s">
        <v>2930</v>
      </c>
      <c r="F782">
        <v>1881780</v>
      </c>
      <c r="H782">
        <v>346339027</v>
      </c>
      <c r="I782">
        <v>100</v>
      </c>
      <c r="J782" s="98">
        <v>0.75</v>
      </c>
      <c r="K782" s="79">
        <v>46153.875</v>
      </c>
      <c r="M782" t="s">
        <v>2910</v>
      </c>
      <c r="N782" s="99">
        <v>46331</v>
      </c>
      <c r="O782" s="75">
        <v>0.9375</v>
      </c>
      <c r="P782" t="s">
        <v>4968</v>
      </c>
      <c r="Q782" t="s">
        <v>1356</v>
      </c>
      <c r="R782" t="s">
        <v>4969</v>
      </c>
      <c r="S782" t="s">
        <v>1868</v>
      </c>
      <c r="T782" t="s">
        <v>4204</v>
      </c>
      <c r="V782" t="s">
        <v>2965</v>
      </c>
      <c r="X782" t="s">
        <v>2914</v>
      </c>
    </row>
    <row r="783" spans="1:24" ht="16" customHeight="1" x14ac:dyDescent="0.6">
      <c r="A783" t="s">
        <v>4970</v>
      </c>
      <c r="B783" t="s">
        <v>17</v>
      </c>
      <c r="C783" t="s">
        <v>4971</v>
      </c>
      <c r="D783" t="s">
        <v>4972</v>
      </c>
      <c r="E783" t="s">
        <v>2917</v>
      </c>
      <c r="F783">
        <v>3108436</v>
      </c>
      <c r="H783">
        <v>903477068</v>
      </c>
      <c r="I783">
        <v>100</v>
      </c>
      <c r="J783" s="98">
        <v>1</v>
      </c>
      <c r="K783" s="79">
        <v>46153.875</v>
      </c>
      <c r="M783" t="s">
        <v>3029</v>
      </c>
      <c r="X783" t="s">
        <v>2914</v>
      </c>
    </row>
    <row r="784" spans="1:24" ht="16" customHeight="1" x14ac:dyDescent="0.6">
      <c r="A784" t="s">
        <v>4973</v>
      </c>
      <c r="B784" t="s">
        <v>17</v>
      </c>
      <c r="C784" t="s">
        <v>4454</v>
      </c>
      <c r="E784" t="s">
        <v>2917</v>
      </c>
      <c r="F784">
        <v>2042954</v>
      </c>
      <c r="H784">
        <v>908145225</v>
      </c>
      <c r="I784">
        <v>200</v>
      </c>
      <c r="J784" s="98">
        <v>1</v>
      </c>
      <c r="K784" s="79">
        <v>46153.875</v>
      </c>
      <c r="X784" t="s">
        <v>4135</v>
      </c>
    </row>
    <row r="785" spans="1:24" ht="16" customHeight="1" x14ac:dyDescent="0.6">
      <c r="A785" t="s">
        <v>4974</v>
      </c>
      <c r="B785" t="s">
        <v>17</v>
      </c>
      <c r="C785" t="s">
        <v>3221</v>
      </c>
      <c r="E785" t="s">
        <v>2930</v>
      </c>
      <c r="F785">
        <v>3151831</v>
      </c>
      <c r="H785">
        <v>908404630</v>
      </c>
      <c r="I785">
        <v>80</v>
      </c>
      <c r="J785" s="98">
        <v>0.5</v>
      </c>
      <c r="K785" s="79">
        <v>46153.875</v>
      </c>
      <c r="M785" t="s">
        <v>2910</v>
      </c>
      <c r="N785" s="99">
        <v>46331</v>
      </c>
      <c r="P785" t="s">
        <v>4975</v>
      </c>
      <c r="Q785" t="s">
        <v>1356</v>
      </c>
      <c r="R785" t="s">
        <v>4976</v>
      </c>
      <c r="S785" t="s">
        <v>1868</v>
      </c>
      <c r="T785" t="s">
        <v>4977</v>
      </c>
      <c r="V785" t="s">
        <v>2965</v>
      </c>
      <c r="X785" t="s">
        <v>2914</v>
      </c>
    </row>
    <row r="786" spans="1:24" ht="16" customHeight="1" x14ac:dyDescent="0.6">
      <c r="A786" t="s">
        <v>4978</v>
      </c>
      <c r="B786" t="s">
        <v>17</v>
      </c>
      <c r="C786" t="s">
        <v>3547</v>
      </c>
      <c r="D786" t="s">
        <v>140</v>
      </c>
      <c r="E786" t="s">
        <v>2917</v>
      </c>
      <c r="F786">
        <v>3020591</v>
      </c>
      <c r="G786" t="s">
        <v>3728</v>
      </c>
      <c r="H786">
        <v>988544750</v>
      </c>
      <c r="I786">
        <v>200</v>
      </c>
      <c r="J786" s="98">
        <v>1</v>
      </c>
      <c r="K786" s="79">
        <v>46153.916666666664</v>
      </c>
      <c r="M786" t="s">
        <v>2955</v>
      </c>
      <c r="P786" t="s">
        <v>4979</v>
      </c>
      <c r="X786" t="s">
        <v>2914</v>
      </c>
    </row>
    <row r="787" spans="1:24" ht="16" customHeight="1" x14ac:dyDescent="0.6">
      <c r="A787" t="s">
        <v>4980</v>
      </c>
      <c r="B787" t="s">
        <v>17</v>
      </c>
      <c r="C787" t="s">
        <v>2969</v>
      </c>
      <c r="E787" t="s">
        <v>2917</v>
      </c>
      <c r="F787">
        <v>3120451</v>
      </c>
      <c r="H787">
        <v>369085819</v>
      </c>
      <c r="I787">
        <v>100</v>
      </c>
      <c r="J787" s="98">
        <v>1</v>
      </c>
      <c r="K787" s="79">
        <v>46153.895833333336</v>
      </c>
      <c r="X787" t="s">
        <v>4135</v>
      </c>
    </row>
    <row r="788" spans="1:24" ht="16" customHeight="1" x14ac:dyDescent="0.6">
      <c r="A788" t="s">
        <v>4981</v>
      </c>
      <c r="B788" t="s">
        <v>17</v>
      </c>
      <c r="C788" t="s">
        <v>4971</v>
      </c>
      <c r="D788" t="s">
        <v>4972</v>
      </c>
      <c r="E788" t="s">
        <v>2917</v>
      </c>
      <c r="F788">
        <v>3108436</v>
      </c>
      <c r="H788">
        <v>903477068</v>
      </c>
      <c r="I788">
        <v>100</v>
      </c>
      <c r="J788" s="98">
        <v>1</v>
      </c>
      <c r="K788" s="79">
        <v>46153.916666666664</v>
      </c>
      <c r="X788" t="s">
        <v>4135</v>
      </c>
    </row>
    <row r="789" spans="1:24" ht="16" customHeight="1" x14ac:dyDescent="0.6">
      <c r="A789" t="s">
        <v>4982</v>
      </c>
      <c r="B789" t="s">
        <v>17</v>
      </c>
      <c r="C789" t="s">
        <v>2957</v>
      </c>
      <c r="E789" t="s">
        <v>2930</v>
      </c>
      <c r="F789">
        <v>1802852</v>
      </c>
      <c r="H789">
        <v>974607460</v>
      </c>
      <c r="I789">
        <v>100</v>
      </c>
      <c r="J789" s="98">
        <v>1</v>
      </c>
      <c r="K789" s="79">
        <v>46153.875</v>
      </c>
      <c r="X789" t="s">
        <v>4135</v>
      </c>
    </row>
    <row r="790" spans="1:24" ht="16" customHeight="1" x14ac:dyDescent="0.6">
      <c r="A790" t="s">
        <v>4983</v>
      </c>
      <c r="B790" t="s">
        <v>17</v>
      </c>
      <c r="C790" t="s">
        <v>4062</v>
      </c>
      <c r="E790" t="s">
        <v>2917</v>
      </c>
      <c r="F790">
        <v>3136236</v>
      </c>
      <c r="H790">
        <v>989177205</v>
      </c>
      <c r="I790">
        <v>40</v>
      </c>
      <c r="J790" s="98">
        <v>0.75</v>
      </c>
      <c r="K790" s="79">
        <v>46153.864583333336</v>
      </c>
      <c r="X790" t="s">
        <v>4135</v>
      </c>
    </row>
    <row r="791" spans="1:24" ht="16" customHeight="1" x14ac:dyDescent="0.6">
      <c r="A791" t="s">
        <v>4984</v>
      </c>
      <c r="B791" t="s">
        <v>17</v>
      </c>
      <c r="C791" t="s">
        <v>3544</v>
      </c>
      <c r="E791" t="s">
        <v>2930</v>
      </c>
      <c r="F791">
        <v>3126417</v>
      </c>
      <c r="H791">
        <v>325209813</v>
      </c>
      <c r="I791">
        <v>70</v>
      </c>
      <c r="J791" s="98">
        <v>0.75</v>
      </c>
      <c r="K791" s="79">
        <v>46153.916666666664</v>
      </c>
      <c r="X791" t="s">
        <v>4135</v>
      </c>
    </row>
    <row r="792" spans="1:24" ht="16" customHeight="1" x14ac:dyDescent="0.6">
      <c r="A792" t="s">
        <v>4985</v>
      </c>
      <c r="B792" t="s">
        <v>17</v>
      </c>
      <c r="C792" t="s">
        <v>2935</v>
      </c>
      <c r="E792" t="s">
        <v>2930</v>
      </c>
      <c r="F792">
        <v>1874426</v>
      </c>
      <c r="H792">
        <v>949394466</v>
      </c>
      <c r="I792">
        <v>150</v>
      </c>
      <c r="J792" s="98">
        <v>1</v>
      </c>
      <c r="K792" s="79">
        <v>46153.927083333336</v>
      </c>
      <c r="X792" t="s">
        <v>4135</v>
      </c>
    </row>
    <row r="793" spans="1:24" ht="16" customHeight="1" x14ac:dyDescent="0.6">
      <c r="A793" t="s">
        <v>4986</v>
      </c>
      <c r="B793" t="s">
        <v>17</v>
      </c>
      <c r="C793" t="s">
        <v>3047</v>
      </c>
      <c r="E793" t="s">
        <v>2917</v>
      </c>
      <c r="F793">
        <v>1765374</v>
      </c>
      <c r="H793">
        <v>377646101</v>
      </c>
      <c r="I793">
        <v>60</v>
      </c>
      <c r="J793" s="98">
        <v>0.75</v>
      </c>
      <c r="K793" s="79">
        <v>46153.9375</v>
      </c>
      <c r="X793" t="s">
        <v>4135</v>
      </c>
    </row>
    <row r="794" spans="1:24" ht="16" customHeight="1" x14ac:dyDescent="0.6">
      <c r="A794" t="s">
        <v>4987</v>
      </c>
      <c r="B794" t="s">
        <v>17</v>
      </c>
      <c r="C794" t="s">
        <v>4797</v>
      </c>
      <c r="E794" t="s">
        <v>2930</v>
      </c>
      <c r="F794">
        <v>3031270</v>
      </c>
      <c r="H794">
        <v>862888359</v>
      </c>
      <c r="I794">
        <v>60</v>
      </c>
      <c r="J794" s="98">
        <v>0.75</v>
      </c>
      <c r="K794" s="79">
        <v>46153.916666666664</v>
      </c>
      <c r="X794" t="s">
        <v>4135</v>
      </c>
    </row>
    <row r="795" spans="1:24" ht="16" customHeight="1" x14ac:dyDescent="0.6">
      <c r="A795" t="s">
        <v>4988</v>
      </c>
      <c r="B795" t="s">
        <v>17</v>
      </c>
      <c r="C795" t="s">
        <v>3258</v>
      </c>
      <c r="E795" t="s">
        <v>2930</v>
      </c>
      <c r="F795">
        <v>3109385</v>
      </c>
      <c r="H795">
        <v>966006271</v>
      </c>
      <c r="I795">
        <v>100</v>
      </c>
      <c r="J795" s="98">
        <v>1</v>
      </c>
      <c r="K795" s="79">
        <v>46153.875</v>
      </c>
      <c r="X795" t="s">
        <v>4135</v>
      </c>
    </row>
    <row r="796" spans="1:24" ht="16" customHeight="1" x14ac:dyDescent="0.6">
      <c r="A796" t="s">
        <v>4989</v>
      </c>
      <c r="B796" t="s">
        <v>17</v>
      </c>
      <c r="C796" t="s">
        <v>2916</v>
      </c>
      <c r="E796" t="s">
        <v>2917</v>
      </c>
      <c r="F796">
        <v>3070766</v>
      </c>
      <c r="G796" t="s">
        <v>3684</v>
      </c>
      <c r="H796">
        <v>376156434</v>
      </c>
      <c r="I796">
        <v>75</v>
      </c>
      <c r="J796" s="98">
        <v>0.75</v>
      </c>
      <c r="K796" s="79">
        <v>46153.916666666664</v>
      </c>
      <c r="X796" t="s">
        <v>4135</v>
      </c>
    </row>
    <row r="797" spans="1:24" ht="16" customHeight="1" x14ac:dyDescent="0.6">
      <c r="A797" t="s">
        <v>4990</v>
      </c>
      <c r="B797" t="s">
        <v>17</v>
      </c>
      <c r="C797" t="s">
        <v>2924</v>
      </c>
      <c r="E797" t="s">
        <v>2917</v>
      </c>
      <c r="F797">
        <v>3140984</v>
      </c>
      <c r="H797">
        <v>388910849</v>
      </c>
      <c r="I797">
        <v>80</v>
      </c>
      <c r="J797" s="98">
        <v>1</v>
      </c>
      <c r="K797" s="79">
        <v>46153.9375</v>
      </c>
      <c r="M797" t="s">
        <v>2955</v>
      </c>
      <c r="X797" t="s">
        <v>2914</v>
      </c>
    </row>
    <row r="798" spans="1:24" ht="16" customHeight="1" x14ac:dyDescent="0.6">
      <c r="A798" t="s">
        <v>4991</v>
      </c>
      <c r="B798" t="s">
        <v>17</v>
      </c>
      <c r="C798" t="s">
        <v>3601</v>
      </c>
      <c r="E798" t="s">
        <v>2909</v>
      </c>
      <c r="F798">
        <v>1882650</v>
      </c>
      <c r="G798" t="s">
        <v>4234</v>
      </c>
      <c r="H798">
        <v>775748473</v>
      </c>
      <c r="I798">
        <v>40</v>
      </c>
      <c r="J798" s="98">
        <v>0.75</v>
      </c>
      <c r="K798" s="79">
        <v>46153.875</v>
      </c>
      <c r="M798" t="s">
        <v>2910</v>
      </c>
      <c r="N798" s="99">
        <v>46331</v>
      </c>
      <c r="P798" t="s">
        <v>4992</v>
      </c>
      <c r="Q798" t="s">
        <v>967</v>
      </c>
      <c r="R798" t="s">
        <v>2937</v>
      </c>
      <c r="S798" t="s">
        <v>1868</v>
      </c>
      <c r="T798" t="s">
        <v>2960</v>
      </c>
      <c r="V798" t="s">
        <v>202</v>
      </c>
      <c r="X798" t="s">
        <v>2914</v>
      </c>
    </row>
    <row r="799" spans="1:24" ht="16" customHeight="1" x14ac:dyDescent="0.6">
      <c r="A799" t="s">
        <v>4993</v>
      </c>
      <c r="B799" t="s">
        <v>17</v>
      </c>
      <c r="C799" t="s">
        <v>3142</v>
      </c>
      <c r="E799" t="s">
        <v>2930</v>
      </c>
      <c r="F799">
        <v>1714094</v>
      </c>
      <c r="G799" t="s">
        <v>3143</v>
      </c>
      <c r="H799">
        <v>961790126</v>
      </c>
      <c r="I799">
        <v>100</v>
      </c>
      <c r="J799" s="98">
        <v>0.75</v>
      </c>
      <c r="K799" s="79">
        <v>46153.916666666664</v>
      </c>
      <c r="M799" t="s">
        <v>2955</v>
      </c>
      <c r="P799" t="s">
        <v>4994</v>
      </c>
      <c r="X799" t="s">
        <v>2914</v>
      </c>
    </row>
    <row r="800" spans="1:24" ht="16" customHeight="1" x14ac:dyDescent="0.6">
      <c r="A800" t="s">
        <v>4995</v>
      </c>
      <c r="B800" t="s">
        <v>17</v>
      </c>
      <c r="C800" t="s">
        <v>2924</v>
      </c>
      <c r="E800" t="s">
        <v>2930</v>
      </c>
      <c r="F800">
        <v>3140984</v>
      </c>
      <c r="H800">
        <v>388910849</v>
      </c>
      <c r="I800">
        <v>79</v>
      </c>
      <c r="J800" s="98">
        <v>1</v>
      </c>
      <c r="K800" s="79">
        <v>46153.9375</v>
      </c>
      <c r="X800" t="s">
        <v>4135</v>
      </c>
    </row>
    <row r="801" spans="1:24" ht="16" customHeight="1" x14ac:dyDescent="0.6">
      <c r="A801" t="s">
        <v>4996</v>
      </c>
      <c r="B801" t="s">
        <v>17</v>
      </c>
      <c r="C801" t="s">
        <v>3036</v>
      </c>
      <c r="E801" t="s">
        <v>2909</v>
      </c>
      <c r="F801">
        <v>3146332</v>
      </c>
      <c r="H801">
        <v>973082002</v>
      </c>
      <c r="I801">
        <v>50</v>
      </c>
      <c r="J801" s="98">
        <v>0.75</v>
      </c>
      <c r="K801" s="79">
        <v>46153.9375</v>
      </c>
      <c r="L801" t="s">
        <v>4997</v>
      </c>
      <c r="M801" t="s">
        <v>2910</v>
      </c>
      <c r="N801" s="99">
        <v>46331</v>
      </c>
      <c r="P801" t="s">
        <v>4998</v>
      </c>
      <c r="Q801" t="s">
        <v>967</v>
      </c>
      <c r="R801" t="s">
        <v>4999</v>
      </c>
      <c r="S801" t="s">
        <v>1868</v>
      </c>
      <c r="T801" t="s">
        <v>4879</v>
      </c>
      <c r="V801" t="s">
        <v>202</v>
      </c>
      <c r="X801" t="s">
        <v>2914</v>
      </c>
    </row>
    <row r="802" spans="1:24" ht="16" customHeight="1" x14ac:dyDescent="0.6">
      <c r="A802" t="s">
        <v>5000</v>
      </c>
      <c r="B802" t="s">
        <v>17</v>
      </c>
      <c r="C802" t="s">
        <v>2935</v>
      </c>
      <c r="E802" t="s">
        <v>2930</v>
      </c>
      <c r="F802">
        <v>3168214</v>
      </c>
      <c r="H802">
        <v>909262240</v>
      </c>
      <c r="I802">
        <v>50</v>
      </c>
      <c r="J802" s="98">
        <v>0.5</v>
      </c>
      <c r="K802" s="79">
        <v>46153.9375</v>
      </c>
      <c r="M802" t="s">
        <v>2955</v>
      </c>
      <c r="X802" t="s">
        <v>2914</v>
      </c>
    </row>
    <row r="803" spans="1:24" ht="16" customHeight="1" x14ac:dyDescent="0.6">
      <c r="A803" t="s">
        <v>5001</v>
      </c>
      <c r="B803" t="s">
        <v>17</v>
      </c>
      <c r="C803" t="s">
        <v>2986</v>
      </c>
      <c r="E803" t="s">
        <v>2917</v>
      </c>
      <c r="F803">
        <v>3150112</v>
      </c>
      <c r="G803" t="s">
        <v>3986</v>
      </c>
      <c r="H803">
        <v>965514797</v>
      </c>
      <c r="I803">
        <v>50</v>
      </c>
      <c r="J803" s="98">
        <v>0.5</v>
      </c>
      <c r="K803" s="79">
        <v>46153.916666666664</v>
      </c>
      <c r="X803" t="s">
        <v>4135</v>
      </c>
    </row>
    <row r="804" spans="1:24" ht="16" customHeight="1" x14ac:dyDescent="0.6">
      <c r="A804" t="s">
        <v>5002</v>
      </c>
      <c r="B804" t="s">
        <v>17</v>
      </c>
      <c r="C804" t="s">
        <v>2929</v>
      </c>
      <c r="E804" t="s">
        <v>2930</v>
      </c>
      <c r="F804">
        <v>1874442</v>
      </c>
      <c r="H804">
        <v>349694008</v>
      </c>
      <c r="I804">
        <v>60</v>
      </c>
      <c r="J804" s="98">
        <v>1</v>
      </c>
      <c r="K804" s="79">
        <v>46153.875</v>
      </c>
      <c r="X804" t="s">
        <v>4135</v>
      </c>
    </row>
    <row r="805" spans="1:24" ht="16" customHeight="1" x14ac:dyDescent="0.6">
      <c r="A805" t="s">
        <v>5003</v>
      </c>
      <c r="B805" t="s">
        <v>17</v>
      </c>
      <c r="C805" t="s">
        <v>3247</v>
      </c>
      <c r="E805" t="s">
        <v>2917</v>
      </c>
      <c r="F805">
        <v>3160349</v>
      </c>
      <c r="H805">
        <v>903095687</v>
      </c>
      <c r="I805">
        <v>200</v>
      </c>
      <c r="J805" s="98">
        <v>1</v>
      </c>
      <c r="K805" s="79">
        <v>46153.895833333336</v>
      </c>
      <c r="M805" t="s">
        <v>2910</v>
      </c>
      <c r="N805" s="99">
        <v>46331</v>
      </c>
      <c r="P805" t="s">
        <v>5004</v>
      </c>
      <c r="Q805" t="s">
        <v>967</v>
      </c>
      <c r="R805" t="s">
        <v>5005</v>
      </c>
      <c r="S805" t="s">
        <v>1868</v>
      </c>
      <c r="T805" t="s">
        <v>3489</v>
      </c>
      <c r="V805" t="s">
        <v>3009</v>
      </c>
      <c r="X805" t="s">
        <v>2914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A00BA-9BDD-4E0E-8205-6BC056D2AB75}">
  <dimension ref="A1"/>
  <sheetViews>
    <sheetView tabSelected="1" workbookViewId="0">
      <selection activeCell="P20" sqref="P20"/>
    </sheetView>
  </sheetViews>
  <sheetFormatPr defaultRowHeight="13" x14ac:dyDescent="0.6"/>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06666"/>
    <outlinePr summaryBelow="0" summaryRight="0"/>
  </sheetPr>
  <dimension ref="A1:Z1003"/>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12.6328125" defaultRowHeight="15.75" customHeight="1" x14ac:dyDescent="0.6"/>
  <cols>
    <col min="1" max="1" width="4.1328125" customWidth="1"/>
    <col min="2" max="2" width="19" customWidth="1"/>
    <col min="3" max="3" width="47.86328125" customWidth="1"/>
    <col min="18" max="19" width="12.6328125" hidden="1"/>
    <col min="22" max="22" width="12.7265625" customWidth="1"/>
    <col min="23" max="23" width="12" customWidth="1"/>
    <col min="24" max="24" width="11.7265625" customWidth="1"/>
  </cols>
  <sheetData>
    <row r="1" spans="1:26" ht="26.25" customHeight="1" x14ac:dyDescent="0.6">
      <c r="A1" s="104" t="s">
        <v>0</v>
      </c>
      <c r="B1" s="105"/>
      <c r="C1" s="6"/>
      <c r="D1" s="7"/>
      <c r="E1" s="7"/>
      <c r="F1" s="7"/>
      <c r="G1" s="7"/>
      <c r="H1" s="7"/>
      <c r="I1" s="7"/>
      <c r="J1" s="7"/>
      <c r="K1" s="7"/>
      <c r="L1" s="7"/>
      <c r="M1" s="7"/>
      <c r="N1" s="7"/>
      <c r="O1" s="7"/>
      <c r="P1" s="7"/>
      <c r="Q1" s="7"/>
      <c r="R1" s="7"/>
      <c r="S1" s="7"/>
      <c r="T1" s="7"/>
      <c r="U1" s="7"/>
      <c r="V1" s="8"/>
      <c r="W1" s="8"/>
      <c r="X1" s="9"/>
      <c r="Y1" s="7"/>
      <c r="Z1" s="7"/>
    </row>
    <row r="2" spans="1:26" ht="13" x14ac:dyDescent="0.6">
      <c r="A2" s="106" t="s">
        <v>1</v>
      </c>
      <c r="B2" s="105"/>
      <c r="C2" s="10"/>
      <c r="D2" s="11"/>
      <c r="E2" s="11"/>
      <c r="F2" s="11"/>
      <c r="G2" s="11"/>
      <c r="H2" s="11"/>
      <c r="I2" s="11"/>
      <c r="J2" s="11"/>
      <c r="K2" s="11"/>
      <c r="L2" s="11"/>
      <c r="M2" s="11"/>
      <c r="N2" s="11"/>
      <c r="O2" s="11"/>
      <c r="P2" s="11"/>
      <c r="Q2" s="11"/>
      <c r="R2" s="11"/>
      <c r="S2" s="11"/>
      <c r="T2" s="11"/>
      <c r="U2" s="11"/>
      <c r="V2" s="12"/>
      <c r="W2" s="12"/>
      <c r="X2" s="13"/>
      <c r="Y2" s="11"/>
      <c r="Z2" s="11"/>
    </row>
    <row r="3" spans="1:26" ht="13" x14ac:dyDescent="0.6">
      <c r="A3" s="106" t="s">
        <v>2</v>
      </c>
      <c r="B3" s="105"/>
      <c r="C3" s="10" t="s">
        <v>3</v>
      </c>
      <c r="D3" s="14"/>
      <c r="E3" s="14"/>
      <c r="F3" s="14"/>
      <c r="G3" s="14"/>
      <c r="H3" s="14"/>
      <c r="I3" s="14"/>
      <c r="J3" s="14"/>
      <c r="K3" s="14"/>
      <c r="L3" s="14"/>
      <c r="M3" s="14"/>
      <c r="N3" s="14"/>
      <c r="O3" s="14"/>
      <c r="P3" s="14"/>
      <c r="Q3" s="14"/>
      <c r="R3" s="15"/>
      <c r="S3" s="15"/>
      <c r="T3" s="11"/>
      <c r="U3" s="11"/>
      <c r="V3" s="12"/>
      <c r="W3" s="12"/>
      <c r="X3" s="13"/>
      <c r="Y3" s="11"/>
      <c r="Z3" s="11"/>
    </row>
    <row r="4" spans="1:26" ht="13" x14ac:dyDescent="0.6">
      <c r="A4" s="106" t="s">
        <v>4</v>
      </c>
      <c r="B4" s="105"/>
      <c r="C4" s="10" t="s">
        <v>5</v>
      </c>
      <c r="D4" s="14"/>
      <c r="E4" s="14"/>
      <c r="F4" s="14"/>
      <c r="G4" s="14"/>
      <c r="H4" s="14"/>
      <c r="I4" s="14"/>
      <c r="J4" s="14"/>
      <c r="K4" s="14"/>
      <c r="L4" s="14"/>
      <c r="M4" s="14"/>
      <c r="N4" s="14"/>
      <c r="O4" s="14"/>
      <c r="P4" s="14"/>
      <c r="Q4" s="14"/>
      <c r="R4" s="15"/>
      <c r="S4" s="15"/>
      <c r="T4" s="11"/>
      <c r="U4" s="11"/>
      <c r="V4" s="12"/>
      <c r="W4" s="12"/>
      <c r="X4" s="13"/>
      <c r="Y4" s="11"/>
      <c r="Z4" s="11"/>
    </row>
    <row r="5" spans="1:26" ht="13" x14ac:dyDescent="0.6">
      <c r="A5" s="11"/>
      <c r="B5" s="11"/>
      <c r="C5" s="11"/>
      <c r="D5" s="16">
        <f t="shared" ref="D5:Q5" ca="1" si="0">SUBTOTAL(9,D8:D1003)</f>
        <v>16726</v>
      </c>
      <c r="E5" s="16">
        <f t="shared" ca="1" si="0"/>
        <v>33560.6</v>
      </c>
      <c r="F5" s="16">
        <f t="shared" si="0"/>
        <v>0</v>
      </c>
      <c r="G5" s="16">
        <f t="shared" si="0"/>
        <v>0</v>
      </c>
      <c r="H5" s="16">
        <f t="shared" si="0"/>
        <v>0</v>
      </c>
      <c r="I5" s="16">
        <f t="shared" si="0"/>
        <v>0</v>
      </c>
      <c r="J5" s="16">
        <f t="shared" si="0"/>
        <v>0</v>
      </c>
      <c r="K5" s="16">
        <f t="shared" si="0"/>
        <v>0</v>
      </c>
      <c r="L5" s="16">
        <f t="shared" si="0"/>
        <v>0</v>
      </c>
      <c r="M5" s="16">
        <f t="shared" si="0"/>
        <v>0</v>
      </c>
      <c r="N5" s="16">
        <f t="shared" si="0"/>
        <v>0</v>
      </c>
      <c r="O5" s="16">
        <f t="shared" si="0"/>
        <v>0</v>
      </c>
      <c r="P5" s="16">
        <f t="shared" si="0"/>
        <v>0</v>
      </c>
      <c r="Q5" s="16">
        <f t="shared" si="0"/>
        <v>0</v>
      </c>
      <c r="R5" s="15"/>
      <c r="S5" s="15"/>
      <c r="T5" s="15"/>
      <c r="U5" s="15"/>
      <c r="V5" s="17"/>
      <c r="W5" s="12"/>
      <c r="X5" s="13"/>
      <c r="Y5" s="11"/>
      <c r="Z5" s="11"/>
    </row>
    <row r="6" spans="1:26" ht="13" x14ac:dyDescent="0.6">
      <c r="A6" s="7"/>
      <c r="B6" s="7"/>
      <c r="C6" s="7"/>
      <c r="D6" s="107" t="e">
        <f>#REF!</f>
        <v>#REF!</v>
      </c>
      <c r="E6" s="103"/>
      <c r="F6" s="107" t="e">
        <f>#REF!</f>
        <v>#REF!</v>
      </c>
      <c r="G6" s="103"/>
      <c r="H6" s="107" t="e">
        <f>#REF!</f>
        <v>#REF!</v>
      </c>
      <c r="I6" s="103"/>
      <c r="J6" s="107" t="e">
        <f>#REF!</f>
        <v>#REF!</v>
      </c>
      <c r="K6" s="103"/>
      <c r="L6" s="107" t="e">
        <f>#REF!</f>
        <v>#REF!</v>
      </c>
      <c r="M6" s="103"/>
      <c r="N6" s="107" t="e">
        <f>#REF!</f>
        <v>#REF!</v>
      </c>
      <c r="O6" s="103"/>
      <c r="P6" s="107" t="e">
        <f>#REF!</f>
        <v>#REF!</v>
      </c>
      <c r="Q6" s="103"/>
      <c r="R6" s="102" t="s">
        <v>6</v>
      </c>
      <c r="S6" s="103"/>
      <c r="T6" s="102" t="s">
        <v>6</v>
      </c>
      <c r="U6" s="103"/>
      <c r="V6" s="18" t="s">
        <v>7</v>
      </c>
      <c r="W6" s="8"/>
      <c r="X6" s="9"/>
      <c r="Y6" s="7"/>
      <c r="Z6" s="7"/>
    </row>
    <row r="7" spans="1:26" ht="42" customHeight="1" x14ac:dyDescent="0.6">
      <c r="A7" s="19" t="s">
        <v>8</v>
      </c>
      <c r="B7" s="19" t="s">
        <v>1</v>
      </c>
      <c r="C7" s="20" t="s">
        <v>9</v>
      </c>
      <c r="D7" s="21" t="s">
        <v>10</v>
      </c>
      <c r="E7" s="21" t="s">
        <v>11</v>
      </c>
      <c r="F7" s="21" t="s">
        <v>10</v>
      </c>
      <c r="G7" s="21" t="s">
        <v>11</v>
      </c>
      <c r="H7" s="21" t="s">
        <v>10</v>
      </c>
      <c r="I7" s="21" t="s">
        <v>11</v>
      </c>
      <c r="J7" s="21" t="s">
        <v>10</v>
      </c>
      <c r="K7" s="21" t="s">
        <v>11</v>
      </c>
      <c r="L7" s="21" t="s">
        <v>10</v>
      </c>
      <c r="M7" s="21" t="s">
        <v>11</v>
      </c>
      <c r="N7" s="21" t="s">
        <v>10</v>
      </c>
      <c r="O7" s="21" t="s">
        <v>11</v>
      </c>
      <c r="P7" s="22" t="s">
        <v>10</v>
      </c>
      <c r="Q7" s="23" t="s">
        <v>11</v>
      </c>
      <c r="R7" s="24" t="s">
        <v>10</v>
      </c>
      <c r="S7" s="25" t="s">
        <v>11</v>
      </c>
      <c r="T7" s="24" t="s">
        <v>10</v>
      </c>
      <c r="U7" s="25" t="s">
        <v>11</v>
      </c>
      <c r="V7" s="26" t="s">
        <v>12</v>
      </c>
      <c r="W7" s="26" t="s">
        <v>13</v>
      </c>
      <c r="X7" s="27" t="s">
        <v>14</v>
      </c>
      <c r="Y7" s="27"/>
      <c r="Z7" s="27" t="s">
        <v>15</v>
      </c>
    </row>
    <row r="8" spans="1:26" ht="13" x14ac:dyDescent="0.6">
      <c r="A8" s="28">
        <f t="shared" ref="A8:A262" ca="1" si="1">IF(B8="","",COUNTA($B$8:B8))</f>
        <v>1</v>
      </c>
      <c r="B8" s="7" t="str">
        <f ca="1">IFERROR(__xludf.DUMMYFUNCTION("QUERY(
  IF(C3=""Tất cả"",
     IF(C4=""Giao"",'Tất cả'!B5:S1003,'Tất cả-Lấy'!B5:S1003),
  IF(C3=""Shopee"",
     IF(C4=""Giao"",Shopee!B5:S1003,'Shopee-Lấy'!B5:S1003),
  IF(C3=""TTS"",
     IF(C4=""Giao"",TTS!B5:S1003,'TTS-Lấy'!B5:S1003),
  IF(C3=""SME"""&amp;",
     IF(C4=""Giao"",SME!B5:S1003,'SME-Lấy'!B5:S1003),
  )))),
    ""select * where 1=1 "" &amp;
  IF(C1="""",
     """",
     ""and Col17 = '""&amp;C1&amp;""' ""
  ) &amp;
  IF(C2="""",
     """",
     ""and Col18 = '""&amp;C2&amp;""'""
  ),
  0
)"),"Huyện Châu Đức")</f>
        <v>Huyện Châu Đức</v>
      </c>
      <c r="C8" s="7" t="str">
        <f ca="1">IFERROR(__xludf.DUMMYFUNCTION("""COMPUTED_VALUE"""),"Bưu Cục 57A Hùng Vương-Xã Ngãi Giao-Bà Rịa Vũng Tàu")</f>
        <v>Bưu Cục 57A Hùng Vương-Xã Ngãi Giao-Bà Rịa Vũng Tàu</v>
      </c>
      <c r="D8" s="9">
        <f ca="1">IFERROR(__xludf.DUMMYFUNCTION("""COMPUTED_VALUE"""),383)</f>
        <v>383</v>
      </c>
      <c r="E8" s="9">
        <f ca="1">IFERROR(__xludf.DUMMYFUNCTION("""COMPUTED_VALUE"""),623)</f>
        <v>623</v>
      </c>
      <c r="F8" s="7"/>
      <c r="G8" s="7"/>
      <c r="H8" s="7"/>
      <c r="I8" s="7"/>
      <c r="J8" s="7"/>
      <c r="K8" s="7"/>
      <c r="L8" s="7"/>
      <c r="M8" s="7"/>
      <c r="N8" s="7"/>
      <c r="O8" s="7"/>
      <c r="P8" s="29"/>
      <c r="Q8" s="29"/>
      <c r="R8" s="7" t="str">
        <f ca="1">IFERROR(__xludf.DUMMYFUNCTION("""COMPUTED_VALUE"""),"Bà Rịa - Vũng Tàu")</f>
        <v>Bà Rịa - Vũng Tàu</v>
      </c>
      <c r="S8" s="7" t="str">
        <f ca="1">IFERROR(__xludf.DUMMYFUNCTION("""COMPUTED_VALUE"""),"Huyện Châu Đức")</f>
        <v>Huyện Châu Đức</v>
      </c>
      <c r="T8" s="7" t="str">
        <f ca="1">IFERROR(__xludf.DUMMYFUNCTION("SPARKLINE({
IF(D8="""",0,D8),
IF(F8="""",0,F8),
IF(H8="""",0,H8),
IF(J8="""",0,J8),
IF(L8="""",0,L8),
IF(N8="""",0,N8),
IF(P8="""",0,P8)
})"),"")</f>
        <v/>
      </c>
      <c r="U8" s="7" t="str">
        <f ca="1">IFERROR(__xludf.DUMMYFUNCTION("SPARKLINE({
IF(E8="""",0,E8),
IF(G8="""",0,G8),
IF(I8="""",0,I8),
IF(K8="""",0,K8),
IF(M8="""",0,M8),
IF(O8="""",0,O8),
IF(Q8="""",0,Q8)
})"),"")</f>
        <v/>
      </c>
      <c r="V8" s="30" t="e">
        <f t="array" aca="1" ref="V8" ca="1">IF($C$4="Giao",_xludf.Xlookup(C8,#REF!,#REF!,),_xludf.Xlookup(C8,#REF!,#REF!,))</f>
        <v>#NAME?</v>
      </c>
      <c r="W8" s="30" t="e">
        <f t="array" aca="1" ref="W8" ca="1">IF($C$4="Giao", _xludf.Xlookup(C8,#REF!,#REF!,),_xludf.Xlookup(C8,#REF!,#REF!,))</f>
        <v>#NAME?</v>
      </c>
      <c r="X8" s="9" t="e">
        <f t="shared" ref="X8:X262" ca="1" si="2">W8*1.08</f>
        <v>#NAME?</v>
      </c>
      <c r="Y8" s="7"/>
      <c r="Z8" s="7"/>
    </row>
    <row r="9" spans="1:26" ht="13" x14ac:dyDescent="0.6">
      <c r="A9" s="28">
        <f t="shared" ca="1" si="1"/>
        <v>2</v>
      </c>
      <c r="B9" s="7" t="str">
        <f ca="1">IFERROR(__xludf.DUMMYFUNCTION("""COMPUTED_VALUE"""),"Huyện Châu Đức")</f>
        <v>Huyện Châu Đức</v>
      </c>
      <c r="C9" s="7" t="str">
        <f ca="1">IFERROR(__xludf.DUMMYFUNCTION("""COMPUTED_VALUE"""),"Bưu Cục Thôn Thành Long-Châu Đức-Bà Rịa Vũng Tàu")</f>
        <v>Bưu Cục Thôn Thành Long-Châu Đức-Bà Rịa Vũng Tàu</v>
      </c>
      <c r="D9" s="9">
        <f ca="1">IFERROR(__xludf.DUMMYFUNCTION("""COMPUTED_VALUE"""),336)</f>
        <v>336</v>
      </c>
      <c r="E9" s="9">
        <f ca="1">IFERROR(__xludf.DUMMYFUNCTION("""COMPUTED_VALUE"""),1245)</f>
        <v>1245</v>
      </c>
      <c r="F9" s="7"/>
      <c r="G9" s="7"/>
      <c r="H9" s="7"/>
      <c r="I9" s="7"/>
      <c r="J9" s="7"/>
      <c r="K9" s="7"/>
      <c r="L9" s="7"/>
      <c r="M9" s="7"/>
      <c r="N9" s="7"/>
      <c r="O9" s="7"/>
      <c r="P9" s="29"/>
      <c r="Q9" s="29"/>
      <c r="R9" s="7" t="str">
        <f ca="1">IFERROR(__xludf.DUMMYFUNCTION("""COMPUTED_VALUE"""),"Bà Rịa - Vũng Tàu")</f>
        <v>Bà Rịa - Vũng Tàu</v>
      </c>
      <c r="S9" s="7" t="str">
        <f ca="1">IFERROR(__xludf.DUMMYFUNCTION("""COMPUTED_VALUE"""),"Huyện Châu Đức")</f>
        <v>Huyện Châu Đức</v>
      </c>
      <c r="T9" s="7" t="str">
        <f ca="1">IFERROR(__xludf.DUMMYFUNCTION("SPARKLINE({
IF(D9="""",0,D9),
IF(F9="""",0,F9),
IF(H9="""",0,H9),
IF(J9="""",0,J9),
IF(L9="""",0,L9),
IF(N9="""",0,N9),
IF(P9="""",0,P9)
})"),"")</f>
        <v/>
      </c>
      <c r="U9" s="7" t="str">
        <f ca="1">IFERROR(__xludf.DUMMYFUNCTION("SPARKLINE({
IF(E9="""",0,E9),
IF(G9="""",0,G9),
IF(I9="""",0,I9),
IF(K9="""",0,K9),
IF(M9="""",0,M9),
IF(O9="""",0,O9),
IF(Q9="""",0,Q9)
})"),"")</f>
        <v/>
      </c>
      <c r="V9" s="30" t="e">
        <f t="array" aca="1" ref="V9" ca="1">IF($C$4="Giao",_xludf.Xlookup(C9,#REF!,#REF!,),_xludf.Xlookup(C9,#REF!,#REF!,))</f>
        <v>#NAME?</v>
      </c>
      <c r="W9" s="30" t="e">
        <f t="array" aca="1" ref="W9" ca="1">IF($C$4="Giao", _xludf.Xlookup(C9,#REF!,#REF!,),_xludf.Xlookup(C9,#REF!,#REF!,))</f>
        <v>#NAME?</v>
      </c>
      <c r="X9" s="9" t="e">
        <f t="shared" ca="1" si="2"/>
        <v>#NAME?</v>
      </c>
      <c r="Y9" s="7"/>
      <c r="Z9" s="7"/>
    </row>
    <row r="10" spans="1:26" ht="13" x14ac:dyDescent="0.6">
      <c r="A10" s="28">
        <f t="shared" ca="1" si="1"/>
        <v>3</v>
      </c>
      <c r="B10" s="7" t="str">
        <f ca="1">IFERROR(__xludf.DUMMYFUNCTION("""COMPUTED_VALUE"""),"Huyện đảo Côn Đảo")</f>
        <v>Huyện đảo Côn Đảo</v>
      </c>
      <c r="C10" s="7" t="str">
        <f ca="1">IFERROR(__xludf.DUMMYFUNCTION("""COMPUTED_VALUE"""),"Bưu Cục Côn Đảo-Bà Rịa Vũng Tàu")</f>
        <v>Bưu Cục Côn Đảo-Bà Rịa Vũng Tàu</v>
      </c>
      <c r="D10" s="9">
        <f ca="1">IFERROR(__xludf.DUMMYFUNCTION("""COMPUTED_VALUE"""),1023)</f>
        <v>1023</v>
      </c>
      <c r="E10" s="9">
        <f ca="1">IFERROR(__xludf.DUMMYFUNCTION("""COMPUTED_VALUE"""),2634)</f>
        <v>2634</v>
      </c>
      <c r="F10" s="7"/>
      <c r="G10" s="7"/>
      <c r="H10" s="7"/>
      <c r="I10" s="7"/>
      <c r="J10" s="7"/>
      <c r="K10" s="7"/>
      <c r="L10" s="7"/>
      <c r="M10" s="7"/>
      <c r="N10" s="7"/>
      <c r="O10" s="7"/>
      <c r="P10" s="29"/>
      <c r="Q10" s="29"/>
      <c r="R10" s="7" t="str">
        <f ca="1">IFERROR(__xludf.DUMMYFUNCTION("""COMPUTED_VALUE"""),"Bà Rịa - Vũng Tàu")</f>
        <v>Bà Rịa - Vũng Tàu</v>
      </c>
      <c r="S10" s="7" t="str">
        <f ca="1">IFERROR(__xludf.DUMMYFUNCTION("""COMPUTED_VALUE"""),"Huyện đảo Côn Đảo")</f>
        <v>Huyện đảo Côn Đảo</v>
      </c>
      <c r="T10" s="7" t="str">
        <f ca="1">IFERROR(__xludf.DUMMYFUNCTION("SPARKLINE({
IF(D10="""",0,D10),
IF(F10="""",0,F10),
IF(H10="""",0,H10),
IF(J10="""",0,J10),
IF(L10="""",0,L10),
IF(N10="""",0,N10),
IF(P10="""",0,P10)
})"),"")</f>
        <v/>
      </c>
      <c r="U10" s="7" t="str">
        <f ca="1">IFERROR(__xludf.DUMMYFUNCTION("SPARKLINE({
IF(E10="""",0,E10),
IF(G10="""",0,G10),
IF(I10="""",0,I10),
IF(K10="""",0,K10),
IF(M10="""",0,M10),
IF(O10="""",0,O10),
IF(Q10="""",0,Q10)
})"),"")</f>
        <v/>
      </c>
      <c r="V10" s="30" t="e">
        <f t="array" aca="1" ref="V10" ca="1">IF($C$4="Giao",_xludf.Xlookup(C10,#REF!,#REF!,),_xludf.Xlookup(C10,#REF!,#REF!,))</f>
        <v>#NAME?</v>
      </c>
      <c r="W10" s="30" t="e">
        <f t="array" aca="1" ref="W10" ca="1">IF($C$4="Giao", _xludf.Xlookup(C10,#REF!,#REF!,),_xludf.Xlookup(C10,#REF!,#REF!,))</f>
        <v>#NAME?</v>
      </c>
      <c r="X10" s="9" t="e">
        <f t="shared" ca="1" si="2"/>
        <v>#NAME?</v>
      </c>
      <c r="Y10" s="7"/>
      <c r="Z10" s="7"/>
    </row>
    <row r="11" spans="1:26" ht="13" x14ac:dyDescent="0.6">
      <c r="A11" s="28">
        <f t="shared" ca="1" si="1"/>
        <v>4</v>
      </c>
      <c r="B11" s="7" t="str">
        <f ca="1">IFERROR(__xludf.DUMMYFUNCTION("""COMPUTED_VALUE"""),"Huyện Đất Đỏ")</f>
        <v>Huyện Đất Đỏ</v>
      </c>
      <c r="C11" s="7" t="str">
        <f ca="1">IFERROR(__xludf.DUMMYFUNCTION("""COMPUTED_VALUE"""),"Bưu Cục KP Thanh Long -Đất Đỏ-Bà Rịa Vũng Tàu")</f>
        <v>Bưu Cục KP Thanh Long -Đất Đỏ-Bà Rịa Vũng Tàu</v>
      </c>
      <c r="D11" s="9">
        <f ca="1">IFERROR(__xludf.DUMMYFUNCTION("""COMPUTED_VALUE"""),502)</f>
        <v>502</v>
      </c>
      <c r="E11" s="9">
        <f ca="1">IFERROR(__xludf.DUMMYFUNCTION("""COMPUTED_VALUE"""),1259)</f>
        <v>1259</v>
      </c>
      <c r="F11" s="7"/>
      <c r="G11" s="7"/>
      <c r="H11" s="7"/>
      <c r="I11" s="7"/>
      <c r="J11" s="7"/>
      <c r="K11" s="7"/>
      <c r="L11" s="7"/>
      <c r="M11" s="7"/>
      <c r="N11" s="7"/>
      <c r="O11" s="7"/>
      <c r="P11" s="29"/>
      <c r="Q11" s="29"/>
      <c r="R11" s="7" t="str">
        <f ca="1">IFERROR(__xludf.DUMMYFUNCTION("""COMPUTED_VALUE"""),"Bà Rịa - Vũng Tàu")</f>
        <v>Bà Rịa - Vũng Tàu</v>
      </c>
      <c r="S11" s="7" t="str">
        <f ca="1">IFERROR(__xludf.DUMMYFUNCTION("""COMPUTED_VALUE"""),"Huyện Đất Đỏ")</f>
        <v>Huyện Đất Đỏ</v>
      </c>
      <c r="T11" s="7" t="str">
        <f ca="1">IFERROR(__xludf.DUMMYFUNCTION("SPARKLINE({
IF(D11="""",0,D11),
IF(F11="""",0,F11),
IF(H11="""",0,H11),
IF(J11="""",0,J11),
IF(L11="""",0,L11),
IF(N11="""",0,N11),
IF(P11="""",0,P11)
})"),"")</f>
        <v/>
      </c>
      <c r="U11" s="7" t="str">
        <f ca="1">IFERROR(__xludf.DUMMYFUNCTION("SPARKLINE({
IF(E11="""",0,E11),
IF(G11="""",0,G11),
IF(I11="""",0,I11),
IF(K11="""",0,K11),
IF(M11="""",0,M11),
IF(O11="""",0,O11),
IF(Q11="""",0,Q11)
})"),"")</f>
        <v/>
      </c>
      <c r="V11" s="30" t="e">
        <f t="array" aca="1" ref="V11" ca="1">IF($C$4="Giao",_xludf.Xlookup(C11,#REF!,#REF!,),_xludf.Xlookup(C11,#REF!,#REF!,))</f>
        <v>#NAME?</v>
      </c>
      <c r="W11" s="30" t="e">
        <f t="array" aca="1" ref="W11" ca="1">IF($C$4="Giao", _xludf.Xlookup(C11,#REF!,#REF!,),_xludf.Xlookup(C11,#REF!,#REF!,))</f>
        <v>#NAME?</v>
      </c>
      <c r="X11" s="9" t="e">
        <f t="shared" ca="1" si="2"/>
        <v>#NAME?</v>
      </c>
      <c r="Y11" s="7"/>
      <c r="Z11" s="7"/>
    </row>
    <row r="12" spans="1:26" ht="13" x14ac:dyDescent="0.6">
      <c r="A12" s="28">
        <f t="shared" ca="1" si="1"/>
        <v>5</v>
      </c>
      <c r="B12" s="7" t="str">
        <f ca="1">IFERROR(__xludf.DUMMYFUNCTION("""COMPUTED_VALUE"""),"Huyện Long Điền")</f>
        <v>Huyện Long Điền</v>
      </c>
      <c r="C12" s="7" t="str">
        <f ca="1">IFERROR(__xludf.DUMMYFUNCTION("""COMPUTED_VALUE"""),"Bưu Cục 41 Nguyễn Tất Thành-Long Điền-Bà Rịa Vũng Tàu")</f>
        <v>Bưu Cục 41 Nguyễn Tất Thành-Long Điền-Bà Rịa Vũng Tàu</v>
      </c>
      <c r="D12" s="9">
        <f ca="1">IFERROR(__xludf.DUMMYFUNCTION("""COMPUTED_VALUE"""),521)</f>
        <v>521</v>
      </c>
      <c r="E12" s="9">
        <f ca="1">IFERROR(__xludf.DUMMYFUNCTION("""COMPUTED_VALUE"""),688)</f>
        <v>688</v>
      </c>
      <c r="F12" s="7"/>
      <c r="G12" s="7"/>
      <c r="H12" s="7"/>
      <c r="I12" s="7"/>
      <c r="J12" s="7"/>
      <c r="K12" s="7"/>
      <c r="L12" s="7"/>
      <c r="M12" s="7"/>
      <c r="N12" s="7"/>
      <c r="O12" s="7"/>
      <c r="P12" s="29"/>
      <c r="Q12" s="29"/>
      <c r="R12" s="7" t="str">
        <f ca="1">IFERROR(__xludf.DUMMYFUNCTION("""COMPUTED_VALUE"""),"Bà Rịa - Vũng Tàu")</f>
        <v>Bà Rịa - Vũng Tàu</v>
      </c>
      <c r="S12" s="7" t="str">
        <f ca="1">IFERROR(__xludf.DUMMYFUNCTION("""COMPUTED_VALUE"""),"Huyện Long Điền")</f>
        <v>Huyện Long Điền</v>
      </c>
      <c r="T12" s="7" t="str">
        <f ca="1">IFERROR(__xludf.DUMMYFUNCTION("SPARKLINE({
IF(D12="""",0,D12),
IF(F12="""",0,F12),
IF(H12="""",0,H12),
IF(J12="""",0,J12),
IF(L12="""",0,L12),
IF(N12="""",0,N12),
IF(P12="""",0,P12)
})"),"")</f>
        <v/>
      </c>
      <c r="U12" s="7" t="str">
        <f ca="1">IFERROR(__xludf.DUMMYFUNCTION("SPARKLINE({
IF(E12="""",0,E12),
IF(G12="""",0,G12),
IF(I12="""",0,I12),
IF(K12="""",0,K12),
IF(M12="""",0,M12),
IF(O12="""",0,O12),
IF(Q12="""",0,Q12)
})"),"")</f>
        <v/>
      </c>
      <c r="V12" s="30" t="e">
        <f t="array" aca="1" ref="V12" ca="1">IF($C$4="Giao",_xludf.Xlookup(C12,#REF!,#REF!,),_xludf.Xlookup(C12,#REF!,#REF!,))</f>
        <v>#NAME?</v>
      </c>
      <c r="W12" s="30" t="e">
        <f t="array" aca="1" ref="W12" ca="1">IF($C$4="Giao", _xludf.Xlookup(C12,#REF!,#REF!,),_xludf.Xlookup(C12,#REF!,#REF!,))</f>
        <v>#NAME?</v>
      </c>
      <c r="X12" s="9" t="e">
        <f t="shared" ca="1" si="2"/>
        <v>#NAME?</v>
      </c>
      <c r="Y12" s="7"/>
      <c r="Z12" s="7"/>
    </row>
    <row r="13" spans="1:26" ht="13" x14ac:dyDescent="0.6">
      <c r="A13" s="28">
        <f t="shared" ca="1" si="1"/>
        <v>6</v>
      </c>
      <c r="B13" s="7" t="str">
        <f ca="1">IFERROR(__xludf.DUMMYFUNCTION("""COMPUTED_VALUE"""),"Huyện Long Điền")</f>
        <v>Huyện Long Điền</v>
      </c>
      <c r="C13" s="7" t="str">
        <f ca="1">IFERROR(__xludf.DUMMYFUNCTION("""COMPUTED_VALUE"""),"Bưu Cục An Phước- An Ngãi - Bà Rịa Vũng Tàu")</f>
        <v>Bưu Cục An Phước- An Ngãi - Bà Rịa Vũng Tàu</v>
      </c>
      <c r="D13" s="9">
        <f ca="1">IFERROR(__xludf.DUMMYFUNCTION("""COMPUTED_VALUE"""),193)</f>
        <v>193</v>
      </c>
      <c r="E13" s="9">
        <f ca="1">IFERROR(__xludf.DUMMYFUNCTION("""COMPUTED_VALUE"""),292)</f>
        <v>292</v>
      </c>
      <c r="F13" s="7"/>
      <c r="G13" s="7"/>
      <c r="H13" s="7"/>
      <c r="I13" s="7"/>
      <c r="J13" s="7"/>
      <c r="K13" s="7"/>
      <c r="L13" s="7"/>
      <c r="M13" s="7"/>
      <c r="N13" s="7"/>
      <c r="O13" s="7"/>
      <c r="P13" s="29"/>
      <c r="Q13" s="29"/>
      <c r="R13" s="7" t="str">
        <f ca="1">IFERROR(__xludf.DUMMYFUNCTION("""COMPUTED_VALUE"""),"Bà Rịa - Vũng Tàu")</f>
        <v>Bà Rịa - Vũng Tàu</v>
      </c>
      <c r="S13" s="7" t="str">
        <f ca="1">IFERROR(__xludf.DUMMYFUNCTION("""COMPUTED_VALUE"""),"Huyện Long Điền")</f>
        <v>Huyện Long Điền</v>
      </c>
      <c r="T13" s="7" t="str">
        <f ca="1">IFERROR(__xludf.DUMMYFUNCTION("SPARKLINE({
IF(D13="""",0,D13),
IF(F13="""",0,F13),
IF(H13="""",0,H13),
IF(J13="""",0,J13),
IF(L13="""",0,L13),
IF(N13="""",0,N13),
IF(P13="""",0,P13)
})"),"")</f>
        <v/>
      </c>
      <c r="U13" s="7" t="str">
        <f ca="1">IFERROR(__xludf.DUMMYFUNCTION("SPARKLINE({
IF(E13="""",0,E13),
IF(G13="""",0,G13),
IF(I13="""",0,I13),
IF(K13="""",0,K13),
IF(M13="""",0,M13),
IF(O13="""",0,O13),
IF(Q13="""",0,Q13)
})"),"")</f>
        <v/>
      </c>
      <c r="V13" s="30" t="e">
        <f t="array" aca="1" ref="V13" ca="1">IF($C$4="Giao",_xludf.Xlookup(C13,#REF!,#REF!,),_xludf.Xlookup(C13,#REF!,#REF!,))</f>
        <v>#NAME?</v>
      </c>
      <c r="W13" s="30" t="e">
        <f t="array" aca="1" ref="W13" ca="1">IF($C$4="Giao", _xludf.Xlookup(C13,#REF!,#REF!,),_xludf.Xlookup(C13,#REF!,#REF!,))</f>
        <v>#NAME?</v>
      </c>
      <c r="X13" s="9" t="e">
        <f t="shared" ca="1" si="2"/>
        <v>#NAME?</v>
      </c>
      <c r="Y13" s="7"/>
      <c r="Z13" s="7"/>
    </row>
    <row r="14" spans="1:26" ht="13" x14ac:dyDescent="0.6">
      <c r="A14" s="28">
        <f t="shared" ca="1" si="1"/>
        <v>7</v>
      </c>
      <c r="B14" s="7" t="str">
        <f ca="1">IFERROR(__xludf.DUMMYFUNCTION("""COMPUTED_VALUE"""),"Huyện Xuyên Mộc")</f>
        <v>Huyện Xuyên Mộc</v>
      </c>
      <c r="C14" s="7" t="str">
        <f ca="1">IFERROR(__xludf.DUMMYFUNCTION("""COMPUTED_VALUE"""),"Bưu Cục Ấp Phú Thọ-Xuyên Mộc-Bà Rịa Vũng Tàu")</f>
        <v>Bưu Cục Ấp Phú Thọ-Xuyên Mộc-Bà Rịa Vũng Tàu</v>
      </c>
      <c r="D14" s="9">
        <f ca="1">IFERROR(__xludf.DUMMYFUNCTION("""COMPUTED_VALUE"""),229)</f>
        <v>229</v>
      </c>
      <c r="E14" s="9">
        <f ca="1">IFERROR(__xludf.DUMMYFUNCTION("""COMPUTED_VALUE"""),683)</f>
        <v>683</v>
      </c>
      <c r="F14" s="7"/>
      <c r="G14" s="7"/>
      <c r="H14" s="7"/>
      <c r="I14" s="7"/>
      <c r="J14" s="7"/>
      <c r="K14" s="7"/>
      <c r="L14" s="7"/>
      <c r="M14" s="7"/>
      <c r="N14" s="7"/>
      <c r="O14" s="7"/>
      <c r="P14" s="29"/>
      <c r="Q14" s="29"/>
      <c r="R14" s="7" t="str">
        <f ca="1">IFERROR(__xludf.DUMMYFUNCTION("""COMPUTED_VALUE"""),"Bà Rịa - Vũng Tàu")</f>
        <v>Bà Rịa - Vũng Tàu</v>
      </c>
      <c r="S14" s="7" t="str">
        <f ca="1">IFERROR(__xludf.DUMMYFUNCTION("""COMPUTED_VALUE"""),"Huyện Xuyên Mộc")</f>
        <v>Huyện Xuyên Mộc</v>
      </c>
      <c r="T14" s="7" t="str">
        <f ca="1">IFERROR(__xludf.DUMMYFUNCTION("SPARKLINE({
IF(D14="""",0,D14),
IF(F14="""",0,F14),
IF(H14="""",0,H14),
IF(J14="""",0,J14),
IF(L14="""",0,L14),
IF(N14="""",0,N14),
IF(P14="""",0,P14)
})"),"")</f>
        <v/>
      </c>
      <c r="U14" s="7" t="str">
        <f ca="1">IFERROR(__xludf.DUMMYFUNCTION("SPARKLINE({
IF(E14="""",0,E14),
IF(G14="""",0,G14),
IF(I14="""",0,I14),
IF(K14="""",0,K14),
IF(M14="""",0,M14),
IF(O14="""",0,O14),
IF(Q14="""",0,Q14)
})"),"")</f>
        <v/>
      </c>
      <c r="V14" s="30" t="e">
        <f t="array" aca="1" ref="V14" ca="1">IF($C$4="Giao",_xludf.Xlookup(C14,#REF!,#REF!,),_xludf.Xlookup(C14,#REF!,#REF!,))</f>
        <v>#NAME?</v>
      </c>
      <c r="W14" s="30" t="e">
        <f t="array" aca="1" ref="W14" ca="1">IF($C$4="Giao", _xludf.Xlookup(C14,#REF!,#REF!,),_xludf.Xlookup(C14,#REF!,#REF!,))</f>
        <v>#NAME?</v>
      </c>
      <c r="X14" s="9" t="e">
        <f t="shared" ca="1" si="2"/>
        <v>#NAME?</v>
      </c>
      <c r="Y14" s="7"/>
      <c r="Z14" s="31" t="e">
        <f t="shared" ref="Z14:Z19" ca="1" si="3">X14-Y14</f>
        <v>#NAME?</v>
      </c>
    </row>
    <row r="15" spans="1:26" ht="13" x14ac:dyDescent="0.6">
      <c r="A15" s="28">
        <f t="shared" ca="1" si="1"/>
        <v>8</v>
      </c>
      <c r="B15" s="7" t="str">
        <f ca="1">IFERROR(__xludf.DUMMYFUNCTION("""COMPUTED_VALUE"""),"Huyện Xuyên Mộc")</f>
        <v>Huyện Xuyên Mộc</v>
      </c>
      <c r="C15" s="7" t="str">
        <f ca="1">IFERROR(__xludf.DUMMYFUNCTION("""COMPUTED_VALUE"""),"Bưu Cục Xuyên Mộc-Bà Rịa Vũng Tàu")</f>
        <v>Bưu Cục Xuyên Mộc-Bà Rịa Vũng Tàu</v>
      </c>
      <c r="D15" s="9">
        <f ca="1">IFERROR(__xludf.DUMMYFUNCTION("""COMPUTED_VALUE"""),526)</f>
        <v>526</v>
      </c>
      <c r="E15" s="9">
        <f ca="1">IFERROR(__xludf.DUMMYFUNCTION("""COMPUTED_VALUE"""),865)</f>
        <v>865</v>
      </c>
      <c r="F15" s="7"/>
      <c r="G15" s="7"/>
      <c r="H15" s="7"/>
      <c r="I15" s="7"/>
      <c r="J15" s="7"/>
      <c r="K15" s="7"/>
      <c r="L15" s="7"/>
      <c r="M15" s="7"/>
      <c r="N15" s="7"/>
      <c r="O15" s="7"/>
      <c r="P15" s="29"/>
      <c r="Q15" s="29"/>
      <c r="R15" s="7" t="str">
        <f ca="1">IFERROR(__xludf.DUMMYFUNCTION("""COMPUTED_VALUE"""),"Bà Rịa - Vũng Tàu")</f>
        <v>Bà Rịa - Vũng Tàu</v>
      </c>
      <c r="S15" s="7" t="str">
        <f ca="1">IFERROR(__xludf.DUMMYFUNCTION("""COMPUTED_VALUE"""),"Huyện Xuyên Mộc")</f>
        <v>Huyện Xuyên Mộc</v>
      </c>
      <c r="T15" s="7" t="str">
        <f ca="1">IFERROR(__xludf.DUMMYFUNCTION("SPARKLINE({
IF(D15="""",0,D15),
IF(F15="""",0,F15),
IF(H15="""",0,H15),
IF(J15="""",0,J15),
IF(L15="""",0,L15),
IF(N15="""",0,N15),
IF(P15="""",0,P15)
})"),"")</f>
        <v/>
      </c>
      <c r="U15" s="7" t="str">
        <f ca="1">IFERROR(__xludf.DUMMYFUNCTION("SPARKLINE({
IF(E15="""",0,E15),
IF(G15="""",0,G15),
IF(I15="""",0,I15),
IF(K15="""",0,K15),
IF(M15="""",0,M15),
IF(O15="""",0,O15),
IF(Q15="""",0,Q15)
})"),"")</f>
        <v/>
      </c>
      <c r="V15" s="30" t="e">
        <f t="array" aca="1" ref="V15" ca="1">IF($C$4="Giao",_xludf.Xlookup(C15,#REF!,#REF!,),_xludf.Xlookup(C15,#REF!,#REF!,))</f>
        <v>#NAME?</v>
      </c>
      <c r="W15" s="30" t="e">
        <f t="array" aca="1" ref="W15" ca="1">IF($C$4="Giao", _xludf.Xlookup(C15,#REF!,#REF!,),_xludf.Xlookup(C15,#REF!,#REF!,))</f>
        <v>#NAME?</v>
      </c>
      <c r="X15" s="9" t="e">
        <f t="shared" ca="1" si="2"/>
        <v>#NAME?</v>
      </c>
      <c r="Y15" s="7"/>
      <c r="Z15" s="31" t="e">
        <f t="shared" ca="1" si="3"/>
        <v>#NAME?</v>
      </c>
    </row>
    <row r="16" spans="1:26" ht="13" x14ac:dyDescent="0.6">
      <c r="A16" s="28">
        <f t="shared" ca="1" si="1"/>
        <v>9</v>
      </c>
      <c r="B16" s="7" t="str">
        <f ca="1">IFERROR(__xludf.DUMMYFUNCTION("""COMPUTED_VALUE"""),"Thành phố Bà Rịa")</f>
        <v>Thành phố Bà Rịa</v>
      </c>
      <c r="C16" s="7" t="str">
        <f ca="1">IFERROR(__xludf.DUMMYFUNCTION("""COMPUTED_VALUE"""),"Bưu Cục 1855 Võ Văn Kiệt-Hoà Long-Bà Rịa Vũng Tàu")</f>
        <v>Bưu Cục 1855 Võ Văn Kiệt-Hoà Long-Bà Rịa Vũng Tàu</v>
      </c>
      <c r="D16" s="9">
        <f ca="1">IFERROR(__xludf.DUMMYFUNCTION("""COMPUTED_VALUE"""),410)</f>
        <v>410</v>
      </c>
      <c r="E16" s="9">
        <f ca="1">IFERROR(__xludf.DUMMYFUNCTION("""COMPUTED_VALUE"""),560)</f>
        <v>560</v>
      </c>
      <c r="F16" s="7"/>
      <c r="G16" s="7"/>
      <c r="H16" s="7"/>
      <c r="I16" s="7"/>
      <c r="J16" s="7"/>
      <c r="K16" s="7"/>
      <c r="L16" s="7"/>
      <c r="M16" s="7"/>
      <c r="N16" s="7"/>
      <c r="O16" s="7"/>
      <c r="P16" s="29"/>
      <c r="Q16" s="29"/>
      <c r="R16" s="7" t="str">
        <f ca="1">IFERROR(__xludf.DUMMYFUNCTION("""COMPUTED_VALUE"""),"Bà Rịa - Vũng Tàu")</f>
        <v>Bà Rịa - Vũng Tàu</v>
      </c>
      <c r="S16" s="7" t="str">
        <f ca="1">IFERROR(__xludf.DUMMYFUNCTION("""COMPUTED_VALUE"""),"Thành phố Bà Rịa")</f>
        <v>Thành phố Bà Rịa</v>
      </c>
      <c r="T16" s="7" t="str">
        <f ca="1">IFERROR(__xludf.DUMMYFUNCTION("SPARKLINE({
IF(D16="""",0,D16),
IF(F16="""",0,F16),
IF(H16="""",0,H16),
IF(J16="""",0,J16),
IF(L16="""",0,L16),
IF(N16="""",0,N16),
IF(P16="""",0,P16)
})"),"")</f>
        <v/>
      </c>
      <c r="U16" s="7" t="str">
        <f ca="1">IFERROR(__xludf.DUMMYFUNCTION("SPARKLINE({
IF(E16="""",0,E16),
IF(G16="""",0,G16),
IF(I16="""",0,I16),
IF(K16="""",0,K16),
IF(M16="""",0,M16),
IF(O16="""",0,O16),
IF(Q16="""",0,Q16)
})"),"")</f>
        <v/>
      </c>
      <c r="V16" s="30" t="e">
        <f t="array" aca="1" ref="V16" ca="1">IF($C$4="Giao",_xludf.Xlookup(C16,#REF!,#REF!,),_xludf.Xlookup(C16,#REF!,#REF!,))</f>
        <v>#NAME?</v>
      </c>
      <c r="W16" s="30" t="e">
        <f t="array" aca="1" ref="W16" ca="1">IF($C$4="Giao", _xludf.Xlookup(C16,#REF!,#REF!,),_xludf.Xlookup(C16,#REF!,#REF!,))</f>
        <v>#NAME?</v>
      </c>
      <c r="X16" s="9" t="e">
        <f t="shared" ca="1" si="2"/>
        <v>#NAME?</v>
      </c>
      <c r="Y16" s="7"/>
      <c r="Z16" s="31" t="e">
        <f t="shared" ca="1" si="3"/>
        <v>#NAME?</v>
      </c>
    </row>
    <row r="17" spans="1:26" ht="13" x14ac:dyDescent="0.6">
      <c r="A17" s="28">
        <f t="shared" ca="1" si="1"/>
        <v>10</v>
      </c>
      <c r="B17" s="7" t="str">
        <f ca="1">IFERROR(__xludf.DUMMYFUNCTION("""COMPUTED_VALUE"""),"Thành phố Bà Rịa")</f>
        <v>Thành phố Bà Rịa</v>
      </c>
      <c r="C17" s="7" t="str">
        <f ca="1">IFERROR(__xludf.DUMMYFUNCTION("""COMPUTED_VALUE"""),"Bưu Cục 39 Tôn Đức Thắng-TP.Bà Rịa")</f>
        <v>Bưu Cục 39 Tôn Đức Thắng-TP.Bà Rịa</v>
      </c>
      <c r="D17" s="9">
        <f ca="1">IFERROR(__xludf.DUMMYFUNCTION("""COMPUTED_VALUE"""),262)</f>
        <v>262</v>
      </c>
      <c r="E17" s="9">
        <f ca="1">IFERROR(__xludf.DUMMYFUNCTION("""COMPUTED_VALUE"""),397)</f>
        <v>397</v>
      </c>
      <c r="F17" s="7"/>
      <c r="G17" s="7"/>
      <c r="H17" s="7"/>
      <c r="I17" s="7"/>
      <c r="J17" s="7"/>
      <c r="K17" s="7"/>
      <c r="L17" s="7"/>
      <c r="M17" s="7"/>
      <c r="N17" s="7"/>
      <c r="O17" s="7"/>
      <c r="P17" s="29"/>
      <c r="Q17" s="29"/>
      <c r="R17" s="7" t="str">
        <f ca="1">IFERROR(__xludf.DUMMYFUNCTION("""COMPUTED_VALUE"""),"Bà Rịa - Vũng Tàu")</f>
        <v>Bà Rịa - Vũng Tàu</v>
      </c>
      <c r="S17" s="7" t="str">
        <f ca="1">IFERROR(__xludf.DUMMYFUNCTION("""COMPUTED_VALUE"""),"Thành phố Bà Rịa")</f>
        <v>Thành phố Bà Rịa</v>
      </c>
      <c r="T17" s="7" t="str">
        <f ca="1">IFERROR(__xludf.DUMMYFUNCTION("SPARKLINE({
IF(D17="""",0,D17),
IF(F17="""",0,F17),
IF(H17="""",0,H17),
IF(J17="""",0,J17),
IF(L17="""",0,L17),
IF(N17="""",0,N17),
IF(P17="""",0,P17)
})"),"")</f>
        <v/>
      </c>
      <c r="U17" s="7" t="str">
        <f ca="1">IFERROR(__xludf.DUMMYFUNCTION("SPARKLINE({
IF(E17="""",0,E17),
IF(G17="""",0,G17),
IF(I17="""",0,I17),
IF(K17="""",0,K17),
IF(M17="""",0,M17),
IF(O17="""",0,O17),
IF(Q17="""",0,Q17)
})"),"")</f>
        <v/>
      </c>
      <c r="V17" s="30" t="e">
        <f t="array" aca="1" ref="V17" ca="1">IF($C$4="Giao",_xludf.Xlookup(C17,#REF!,#REF!,),_xludf.Xlookup(C17,#REF!,#REF!,))</f>
        <v>#NAME?</v>
      </c>
      <c r="W17" s="30" t="e">
        <f t="array" aca="1" ref="W17" ca="1">IF($C$4="Giao", _xludf.Xlookup(C17,#REF!,#REF!,),_xludf.Xlookup(C17,#REF!,#REF!,))</f>
        <v>#NAME?</v>
      </c>
      <c r="X17" s="9" t="e">
        <f t="shared" ca="1" si="2"/>
        <v>#NAME?</v>
      </c>
      <c r="Y17" s="7"/>
      <c r="Z17" s="31" t="e">
        <f t="shared" ca="1" si="3"/>
        <v>#NAME?</v>
      </c>
    </row>
    <row r="18" spans="1:26" ht="13" x14ac:dyDescent="0.6">
      <c r="A18" s="28">
        <f t="shared" ca="1" si="1"/>
        <v>11</v>
      </c>
      <c r="B18" s="7" t="str">
        <f ca="1">IFERROR(__xludf.DUMMYFUNCTION("""COMPUTED_VALUE"""),"Thành phố Vũng Tàu")</f>
        <v>Thành phố Vũng Tàu</v>
      </c>
      <c r="C18" s="7" t="str">
        <f ca="1">IFERROR(__xludf.DUMMYFUNCTION("""COMPUTED_VALUE"""),"Bưu Cục 1459 Đường 30/4-Vũng Tàu-Bà Rịa Vũng Tàu")</f>
        <v>Bưu Cục 1459 Đường 30/4-Vũng Tàu-Bà Rịa Vũng Tàu</v>
      </c>
      <c r="D18" s="9">
        <f ca="1">IFERROR(__xludf.DUMMYFUNCTION("""COMPUTED_VALUE"""),701)</f>
        <v>701</v>
      </c>
      <c r="E18" s="9">
        <f ca="1">IFERROR(__xludf.DUMMYFUNCTION("""COMPUTED_VALUE"""),1034)</f>
        <v>1034</v>
      </c>
      <c r="F18" s="7"/>
      <c r="G18" s="7"/>
      <c r="H18" s="7"/>
      <c r="I18" s="7"/>
      <c r="J18" s="7"/>
      <c r="K18" s="7"/>
      <c r="L18" s="7"/>
      <c r="M18" s="7"/>
      <c r="N18" s="7"/>
      <c r="O18" s="7"/>
      <c r="P18" s="29"/>
      <c r="Q18" s="29"/>
      <c r="R18" s="7" t="str">
        <f ca="1">IFERROR(__xludf.DUMMYFUNCTION("""COMPUTED_VALUE"""),"Bà Rịa - Vũng Tàu")</f>
        <v>Bà Rịa - Vũng Tàu</v>
      </c>
      <c r="S18" s="7" t="str">
        <f ca="1">IFERROR(__xludf.DUMMYFUNCTION("""COMPUTED_VALUE"""),"Thành phố Vũng Tàu")</f>
        <v>Thành phố Vũng Tàu</v>
      </c>
      <c r="T18" s="7" t="str">
        <f ca="1">IFERROR(__xludf.DUMMYFUNCTION("SPARKLINE({
IF(D18="""",0,D18),
IF(F18="""",0,F18),
IF(H18="""",0,H18),
IF(J18="""",0,J18),
IF(L18="""",0,L18),
IF(N18="""",0,N18),
IF(P18="""",0,P18)
})"),"")</f>
        <v/>
      </c>
      <c r="U18" s="7" t="str">
        <f ca="1">IFERROR(__xludf.DUMMYFUNCTION("SPARKLINE({
IF(E18="""",0,E18),
IF(G18="""",0,G18),
IF(I18="""",0,I18),
IF(K18="""",0,K18),
IF(M18="""",0,M18),
IF(O18="""",0,O18),
IF(Q18="""",0,Q18)
})"),"")</f>
        <v/>
      </c>
      <c r="V18" s="30" t="e">
        <f t="array" aca="1" ref="V18" ca="1">IF($C$4="Giao",_xludf.Xlookup(C18,#REF!,#REF!,),_xludf.Xlookup(C18,#REF!,#REF!,))</f>
        <v>#NAME?</v>
      </c>
      <c r="W18" s="30" t="e">
        <f t="array" aca="1" ref="W18" ca="1">IF($C$4="Giao", _xludf.Xlookup(C18,#REF!,#REF!,),_xludf.Xlookup(C18,#REF!,#REF!,))</f>
        <v>#NAME?</v>
      </c>
      <c r="X18" s="9" t="e">
        <f t="shared" ca="1" si="2"/>
        <v>#NAME?</v>
      </c>
      <c r="Y18" s="7"/>
      <c r="Z18" s="31" t="e">
        <f t="shared" ca="1" si="3"/>
        <v>#NAME?</v>
      </c>
    </row>
    <row r="19" spans="1:26" ht="13" x14ac:dyDescent="0.6">
      <c r="A19" s="28">
        <f t="shared" ca="1" si="1"/>
        <v>12</v>
      </c>
      <c r="B19" s="7" t="str">
        <f ca="1">IFERROR(__xludf.DUMMYFUNCTION("""COMPUTED_VALUE"""),"Thành phố Vũng Tàu")</f>
        <v>Thành phố Vũng Tàu</v>
      </c>
      <c r="C19" s="7" t="str">
        <f ca="1">IFERROR(__xludf.DUMMYFUNCTION("""COMPUTED_VALUE"""),"Bưu Cục 24B Nguyễn Du-Phường 1-TP.Vũng Tàu-Bà Rịa Vũng Tàu")</f>
        <v>Bưu Cục 24B Nguyễn Du-Phường 1-TP.Vũng Tàu-Bà Rịa Vũng Tàu</v>
      </c>
      <c r="D19" s="9">
        <f ca="1">IFERROR(__xludf.DUMMYFUNCTION("""COMPUTED_VALUE"""),275)</f>
        <v>275</v>
      </c>
      <c r="E19" s="9">
        <f ca="1">IFERROR(__xludf.DUMMYFUNCTION("""COMPUTED_VALUE"""),755)</f>
        <v>755</v>
      </c>
      <c r="F19" s="7"/>
      <c r="G19" s="7"/>
      <c r="H19" s="7"/>
      <c r="I19" s="7"/>
      <c r="J19" s="7"/>
      <c r="K19" s="7"/>
      <c r="L19" s="7"/>
      <c r="M19" s="7"/>
      <c r="N19" s="7"/>
      <c r="O19" s="7"/>
      <c r="P19" s="29"/>
      <c r="Q19" s="29"/>
      <c r="R19" s="7" t="str">
        <f ca="1">IFERROR(__xludf.DUMMYFUNCTION("""COMPUTED_VALUE"""),"Bà Rịa - Vũng Tàu")</f>
        <v>Bà Rịa - Vũng Tàu</v>
      </c>
      <c r="S19" s="7" t="str">
        <f ca="1">IFERROR(__xludf.DUMMYFUNCTION("""COMPUTED_VALUE"""),"Thành phố Vũng Tàu")</f>
        <v>Thành phố Vũng Tàu</v>
      </c>
      <c r="T19" s="7" t="str">
        <f ca="1">IFERROR(__xludf.DUMMYFUNCTION("SPARKLINE({
IF(D19="""",0,D19),
IF(F19="""",0,F19),
IF(H19="""",0,H19),
IF(J19="""",0,J19),
IF(L19="""",0,L19),
IF(N19="""",0,N19),
IF(P19="""",0,P19)
})"),"")</f>
        <v/>
      </c>
      <c r="U19" s="7" t="str">
        <f ca="1">IFERROR(__xludf.DUMMYFUNCTION("SPARKLINE({
IF(E19="""",0,E19),
IF(G19="""",0,G19),
IF(I19="""",0,I19),
IF(K19="""",0,K19),
IF(M19="""",0,M19),
IF(O19="""",0,O19),
IF(Q19="""",0,Q19)
})"),"")</f>
        <v/>
      </c>
      <c r="V19" s="30" t="e">
        <f t="array" aca="1" ref="V19" ca="1">IF($C$4="Giao",_xludf.Xlookup(C19,#REF!,#REF!,),_xludf.Xlookup(C19,#REF!,#REF!,))</f>
        <v>#NAME?</v>
      </c>
      <c r="W19" s="30" t="e">
        <f t="array" aca="1" ref="W19" ca="1">IF($C$4="Giao", _xludf.Xlookup(C19,#REF!,#REF!,),_xludf.Xlookup(C19,#REF!,#REF!,))</f>
        <v>#NAME?</v>
      </c>
      <c r="X19" s="9" t="e">
        <f t="shared" ca="1" si="2"/>
        <v>#NAME?</v>
      </c>
      <c r="Y19" s="7"/>
      <c r="Z19" s="31" t="e">
        <f t="shared" ca="1" si="3"/>
        <v>#NAME?</v>
      </c>
    </row>
    <row r="20" spans="1:26" ht="13" x14ac:dyDescent="0.6">
      <c r="A20" s="28">
        <f t="shared" ca="1" si="1"/>
        <v>13</v>
      </c>
      <c r="B20" s="7" t="str">
        <f ca="1">IFERROR(__xludf.DUMMYFUNCTION("""COMPUTED_VALUE"""),"Thành phố Vũng Tàu")</f>
        <v>Thành phố Vũng Tàu</v>
      </c>
      <c r="C20" s="7" t="str">
        <f ca="1">IFERROR(__xludf.DUMMYFUNCTION("""COMPUTED_VALUE"""),"Bưu Cục 473A Bình Giã-TP.Vũng Tàu")</f>
        <v>Bưu Cục 473A Bình Giã-TP.Vũng Tàu</v>
      </c>
      <c r="D20" s="9">
        <f ca="1">IFERROR(__xludf.DUMMYFUNCTION("""COMPUTED_VALUE"""),762)</f>
        <v>762</v>
      </c>
      <c r="E20" s="9">
        <f ca="1">IFERROR(__xludf.DUMMYFUNCTION("""COMPUTED_VALUE"""),1467)</f>
        <v>1467</v>
      </c>
      <c r="F20" s="7"/>
      <c r="G20" s="7"/>
      <c r="H20" s="7"/>
      <c r="I20" s="7"/>
      <c r="J20" s="7"/>
      <c r="K20" s="7"/>
      <c r="L20" s="7"/>
      <c r="M20" s="7"/>
      <c r="N20" s="7"/>
      <c r="O20" s="7"/>
      <c r="P20" s="29"/>
      <c r="Q20" s="29"/>
      <c r="R20" s="7" t="str">
        <f ca="1">IFERROR(__xludf.DUMMYFUNCTION("""COMPUTED_VALUE"""),"Bà Rịa - Vũng Tàu")</f>
        <v>Bà Rịa - Vũng Tàu</v>
      </c>
      <c r="S20" s="7" t="str">
        <f ca="1">IFERROR(__xludf.DUMMYFUNCTION("""COMPUTED_VALUE"""),"Thành phố Vũng Tàu")</f>
        <v>Thành phố Vũng Tàu</v>
      </c>
      <c r="T20" s="7" t="str">
        <f ca="1">IFERROR(__xludf.DUMMYFUNCTION("SPARKLINE({
IF(D20="""",0,D20),
IF(F20="""",0,F20),
IF(H20="""",0,H20),
IF(J20="""",0,J20),
IF(L20="""",0,L20),
IF(N20="""",0,N20),
IF(P20="""",0,P20)
})"),"")</f>
        <v/>
      </c>
      <c r="U20" s="7" t="str">
        <f ca="1">IFERROR(__xludf.DUMMYFUNCTION("SPARKLINE({
IF(E20="""",0,E20),
IF(G20="""",0,G20),
IF(I20="""",0,I20),
IF(K20="""",0,K20),
IF(M20="""",0,M20),
IF(O20="""",0,O20),
IF(Q20="""",0,Q20)
})"),"")</f>
        <v/>
      </c>
      <c r="V20" s="30" t="e">
        <f t="array" aca="1" ref="V20" ca="1">IF($C$4="Giao",_xludf.Xlookup(C20,#REF!,#REF!,),_xludf.Xlookup(C20,#REF!,#REF!,))</f>
        <v>#NAME?</v>
      </c>
      <c r="W20" s="30" t="e">
        <f t="array" aca="1" ref="W20" ca="1">IF($C$4="Giao", _xludf.Xlookup(C20,#REF!,#REF!,),_xludf.Xlookup(C20,#REF!,#REF!,))</f>
        <v>#NAME?</v>
      </c>
      <c r="X20" s="9" t="e">
        <f t="shared" ca="1" si="2"/>
        <v>#NAME?</v>
      </c>
      <c r="Y20" s="7"/>
      <c r="Z20" s="7"/>
    </row>
    <row r="21" spans="1:26" ht="13" x14ac:dyDescent="0.6">
      <c r="A21" s="28">
        <f t="shared" ca="1" si="1"/>
        <v>14</v>
      </c>
      <c r="B21" s="7" t="str">
        <f ca="1">IFERROR(__xludf.DUMMYFUNCTION("""COMPUTED_VALUE"""),"Thành phố Vũng Tàu")</f>
        <v>Thành phố Vũng Tàu</v>
      </c>
      <c r="C21" s="7" t="str">
        <f ca="1">IFERROR(__xludf.DUMMYFUNCTION("""COMPUTED_VALUE"""),"Bưu Cục 87 Nguyễn An Ninh-Tp.Vũng Tàu-Bà Rịa-Vũng Tàu")</f>
        <v>Bưu Cục 87 Nguyễn An Ninh-Tp.Vũng Tàu-Bà Rịa-Vũng Tàu</v>
      </c>
      <c r="D21" s="9">
        <f ca="1">IFERROR(__xludf.DUMMYFUNCTION("""COMPUTED_VALUE"""),446)</f>
        <v>446</v>
      </c>
      <c r="E21" s="9">
        <f ca="1">IFERROR(__xludf.DUMMYFUNCTION("""COMPUTED_VALUE"""),1226)</f>
        <v>1226</v>
      </c>
      <c r="F21" s="7"/>
      <c r="G21" s="7"/>
      <c r="H21" s="7"/>
      <c r="I21" s="7"/>
      <c r="J21" s="7"/>
      <c r="K21" s="7"/>
      <c r="L21" s="7"/>
      <c r="M21" s="7"/>
      <c r="N21" s="7"/>
      <c r="O21" s="7"/>
      <c r="P21" s="29"/>
      <c r="Q21" s="29"/>
      <c r="R21" s="7" t="str">
        <f ca="1">IFERROR(__xludf.DUMMYFUNCTION("""COMPUTED_VALUE"""),"Bà Rịa - Vũng Tàu")</f>
        <v>Bà Rịa - Vũng Tàu</v>
      </c>
      <c r="S21" s="7" t="str">
        <f ca="1">IFERROR(__xludf.DUMMYFUNCTION("""COMPUTED_VALUE"""),"Thành phố Vũng Tàu")</f>
        <v>Thành phố Vũng Tàu</v>
      </c>
      <c r="T21" s="7" t="str">
        <f ca="1">IFERROR(__xludf.DUMMYFUNCTION("SPARKLINE({
IF(D21="""",0,D21),
IF(F21="""",0,F21),
IF(H21="""",0,H21),
IF(J21="""",0,J21),
IF(L21="""",0,L21),
IF(N21="""",0,N21),
IF(P21="""",0,P21)
})"),"")</f>
        <v/>
      </c>
      <c r="U21" s="7" t="str">
        <f ca="1">IFERROR(__xludf.DUMMYFUNCTION("SPARKLINE({
IF(E21="""",0,E21),
IF(G21="""",0,G21),
IF(I21="""",0,I21),
IF(K21="""",0,K21),
IF(M21="""",0,M21),
IF(O21="""",0,O21),
IF(Q21="""",0,Q21)
})"),"")</f>
        <v/>
      </c>
      <c r="V21" s="30" t="e">
        <f t="array" aca="1" ref="V21" ca="1">IF($C$4="Giao",_xludf.Xlookup(C21,#REF!,#REF!,),_xludf.Xlookup(C21,#REF!,#REF!,))</f>
        <v>#NAME?</v>
      </c>
      <c r="W21" s="30" t="e">
        <f t="array" aca="1" ref="W21" ca="1">IF($C$4="Giao", _xludf.Xlookup(C21,#REF!,#REF!,),_xludf.Xlookup(C21,#REF!,#REF!,))</f>
        <v>#NAME?</v>
      </c>
      <c r="X21" s="9" t="e">
        <f t="shared" ca="1" si="2"/>
        <v>#NAME?</v>
      </c>
      <c r="Y21" s="7"/>
      <c r="Z21" s="7"/>
    </row>
    <row r="22" spans="1:26" ht="13" x14ac:dyDescent="0.6">
      <c r="A22" s="28">
        <f t="shared" ca="1" si="1"/>
        <v>15</v>
      </c>
      <c r="B22" s="7" t="str">
        <f ca="1">IFERROR(__xludf.DUMMYFUNCTION("""COMPUTED_VALUE"""),"Thị Xã Phú Mỹ")</f>
        <v>Thị Xã Phú Mỹ</v>
      </c>
      <c r="C22" s="7" t="str">
        <f ca="1">IFERROR(__xludf.DUMMYFUNCTION("""COMPUTED_VALUE"""),"Bưu Cục Ấp Phước Sơn-Phú Mỹ-Bà Rịa Vũng Tàu")</f>
        <v>Bưu Cục Ấp Phước Sơn-Phú Mỹ-Bà Rịa Vũng Tàu</v>
      </c>
      <c r="D22" s="9">
        <f ca="1">IFERROR(__xludf.DUMMYFUNCTION("""COMPUTED_VALUE"""),315)</f>
        <v>315</v>
      </c>
      <c r="E22" s="9">
        <f ca="1">IFERROR(__xludf.DUMMYFUNCTION("""COMPUTED_VALUE"""),747.3)</f>
        <v>747.3</v>
      </c>
      <c r="F22" s="7"/>
      <c r="G22" s="7"/>
      <c r="H22" s="7"/>
      <c r="I22" s="7"/>
      <c r="J22" s="7"/>
      <c r="K22" s="7"/>
      <c r="L22" s="7"/>
      <c r="M22" s="7"/>
      <c r="N22" s="7"/>
      <c r="O22" s="7"/>
      <c r="P22" s="29"/>
      <c r="Q22" s="29"/>
      <c r="R22" s="7" t="str">
        <f ca="1">IFERROR(__xludf.DUMMYFUNCTION("""COMPUTED_VALUE"""),"Bà Rịa - Vũng Tàu")</f>
        <v>Bà Rịa - Vũng Tàu</v>
      </c>
      <c r="S22" s="7" t="str">
        <f ca="1">IFERROR(__xludf.DUMMYFUNCTION("""COMPUTED_VALUE"""),"Thị Xã Phú Mỹ")</f>
        <v>Thị Xã Phú Mỹ</v>
      </c>
      <c r="T22" s="7" t="str">
        <f ca="1">IFERROR(__xludf.DUMMYFUNCTION("SPARKLINE({
IF(D22="""",0,D22),
IF(F22="""",0,F22),
IF(H22="""",0,H22),
IF(J22="""",0,J22),
IF(L22="""",0,L22),
IF(N22="""",0,N22),
IF(P22="""",0,P22)
})"),"")</f>
        <v/>
      </c>
      <c r="U22" s="7" t="str">
        <f ca="1">IFERROR(__xludf.DUMMYFUNCTION("SPARKLINE({
IF(E22="""",0,E22),
IF(G22="""",0,G22),
IF(I22="""",0,I22),
IF(K22="""",0,K22),
IF(M22="""",0,M22),
IF(O22="""",0,O22),
IF(Q22="""",0,Q22)
})"),"")</f>
        <v/>
      </c>
      <c r="V22" s="30" t="e">
        <f t="array" aca="1" ref="V22" ca="1">IF($C$4="Giao",_xludf.Xlookup(C22,#REF!,#REF!,),_xludf.Xlookup(C22,#REF!,#REF!,))</f>
        <v>#NAME?</v>
      </c>
      <c r="W22" s="30" t="e">
        <f t="array" aca="1" ref="W22" ca="1">IF($C$4="Giao", _xludf.Xlookup(C22,#REF!,#REF!,),_xludf.Xlookup(C22,#REF!,#REF!,))</f>
        <v>#NAME?</v>
      </c>
      <c r="X22" s="9" t="e">
        <f t="shared" ca="1" si="2"/>
        <v>#NAME?</v>
      </c>
      <c r="Y22" s="7"/>
      <c r="Z22" s="7"/>
    </row>
    <row r="23" spans="1:26" ht="13" x14ac:dyDescent="0.6">
      <c r="A23" s="28">
        <f t="shared" ca="1" si="1"/>
        <v>16</v>
      </c>
      <c r="B23" s="7" t="str">
        <f ca="1">IFERROR(__xludf.DUMMYFUNCTION("""COMPUTED_VALUE"""),"Thị Xã Phú Mỹ")</f>
        <v>Thị Xã Phú Mỹ</v>
      </c>
      <c r="C23" s="7" t="str">
        <f ca="1">IFERROR(__xludf.DUMMYFUNCTION("""COMPUTED_VALUE"""),"Bưu Cục Khu Phố Vạn Hạnh-Phú Mỹ-Bà Rịa Vũng Tàu")</f>
        <v>Bưu Cục Khu Phố Vạn Hạnh-Phú Mỹ-Bà Rịa Vũng Tàu</v>
      </c>
      <c r="D23" s="9">
        <f ca="1">IFERROR(__xludf.DUMMYFUNCTION("""COMPUTED_VALUE"""),690)</f>
        <v>690</v>
      </c>
      <c r="E23" s="9">
        <f ca="1">IFERROR(__xludf.DUMMYFUNCTION("""COMPUTED_VALUE"""),882)</f>
        <v>882</v>
      </c>
      <c r="F23" s="7"/>
      <c r="G23" s="7"/>
      <c r="H23" s="7"/>
      <c r="I23" s="7"/>
      <c r="J23" s="7"/>
      <c r="K23" s="7"/>
      <c r="L23" s="7"/>
      <c r="M23" s="7"/>
      <c r="N23" s="7"/>
      <c r="O23" s="7"/>
      <c r="P23" s="29"/>
      <c r="Q23" s="29"/>
      <c r="R23" s="7" t="str">
        <f ca="1">IFERROR(__xludf.DUMMYFUNCTION("""COMPUTED_VALUE"""),"Bà Rịa - Vũng Tàu")</f>
        <v>Bà Rịa - Vũng Tàu</v>
      </c>
      <c r="S23" s="7" t="str">
        <f ca="1">IFERROR(__xludf.DUMMYFUNCTION("""COMPUTED_VALUE"""),"Thị Xã Phú Mỹ")</f>
        <v>Thị Xã Phú Mỹ</v>
      </c>
      <c r="T23" s="7" t="str">
        <f ca="1">IFERROR(__xludf.DUMMYFUNCTION("SPARKLINE({
IF(D23="""",0,D23),
IF(F23="""",0,F23),
IF(H23="""",0,H23),
IF(J23="""",0,J23),
IF(L23="""",0,L23),
IF(N23="""",0,N23),
IF(P23="""",0,P23)
})"),"")</f>
        <v/>
      </c>
      <c r="U23" s="7" t="str">
        <f ca="1">IFERROR(__xludf.DUMMYFUNCTION("SPARKLINE({
IF(E23="""",0,E23),
IF(G23="""",0,G23),
IF(I23="""",0,I23),
IF(K23="""",0,K23),
IF(M23="""",0,M23),
IF(O23="""",0,O23),
IF(Q23="""",0,Q23)
})"),"")</f>
        <v/>
      </c>
      <c r="V23" s="30" t="e">
        <f t="array" aca="1" ref="V23" ca="1">IF($C$4="Giao",_xludf.Xlookup(C23,#REF!,#REF!,),_xludf.Xlookup(C23,#REF!,#REF!,))</f>
        <v>#NAME?</v>
      </c>
      <c r="W23" s="30" t="e">
        <f t="array" aca="1" ref="W23" ca="1">IF($C$4="Giao", _xludf.Xlookup(C23,#REF!,#REF!,),_xludf.Xlookup(C23,#REF!,#REF!,))</f>
        <v>#NAME?</v>
      </c>
      <c r="X23" s="9" t="e">
        <f t="shared" ca="1" si="2"/>
        <v>#NAME?</v>
      </c>
      <c r="Y23" s="7"/>
      <c r="Z23" s="7"/>
    </row>
    <row r="24" spans="1:26" ht="13" x14ac:dyDescent="0.6">
      <c r="A24" s="28">
        <f t="shared" ca="1" si="1"/>
        <v>17</v>
      </c>
      <c r="B24" s="7" t="str">
        <f ca="1">IFERROR(__xludf.DUMMYFUNCTION("""COMPUTED_VALUE"""),"Thị Xã Phú Mỹ")</f>
        <v>Thị Xã Phú Mỹ</v>
      </c>
      <c r="C24" s="7" t="str">
        <f ca="1">IFERROR(__xludf.DUMMYFUNCTION("""COMPUTED_VALUE"""),"Bưu Cục KP Trảng Lớn-Phú Mỹ-Hắc Dịch-Bà Rịa Vũng Tàu")</f>
        <v>Bưu Cục KP Trảng Lớn-Phú Mỹ-Hắc Dịch-Bà Rịa Vũng Tàu</v>
      </c>
      <c r="D24" s="9">
        <f ca="1">IFERROR(__xludf.DUMMYFUNCTION("""COMPUTED_VALUE"""),789)</f>
        <v>789</v>
      </c>
      <c r="E24" s="9">
        <f ca="1">IFERROR(__xludf.DUMMYFUNCTION("""COMPUTED_VALUE"""),1423)</f>
        <v>1423</v>
      </c>
      <c r="F24" s="7"/>
      <c r="G24" s="7"/>
      <c r="H24" s="7"/>
      <c r="I24" s="7"/>
      <c r="J24" s="7"/>
      <c r="K24" s="7"/>
      <c r="L24" s="7"/>
      <c r="M24" s="7"/>
      <c r="N24" s="7"/>
      <c r="O24" s="7"/>
      <c r="P24" s="29"/>
      <c r="Q24" s="29"/>
      <c r="R24" s="7" t="str">
        <f ca="1">IFERROR(__xludf.DUMMYFUNCTION("""COMPUTED_VALUE"""),"Bà Rịa - Vũng Tàu")</f>
        <v>Bà Rịa - Vũng Tàu</v>
      </c>
      <c r="S24" s="7" t="str">
        <f ca="1">IFERROR(__xludf.DUMMYFUNCTION("""COMPUTED_VALUE"""),"Thị Xã Phú Mỹ")</f>
        <v>Thị Xã Phú Mỹ</v>
      </c>
      <c r="T24" s="7" t="str">
        <f ca="1">IFERROR(__xludf.DUMMYFUNCTION("SPARKLINE({
IF(D24="""",0,D24),
IF(F24="""",0,F24),
IF(H24="""",0,H24),
IF(J24="""",0,J24),
IF(L24="""",0,L24),
IF(N24="""",0,N24),
IF(P24="""",0,P24)
})"),"")</f>
        <v/>
      </c>
      <c r="U24" s="7" t="str">
        <f ca="1">IFERROR(__xludf.DUMMYFUNCTION("SPARKLINE({
IF(E24="""",0,E24),
IF(G24="""",0,G24),
IF(I24="""",0,I24),
IF(K24="""",0,K24),
IF(M24="""",0,M24),
IF(O24="""",0,O24),
IF(Q24="""",0,Q24)
})"),"")</f>
        <v/>
      </c>
      <c r="V24" s="30" t="e">
        <f t="array" aca="1" ref="V24" ca="1">IF($C$4="Giao",_xludf.Xlookup(C24,#REF!,#REF!,),_xludf.Xlookup(C24,#REF!,#REF!,))</f>
        <v>#NAME?</v>
      </c>
      <c r="W24" s="30" t="e">
        <f t="array" aca="1" ref="W24" ca="1">IF($C$4="Giao", _xludf.Xlookup(C24,#REF!,#REF!,),_xludf.Xlookup(C24,#REF!,#REF!,))</f>
        <v>#NAME?</v>
      </c>
      <c r="X24" s="9" t="e">
        <f t="shared" ca="1" si="2"/>
        <v>#NAME?</v>
      </c>
      <c r="Y24" s="7"/>
      <c r="Z24" s="7"/>
    </row>
    <row r="25" spans="1:26" ht="13" x14ac:dyDescent="0.6">
      <c r="A25" s="28">
        <f t="shared" ca="1" si="1"/>
        <v>18</v>
      </c>
      <c r="B25" s="7" t="str">
        <f ca="1">IFERROR(__xludf.DUMMYFUNCTION("""COMPUTED_VALUE"""),"Grand Total")</f>
        <v>Grand Total</v>
      </c>
      <c r="C25" s="7"/>
      <c r="D25" s="9">
        <f ca="1">IFERROR(__xludf.DUMMYFUNCTION("""COMPUTED_VALUE"""),8363)</f>
        <v>8363</v>
      </c>
      <c r="E25" s="9">
        <f ca="1">IFERROR(__xludf.DUMMYFUNCTION("""COMPUTED_VALUE"""),16780.3)</f>
        <v>16780.3</v>
      </c>
      <c r="F25" s="7"/>
      <c r="G25" s="7"/>
      <c r="H25" s="7"/>
      <c r="I25" s="7"/>
      <c r="J25" s="7"/>
      <c r="K25" s="7"/>
      <c r="L25" s="7"/>
      <c r="M25" s="7"/>
      <c r="N25" s="7"/>
      <c r="O25" s="7"/>
      <c r="P25" s="29"/>
      <c r="Q25" s="29"/>
      <c r="R25" s="7"/>
      <c r="S25" s="7"/>
      <c r="T25" s="7" t="str">
        <f ca="1">IFERROR(__xludf.DUMMYFUNCTION("SPARKLINE({
IF(D25="""",0,D25),
IF(F25="""",0,F25),
IF(H25="""",0,H25),
IF(J25="""",0,J25),
IF(L25="""",0,L25),
IF(N25="""",0,N25),
IF(P25="""",0,P25)
})"),"")</f>
        <v/>
      </c>
      <c r="U25" s="7" t="str">
        <f ca="1">IFERROR(__xludf.DUMMYFUNCTION("SPARKLINE({
IF(E25="""",0,E25),
IF(G25="""",0,G25),
IF(I25="""",0,I25),
IF(K25="""",0,K25),
IF(M25="""",0,M25),
IF(O25="""",0,O25),
IF(Q25="""",0,Q25)
})"),"")</f>
        <v/>
      </c>
      <c r="V25" s="8" t="e">
        <f t="array" aca="1" ref="V25" ca="1">IF($C$4="Giao",_xludf.Xlookup(C25,#REF!,#REF!,),_xludf.Xlookup(C25,#REF!,#REF!,))</f>
        <v>#NAME?</v>
      </c>
      <c r="W25" s="8" t="e">
        <f t="array" aca="1" ref="W25" ca="1">IF($C$4="Giao", _xludf.Xlookup(C25,#REF!,#REF!,),_xludf.Xlookup(C25,#REF!,#REF!,))</f>
        <v>#NAME?</v>
      </c>
      <c r="X25" s="9" t="e">
        <f t="shared" ca="1" si="2"/>
        <v>#NAME?</v>
      </c>
      <c r="Y25" s="7"/>
      <c r="Z25" s="7"/>
    </row>
    <row r="26" spans="1:26" ht="13" x14ac:dyDescent="0.6">
      <c r="A26" s="28" t="str">
        <f t="shared" si="1"/>
        <v/>
      </c>
      <c r="B26" s="7"/>
      <c r="C26" s="7"/>
      <c r="D26" s="9"/>
      <c r="E26" s="9"/>
      <c r="F26" s="7"/>
      <c r="G26" s="7"/>
      <c r="H26" s="7"/>
      <c r="I26" s="7"/>
      <c r="J26" s="7"/>
      <c r="K26" s="7"/>
      <c r="L26" s="7"/>
      <c r="M26" s="7"/>
      <c r="N26" s="7"/>
      <c r="O26" s="7"/>
      <c r="P26" s="29"/>
      <c r="Q26" s="29"/>
      <c r="R26" s="7"/>
      <c r="S26" s="7"/>
      <c r="T26" s="7" t="str">
        <f ca="1">IFERROR(__xludf.DUMMYFUNCTION("SPARKLINE({
IF(D26="""",0,D26),
IF(F26="""",0,F26),
IF(H26="""",0,H26),
IF(J26="""",0,J26),
IF(L26="""",0,L26),
IF(N26="""",0,N26),
IF(P26="""",0,P26)
})"),"")</f>
        <v/>
      </c>
      <c r="U26" s="7" t="str">
        <f ca="1">IFERROR(__xludf.DUMMYFUNCTION("SPARKLINE({
IF(E26="""",0,E26),
IF(G26="""",0,G26),
IF(I26="""",0,I26),
IF(K26="""",0,K26),
IF(M26="""",0,M26),
IF(O26="""",0,O26),
IF(Q26="""",0,Q26)
})"),"")</f>
        <v/>
      </c>
      <c r="V26" s="8" t="e">
        <f t="array" aca="1" ref="V26" ca="1">IF($C$4="Giao",_xludf.Xlookup(C26,#REF!,#REF!,),_xludf.Xlookup(C26,#REF!,#REF!,))</f>
        <v>#NAME?</v>
      </c>
      <c r="W26" s="8" t="e">
        <f t="array" aca="1" ref="W26" ca="1">IF($C$4="Giao", _xludf.Xlookup(C26,#REF!,#REF!,),_xludf.Xlookup(C26,#REF!,#REF!,))</f>
        <v>#NAME?</v>
      </c>
      <c r="X26" s="9" t="e">
        <f t="shared" ca="1" si="2"/>
        <v>#NAME?</v>
      </c>
      <c r="Y26" s="7"/>
      <c r="Z26" s="31" t="e">
        <f t="shared" ref="Z26:Z37" ca="1" si="4">X26-Y26</f>
        <v>#NAME?</v>
      </c>
    </row>
    <row r="27" spans="1:26" ht="13" x14ac:dyDescent="0.6">
      <c r="A27" s="28" t="str">
        <f t="shared" si="1"/>
        <v/>
      </c>
      <c r="B27" s="7"/>
      <c r="C27" s="7"/>
      <c r="D27" s="9"/>
      <c r="E27" s="9"/>
      <c r="F27" s="7"/>
      <c r="G27" s="7"/>
      <c r="H27" s="7"/>
      <c r="I27" s="7"/>
      <c r="J27" s="7"/>
      <c r="K27" s="7"/>
      <c r="L27" s="7"/>
      <c r="M27" s="7"/>
      <c r="N27" s="7"/>
      <c r="O27" s="7"/>
      <c r="P27" s="29"/>
      <c r="Q27" s="29"/>
      <c r="R27" s="7"/>
      <c r="S27" s="7"/>
      <c r="T27" s="7" t="str">
        <f ca="1">IFERROR(__xludf.DUMMYFUNCTION("SPARKLINE({
IF(D27="""",0,D27),
IF(F27="""",0,F27),
IF(H27="""",0,H27),
IF(J27="""",0,J27),
IF(L27="""",0,L27),
IF(N27="""",0,N27),
IF(P27="""",0,P27)
})"),"")</f>
        <v/>
      </c>
      <c r="U27" s="7" t="str">
        <f ca="1">IFERROR(__xludf.DUMMYFUNCTION("SPARKLINE({
IF(E27="""",0,E27),
IF(G27="""",0,G27),
IF(I27="""",0,I27),
IF(K27="""",0,K27),
IF(M27="""",0,M27),
IF(O27="""",0,O27),
IF(Q27="""",0,Q27)
})"),"")</f>
        <v/>
      </c>
      <c r="V27" s="8" t="e">
        <f t="array" aca="1" ref="V27" ca="1">IF($C$4="Giao",_xludf.Xlookup(C27,#REF!,#REF!,),_xludf.Xlookup(C27,#REF!,#REF!,))</f>
        <v>#NAME?</v>
      </c>
      <c r="W27" s="8" t="e">
        <f t="array" aca="1" ref="W27" ca="1">IF($C$4="Giao", _xludf.Xlookup(C27,#REF!,#REF!,),_xludf.Xlookup(C27,#REF!,#REF!,))</f>
        <v>#NAME?</v>
      </c>
      <c r="X27" s="9" t="e">
        <f t="shared" ca="1" si="2"/>
        <v>#NAME?</v>
      </c>
      <c r="Y27" s="7"/>
      <c r="Z27" s="31" t="e">
        <f t="shared" ca="1" si="4"/>
        <v>#NAME?</v>
      </c>
    </row>
    <row r="28" spans="1:26" ht="13" x14ac:dyDescent="0.6">
      <c r="A28" s="28" t="str">
        <f t="shared" si="1"/>
        <v/>
      </c>
      <c r="B28" s="7"/>
      <c r="C28" s="7"/>
      <c r="D28" s="9"/>
      <c r="E28" s="9"/>
      <c r="F28" s="7"/>
      <c r="G28" s="7"/>
      <c r="H28" s="7"/>
      <c r="I28" s="7"/>
      <c r="J28" s="7"/>
      <c r="K28" s="7"/>
      <c r="L28" s="7"/>
      <c r="M28" s="7"/>
      <c r="N28" s="7"/>
      <c r="O28" s="7"/>
      <c r="P28" s="29"/>
      <c r="Q28" s="29"/>
      <c r="R28" s="7"/>
      <c r="S28" s="7"/>
      <c r="T28" s="7" t="str">
        <f ca="1">IFERROR(__xludf.DUMMYFUNCTION("SPARKLINE({
IF(D28="""",0,D28),
IF(F28="""",0,F28),
IF(H28="""",0,H28),
IF(J28="""",0,J28),
IF(L28="""",0,L28),
IF(N28="""",0,N28),
IF(P28="""",0,P28)
})"),"")</f>
        <v/>
      </c>
      <c r="U28" s="7" t="str">
        <f ca="1">IFERROR(__xludf.DUMMYFUNCTION("SPARKLINE({
IF(E28="""",0,E28),
IF(G28="""",0,G28),
IF(I28="""",0,I28),
IF(K28="""",0,K28),
IF(M28="""",0,M28),
IF(O28="""",0,O28),
IF(Q28="""",0,Q28)
})"),"")</f>
        <v/>
      </c>
      <c r="V28" s="8" t="e">
        <f t="array" aca="1" ref="V28" ca="1">IF($C$4="Giao",_xludf.Xlookup(C28,#REF!,#REF!,),_xludf.Xlookup(C28,#REF!,#REF!,))</f>
        <v>#NAME?</v>
      </c>
      <c r="W28" s="8" t="e">
        <f t="array" aca="1" ref="W28" ca="1">IF($C$4="Giao", _xludf.Xlookup(C28,#REF!,#REF!,),_xludf.Xlookup(C28,#REF!,#REF!,))</f>
        <v>#NAME?</v>
      </c>
      <c r="X28" s="9" t="e">
        <f t="shared" ca="1" si="2"/>
        <v>#NAME?</v>
      </c>
      <c r="Y28" s="7"/>
      <c r="Z28" s="31" t="e">
        <f t="shared" ca="1" si="4"/>
        <v>#NAME?</v>
      </c>
    </row>
    <row r="29" spans="1:26" ht="13" x14ac:dyDescent="0.6">
      <c r="A29" s="28" t="str">
        <f t="shared" si="1"/>
        <v/>
      </c>
      <c r="B29" s="7"/>
      <c r="C29" s="7"/>
      <c r="D29" s="9"/>
      <c r="E29" s="9"/>
      <c r="F29" s="7"/>
      <c r="G29" s="7"/>
      <c r="H29" s="7"/>
      <c r="I29" s="7"/>
      <c r="J29" s="7"/>
      <c r="K29" s="7"/>
      <c r="L29" s="7"/>
      <c r="M29" s="7"/>
      <c r="N29" s="7"/>
      <c r="O29" s="7"/>
      <c r="P29" s="29"/>
      <c r="Q29" s="29"/>
      <c r="R29" s="7"/>
      <c r="S29" s="7"/>
      <c r="T29" s="7" t="str">
        <f ca="1">IFERROR(__xludf.DUMMYFUNCTION("SPARKLINE({
IF(D29="""",0,D29),
IF(F29="""",0,F29),
IF(H29="""",0,H29),
IF(J29="""",0,J29),
IF(L29="""",0,L29),
IF(N29="""",0,N29),
IF(P29="""",0,P29)
})"),"")</f>
        <v/>
      </c>
      <c r="U29" s="7" t="str">
        <f ca="1">IFERROR(__xludf.DUMMYFUNCTION("SPARKLINE({
IF(E29="""",0,E29),
IF(G29="""",0,G29),
IF(I29="""",0,I29),
IF(K29="""",0,K29),
IF(M29="""",0,M29),
IF(O29="""",0,O29),
IF(Q29="""",0,Q29)
})"),"")</f>
        <v/>
      </c>
      <c r="V29" s="8" t="e">
        <f t="array" aca="1" ref="V29" ca="1">IF($C$4="Giao",_xludf.Xlookup(C29,#REF!,#REF!,),_xludf.Xlookup(C29,#REF!,#REF!,))</f>
        <v>#NAME?</v>
      </c>
      <c r="W29" s="8" t="e">
        <f t="array" aca="1" ref="W29" ca="1">IF($C$4="Giao", _xludf.Xlookup(C29,#REF!,#REF!,),_xludf.Xlookup(C29,#REF!,#REF!,))</f>
        <v>#NAME?</v>
      </c>
      <c r="X29" s="9" t="e">
        <f t="shared" ca="1" si="2"/>
        <v>#NAME?</v>
      </c>
      <c r="Y29" s="7"/>
      <c r="Z29" s="31" t="e">
        <f t="shared" ca="1" si="4"/>
        <v>#NAME?</v>
      </c>
    </row>
    <row r="30" spans="1:26" ht="13" x14ac:dyDescent="0.6">
      <c r="A30" s="28" t="str">
        <f t="shared" si="1"/>
        <v/>
      </c>
      <c r="B30" s="7"/>
      <c r="C30" s="7"/>
      <c r="D30" s="9"/>
      <c r="E30" s="9"/>
      <c r="F30" s="7"/>
      <c r="G30" s="7"/>
      <c r="H30" s="7"/>
      <c r="I30" s="7"/>
      <c r="J30" s="7"/>
      <c r="K30" s="7"/>
      <c r="L30" s="7"/>
      <c r="M30" s="7"/>
      <c r="N30" s="7"/>
      <c r="O30" s="7"/>
      <c r="P30" s="29"/>
      <c r="Q30" s="29"/>
      <c r="R30" s="7"/>
      <c r="S30" s="7"/>
      <c r="T30" s="7" t="str">
        <f ca="1">IFERROR(__xludf.DUMMYFUNCTION("SPARKLINE({
IF(D30="""",0,D30),
IF(F30="""",0,F30),
IF(H30="""",0,H30),
IF(J30="""",0,J30),
IF(L30="""",0,L30),
IF(N30="""",0,N30),
IF(P30="""",0,P30)
})"),"")</f>
        <v/>
      </c>
      <c r="U30" s="7" t="str">
        <f ca="1">IFERROR(__xludf.DUMMYFUNCTION("SPARKLINE({
IF(E30="""",0,E30),
IF(G30="""",0,G30),
IF(I30="""",0,I30),
IF(K30="""",0,K30),
IF(M30="""",0,M30),
IF(O30="""",0,O30),
IF(Q30="""",0,Q30)
})"),"")</f>
        <v/>
      </c>
      <c r="V30" s="8" t="e">
        <f t="array" aca="1" ref="V30" ca="1">IF($C$4="Giao",_xludf.Xlookup(C30,#REF!,#REF!,),_xludf.Xlookup(C30,#REF!,#REF!,))</f>
        <v>#NAME?</v>
      </c>
      <c r="W30" s="8" t="e">
        <f t="array" aca="1" ref="W30" ca="1">IF($C$4="Giao", _xludf.Xlookup(C30,#REF!,#REF!,),_xludf.Xlookup(C30,#REF!,#REF!,))</f>
        <v>#NAME?</v>
      </c>
      <c r="X30" s="9" t="e">
        <f t="shared" ca="1" si="2"/>
        <v>#NAME?</v>
      </c>
      <c r="Y30" s="7"/>
      <c r="Z30" s="31" t="e">
        <f t="shared" ca="1" si="4"/>
        <v>#NAME?</v>
      </c>
    </row>
    <row r="31" spans="1:26" ht="13" x14ac:dyDescent="0.6">
      <c r="A31" s="28" t="str">
        <f t="shared" si="1"/>
        <v/>
      </c>
      <c r="B31" s="7"/>
      <c r="C31" s="7"/>
      <c r="D31" s="9"/>
      <c r="E31" s="9"/>
      <c r="F31" s="7"/>
      <c r="G31" s="7"/>
      <c r="H31" s="7"/>
      <c r="I31" s="7"/>
      <c r="J31" s="7"/>
      <c r="K31" s="7"/>
      <c r="L31" s="7"/>
      <c r="M31" s="7"/>
      <c r="N31" s="7"/>
      <c r="O31" s="7"/>
      <c r="P31" s="29"/>
      <c r="Q31" s="29"/>
      <c r="R31" s="7"/>
      <c r="S31" s="7"/>
      <c r="T31" s="7" t="str">
        <f ca="1">IFERROR(__xludf.DUMMYFUNCTION("SPARKLINE({
IF(D31="""",0,D31),
IF(F31="""",0,F31),
IF(H31="""",0,H31),
IF(J31="""",0,J31),
IF(L31="""",0,L31),
IF(N31="""",0,N31),
IF(P31="""",0,P31)
})"),"")</f>
        <v/>
      </c>
      <c r="U31" s="7" t="str">
        <f ca="1">IFERROR(__xludf.DUMMYFUNCTION("SPARKLINE({
IF(E31="""",0,E31),
IF(G31="""",0,G31),
IF(I31="""",0,I31),
IF(K31="""",0,K31),
IF(M31="""",0,M31),
IF(O31="""",0,O31),
IF(Q31="""",0,Q31)
})"),"")</f>
        <v/>
      </c>
      <c r="V31" s="8" t="e">
        <f t="array" aca="1" ref="V31" ca="1">IF($C$4="Giao",_xludf.Xlookup(C31,#REF!,#REF!,),_xludf.Xlookup(C31,#REF!,#REF!,))</f>
        <v>#NAME?</v>
      </c>
      <c r="W31" s="8" t="e">
        <f t="array" aca="1" ref="W31" ca="1">IF($C$4="Giao", _xludf.Xlookup(C31,#REF!,#REF!,),_xludf.Xlookup(C31,#REF!,#REF!,))</f>
        <v>#NAME?</v>
      </c>
      <c r="X31" s="9" t="e">
        <f t="shared" ca="1" si="2"/>
        <v>#NAME?</v>
      </c>
      <c r="Y31" s="7"/>
      <c r="Z31" s="31" t="e">
        <f t="shared" ca="1" si="4"/>
        <v>#NAME?</v>
      </c>
    </row>
    <row r="32" spans="1:26" ht="13" x14ac:dyDescent="0.6">
      <c r="A32" s="28" t="str">
        <f t="shared" si="1"/>
        <v/>
      </c>
      <c r="B32" s="7"/>
      <c r="C32" s="7"/>
      <c r="D32" s="9"/>
      <c r="E32" s="9"/>
      <c r="F32" s="7"/>
      <c r="G32" s="7"/>
      <c r="H32" s="7"/>
      <c r="I32" s="7"/>
      <c r="J32" s="7"/>
      <c r="K32" s="7"/>
      <c r="L32" s="7"/>
      <c r="M32" s="7"/>
      <c r="N32" s="7"/>
      <c r="O32" s="7"/>
      <c r="P32" s="29"/>
      <c r="Q32" s="29"/>
      <c r="R32" s="7"/>
      <c r="S32" s="7"/>
      <c r="T32" s="7" t="str">
        <f ca="1">IFERROR(__xludf.DUMMYFUNCTION("SPARKLINE({
IF(D32="""",0,D32),
IF(F32="""",0,F32),
IF(H32="""",0,H32),
IF(J32="""",0,J32),
IF(L32="""",0,L32),
IF(N32="""",0,N32),
IF(P32="""",0,P32)
})"),"")</f>
        <v/>
      </c>
      <c r="U32" s="7" t="str">
        <f ca="1">IFERROR(__xludf.DUMMYFUNCTION("SPARKLINE({
IF(E32="""",0,E32),
IF(G32="""",0,G32),
IF(I32="""",0,I32),
IF(K32="""",0,K32),
IF(M32="""",0,M32),
IF(O32="""",0,O32),
IF(Q32="""",0,Q32)
})"),"")</f>
        <v/>
      </c>
      <c r="V32" s="8" t="e">
        <f t="array" aca="1" ref="V32" ca="1">IF($C$4="Giao",_xludf.Xlookup(C32,#REF!,#REF!,),_xludf.Xlookup(C32,#REF!,#REF!,))</f>
        <v>#NAME?</v>
      </c>
      <c r="W32" s="8" t="e">
        <f t="array" aca="1" ref="W32" ca="1">IF($C$4="Giao", _xludf.Xlookup(C32,#REF!,#REF!,),_xludf.Xlookup(C32,#REF!,#REF!,))</f>
        <v>#NAME?</v>
      </c>
      <c r="X32" s="9" t="e">
        <f t="shared" ca="1" si="2"/>
        <v>#NAME?</v>
      </c>
      <c r="Y32" s="7"/>
      <c r="Z32" s="31" t="e">
        <f t="shared" ca="1" si="4"/>
        <v>#NAME?</v>
      </c>
    </row>
    <row r="33" spans="1:26" ht="13" x14ac:dyDescent="0.6">
      <c r="A33" s="28" t="str">
        <f t="shared" si="1"/>
        <v/>
      </c>
      <c r="B33" s="7"/>
      <c r="C33" s="7"/>
      <c r="D33" s="9"/>
      <c r="E33" s="9"/>
      <c r="F33" s="7"/>
      <c r="G33" s="7"/>
      <c r="H33" s="7"/>
      <c r="I33" s="7"/>
      <c r="J33" s="7"/>
      <c r="K33" s="7"/>
      <c r="L33" s="7"/>
      <c r="M33" s="7"/>
      <c r="N33" s="7"/>
      <c r="O33" s="7"/>
      <c r="P33" s="29"/>
      <c r="Q33" s="29"/>
      <c r="R33" s="7"/>
      <c r="S33" s="7"/>
      <c r="T33" s="7" t="str">
        <f ca="1">IFERROR(__xludf.DUMMYFUNCTION("SPARKLINE({
IF(D33="""",0,D33),
IF(F33="""",0,F33),
IF(H33="""",0,H33),
IF(J33="""",0,J33),
IF(L33="""",0,L33),
IF(N33="""",0,N33),
IF(P33="""",0,P33)
})"),"")</f>
        <v/>
      </c>
      <c r="U33" s="7" t="str">
        <f ca="1">IFERROR(__xludf.DUMMYFUNCTION("SPARKLINE({
IF(E33="""",0,E33),
IF(G33="""",0,G33),
IF(I33="""",0,I33),
IF(K33="""",0,K33),
IF(M33="""",0,M33),
IF(O33="""",0,O33),
IF(Q33="""",0,Q33)
})"),"")</f>
        <v/>
      </c>
      <c r="V33" s="8" t="e">
        <f t="array" aca="1" ref="V33" ca="1">IF($C$4="Giao",_xludf.Xlookup(C33,#REF!,#REF!,),_xludf.Xlookup(C33,#REF!,#REF!,))</f>
        <v>#NAME?</v>
      </c>
      <c r="W33" s="8" t="e">
        <f t="array" aca="1" ref="W33" ca="1">IF($C$4="Giao", _xludf.Xlookup(C33,#REF!,#REF!,),_xludf.Xlookup(C33,#REF!,#REF!,))</f>
        <v>#NAME?</v>
      </c>
      <c r="X33" s="9" t="e">
        <f t="shared" ca="1" si="2"/>
        <v>#NAME?</v>
      </c>
      <c r="Y33" s="7"/>
      <c r="Z33" s="31" t="e">
        <f t="shared" ca="1" si="4"/>
        <v>#NAME?</v>
      </c>
    </row>
    <row r="34" spans="1:26" ht="13" x14ac:dyDescent="0.6">
      <c r="A34" s="28" t="str">
        <f t="shared" si="1"/>
        <v/>
      </c>
      <c r="B34" s="7"/>
      <c r="C34" s="7"/>
      <c r="D34" s="9"/>
      <c r="E34" s="9"/>
      <c r="F34" s="7"/>
      <c r="G34" s="7"/>
      <c r="H34" s="7"/>
      <c r="I34" s="7"/>
      <c r="J34" s="7"/>
      <c r="K34" s="7"/>
      <c r="L34" s="7"/>
      <c r="M34" s="7"/>
      <c r="N34" s="7"/>
      <c r="O34" s="7"/>
      <c r="P34" s="29"/>
      <c r="Q34" s="29"/>
      <c r="R34" s="7"/>
      <c r="S34" s="7"/>
      <c r="T34" s="7" t="str">
        <f ca="1">IFERROR(__xludf.DUMMYFUNCTION("SPARKLINE({
IF(D34="""",0,D34),
IF(F34="""",0,F34),
IF(H34="""",0,H34),
IF(J34="""",0,J34),
IF(L34="""",0,L34),
IF(N34="""",0,N34),
IF(P34="""",0,P34)
})"),"")</f>
        <v/>
      </c>
      <c r="U34" s="7" t="str">
        <f ca="1">IFERROR(__xludf.DUMMYFUNCTION("SPARKLINE({
IF(E34="""",0,E34),
IF(G34="""",0,G34),
IF(I34="""",0,I34),
IF(K34="""",0,K34),
IF(M34="""",0,M34),
IF(O34="""",0,O34),
IF(Q34="""",0,Q34)
})"),"")</f>
        <v/>
      </c>
      <c r="V34" s="8" t="e">
        <f t="array" aca="1" ref="V34" ca="1">IF($C$4="Giao",_xludf.Xlookup(C34,#REF!,#REF!,),_xludf.Xlookup(C34,#REF!,#REF!,))</f>
        <v>#NAME?</v>
      </c>
      <c r="W34" s="8" t="e">
        <f t="array" aca="1" ref="W34" ca="1">IF($C$4="Giao", _xludf.Xlookup(C34,#REF!,#REF!,),_xludf.Xlookup(C34,#REF!,#REF!,))</f>
        <v>#NAME?</v>
      </c>
      <c r="X34" s="9" t="e">
        <f t="shared" ca="1" si="2"/>
        <v>#NAME?</v>
      </c>
      <c r="Y34" s="7"/>
      <c r="Z34" s="31" t="e">
        <f t="shared" ca="1" si="4"/>
        <v>#NAME?</v>
      </c>
    </row>
    <row r="35" spans="1:26" ht="13" x14ac:dyDescent="0.6">
      <c r="A35" s="28" t="str">
        <f t="shared" si="1"/>
        <v/>
      </c>
      <c r="B35" s="7"/>
      <c r="C35" s="7"/>
      <c r="D35" s="9"/>
      <c r="E35" s="9"/>
      <c r="F35" s="7"/>
      <c r="G35" s="7"/>
      <c r="H35" s="7"/>
      <c r="I35" s="7"/>
      <c r="J35" s="7"/>
      <c r="K35" s="7"/>
      <c r="L35" s="7"/>
      <c r="M35" s="7"/>
      <c r="N35" s="7"/>
      <c r="O35" s="7"/>
      <c r="P35" s="29"/>
      <c r="Q35" s="29"/>
      <c r="R35" s="7"/>
      <c r="S35" s="7"/>
      <c r="T35" s="7" t="str">
        <f ca="1">IFERROR(__xludf.DUMMYFUNCTION("SPARKLINE({
IF(D35="""",0,D35),
IF(F35="""",0,F35),
IF(H35="""",0,H35),
IF(J35="""",0,J35),
IF(L35="""",0,L35),
IF(N35="""",0,N35),
IF(P35="""",0,P35)
})"),"")</f>
        <v/>
      </c>
      <c r="U35" s="7" t="str">
        <f ca="1">IFERROR(__xludf.DUMMYFUNCTION("SPARKLINE({
IF(E35="""",0,E35),
IF(G35="""",0,G35),
IF(I35="""",0,I35),
IF(K35="""",0,K35),
IF(M35="""",0,M35),
IF(O35="""",0,O35),
IF(Q35="""",0,Q35)
})"),"")</f>
        <v/>
      </c>
      <c r="V35" s="8" t="e">
        <f t="array" aca="1" ref="V35" ca="1">IF($C$4="Giao",_xludf.Xlookup(C35,#REF!,#REF!,),_xludf.Xlookup(C35,#REF!,#REF!,))</f>
        <v>#NAME?</v>
      </c>
      <c r="W35" s="8" t="e">
        <f t="array" aca="1" ref="W35" ca="1">IF($C$4="Giao", _xludf.Xlookup(C35,#REF!,#REF!,),_xludf.Xlookup(C35,#REF!,#REF!,))</f>
        <v>#NAME?</v>
      </c>
      <c r="X35" s="9" t="e">
        <f t="shared" ca="1" si="2"/>
        <v>#NAME?</v>
      </c>
      <c r="Y35" s="7"/>
      <c r="Z35" s="31" t="e">
        <f t="shared" ca="1" si="4"/>
        <v>#NAME?</v>
      </c>
    </row>
    <row r="36" spans="1:26" ht="13" x14ac:dyDescent="0.6">
      <c r="A36" s="28" t="str">
        <f t="shared" si="1"/>
        <v/>
      </c>
      <c r="B36" s="7"/>
      <c r="C36" s="7"/>
      <c r="D36" s="9"/>
      <c r="E36" s="9"/>
      <c r="F36" s="7"/>
      <c r="G36" s="7"/>
      <c r="H36" s="7"/>
      <c r="I36" s="7"/>
      <c r="J36" s="7"/>
      <c r="K36" s="7"/>
      <c r="L36" s="7"/>
      <c r="M36" s="7"/>
      <c r="N36" s="7"/>
      <c r="O36" s="7"/>
      <c r="P36" s="29"/>
      <c r="Q36" s="29"/>
      <c r="R36" s="7"/>
      <c r="S36" s="7"/>
      <c r="T36" s="7" t="str">
        <f ca="1">IFERROR(__xludf.DUMMYFUNCTION("SPARKLINE({
IF(D36="""",0,D36),
IF(F36="""",0,F36),
IF(H36="""",0,H36),
IF(J36="""",0,J36),
IF(L36="""",0,L36),
IF(N36="""",0,N36),
IF(P36="""",0,P36)
})"),"")</f>
        <v/>
      </c>
      <c r="U36" s="7" t="str">
        <f ca="1">IFERROR(__xludf.DUMMYFUNCTION("SPARKLINE({
IF(E36="""",0,E36),
IF(G36="""",0,G36),
IF(I36="""",0,I36),
IF(K36="""",0,K36),
IF(M36="""",0,M36),
IF(O36="""",0,O36),
IF(Q36="""",0,Q36)
})"),"")</f>
        <v/>
      </c>
      <c r="V36" s="8" t="e">
        <f t="array" aca="1" ref="V36" ca="1">IF($C$4="Giao",_xludf.Xlookup(C36,#REF!,#REF!,),_xludf.Xlookup(C36,#REF!,#REF!,))</f>
        <v>#NAME?</v>
      </c>
      <c r="W36" s="8" t="e">
        <f t="array" aca="1" ref="W36" ca="1">IF($C$4="Giao", _xludf.Xlookup(C36,#REF!,#REF!,),_xludf.Xlookup(C36,#REF!,#REF!,))</f>
        <v>#NAME?</v>
      </c>
      <c r="X36" s="9" t="e">
        <f t="shared" ca="1" si="2"/>
        <v>#NAME?</v>
      </c>
      <c r="Y36" s="7"/>
      <c r="Z36" s="31" t="e">
        <f t="shared" ca="1" si="4"/>
        <v>#NAME?</v>
      </c>
    </row>
    <row r="37" spans="1:26" ht="13" x14ac:dyDescent="0.6">
      <c r="A37" s="28" t="str">
        <f t="shared" si="1"/>
        <v/>
      </c>
      <c r="B37" s="7"/>
      <c r="C37" s="7"/>
      <c r="D37" s="9"/>
      <c r="E37" s="9"/>
      <c r="F37" s="7"/>
      <c r="G37" s="7"/>
      <c r="H37" s="7"/>
      <c r="I37" s="7"/>
      <c r="J37" s="7"/>
      <c r="K37" s="7"/>
      <c r="L37" s="7"/>
      <c r="M37" s="7"/>
      <c r="N37" s="7"/>
      <c r="O37" s="7"/>
      <c r="P37" s="29"/>
      <c r="Q37" s="29"/>
      <c r="R37" s="7"/>
      <c r="S37" s="7"/>
      <c r="T37" s="7" t="str">
        <f ca="1">IFERROR(__xludf.DUMMYFUNCTION("SPARKLINE({
IF(D37="""",0,D37),
IF(F37="""",0,F37),
IF(H37="""",0,H37),
IF(J37="""",0,J37),
IF(L37="""",0,L37),
IF(N37="""",0,N37),
IF(P37="""",0,P37)
})"),"")</f>
        <v/>
      </c>
      <c r="U37" s="7" t="str">
        <f ca="1">IFERROR(__xludf.DUMMYFUNCTION("SPARKLINE({
IF(E37="""",0,E37),
IF(G37="""",0,G37),
IF(I37="""",0,I37),
IF(K37="""",0,K37),
IF(M37="""",0,M37),
IF(O37="""",0,O37),
IF(Q37="""",0,Q37)
})"),"")</f>
        <v/>
      </c>
      <c r="V37" s="8" t="e">
        <f t="array" aca="1" ref="V37" ca="1">IF($C$4="Giao",_xludf.Xlookup(C37,#REF!,#REF!,),_xludf.Xlookup(C37,#REF!,#REF!,))</f>
        <v>#NAME?</v>
      </c>
      <c r="W37" s="8" t="e">
        <f t="array" aca="1" ref="W37" ca="1">IF($C$4="Giao", _xludf.Xlookup(C37,#REF!,#REF!,),_xludf.Xlookup(C37,#REF!,#REF!,))</f>
        <v>#NAME?</v>
      </c>
      <c r="X37" s="9" t="e">
        <f t="shared" ca="1" si="2"/>
        <v>#NAME?</v>
      </c>
      <c r="Y37" s="7"/>
      <c r="Z37" s="31" t="e">
        <f t="shared" ca="1" si="4"/>
        <v>#NAME?</v>
      </c>
    </row>
    <row r="38" spans="1:26" ht="13" x14ac:dyDescent="0.6">
      <c r="A38" s="28" t="str">
        <f t="shared" si="1"/>
        <v/>
      </c>
      <c r="B38" s="7"/>
      <c r="C38" s="7"/>
      <c r="D38" s="9"/>
      <c r="E38" s="9"/>
      <c r="F38" s="7"/>
      <c r="G38" s="7"/>
      <c r="H38" s="7"/>
      <c r="I38" s="7"/>
      <c r="J38" s="7"/>
      <c r="K38" s="7"/>
      <c r="L38" s="7"/>
      <c r="M38" s="7"/>
      <c r="N38" s="7"/>
      <c r="O38" s="7"/>
      <c r="P38" s="29"/>
      <c r="Q38" s="29"/>
      <c r="R38" s="7"/>
      <c r="S38" s="7"/>
      <c r="T38" s="7" t="str">
        <f ca="1">IFERROR(__xludf.DUMMYFUNCTION("SPARKLINE({
IF(D38="""",0,D38),
IF(F38="""",0,F38),
IF(H38="""",0,H38),
IF(J38="""",0,J38),
IF(L38="""",0,L38),
IF(N38="""",0,N38),
IF(P38="""",0,P38)
})"),"")</f>
        <v/>
      </c>
      <c r="U38" s="7" t="str">
        <f ca="1">IFERROR(__xludf.DUMMYFUNCTION("SPARKLINE({
IF(E38="""",0,E38),
IF(G38="""",0,G38),
IF(I38="""",0,I38),
IF(K38="""",0,K38),
IF(M38="""",0,M38),
IF(O38="""",0,O38),
IF(Q38="""",0,Q38)
})"),"")</f>
        <v/>
      </c>
      <c r="V38" s="8" t="e">
        <f t="array" aca="1" ref="V38" ca="1">IF($C$4="Giao",_xludf.Xlookup(C38,#REF!,#REF!,),_xludf.Xlookup(C38,#REF!,#REF!,))</f>
        <v>#NAME?</v>
      </c>
      <c r="W38" s="8" t="e">
        <f t="array" aca="1" ref="W38" ca="1">IF($C$4="Giao", _xludf.Xlookup(C38,#REF!,#REF!,),_xludf.Xlookup(C38,#REF!,#REF!,))</f>
        <v>#NAME?</v>
      </c>
      <c r="X38" s="9" t="e">
        <f t="shared" ca="1" si="2"/>
        <v>#NAME?</v>
      </c>
      <c r="Y38" s="7"/>
      <c r="Z38" s="7"/>
    </row>
    <row r="39" spans="1:26" ht="13" x14ac:dyDescent="0.6">
      <c r="A39" s="28" t="str">
        <f t="shared" si="1"/>
        <v/>
      </c>
      <c r="B39" s="7"/>
      <c r="C39" s="7"/>
      <c r="D39" s="9"/>
      <c r="E39" s="9"/>
      <c r="F39" s="7"/>
      <c r="G39" s="7"/>
      <c r="H39" s="7"/>
      <c r="I39" s="7"/>
      <c r="J39" s="7"/>
      <c r="K39" s="7"/>
      <c r="L39" s="7"/>
      <c r="M39" s="7"/>
      <c r="N39" s="7"/>
      <c r="O39" s="7"/>
      <c r="P39" s="29"/>
      <c r="Q39" s="29"/>
      <c r="R39" s="7"/>
      <c r="S39" s="7"/>
      <c r="T39" s="7" t="str">
        <f ca="1">IFERROR(__xludf.DUMMYFUNCTION("SPARKLINE({
IF(D39="""",0,D39),
IF(F39="""",0,F39),
IF(H39="""",0,H39),
IF(J39="""",0,J39),
IF(L39="""",0,L39),
IF(N39="""",0,N39),
IF(P39="""",0,P39)
})"),"")</f>
        <v/>
      </c>
      <c r="U39" s="7" t="str">
        <f ca="1">IFERROR(__xludf.DUMMYFUNCTION("SPARKLINE({
IF(E39="""",0,E39),
IF(G39="""",0,G39),
IF(I39="""",0,I39),
IF(K39="""",0,K39),
IF(M39="""",0,M39),
IF(O39="""",0,O39),
IF(Q39="""",0,Q39)
})"),"")</f>
        <v/>
      </c>
      <c r="V39" s="8" t="e">
        <f t="array" aca="1" ref="V39" ca="1">IF($C$4="Giao",_xludf.Xlookup(C39,#REF!,#REF!,),_xludf.Xlookup(C39,#REF!,#REF!,))</f>
        <v>#NAME?</v>
      </c>
      <c r="W39" s="8" t="e">
        <f t="array" aca="1" ref="W39" ca="1">IF($C$4="Giao", _xludf.Xlookup(C39,#REF!,#REF!,),_xludf.Xlookup(C39,#REF!,#REF!,))</f>
        <v>#NAME?</v>
      </c>
      <c r="X39" s="9" t="e">
        <f t="shared" ca="1" si="2"/>
        <v>#NAME?</v>
      </c>
      <c r="Y39" s="7"/>
      <c r="Z39" s="7"/>
    </row>
    <row r="40" spans="1:26" ht="13" x14ac:dyDescent="0.6">
      <c r="A40" s="28" t="str">
        <f t="shared" si="1"/>
        <v/>
      </c>
      <c r="B40" s="7"/>
      <c r="C40" s="7"/>
      <c r="D40" s="9"/>
      <c r="E40" s="9"/>
      <c r="F40" s="7"/>
      <c r="G40" s="7"/>
      <c r="H40" s="7"/>
      <c r="I40" s="7"/>
      <c r="J40" s="7"/>
      <c r="K40" s="7"/>
      <c r="L40" s="7"/>
      <c r="M40" s="7"/>
      <c r="N40" s="7"/>
      <c r="O40" s="7"/>
      <c r="P40" s="29"/>
      <c r="Q40" s="29"/>
      <c r="R40" s="7"/>
      <c r="S40" s="7"/>
      <c r="T40" s="7" t="str">
        <f ca="1">IFERROR(__xludf.DUMMYFUNCTION("SPARKLINE({
IF(D40="""",0,D40),
IF(F40="""",0,F40),
IF(H40="""",0,H40),
IF(J40="""",0,J40),
IF(L40="""",0,L40),
IF(N40="""",0,N40),
IF(P40="""",0,P40)
})"),"")</f>
        <v/>
      </c>
      <c r="U40" s="7" t="str">
        <f ca="1">IFERROR(__xludf.DUMMYFUNCTION("SPARKLINE({
IF(E40="""",0,E40),
IF(G40="""",0,G40),
IF(I40="""",0,I40),
IF(K40="""",0,K40),
IF(M40="""",0,M40),
IF(O40="""",0,O40),
IF(Q40="""",0,Q40)
})"),"")</f>
        <v/>
      </c>
      <c r="V40" s="8" t="e">
        <f t="array" aca="1" ref="V40" ca="1">IF($C$4="Giao",_xludf.Xlookup(C40,#REF!,#REF!,),_xludf.Xlookup(C40,#REF!,#REF!,))</f>
        <v>#NAME?</v>
      </c>
      <c r="W40" s="8" t="e">
        <f t="array" aca="1" ref="W40" ca="1">IF($C$4="Giao", _xludf.Xlookup(C40,#REF!,#REF!,),_xludf.Xlookup(C40,#REF!,#REF!,))</f>
        <v>#NAME?</v>
      </c>
      <c r="X40" s="9" t="e">
        <f t="shared" ca="1" si="2"/>
        <v>#NAME?</v>
      </c>
      <c r="Y40" s="7"/>
      <c r="Z40" s="7"/>
    </row>
    <row r="41" spans="1:26" ht="13" x14ac:dyDescent="0.6">
      <c r="A41" s="28" t="str">
        <f t="shared" si="1"/>
        <v/>
      </c>
      <c r="B41" s="7"/>
      <c r="C41" s="7"/>
      <c r="D41" s="9"/>
      <c r="E41" s="9"/>
      <c r="F41" s="7"/>
      <c r="G41" s="7"/>
      <c r="H41" s="7"/>
      <c r="I41" s="7"/>
      <c r="J41" s="7"/>
      <c r="K41" s="7"/>
      <c r="L41" s="7"/>
      <c r="M41" s="7"/>
      <c r="N41" s="7"/>
      <c r="O41" s="7"/>
      <c r="P41" s="29"/>
      <c r="Q41" s="29"/>
      <c r="R41" s="7"/>
      <c r="S41" s="7"/>
      <c r="T41" s="7" t="str">
        <f ca="1">IFERROR(__xludf.DUMMYFUNCTION("SPARKLINE({
IF(D41="""",0,D41),
IF(F41="""",0,F41),
IF(H41="""",0,H41),
IF(J41="""",0,J41),
IF(L41="""",0,L41),
IF(N41="""",0,N41),
IF(P41="""",0,P41)
})"),"")</f>
        <v/>
      </c>
      <c r="U41" s="7" t="str">
        <f ca="1">IFERROR(__xludf.DUMMYFUNCTION("SPARKLINE({
IF(E41="""",0,E41),
IF(G41="""",0,G41),
IF(I41="""",0,I41),
IF(K41="""",0,K41),
IF(M41="""",0,M41),
IF(O41="""",0,O41),
IF(Q41="""",0,Q41)
})"),"")</f>
        <v/>
      </c>
      <c r="V41" s="8" t="e">
        <f t="array" aca="1" ref="V41" ca="1">IF($C$4="Giao",_xludf.Xlookup(C41,#REF!,#REF!,),_xludf.Xlookup(C41,#REF!,#REF!,))</f>
        <v>#NAME?</v>
      </c>
      <c r="W41" s="8" t="e">
        <f t="array" aca="1" ref="W41" ca="1">IF($C$4="Giao", _xludf.Xlookup(C41,#REF!,#REF!,),_xludf.Xlookup(C41,#REF!,#REF!,))</f>
        <v>#NAME?</v>
      </c>
      <c r="X41" s="9" t="e">
        <f t="shared" ca="1" si="2"/>
        <v>#NAME?</v>
      </c>
      <c r="Y41" s="7"/>
      <c r="Z41" s="7"/>
    </row>
    <row r="42" spans="1:26" ht="13" x14ac:dyDescent="0.6">
      <c r="A42" s="28" t="str">
        <f t="shared" si="1"/>
        <v/>
      </c>
      <c r="B42" s="7"/>
      <c r="C42" s="7"/>
      <c r="D42" s="9"/>
      <c r="E42" s="9"/>
      <c r="F42" s="7"/>
      <c r="G42" s="7"/>
      <c r="H42" s="7"/>
      <c r="I42" s="7"/>
      <c r="J42" s="7"/>
      <c r="K42" s="7"/>
      <c r="L42" s="7"/>
      <c r="M42" s="7"/>
      <c r="N42" s="7"/>
      <c r="O42" s="7"/>
      <c r="P42" s="29"/>
      <c r="Q42" s="29"/>
      <c r="R42" s="7"/>
      <c r="S42" s="7"/>
      <c r="T42" s="7" t="str">
        <f ca="1">IFERROR(__xludf.DUMMYFUNCTION("SPARKLINE({
IF(D42="""",0,D42),
IF(F42="""",0,F42),
IF(H42="""",0,H42),
IF(J42="""",0,J42),
IF(L42="""",0,L42),
IF(N42="""",0,N42),
IF(P42="""",0,P42)
})"),"")</f>
        <v/>
      </c>
      <c r="U42" s="7" t="str">
        <f ca="1">IFERROR(__xludf.DUMMYFUNCTION("SPARKLINE({
IF(E42="""",0,E42),
IF(G42="""",0,G42),
IF(I42="""",0,I42),
IF(K42="""",0,K42),
IF(M42="""",0,M42),
IF(O42="""",0,O42),
IF(Q42="""",0,Q42)
})"),"")</f>
        <v/>
      </c>
      <c r="V42" s="8" t="e">
        <f t="array" aca="1" ref="V42" ca="1">IF($C$4="Giao",_xludf.Xlookup(C42,#REF!,#REF!,),_xludf.Xlookup(C42,#REF!,#REF!,))</f>
        <v>#NAME?</v>
      </c>
      <c r="W42" s="8" t="e">
        <f t="array" aca="1" ref="W42" ca="1">IF($C$4="Giao", _xludf.Xlookup(C42,#REF!,#REF!,),_xludf.Xlookup(C42,#REF!,#REF!,))</f>
        <v>#NAME?</v>
      </c>
      <c r="X42" s="9" t="e">
        <f t="shared" ca="1" si="2"/>
        <v>#NAME?</v>
      </c>
      <c r="Y42" s="7"/>
      <c r="Z42" s="7"/>
    </row>
    <row r="43" spans="1:26" ht="13" x14ac:dyDescent="0.6">
      <c r="A43" s="28" t="str">
        <f t="shared" si="1"/>
        <v/>
      </c>
      <c r="B43" s="7"/>
      <c r="C43" s="7"/>
      <c r="D43" s="9"/>
      <c r="E43" s="9"/>
      <c r="F43" s="7"/>
      <c r="G43" s="7"/>
      <c r="H43" s="7"/>
      <c r="I43" s="7"/>
      <c r="J43" s="7"/>
      <c r="K43" s="7"/>
      <c r="L43" s="7"/>
      <c r="M43" s="7"/>
      <c r="N43" s="7"/>
      <c r="O43" s="7"/>
      <c r="P43" s="29"/>
      <c r="Q43" s="29"/>
      <c r="R43" s="7"/>
      <c r="S43" s="7"/>
      <c r="T43" s="7" t="str">
        <f ca="1">IFERROR(__xludf.DUMMYFUNCTION("SPARKLINE({
IF(D43="""",0,D43),
IF(F43="""",0,F43),
IF(H43="""",0,H43),
IF(J43="""",0,J43),
IF(L43="""",0,L43),
IF(N43="""",0,N43),
IF(P43="""",0,P43)
})"),"")</f>
        <v/>
      </c>
      <c r="U43" s="7" t="str">
        <f ca="1">IFERROR(__xludf.DUMMYFUNCTION("SPARKLINE({
IF(E43="""",0,E43),
IF(G43="""",0,G43),
IF(I43="""",0,I43),
IF(K43="""",0,K43),
IF(M43="""",0,M43),
IF(O43="""",0,O43),
IF(Q43="""",0,Q43)
})"),"")</f>
        <v/>
      </c>
      <c r="V43" s="8" t="e">
        <f t="array" aca="1" ref="V43" ca="1">IF($C$4="Giao",_xludf.Xlookup(C43,#REF!,#REF!,),_xludf.Xlookup(C43,#REF!,#REF!,))</f>
        <v>#NAME?</v>
      </c>
      <c r="W43" s="8" t="e">
        <f t="array" aca="1" ref="W43" ca="1">IF($C$4="Giao", _xludf.Xlookup(C43,#REF!,#REF!,),_xludf.Xlookup(C43,#REF!,#REF!,))</f>
        <v>#NAME?</v>
      </c>
      <c r="X43" s="9" t="e">
        <f t="shared" ca="1" si="2"/>
        <v>#NAME?</v>
      </c>
      <c r="Y43" s="7"/>
      <c r="Z43" s="7"/>
    </row>
    <row r="44" spans="1:26" ht="13" x14ac:dyDescent="0.6">
      <c r="A44" s="28" t="str">
        <f t="shared" si="1"/>
        <v/>
      </c>
      <c r="B44" s="7"/>
      <c r="C44" s="7"/>
      <c r="D44" s="9"/>
      <c r="E44" s="9"/>
      <c r="F44" s="7"/>
      <c r="G44" s="7"/>
      <c r="H44" s="7"/>
      <c r="I44" s="7"/>
      <c r="J44" s="7"/>
      <c r="K44" s="7"/>
      <c r="L44" s="7"/>
      <c r="M44" s="7"/>
      <c r="N44" s="7"/>
      <c r="O44" s="7"/>
      <c r="P44" s="29"/>
      <c r="Q44" s="29"/>
      <c r="R44" s="7"/>
      <c r="S44" s="7"/>
      <c r="T44" s="7" t="str">
        <f ca="1">IFERROR(__xludf.DUMMYFUNCTION("SPARKLINE({
IF(D44="""",0,D44),
IF(F44="""",0,F44),
IF(H44="""",0,H44),
IF(J44="""",0,J44),
IF(L44="""",0,L44),
IF(N44="""",0,N44),
IF(P44="""",0,P44)
})"),"")</f>
        <v/>
      </c>
      <c r="U44" s="7" t="str">
        <f ca="1">IFERROR(__xludf.DUMMYFUNCTION("SPARKLINE({
IF(E44="""",0,E44),
IF(G44="""",0,G44),
IF(I44="""",0,I44),
IF(K44="""",0,K44),
IF(M44="""",0,M44),
IF(O44="""",0,O44),
IF(Q44="""",0,Q44)
})"),"")</f>
        <v/>
      </c>
      <c r="V44" s="8" t="e">
        <f t="array" aca="1" ref="V44" ca="1">IF($C$4="Giao",_xludf.Xlookup(C44,#REF!,#REF!,),_xludf.Xlookup(C44,#REF!,#REF!,))</f>
        <v>#NAME?</v>
      </c>
      <c r="W44" s="8" t="e">
        <f t="array" aca="1" ref="W44" ca="1">IF($C$4="Giao", _xludf.Xlookup(C44,#REF!,#REF!,),_xludf.Xlookup(C44,#REF!,#REF!,))</f>
        <v>#NAME?</v>
      </c>
      <c r="X44" s="9" t="e">
        <f t="shared" ca="1" si="2"/>
        <v>#NAME?</v>
      </c>
      <c r="Y44" s="7"/>
      <c r="Z44" s="7"/>
    </row>
    <row r="45" spans="1:26" ht="13" x14ac:dyDescent="0.6">
      <c r="A45" s="28" t="str">
        <f t="shared" si="1"/>
        <v/>
      </c>
      <c r="B45" s="7"/>
      <c r="C45" s="7"/>
      <c r="D45" s="9"/>
      <c r="E45" s="9"/>
      <c r="F45" s="7"/>
      <c r="G45" s="7"/>
      <c r="H45" s="7"/>
      <c r="I45" s="7"/>
      <c r="J45" s="7"/>
      <c r="K45" s="7"/>
      <c r="L45" s="7"/>
      <c r="M45" s="7"/>
      <c r="N45" s="7"/>
      <c r="O45" s="7"/>
      <c r="P45" s="29"/>
      <c r="Q45" s="29"/>
      <c r="R45" s="7"/>
      <c r="S45" s="7"/>
      <c r="T45" s="7" t="str">
        <f ca="1">IFERROR(__xludf.DUMMYFUNCTION("SPARKLINE({
IF(D45="""",0,D45),
IF(F45="""",0,F45),
IF(H45="""",0,H45),
IF(J45="""",0,J45),
IF(L45="""",0,L45),
IF(N45="""",0,N45),
IF(P45="""",0,P45)
})"),"")</f>
        <v/>
      </c>
      <c r="U45" s="7" t="str">
        <f ca="1">IFERROR(__xludf.DUMMYFUNCTION("SPARKLINE({
IF(E45="""",0,E45),
IF(G45="""",0,G45),
IF(I45="""",0,I45),
IF(K45="""",0,K45),
IF(M45="""",0,M45),
IF(O45="""",0,O45),
IF(Q45="""",0,Q45)
})"),"")</f>
        <v/>
      </c>
      <c r="V45" s="8" t="e">
        <f t="array" aca="1" ref="V45" ca="1">IF($C$4="Giao",_xludf.Xlookup(C45,#REF!,#REF!,),_xludf.Xlookup(C45,#REF!,#REF!,))</f>
        <v>#NAME?</v>
      </c>
      <c r="W45" s="8" t="e">
        <f t="array" aca="1" ref="W45" ca="1">IF($C$4="Giao", _xludf.Xlookup(C45,#REF!,#REF!,),_xludf.Xlookup(C45,#REF!,#REF!,))</f>
        <v>#NAME?</v>
      </c>
      <c r="X45" s="9" t="e">
        <f t="shared" ca="1" si="2"/>
        <v>#NAME?</v>
      </c>
      <c r="Y45" s="7"/>
      <c r="Z45" s="7"/>
    </row>
    <row r="46" spans="1:26" ht="13" x14ac:dyDescent="0.6">
      <c r="A46" s="28" t="str">
        <f t="shared" si="1"/>
        <v/>
      </c>
      <c r="B46" s="7"/>
      <c r="C46" s="7"/>
      <c r="D46" s="9"/>
      <c r="E46" s="9"/>
      <c r="F46" s="7"/>
      <c r="G46" s="7"/>
      <c r="H46" s="7"/>
      <c r="I46" s="7"/>
      <c r="J46" s="7"/>
      <c r="K46" s="7"/>
      <c r="L46" s="7"/>
      <c r="M46" s="7"/>
      <c r="N46" s="7"/>
      <c r="O46" s="7"/>
      <c r="P46" s="29"/>
      <c r="Q46" s="29"/>
      <c r="R46" s="7"/>
      <c r="S46" s="7"/>
      <c r="T46" s="7" t="str">
        <f ca="1">IFERROR(__xludf.DUMMYFUNCTION("SPARKLINE({
IF(D46="""",0,D46),
IF(F46="""",0,F46),
IF(H46="""",0,H46),
IF(J46="""",0,J46),
IF(L46="""",0,L46),
IF(N46="""",0,N46),
IF(P46="""",0,P46)
})"),"")</f>
        <v/>
      </c>
      <c r="U46" s="7" t="str">
        <f ca="1">IFERROR(__xludf.DUMMYFUNCTION("SPARKLINE({
IF(E46="""",0,E46),
IF(G46="""",0,G46),
IF(I46="""",0,I46),
IF(K46="""",0,K46),
IF(M46="""",0,M46),
IF(O46="""",0,O46),
IF(Q46="""",0,Q46)
})"),"")</f>
        <v/>
      </c>
      <c r="V46" s="8" t="e">
        <f t="array" aca="1" ref="V46" ca="1">IF($C$4="Giao",_xludf.Xlookup(C46,#REF!,#REF!,),_xludf.Xlookup(C46,#REF!,#REF!,))</f>
        <v>#NAME?</v>
      </c>
      <c r="W46" s="8" t="e">
        <f t="array" aca="1" ref="W46" ca="1">IF($C$4="Giao", _xludf.Xlookup(C46,#REF!,#REF!,),_xludf.Xlookup(C46,#REF!,#REF!,))</f>
        <v>#NAME?</v>
      </c>
      <c r="X46" s="9" t="e">
        <f t="shared" ca="1" si="2"/>
        <v>#NAME?</v>
      </c>
      <c r="Y46" s="7"/>
      <c r="Z46" s="7"/>
    </row>
    <row r="47" spans="1:26" ht="13" x14ac:dyDescent="0.6">
      <c r="A47" s="28" t="str">
        <f t="shared" si="1"/>
        <v/>
      </c>
      <c r="B47" s="7"/>
      <c r="C47" s="7"/>
      <c r="D47" s="9"/>
      <c r="E47" s="9"/>
      <c r="F47" s="7"/>
      <c r="G47" s="7"/>
      <c r="H47" s="7"/>
      <c r="I47" s="7"/>
      <c r="J47" s="7"/>
      <c r="K47" s="7"/>
      <c r="L47" s="7"/>
      <c r="M47" s="7"/>
      <c r="N47" s="7"/>
      <c r="O47" s="7"/>
      <c r="P47" s="29"/>
      <c r="Q47" s="29"/>
      <c r="R47" s="7"/>
      <c r="S47" s="7"/>
      <c r="T47" s="7" t="str">
        <f ca="1">IFERROR(__xludf.DUMMYFUNCTION("SPARKLINE({
IF(D47="""",0,D47),
IF(F47="""",0,F47),
IF(H47="""",0,H47),
IF(J47="""",0,J47),
IF(L47="""",0,L47),
IF(N47="""",0,N47),
IF(P47="""",0,P47)
})"),"")</f>
        <v/>
      </c>
      <c r="U47" s="7" t="str">
        <f ca="1">IFERROR(__xludf.DUMMYFUNCTION("SPARKLINE({
IF(E47="""",0,E47),
IF(G47="""",0,G47),
IF(I47="""",0,I47),
IF(K47="""",0,K47),
IF(M47="""",0,M47),
IF(O47="""",0,O47),
IF(Q47="""",0,Q47)
})"),"")</f>
        <v/>
      </c>
      <c r="V47" s="8" t="e">
        <f t="array" aca="1" ref="V47" ca="1">IF($C$4="Giao",_xludf.Xlookup(C47,#REF!,#REF!,),_xludf.Xlookup(C47,#REF!,#REF!,))</f>
        <v>#NAME?</v>
      </c>
      <c r="W47" s="8" t="e">
        <f t="array" aca="1" ref="W47" ca="1">IF($C$4="Giao", _xludf.Xlookup(C47,#REF!,#REF!,),_xludf.Xlookup(C47,#REF!,#REF!,))</f>
        <v>#NAME?</v>
      </c>
      <c r="X47" s="9" t="e">
        <f t="shared" ca="1" si="2"/>
        <v>#NAME?</v>
      </c>
      <c r="Y47" s="7"/>
      <c r="Z47" s="7"/>
    </row>
    <row r="48" spans="1:26" ht="13" x14ac:dyDescent="0.6">
      <c r="A48" s="28" t="str">
        <f t="shared" si="1"/>
        <v/>
      </c>
      <c r="B48" s="7"/>
      <c r="C48" s="7"/>
      <c r="D48" s="9"/>
      <c r="E48" s="9"/>
      <c r="F48" s="7"/>
      <c r="G48" s="7"/>
      <c r="H48" s="7"/>
      <c r="I48" s="7"/>
      <c r="J48" s="7"/>
      <c r="K48" s="7"/>
      <c r="L48" s="7"/>
      <c r="M48" s="7"/>
      <c r="N48" s="7"/>
      <c r="O48" s="7"/>
      <c r="P48" s="29"/>
      <c r="Q48" s="29"/>
      <c r="R48" s="7"/>
      <c r="S48" s="7"/>
      <c r="T48" s="7" t="str">
        <f ca="1">IFERROR(__xludf.DUMMYFUNCTION("SPARKLINE({
IF(D48="""",0,D48),
IF(F48="""",0,F48),
IF(H48="""",0,H48),
IF(J48="""",0,J48),
IF(L48="""",0,L48),
IF(N48="""",0,N48),
IF(P48="""",0,P48)
})"),"")</f>
        <v/>
      </c>
      <c r="U48" s="7" t="str">
        <f ca="1">IFERROR(__xludf.DUMMYFUNCTION("SPARKLINE({
IF(E48="""",0,E48),
IF(G48="""",0,G48),
IF(I48="""",0,I48),
IF(K48="""",0,K48),
IF(M48="""",0,M48),
IF(O48="""",0,O48),
IF(Q48="""",0,Q48)
})"),"")</f>
        <v/>
      </c>
      <c r="V48" s="8" t="e">
        <f t="array" aca="1" ref="V48" ca="1">IF($C$4="Giao",_xludf.Xlookup(C48,#REF!,#REF!,),_xludf.Xlookup(C48,#REF!,#REF!,))</f>
        <v>#NAME?</v>
      </c>
      <c r="W48" s="8" t="e">
        <f t="array" aca="1" ref="W48" ca="1">IF($C$4="Giao", _xludf.Xlookup(C48,#REF!,#REF!,),_xludf.Xlookup(C48,#REF!,#REF!,))</f>
        <v>#NAME?</v>
      </c>
      <c r="X48" s="9" t="e">
        <f t="shared" ca="1" si="2"/>
        <v>#NAME?</v>
      </c>
      <c r="Y48" s="7"/>
      <c r="Z48" s="7"/>
    </row>
    <row r="49" spans="1:26" ht="13" x14ac:dyDescent="0.6">
      <c r="A49" s="28" t="str">
        <f t="shared" si="1"/>
        <v/>
      </c>
      <c r="B49" s="7"/>
      <c r="C49" s="7"/>
      <c r="D49" s="9"/>
      <c r="E49" s="9"/>
      <c r="F49" s="7"/>
      <c r="G49" s="7"/>
      <c r="H49" s="7"/>
      <c r="I49" s="7"/>
      <c r="J49" s="7"/>
      <c r="K49" s="7"/>
      <c r="L49" s="7"/>
      <c r="M49" s="7"/>
      <c r="N49" s="7"/>
      <c r="O49" s="7"/>
      <c r="P49" s="29"/>
      <c r="Q49" s="29"/>
      <c r="R49" s="7"/>
      <c r="S49" s="7"/>
      <c r="T49" s="7" t="str">
        <f ca="1">IFERROR(__xludf.DUMMYFUNCTION("SPARKLINE({
IF(D49="""",0,D49),
IF(F49="""",0,F49),
IF(H49="""",0,H49),
IF(J49="""",0,J49),
IF(L49="""",0,L49),
IF(N49="""",0,N49),
IF(P49="""",0,P49)
})"),"")</f>
        <v/>
      </c>
      <c r="U49" s="7" t="str">
        <f ca="1">IFERROR(__xludf.DUMMYFUNCTION("SPARKLINE({
IF(E49="""",0,E49),
IF(G49="""",0,G49),
IF(I49="""",0,I49),
IF(K49="""",0,K49),
IF(M49="""",0,M49),
IF(O49="""",0,O49),
IF(Q49="""",0,Q49)
})"),"")</f>
        <v/>
      </c>
      <c r="V49" s="8" t="e">
        <f t="array" aca="1" ref="V49" ca="1">IF($C$4="Giao",_xludf.Xlookup(C49,#REF!,#REF!,),_xludf.Xlookup(C49,#REF!,#REF!,))</f>
        <v>#NAME?</v>
      </c>
      <c r="W49" s="8" t="e">
        <f t="array" aca="1" ref="W49" ca="1">IF($C$4="Giao", _xludf.Xlookup(C49,#REF!,#REF!,),_xludf.Xlookup(C49,#REF!,#REF!,))</f>
        <v>#NAME?</v>
      </c>
      <c r="X49" s="9" t="e">
        <f t="shared" ca="1" si="2"/>
        <v>#NAME?</v>
      </c>
      <c r="Y49" s="7"/>
      <c r="Z49" s="7"/>
    </row>
    <row r="50" spans="1:26" ht="13" x14ac:dyDescent="0.6">
      <c r="A50" s="28" t="str">
        <f t="shared" si="1"/>
        <v/>
      </c>
      <c r="B50" s="7"/>
      <c r="C50" s="7"/>
      <c r="D50" s="9"/>
      <c r="E50" s="9"/>
      <c r="F50" s="7"/>
      <c r="G50" s="7"/>
      <c r="H50" s="7"/>
      <c r="I50" s="7"/>
      <c r="J50" s="7"/>
      <c r="K50" s="7"/>
      <c r="L50" s="7"/>
      <c r="M50" s="7"/>
      <c r="N50" s="7"/>
      <c r="O50" s="7"/>
      <c r="P50" s="29"/>
      <c r="Q50" s="29"/>
      <c r="R50" s="7"/>
      <c r="S50" s="7"/>
      <c r="T50" s="7" t="str">
        <f ca="1">IFERROR(__xludf.DUMMYFUNCTION("SPARKLINE({
IF(D50="""",0,D50),
IF(F50="""",0,F50),
IF(H50="""",0,H50),
IF(J50="""",0,J50),
IF(L50="""",0,L50),
IF(N50="""",0,N50),
IF(P50="""",0,P50)
})"),"")</f>
        <v/>
      </c>
      <c r="U50" s="7" t="str">
        <f ca="1">IFERROR(__xludf.DUMMYFUNCTION("SPARKLINE({
IF(E50="""",0,E50),
IF(G50="""",0,G50),
IF(I50="""",0,I50),
IF(K50="""",0,K50),
IF(M50="""",0,M50),
IF(O50="""",0,O50),
IF(Q50="""",0,Q50)
})"),"")</f>
        <v/>
      </c>
      <c r="V50" s="8" t="e">
        <f t="array" aca="1" ref="V50" ca="1">IF($C$4="Giao",_xludf.Xlookup(C50,#REF!,#REF!,),_xludf.Xlookup(C50,#REF!,#REF!,))</f>
        <v>#NAME?</v>
      </c>
      <c r="W50" s="8" t="e">
        <f t="array" aca="1" ref="W50" ca="1">IF($C$4="Giao", _xludf.Xlookup(C50,#REF!,#REF!,),_xludf.Xlookup(C50,#REF!,#REF!,))</f>
        <v>#NAME?</v>
      </c>
      <c r="X50" s="9" t="e">
        <f t="shared" ca="1" si="2"/>
        <v>#NAME?</v>
      </c>
      <c r="Y50" s="7"/>
      <c r="Z50" s="7"/>
    </row>
    <row r="51" spans="1:26" ht="13" x14ac:dyDescent="0.6">
      <c r="A51" s="28" t="str">
        <f t="shared" si="1"/>
        <v/>
      </c>
      <c r="B51" s="7"/>
      <c r="C51" s="7"/>
      <c r="D51" s="9"/>
      <c r="E51" s="9"/>
      <c r="F51" s="7"/>
      <c r="G51" s="7"/>
      <c r="H51" s="7"/>
      <c r="I51" s="7"/>
      <c r="J51" s="7"/>
      <c r="K51" s="7"/>
      <c r="L51" s="7"/>
      <c r="M51" s="7"/>
      <c r="N51" s="7"/>
      <c r="O51" s="7"/>
      <c r="P51" s="29"/>
      <c r="Q51" s="29"/>
      <c r="R51" s="7"/>
      <c r="S51" s="7"/>
      <c r="T51" s="7" t="str">
        <f ca="1">IFERROR(__xludf.DUMMYFUNCTION("SPARKLINE({
IF(D51="""",0,D51),
IF(F51="""",0,F51),
IF(H51="""",0,H51),
IF(J51="""",0,J51),
IF(L51="""",0,L51),
IF(N51="""",0,N51),
IF(P51="""",0,P51)
})"),"")</f>
        <v/>
      </c>
      <c r="U51" s="7" t="str">
        <f ca="1">IFERROR(__xludf.DUMMYFUNCTION("SPARKLINE({
IF(E51="""",0,E51),
IF(G51="""",0,G51),
IF(I51="""",0,I51),
IF(K51="""",0,K51),
IF(M51="""",0,M51),
IF(O51="""",0,O51),
IF(Q51="""",0,Q51)
})"),"")</f>
        <v/>
      </c>
      <c r="V51" s="8" t="e">
        <f t="array" aca="1" ref="V51" ca="1">IF($C$4="Giao",_xludf.Xlookup(C51,#REF!,#REF!,),_xludf.Xlookup(C51,#REF!,#REF!,))</f>
        <v>#NAME?</v>
      </c>
      <c r="W51" s="8" t="e">
        <f t="array" aca="1" ref="W51" ca="1">IF($C$4="Giao", _xludf.Xlookup(C51,#REF!,#REF!,),_xludf.Xlookup(C51,#REF!,#REF!,))</f>
        <v>#NAME?</v>
      </c>
      <c r="X51" s="9" t="e">
        <f t="shared" ca="1" si="2"/>
        <v>#NAME?</v>
      </c>
      <c r="Y51" s="7"/>
      <c r="Z51" s="7"/>
    </row>
    <row r="52" spans="1:26" ht="13" x14ac:dyDescent="0.6">
      <c r="A52" s="28" t="str">
        <f t="shared" si="1"/>
        <v/>
      </c>
      <c r="B52" s="7"/>
      <c r="C52" s="7"/>
      <c r="D52" s="9"/>
      <c r="E52" s="9"/>
      <c r="F52" s="7"/>
      <c r="G52" s="7"/>
      <c r="H52" s="7"/>
      <c r="I52" s="7"/>
      <c r="J52" s="7"/>
      <c r="K52" s="7"/>
      <c r="L52" s="7"/>
      <c r="M52" s="7"/>
      <c r="N52" s="7"/>
      <c r="O52" s="7"/>
      <c r="P52" s="29"/>
      <c r="Q52" s="29"/>
      <c r="R52" s="7"/>
      <c r="S52" s="7"/>
      <c r="T52" s="7" t="str">
        <f ca="1">IFERROR(__xludf.DUMMYFUNCTION("SPARKLINE({
IF(D52="""",0,D52),
IF(F52="""",0,F52),
IF(H52="""",0,H52),
IF(J52="""",0,J52),
IF(L52="""",0,L52),
IF(N52="""",0,N52),
IF(P52="""",0,P52)
})"),"")</f>
        <v/>
      </c>
      <c r="U52" s="7" t="str">
        <f ca="1">IFERROR(__xludf.DUMMYFUNCTION("SPARKLINE({
IF(E52="""",0,E52),
IF(G52="""",0,G52),
IF(I52="""",0,I52),
IF(K52="""",0,K52),
IF(M52="""",0,M52),
IF(O52="""",0,O52),
IF(Q52="""",0,Q52)
})"),"")</f>
        <v/>
      </c>
      <c r="V52" s="8" t="e">
        <f t="array" aca="1" ref="V52" ca="1">IF($C$4="Giao",_xludf.Xlookup(C52,#REF!,#REF!,),_xludf.Xlookup(C52,#REF!,#REF!,))</f>
        <v>#NAME?</v>
      </c>
      <c r="W52" s="8" t="e">
        <f t="array" aca="1" ref="W52" ca="1">IF($C$4="Giao", _xludf.Xlookup(C52,#REF!,#REF!,),_xludf.Xlookup(C52,#REF!,#REF!,))</f>
        <v>#NAME?</v>
      </c>
      <c r="X52" s="9" t="e">
        <f t="shared" ca="1" si="2"/>
        <v>#NAME?</v>
      </c>
      <c r="Y52" s="7"/>
      <c r="Z52" s="7"/>
    </row>
    <row r="53" spans="1:26" ht="13" x14ac:dyDescent="0.6">
      <c r="A53" s="28" t="str">
        <f t="shared" si="1"/>
        <v/>
      </c>
      <c r="B53" s="7"/>
      <c r="C53" s="7"/>
      <c r="D53" s="9"/>
      <c r="E53" s="9"/>
      <c r="F53" s="7"/>
      <c r="G53" s="7"/>
      <c r="H53" s="7"/>
      <c r="I53" s="7"/>
      <c r="J53" s="7"/>
      <c r="K53" s="7"/>
      <c r="L53" s="7"/>
      <c r="M53" s="7"/>
      <c r="N53" s="7"/>
      <c r="O53" s="7"/>
      <c r="P53" s="29"/>
      <c r="Q53" s="29"/>
      <c r="R53" s="7"/>
      <c r="S53" s="7"/>
      <c r="T53" s="7" t="str">
        <f ca="1">IFERROR(__xludf.DUMMYFUNCTION("SPARKLINE({
IF(D53="""",0,D53),
IF(F53="""",0,F53),
IF(H53="""",0,H53),
IF(J53="""",0,J53),
IF(L53="""",0,L53),
IF(N53="""",0,N53),
IF(P53="""",0,P53)
})"),"")</f>
        <v/>
      </c>
      <c r="U53" s="7" t="str">
        <f ca="1">IFERROR(__xludf.DUMMYFUNCTION("SPARKLINE({
IF(E53="""",0,E53),
IF(G53="""",0,G53),
IF(I53="""",0,I53),
IF(K53="""",0,K53),
IF(M53="""",0,M53),
IF(O53="""",0,O53),
IF(Q53="""",0,Q53)
})"),"")</f>
        <v/>
      </c>
      <c r="V53" s="8" t="e">
        <f t="array" aca="1" ref="V53" ca="1">IF($C$4="Giao",_xludf.Xlookup(C53,#REF!,#REF!,),_xludf.Xlookup(C53,#REF!,#REF!,))</f>
        <v>#NAME?</v>
      </c>
      <c r="W53" s="8" t="e">
        <f t="array" aca="1" ref="W53" ca="1">IF($C$4="Giao", _xludf.Xlookup(C53,#REF!,#REF!,),_xludf.Xlookup(C53,#REF!,#REF!,))</f>
        <v>#NAME?</v>
      </c>
      <c r="X53" s="9" t="e">
        <f t="shared" ca="1" si="2"/>
        <v>#NAME?</v>
      </c>
      <c r="Y53" s="7"/>
      <c r="Z53" s="7"/>
    </row>
    <row r="54" spans="1:26" ht="13" x14ac:dyDescent="0.6">
      <c r="A54" s="28" t="str">
        <f t="shared" si="1"/>
        <v/>
      </c>
      <c r="B54" s="7"/>
      <c r="C54" s="7"/>
      <c r="D54" s="9"/>
      <c r="E54" s="9"/>
      <c r="F54" s="7"/>
      <c r="G54" s="7"/>
      <c r="H54" s="7"/>
      <c r="I54" s="7"/>
      <c r="J54" s="7"/>
      <c r="K54" s="7"/>
      <c r="L54" s="7"/>
      <c r="M54" s="7"/>
      <c r="N54" s="7"/>
      <c r="O54" s="7"/>
      <c r="P54" s="29"/>
      <c r="Q54" s="29"/>
      <c r="R54" s="7"/>
      <c r="S54" s="7"/>
      <c r="T54" s="7" t="str">
        <f ca="1">IFERROR(__xludf.DUMMYFUNCTION("SPARKLINE({
IF(D54="""",0,D54),
IF(F54="""",0,F54),
IF(H54="""",0,H54),
IF(J54="""",0,J54),
IF(L54="""",0,L54),
IF(N54="""",0,N54),
IF(P54="""",0,P54)
})"),"")</f>
        <v/>
      </c>
      <c r="U54" s="7" t="str">
        <f ca="1">IFERROR(__xludf.DUMMYFUNCTION("SPARKLINE({
IF(E54="""",0,E54),
IF(G54="""",0,G54),
IF(I54="""",0,I54),
IF(K54="""",0,K54),
IF(M54="""",0,M54),
IF(O54="""",0,O54),
IF(Q54="""",0,Q54)
})"),"")</f>
        <v/>
      </c>
      <c r="V54" s="8" t="e">
        <f t="array" aca="1" ref="V54" ca="1">IF($C$4="Giao",_xludf.Xlookup(C54,#REF!,#REF!,),_xludf.Xlookup(C54,#REF!,#REF!,))</f>
        <v>#NAME?</v>
      </c>
      <c r="W54" s="8" t="e">
        <f t="array" aca="1" ref="W54" ca="1">IF($C$4="Giao", _xludf.Xlookup(C54,#REF!,#REF!,),_xludf.Xlookup(C54,#REF!,#REF!,))</f>
        <v>#NAME?</v>
      </c>
      <c r="X54" s="9" t="e">
        <f t="shared" ca="1" si="2"/>
        <v>#NAME?</v>
      </c>
      <c r="Y54" s="7"/>
      <c r="Z54" s="7"/>
    </row>
    <row r="55" spans="1:26" ht="13" x14ac:dyDescent="0.6">
      <c r="A55" s="28" t="str">
        <f t="shared" si="1"/>
        <v/>
      </c>
      <c r="B55" s="7"/>
      <c r="C55" s="7"/>
      <c r="D55" s="9"/>
      <c r="E55" s="9"/>
      <c r="F55" s="7"/>
      <c r="G55" s="7"/>
      <c r="H55" s="7"/>
      <c r="I55" s="7"/>
      <c r="J55" s="7"/>
      <c r="K55" s="7"/>
      <c r="L55" s="7"/>
      <c r="M55" s="7"/>
      <c r="N55" s="7"/>
      <c r="O55" s="7"/>
      <c r="P55" s="29"/>
      <c r="Q55" s="29"/>
      <c r="R55" s="7"/>
      <c r="S55" s="7"/>
      <c r="T55" s="7" t="str">
        <f ca="1">IFERROR(__xludf.DUMMYFUNCTION("SPARKLINE({
IF(D55="""",0,D55),
IF(F55="""",0,F55),
IF(H55="""",0,H55),
IF(J55="""",0,J55),
IF(L55="""",0,L55),
IF(N55="""",0,N55),
IF(P55="""",0,P55)
})"),"")</f>
        <v/>
      </c>
      <c r="U55" s="7" t="str">
        <f ca="1">IFERROR(__xludf.DUMMYFUNCTION("SPARKLINE({
IF(E55="""",0,E55),
IF(G55="""",0,G55),
IF(I55="""",0,I55),
IF(K55="""",0,K55),
IF(M55="""",0,M55),
IF(O55="""",0,O55),
IF(Q55="""",0,Q55)
})"),"")</f>
        <v/>
      </c>
      <c r="V55" s="8" t="e">
        <f t="array" aca="1" ref="V55" ca="1">IF($C$4="Giao",_xludf.Xlookup(C55,#REF!,#REF!,),_xludf.Xlookup(C55,#REF!,#REF!,))</f>
        <v>#NAME?</v>
      </c>
      <c r="W55" s="8" t="e">
        <f t="array" aca="1" ref="W55" ca="1">IF($C$4="Giao", _xludf.Xlookup(C55,#REF!,#REF!,),_xludf.Xlookup(C55,#REF!,#REF!,))</f>
        <v>#NAME?</v>
      </c>
      <c r="X55" s="9" t="e">
        <f t="shared" ca="1" si="2"/>
        <v>#NAME?</v>
      </c>
      <c r="Y55" s="7"/>
      <c r="Z55" s="7"/>
    </row>
    <row r="56" spans="1:26" ht="13" x14ac:dyDescent="0.6">
      <c r="A56" s="28" t="str">
        <f t="shared" si="1"/>
        <v/>
      </c>
      <c r="B56" s="7"/>
      <c r="C56" s="7"/>
      <c r="D56" s="9"/>
      <c r="E56" s="9"/>
      <c r="F56" s="7"/>
      <c r="G56" s="7"/>
      <c r="H56" s="7"/>
      <c r="I56" s="7"/>
      <c r="J56" s="7"/>
      <c r="K56" s="7"/>
      <c r="L56" s="7"/>
      <c r="M56" s="7"/>
      <c r="N56" s="7"/>
      <c r="O56" s="7"/>
      <c r="P56" s="29"/>
      <c r="Q56" s="29"/>
      <c r="R56" s="7"/>
      <c r="S56" s="7"/>
      <c r="T56" s="7" t="str">
        <f ca="1">IFERROR(__xludf.DUMMYFUNCTION("SPARKLINE({
IF(D56="""",0,D56),
IF(F56="""",0,F56),
IF(H56="""",0,H56),
IF(J56="""",0,J56),
IF(L56="""",0,L56),
IF(N56="""",0,N56),
IF(P56="""",0,P56)
})"),"")</f>
        <v/>
      </c>
      <c r="U56" s="7" t="str">
        <f ca="1">IFERROR(__xludf.DUMMYFUNCTION("SPARKLINE({
IF(E56="""",0,E56),
IF(G56="""",0,G56),
IF(I56="""",0,I56),
IF(K56="""",0,K56),
IF(M56="""",0,M56),
IF(O56="""",0,O56),
IF(Q56="""",0,Q56)
})"),"")</f>
        <v/>
      </c>
      <c r="V56" s="8" t="e">
        <f t="array" aca="1" ref="V56" ca="1">IF($C$4="Giao",_xludf.Xlookup(C56,#REF!,#REF!,),_xludf.Xlookup(C56,#REF!,#REF!,))</f>
        <v>#NAME?</v>
      </c>
      <c r="W56" s="8" t="e">
        <f t="array" aca="1" ref="W56" ca="1">IF($C$4="Giao", _xludf.Xlookup(C56,#REF!,#REF!,),_xludf.Xlookup(C56,#REF!,#REF!,))</f>
        <v>#NAME?</v>
      </c>
      <c r="X56" s="9" t="e">
        <f t="shared" ca="1" si="2"/>
        <v>#NAME?</v>
      </c>
      <c r="Y56" s="7"/>
      <c r="Z56" s="7"/>
    </row>
    <row r="57" spans="1:26" ht="13" x14ac:dyDescent="0.6">
      <c r="A57" s="28" t="str">
        <f t="shared" si="1"/>
        <v/>
      </c>
      <c r="B57" s="7"/>
      <c r="C57" s="7"/>
      <c r="D57" s="9"/>
      <c r="E57" s="9"/>
      <c r="F57" s="7"/>
      <c r="G57" s="7"/>
      <c r="H57" s="7"/>
      <c r="I57" s="7"/>
      <c r="J57" s="7"/>
      <c r="K57" s="7"/>
      <c r="L57" s="7"/>
      <c r="M57" s="7"/>
      <c r="N57" s="7"/>
      <c r="O57" s="7"/>
      <c r="P57" s="29"/>
      <c r="Q57" s="29"/>
      <c r="R57" s="7"/>
      <c r="S57" s="7"/>
      <c r="T57" s="7" t="str">
        <f ca="1">IFERROR(__xludf.DUMMYFUNCTION("SPARKLINE({
IF(D57="""",0,D57),
IF(F57="""",0,F57),
IF(H57="""",0,H57),
IF(J57="""",0,J57),
IF(L57="""",0,L57),
IF(N57="""",0,N57),
IF(P57="""",0,P57)
})"),"")</f>
        <v/>
      </c>
      <c r="U57" s="7" t="str">
        <f ca="1">IFERROR(__xludf.DUMMYFUNCTION("SPARKLINE({
IF(E57="""",0,E57),
IF(G57="""",0,G57),
IF(I57="""",0,I57),
IF(K57="""",0,K57),
IF(M57="""",0,M57),
IF(O57="""",0,O57),
IF(Q57="""",0,Q57)
})"),"")</f>
        <v/>
      </c>
      <c r="V57" s="8" t="e">
        <f t="array" aca="1" ref="V57" ca="1">IF($C$4="Giao",_xludf.Xlookup(C57,#REF!,#REF!,),_xludf.Xlookup(C57,#REF!,#REF!,))</f>
        <v>#NAME?</v>
      </c>
      <c r="W57" s="8" t="e">
        <f t="array" aca="1" ref="W57" ca="1">IF($C$4="Giao", _xludf.Xlookup(C57,#REF!,#REF!,),_xludf.Xlookup(C57,#REF!,#REF!,))</f>
        <v>#NAME?</v>
      </c>
      <c r="X57" s="9" t="e">
        <f t="shared" ca="1" si="2"/>
        <v>#NAME?</v>
      </c>
      <c r="Y57" s="7"/>
      <c r="Z57" s="7"/>
    </row>
    <row r="58" spans="1:26" ht="13" x14ac:dyDescent="0.6">
      <c r="A58" s="28" t="str">
        <f t="shared" si="1"/>
        <v/>
      </c>
      <c r="B58" s="7"/>
      <c r="C58" s="7"/>
      <c r="D58" s="9"/>
      <c r="E58" s="9"/>
      <c r="F58" s="7"/>
      <c r="G58" s="7"/>
      <c r="H58" s="7"/>
      <c r="I58" s="7"/>
      <c r="J58" s="7"/>
      <c r="K58" s="7"/>
      <c r="L58" s="7"/>
      <c r="M58" s="7"/>
      <c r="N58" s="7"/>
      <c r="O58" s="7"/>
      <c r="P58" s="29"/>
      <c r="Q58" s="29"/>
      <c r="R58" s="7"/>
      <c r="S58" s="7"/>
      <c r="T58" s="7" t="str">
        <f ca="1">IFERROR(__xludf.DUMMYFUNCTION("SPARKLINE({
IF(D58="""",0,D58),
IF(F58="""",0,F58),
IF(H58="""",0,H58),
IF(J58="""",0,J58),
IF(L58="""",0,L58),
IF(N58="""",0,N58),
IF(P58="""",0,P58)
})"),"")</f>
        <v/>
      </c>
      <c r="U58" s="7" t="str">
        <f ca="1">IFERROR(__xludf.DUMMYFUNCTION("SPARKLINE({
IF(E58="""",0,E58),
IF(G58="""",0,G58),
IF(I58="""",0,I58),
IF(K58="""",0,K58),
IF(M58="""",0,M58),
IF(O58="""",0,O58),
IF(Q58="""",0,Q58)
})"),"")</f>
        <v/>
      </c>
      <c r="V58" s="8" t="e">
        <f t="array" aca="1" ref="V58" ca="1">IF($C$4="Giao",_xludf.Xlookup(C58,#REF!,#REF!,),_xludf.Xlookup(C58,#REF!,#REF!,))</f>
        <v>#NAME?</v>
      </c>
      <c r="W58" s="8" t="e">
        <f t="array" aca="1" ref="W58" ca="1">IF($C$4="Giao", _xludf.Xlookup(C58,#REF!,#REF!,),_xludf.Xlookup(C58,#REF!,#REF!,))</f>
        <v>#NAME?</v>
      </c>
      <c r="X58" s="9" t="e">
        <f t="shared" ca="1" si="2"/>
        <v>#NAME?</v>
      </c>
      <c r="Y58" s="7"/>
      <c r="Z58" s="7"/>
    </row>
    <row r="59" spans="1:26" ht="13" x14ac:dyDescent="0.6">
      <c r="A59" s="28" t="str">
        <f t="shared" si="1"/>
        <v/>
      </c>
      <c r="B59" s="7"/>
      <c r="C59" s="7"/>
      <c r="D59" s="9"/>
      <c r="E59" s="9"/>
      <c r="F59" s="7"/>
      <c r="G59" s="7"/>
      <c r="H59" s="7"/>
      <c r="I59" s="7"/>
      <c r="J59" s="7"/>
      <c r="K59" s="7"/>
      <c r="L59" s="7"/>
      <c r="M59" s="7"/>
      <c r="N59" s="7"/>
      <c r="O59" s="7"/>
      <c r="P59" s="29"/>
      <c r="Q59" s="29"/>
      <c r="R59" s="7"/>
      <c r="S59" s="7"/>
      <c r="T59" s="7" t="str">
        <f ca="1">IFERROR(__xludf.DUMMYFUNCTION("SPARKLINE({
IF(D59="""",0,D59),
IF(F59="""",0,F59),
IF(H59="""",0,H59),
IF(J59="""",0,J59),
IF(L59="""",0,L59),
IF(N59="""",0,N59),
IF(P59="""",0,P59)
})"),"")</f>
        <v/>
      </c>
      <c r="U59" s="7" t="str">
        <f ca="1">IFERROR(__xludf.DUMMYFUNCTION("SPARKLINE({
IF(E59="""",0,E59),
IF(G59="""",0,G59),
IF(I59="""",0,I59),
IF(K59="""",0,K59),
IF(M59="""",0,M59),
IF(O59="""",0,O59),
IF(Q59="""",0,Q59)
})"),"")</f>
        <v/>
      </c>
      <c r="V59" s="8" t="e">
        <f t="array" aca="1" ref="V59" ca="1">IF($C$4="Giao",_xludf.Xlookup(C59,#REF!,#REF!,),_xludf.Xlookup(C59,#REF!,#REF!,))</f>
        <v>#NAME?</v>
      </c>
      <c r="W59" s="8" t="e">
        <f t="array" aca="1" ref="W59" ca="1">IF($C$4="Giao", _xludf.Xlookup(C59,#REF!,#REF!,),_xludf.Xlookup(C59,#REF!,#REF!,))</f>
        <v>#NAME?</v>
      </c>
      <c r="X59" s="9" t="e">
        <f t="shared" ca="1" si="2"/>
        <v>#NAME?</v>
      </c>
      <c r="Y59" s="7"/>
      <c r="Z59" s="7"/>
    </row>
    <row r="60" spans="1:26" ht="13" x14ac:dyDescent="0.6">
      <c r="A60" s="28" t="str">
        <f t="shared" si="1"/>
        <v/>
      </c>
      <c r="B60" s="7"/>
      <c r="C60" s="7"/>
      <c r="D60" s="9"/>
      <c r="E60" s="9"/>
      <c r="F60" s="7"/>
      <c r="G60" s="7"/>
      <c r="H60" s="7"/>
      <c r="I60" s="7"/>
      <c r="J60" s="7"/>
      <c r="K60" s="7"/>
      <c r="L60" s="7"/>
      <c r="M60" s="7"/>
      <c r="N60" s="7"/>
      <c r="O60" s="7"/>
      <c r="P60" s="29"/>
      <c r="Q60" s="29"/>
      <c r="R60" s="7"/>
      <c r="S60" s="7"/>
      <c r="T60" s="7" t="str">
        <f ca="1">IFERROR(__xludf.DUMMYFUNCTION("SPARKLINE({
IF(D60="""",0,D60),
IF(F60="""",0,F60),
IF(H60="""",0,H60),
IF(J60="""",0,J60),
IF(L60="""",0,L60),
IF(N60="""",0,N60),
IF(P60="""",0,P60)
})"),"")</f>
        <v/>
      </c>
      <c r="U60" s="7" t="str">
        <f ca="1">IFERROR(__xludf.DUMMYFUNCTION("SPARKLINE({
IF(E60="""",0,E60),
IF(G60="""",0,G60),
IF(I60="""",0,I60),
IF(K60="""",0,K60),
IF(M60="""",0,M60),
IF(O60="""",0,O60),
IF(Q60="""",0,Q60)
})"),"")</f>
        <v/>
      </c>
      <c r="V60" s="8" t="e">
        <f t="array" aca="1" ref="V60" ca="1">IF($C$4="Giao",_xludf.Xlookup(C60,#REF!,#REF!,),_xludf.Xlookup(C60,#REF!,#REF!,))</f>
        <v>#NAME?</v>
      </c>
      <c r="W60" s="8" t="e">
        <f t="array" aca="1" ref="W60" ca="1">IF($C$4="Giao", _xludf.Xlookup(C60,#REF!,#REF!,),_xludf.Xlookup(C60,#REF!,#REF!,))</f>
        <v>#NAME?</v>
      </c>
      <c r="X60" s="9" t="e">
        <f t="shared" ca="1" si="2"/>
        <v>#NAME?</v>
      </c>
      <c r="Y60" s="7"/>
      <c r="Z60" s="7"/>
    </row>
    <row r="61" spans="1:26" ht="13" x14ac:dyDescent="0.6">
      <c r="A61" s="28" t="str">
        <f t="shared" si="1"/>
        <v/>
      </c>
      <c r="B61" s="7"/>
      <c r="C61" s="7"/>
      <c r="D61" s="9"/>
      <c r="E61" s="9"/>
      <c r="F61" s="7"/>
      <c r="G61" s="7"/>
      <c r="H61" s="7"/>
      <c r="I61" s="7"/>
      <c r="J61" s="7"/>
      <c r="K61" s="7"/>
      <c r="L61" s="7"/>
      <c r="M61" s="7"/>
      <c r="N61" s="7"/>
      <c r="O61" s="7"/>
      <c r="P61" s="29"/>
      <c r="Q61" s="29"/>
      <c r="R61" s="7"/>
      <c r="S61" s="7"/>
      <c r="T61" s="7" t="str">
        <f ca="1">IFERROR(__xludf.DUMMYFUNCTION("SPARKLINE({
IF(D61="""",0,D61),
IF(F61="""",0,F61),
IF(H61="""",0,H61),
IF(J61="""",0,J61),
IF(L61="""",0,L61),
IF(N61="""",0,N61),
IF(P61="""",0,P61)
})"),"")</f>
        <v/>
      </c>
      <c r="U61" s="7" t="str">
        <f ca="1">IFERROR(__xludf.DUMMYFUNCTION("SPARKLINE({
IF(E61="""",0,E61),
IF(G61="""",0,G61),
IF(I61="""",0,I61),
IF(K61="""",0,K61),
IF(M61="""",0,M61),
IF(O61="""",0,O61),
IF(Q61="""",0,Q61)
})"),"")</f>
        <v/>
      </c>
      <c r="V61" s="8" t="e">
        <f t="array" aca="1" ref="V61" ca="1">IF($C$4="Giao",_xludf.Xlookup(C61,#REF!,#REF!,),_xludf.Xlookup(C61,#REF!,#REF!,))</f>
        <v>#NAME?</v>
      </c>
      <c r="W61" s="8" t="e">
        <f t="array" aca="1" ref="W61" ca="1">IF($C$4="Giao", _xludf.Xlookup(C61,#REF!,#REF!,),_xludf.Xlookup(C61,#REF!,#REF!,))</f>
        <v>#NAME?</v>
      </c>
      <c r="X61" s="9" t="e">
        <f t="shared" ca="1" si="2"/>
        <v>#NAME?</v>
      </c>
      <c r="Y61" s="7"/>
      <c r="Z61" s="7"/>
    </row>
    <row r="62" spans="1:26" ht="13" x14ac:dyDescent="0.6">
      <c r="A62" s="28" t="str">
        <f t="shared" si="1"/>
        <v/>
      </c>
      <c r="B62" s="7"/>
      <c r="C62" s="7"/>
      <c r="D62" s="9"/>
      <c r="E62" s="9"/>
      <c r="F62" s="7"/>
      <c r="G62" s="7"/>
      <c r="H62" s="7"/>
      <c r="I62" s="7"/>
      <c r="J62" s="7"/>
      <c r="K62" s="7"/>
      <c r="L62" s="7"/>
      <c r="M62" s="7"/>
      <c r="N62" s="7"/>
      <c r="O62" s="7"/>
      <c r="P62" s="29"/>
      <c r="Q62" s="29"/>
      <c r="R62" s="7"/>
      <c r="S62" s="7"/>
      <c r="T62" s="7" t="str">
        <f ca="1">IFERROR(__xludf.DUMMYFUNCTION("SPARKLINE({
IF(D62="""",0,D62),
IF(F62="""",0,F62),
IF(H62="""",0,H62),
IF(J62="""",0,J62),
IF(L62="""",0,L62),
IF(N62="""",0,N62),
IF(P62="""",0,P62)
})"),"")</f>
        <v/>
      </c>
      <c r="U62" s="7" t="str">
        <f ca="1">IFERROR(__xludf.DUMMYFUNCTION("SPARKLINE({
IF(E62="""",0,E62),
IF(G62="""",0,G62),
IF(I62="""",0,I62),
IF(K62="""",0,K62),
IF(M62="""",0,M62),
IF(O62="""",0,O62),
IF(Q62="""",0,Q62)
})"),"")</f>
        <v/>
      </c>
      <c r="V62" s="8" t="e">
        <f t="array" aca="1" ref="V62" ca="1">IF($C$4="Giao",_xludf.Xlookup(C62,#REF!,#REF!,),_xludf.Xlookup(C62,#REF!,#REF!,))</f>
        <v>#NAME?</v>
      </c>
      <c r="W62" s="8" t="e">
        <f t="array" aca="1" ref="W62" ca="1">IF($C$4="Giao", _xludf.Xlookup(C62,#REF!,#REF!,),_xludf.Xlookup(C62,#REF!,#REF!,))</f>
        <v>#NAME?</v>
      </c>
      <c r="X62" s="9" t="e">
        <f t="shared" ca="1" si="2"/>
        <v>#NAME?</v>
      </c>
      <c r="Y62" s="7"/>
      <c r="Z62" s="7"/>
    </row>
    <row r="63" spans="1:26" ht="13" x14ac:dyDescent="0.6">
      <c r="A63" s="28" t="str">
        <f t="shared" si="1"/>
        <v/>
      </c>
      <c r="B63" s="7"/>
      <c r="C63" s="7"/>
      <c r="D63" s="9"/>
      <c r="E63" s="9"/>
      <c r="F63" s="7"/>
      <c r="G63" s="7"/>
      <c r="H63" s="7"/>
      <c r="I63" s="7"/>
      <c r="J63" s="7"/>
      <c r="K63" s="7"/>
      <c r="L63" s="7"/>
      <c r="M63" s="7"/>
      <c r="N63" s="7"/>
      <c r="O63" s="7"/>
      <c r="P63" s="29"/>
      <c r="Q63" s="29"/>
      <c r="R63" s="7"/>
      <c r="S63" s="7"/>
      <c r="T63" s="7" t="str">
        <f ca="1">IFERROR(__xludf.DUMMYFUNCTION("SPARKLINE({
IF(D63="""",0,D63),
IF(F63="""",0,F63),
IF(H63="""",0,H63),
IF(J63="""",0,J63),
IF(L63="""",0,L63),
IF(N63="""",0,N63),
IF(P63="""",0,P63)
})"),"")</f>
        <v/>
      </c>
      <c r="U63" s="7" t="str">
        <f ca="1">IFERROR(__xludf.DUMMYFUNCTION("SPARKLINE({
IF(E63="""",0,E63),
IF(G63="""",0,G63),
IF(I63="""",0,I63),
IF(K63="""",0,K63),
IF(M63="""",0,M63),
IF(O63="""",0,O63),
IF(Q63="""",0,Q63)
})"),"")</f>
        <v/>
      </c>
      <c r="V63" s="8" t="e">
        <f t="array" aca="1" ref="V63" ca="1">IF($C$4="Giao",_xludf.Xlookup(C63,#REF!,#REF!,),_xludf.Xlookup(C63,#REF!,#REF!,))</f>
        <v>#NAME?</v>
      </c>
      <c r="W63" s="8" t="e">
        <f t="array" aca="1" ref="W63" ca="1">IF($C$4="Giao", _xludf.Xlookup(C63,#REF!,#REF!,),_xludf.Xlookup(C63,#REF!,#REF!,))</f>
        <v>#NAME?</v>
      </c>
      <c r="X63" s="9" t="e">
        <f t="shared" ca="1" si="2"/>
        <v>#NAME?</v>
      </c>
      <c r="Y63" s="7"/>
      <c r="Z63" s="7"/>
    </row>
    <row r="64" spans="1:26" ht="13" x14ac:dyDescent="0.6">
      <c r="A64" s="28" t="str">
        <f t="shared" si="1"/>
        <v/>
      </c>
      <c r="B64" s="7"/>
      <c r="C64" s="7"/>
      <c r="D64" s="9"/>
      <c r="E64" s="9"/>
      <c r="F64" s="7"/>
      <c r="G64" s="7"/>
      <c r="H64" s="7"/>
      <c r="I64" s="7"/>
      <c r="J64" s="7"/>
      <c r="K64" s="7"/>
      <c r="L64" s="7"/>
      <c r="M64" s="7"/>
      <c r="N64" s="7"/>
      <c r="O64" s="7"/>
      <c r="P64" s="29"/>
      <c r="Q64" s="29"/>
      <c r="R64" s="7"/>
      <c r="S64" s="7"/>
      <c r="T64" s="7" t="str">
        <f ca="1">IFERROR(__xludf.DUMMYFUNCTION("SPARKLINE({
IF(D64="""",0,D64),
IF(F64="""",0,F64),
IF(H64="""",0,H64),
IF(J64="""",0,J64),
IF(L64="""",0,L64),
IF(N64="""",0,N64),
IF(P64="""",0,P64)
})"),"")</f>
        <v/>
      </c>
      <c r="U64" s="7" t="str">
        <f ca="1">IFERROR(__xludf.DUMMYFUNCTION("SPARKLINE({
IF(E64="""",0,E64),
IF(G64="""",0,G64),
IF(I64="""",0,I64),
IF(K64="""",0,K64),
IF(M64="""",0,M64),
IF(O64="""",0,O64),
IF(Q64="""",0,Q64)
})"),"")</f>
        <v/>
      </c>
      <c r="V64" s="8" t="e">
        <f t="array" aca="1" ref="V64" ca="1">IF($C$4="Giao",_xludf.Xlookup(C64,#REF!,#REF!,),_xludf.Xlookup(C64,#REF!,#REF!,))</f>
        <v>#NAME?</v>
      </c>
      <c r="W64" s="8" t="e">
        <f t="array" aca="1" ref="W64" ca="1">IF($C$4="Giao", _xludf.Xlookup(C64,#REF!,#REF!,),_xludf.Xlookup(C64,#REF!,#REF!,))</f>
        <v>#NAME?</v>
      </c>
      <c r="X64" s="9" t="e">
        <f t="shared" ca="1" si="2"/>
        <v>#NAME?</v>
      </c>
      <c r="Y64" s="7"/>
      <c r="Z64" s="7"/>
    </row>
    <row r="65" spans="1:26" ht="13" x14ac:dyDescent="0.6">
      <c r="A65" s="28" t="str">
        <f t="shared" si="1"/>
        <v/>
      </c>
      <c r="B65" s="7"/>
      <c r="C65" s="7"/>
      <c r="D65" s="9"/>
      <c r="E65" s="9"/>
      <c r="F65" s="7"/>
      <c r="G65" s="7"/>
      <c r="H65" s="7"/>
      <c r="I65" s="7"/>
      <c r="J65" s="7"/>
      <c r="K65" s="7"/>
      <c r="L65" s="7"/>
      <c r="M65" s="7"/>
      <c r="N65" s="7"/>
      <c r="O65" s="7"/>
      <c r="P65" s="29"/>
      <c r="Q65" s="29"/>
      <c r="R65" s="7"/>
      <c r="S65" s="7"/>
      <c r="T65" s="7" t="str">
        <f ca="1">IFERROR(__xludf.DUMMYFUNCTION("SPARKLINE({
IF(D65="""",0,D65),
IF(F65="""",0,F65),
IF(H65="""",0,H65),
IF(J65="""",0,J65),
IF(L65="""",0,L65),
IF(N65="""",0,N65),
IF(P65="""",0,P65)
})"),"")</f>
        <v/>
      </c>
      <c r="U65" s="7" t="str">
        <f ca="1">IFERROR(__xludf.DUMMYFUNCTION("SPARKLINE({
IF(E65="""",0,E65),
IF(G65="""",0,G65),
IF(I65="""",0,I65),
IF(K65="""",0,K65),
IF(M65="""",0,M65),
IF(O65="""",0,O65),
IF(Q65="""",0,Q65)
})"),"")</f>
        <v/>
      </c>
      <c r="V65" s="8" t="e">
        <f t="array" aca="1" ref="V65" ca="1">IF($C$4="Giao",_xludf.Xlookup(C65,#REF!,#REF!,),_xludf.Xlookup(C65,#REF!,#REF!,))</f>
        <v>#NAME?</v>
      </c>
      <c r="W65" s="8" t="e">
        <f t="array" aca="1" ref="W65" ca="1">IF($C$4="Giao", _xludf.Xlookup(C65,#REF!,#REF!,),_xludf.Xlookup(C65,#REF!,#REF!,))</f>
        <v>#NAME?</v>
      </c>
      <c r="X65" s="9" t="e">
        <f t="shared" ca="1" si="2"/>
        <v>#NAME?</v>
      </c>
      <c r="Y65" s="7"/>
      <c r="Z65" s="7"/>
    </row>
    <row r="66" spans="1:26" ht="13" x14ac:dyDescent="0.6">
      <c r="A66" s="28" t="str">
        <f t="shared" si="1"/>
        <v/>
      </c>
      <c r="B66" s="7"/>
      <c r="C66" s="7"/>
      <c r="D66" s="9"/>
      <c r="E66" s="9"/>
      <c r="F66" s="7"/>
      <c r="G66" s="7"/>
      <c r="H66" s="7"/>
      <c r="I66" s="7"/>
      <c r="J66" s="7"/>
      <c r="K66" s="7"/>
      <c r="L66" s="7"/>
      <c r="M66" s="7"/>
      <c r="N66" s="7"/>
      <c r="O66" s="7"/>
      <c r="P66" s="29"/>
      <c r="Q66" s="29"/>
      <c r="R66" s="7"/>
      <c r="S66" s="7"/>
      <c r="T66" s="7" t="str">
        <f ca="1">IFERROR(__xludf.DUMMYFUNCTION("SPARKLINE({
IF(D66="""",0,D66),
IF(F66="""",0,F66),
IF(H66="""",0,H66),
IF(J66="""",0,J66),
IF(L66="""",0,L66),
IF(N66="""",0,N66),
IF(P66="""",0,P66)
})"),"")</f>
        <v/>
      </c>
      <c r="U66" s="7" t="str">
        <f ca="1">IFERROR(__xludf.DUMMYFUNCTION("SPARKLINE({
IF(E66="""",0,E66),
IF(G66="""",0,G66),
IF(I66="""",0,I66),
IF(K66="""",0,K66),
IF(M66="""",0,M66),
IF(O66="""",0,O66),
IF(Q66="""",0,Q66)
})"),"")</f>
        <v/>
      </c>
      <c r="V66" s="8" t="e">
        <f t="array" aca="1" ref="V66" ca="1">IF($C$4="Giao",_xludf.Xlookup(C66,#REF!,#REF!,),_xludf.Xlookup(C66,#REF!,#REF!,))</f>
        <v>#NAME?</v>
      </c>
      <c r="W66" s="8" t="e">
        <f t="array" aca="1" ref="W66" ca="1">IF($C$4="Giao", _xludf.Xlookup(C66,#REF!,#REF!,),_xludf.Xlookup(C66,#REF!,#REF!,))</f>
        <v>#NAME?</v>
      </c>
      <c r="X66" s="9" t="e">
        <f t="shared" ca="1" si="2"/>
        <v>#NAME?</v>
      </c>
      <c r="Y66" s="7"/>
      <c r="Z66" s="7"/>
    </row>
    <row r="67" spans="1:26" ht="13" x14ac:dyDescent="0.6">
      <c r="A67" s="28" t="str">
        <f t="shared" si="1"/>
        <v/>
      </c>
      <c r="B67" s="7"/>
      <c r="C67" s="7"/>
      <c r="D67" s="9"/>
      <c r="E67" s="9"/>
      <c r="F67" s="7"/>
      <c r="G67" s="7"/>
      <c r="H67" s="7"/>
      <c r="I67" s="7"/>
      <c r="J67" s="7"/>
      <c r="K67" s="7"/>
      <c r="L67" s="7"/>
      <c r="M67" s="7"/>
      <c r="N67" s="7"/>
      <c r="O67" s="7"/>
      <c r="P67" s="29"/>
      <c r="Q67" s="29"/>
      <c r="R67" s="7"/>
      <c r="S67" s="7"/>
      <c r="T67" s="7" t="str">
        <f ca="1">IFERROR(__xludf.DUMMYFUNCTION("SPARKLINE({
IF(D67="""",0,D67),
IF(F67="""",0,F67),
IF(H67="""",0,H67),
IF(J67="""",0,J67),
IF(L67="""",0,L67),
IF(N67="""",0,N67),
IF(P67="""",0,P67)
})"),"")</f>
        <v/>
      </c>
      <c r="U67" s="7" t="str">
        <f ca="1">IFERROR(__xludf.DUMMYFUNCTION("SPARKLINE({
IF(E67="""",0,E67),
IF(G67="""",0,G67),
IF(I67="""",0,I67),
IF(K67="""",0,K67),
IF(M67="""",0,M67),
IF(O67="""",0,O67),
IF(Q67="""",0,Q67)
})"),"")</f>
        <v/>
      </c>
      <c r="V67" s="8" t="e">
        <f t="array" aca="1" ref="V67" ca="1">IF($C$4="Giao",_xludf.Xlookup(C67,#REF!,#REF!,),_xludf.Xlookup(C67,#REF!,#REF!,))</f>
        <v>#NAME?</v>
      </c>
      <c r="W67" s="8" t="e">
        <f t="array" aca="1" ref="W67" ca="1">IF($C$4="Giao", _xludf.Xlookup(C67,#REF!,#REF!,),_xludf.Xlookup(C67,#REF!,#REF!,))</f>
        <v>#NAME?</v>
      </c>
      <c r="X67" s="9" t="e">
        <f t="shared" ca="1" si="2"/>
        <v>#NAME?</v>
      </c>
      <c r="Y67" s="7"/>
      <c r="Z67" s="7"/>
    </row>
    <row r="68" spans="1:26" ht="13" x14ac:dyDescent="0.6">
      <c r="A68" s="28" t="str">
        <f t="shared" si="1"/>
        <v/>
      </c>
      <c r="B68" s="7"/>
      <c r="C68" s="7"/>
      <c r="D68" s="9"/>
      <c r="E68" s="9"/>
      <c r="F68" s="7"/>
      <c r="G68" s="7"/>
      <c r="H68" s="7"/>
      <c r="I68" s="7"/>
      <c r="J68" s="7"/>
      <c r="K68" s="7"/>
      <c r="L68" s="7"/>
      <c r="M68" s="7"/>
      <c r="N68" s="7"/>
      <c r="O68" s="7"/>
      <c r="P68" s="29"/>
      <c r="Q68" s="29"/>
      <c r="R68" s="7"/>
      <c r="S68" s="7"/>
      <c r="T68" s="7" t="str">
        <f ca="1">IFERROR(__xludf.DUMMYFUNCTION("SPARKLINE({
IF(D68="""",0,D68),
IF(F68="""",0,F68),
IF(H68="""",0,H68),
IF(J68="""",0,J68),
IF(L68="""",0,L68),
IF(N68="""",0,N68),
IF(P68="""",0,P68)
})"),"")</f>
        <v/>
      </c>
      <c r="U68" s="7" t="str">
        <f ca="1">IFERROR(__xludf.DUMMYFUNCTION("SPARKLINE({
IF(E68="""",0,E68),
IF(G68="""",0,G68),
IF(I68="""",0,I68),
IF(K68="""",0,K68),
IF(M68="""",0,M68),
IF(O68="""",0,O68),
IF(Q68="""",0,Q68)
})"),"")</f>
        <v/>
      </c>
      <c r="V68" s="8" t="e">
        <f t="array" aca="1" ref="V68" ca="1">IF($C$4="Giao",_xludf.Xlookup(C68,#REF!,#REF!,),_xludf.Xlookup(C68,#REF!,#REF!,))</f>
        <v>#NAME?</v>
      </c>
      <c r="W68" s="8" t="e">
        <f t="array" aca="1" ref="W68" ca="1">IF($C$4="Giao", _xludf.Xlookup(C68,#REF!,#REF!,),_xludf.Xlookup(C68,#REF!,#REF!,))</f>
        <v>#NAME?</v>
      </c>
      <c r="X68" s="9" t="e">
        <f t="shared" ca="1" si="2"/>
        <v>#NAME?</v>
      </c>
      <c r="Y68" s="7"/>
      <c r="Z68" s="7"/>
    </row>
    <row r="69" spans="1:26" ht="13" x14ac:dyDescent="0.6">
      <c r="A69" s="28" t="str">
        <f t="shared" si="1"/>
        <v/>
      </c>
      <c r="B69" s="7"/>
      <c r="C69" s="7"/>
      <c r="D69" s="9"/>
      <c r="E69" s="9"/>
      <c r="F69" s="7"/>
      <c r="G69" s="7"/>
      <c r="H69" s="7"/>
      <c r="I69" s="7"/>
      <c r="J69" s="7"/>
      <c r="K69" s="7"/>
      <c r="L69" s="7"/>
      <c r="M69" s="7"/>
      <c r="N69" s="7"/>
      <c r="O69" s="7"/>
      <c r="P69" s="29"/>
      <c r="Q69" s="29"/>
      <c r="R69" s="7"/>
      <c r="S69" s="7"/>
      <c r="T69" s="7" t="str">
        <f ca="1">IFERROR(__xludf.DUMMYFUNCTION("SPARKLINE({
IF(D69="""",0,D69),
IF(F69="""",0,F69),
IF(H69="""",0,H69),
IF(J69="""",0,J69),
IF(L69="""",0,L69),
IF(N69="""",0,N69),
IF(P69="""",0,P69)
})"),"")</f>
        <v/>
      </c>
      <c r="U69" s="7" t="str">
        <f ca="1">IFERROR(__xludf.DUMMYFUNCTION("SPARKLINE({
IF(E69="""",0,E69),
IF(G69="""",0,G69),
IF(I69="""",0,I69),
IF(K69="""",0,K69),
IF(M69="""",0,M69),
IF(O69="""",0,O69),
IF(Q69="""",0,Q69)
})"),"")</f>
        <v/>
      </c>
      <c r="V69" s="8" t="e">
        <f t="array" aca="1" ref="V69" ca="1">IF($C$4="Giao",_xludf.Xlookup(C69,#REF!,#REF!,),_xludf.Xlookup(C69,#REF!,#REF!,))</f>
        <v>#NAME?</v>
      </c>
      <c r="W69" s="8" t="e">
        <f t="array" aca="1" ref="W69" ca="1">IF($C$4="Giao", _xludf.Xlookup(C69,#REF!,#REF!,),_xludf.Xlookup(C69,#REF!,#REF!,))</f>
        <v>#NAME?</v>
      </c>
      <c r="X69" s="9" t="e">
        <f t="shared" ca="1" si="2"/>
        <v>#NAME?</v>
      </c>
      <c r="Y69" s="7"/>
      <c r="Z69" s="7"/>
    </row>
    <row r="70" spans="1:26" ht="13" x14ac:dyDescent="0.6">
      <c r="A70" s="28" t="str">
        <f t="shared" si="1"/>
        <v/>
      </c>
      <c r="B70" s="7"/>
      <c r="C70" s="7"/>
      <c r="D70" s="9"/>
      <c r="E70" s="9"/>
      <c r="F70" s="7"/>
      <c r="G70" s="7"/>
      <c r="H70" s="7"/>
      <c r="I70" s="7"/>
      <c r="J70" s="7"/>
      <c r="K70" s="7"/>
      <c r="L70" s="7"/>
      <c r="M70" s="7"/>
      <c r="N70" s="7"/>
      <c r="O70" s="7"/>
      <c r="P70" s="29"/>
      <c r="Q70" s="29"/>
      <c r="R70" s="7"/>
      <c r="S70" s="7"/>
      <c r="T70" s="7" t="str">
        <f ca="1">IFERROR(__xludf.DUMMYFUNCTION("SPARKLINE({
IF(D70="""",0,D70),
IF(F70="""",0,F70),
IF(H70="""",0,H70),
IF(J70="""",0,J70),
IF(L70="""",0,L70),
IF(N70="""",0,N70),
IF(P70="""",0,P70)
})"),"")</f>
        <v/>
      </c>
      <c r="U70" s="7" t="str">
        <f ca="1">IFERROR(__xludf.DUMMYFUNCTION("SPARKLINE({
IF(E70="""",0,E70),
IF(G70="""",0,G70),
IF(I70="""",0,I70),
IF(K70="""",0,K70),
IF(M70="""",0,M70),
IF(O70="""",0,O70),
IF(Q70="""",0,Q70)
})"),"")</f>
        <v/>
      </c>
      <c r="V70" s="8" t="e">
        <f t="array" aca="1" ref="V70" ca="1">IF($C$4="Giao",_xludf.Xlookup(C70,#REF!,#REF!,),_xludf.Xlookup(C70,#REF!,#REF!,))</f>
        <v>#NAME?</v>
      </c>
      <c r="W70" s="8" t="e">
        <f t="array" aca="1" ref="W70" ca="1">IF($C$4="Giao", _xludf.Xlookup(C70,#REF!,#REF!,),_xludf.Xlookup(C70,#REF!,#REF!,))</f>
        <v>#NAME?</v>
      </c>
      <c r="X70" s="9" t="e">
        <f t="shared" ca="1" si="2"/>
        <v>#NAME?</v>
      </c>
      <c r="Y70" s="7"/>
      <c r="Z70" s="7"/>
    </row>
    <row r="71" spans="1:26" ht="13" x14ac:dyDescent="0.6">
      <c r="A71" s="28" t="str">
        <f t="shared" si="1"/>
        <v/>
      </c>
      <c r="B71" s="7"/>
      <c r="C71" s="7"/>
      <c r="D71" s="9"/>
      <c r="E71" s="9"/>
      <c r="F71" s="7"/>
      <c r="G71" s="7"/>
      <c r="H71" s="7"/>
      <c r="I71" s="7"/>
      <c r="J71" s="7"/>
      <c r="K71" s="7"/>
      <c r="L71" s="7"/>
      <c r="M71" s="7"/>
      <c r="N71" s="7"/>
      <c r="O71" s="7"/>
      <c r="P71" s="29"/>
      <c r="Q71" s="29"/>
      <c r="R71" s="7"/>
      <c r="S71" s="7"/>
      <c r="T71" s="7" t="str">
        <f ca="1">IFERROR(__xludf.DUMMYFUNCTION("SPARKLINE({
IF(D71="""",0,D71),
IF(F71="""",0,F71),
IF(H71="""",0,H71),
IF(J71="""",0,J71),
IF(L71="""",0,L71),
IF(N71="""",0,N71),
IF(P71="""",0,P71)
})"),"")</f>
        <v/>
      </c>
      <c r="U71" s="7" t="str">
        <f ca="1">IFERROR(__xludf.DUMMYFUNCTION("SPARKLINE({
IF(E71="""",0,E71),
IF(G71="""",0,G71),
IF(I71="""",0,I71),
IF(K71="""",0,K71),
IF(M71="""",0,M71),
IF(O71="""",0,O71),
IF(Q71="""",0,Q71)
})"),"")</f>
        <v/>
      </c>
      <c r="V71" s="8" t="e">
        <f t="array" aca="1" ref="V71" ca="1">IF($C$4="Giao",_xludf.Xlookup(C71,#REF!,#REF!,),_xludf.Xlookup(C71,#REF!,#REF!,))</f>
        <v>#NAME?</v>
      </c>
      <c r="W71" s="8" t="e">
        <f t="array" aca="1" ref="W71" ca="1">IF($C$4="Giao", _xludf.Xlookup(C71,#REF!,#REF!,),_xludf.Xlookup(C71,#REF!,#REF!,))</f>
        <v>#NAME?</v>
      </c>
      <c r="X71" s="9" t="e">
        <f t="shared" ca="1" si="2"/>
        <v>#NAME?</v>
      </c>
      <c r="Y71" s="7"/>
      <c r="Z71" s="7"/>
    </row>
    <row r="72" spans="1:26" ht="13" x14ac:dyDescent="0.6">
      <c r="A72" s="28" t="str">
        <f t="shared" si="1"/>
        <v/>
      </c>
      <c r="B72" s="7"/>
      <c r="C72" s="7"/>
      <c r="D72" s="9"/>
      <c r="E72" s="9"/>
      <c r="F72" s="7"/>
      <c r="G72" s="7"/>
      <c r="H72" s="7"/>
      <c r="I72" s="7"/>
      <c r="J72" s="7"/>
      <c r="K72" s="7"/>
      <c r="L72" s="7"/>
      <c r="M72" s="7"/>
      <c r="N72" s="7"/>
      <c r="O72" s="7"/>
      <c r="P72" s="29"/>
      <c r="Q72" s="29"/>
      <c r="R72" s="7"/>
      <c r="S72" s="7"/>
      <c r="T72" s="7" t="str">
        <f ca="1">IFERROR(__xludf.DUMMYFUNCTION("SPARKLINE({
IF(D72="""",0,D72),
IF(F72="""",0,F72),
IF(H72="""",0,H72),
IF(J72="""",0,J72),
IF(L72="""",0,L72),
IF(N72="""",0,N72),
IF(P72="""",0,P72)
})"),"")</f>
        <v/>
      </c>
      <c r="U72" s="7" t="str">
        <f ca="1">IFERROR(__xludf.DUMMYFUNCTION("SPARKLINE({
IF(E72="""",0,E72),
IF(G72="""",0,G72),
IF(I72="""",0,I72),
IF(K72="""",0,K72),
IF(M72="""",0,M72),
IF(O72="""",0,O72),
IF(Q72="""",0,Q72)
})"),"")</f>
        <v/>
      </c>
      <c r="V72" s="8" t="e">
        <f t="array" aca="1" ref="V72" ca="1">IF($C$4="Giao",_xludf.Xlookup(C72,#REF!,#REF!,),_xludf.Xlookup(C72,#REF!,#REF!,))</f>
        <v>#NAME?</v>
      </c>
      <c r="W72" s="8" t="e">
        <f t="array" aca="1" ref="W72" ca="1">IF($C$4="Giao", _xludf.Xlookup(C72,#REF!,#REF!,),_xludf.Xlookup(C72,#REF!,#REF!,))</f>
        <v>#NAME?</v>
      </c>
      <c r="X72" s="9" t="e">
        <f t="shared" ca="1" si="2"/>
        <v>#NAME?</v>
      </c>
      <c r="Y72" s="7"/>
      <c r="Z72" s="7"/>
    </row>
    <row r="73" spans="1:26" ht="13" x14ac:dyDescent="0.6">
      <c r="A73" s="28" t="str">
        <f t="shared" si="1"/>
        <v/>
      </c>
      <c r="B73" s="7"/>
      <c r="C73" s="7"/>
      <c r="D73" s="9"/>
      <c r="E73" s="9"/>
      <c r="F73" s="7"/>
      <c r="G73" s="7"/>
      <c r="H73" s="7"/>
      <c r="I73" s="7"/>
      <c r="J73" s="7"/>
      <c r="K73" s="7"/>
      <c r="L73" s="7"/>
      <c r="M73" s="7"/>
      <c r="N73" s="7"/>
      <c r="O73" s="7"/>
      <c r="P73" s="29"/>
      <c r="Q73" s="29"/>
      <c r="R73" s="7"/>
      <c r="S73" s="7"/>
      <c r="T73" s="7" t="str">
        <f ca="1">IFERROR(__xludf.DUMMYFUNCTION("SPARKLINE({
IF(D73="""",0,D73),
IF(F73="""",0,F73),
IF(H73="""",0,H73),
IF(J73="""",0,J73),
IF(L73="""",0,L73),
IF(N73="""",0,N73),
IF(P73="""",0,P73)
})"),"")</f>
        <v/>
      </c>
      <c r="U73" s="7" t="str">
        <f ca="1">IFERROR(__xludf.DUMMYFUNCTION("SPARKLINE({
IF(E73="""",0,E73),
IF(G73="""",0,G73),
IF(I73="""",0,I73),
IF(K73="""",0,K73),
IF(M73="""",0,M73),
IF(O73="""",0,O73),
IF(Q73="""",0,Q73)
})"),"")</f>
        <v/>
      </c>
      <c r="V73" s="8" t="e">
        <f t="array" aca="1" ref="V73" ca="1">IF($C$4="Giao",_xludf.Xlookup(C73,#REF!,#REF!,),_xludf.Xlookup(C73,#REF!,#REF!,))</f>
        <v>#NAME?</v>
      </c>
      <c r="W73" s="8" t="e">
        <f t="array" aca="1" ref="W73" ca="1">IF($C$4="Giao", _xludf.Xlookup(C73,#REF!,#REF!,),_xludf.Xlookup(C73,#REF!,#REF!,))</f>
        <v>#NAME?</v>
      </c>
      <c r="X73" s="9" t="e">
        <f t="shared" ca="1" si="2"/>
        <v>#NAME?</v>
      </c>
      <c r="Y73" s="7"/>
      <c r="Z73" s="7"/>
    </row>
    <row r="74" spans="1:26" ht="13" x14ac:dyDescent="0.6">
      <c r="A74" s="28" t="str">
        <f t="shared" si="1"/>
        <v/>
      </c>
      <c r="B74" s="7"/>
      <c r="C74" s="7"/>
      <c r="D74" s="9"/>
      <c r="E74" s="9"/>
      <c r="F74" s="7"/>
      <c r="G74" s="7"/>
      <c r="H74" s="7"/>
      <c r="I74" s="7"/>
      <c r="J74" s="7"/>
      <c r="K74" s="7"/>
      <c r="L74" s="7"/>
      <c r="M74" s="7"/>
      <c r="N74" s="7"/>
      <c r="O74" s="7"/>
      <c r="P74" s="29"/>
      <c r="Q74" s="29"/>
      <c r="R74" s="7"/>
      <c r="S74" s="7"/>
      <c r="T74" s="7" t="str">
        <f ca="1">IFERROR(__xludf.DUMMYFUNCTION("SPARKLINE({
IF(D74="""",0,D74),
IF(F74="""",0,F74),
IF(H74="""",0,H74),
IF(J74="""",0,J74),
IF(L74="""",0,L74),
IF(N74="""",0,N74),
IF(P74="""",0,P74)
})"),"")</f>
        <v/>
      </c>
      <c r="U74" s="7" t="str">
        <f ca="1">IFERROR(__xludf.DUMMYFUNCTION("SPARKLINE({
IF(E74="""",0,E74),
IF(G74="""",0,G74),
IF(I74="""",0,I74),
IF(K74="""",0,K74),
IF(M74="""",0,M74),
IF(O74="""",0,O74),
IF(Q74="""",0,Q74)
})"),"")</f>
        <v/>
      </c>
      <c r="V74" s="8" t="e">
        <f t="array" aca="1" ref="V74" ca="1">IF($C$4="Giao",_xludf.Xlookup(C74,#REF!,#REF!,),_xludf.Xlookup(C74,#REF!,#REF!,))</f>
        <v>#NAME?</v>
      </c>
      <c r="W74" s="8" t="e">
        <f t="array" aca="1" ref="W74" ca="1">IF($C$4="Giao", _xludf.Xlookup(C74,#REF!,#REF!,),_xludf.Xlookup(C74,#REF!,#REF!,))</f>
        <v>#NAME?</v>
      </c>
      <c r="X74" s="9" t="e">
        <f t="shared" ca="1" si="2"/>
        <v>#NAME?</v>
      </c>
      <c r="Y74" s="7"/>
      <c r="Z74" s="7"/>
    </row>
    <row r="75" spans="1:26" ht="13" x14ac:dyDescent="0.6">
      <c r="A75" s="28" t="str">
        <f t="shared" si="1"/>
        <v/>
      </c>
      <c r="B75" s="7"/>
      <c r="C75" s="7"/>
      <c r="D75" s="9"/>
      <c r="E75" s="9"/>
      <c r="F75" s="7"/>
      <c r="G75" s="7"/>
      <c r="H75" s="7"/>
      <c r="I75" s="7"/>
      <c r="J75" s="7"/>
      <c r="K75" s="7"/>
      <c r="L75" s="7"/>
      <c r="M75" s="7"/>
      <c r="N75" s="7"/>
      <c r="O75" s="7"/>
      <c r="P75" s="29"/>
      <c r="Q75" s="29"/>
      <c r="R75" s="7"/>
      <c r="S75" s="7"/>
      <c r="T75" s="7" t="str">
        <f ca="1">IFERROR(__xludf.DUMMYFUNCTION("SPARKLINE({
IF(D75="""",0,D75),
IF(F75="""",0,F75),
IF(H75="""",0,H75),
IF(J75="""",0,J75),
IF(L75="""",0,L75),
IF(N75="""",0,N75),
IF(P75="""",0,P75)
})"),"")</f>
        <v/>
      </c>
      <c r="U75" s="7" t="str">
        <f ca="1">IFERROR(__xludf.DUMMYFUNCTION("SPARKLINE({
IF(E75="""",0,E75),
IF(G75="""",0,G75),
IF(I75="""",0,I75),
IF(K75="""",0,K75),
IF(M75="""",0,M75),
IF(O75="""",0,O75),
IF(Q75="""",0,Q75)
})"),"")</f>
        <v/>
      </c>
      <c r="V75" s="8" t="e">
        <f t="array" aca="1" ref="V75" ca="1">IF($C$4="Giao",_xludf.Xlookup(C75,#REF!,#REF!,),_xludf.Xlookup(C75,#REF!,#REF!,))</f>
        <v>#NAME?</v>
      </c>
      <c r="W75" s="8" t="e">
        <f t="array" aca="1" ref="W75" ca="1">IF($C$4="Giao", _xludf.Xlookup(C75,#REF!,#REF!,),_xludf.Xlookup(C75,#REF!,#REF!,))</f>
        <v>#NAME?</v>
      </c>
      <c r="X75" s="9" t="e">
        <f t="shared" ca="1" si="2"/>
        <v>#NAME?</v>
      </c>
      <c r="Y75" s="7"/>
      <c r="Z75" s="7"/>
    </row>
    <row r="76" spans="1:26" ht="13" x14ac:dyDescent="0.6">
      <c r="A76" s="28" t="str">
        <f t="shared" si="1"/>
        <v/>
      </c>
      <c r="B76" s="7"/>
      <c r="C76" s="7"/>
      <c r="D76" s="9"/>
      <c r="E76" s="9"/>
      <c r="F76" s="7"/>
      <c r="G76" s="7"/>
      <c r="H76" s="7"/>
      <c r="I76" s="7"/>
      <c r="J76" s="7"/>
      <c r="K76" s="7"/>
      <c r="L76" s="7"/>
      <c r="M76" s="7"/>
      <c r="N76" s="7"/>
      <c r="O76" s="7"/>
      <c r="P76" s="29"/>
      <c r="Q76" s="29"/>
      <c r="R76" s="7"/>
      <c r="S76" s="7"/>
      <c r="T76" s="7" t="str">
        <f ca="1">IFERROR(__xludf.DUMMYFUNCTION("SPARKLINE({
IF(D76="""",0,D76),
IF(F76="""",0,F76),
IF(H76="""",0,H76),
IF(J76="""",0,J76),
IF(L76="""",0,L76),
IF(N76="""",0,N76),
IF(P76="""",0,P76)
})"),"")</f>
        <v/>
      </c>
      <c r="U76" s="7" t="str">
        <f ca="1">IFERROR(__xludf.DUMMYFUNCTION("SPARKLINE({
IF(E76="""",0,E76),
IF(G76="""",0,G76),
IF(I76="""",0,I76),
IF(K76="""",0,K76),
IF(M76="""",0,M76),
IF(O76="""",0,O76),
IF(Q76="""",0,Q76)
})"),"")</f>
        <v/>
      </c>
      <c r="V76" s="8" t="e">
        <f t="array" aca="1" ref="V76" ca="1">IF($C$4="Giao",_xludf.Xlookup(C76,#REF!,#REF!,),_xludf.Xlookup(C76,#REF!,#REF!,))</f>
        <v>#NAME?</v>
      </c>
      <c r="W76" s="8" t="e">
        <f t="array" aca="1" ref="W76" ca="1">IF($C$4="Giao", _xludf.Xlookup(C76,#REF!,#REF!,),_xludf.Xlookup(C76,#REF!,#REF!,))</f>
        <v>#NAME?</v>
      </c>
      <c r="X76" s="9" t="e">
        <f t="shared" ca="1" si="2"/>
        <v>#NAME?</v>
      </c>
      <c r="Y76" s="7"/>
      <c r="Z76" s="7"/>
    </row>
    <row r="77" spans="1:26" ht="13" x14ac:dyDescent="0.6">
      <c r="A77" s="28" t="str">
        <f t="shared" si="1"/>
        <v/>
      </c>
      <c r="B77" s="7"/>
      <c r="C77" s="7"/>
      <c r="D77" s="9"/>
      <c r="E77" s="9"/>
      <c r="F77" s="7"/>
      <c r="G77" s="7"/>
      <c r="H77" s="7"/>
      <c r="I77" s="7"/>
      <c r="J77" s="7"/>
      <c r="K77" s="7"/>
      <c r="L77" s="7"/>
      <c r="M77" s="7"/>
      <c r="N77" s="7"/>
      <c r="O77" s="7"/>
      <c r="P77" s="29"/>
      <c r="Q77" s="29"/>
      <c r="R77" s="7"/>
      <c r="S77" s="7"/>
      <c r="T77" s="7" t="str">
        <f ca="1">IFERROR(__xludf.DUMMYFUNCTION("SPARKLINE({
IF(D77="""",0,D77),
IF(F77="""",0,F77),
IF(H77="""",0,H77),
IF(J77="""",0,J77),
IF(L77="""",0,L77),
IF(N77="""",0,N77),
IF(P77="""",0,P77)
})"),"")</f>
        <v/>
      </c>
      <c r="U77" s="7" t="str">
        <f ca="1">IFERROR(__xludf.DUMMYFUNCTION("SPARKLINE({
IF(E77="""",0,E77),
IF(G77="""",0,G77),
IF(I77="""",0,I77),
IF(K77="""",0,K77),
IF(M77="""",0,M77),
IF(O77="""",0,O77),
IF(Q77="""",0,Q77)
})"),"")</f>
        <v/>
      </c>
      <c r="V77" s="8" t="e">
        <f t="array" aca="1" ref="V77" ca="1">IF($C$4="Giao",_xludf.Xlookup(C77,#REF!,#REF!,),_xludf.Xlookup(C77,#REF!,#REF!,))</f>
        <v>#NAME?</v>
      </c>
      <c r="W77" s="8" t="e">
        <f t="array" aca="1" ref="W77" ca="1">IF($C$4="Giao", _xludf.Xlookup(C77,#REF!,#REF!,),_xludf.Xlookup(C77,#REF!,#REF!,))</f>
        <v>#NAME?</v>
      </c>
      <c r="X77" s="9" t="e">
        <f t="shared" ca="1" si="2"/>
        <v>#NAME?</v>
      </c>
      <c r="Y77" s="7"/>
      <c r="Z77" s="7"/>
    </row>
    <row r="78" spans="1:26" ht="13" x14ac:dyDescent="0.6">
      <c r="A78" s="28" t="str">
        <f t="shared" si="1"/>
        <v/>
      </c>
      <c r="B78" s="7"/>
      <c r="C78" s="7"/>
      <c r="D78" s="9"/>
      <c r="E78" s="9"/>
      <c r="F78" s="7"/>
      <c r="G78" s="7"/>
      <c r="H78" s="7"/>
      <c r="I78" s="7"/>
      <c r="J78" s="7"/>
      <c r="K78" s="7"/>
      <c r="L78" s="7"/>
      <c r="M78" s="7"/>
      <c r="N78" s="7"/>
      <c r="O78" s="7"/>
      <c r="P78" s="29"/>
      <c r="Q78" s="29"/>
      <c r="R78" s="7"/>
      <c r="S78" s="7"/>
      <c r="T78" s="7" t="str">
        <f ca="1">IFERROR(__xludf.DUMMYFUNCTION("SPARKLINE({
IF(D78="""",0,D78),
IF(F78="""",0,F78),
IF(H78="""",0,H78),
IF(J78="""",0,J78),
IF(L78="""",0,L78),
IF(N78="""",0,N78),
IF(P78="""",0,P78)
})"),"")</f>
        <v/>
      </c>
      <c r="U78" s="7" t="str">
        <f ca="1">IFERROR(__xludf.DUMMYFUNCTION("SPARKLINE({
IF(E78="""",0,E78),
IF(G78="""",0,G78),
IF(I78="""",0,I78),
IF(K78="""",0,K78),
IF(M78="""",0,M78),
IF(O78="""",0,O78),
IF(Q78="""",0,Q78)
})"),"")</f>
        <v/>
      </c>
      <c r="V78" s="8" t="e">
        <f t="array" aca="1" ref="V78" ca="1">IF($C$4="Giao",_xludf.Xlookup(C78,#REF!,#REF!,),_xludf.Xlookup(C78,#REF!,#REF!,))</f>
        <v>#NAME?</v>
      </c>
      <c r="W78" s="8" t="e">
        <f t="array" aca="1" ref="W78" ca="1">IF($C$4="Giao", _xludf.Xlookup(C78,#REF!,#REF!,),_xludf.Xlookup(C78,#REF!,#REF!,))</f>
        <v>#NAME?</v>
      </c>
      <c r="X78" s="9" t="e">
        <f t="shared" ca="1" si="2"/>
        <v>#NAME?</v>
      </c>
      <c r="Y78" s="7"/>
      <c r="Z78" s="7"/>
    </row>
    <row r="79" spans="1:26" ht="13" x14ac:dyDescent="0.6">
      <c r="A79" s="28" t="str">
        <f t="shared" si="1"/>
        <v/>
      </c>
      <c r="B79" s="7"/>
      <c r="C79" s="7"/>
      <c r="D79" s="9"/>
      <c r="E79" s="9"/>
      <c r="F79" s="7"/>
      <c r="G79" s="7"/>
      <c r="H79" s="7"/>
      <c r="I79" s="7"/>
      <c r="J79" s="7"/>
      <c r="K79" s="7"/>
      <c r="L79" s="7"/>
      <c r="M79" s="7"/>
      <c r="N79" s="7"/>
      <c r="O79" s="7"/>
      <c r="P79" s="29"/>
      <c r="Q79" s="29"/>
      <c r="R79" s="7"/>
      <c r="S79" s="7"/>
      <c r="T79" s="7" t="str">
        <f ca="1">IFERROR(__xludf.DUMMYFUNCTION("SPARKLINE({
IF(D79="""",0,D79),
IF(F79="""",0,F79),
IF(H79="""",0,H79),
IF(J79="""",0,J79),
IF(L79="""",0,L79),
IF(N79="""",0,N79),
IF(P79="""",0,P79)
})"),"")</f>
        <v/>
      </c>
      <c r="U79" s="7" t="str">
        <f ca="1">IFERROR(__xludf.DUMMYFUNCTION("SPARKLINE({
IF(E79="""",0,E79),
IF(G79="""",0,G79),
IF(I79="""",0,I79),
IF(K79="""",0,K79),
IF(M79="""",0,M79),
IF(O79="""",0,O79),
IF(Q79="""",0,Q79)
})"),"")</f>
        <v/>
      </c>
      <c r="V79" s="8" t="e">
        <f t="array" aca="1" ref="V79" ca="1">IF($C$4="Giao",_xludf.Xlookup(C79,#REF!,#REF!,),_xludf.Xlookup(C79,#REF!,#REF!,))</f>
        <v>#NAME?</v>
      </c>
      <c r="W79" s="8" t="e">
        <f t="array" aca="1" ref="W79" ca="1">IF($C$4="Giao", _xludf.Xlookup(C79,#REF!,#REF!,),_xludf.Xlookup(C79,#REF!,#REF!,))</f>
        <v>#NAME?</v>
      </c>
      <c r="X79" s="9" t="e">
        <f t="shared" ca="1" si="2"/>
        <v>#NAME?</v>
      </c>
      <c r="Y79" s="7"/>
      <c r="Z79" s="7"/>
    </row>
    <row r="80" spans="1:26" ht="13" x14ac:dyDescent="0.6">
      <c r="A80" s="28" t="str">
        <f t="shared" si="1"/>
        <v/>
      </c>
      <c r="B80" s="7"/>
      <c r="C80" s="7"/>
      <c r="D80" s="9"/>
      <c r="E80" s="9"/>
      <c r="F80" s="7"/>
      <c r="G80" s="7"/>
      <c r="H80" s="7"/>
      <c r="I80" s="7"/>
      <c r="J80" s="7"/>
      <c r="K80" s="7"/>
      <c r="L80" s="7"/>
      <c r="M80" s="7"/>
      <c r="N80" s="7"/>
      <c r="O80" s="7"/>
      <c r="P80" s="29"/>
      <c r="Q80" s="29"/>
      <c r="R80" s="7"/>
      <c r="S80" s="7"/>
      <c r="T80" s="7" t="str">
        <f ca="1">IFERROR(__xludf.DUMMYFUNCTION("SPARKLINE({
IF(D80="""",0,D80),
IF(F80="""",0,F80),
IF(H80="""",0,H80),
IF(J80="""",0,J80),
IF(L80="""",0,L80),
IF(N80="""",0,N80),
IF(P80="""",0,P80)
})"),"")</f>
        <v/>
      </c>
      <c r="U80" s="7" t="str">
        <f ca="1">IFERROR(__xludf.DUMMYFUNCTION("SPARKLINE({
IF(E80="""",0,E80),
IF(G80="""",0,G80),
IF(I80="""",0,I80),
IF(K80="""",0,K80),
IF(M80="""",0,M80),
IF(O80="""",0,O80),
IF(Q80="""",0,Q80)
})"),"")</f>
        <v/>
      </c>
      <c r="V80" s="8" t="e">
        <f t="array" aca="1" ref="V80" ca="1">IF($C$4="Giao",_xludf.Xlookup(C80,#REF!,#REF!,),_xludf.Xlookup(C80,#REF!,#REF!,))</f>
        <v>#NAME?</v>
      </c>
      <c r="W80" s="8" t="e">
        <f t="array" aca="1" ref="W80" ca="1">IF($C$4="Giao", _xludf.Xlookup(C80,#REF!,#REF!,),_xludf.Xlookup(C80,#REF!,#REF!,))</f>
        <v>#NAME?</v>
      </c>
      <c r="X80" s="9" t="e">
        <f t="shared" ca="1" si="2"/>
        <v>#NAME?</v>
      </c>
      <c r="Y80" s="7"/>
      <c r="Z80" s="7"/>
    </row>
    <row r="81" spans="1:26" ht="13" x14ac:dyDescent="0.6">
      <c r="A81" s="28" t="str">
        <f t="shared" si="1"/>
        <v/>
      </c>
      <c r="B81" s="7"/>
      <c r="C81" s="7"/>
      <c r="D81" s="9"/>
      <c r="E81" s="9"/>
      <c r="F81" s="7"/>
      <c r="G81" s="7"/>
      <c r="H81" s="7"/>
      <c r="I81" s="7"/>
      <c r="J81" s="7"/>
      <c r="K81" s="7"/>
      <c r="L81" s="7"/>
      <c r="M81" s="7"/>
      <c r="N81" s="7"/>
      <c r="O81" s="7"/>
      <c r="P81" s="29"/>
      <c r="Q81" s="29"/>
      <c r="R81" s="7"/>
      <c r="S81" s="7"/>
      <c r="T81" s="7" t="str">
        <f ca="1">IFERROR(__xludf.DUMMYFUNCTION("SPARKLINE({
IF(D81="""",0,D81),
IF(F81="""",0,F81),
IF(H81="""",0,H81),
IF(J81="""",0,J81),
IF(L81="""",0,L81),
IF(N81="""",0,N81),
IF(P81="""",0,P81)
})"),"")</f>
        <v/>
      </c>
      <c r="U81" s="7" t="str">
        <f ca="1">IFERROR(__xludf.DUMMYFUNCTION("SPARKLINE({
IF(E81="""",0,E81),
IF(G81="""",0,G81),
IF(I81="""",0,I81),
IF(K81="""",0,K81),
IF(M81="""",0,M81),
IF(O81="""",0,O81),
IF(Q81="""",0,Q81)
})"),"")</f>
        <v/>
      </c>
      <c r="V81" s="8" t="e">
        <f t="array" aca="1" ref="V81" ca="1">IF($C$4="Giao",_xludf.Xlookup(C81,#REF!,#REF!,),_xludf.Xlookup(C81,#REF!,#REF!,))</f>
        <v>#NAME?</v>
      </c>
      <c r="W81" s="8" t="e">
        <f t="array" aca="1" ref="W81" ca="1">IF($C$4="Giao", _xludf.Xlookup(C81,#REF!,#REF!,),_xludf.Xlookup(C81,#REF!,#REF!,))</f>
        <v>#NAME?</v>
      </c>
      <c r="X81" s="9" t="e">
        <f t="shared" ca="1" si="2"/>
        <v>#NAME?</v>
      </c>
      <c r="Y81" s="7"/>
      <c r="Z81" s="7"/>
    </row>
    <row r="82" spans="1:26" ht="13" x14ac:dyDescent="0.6">
      <c r="A82" s="28" t="str">
        <f t="shared" si="1"/>
        <v/>
      </c>
      <c r="B82" s="7"/>
      <c r="C82" s="7"/>
      <c r="D82" s="9"/>
      <c r="E82" s="9"/>
      <c r="F82" s="7"/>
      <c r="G82" s="7"/>
      <c r="H82" s="7"/>
      <c r="I82" s="7"/>
      <c r="J82" s="7"/>
      <c r="K82" s="7"/>
      <c r="L82" s="7"/>
      <c r="M82" s="7"/>
      <c r="N82" s="7"/>
      <c r="O82" s="7"/>
      <c r="P82" s="29"/>
      <c r="Q82" s="29"/>
      <c r="R82" s="7"/>
      <c r="S82" s="7"/>
      <c r="T82" s="7" t="str">
        <f ca="1">IFERROR(__xludf.DUMMYFUNCTION("SPARKLINE({
IF(D82="""",0,D82),
IF(F82="""",0,F82),
IF(H82="""",0,H82),
IF(J82="""",0,J82),
IF(L82="""",0,L82),
IF(N82="""",0,N82),
IF(P82="""",0,P82)
})"),"")</f>
        <v/>
      </c>
      <c r="U82" s="7" t="str">
        <f ca="1">IFERROR(__xludf.DUMMYFUNCTION("SPARKLINE({
IF(E82="""",0,E82),
IF(G82="""",0,G82),
IF(I82="""",0,I82),
IF(K82="""",0,K82),
IF(M82="""",0,M82),
IF(O82="""",0,O82),
IF(Q82="""",0,Q82)
})"),"")</f>
        <v/>
      </c>
      <c r="V82" s="8" t="e">
        <f t="array" aca="1" ref="V82" ca="1">IF($C$4="Giao",_xludf.Xlookup(C82,#REF!,#REF!,),_xludf.Xlookup(C82,#REF!,#REF!,))</f>
        <v>#NAME?</v>
      </c>
      <c r="W82" s="8" t="e">
        <f t="array" aca="1" ref="W82" ca="1">IF($C$4="Giao", _xludf.Xlookup(C82,#REF!,#REF!,),_xludf.Xlookup(C82,#REF!,#REF!,))</f>
        <v>#NAME?</v>
      </c>
      <c r="X82" s="9" t="e">
        <f t="shared" ca="1" si="2"/>
        <v>#NAME?</v>
      </c>
      <c r="Y82" s="7"/>
      <c r="Z82" s="7"/>
    </row>
    <row r="83" spans="1:26" ht="13" x14ac:dyDescent="0.6">
      <c r="A83" s="28" t="str">
        <f t="shared" si="1"/>
        <v/>
      </c>
      <c r="B83" s="7"/>
      <c r="C83" s="7"/>
      <c r="D83" s="9"/>
      <c r="E83" s="9"/>
      <c r="F83" s="7"/>
      <c r="G83" s="7"/>
      <c r="H83" s="7"/>
      <c r="I83" s="7"/>
      <c r="J83" s="7"/>
      <c r="K83" s="7"/>
      <c r="L83" s="7"/>
      <c r="M83" s="7"/>
      <c r="N83" s="7"/>
      <c r="O83" s="7"/>
      <c r="P83" s="29"/>
      <c r="Q83" s="29"/>
      <c r="R83" s="7"/>
      <c r="S83" s="7"/>
      <c r="T83" s="7" t="str">
        <f ca="1">IFERROR(__xludf.DUMMYFUNCTION("SPARKLINE({
IF(D83="""",0,D83),
IF(F83="""",0,F83),
IF(H83="""",0,H83),
IF(J83="""",0,J83),
IF(L83="""",0,L83),
IF(N83="""",0,N83),
IF(P83="""",0,P83)
})"),"")</f>
        <v/>
      </c>
      <c r="U83" s="7" t="str">
        <f ca="1">IFERROR(__xludf.DUMMYFUNCTION("SPARKLINE({
IF(E83="""",0,E83),
IF(G83="""",0,G83),
IF(I83="""",0,I83),
IF(K83="""",0,K83),
IF(M83="""",0,M83),
IF(O83="""",0,O83),
IF(Q83="""",0,Q83)
})"),"")</f>
        <v/>
      </c>
      <c r="V83" s="8" t="e">
        <f t="array" aca="1" ref="V83" ca="1">IF($C$4="Giao",_xludf.Xlookup(C83,#REF!,#REF!,),_xludf.Xlookup(C83,#REF!,#REF!,))</f>
        <v>#NAME?</v>
      </c>
      <c r="W83" s="8" t="e">
        <f t="array" aca="1" ref="W83" ca="1">IF($C$4="Giao", _xludf.Xlookup(C83,#REF!,#REF!,),_xludf.Xlookup(C83,#REF!,#REF!,))</f>
        <v>#NAME?</v>
      </c>
      <c r="X83" s="9" t="e">
        <f t="shared" ca="1" si="2"/>
        <v>#NAME?</v>
      </c>
      <c r="Y83" s="7"/>
      <c r="Z83" s="7"/>
    </row>
    <row r="84" spans="1:26" ht="13" x14ac:dyDescent="0.6">
      <c r="A84" s="28" t="str">
        <f t="shared" si="1"/>
        <v/>
      </c>
      <c r="B84" s="7"/>
      <c r="C84" s="7"/>
      <c r="D84" s="9"/>
      <c r="E84" s="9"/>
      <c r="F84" s="7"/>
      <c r="G84" s="7"/>
      <c r="H84" s="7"/>
      <c r="I84" s="7"/>
      <c r="J84" s="7"/>
      <c r="K84" s="7"/>
      <c r="L84" s="7"/>
      <c r="M84" s="7"/>
      <c r="N84" s="7"/>
      <c r="O84" s="7"/>
      <c r="P84" s="29"/>
      <c r="Q84" s="29"/>
      <c r="R84" s="7"/>
      <c r="S84" s="7"/>
      <c r="T84" s="7" t="str">
        <f ca="1">IFERROR(__xludf.DUMMYFUNCTION("SPARKLINE({
IF(D84="""",0,D84),
IF(F84="""",0,F84),
IF(H84="""",0,H84),
IF(J84="""",0,J84),
IF(L84="""",0,L84),
IF(N84="""",0,N84),
IF(P84="""",0,P84)
})"),"")</f>
        <v/>
      </c>
      <c r="U84" s="7" t="str">
        <f ca="1">IFERROR(__xludf.DUMMYFUNCTION("SPARKLINE({
IF(E84="""",0,E84),
IF(G84="""",0,G84),
IF(I84="""",0,I84),
IF(K84="""",0,K84),
IF(M84="""",0,M84),
IF(O84="""",0,O84),
IF(Q84="""",0,Q84)
})"),"")</f>
        <v/>
      </c>
      <c r="V84" s="8" t="e">
        <f t="array" aca="1" ref="V84" ca="1">IF($C$4="Giao",_xludf.Xlookup(C84,#REF!,#REF!,),_xludf.Xlookup(C84,#REF!,#REF!,))</f>
        <v>#NAME?</v>
      </c>
      <c r="W84" s="8" t="e">
        <f t="array" aca="1" ref="W84" ca="1">IF($C$4="Giao", _xludf.Xlookup(C84,#REF!,#REF!,),_xludf.Xlookup(C84,#REF!,#REF!,))</f>
        <v>#NAME?</v>
      </c>
      <c r="X84" s="9" t="e">
        <f t="shared" ca="1" si="2"/>
        <v>#NAME?</v>
      </c>
      <c r="Y84" s="7"/>
      <c r="Z84" s="7"/>
    </row>
    <row r="85" spans="1:26" ht="13" x14ac:dyDescent="0.6">
      <c r="A85" s="28" t="str">
        <f t="shared" si="1"/>
        <v/>
      </c>
      <c r="B85" s="7"/>
      <c r="C85" s="7"/>
      <c r="D85" s="9"/>
      <c r="E85" s="9"/>
      <c r="F85" s="7"/>
      <c r="G85" s="7"/>
      <c r="H85" s="7"/>
      <c r="I85" s="7"/>
      <c r="J85" s="7"/>
      <c r="K85" s="7"/>
      <c r="L85" s="7"/>
      <c r="M85" s="7"/>
      <c r="N85" s="7"/>
      <c r="O85" s="7"/>
      <c r="P85" s="29"/>
      <c r="Q85" s="29"/>
      <c r="R85" s="7"/>
      <c r="S85" s="7"/>
      <c r="T85" s="7" t="str">
        <f ca="1">IFERROR(__xludf.DUMMYFUNCTION("SPARKLINE({
IF(D85="""",0,D85),
IF(F85="""",0,F85),
IF(H85="""",0,H85),
IF(J85="""",0,J85),
IF(L85="""",0,L85),
IF(N85="""",0,N85),
IF(P85="""",0,P85)
})"),"")</f>
        <v/>
      </c>
      <c r="U85" s="7" t="str">
        <f ca="1">IFERROR(__xludf.DUMMYFUNCTION("SPARKLINE({
IF(E85="""",0,E85),
IF(G85="""",0,G85),
IF(I85="""",0,I85),
IF(K85="""",0,K85),
IF(M85="""",0,M85),
IF(O85="""",0,O85),
IF(Q85="""",0,Q85)
})"),"")</f>
        <v/>
      </c>
      <c r="V85" s="8" t="e">
        <f t="array" aca="1" ref="V85" ca="1">IF($C$4="Giao",_xludf.Xlookup(C85,#REF!,#REF!,),_xludf.Xlookup(C85,#REF!,#REF!,))</f>
        <v>#NAME?</v>
      </c>
      <c r="W85" s="8" t="e">
        <f t="array" aca="1" ref="W85" ca="1">IF($C$4="Giao", _xludf.Xlookup(C85,#REF!,#REF!,),_xludf.Xlookup(C85,#REF!,#REF!,))</f>
        <v>#NAME?</v>
      </c>
      <c r="X85" s="9" t="e">
        <f t="shared" ca="1" si="2"/>
        <v>#NAME?</v>
      </c>
      <c r="Y85" s="7"/>
      <c r="Z85" s="7"/>
    </row>
    <row r="86" spans="1:26" ht="13" x14ac:dyDescent="0.6">
      <c r="A86" s="28" t="str">
        <f t="shared" si="1"/>
        <v/>
      </c>
      <c r="B86" s="7"/>
      <c r="C86" s="7"/>
      <c r="D86" s="9"/>
      <c r="E86" s="9"/>
      <c r="F86" s="7"/>
      <c r="G86" s="7"/>
      <c r="H86" s="7"/>
      <c r="I86" s="7"/>
      <c r="J86" s="7"/>
      <c r="K86" s="7"/>
      <c r="L86" s="7"/>
      <c r="M86" s="7"/>
      <c r="N86" s="7"/>
      <c r="O86" s="7"/>
      <c r="P86" s="29"/>
      <c r="Q86" s="29"/>
      <c r="R86" s="7"/>
      <c r="S86" s="7"/>
      <c r="T86" s="7" t="str">
        <f ca="1">IFERROR(__xludf.DUMMYFUNCTION("SPARKLINE({
IF(D86="""",0,D86),
IF(F86="""",0,F86),
IF(H86="""",0,H86),
IF(J86="""",0,J86),
IF(L86="""",0,L86),
IF(N86="""",0,N86),
IF(P86="""",0,P86)
})"),"")</f>
        <v/>
      </c>
      <c r="U86" s="7" t="str">
        <f ca="1">IFERROR(__xludf.DUMMYFUNCTION("SPARKLINE({
IF(E86="""",0,E86),
IF(G86="""",0,G86),
IF(I86="""",0,I86),
IF(K86="""",0,K86),
IF(M86="""",0,M86),
IF(O86="""",0,O86),
IF(Q86="""",0,Q86)
})"),"")</f>
        <v/>
      </c>
      <c r="V86" s="8" t="e">
        <f t="array" aca="1" ref="V86" ca="1">IF($C$4="Giao",_xludf.Xlookup(C86,#REF!,#REF!,),_xludf.Xlookup(C86,#REF!,#REF!,))</f>
        <v>#NAME?</v>
      </c>
      <c r="W86" s="8" t="e">
        <f t="array" aca="1" ref="W86" ca="1">IF($C$4="Giao", _xludf.Xlookup(C86,#REF!,#REF!,),_xludf.Xlookup(C86,#REF!,#REF!,))</f>
        <v>#NAME?</v>
      </c>
      <c r="X86" s="9" t="e">
        <f t="shared" ca="1" si="2"/>
        <v>#NAME?</v>
      </c>
      <c r="Y86" s="7"/>
      <c r="Z86" s="7"/>
    </row>
    <row r="87" spans="1:26" ht="13" x14ac:dyDescent="0.6">
      <c r="A87" s="28" t="str">
        <f t="shared" si="1"/>
        <v/>
      </c>
      <c r="B87" s="7"/>
      <c r="C87" s="7"/>
      <c r="D87" s="9"/>
      <c r="E87" s="9"/>
      <c r="F87" s="7"/>
      <c r="G87" s="7"/>
      <c r="H87" s="7"/>
      <c r="I87" s="7"/>
      <c r="J87" s="7"/>
      <c r="K87" s="7"/>
      <c r="L87" s="7"/>
      <c r="M87" s="7"/>
      <c r="N87" s="7"/>
      <c r="O87" s="7"/>
      <c r="P87" s="29"/>
      <c r="Q87" s="29"/>
      <c r="R87" s="7"/>
      <c r="S87" s="7"/>
      <c r="T87" s="7" t="str">
        <f ca="1">IFERROR(__xludf.DUMMYFUNCTION("SPARKLINE({
IF(D87="""",0,D87),
IF(F87="""",0,F87),
IF(H87="""",0,H87),
IF(J87="""",0,J87),
IF(L87="""",0,L87),
IF(N87="""",0,N87),
IF(P87="""",0,P87)
})"),"")</f>
        <v/>
      </c>
      <c r="U87" s="7" t="str">
        <f ca="1">IFERROR(__xludf.DUMMYFUNCTION("SPARKLINE({
IF(E87="""",0,E87),
IF(G87="""",0,G87),
IF(I87="""",0,I87),
IF(K87="""",0,K87),
IF(M87="""",0,M87),
IF(O87="""",0,O87),
IF(Q87="""",0,Q87)
})"),"")</f>
        <v/>
      </c>
      <c r="V87" s="8" t="e">
        <f t="array" aca="1" ref="V87" ca="1">IF($C$4="Giao",_xludf.Xlookup(C87,#REF!,#REF!,),_xludf.Xlookup(C87,#REF!,#REF!,))</f>
        <v>#NAME?</v>
      </c>
      <c r="W87" s="8" t="e">
        <f t="array" aca="1" ref="W87" ca="1">IF($C$4="Giao", _xludf.Xlookup(C87,#REF!,#REF!,),_xludf.Xlookup(C87,#REF!,#REF!,))</f>
        <v>#NAME?</v>
      </c>
      <c r="X87" s="9" t="e">
        <f t="shared" ca="1" si="2"/>
        <v>#NAME?</v>
      </c>
      <c r="Y87" s="7"/>
      <c r="Z87" s="7"/>
    </row>
    <row r="88" spans="1:26" ht="13" x14ac:dyDescent="0.6">
      <c r="A88" s="28" t="str">
        <f t="shared" si="1"/>
        <v/>
      </c>
      <c r="B88" s="7"/>
      <c r="C88" s="7"/>
      <c r="D88" s="9"/>
      <c r="E88" s="9"/>
      <c r="F88" s="7"/>
      <c r="G88" s="7"/>
      <c r="H88" s="7"/>
      <c r="I88" s="7"/>
      <c r="J88" s="7"/>
      <c r="K88" s="7"/>
      <c r="L88" s="7"/>
      <c r="M88" s="7"/>
      <c r="N88" s="7"/>
      <c r="O88" s="7"/>
      <c r="P88" s="29"/>
      <c r="Q88" s="29"/>
      <c r="R88" s="7"/>
      <c r="S88" s="7"/>
      <c r="T88" s="7" t="str">
        <f ca="1">IFERROR(__xludf.DUMMYFUNCTION("SPARKLINE({
IF(D88="""",0,D88),
IF(F88="""",0,F88),
IF(H88="""",0,H88),
IF(J88="""",0,J88),
IF(L88="""",0,L88),
IF(N88="""",0,N88),
IF(P88="""",0,P88)
})"),"")</f>
        <v/>
      </c>
      <c r="U88" s="7" t="str">
        <f ca="1">IFERROR(__xludf.DUMMYFUNCTION("SPARKLINE({
IF(E88="""",0,E88),
IF(G88="""",0,G88),
IF(I88="""",0,I88),
IF(K88="""",0,K88),
IF(M88="""",0,M88),
IF(O88="""",0,O88),
IF(Q88="""",0,Q88)
})"),"")</f>
        <v/>
      </c>
      <c r="V88" s="8" t="e">
        <f t="array" aca="1" ref="V88" ca="1">IF($C$4="Giao",_xludf.Xlookup(C88,#REF!,#REF!,),_xludf.Xlookup(C88,#REF!,#REF!,))</f>
        <v>#NAME?</v>
      </c>
      <c r="W88" s="8" t="e">
        <f t="array" aca="1" ref="W88" ca="1">IF($C$4="Giao", _xludf.Xlookup(C88,#REF!,#REF!,),_xludf.Xlookup(C88,#REF!,#REF!,))</f>
        <v>#NAME?</v>
      </c>
      <c r="X88" s="9" t="e">
        <f t="shared" ca="1" si="2"/>
        <v>#NAME?</v>
      </c>
      <c r="Y88" s="7"/>
      <c r="Z88" s="7"/>
    </row>
    <row r="89" spans="1:26" ht="13" x14ac:dyDescent="0.6">
      <c r="A89" s="28" t="str">
        <f t="shared" si="1"/>
        <v/>
      </c>
      <c r="B89" s="7"/>
      <c r="C89" s="7"/>
      <c r="D89" s="9"/>
      <c r="E89" s="9"/>
      <c r="F89" s="7"/>
      <c r="G89" s="7"/>
      <c r="H89" s="7"/>
      <c r="I89" s="7"/>
      <c r="J89" s="7"/>
      <c r="K89" s="7"/>
      <c r="L89" s="7"/>
      <c r="M89" s="7"/>
      <c r="N89" s="7"/>
      <c r="O89" s="7"/>
      <c r="P89" s="29"/>
      <c r="Q89" s="29"/>
      <c r="R89" s="7"/>
      <c r="S89" s="7"/>
      <c r="T89" s="7" t="str">
        <f ca="1">IFERROR(__xludf.DUMMYFUNCTION("SPARKLINE({
IF(D89="""",0,D89),
IF(F89="""",0,F89),
IF(H89="""",0,H89),
IF(J89="""",0,J89),
IF(L89="""",0,L89),
IF(N89="""",0,N89),
IF(P89="""",0,P89)
})"),"")</f>
        <v/>
      </c>
      <c r="U89" s="7" t="str">
        <f ca="1">IFERROR(__xludf.DUMMYFUNCTION("SPARKLINE({
IF(E89="""",0,E89),
IF(G89="""",0,G89),
IF(I89="""",0,I89),
IF(K89="""",0,K89),
IF(M89="""",0,M89),
IF(O89="""",0,O89),
IF(Q89="""",0,Q89)
})"),"")</f>
        <v/>
      </c>
      <c r="V89" s="8" t="e">
        <f t="array" aca="1" ref="V89" ca="1">IF($C$4="Giao",_xludf.Xlookup(C89,#REF!,#REF!,),_xludf.Xlookup(C89,#REF!,#REF!,))</f>
        <v>#NAME?</v>
      </c>
      <c r="W89" s="8" t="e">
        <f t="array" aca="1" ref="W89" ca="1">IF($C$4="Giao", _xludf.Xlookup(C89,#REF!,#REF!,),_xludf.Xlookup(C89,#REF!,#REF!,))</f>
        <v>#NAME?</v>
      </c>
      <c r="X89" s="9" t="e">
        <f t="shared" ca="1" si="2"/>
        <v>#NAME?</v>
      </c>
      <c r="Y89" s="7"/>
      <c r="Z89" s="7"/>
    </row>
    <row r="90" spans="1:26" ht="13" x14ac:dyDescent="0.6">
      <c r="A90" s="28" t="str">
        <f t="shared" si="1"/>
        <v/>
      </c>
      <c r="B90" s="7"/>
      <c r="C90" s="7"/>
      <c r="D90" s="9"/>
      <c r="E90" s="9"/>
      <c r="F90" s="7"/>
      <c r="G90" s="7"/>
      <c r="H90" s="7"/>
      <c r="I90" s="7"/>
      <c r="J90" s="7"/>
      <c r="K90" s="7"/>
      <c r="L90" s="7"/>
      <c r="M90" s="7"/>
      <c r="N90" s="7"/>
      <c r="O90" s="7"/>
      <c r="P90" s="29"/>
      <c r="Q90" s="29"/>
      <c r="R90" s="7"/>
      <c r="S90" s="7"/>
      <c r="T90" s="7" t="str">
        <f ca="1">IFERROR(__xludf.DUMMYFUNCTION("SPARKLINE({
IF(D90="""",0,D90),
IF(F90="""",0,F90),
IF(H90="""",0,H90),
IF(J90="""",0,J90),
IF(L90="""",0,L90),
IF(N90="""",0,N90),
IF(P90="""",0,P90)
})"),"")</f>
        <v/>
      </c>
      <c r="U90" s="7" t="str">
        <f ca="1">IFERROR(__xludf.DUMMYFUNCTION("SPARKLINE({
IF(E90="""",0,E90),
IF(G90="""",0,G90),
IF(I90="""",0,I90),
IF(K90="""",0,K90),
IF(M90="""",0,M90),
IF(O90="""",0,O90),
IF(Q90="""",0,Q90)
})"),"")</f>
        <v/>
      </c>
      <c r="V90" s="8" t="e">
        <f t="array" aca="1" ref="V90" ca="1">IF($C$4="Giao",_xludf.Xlookup(C90,#REF!,#REF!,),_xludf.Xlookup(C90,#REF!,#REF!,))</f>
        <v>#NAME?</v>
      </c>
      <c r="W90" s="8" t="e">
        <f t="array" aca="1" ref="W90" ca="1">IF($C$4="Giao", _xludf.Xlookup(C90,#REF!,#REF!,),_xludf.Xlookup(C90,#REF!,#REF!,))</f>
        <v>#NAME?</v>
      </c>
      <c r="X90" s="9" t="e">
        <f t="shared" ca="1" si="2"/>
        <v>#NAME?</v>
      </c>
      <c r="Y90" s="7"/>
      <c r="Z90" s="7"/>
    </row>
    <row r="91" spans="1:26" ht="13" x14ac:dyDescent="0.6">
      <c r="A91" s="28" t="str">
        <f t="shared" si="1"/>
        <v/>
      </c>
      <c r="B91" s="7"/>
      <c r="C91" s="7"/>
      <c r="D91" s="9"/>
      <c r="E91" s="9"/>
      <c r="F91" s="7"/>
      <c r="G91" s="7"/>
      <c r="H91" s="7"/>
      <c r="I91" s="7"/>
      <c r="J91" s="7"/>
      <c r="K91" s="7"/>
      <c r="L91" s="7"/>
      <c r="M91" s="7"/>
      <c r="N91" s="7"/>
      <c r="O91" s="7"/>
      <c r="P91" s="29"/>
      <c r="Q91" s="29"/>
      <c r="R91" s="7"/>
      <c r="S91" s="7"/>
      <c r="T91" s="7" t="str">
        <f ca="1">IFERROR(__xludf.DUMMYFUNCTION("SPARKLINE({
IF(D91="""",0,D91),
IF(F91="""",0,F91),
IF(H91="""",0,H91),
IF(J91="""",0,J91),
IF(L91="""",0,L91),
IF(N91="""",0,N91),
IF(P91="""",0,P91)
})"),"")</f>
        <v/>
      </c>
      <c r="U91" s="7" t="str">
        <f ca="1">IFERROR(__xludf.DUMMYFUNCTION("SPARKLINE({
IF(E91="""",0,E91),
IF(G91="""",0,G91),
IF(I91="""",0,I91),
IF(K91="""",0,K91),
IF(M91="""",0,M91),
IF(O91="""",0,O91),
IF(Q91="""",0,Q91)
})"),"")</f>
        <v/>
      </c>
      <c r="V91" s="8" t="e">
        <f t="array" aca="1" ref="V91" ca="1">IF($C$4="Giao",_xludf.Xlookup(C91,#REF!,#REF!,),_xludf.Xlookup(C91,#REF!,#REF!,))</f>
        <v>#NAME?</v>
      </c>
      <c r="W91" s="8" t="e">
        <f t="array" aca="1" ref="W91" ca="1">IF($C$4="Giao", _xludf.Xlookup(C91,#REF!,#REF!,),_xludf.Xlookup(C91,#REF!,#REF!,))</f>
        <v>#NAME?</v>
      </c>
      <c r="X91" s="9" t="e">
        <f t="shared" ca="1" si="2"/>
        <v>#NAME?</v>
      </c>
      <c r="Y91" s="7"/>
      <c r="Z91" s="7"/>
    </row>
    <row r="92" spans="1:26" ht="13" x14ac:dyDescent="0.6">
      <c r="A92" s="28" t="str">
        <f t="shared" si="1"/>
        <v/>
      </c>
      <c r="B92" s="7"/>
      <c r="C92" s="7"/>
      <c r="D92" s="9"/>
      <c r="E92" s="9"/>
      <c r="F92" s="7"/>
      <c r="G92" s="7"/>
      <c r="H92" s="7"/>
      <c r="I92" s="7"/>
      <c r="J92" s="7"/>
      <c r="K92" s="7"/>
      <c r="L92" s="7"/>
      <c r="M92" s="7"/>
      <c r="N92" s="7"/>
      <c r="O92" s="7"/>
      <c r="P92" s="29"/>
      <c r="Q92" s="29"/>
      <c r="R92" s="7"/>
      <c r="S92" s="7"/>
      <c r="T92" s="7" t="str">
        <f ca="1">IFERROR(__xludf.DUMMYFUNCTION("SPARKLINE({
IF(D92="""",0,D92),
IF(F92="""",0,F92),
IF(H92="""",0,H92),
IF(J92="""",0,J92),
IF(L92="""",0,L92),
IF(N92="""",0,N92),
IF(P92="""",0,P92)
})"),"")</f>
        <v/>
      </c>
      <c r="U92" s="7" t="str">
        <f ca="1">IFERROR(__xludf.DUMMYFUNCTION("SPARKLINE({
IF(E92="""",0,E92),
IF(G92="""",0,G92),
IF(I92="""",0,I92),
IF(K92="""",0,K92),
IF(M92="""",0,M92),
IF(O92="""",0,O92),
IF(Q92="""",0,Q92)
})"),"")</f>
        <v/>
      </c>
      <c r="V92" s="8" t="e">
        <f t="array" aca="1" ref="V92" ca="1">IF($C$4="Giao",_xludf.Xlookup(C92,#REF!,#REF!,),_xludf.Xlookup(C92,#REF!,#REF!,))</f>
        <v>#NAME?</v>
      </c>
      <c r="W92" s="8" t="e">
        <f t="array" aca="1" ref="W92" ca="1">IF($C$4="Giao", _xludf.Xlookup(C92,#REF!,#REF!,),_xludf.Xlookup(C92,#REF!,#REF!,))</f>
        <v>#NAME?</v>
      </c>
      <c r="X92" s="9" t="e">
        <f t="shared" ca="1" si="2"/>
        <v>#NAME?</v>
      </c>
      <c r="Y92" s="7"/>
      <c r="Z92" s="7"/>
    </row>
    <row r="93" spans="1:26" ht="13" x14ac:dyDescent="0.6">
      <c r="A93" s="28" t="str">
        <f t="shared" si="1"/>
        <v/>
      </c>
      <c r="B93" s="7"/>
      <c r="C93" s="7"/>
      <c r="D93" s="9"/>
      <c r="E93" s="9"/>
      <c r="F93" s="7"/>
      <c r="G93" s="7"/>
      <c r="H93" s="7"/>
      <c r="I93" s="7"/>
      <c r="J93" s="7"/>
      <c r="K93" s="7"/>
      <c r="L93" s="7"/>
      <c r="M93" s="7"/>
      <c r="N93" s="7"/>
      <c r="O93" s="7"/>
      <c r="P93" s="29"/>
      <c r="Q93" s="29"/>
      <c r="R93" s="7"/>
      <c r="S93" s="7"/>
      <c r="T93" s="7" t="str">
        <f ca="1">IFERROR(__xludf.DUMMYFUNCTION("SPARKLINE({
IF(D93="""",0,D93),
IF(F93="""",0,F93),
IF(H93="""",0,H93),
IF(J93="""",0,J93),
IF(L93="""",0,L93),
IF(N93="""",0,N93),
IF(P93="""",0,P93)
})"),"")</f>
        <v/>
      </c>
      <c r="U93" s="7" t="str">
        <f ca="1">IFERROR(__xludf.DUMMYFUNCTION("SPARKLINE({
IF(E93="""",0,E93),
IF(G93="""",0,G93),
IF(I93="""",0,I93),
IF(K93="""",0,K93),
IF(M93="""",0,M93),
IF(O93="""",0,O93),
IF(Q93="""",0,Q93)
})"),"")</f>
        <v/>
      </c>
      <c r="V93" s="8" t="e">
        <f t="array" aca="1" ref="V93" ca="1">IF($C$4="Giao",_xludf.Xlookup(C93,#REF!,#REF!,),_xludf.Xlookup(C93,#REF!,#REF!,))</f>
        <v>#NAME?</v>
      </c>
      <c r="W93" s="8" t="e">
        <f t="array" aca="1" ref="W93" ca="1">IF($C$4="Giao", _xludf.Xlookup(C93,#REF!,#REF!,),_xludf.Xlookup(C93,#REF!,#REF!,))</f>
        <v>#NAME?</v>
      </c>
      <c r="X93" s="9" t="e">
        <f t="shared" ca="1" si="2"/>
        <v>#NAME?</v>
      </c>
      <c r="Y93" s="7"/>
      <c r="Z93" s="7"/>
    </row>
    <row r="94" spans="1:26" ht="13" x14ac:dyDescent="0.6">
      <c r="A94" s="28" t="str">
        <f t="shared" si="1"/>
        <v/>
      </c>
      <c r="B94" s="7"/>
      <c r="C94" s="7"/>
      <c r="D94" s="9"/>
      <c r="E94" s="9"/>
      <c r="F94" s="7"/>
      <c r="G94" s="7"/>
      <c r="H94" s="7"/>
      <c r="I94" s="7"/>
      <c r="J94" s="7"/>
      <c r="K94" s="7"/>
      <c r="L94" s="7"/>
      <c r="M94" s="7"/>
      <c r="N94" s="7"/>
      <c r="O94" s="7"/>
      <c r="P94" s="29"/>
      <c r="Q94" s="29"/>
      <c r="R94" s="7"/>
      <c r="S94" s="7"/>
      <c r="T94" s="7" t="str">
        <f ca="1">IFERROR(__xludf.DUMMYFUNCTION("SPARKLINE({
IF(D94="""",0,D94),
IF(F94="""",0,F94),
IF(H94="""",0,H94),
IF(J94="""",0,J94),
IF(L94="""",0,L94),
IF(N94="""",0,N94),
IF(P94="""",0,P94)
})"),"")</f>
        <v/>
      </c>
      <c r="U94" s="7" t="str">
        <f ca="1">IFERROR(__xludf.DUMMYFUNCTION("SPARKLINE({
IF(E94="""",0,E94),
IF(G94="""",0,G94),
IF(I94="""",0,I94),
IF(K94="""",0,K94),
IF(M94="""",0,M94),
IF(O94="""",0,O94),
IF(Q94="""",0,Q94)
})"),"")</f>
        <v/>
      </c>
      <c r="V94" s="8" t="e">
        <f t="array" aca="1" ref="V94" ca="1">IF($C$4="Giao",_xludf.Xlookup(C94,#REF!,#REF!,),_xludf.Xlookup(C94,#REF!,#REF!,))</f>
        <v>#NAME?</v>
      </c>
      <c r="W94" s="8" t="e">
        <f t="array" aca="1" ref="W94" ca="1">IF($C$4="Giao", _xludf.Xlookup(C94,#REF!,#REF!,),_xludf.Xlookup(C94,#REF!,#REF!,))</f>
        <v>#NAME?</v>
      </c>
      <c r="X94" s="9" t="e">
        <f t="shared" ca="1" si="2"/>
        <v>#NAME?</v>
      </c>
      <c r="Y94" s="7"/>
      <c r="Z94" s="7"/>
    </row>
    <row r="95" spans="1:26" ht="13" x14ac:dyDescent="0.6">
      <c r="A95" s="28" t="str">
        <f t="shared" si="1"/>
        <v/>
      </c>
      <c r="B95" s="7"/>
      <c r="C95" s="7"/>
      <c r="D95" s="9"/>
      <c r="E95" s="9"/>
      <c r="F95" s="7"/>
      <c r="G95" s="7"/>
      <c r="H95" s="7"/>
      <c r="I95" s="7"/>
      <c r="J95" s="7"/>
      <c r="K95" s="7"/>
      <c r="L95" s="7"/>
      <c r="M95" s="7"/>
      <c r="N95" s="7"/>
      <c r="O95" s="7"/>
      <c r="P95" s="29"/>
      <c r="Q95" s="29"/>
      <c r="R95" s="7"/>
      <c r="S95" s="7"/>
      <c r="T95" s="7" t="str">
        <f ca="1">IFERROR(__xludf.DUMMYFUNCTION("SPARKLINE({
IF(D95="""",0,D95),
IF(F95="""",0,F95),
IF(H95="""",0,H95),
IF(J95="""",0,J95),
IF(L95="""",0,L95),
IF(N95="""",0,N95),
IF(P95="""",0,P95)
})"),"")</f>
        <v/>
      </c>
      <c r="U95" s="7" t="str">
        <f ca="1">IFERROR(__xludf.DUMMYFUNCTION("SPARKLINE({
IF(E95="""",0,E95),
IF(G95="""",0,G95),
IF(I95="""",0,I95),
IF(K95="""",0,K95),
IF(M95="""",0,M95),
IF(O95="""",0,O95),
IF(Q95="""",0,Q95)
})"),"")</f>
        <v/>
      </c>
      <c r="V95" s="8" t="e">
        <f t="array" aca="1" ref="V95" ca="1">IF($C$4="Giao",_xludf.Xlookup(C95,#REF!,#REF!,),_xludf.Xlookup(C95,#REF!,#REF!,))</f>
        <v>#NAME?</v>
      </c>
      <c r="W95" s="8" t="e">
        <f t="array" aca="1" ref="W95" ca="1">IF($C$4="Giao", _xludf.Xlookup(C95,#REF!,#REF!,),_xludf.Xlookup(C95,#REF!,#REF!,))</f>
        <v>#NAME?</v>
      </c>
      <c r="X95" s="9" t="e">
        <f t="shared" ca="1" si="2"/>
        <v>#NAME?</v>
      </c>
      <c r="Y95" s="7"/>
      <c r="Z95" s="7"/>
    </row>
    <row r="96" spans="1:26" ht="13" x14ac:dyDescent="0.6">
      <c r="A96" s="28" t="str">
        <f t="shared" si="1"/>
        <v/>
      </c>
      <c r="B96" s="7"/>
      <c r="C96" s="7"/>
      <c r="D96" s="9"/>
      <c r="E96" s="9"/>
      <c r="F96" s="7"/>
      <c r="G96" s="7"/>
      <c r="H96" s="7"/>
      <c r="I96" s="7"/>
      <c r="J96" s="7"/>
      <c r="K96" s="7"/>
      <c r="L96" s="7"/>
      <c r="M96" s="7"/>
      <c r="N96" s="7"/>
      <c r="O96" s="7"/>
      <c r="P96" s="29"/>
      <c r="Q96" s="29"/>
      <c r="R96" s="7"/>
      <c r="S96" s="7"/>
      <c r="T96" s="7" t="str">
        <f ca="1">IFERROR(__xludf.DUMMYFUNCTION("SPARKLINE({
IF(D96="""",0,D96),
IF(F96="""",0,F96),
IF(H96="""",0,H96),
IF(J96="""",0,J96),
IF(L96="""",0,L96),
IF(N96="""",0,N96),
IF(P96="""",0,P96)
})"),"")</f>
        <v/>
      </c>
      <c r="U96" s="7" t="str">
        <f ca="1">IFERROR(__xludf.DUMMYFUNCTION("SPARKLINE({
IF(E96="""",0,E96),
IF(G96="""",0,G96),
IF(I96="""",0,I96),
IF(K96="""",0,K96),
IF(M96="""",0,M96),
IF(O96="""",0,O96),
IF(Q96="""",0,Q96)
})"),"")</f>
        <v/>
      </c>
      <c r="V96" s="8" t="e">
        <f t="array" aca="1" ref="V96" ca="1">IF($C$4="Giao",_xludf.Xlookup(C96,#REF!,#REF!,),_xludf.Xlookup(C96,#REF!,#REF!,))</f>
        <v>#NAME?</v>
      </c>
      <c r="W96" s="8" t="e">
        <f t="array" aca="1" ref="W96" ca="1">IF($C$4="Giao", _xludf.Xlookup(C96,#REF!,#REF!,),_xludf.Xlookup(C96,#REF!,#REF!,))</f>
        <v>#NAME?</v>
      </c>
      <c r="X96" s="9" t="e">
        <f t="shared" ca="1" si="2"/>
        <v>#NAME?</v>
      </c>
      <c r="Y96" s="7"/>
      <c r="Z96" s="7"/>
    </row>
    <row r="97" spans="1:26" ht="13" x14ac:dyDescent="0.6">
      <c r="A97" s="28" t="str">
        <f t="shared" si="1"/>
        <v/>
      </c>
      <c r="B97" s="7"/>
      <c r="C97" s="7"/>
      <c r="D97" s="9"/>
      <c r="E97" s="9"/>
      <c r="F97" s="7"/>
      <c r="G97" s="7"/>
      <c r="H97" s="7"/>
      <c r="I97" s="7"/>
      <c r="J97" s="7"/>
      <c r="K97" s="7"/>
      <c r="L97" s="7"/>
      <c r="M97" s="7"/>
      <c r="N97" s="7"/>
      <c r="O97" s="7"/>
      <c r="P97" s="29"/>
      <c r="Q97" s="29"/>
      <c r="R97" s="7"/>
      <c r="S97" s="7"/>
      <c r="T97" s="7" t="str">
        <f ca="1">IFERROR(__xludf.DUMMYFUNCTION("SPARKLINE({
IF(D97="""",0,D97),
IF(F97="""",0,F97),
IF(H97="""",0,H97),
IF(J97="""",0,J97),
IF(L97="""",0,L97),
IF(N97="""",0,N97),
IF(P97="""",0,P97)
})"),"")</f>
        <v/>
      </c>
      <c r="U97" s="7" t="str">
        <f ca="1">IFERROR(__xludf.DUMMYFUNCTION("SPARKLINE({
IF(E97="""",0,E97),
IF(G97="""",0,G97),
IF(I97="""",0,I97),
IF(K97="""",0,K97),
IF(M97="""",0,M97),
IF(O97="""",0,O97),
IF(Q97="""",0,Q97)
})"),"")</f>
        <v/>
      </c>
      <c r="V97" s="8" t="e">
        <f t="array" aca="1" ref="V97" ca="1">IF($C$4="Giao",_xludf.Xlookup(C97,#REF!,#REF!,),_xludf.Xlookup(C97,#REF!,#REF!,))</f>
        <v>#NAME?</v>
      </c>
      <c r="W97" s="8" t="e">
        <f t="array" aca="1" ref="W97" ca="1">IF($C$4="Giao", _xludf.Xlookup(C97,#REF!,#REF!,),_xludf.Xlookup(C97,#REF!,#REF!,))</f>
        <v>#NAME?</v>
      </c>
      <c r="X97" s="9" t="e">
        <f t="shared" ca="1" si="2"/>
        <v>#NAME?</v>
      </c>
      <c r="Y97" s="7"/>
      <c r="Z97" s="7"/>
    </row>
    <row r="98" spans="1:26" ht="13" x14ac:dyDescent="0.6">
      <c r="A98" s="28" t="str">
        <f t="shared" si="1"/>
        <v/>
      </c>
      <c r="B98" s="7"/>
      <c r="C98" s="7"/>
      <c r="D98" s="9"/>
      <c r="E98" s="9"/>
      <c r="F98" s="7"/>
      <c r="G98" s="7"/>
      <c r="H98" s="7"/>
      <c r="I98" s="7"/>
      <c r="J98" s="7"/>
      <c r="K98" s="7"/>
      <c r="L98" s="7"/>
      <c r="M98" s="7"/>
      <c r="N98" s="7"/>
      <c r="O98" s="7"/>
      <c r="P98" s="29"/>
      <c r="Q98" s="29"/>
      <c r="R98" s="7"/>
      <c r="S98" s="7"/>
      <c r="T98" s="7" t="str">
        <f ca="1">IFERROR(__xludf.DUMMYFUNCTION("SPARKLINE({
IF(D98="""",0,D98),
IF(F98="""",0,F98),
IF(H98="""",0,H98),
IF(J98="""",0,J98),
IF(L98="""",0,L98),
IF(N98="""",0,N98),
IF(P98="""",0,P98)
})"),"")</f>
        <v/>
      </c>
      <c r="U98" s="7" t="str">
        <f ca="1">IFERROR(__xludf.DUMMYFUNCTION("SPARKLINE({
IF(E98="""",0,E98),
IF(G98="""",0,G98),
IF(I98="""",0,I98),
IF(K98="""",0,K98),
IF(M98="""",0,M98),
IF(O98="""",0,O98),
IF(Q98="""",0,Q98)
})"),"")</f>
        <v/>
      </c>
      <c r="V98" s="8" t="e">
        <f t="array" aca="1" ref="V98" ca="1">IF($C$4="Giao",_xludf.Xlookup(C98,#REF!,#REF!,),_xludf.Xlookup(C98,#REF!,#REF!,))</f>
        <v>#NAME?</v>
      </c>
      <c r="W98" s="8" t="e">
        <f t="array" aca="1" ref="W98" ca="1">IF($C$4="Giao", _xludf.Xlookup(C98,#REF!,#REF!,),_xludf.Xlookup(C98,#REF!,#REF!,))</f>
        <v>#NAME?</v>
      </c>
      <c r="X98" s="9" t="e">
        <f t="shared" ca="1" si="2"/>
        <v>#NAME?</v>
      </c>
      <c r="Y98" s="7"/>
      <c r="Z98" s="7"/>
    </row>
    <row r="99" spans="1:26" ht="13" x14ac:dyDescent="0.6">
      <c r="A99" s="28" t="str">
        <f t="shared" si="1"/>
        <v/>
      </c>
      <c r="B99" s="7"/>
      <c r="C99" s="7"/>
      <c r="D99" s="9"/>
      <c r="E99" s="9"/>
      <c r="F99" s="7"/>
      <c r="G99" s="7"/>
      <c r="H99" s="7"/>
      <c r="I99" s="7"/>
      <c r="J99" s="7"/>
      <c r="K99" s="7"/>
      <c r="L99" s="7"/>
      <c r="M99" s="7"/>
      <c r="N99" s="7"/>
      <c r="O99" s="7"/>
      <c r="P99" s="29"/>
      <c r="Q99" s="29"/>
      <c r="R99" s="7"/>
      <c r="S99" s="7"/>
      <c r="T99" s="7" t="str">
        <f ca="1">IFERROR(__xludf.DUMMYFUNCTION("SPARKLINE({
IF(D99="""",0,D99),
IF(F99="""",0,F99),
IF(H99="""",0,H99),
IF(J99="""",0,J99),
IF(L99="""",0,L99),
IF(N99="""",0,N99),
IF(P99="""",0,P99)
})"),"")</f>
        <v/>
      </c>
      <c r="U99" s="7" t="str">
        <f ca="1">IFERROR(__xludf.DUMMYFUNCTION("SPARKLINE({
IF(E99="""",0,E99),
IF(G99="""",0,G99),
IF(I99="""",0,I99),
IF(K99="""",0,K99),
IF(M99="""",0,M99),
IF(O99="""",0,O99),
IF(Q99="""",0,Q99)
})"),"")</f>
        <v/>
      </c>
      <c r="V99" s="8" t="e">
        <f t="array" aca="1" ref="V99" ca="1">IF($C$4="Giao",_xludf.Xlookup(C99,#REF!,#REF!,),_xludf.Xlookup(C99,#REF!,#REF!,))</f>
        <v>#NAME?</v>
      </c>
      <c r="W99" s="8" t="e">
        <f t="array" aca="1" ref="W99" ca="1">IF($C$4="Giao", _xludf.Xlookup(C99,#REF!,#REF!,),_xludf.Xlookup(C99,#REF!,#REF!,))</f>
        <v>#NAME?</v>
      </c>
      <c r="X99" s="9" t="e">
        <f t="shared" ca="1" si="2"/>
        <v>#NAME?</v>
      </c>
      <c r="Y99" s="7"/>
      <c r="Z99" s="7"/>
    </row>
    <row r="100" spans="1:26" ht="13" x14ac:dyDescent="0.6">
      <c r="A100" s="28" t="str">
        <f t="shared" si="1"/>
        <v/>
      </c>
      <c r="B100" s="7"/>
      <c r="C100" s="7"/>
      <c r="D100" s="9"/>
      <c r="E100" s="9"/>
      <c r="F100" s="7"/>
      <c r="G100" s="7"/>
      <c r="H100" s="7"/>
      <c r="I100" s="7"/>
      <c r="J100" s="7"/>
      <c r="K100" s="7"/>
      <c r="L100" s="7"/>
      <c r="M100" s="7"/>
      <c r="N100" s="7"/>
      <c r="O100" s="7"/>
      <c r="P100" s="29"/>
      <c r="Q100" s="29"/>
      <c r="R100" s="7"/>
      <c r="S100" s="7"/>
      <c r="T100" s="7" t="str">
        <f ca="1">IFERROR(__xludf.DUMMYFUNCTION("SPARKLINE({
IF(D100="""",0,D100),
IF(F100="""",0,F100),
IF(H100="""",0,H100),
IF(J100="""",0,J100),
IF(L100="""",0,L100),
IF(N100="""",0,N100),
IF(P100="""",0,P100)
})"),"")</f>
        <v/>
      </c>
      <c r="U100" s="7" t="str">
        <f ca="1">IFERROR(__xludf.DUMMYFUNCTION("SPARKLINE({
IF(E100="""",0,E100),
IF(G100="""",0,G100),
IF(I100="""",0,I100),
IF(K100="""",0,K100),
IF(M100="""",0,M100),
IF(O100="""",0,O100),
IF(Q100="""",0,Q100)
})"),"")</f>
        <v/>
      </c>
      <c r="V100" s="8" t="e">
        <f t="array" aca="1" ref="V100" ca="1">IF($C$4="Giao",_xludf.Xlookup(C100,#REF!,#REF!,),_xludf.Xlookup(C100,#REF!,#REF!,))</f>
        <v>#NAME?</v>
      </c>
      <c r="W100" s="8" t="e">
        <f t="array" aca="1" ref="W100" ca="1">IF($C$4="Giao", _xludf.Xlookup(C100,#REF!,#REF!,),_xludf.Xlookup(C100,#REF!,#REF!,))</f>
        <v>#NAME?</v>
      </c>
      <c r="X100" s="9" t="e">
        <f t="shared" ca="1" si="2"/>
        <v>#NAME?</v>
      </c>
      <c r="Y100" s="7"/>
      <c r="Z100" s="7"/>
    </row>
    <row r="101" spans="1:26" ht="13" x14ac:dyDescent="0.6">
      <c r="A101" s="28" t="str">
        <f t="shared" si="1"/>
        <v/>
      </c>
      <c r="B101" s="7"/>
      <c r="C101" s="7"/>
      <c r="D101" s="9"/>
      <c r="E101" s="9"/>
      <c r="F101" s="7"/>
      <c r="G101" s="7"/>
      <c r="H101" s="7"/>
      <c r="I101" s="7"/>
      <c r="J101" s="7"/>
      <c r="K101" s="7"/>
      <c r="L101" s="7"/>
      <c r="M101" s="7"/>
      <c r="N101" s="7"/>
      <c r="O101" s="7"/>
      <c r="P101" s="29"/>
      <c r="Q101" s="29"/>
      <c r="R101" s="7"/>
      <c r="S101" s="7"/>
      <c r="T101" s="7" t="str">
        <f ca="1">IFERROR(__xludf.DUMMYFUNCTION("SPARKLINE({
IF(D101="""",0,D101),
IF(F101="""",0,F101),
IF(H101="""",0,H101),
IF(J101="""",0,J101),
IF(L101="""",0,L101),
IF(N101="""",0,N101),
IF(P101="""",0,P101)
})"),"")</f>
        <v/>
      </c>
      <c r="U101" s="7" t="str">
        <f ca="1">IFERROR(__xludf.DUMMYFUNCTION("SPARKLINE({
IF(E101="""",0,E101),
IF(G101="""",0,G101),
IF(I101="""",0,I101),
IF(K101="""",0,K101),
IF(M101="""",0,M101),
IF(O101="""",0,O101),
IF(Q101="""",0,Q101)
})"),"")</f>
        <v/>
      </c>
      <c r="V101" s="8" t="e">
        <f t="array" aca="1" ref="V101" ca="1">IF($C$4="Giao",_xludf.Xlookup(C101,#REF!,#REF!,),_xludf.Xlookup(C101,#REF!,#REF!,))</f>
        <v>#NAME?</v>
      </c>
      <c r="W101" s="8" t="e">
        <f t="array" aca="1" ref="W101" ca="1">IF($C$4="Giao", _xludf.Xlookup(C101,#REF!,#REF!,),_xludf.Xlookup(C101,#REF!,#REF!,))</f>
        <v>#NAME?</v>
      </c>
      <c r="X101" s="9" t="e">
        <f t="shared" ca="1" si="2"/>
        <v>#NAME?</v>
      </c>
      <c r="Y101" s="7"/>
      <c r="Z101" s="7"/>
    </row>
    <row r="102" spans="1:26" ht="13" x14ac:dyDescent="0.6">
      <c r="A102" s="28" t="str">
        <f t="shared" si="1"/>
        <v/>
      </c>
      <c r="B102" s="7"/>
      <c r="C102" s="7"/>
      <c r="D102" s="9"/>
      <c r="E102" s="9"/>
      <c r="F102" s="7"/>
      <c r="G102" s="7"/>
      <c r="H102" s="7"/>
      <c r="I102" s="7"/>
      <c r="J102" s="7"/>
      <c r="K102" s="7"/>
      <c r="L102" s="7"/>
      <c r="M102" s="7"/>
      <c r="N102" s="7"/>
      <c r="O102" s="7"/>
      <c r="P102" s="29"/>
      <c r="Q102" s="29"/>
      <c r="R102" s="7"/>
      <c r="S102" s="7"/>
      <c r="T102" s="7" t="str">
        <f ca="1">IFERROR(__xludf.DUMMYFUNCTION("SPARKLINE({
IF(D102="""",0,D102),
IF(F102="""",0,F102),
IF(H102="""",0,H102),
IF(J102="""",0,J102),
IF(L102="""",0,L102),
IF(N102="""",0,N102),
IF(P102="""",0,P102)
})"),"")</f>
        <v/>
      </c>
      <c r="U102" s="7" t="str">
        <f ca="1">IFERROR(__xludf.DUMMYFUNCTION("SPARKLINE({
IF(E102="""",0,E102),
IF(G102="""",0,G102),
IF(I102="""",0,I102),
IF(K102="""",0,K102),
IF(M102="""",0,M102),
IF(O102="""",0,O102),
IF(Q102="""",0,Q102)
})"),"")</f>
        <v/>
      </c>
      <c r="V102" s="8" t="e">
        <f t="array" aca="1" ref="V102" ca="1">IF($C$4="Giao",_xludf.Xlookup(C102,#REF!,#REF!,),_xludf.Xlookup(C102,#REF!,#REF!,))</f>
        <v>#NAME?</v>
      </c>
      <c r="W102" s="8" t="e">
        <f t="array" aca="1" ref="W102" ca="1">IF($C$4="Giao", _xludf.Xlookup(C102,#REF!,#REF!,),_xludf.Xlookup(C102,#REF!,#REF!,))</f>
        <v>#NAME?</v>
      </c>
      <c r="X102" s="9" t="e">
        <f t="shared" ca="1" si="2"/>
        <v>#NAME?</v>
      </c>
      <c r="Y102" s="7"/>
      <c r="Z102" s="7"/>
    </row>
    <row r="103" spans="1:26" ht="13" x14ac:dyDescent="0.6">
      <c r="A103" s="28" t="str">
        <f t="shared" si="1"/>
        <v/>
      </c>
      <c r="B103" s="7"/>
      <c r="C103" s="7"/>
      <c r="D103" s="9"/>
      <c r="E103" s="9"/>
      <c r="F103" s="7"/>
      <c r="G103" s="7"/>
      <c r="H103" s="7"/>
      <c r="I103" s="7"/>
      <c r="J103" s="7"/>
      <c r="K103" s="7"/>
      <c r="L103" s="7"/>
      <c r="M103" s="7"/>
      <c r="N103" s="7"/>
      <c r="O103" s="7"/>
      <c r="P103" s="29"/>
      <c r="Q103" s="29"/>
      <c r="R103" s="7"/>
      <c r="S103" s="7"/>
      <c r="T103" s="7" t="str">
        <f ca="1">IFERROR(__xludf.DUMMYFUNCTION("SPARKLINE({
IF(D103="""",0,D103),
IF(F103="""",0,F103),
IF(H103="""",0,H103),
IF(J103="""",0,J103),
IF(L103="""",0,L103),
IF(N103="""",0,N103),
IF(P103="""",0,P103)
})"),"")</f>
        <v/>
      </c>
      <c r="U103" s="7" t="str">
        <f ca="1">IFERROR(__xludf.DUMMYFUNCTION("SPARKLINE({
IF(E103="""",0,E103),
IF(G103="""",0,G103),
IF(I103="""",0,I103),
IF(K103="""",0,K103),
IF(M103="""",0,M103),
IF(O103="""",0,O103),
IF(Q103="""",0,Q103)
})"),"")</f>
        <v/>
      </c>
      <c r="V103" s="8" t="e">
        <f t="array" aca="1" ref="V103" ca="1">IF($C$4="Giao",_xludf.Xlookup(C103,#REF!,#REF!,),_xludf.Xlookup(C103,#REF!,#REF!,))</f>
        <v>#NAME?</v>
      </c>
      <c r="W103" s="8" t="e">
        <f t="array" aca="1" ref="W103" ca="1">IF($C$4="Giao", _xludf.Xlookup(C103,#REF!,#REF!,),_xludf.Xlookup(C103,#REF!,#REF!,))</f>
        <v>#NAME?</v>
      </c>
      <c r="X103" s="9" t="e">
        <f t="shared" ca="1" si="2"/>
        <v>#NAME?</v>
      </c>
      <c r="Y103" s="7"/>
      <c r="Z103" s="7"/>
    </row>
    <row r="104" spans="1:26" ht="13" x14ac:dyDescent="0.6">
      <c r="A104" s="28" t="str">
        <f t="shared" si="1"/>
        <v/>
      </c>
      <c r="B104" s="7"/>
      <c r="C104" s="7"/>
      <c r="D104" s="9"/>
      <c r="E104" s="9"/>
      <c r="F104" s="7"/>
      <c r="G104" s="7"/>
      <c r="H104" s="7"/>
      <c r="I104" s="7"/>
      <c r="J104" s="7"/>
      <c r="K104" s="7"/>
      <c r="L104" s="7"/>
      <c r="M104" s="7"/>
      <c r="N104" s="7"/>
      <c r="O104" s="7"/>
      <c r="P104" s="29"/>
      <c r="Q104" s="29"/>
      <c r="R104" s="7"/>
      <c r="S104" s="7"/>
      <c r="T104" s="7" t="str">
        <f ca="1">IFERROR(__xludf.DUMMYFUNCTION("SPARKLINE({
IF(D104="""",0,D104),
IF(F104="""",0,F104),
IF(H104="""",0,H104),
IF(J104="""",0,J104),
IF(L104="""",0,L104),
IF(N104="""",0,N104),
IF(P104="""",0,P104)
})"),"")</f>
        <v/>
      </c>
      <c r="U104" s="7" t="str">
        <f ca="1">IFERROR(__xludf.DUMMYFUNCTION("SPARKLINE({
IF(E104="""",0,E104),
IF(G104="""",0,G104),
IF(I104="""",0,I104),
IF(K104="""",0,K104),
IF(M104="""",0,M104),
IF(O104="""",0,O104),
IF(Q104="""",0,Q104)
})"),"")</f>
        <v/>
      </c>
      <c r="V104" s="8" t="e">
        <f t="array" aca="1" ref="V104" ca="1">IF($C$4="Giao",_xludf.Xlookup(C104,#REF!,#REF!,),_xludf.Xlookup(C104,#REF!,#REF!,))</f>
        <v>#NAME?</v>
      </c>
      <c r="W104" s="8" t="e">
        <f t="array" aca="1" ref="W104" ca="1">IF($C$4="Giao", _xludf.Xlookup(C104,#REF!,#REF!,),_xludf.Xlookup(C104,#REF!,#REF!,))</f>
        <v>#NAME?</v>
      </c>
      <c r="X104" s="9" t="e">
        <f t="shared" ca="1" si="2"/>
        <v>#NAME?</v>
      </c>
      <c r="Y104" s="7"/>
      <c r="Z104" s="7"/>
    </row>
    <row r="105" spans="1:26" ht="13" x14ac:dyDescent="0.6">
      <c r="A105" s="28" t="str">
        <f t="shared" si="1"/>
        <v/>
      </c>
      <c r="B105" s="7"/>
      <c r="C105" s="7"/>
      <c r="D105" s="9"/>
      <c r="E105" s="9"/>
      <c r="F105" s="7"/>
      <c r="G105" s="7"/>
      <c r="H105" s="7"/>
      <c r="I105" s="7"/>
      <c r="J105" s="7"/>
      <c r="K105" s="7"/>
      <c r="L105" s="7"/>
      <c r="M105" s="7"/>
      <c r="N105" s="7"/>
      <c r="O105" s="7"/>
      <c r="P105" s="29"/>
      <c r="Q105" s="29"/>
      <c r="R105" s="7"/>
      <c r="S105" s="7"/>
      <c r="T105" s="7" t="str">
        <f ca="1">IFERROR(__xludf.DUMMYFUNCTION("SPARKLINE({
IF(D105="""",0,D105),
IF(F105="""",0,F105),
IF(H105="""",0,H105),
IF(J105="""",0,J105),
IF(L105="""",0,L105),
IF(N105="""",0,N105),
IF(P105="""",0,P105)
})"),"")</f>
        <v/>
      </c>
      <c r="U105" s="7" t="str">
        <f ca="1">IFERROR(__xludf.DUMMYFUNCTION("SPARKLINE({
IF(E105="""",0,E105),
IF(G105="""",0,G105),
IF(I105="""",0,I105),
IF(K105="""",0,K105),
IF(M105="""",0,M105),
IF(O105="""",0,O105),
IF(Q105="""",0,Q105)
})"),"")</f>
        <v/>
      </c>
      <c r="V105" s="8" t="e">
        <f t="array" aca="1" ref="V105" ca="1">IF($C$4="Giao",_xludf.Xlookup(C105,#REF!,#REF!,),_xludf.Xlookup(C105,#REF!,#REF!,))</f>
        <v>#NAME?</v>
      </c>
      <c r="W105" s="8" t="e">
        <f t="array" aca="1" ref="W105" ca="1">IF($C$4="Giao", _xludf.Xlookup(C105,#REF!,#REF!,),_xludf.Xlookup(C105,#REF!,#REF!,))</f>
        <v>#NAME?</v>
      </c>
      <c r="X105" s="9" t="e">
        <f t="shared" ca="1" si="2"/>
        <v>#NAME?</v>
      </c>
      <c r="Y105" s="7"/>
      <c r="Z105" s="7"/>
    </row>
    <row r="106" spans="1:26" ht="13" x14ac:dyDescent="0.6">
      <c r="A106" s="28" t="str">
        <f t="shared" si="1"/>
        <v/>
      </c>
      <c r="B106" s="7"/>
      <c r="C106" s="7"/>
      <c r="D106" s="9"/>
      <c r="E106" s="9"/>
      <c r="F106" s="7"/>
      <c r="G106" s="7"/>
      <c r="H106" s="7"/>
      <c r="I106" s="7"/>
      <c r="J106" s="7"/>
      <c r="K106" s="7"/>
      <c r="L106" s="7"/>
      <c r="M106" s="7"/>
      <c r="N106" s="7"/>
      <c r="O106" s="7"/>
      <c r="P106" s="29"/>
      <c r="Q106" s="29"/>
      <c r="R106" s="7"/>
      <c r="S106" s="7"/>
      <c r="T106" s="7" t="str">
        <f ca="1">IFERROR(__xludf.DUMMYFUNCTION("SPARKLINE({
IF(D106="""",0,D106),
IF(F106="""",0,F106),
IF(H106="""",0,H106),
IF(J106="""",0,J106),
IF(L106="""",0,L106),
IF(N106="""",0,N106),
IF(P106="""",0,P106)
})"),"")</f>
        <v/>
      </c>
      <c r="U106" s="7" t="str">
        <f ca="1">IFERROR(__xludf.DUMMYFUNCTION("SPARKLINE({
IF(E106="""",0,E106),
IF(G106="""",0,G106),
IF(I106="""",0,I106),
IF(K106="""",0,K106),
IF(M106="""",0,M106),
IF(O106="""",0,O106),
IF(Q106="""",0,Q106)
})"),"")</f>
        <v/>
      </c>
      <c r="V106" s="8" t="e">
        <f t="array" aca="1" ref="V106" ca="1">IF($C$4="Giao",_xludf.Xlookup(C106,#REF!,#REF!,),_xludf.Xlookup(C106,#REF!,#REF!,))</f>
        <v>#NAME?</v>
      </c>
      <c r="W106" s="8" t="e">
        <f t="array" aca="1" ref="W106" ca="1">IF($C$4="Giao", _xludf.Xlookup(C106,#REF!,#REF!,),_xludf.Xlookup(C106,#REF!,#REF!,))</f>
        <v>#NAME?</v>
      </c>
      <c r="X106" s="9" t="e">
        <f t="shared" ca="1" si="2"/>
        <v>#NAME?</v>
      </c>
      <c r="Y106" s="7"/>
      <c r="Z106" s="7"/>
    </row>
    <row r="107" spans="1:26" ht="13" x14ac:dyDescent="0.6">
      <c r="A107" s="28" t="str">
        <f t="shared" si="1"/>
        <v/>
      </c>
      <c r="B107" s="7"/>
      <c r="C107" s="7"/>
      <c r="D107" s="9"/>
      <c r="E107" s="9"/>
      <c r="F107" s="7"/>
      <c r="G107" s="7"/>
      <c r="H107" s="7"/>
      <c r="I107" s="7"/>
      <c r="J107" s="7"/>
      <c r="K107" s="7"/>
      <c r="L107" s="7"/>
      <c r="M107" s="7"/>
      <c r="N107" s="7"/>
      <c r="O107" s="7"/>
      <c r="P107" s="29"/>
      <c r="Q107" s="29"/>
      <c r="R107" s="7"/>
      <c r="S107" s="7"/>
      <c r="T107" s="7" t="str">
        <f ca="1">IFERROR(__xludf.DUMMYFUNCTION("SPARKLINE({
IF(D107="""",0,D107),
IF(F107="""",0,F107),
IF(H107="""",0,H107),
IF(J107="""",0,J107),
IF(L107="""",0,L107),
IF(N107="""",0,N107),
IF(P107="""",0,P107)
})"),"")</f>
        <v/>
      </c>
      <c r="U107" s="7" t="str">
        <f ca="1">IFERROR(__xludf.DUMMYFUNCTION("SPARKLINE({
IF(E107="""",0,E107),
IF(G107="""",0,G107),
IF(I107="""",0,I107),
IF(K107="""",0,K107),
IF(M107="""",0,M107),
IF(O107="""",0,O107),
IF(Q107="""",0,Q107)
})"),"")</f>
        <v/>
      </c>
      <c r="V107" s="8" t="e">
        <f t="array" aca="1" ref="V107" ca="1">IF($C$4="Giao",_xludf.Xlookup(C107,#REF!,#REF!,),_xludf.Xlookup(C107,#REF!,#REF!,))</f>
        <v>#NAME?</v>
      </c>
      <c r="W107" s="8" t="e">
        <f t="array" aca="1" ref="W107" ca="1">IF($C$4="Giao", _xludf.Xlookup(C107,#REF!,#REF!,),_xludf.Xlookup(C107,#REF!,#REF!,))</f>
        <v>#NAME?</v>
      </c>
      <c r="X107" s="9" t="e">
        <f t="shared" ca="1" si="2"/>
        <v>#NAME?</v>
      </c>
      <c r="Y107" s="7"/>
      <c r="Z107" s="7"/>
    </row>
    <row r="108" spans="1:26" ht="13" x14ac:dyDescent="0.6">
      <c r="A108" s="28" t="str">
        <f t="shared" si="1"/>
        <v/>
      </c>
      <c r="B108" s="7"/>
      <c r="C108" s="7"/>
      <c r="D108" s="9"/>
      <c r="E108" s="9"/>
      <c r="F108" s="7"/>
      <c r="G108" s="7"/>
      <c r="H108" s="7"/>
      <c r="I108" s="7"/>
      <c r="J108" s="7"/>
      <c r="K108" s="7"/>
      <c r="L108" s="7"/>
      <c r="M108" s="7"/>
      <c r="N108" s="7"/>
      <c r="O108" s="7"/>
      <c r="P108" s="29"/>
      <c r="Q108" s="29"/>
      <c r="R108" s="7"/>
      <c r="S108" s="7"/>
      <c r="T108" s="7" t="str">
        <f ca="1">IFERROR(__xludf.DUMMYFUNCTION("SPARKLINE({
IF(D108="""",0,D108),
IF(F108="""",0,F108),
IF(H108="""",0,H108),
IF(J108="""",0,J108),
IF(L108="""",0,L108),
IF(N108="""",0,N108),
IF(P108="""",0,P108)
})"),"")</f>
        <v/>
      </c>
      <c r="U108" s="7" t="str">
        <f ca="1">IFERROR(__xludf.DUMMYFUNCTION("SPARKLINE({
IF(E108="""",0,E108),
IF(G108="""",0,G108),
IF(I108="""",0,I108),
IF(K108="""",0,K108),
IF(M108="""",0,M108),
IF(O108="""",0,O108),
IF(Q108="""",0,Q108)
})"),"")</f>
        <v/>
      </c>
      <c r="V108" s="8" t="e">
        <f t="array" aca="1" ref="V108" ca="1">IF($C$4="Giao",_xludf.Xlookup(C108,#REF!,#REF!,),_xludf.Xlookup(C108,#REF!,#REF!,))</f>
        <v>#NAME?</v>
      </c>
      <c r="W108" s="8" t="e">
        <f t="array" aca="1" ref="W108" ca="1">IF($C$4="Giao", _xludf.Xlookup(C108,#REF!,#REF!,),_xludf.Xlookup(C108,#REF!,#REF!,))</f>
        <v>#NAME?</v>
      </c>
      <c r="X108" s="9" t="e">
        <f t="shared" ca="1" si="2"/>
        <v>#NAME?</v>
      </c>
      <c r="Y108" s="7"/>
      <c r="Z108" s="7"/>
    </row>
    <row r="109" spans="1:26" ht="13" x14ac:dyDescent="0.6">
      <c r="A109" s="28" t="str">
        <f t="shared" si="1"/>
        <v/>
      </c>
      <c r="B109" s="7"/>
      <c r="C109" s="7"/>
      <c r="D109" s="9"/>
      <c r="E109" s="9"/>
      <c r="F109" s="7"/>
      <c r="G109" s="7"/>
      <c r="H109" s="7"/>
      <c r="I109" s="7"/>
      <c r="J109" s="7"/>
      <c r="K109" s="7"/>
      <c r="L109" s="7"/>
      <c r="M109" s="7"/>
      <c r="N109" s="7"/>
      <c r="O109" s="7"/>
      <c r="P109" s="29"/>
      <c r="Q109" s="29"/>
      <c r="R109" s="7"/>
      <c r="S109" s="7"/>
      <c r="T109" s="7" t="str">
        <f ca="1">IFERROR(__xludf.DUMMYFUNCTION("SPARKLINE({
IF(D109="""",0,D109),
IF(F109="""",0,F109),
IF(H109="""",0,H109),
IF(J109="""",0,J109),
IF(L109="""",0,L109),
IF(N109="""",0,N109),
IF(P109="""",0,P109)
})"),"")</f>
        <v/>
      </c>
      <c r="U109" s="7" t="str">
        <f ca="1">IFERROR(__xludf.DUMMYFUNCTION("SPARKLINE({
IF(E109="""",0,E109),
IF(G109="""",0,G109),
IF(I109="""",0,I109),
IF(K109="""",0,K109),
IF(M109="""",0,M109),
IF(O109="""",0,O109),
IF(Q109="""",0,Q109)
})"),"")</f>
        <v/>
      </c>
      <c r="V109" s="8" t="e">
        <f t="array" aca="1" ref="V109" ca="1">IF($C$4="Giao",_xludf.Xlookup(C109,#REF!,#REF!,),_xludf.Xlookup(C109,#REF!,#REF!,))</f>
        <v>#NAME?</v>
      </c>
      <c r="W109" s="8" t="e">
        <f t="array" aca="1" ref="W109" ca="1">IF($C$4="Giao", _xludf.Xlookup(C109,#REF!,#REF!,),_xludf.Xlookup(C109,#REF!,#REF!,))</f>
        <v>#NAME?</v>
      </c>
      <c r="X109" s="9" t="e">
        <f t="shared" ca="1" si="2"/>
        <v>#NAME?</v>
      </c>
      <c r="Y109" s="7"/>
      <c r="Z109" s="7"/>
    </row>
    <row r="110" spans="1:26" ht="13" x14ac:dyDescent="0.6">
      <c r="A110" s="28" t="str">
        <f t="shared" si="1"/>
        <v/>
      </c>
      <c r="B110" s="7"/>
      <c r="C110" s="7"/>
      <c r="D110" s="9"/>
      <c r="E110" s="9"/>
      <c r="F110" s="7"/>
      <c r="G110" s="7"/>
      <c r="H110" s="7"/>
      <c r="I110" s="7"/>
      <c r="J110" s="7"/>
      <c r="K110" s="7"/>
      <c r="L110" s="7"/>
      <c r="M110" s="7"/>
      <c r="N110" s="7"/>
      <c r="O110" s="7"/>
      <c r="P110" s="29"/>
      <c r="Q110" s="29"/>
      <c r="R110" s="7"/>
      <c r="S110" s="7"/>
      <c r="T110" s="7" t="str">
        <f ca="1">IFERROR(__xludf.DUMMYFUNCTION("SPARKLINE({
IF(D110="""",0,D110),
IF(F110="""",0,F110),
IF(H110="""",0,H110),
IF(J110="""",0,J110),
IF(L110="""",0,L110),
IF(N110="""",0,N110),
IF(P110="""",0,P110)
})"),"")</f>
        <v/>
      </c>
      <c r="U110" s="7" t="str">
        <f ca="1">IFERROR(__xludf.DUMMYFUNCTION("SPARKLINE({
IF(E110="""",0,E110),
IF(G110="""",0,G110),
IF(I110="""",0,I110),
IF(K110="""",0,K110),
IF(M110="""",0,M110),
IF(O110="""",0,O110),
IF(Q110="""",0,Q110)
})"),"")</f>
        <v/>
      </c>
      <c r="V110" s="8" t="e">
        <f t="array" aca="1" ref="V110" ca="1">IF($C$4="Giao",_xludf.Xlookup(C110,#REF!,#REF!,),_xludf.Xlookup(C110,#REF!,#REF!,))</f>
        <v>#NAME?</v>
      </c>
      <c r="W110" s="8" t="e">
        <f t="array" aca="1" ref="W110" ca="1">IF($C$4="Giao", _xludf.Xlookup(C110,#REF!,#REF!,),_xludf.Xlookup(C110,#REF!,#REF!,))</f>
        <v>#NAME?</v>
      </c>
      <c r="X110" s="9" t="e">
        <f t="shared" ca="1" si="2"/>
        <v>#NAME?</v>
      </c>
      <c r="Y110" s="7"/>
      <c r="Z110" s="7"/>
    </row>
    <row r="111" spans="1:26" ht="13" x14ac:dyDescent="0.6">
      <c r="A111" s="28" t="str">
        <f t="shared" si="1"/>
        <v/>
      </c>
      <c r="B111" s="7"/>
      <c r="C111" s="7"/>
      <c r="D111" s="9"/>
      <c r="E111" s="9"/>
      <c r="F111" s="7"/>
      <c r="G111" s="7"/>
      <c r="H111" s="7"/>
      <c r="I111" s="7"/>
      <c r="J111" s="7"/>
      <c r="K111" s="7"/>
      <c r="L111" s="7"/>
      <c r="M111" s="7"/>
      <c r="N111" s="7"/>
      <c r="O111" s="7"/>
      <c r="P111" s="29"/>
      <c r="Q111" s="29"/>
      <c r="R111" s="7"/>
      <c r="S111" s="7"/>
      <c r="T111" s="7" t="str">
        <f ca="1">IFERROR(__xludf.DUMMYFUNCTION("SPARKLINE({
IF(D111="""",0,D111),
IF(F111="""",0,F111),
IF(H111="""",0,H111),
IF(J111="""",0,J111),
IF(L111="""",0,L111),
IF(N111="""",0,N111),
IF(P111="""",0,P111)
})"),"")</f>
        <v/>
      </c>
      <c r="U111" s="7" t="str">
        <f ca="1">IFERROR(__xludf.DUMMYFUNCTION("SPARKLINE({
IF(E111="""",0,E111),
IF(G111="""",0,G111),
IF(I111="""",0,I111),
IF(K111="""",0,K111),
IF(M111="""",0,M111),
IF(O111="""",0,O111),
IF(Q111="""",0,Q111)
})"),"")</f>
        <v/>
      </c>
      <c r="V111" s="8" t="e">
        <f t="array" aca="1" ref="V111" ca="1">IF($C$4="Giao",_xludf.Xlookup(C111,#REF!,#REF!,),_xludf.Xlookup(C111,#REF!,#REF!,))</f>
        <v>#NAME?</v>
      </c>
      <c r="W111" s="8" t="e">
        <f t="array" aca="1" ref="W111" ca="1">IF($C$4="Giao", _xludf.Xlookup(C111,#REF!,#REF!,),_xludf.Xlookup(C111,#REF!,#REF!,))</f>
        <v>#NAME?</v>
      </c>
      <c r="X111" s="9" t="e">
        <f t="shared" ca="1" si="2"/>
        <v>#NAME?</v>
      </c>
      <c r="Y111" s="7"/>
      <c r="Z111" s="7"/>
    </row>
    <row r="112" spans="1:26" ht="13" x14ac:dyDescent="0.6">
      <c r="A112" s="28" t="str">
        <f t="shared" si="1"/>
        <v/>
      </c>
      <c r="B112" s="7"/>
      <c r="C112" s="7"/>
      <c r="D112" s="9"/>
      <c r="E112" s="9"/>
      <c r="F112" s="7"/>
      <c r="G112" s="7"/>
      <c r="H112" s="7"/>
      <c r="I112" s="7"/>
      <c r="J112" s="7"/>
      <c r="K112" s="7"/>
      <c r="L112" s="7"/>
      <c r="M112" s="7"/>
      <c r="N112" s="7"/>
      <c r="O112" s="7"/>
      <c r="P112" s="29"/>
      <c r="Q112" s="29"/>
      <c r="R112" s="7"/>
      <c r="S112" s="7"/>
      <c r="T112" s="7" t="str">
        <f ca="1">IFERROR(__xludf.DUMMYFUNCTION("SPARKLINE({
IF(D112="""",0,D112),
IF(F112="""",0,F112),
IF(H112="""",0,H112),
IF(J112="""",0,J112),
IF(L112="""",0,L112),
IF(N112="""",0,N112),
IF(P112="""",0,P112)
})"),"")</f>
        <v/>
      </c>
      <c r="U112" s="7" t="str">
        <f ca="1">IFERROR(__xludf.DUMMYFUNCTION("SPARKLINE({
IF(E112="""",0,E112),
IF(G112="""",0,G112),
IF(I112="""",0,I112),
IF(K112="""",0,K112),
IF(M112="""",0,M112),
IF(O112="""",0,O112),
IF(Q112="""",0,Q112)
})"),"")</f>
        <v/>
      </c>
      <c r="V112" s="8" t="e">
        <f t="array" aca="1" ref="V112" ca="1">IF($C$4="Giao",_xludf.Xlookup(C112,#REF!,#REF!,),_xludf.Xlookup(C112,#REF!,#REF!,))</f>
        <v>#NAME?</v>
      </c>
      <c r="W112" s="8" t="e">
        <f t="array" aca="1" ref="W112" ca="1">IF($C$4="Giao", _xludf.Xlookup(C112,#REF!,#REF!,),_xludf.Xlookup(C112,#REF!,#REF!,))</f>
        <v>#NAME?</v>
      </c>
      <c r="X112" s="9" t="e">
        <f t="shared" ca="1" si="2"/>
        <v>#NAME?</v>
      </c>
      <c r="Y112" s="7"/>
      <c r="Z112" s="7"/>
    </row>
    <row r="113" spans="1:26" ht="13" x14ac:dyDescent="0.6">
      <c r="A113" s="28" t="str">
        <f t="shared" si="1"/>
        <v/>
      </c>
      <c r="B113" s="7"/>
      <c r="C113" s="7"/>
      <c r="D113" s="9"/>
      <c r="E113" s="9"/>
      <c r="F113" s="7"/>
      <c r="G113" s="7"/>
      <c r="H113" s="7"/>
      <c r="I113" s="7"/>
      <c r="J113" s="7"/>
      <c r="K113" s="7"/>
      <c r="L113" s="7"/>
      <c r="M113" s="7"/>
      <c r="N113" s="7"/>
      <c r="O113" s="7"/>
      <c r="P113" s="29"/>
      <c r="Q113" s="29"/>
      <c r="R113" s="7"/>
      <c r="S113" s="7"/>
      <c r="T113" s="7" t="str">
        <f ca="1">IFERROR(__xludf.DUMMYFUNCTION("SPARKLINE({
IF(D113="""",0,D113),
IF(F113="""",0,F113),
IF(H113="""",0,H113),
IF(J113="""",0,J113),
IF(L113="""",0,L113),
IF(N113="""",0,N113),
IF(P113="""",0,P113)
})"),"")</f>
        <v/>
      </c>
      <c r="U113" s="7" t="str">
        <f ca="1">IFERROR(__xludf.DUMMYFUNCTION("SPARKLINE({
IF(E113="""",0,E113),
IF(G113="""",0,G113),
IF(I113="""",0,I113),
IF(K113="""",0,K113),
IF(M113="""",0,M113),
IF(O113="""",0,O113),
IF(Q113="""",0,Q113)
})"),"")</f>
        <v/>
      </c>
      <c r="V113" s="8" t="e">
        <f t="array" aca="1" ref="V113" ca="1">IF($C$4="Giao",_xludf.Xlookup(C113,#REF!,#REF!,),_xludf.Xlookup(C113,#REF!,#REF!,))</f>
        <v>#NAME?</v>
      </c>
      <c r="W113" s="8" t="e">
        <f t="array" aca="1" ref="W113" ca="1">IF($C$4="Giao", _xludf.Xlookup(C113,#REF!,#REF!,),_xludf.Xlookup(C113,#REF!,#REF!,))</f>
        <v>#NAME?</v>
      </c>
      <c r="X113" s="9" t="e">
        <f t="shared" ca="1" si="2"/>
        <v>#NAME?</v>
      </c>
      <c r="Y113" s="7"/>
      <c r="Z113" s="7"/>
    </row>
    <row r="114" spans="1:26" ht="13" x14ac:dyDescent="0.6">
      <c r="A114" s="28" t="str">
        <f t="shared" si="1"/>
        <v/>
      </c>
      <c r="B114" s="7"/>
      <c r="C114" s="7"/>
      <c r="D114" s="9"/>
      <c r="E114" s="9"/>
      <c r="F114" s="7"/>
      <c r="G114" s="7"/>
      <c r="H114" s="7"/>
      <c r="I114" s="7"/>
      <c r="J114" s="7"/>
      <c r="K114" s="7"/>
      <c r="L114" s="7"/>
      <c r="M114" s="7"/>
      <c r="N114" s="7"/>
      <c r="O114" s="7"/>
      <c r="P114" s="29"/>
      <c r="Q114" s="29"/>
      <c r="R114" s="7"/>
      <c r="S114" s="7"/>
      <c r="T114" s="7" t="str">
        <f ca="1">IFERROR(__xludf.DUMMYFUNCTION("SPARKLINE({
IF(D114="""",0,D114),
IF(F114="""",0,F114),
IF(H114="""",0,H114),
IF(J114="""",0,J114),
IF(L114="""",0,L114),
IF(N114="""",0,N114),
IF(P114="""",0,P114)
})"),"")</f>
        <v/>
      </c>
      <c r="U114" s="7" t="str">
        <f ca="1">IFERROR(__xludf.DUMMYFUNCTION("SPARKLINE({
IF(E114="""",0,E114),
IF(G114="""",0,G114),
IF(I114="""",0,I114),
IF(K114="""",0,K114),
IF(M114="""",0,M114),
IF(O114="""",0,O114),
IF(Q114="""",0,Q114)
})"),"")</f>
        <v/>
      </c>
      <c r="V114" s="8" t="e">
        <f t="array" aca="1" ref="V114" ca="1">IF($C$4="Giao",_xludf.Xlookup(C114,#REF!,#REF!,),_xludf.Xlookup(C114,#REF!,#REF!,))</f>
        <v>#NAME?</v>
      </c>
      <c r="W114" s="8" t="e">
        <f t="array" aca="1" ref="W114" ca="1">IF($C$4="Giao", _xludf.Xlookup(C114,#REF!,#REF!,),_xludf.Xlookup(C114,#REF!,#REF!,))</f>
        <v>#NAME?</v>
      </c>
      <c r="X114" s="9" t="e">
        <f t="shared" ca="1" si="2"/>
        <v>#NAME?</v>
      </c>
      <c r="Y114" s="7"/>
      <c r="Z114" s="7"/>
    </row>
    <row r="115" spans="1:26" ht="13" x14ac:dyDescent="0.6">
      <c r="A115" s="28" t="str">
        <f t="shared" si="1"/>
        <v/>
      </c>
      <c r="B115" s="7"/>
      <c r="C115" s="7"/>
      <c r="D115" s="9"/>
      <c r="E115" s="9"/>
      <c r="F115" s="7"/>
      <c r="G115" s="7"/>
      <c r="H115" s="7"/>
      <c r="I115" s="7"/>
      <c r="J115" s="7"/>
      <c r="K115" s="7"/>
      <c r="L115" s="7"/>
      <c r="M115" s="7"/>
      <c r="N115" s="7"/>
      <c r="O115" s="7"/>
      <c r="P115" s="29"/>
      <c r="Q115" s="29"/>
      <c r="R115" s="7"/>
      <c r="S115" s="7"/>
      <c r="T115" s="7" t="str">
        <f ca="1">IFERROR(__xludf.DUMMYFUNCTION("SPARKLINE({
IF(D115="""",0,D115),
IF(F115="""",0,F115),
IF(H115="""",0,H115),
IF(J115="""",0,J115),
IF(L115="""",0,L115),
IF(N115="""",0,N115),
IF(P115="""",0,P115)
})"),"")</f>
        <v/>
      </c>
      <c r="U115" s="7" t="str">
        <f ca="1">IFERROR(__xludf.DUMMYFUNCTION("SPARKLINE({
IF(E115="""",0,E115),
IF(G115="""",0,G115),
IF(I115="""",0,I115),
IF(K115="""",0,K115),
IF(M115="""",0,M115),
IF(O115="""",0,O115),
IF(Q115="""",0,Q115)
})"),"")</f>
        <v/>
      </c>
      <c r="V115" s="8" t="e">
        <f t="array" aca="1" ref="V115" ca="1">IF($C$4="Giao",_xludf.Xlookup(C115,#REF!,#REF!,),_xludf.Xlookup(C115,#REF!,#REF!,))</f>
        <v>#NAME?</v>
      </c>
      <c r="W115" s="8" t="e">
        <f t="array" aca="1" ref="W115" ca="1">IF($C$4="Giao", _xludf.Xlookup(C115,#REF!,#REF!,),_xludf.Xlookup(C115,#REF!,#REF!,))</f>
        <v>#NAME?</v>
      </c>
      <c r="X115" s="9" t="e">
        <f t="shared" ca="1" si="2"/>
        <v>#NAME?</v>
      </c>
      <c r="Y115" s="7"/>
      <c r="Z115" s="7"/>
    </row>
    <row r="116" spans="1:26" ht="13" x14ac:dyDescent="0.6">
      <c r="A116" s="28" t="str">
        <f t="shared" si="1"/>
        <v/>
      </c>
      <c r="B116" s="7"/>
      <c r="C116" s="7"/>
      <c r="D116" s="9"/>
      <c r="E116" s="9"/>
      <c r="F116" s="7"/>
      <c r="G116" s="7"/>
      <c r="H116" s="7"/>
      <c r="I116" s="7"/>
      <c r="J116" s="7"/>
      <c r="K116" s="7"/>
      <c r="L116" s="7"/>
      <c r="M116" s="7"/>
      <c r="N116" s="7"/>
      <c r="O116" s="7"/>
      <c r="P116" s="29"/>
      <c r="Q116" s="29"/>
      <c r="R116" s="7"/>
      <c r="S116" s="7"/>
      <c r="T116" s="7" t="str">
        <f ca="1">IFERROR(__xludf.DUMMYFUNCTION("SPARKLINE({
IF(D116="""",0,D116),
IF(F116="""",0,F116),
IF(H116="""",0,H116),
IF(J116="""",0,J116),
IF(L116="""",0,L116),
IF(N116="""",0,N116),
IF(P116="""",0,P116)
})"),"")</f>
        <v/>
      </c>
      <c r="U116" s="7" t="str">
        <f ca="1">IFERROR(__xludf.DUMMYFUNCTION("SPARKLINE({
IF(E116="""",0,E116),
IF(G116="""",0,G116),
IF(I116="""",0,I116),
IF(K116="""",0,K116),
IF(M116="""",0,M116),
IF(O116="""",0,O116),
IF(Q116="""",0,Q116)
})"),"")</f>
        <v/>
      </c>
      <c r="V116" s="8" t="e">
        <f t="array" aca="1" ref="V116" ca="1">IF($C$4="Giao",_xludf.Xlookup(C116,#REF!,#REF!,),_xludf.Xlookup(C116,#REF!,#REF!,))</f>
        <v>#NAME?</v>
      </c>
      <c r="W116" s="8" t="e">
        <f t="array" aca="1" ref="W116" ca="1">IF($C$4="Giao", _xludf.Xlookup(C116,#REF!,#REF!,),_xludf.Xlookup(C116,#REF!,#REF!,))</f>
        <v>#NAME?</v>
      </c>
      <c r="X116" s="9" t="e">
        <f t="shared" ca="1" si="2"/>
        <v>#NAME?</v>
      </c>
      <c r="Y116" s="7"/>
      <c r="Z116" s="7"/>
    </row>
    <row r="117" spans="1:26" ht="13" x14ac:dyDescent="0.6">
      <c r="A117" s="28" t="str">
        <f t="shared" si="1"/>
        <v/>
      </c>
      <c r="B117" s="7"/>
      <c r="C117" s="7"/>
      <c r="D117" s="9"/>
      <c r="E117" s="9"/>
      <c r="F117" s="7"/>
      <c r="G117" s="7"/>
      <c r="H117" s="7"/>
      <c r="I117" s="7"/>
      <c r="J117" s="7"/>
      <c r="K117" s="7"/>
      <c r="L117" s="7"/>
      <c r="M117" s="7"/>
      <c r="N117" s="7"/>
      <c r="O117" s="7"/>
      <c r="P117" s="29"/>
      <c r="Q117" s="29"/>
      <c r="R117" s="7"/>
      <c r="S117" s="7"/>
      <c r="T117" s="7" t="str">
        <f ca="1">IFERROR(__xludf.DUMMYFUNCTION("SPARKLINE({
IF(D117="""",0,D117),
IF(F117="""",0,F117),
IF(H117="""",0,H117),
IF(J117="""",0,J117),
IF(L117="""",0,L117),
IF(N117="""",0,N117),
IF(P117="""",0,P117)
})"),"")</f>
        <v/>
      </c>
      <c r="U117" s="7" t="str">
        <f ca="1">IFERROR(__xludf.DUMMYFUNCTION("SPARKLINE({
IF(E117="""",0,E117),
IF(G117="""",0,G117),
IF(I117="""",0,I117),
IF(K117="""",0,K117),
IF(M117="""",0,M117),
IF(O117="""",0,O117),
IF(Q117="""",0,Q117)
})"),"")</f>
        <v/>
      </c>
      <c r="V117" s="8" t="e">
        <f t="array" aca="1" ref="V117" ca="1">IF($C$4="Giao",_xludf.Xlookup(C117,#REF!,#REF!,),_xludf.Xlookup(C117,#REF!,#REF!,))</f>
        <v>#NAME?</v>
      </c>
      <c r="W117" s="8" t="e">
        <f t="array" aca="1" ref="W117" ca="1">IF($C$4="Giao", _xludf.Xlookup(C117,#REF!,#REF!,),_xludf.Xlookup(C117,#REF!,#REF!,))</f>
        <v>#NAME?</v>
      </c>
      <c r="X117" s="9" t="e">
        <f t="shared" ca="1" si="2"/>
        <v>#NAME?</v>
      </c>
      <c r="Y117" s="7"/>
      <c r="Z117" s="7"/>
    </row>
    <row r="118" spans="1:26" ht="13" x14ac:dyDescent="0.6">
      <c r="A118" s="28" t="str">
        <f t="shared" si="1"/>
        <v/>
      </c>
      <c r="B118" s="7"/>
      <c r="C118" s="7"/>
      <c r="D118" s="9"/>
      <c r="E118" s="9"/>
      <c r="F118" s="7"/>
      <c r="G118" s="7"/>
      <c r="H118" s="7"/>
      <c r="I118" s="7"/>
      <c r="J118" s="7"/>
      <c r="K118" s="7"/>
      <c r="L118" s="7"/>
      <c r="M118" s="7"/>
      <c r="N118" s="7"/>
      <c r="O118" s="7"/>
      <c r="P118" s="29"/>
      <c r="Q118" s="29"/>
      <c r="R118" s="7"/>
      <c r="S118" s="7"/>
      <c r="T118" s="7" t="str">
        <f ca="1">IFERROR(__xludf.DUMMYFUNCTION("SPARKLINE({
IF(D118="""",0,D118),
IF(F118="""",0,F118),
IF(H118="""",0,H118),
IF(J118="""",0,J118),
IF(L118="""",0,L118),
IF(N118="""",0,N118),
IF(P118="""",0,P118)
})"),"")</f>
        <v/>
      </c>
      <c r="U118" s="7" t="str">
        <f ca="1">IFERROR(__xludf.DUMMYFUNCTION("SPARKLINE({
IF(E118="""",0,E118),
IF(G118="""",0,G118),
IF(I118="""",0,I118),
IF(K118="""",0,K118),
IF(M118="""",0,M118),
IF(O118="""",0,O118),
IF(Q118="""",0,Q118)
})"),"")</f>
        <v/>
      </c>
      <c r="V118" s="8" t="e">
        <f t="array" aca="1" ref="V118" ca="1">IF($C$4="Giao",_xludf.Xlookup(C118,#REF!,#REF!,),_xludf.Xlookup(C118,#REF!,#REF!,))</f>
        <v>#NAME?</v>
      </c>
      <c r="W118" s="8" t="e">
        <f t="array" aca="1" ref="W118" ca="1">IF($C$4="Giao", _xludf.Xlookup(C118,#REF!,#REF!,),_xludf.Xlookup(C118,#REF!,#REF!,))</f>
        <v>#NAME?</v>
      </c>
      <c r="X118" s="9" t="e">
        <f t="shared" ca="1" si="2"/>
        <v>#NAME?</v>
      </c>
      <c r="Y118" s="7"/>
      <c r="Z118" s="7"/>
    </row>
    <row r="119" spans="1:26" ht="13" x14ac:dyDescent="0.6">
      <c r="A119" s="28" t="str">
        <f t="shared" si="1"/>
        <v/>
      </c>
      <c r="B119" s="7"/>
      <c r="C119" s="7"/>
      <c r="D119" s="9"/>
      <c r="E119" s="9"/>
      <c r="F119" s="7"/>
      <c r="G119" s="7"/>
      <c r="H119" s="7"/>
      <c r="I119" s="7"/>
      <c r="J119" s="7"/>
      <c r="K119" s="7"/>
      <c r="L119" s="7"/>
      <c r="M119" s="7"/>
      <c r="N119" s="7"/>
      <c r="O119" s="7"/>
      <c r="P119" s="29"/>
      <c r="Q119" s="29"/>
      <c r="R119" s="7"/>
      <c r="S119" s="7"/>
      <c r="T119" s="7" t="str">
        <f ca="1">IFERROR(__xludf.DUMMYFUNCTION("SPARKLINE({
IF(D119="""",0,D119),
IF(F119="""",0,F119),
IF(H119="""",0,H119),
IF(J119="""",0,J119),
IF(L119="""",0,L119),
IF(N119="""",0,N119),
IF(P119="""",0,P119)
})"),"")</f>
        <v/>
      </c>
      <c r="U119" s="7" t="str">
        <f ca="1">IFERROR(__xludf.DUMMYFUNCTION("SPARKLINE({
IF(E119="""",0,E119),
IF(G119="""",0,G119),
IF(I119="""",0,I119),
IF(K119="""",0,K119),
IF(M119="""",0,M119),
IF(O119="""",0,O119),
IF(Q119="""",0,Q119)
})"),"")</f>
        <v/>
      </c>
      <c r="V119" s="8" t="e">
        <f t="array" aca="1" ref="V119" ca="1">IF($C$4="Giao",_xludf.Xlookup(C119,#REF!,#REF!,),_xludf.Xlookup(C119,#REF!,#REF!,))</f>
        <v>#NAME?</v>
      </c>
      <c r="W119" s="8" t="e">
        <f t="array" aca="1" ref="W119" ca="1">IF($C$4="Giao", _xludf.Xlookup(C119,#REF!,#REF!,),_xludf.Xlookup(C119,#REF!,#REF!,))</f>
        <v>#NAME?</v>
      </c>
      <c r="X119" s="9" t="e">
        <f t="shared" ca="1" si="2"/>
        <v>#NAME?</v>
      </c>
      <c r="Y119" s="7"/>
      <c r="Z119" s="7"/>
    </row>
    <row r="120" spans="1:26" ht="13" x14ac:dyDescent="0.6">
      <c r="A120" s="28" t="str">
        <f t="shared" si="1"/>
        <v/>
      </c>
      <c r="B120" s="7"/>
      <c r="C120" s="7"/>
      <c r="D120" s="9"/>
      <c r="E120" s="9"/>
      <c r="F120" s="7"/>
      <c r="G120" s="7"/>
      <c r="H120" s="7"/>
      <c r="I120" s="7"/>
      <c r="J120" s="7"/>
      <c r="K120" s="7"/>
      <c r="L120" s="7"/>
      <c r="M120" s="7"/>
      <c r="N120" s="7"/>
      <c r="O120" s="7"/>
      <c r="P120" s="29"/>
      <c r="Q120" s="29"/>
      <c r="R120" s="7"/>
      <c r="S120" s="7"/>
      <c r="T120" s="7" t="str">
        <f ca="1">IFERROR(__xludf.DUMMYFUNCTION("SPARKLINE({
IF(D120="""",0,D120),
IF(F120="""",0,F120),
IF(H120="""",0,H120),
IF(J120="""",0,J120),
IF(L120="""",0,L120),
IF(N120="""",0,N120),
IF(P120="""",0,P120)
})"),"")</f>
        <v/>
      </c>
      <c r="U120" s="7" t="str">
        <f ca="1">IFERROR(__xludf.DUMMYFUNCTION("SPARKLINE({
IF(E120="""",0,E120),
IF(G120="""",0,G120),
IF(I120="""",0,I120),
IF(K120="""",0,K120),
IF(M120="""",0,M120),
IF(O120="""",0,O120),
IF(Q120="""",0,Q120)
})"),"")</f>
        <v/>
      </c>
      <c r="V120" s="8" t="e">
        <f t="array" aca="1" ref="V120" ca="1">IF($C$4="Giao",_xludf.Xlookup(C120,#REF!,#REF!,),_xludf.Xlookup(C120,#REF!,#REF!,))</f>
        <v>#NAME?</v>
      </c>
      <c r="W120" s="8" t="e">
        <f t="array" aca="1" ref="W120" ca="1">IF($C$4="Giao", _xludf.Xlookup(C120,#REF!,#REF!,),_xludf.Xlookup(C120,#REF!,#REF!,))</f>
        <v>#NAME?</v>
      </c>
      <c r="X120" s="9" t="e">
        <f t="shared" ca="1" si="2"/>
        <v>#NAME?</v>
      </c>
      <c r="Y120" s="7"/>
      <c r="Z120" s="7"/>
    </row>
    <row r="121" spans="1:26" ht="13" x14ac:dyDescent="0.6">
      <c r="A121" s="28" t="str">
        <f t="shared" si="1"/>
        <v/>
      </c>
      <c r="B121" s="7"/>
      <c r="C121" s="7"/>
      <c r="D121" s="9"/>
      <c r="E121" s="9"/>
      <c r="F121" s="7"/>
      <c r="G121" s="7"/>
      <c r="H121" s="7"/>
      <c r="I121" s="7"/>
      <c r="J121" s="7"/>
      <c r="K121" s="7"/>
      <c r="L121" s="7"/>
      <c r="M121" s="7"/>
      <c r="N121" s="7"/>
      <c r="O121" s="7"/>
      <c r="P121" s="29"/>
      <c r="Q121" s="29"/>
      <c r="R121" s="7"/>
      <c r="S121" s="7"/>
      <c r="T121" s="7" t="str">
        <f ca="1">IFERROR(__xludf.DUMMYFUNCTION("SPARKLINE({
IF(D121="""",0,D121),
IF(F121="""",0,F121),
IF(H121="""",0,H121),
IF(J121="""",0,J121),
IF(L121="""",0,L121),
IF(N121="""",0,N121),
IF(P121="""",0,P121)
})"),"")</f>
        <v/>
      </c>
      <c r="U121" s="7" t="str">
        <f ca="1">IFERROR(__xludf.DUMMYFUNCTION("SPARKLINE({
IF(E121="""",0,E121),
IF(G121="""",0,G121),
IF(I121="""",0,I121),
IF(K121="""",0,K121),
IF(M121="""",0,M121),
IF(O121="""",0,O121),
IF(Q121="""",0,Q121)
})"),"")</f>
        <v/>
      </c>
      <c r="V121" s="8" t="e">
        <f t="array" aca="1" ref="V121" ca="1">IF($C$4="Giao",_xludf.Xlookup(C121,#REF!,#REF!,),_xludf.Xlookup(C121,#REF!,#REF!,))</f>
        <v>#NAME?</v>
      </c>
      <c r="W121" s="8" t="e">
        <f t="array" aca="1" ref="W121" ca="1">IF($C$4="Giao", _xludf.Xlookup(C121,#REF!,#REF!,),_xludf.Xlookup(C121,#REF!,#REF!,))</f>
        <v>#NAME?</v>
      </c>
      <c r="X121" s="9" t="e">
        <f t="shared" ca="1" si="2"/>
        <v>#NAME?</v>
      </c>
      <c r="Y121" s="7"/>
      <c r="Z121" s="7"/>
    </row>
    <row r="122" spans="1:26" ht="13" x14ac:dyDescent="0.6">
      <c r="A122" s="28" t="str">
        <f t="shared" si="1"/>
        <v/>
      </c>
      <c r="B122" s="7"/>
      <c r="C122" s="7"/>
      <c r="D122" s="9"/>
      <c r="E122" s="9"/>
      <c r="F122" s="7"/>
      <c r="G122" s="7"/>
      <c r="H122" s="7"/>
      <c r="I122" s="7"/>
      <c r="J122" s="7"/>
      <c r="K122" s="7"/>
      <c r="L122" s="7"/>
      <c r="M122" s="7"/>
      <c r="N122" s="7"/>
      <c r="O122" s="7"/>
      <c r="P122" s="29"/>
      <c r="Q122" s="29"/>
      <c r="R122" s="7"/>
      <c r="S122" s="7"/>
      <c r="T122" s="7" t="str">
        <f ca="1">IFERROR(__xludf.DUMMYFUNCTION("SPARKLINE({
IF(D122="""",0,D122),
IF(F122="""",0,F122),
IF(H122="""",0,H122),
IF(J122="""",0,J122),
IF(L122="""",0,L122),
IF(N122="""",0,N122),
IF(P122="""",0,P122)
})"),"")</f>
        <v/>
      </c>
      <c r="U122" s="7" t="str">
        <f ca="1">IFERROR(__xludf.DUMMYFUNCTION("SPARKLINE({
IF(E122="""",0,E122),
IF(G122="""",0,G122),
IF(I122="""",0,I122),
IF(K122="""",0,K122),
IF(M122="""",0,M122),
IF(O122="""",0,O122),
IF(Q122="""",0,Q122)
})"),"")</f>
        <v/>
      </c>
      <c r="V122" s="8" t="e">
        <f t="array" aca="1" ref="V122" ca="1">IF($C$4="Giao",_xludf.Xlookup(C122,#REF!,#REF!,),_xludf.Xlookup(C122,#REF!,#REF!,))</f>
        <v>#NAME?</v>
      </c>
      <c r="W122" s="8" t="e">
        <f t="array" aca="1" ref="W122" ca="1">IF($C$4="Giao", _xludf.Xlookup(C122,#REF!,#REF!,),_xludf.Xlookup(C122,#REF!,#REF!,))</f>
        <v>#NAME?</v>
      </c>
      <c r="X122" s="9" t="e">
        <f t="shared" ca="1" si="2"/>
        <v>#NAME?</v>
      </c>
      <c r="Y122" s="7"/>
      <c r="Z122" s="7"/>
    </row>
    <row r="123" spans="1:26" ht="13" x14ac:dyDescent="0.6">
      <c r="A123" s="28" t="str">
        <f t="shared" si="1"/>
        <v/>
      </c>
      <c r="B123" s="7"/>
      <c r="C123" s="7"/>
      <c r="D123" s="9"/>
      <c r="E123" s="9"/>
      <c r="F123" s="7"/>
      <c r="G123" s="7"/>
      <c r="H123" s="7"/>
      <c r="I123" s="7"/>
      <c r="J123" s="7"/>
      <c r="K123" s="7"/>
      <c r="L123" s="7"/>
      <c r="M123" s="7"/>
      <c r="N123" s="7"/>
      <c r="O123" s="7"/>
      <c r="P123" s="29"/>
      <c r="Q123" s="29"/>
      <c r="R123" s="7"/>
      <c r="S123" s="7"/>
      <c r="T123" s="7" t="str">
        <f ca="1">IFERROR(__xludf.DUMMYFUNCTION("SPARKLINE({
IF(D123="""",0,D123),
IF(F123="""",0,F123),
IF(H123="""",0,H123),
IF(J123="""",0,J123),
IF(L123="""",0,L123),
IF(N123="""",0,N123),
IF(P123="""",0,P123)
})"),"")</f>
        <v/>
      </c>
      <c r="U123" s="7" t="str">
        <f ca="1">IFERROR(__xludf.DUMMYFUNCTION("SPARKLINE({
IF(E123="""",0,E123),
IF(G123="""",0,G123),
IF(I123="""",0,I123),
IF(K123="""",0,K123),
IF(M123="""",0,M123),
IF(O123="""",0,O123),
IF(Q123="""",0,Q123)
})"),"")</f>
        <v/>
      </c>
      <c r="V123" s="8" t="e">
        <f t="array" aca="1" ref="V123" ca="1">IF($C$4="Giao",_xludf.Xlookup(C123,#REF!,#REF!,),_xludf.Xlookup(C123,#REF!,#REF!,))</f>
        <v>#NAME?</v>
      </c>
      <c r="W123" s="8" t="e">
        <f t="array" aca="1" ref="W123" ca="1">IF($C$4="Giao", _xludf.Xlookup(C123,#REF!,#REF!,),_xludf.Xlookup(C123,#REF!,#REF!,))</f>
        <v>#NAME?</v>
      </c>
      <c r="X123" s="9" t="e">
        <f t="shared" ca="1" si="2"/>
        <v>#NAME?</v>
      </c>
      <c r="Y123" s="7"/>
      <c r="Z123" s="7"/>
    </row>
    <row r="124" spans="1:26" ht="13" x14ac:dyDescent="0.6">
      <c r="A124" s="28" t="str">
        <f t="shared" si="1"/>
        <v/>
      </c>
      <c r="B124" s="7"/>
      <c r="C124" s="7"/>
      <c r="D124" s="9"/>
      <c r="E124" s="9"/>
      <c r="F124" s="7"/>
      <c r="G124" s="7"/>
      <c r="H124" s="7"/>
      <c r="I124" s="7"/>
      <c r="J124" s="7"/>
      <c r="K124" s="7"/>
      <c r="L124" s="7"/>
      <c r="M124" s="7"/>
      <c r="N124" s="7"/>
      <c r="O124" s="7"/>
      <c r="P124" s="29"/>
      <c r="Q124" s="29"/>
      <c r="R124" s="7"/>
      <c r="S124" s="7"/>
      <c r="T124" s="7" t="str">
        <f ca="1">IFERROR(__xludf.DUMMYFUNCTION("SPARKLINE({
IF(D124="""",0,D124),
IF(F124="""",0,F124),
IF(H124="""",0,H124),
IF(J124="""",0,J124),
IF(L124="""",0,L124),
IF(N124="""",0,N124),
IF(P124="""",0,P124)
})"),"")</f>
        <v/>
      </c>
      <c r="U124" s="7" t="str">
        <f ca="1">IFERROR(__xludf.DUMMYFUNCTION("SPARKLINE({
IF(E124="""",0,E124),
IF(G124="""",0,G124),
IF(I124="""",0,I124),
IF(K124="""",0,K124),
IF(M124="""",0,M124),
IF(O124="""",0,O124),
IF(Q124="""",0,Q124)
})"),"")</f>
        <v/>
      </c>
      <c r="V124" s="8" t="e">
        <f t="array" aca="1" ref="V124" ca="1">IF($C$4="Giao",_xludf.Xlookup(C124,#REF!,#REF!,),_xludf.Xlookup(C124,#REF!,#REF!,))</f>
        <v>#NAME?</v>
      </c>
      <c r="W124" s="8" t="e">
        <f t="array" aca="1" ref="W124" ca="1">IF($C$4="Giao", _xludf.Xlookup(C124,#REF!,#REF!,),_xludf.Xlookup(C124,#REF!,#REF!,))</f>
        <v>#NAME?</v>
      </c>
      <c r="X124" s="9" t="e">
        <f t="shared" ca="1" si="2"/>
        <v>#NAME?</v>
      </c>
      <c r="Y124" s="7"/>
      <c r="Z124" s="7"/>
    </row>
    <row r="125" spans="1:26" ht="13" x14ac:dyDescent="0.6">
      <c r="A125" s="28" t="str">
        <f t="shared" si="1"/>
        <v/>
      </c>
      <c r="B125" s="7"/>
      <c r="C125" s="7"/>
      <c r="D125" s="9"/>
      <c r="E125" s="9"/>
      <c r="F125" s="7"/>
      <c r="G125" s="7"/>
      <c r="H125" s="7"/>
      <c r="I125" s="7"/>
      <c r="J125" s="7"/>
      <c r="K125" s="7"/>
      <c r="L125" s="7"/>
      <c r="M125" s="7"/>
      <c r="N125" s="7"/>
      <c r="O125" s="7"/>
      <c r="P125" s="29"/>
      <c r="Q125" s="29"/>
      <c r="R125" s="7"/>
      <c r="S125" s="7"/>
      <c r="T125" s="7" t="str">
        <f ca="1">IFERROR(__xludf.DUMMYFUNCTION("SPARKLINE({
IF(D125="""",0,D125),
IF(F125="""",0,F125),
IF(H125="""",0,H125),
IF(J125="""",0,J125),
IF(L125="""",0,L125),
IF(N125="""",0,N125),
IF(P125="""",0,P125)
})"),"")</f>
        <v/>
      </c>
      <c r="U125" s="7" t="str">
        <f ca="1">IFERROR(__xludf.DUMMYFUNCTION("SPARKLINE({
IF(E125="""",0,E125),
IF(G125="""",0,G125),
IF(I125="""",0,I125),
IF(K125="""",0,K125),
IF(M125="""",0,M125),
IF(O125="""",0,O125),
IF(Q125="""",0,Q125)
})"),"")</f>
        <v/>
      </c>
      <c r="V125" s="8" t="e">
        <f t="array" aca="1" ref="V125" ca="1">IF($C$4="Giao",_xludf.Xlookup(C125,#REF!,#REF!,),_xludf.Xlookup(C125,#REF!,#REF!,))</f>
        <v>#NAME?</v>
      </c>
      <c r="W125" s="8" t="e">
        <f t="array" aca="1" ref="W125" ca="1">IF($C$4="Giao", _xludf.Xlookup(C125,#REF!,#REF!,),_xludf.Xlookup(C125,#REF!,#REF!,))</f>
        <v>#NAME?</v>
      </c>
      <c r="X125" s="9" t="e">
        <f t="shared" ca="1" si="2"/>
        <v>#NAME?</v>
      </c>
      <c r="Y125" s="7"/>
      <c r="Z125" s="7"/>
    </row>
    <row r="126" spans="1:26" ht="13" x14ac:dyDescent="0.6">
      <c r="A126" s="28" t="str">
        <f t="shared" si="1"/>
        <v/>
      </c>
      <c r="B126" s="7"/>
      <c r="C126" s="7"/>
      <c r="D126" s="9"/>
      <c r="E126" s="9"/>
      <c r="F126" s="7"/>
      <c r="G126" s="7"/>
      <c r="H126" s="7"/>
      <c r="I126" s="7"/>
      <c r="J126" s="7"/>
      <c r="K126" s="7"/>
      <c r="L126" s="7"/>
      <c r="M126" s="7"/>
      <c r="N126" s="7"/>
      <c r="O126" s="7"/>
      <c r="P126" s="29"/>
      <c r="Q126" s="29"/>
      <c r="R126" s="7"/>
      <c r="S126" s="7"/>
      <c r="T126" s="7" t="str">
        <f ca="1">IFERROR(__xludf.DUMMYFUNCTION("SPARKLINE({
IF(D126="""",0,D126),
IF(F126="""",0,F126),
IF(H126="""",0,H126),
IF(J126="""",0,J126),
IF(L126="""",0,L126),
IF(N126="""",0,N126),
IF(P126="""",0,P126)
})"),"")</f>
        <v/>
      </c>
      <c r="U126" s="7" t="str">
        <f ca="1">IFERROR(__xludf.DUMMYFUNCTION("SPARKLINE({
IF(E126="""",0,E126),
IF(G126="""",0,G126),
IF(I126="""",0,I126),
IF(K126="""",0,K126),
IF(M126="""",0,M126),
IF(O126="""",0,O126),
IF(Q126="""",0,Q126)
})"),"")</f>
        <v/>
      </c>
      <c r="V126" s="8" t="e">
        <f t="array" aca="1" ref="V126" ca="1">IF($C$4="Giao",_xludf.Xlookup(C126,#REF!,#REF!,),_xludf.Xlookup(C126,#REF!,#REF!,))</f>
        <v>#NAME?</v>
      </c>
      <c r="W126" s="8" t="e">
        <f t="array" aca="1" ref="W126" ca="1">IF($C$4="Giao", _xludf.Xlookup(C126,#REF!,#REF!,),_xludf.Xlookup(C126,#REF!,#REF!,))</f>
        <v>#NAME?</v>
      </c>
      <c r="X126" s="9" t="e">
        <f t="shared" ca="1" si="2"/>
        <v>#NAME?</v>
      </c>
      <c r="Y126" s="7"/>
      <c r="Z126" s="7"/>
    </row>
    <row r="127" spans="1:26" ht="13" x14ac:dyDescent="0.6">
      <c r="A127" s="28" t="str">
        <f t="shared" si="1"/>
        <v/>
      </c>
      <c r="B127" s="7"/>
      <c r="C127" s="7"/>
      <c r="D127" s="9"/>
      <c r="E127" s="9"/>
      <c r="F127" s="7"/>
      <c r="G127" s="7"/>
      <c r="H127" s="7"/>
      <c r="I127" s="7"/>
      <c r="J127" s="7"/>
      <c r="K127" s="7"/>
      <c r="L127" s="7"/>
      <c r="M127" s="7"/>
      <c r="N127" s="7"/>
      <c r="O127" s="7"/>
      <c r="P127" s="29"/>
      <c r="Q127" s="29"/>
      <c r="R127" s="7"/>
      <c r="S127" s="7"/>
      <c r="T127" s="7" t="str">
        <f ca="1">IFERROR(__xludf.DUMMYFUNCTION("SPARKLINE({
IF(D127="""",0,D127),
IF(F127="""",0,F127),
IF(H127="""",0,H127),
IF(J127="""",0,J127),
IF(L127="""",0,L127),
IF(N127="""",0,N127),
IF(P127="""",0,P127)
})"),"")</f>
        <v/>
      </c>
      <c r="U127" s="7" t="str">
        <f ca="1">IFERROR(__xludf.DUMMYFUNCTION("SPARKLINE({
IF(E127="""",0,E127),
IF(G127="""",0,G127),
IF(I127="""",0,I127),
IF(K127="""",0,K127),
IF(M127="""",0,M127),
IF(O127="""",0,O127),
IF(Q127="""",0,Q127)
})"),"")</f>
        <v/>
      </c>
      <c r="V127" s="8" t="e">
        <f t="array" aca="1" ref="V127" ca="1">IF($C$4="Giao",_xludf.Xlookup(C127,#REF!,#REF!,),_xludf.Xlookup(C127,#REF!,#REF!,))</f>
        <v>#NAME?</v>
      </c>
      <c r="W127" s="8" t="e">
        <f t="array" aca="1" ref="W127" ca="1">IF($C$4="Giao", _xludf.Xlookup(C127,#REF!,#REF!,),_xludf.Xlookup(C127,#REF!,#REF!,))</f>
        <v>#NAME?</v>
      </c>
      <c r="X127" s="9" t="e">
        <f t="shared" ca="1" si="2"/>
        <v>#NAME?</v>
      </c>
      <c r="Y127" s="7"/>
      <c r="Z127" s="7"/>
    </row>
    <row r="128" spans="1:26" ht="13" x14ac:dyDescent="0.6">
      <c r="A128" s="28" t="str">
        <f t="shared" si="1"/>
        <v/>
      </c>
      <c r="B128" s="7"/>
      <c r="C128" s="7"/>
      <c r="D128" s="9"/>
      <c r="E128" s="9"/>
      <c r="F128" s="7"/>
      <c r="G128" s="7"/>
      <c r="H128" s="7"/>
      <c r="I128" s="7"/>
      <c r="J128" s="7"/>
      <c r="K128" s="7"/>
      <c r="L128" s="7"/>
      <c r="M128" s="7"/>
      <c r="N128" s="7"/>
      <c r="O128" s="7"/>
      <c r="P128" s="29"/>
      <c r="Q128" s="29"/>
      <c r="R128" s="7"/>
      <c r="S128" s="7"/>
      <c r="T128" s="7" t="str">
        <f ca="1">IFERROR(__xludf.DUMMYFUNCTION("SPARKLINE({
IF(D128="""",0,D128),
IF(F128="""",0,F128),
IF(H128="""",0,H128),
IF(J128="""",0,J128),
IF(L128="""",0,L128),
IF(N128="""",0,N128),
IF(P128="""",0,P128)
})"),"")</f>
        <v/>
      </c>
      <c r="U128" s="7" t="str">
        <f ca="1">IFERROR(__xludf.DUMMYFUNCTION("SPARKLINE({
IF(E128="""",0,E128),
IF(G128="""",0,G128),
IF(I128="""",0,I128),
IF(K128="""",0,K128),
IF(M128="""",0,M128),
IF(O128="""",0,O128),
IF(Q128="""",0,Q128)
})"),"")</f>
        <v/>
      </c>
      <c r="V128" s="8" t="e">
        <f t="array" aca="1" ref="V128" ca="1">IF($C$4="Giao",_xludf.Xlookup(C128,#REF!,#REF!,),_xludf.Xlookup(C128,#REF!,#REF!,))</f>
        <v>#NAME?</v>
      </c>
      <c r="W128" s="8" t="e">
        <f t="array" aca="1" ref="W128" ca="1">IF($C$4="Giao", _xludf.Xlookup(C128,#REF!,#REF!,),_xludf.Xlookup(C128,#REF!,#REF!,))</f>
        <v>#NAME?</v>
      </c>
      <c r="X128" s="9" t="e">
        <f t="shared" ca="1" si="2"/>
        <v>#NAME?</v>
      </c>
      <c r="Y128" s="7"/>
      <c r="Z128" s="7"/>
    </row>
    <row r="129" spans="1:26" ht="13" x14ac:dyDescent="0.6">
      <c r="A129" s="28" t="str">
        <f t="shared" si="1"/>
        <v/>
      </c>
      <c r="B129" s="7"/>
      <c r="C129" s="7"/>
      <c r="D129" s="9"/>
      <c r="E129" s="9"/>
      <c r="F129" s="7"/>
      <c r="G129" s="7"/>
      <c r="H129" s="7"/>
      <c r="I129" s="7"/>
      <c r="J129" s="7"/>
      <c r="K129" s="7"/>
      <c r="L129" s="7"/>
      <c r="M129" s="7"/>
      <c r="N129" s="7"/>
      <c r="O129" s="7"/>
      <c r="P129" s="29"/>
      <c r="Q129" s="29"/>
      <c r="R129" s="7"/>
      <c r="S129" s="7"/>
      <c r="T129" s="7" t="str">
        <f ca="1">IFERROR(__xludf.DUMMYFUNCTION("SPARKLINE({
IF(D129="""",0,D129),
IF(F129="""",0,F129),
IF(H129="""",0,H129),
IF(J129="""",0,J129),
IF(L129="""",0,L129),
IF(N129="""",0,N129),
IF(P129="""",0,P129)
})"),"")</f>
        <v/>
      </c>
      <c r="U129" s="7" t="str">
        <f ca="1">IFERROR(__xludf.DUMMYFUNCTION("SPARKLINE({
IF(E129="""",0,E129),
IF(G129="""",0,G129),
IF(I129="""",0,I129),
IF(K129="""",0,K129),
IF(M129="""",0,M129),
IF(O129="""",0,O129),
IF(Q129="""",0,Q129)
})"),"")</f>
        <v/>
      </c>
      <c r="V129" s="8" t="e">
        <f t="array" aca="1" ref="V129" ca="1">IF($C$4="Giao",_xludf.Xlookup(C129,#REF!,#REF!,),_xludf.Xlookup(C129,#REF!,#REF!,))</f>
        <v>#NAME?</v>
      </c>
      <c r="W129" s="8" t="e">
        <f t="array" aca="1" ref="W129" ca="1">IF($C$4="Giao", _xludf.Xlookup(C129,#REF!,#REF!,),_xludf.Xlookup(C129,#REF!,#REF!,))</f>
        <v>#NAME?</v>
      </c>
      <c r="X129" s="9" t="e">
        <f t="shared" ca="1" si="2"/>
        <v>#NAME?</v>
      </c>
      <c r="Y129" s="7"/>
      <c r="Z129" s="7"/>
    </row>
    <row r="130" spans="1:26" ht="13" x14ac:dyDescent="0.6">
      <c r="A130" s="28" t="str">
        <f t="shared" si="1"/>
        <v/>
      </c>
      <c r="B130" s="7"/>
      <c r="C130" s="7"/>
      <c r="D130" s="9"/>
      <c r="E130" s="9"/>
      <c r="F130" s="7"/>
      <c r="G130" s="7"/>
      <c r="H130" s="7"/>
      <c r="I130" s="7"/>
      <c r="J130" s="7"/>
      <c r="K130" s="7"/>
      <c r="L130" s="7"/>
      <c r="M130" s="7"/>
      <c r="N130" s="7"/>
      <c r="O130" s="7"/>
      <c r="P130" s="29"/>
      <c r="Q130" s="29"/>
      <c r="R130" s="7"/>
      <c r="S130" s="7"/>
      <c r="T130" s="7" t="str">
        <f ca="1">IFERROR(__xludf.DUMMYFUNCTION("SPARKLINE({
IF(D130="""",0,D130),
IF(F130="""",0,F130),
IF(H130="""",0,H130),
IF(J130="""",0,J130),
IF(L130="""",0,L130),
IF(N130="""",0,N130),
IF(P130="""",0,P130)
})"),"")</f>
        <v/>
      </c>
      <c r="U130" s="7" t="str">
        <f ca="1">IFERROR(__xludf.DUMMYFUNCTION("SPARKLINE({
IF(E130="""",0,E130),
IF(G130="""",0,G130),
IF(I130="""",0,I130),
IF(K130="""",0,K130),
IF(M130="""",0,M130),
IF(O130="""",0,O130),
IF(Q130="""",0,Q130)
})"),"")</f>
        <v/>
      </c>
      <c r="V130" s="8" t="e">
        <f t="array" aca="1" ref="V130" ca="1">IF($C$4="Giao",_xludf.Xlookup(C130,#REF!,#REF!,),_xludf.Xlookup(C130,#REF!,#REF!,))</f>
        <v>#NAME?</v>
      </c>
      <c r="W130" s="8" t="e">
        <f t="array" aca="1" ref="W130" ca="1">IF($C$4="Giao", _xludf.Xlookup(C130,#REF!,#REF!,),_xludf.Xlookup(C130,#REF!,#REF!,))</f>
        <v>#NAME?</v>
      </c>
      <c r="X130" s="9" t="e">
        <f t="shared" ca="1" si="2"/>
        <v>#NAME?</v>
      </c>
      <c r="Y130" s="7"/>
      <c r="Z130" s="7"/>
    </row>
    <row r="131" spans="1:26" ht="13" x14ac:dyDescent="0.6">
      <c r="A131" s="28" t="str">
        <f t="shared" si="1"/>
        <v/>
      </c>
      <c r="B131" s="7"/>
      <c r="C131" s="7"/>
      <c r="D131" s="9"/>
      <c r="E131" s="9"/>
      <c r="F131" s="7"/>
      <c r="G131" s="7"/>
      <c r="H131" s="7"/>
      <c r="I131" s="7"/>
      <c r="J131" s="7"/>
      <c r="K131" s="7"/>
      <c r="L131" s="7"/>
      <c r="M131" s="7"/>
      <c r="N131" s="7"/>
      <c r="O131" s="7"/>
      <c r="P131" s="29"/>
      <c r="Q131" s="29"/>
      <c r="R131" s="7"/>
      <c r="S131" s="7"/>
      <c r="T131" s="7" t="str">
        <f ca="1">IFERROR(__xludf.DUMMYFUNCTION("SPARKLINE({
IF(D131="""",0,D131),
IF(F131="""",0,F131),
IF(H131="""",0,H131),
IF(J131="""",0,J131),
IF(L131="""",0,L131),
IF(N131="""",0,N131),
IF(P131="""",0,P131)
})"),"")</f>
        <v/>
      </c>
      <c r="U131" s="7" t="str">
        <f ca="1">IFERROR(__xludf.DUMMYFUNCTION("SPARKLINE({
IF(E131="""",0,E131),
IF(G131="""",0,G131),
IF(I131="""",0,I131),
IF(K131="""",0,K131),
IF(M131="""",0,M131),
IF(O131="""",0,O131),
IF(Q131="""",0,Q131)
})"),"")</f>
        <v/>
      </c>
      <c r="V131" s="8" t="e">
        <f t="array" aca="1" ref="V131" ca="1">IF($C$4="Giao",_xludf.Xlookup(C131,#REF!,#REF!,),_xludf.Xlookup(C131,#REF!,#REF!,))</f>
        <v>#NAME?</v>
      </c>
      <c r="W131" s="8" t="e">
        <f t="array" aca="1" ref="W131" ca="1">IF($C$4="Giao", _xludf.Xlookup(C131,#REF!,#REF!,),_xludf.Xlookup(C131,#REF!,#REF!,))</f>
        <v>#NAME?</v>
      </c>
      <c r="X131" s="9" t="e">
        <f t="shared" ca="1" si="2"/>
        <v>#NAME?</v>
      </c>
      <c r="Y131" s="7"/>
      <c r="Z131" s="7"/>
    </row>
    <row r="132" spans="1:26" ht="13" x14ac:dyDescent="0.6">
      <c r="A132" s="28" t="str">
        <f t="shared" si="1"/>
        <v/>
      </c>
      <c r="B132" s="7"/>
      <c r="C132" s="7"/>
      <c r="D132" s="9"/>
      <c r="E132" s="9"/>
      <c r="F132" s="7"/>
      <c r="G132" s="7"/>
      <c r="H132" s="7"/>
      <c r="I132" s="7"/>
      <c r="J132" s="7"/>
      <c r="K132" s="7"/>
      <c r="L132" s="7"/>
      <c r="M132" s="7"/>
      <c r="N132" s="7"/>
      <c r="O132" s="7"/>
      <c r="P132" s="29"/>
      <c r="Q132" s="29"/>
      <c r="R132" s="7"/>
      <c r="S132" s="7"/>
      <c r="T132" s="7" t="str">
        <f ca="1">IFERROR(__xludf.DUMMYFUNCTION("SPARKLINE({
IF(D132="""",0,D132),
IF(F132="""",0,F132),
IF(H132="""",0,H132),
IF(J132="""",0,J132),
IF(L132="""",0,L132),
IF(N132="""",0,N132),
IF(P132="""",0,P132)
})"),"")</f>
        <v/>
      </c>
      <c r="U132" s="7" t="str">
        <f ca="1">IFERROR(__xludf.DUMMYFUNCTION("SPARKLINE({
IF(E132="""",0,E132),
IF(G132="""",0,G132),
IF(I132="""",0,I132),
IF(K132="""",0,K132),
IF(M132="""",0,M132),
IF(O132="""",0,O132),
IF(Q132="""",0,Q132)
})"),"")</f>
        <v/>
      </c>
      <c r="V132" s="8" t="e">
        <f t="array" aca="1" ref="V132" ca="1">IF($C$4="Giao",_xludf.Xlookup(C132,#REF!,#REF!,),_xludf.Xlookup(C132,#REF!,#REF!,))</f>
        <v>#NAME?</v>
      </c>
      <c r="W132" s="8" t="e">
        <f t="array" aca="1" ref="W132" ca="1">IF($C$4="Giao", _xludf.Xlookup(C132,#REF!,#REF!,),_xludf.Xlookup(C132,#REF!,#REF!,))</f>
        <v>#NAME?</v>
      </c>
      <c r="X132" s="9" t="e">
        <f t="shared" ca="1" si="2"/>
        <v>#NAME?</v>
      </c>
      <c r="Y132" s="7"/>
      <c r="Z132" s="7"/>
    </row>
    <row r="133" spans="1:26" ht="13" x14ac:dyDescent="0.6">
      <c r="A133" s="28" t="str">
        <f t="shared" si="1"/>
        <v/>
      </c>
      <c r="B133" s="7"/>
      <c r="C133" s="7"/>
      <c r="D133" s="9"/>
      <c r="E133" s="9"/>
      <c r="F133" s="7"/>
      <c r="G133" s="7"/>
      <c r="H133" s="7"/>
      <c r="I133" s="7"/>
      <c r="J133" s="7"/>
      <c r="K133" s="7"/>
      <c r="L133" s="7"/>
      <c r="M133" s="7"/>
      <c r="N133" s="7"/>
      <c r="O133" s="7"/>
      <c r="P133" s="29"/>
      <c r="Q133" s="29"/>
      <c r="R133" s="7"/>
      <c r="S133" s="7"/>
      <c r="T133" s="7" t="str">
        <f ca="1">IFERROR(__xludf.DUMMYFUNCTION("SPARKLINE({
IF(D133="""",0,D133),
IF(F133="""",0,F133),
IF(H133="""",0,H133),
IF(J133="""",0,J133),
IF(L133="""",0,L133),
IF(N133="""",0,N133),
IF(P133="""",0,P133)
})"),"")</f>
        <v/>
      </c>
      <c r="U133" s="7" t="str">
        <f ca="1">IFERROR(__xludf.DUMMYFUNCTION("SPARKLINE({
IF(E133="""",0,E133),
IF(G133="""",0,G133),
IF(I133="""",0,I133),
IF(K133="""",0,K133),
IF(M133="""",0,M133),
IF(O133="""",0,O133),
IF(Q133="""",0,Q133)
})"),"")</f>
        <v/>
      </c>
      <c r="V133" s="8" t="e">
        <f t="array" aca="1" ref="V133" ca="1">IF($C$4="Giao",_xludf.Xlookup(C133,#REF!,#REF!,),_xludf.Xlookup(C133,#REF!,#REF!,))</f>
        <v>#NAME?</v>
      </c>
      <c r="W133" s="8" t="e">
        <f t="array" aca="1" ref="W133" ca="1">IF($C$4="Giao", _xludf.Xlookup(C133,#REF!,#REF!,),_xludf.Xlookup(C133,#REF!,#REF!,))</f>
        <v>#NAME?</v>
      </c>
      <c r="X133" s="9" t="e">
        <f t="shared" ca="1" si="2"/>
        <v>#NAME?</v>
      </c>
      <c r="Y133" s="7"/>
      <c r="Z133" s="7"/>
    </row>
    <row r="134" spans="1:26" ht="13" x14ac:dyDescent="0.6">
      <c r="A134" s="28" t="str">
        <f t="shared" si="1"/>
        <v/>
      </c>
      <c r="B134" s="7"/>
      <c r="C134" s="7"/>
      <c r="D134" s="9"/>
      <c r="E134" s="9"/>
      <c r="F134" s="7"/>
      <c r="G134" s="7"/>
      <c r="H134" s="7"/>
      <c r="I134" s="7"/>
      <c r="J134" s="7"/>
      <c r="K134" s="7"/>
      <c r="L134" s="7"/>
      <c r="M134" s="7"/>
      <c r="N134" s="7"/>
      <c r="O134" s="7"/>
      <c r="P134" s="29"/>
      <c r="Q134" s="29"/>
      <c r="R134" s="7"/>
      <c r="S134" s="7"/>
      <c r="T134" s="7" t="str">
        <f ca="1">IFERROR(__xludf.DUMMYFUNCTION("SPARKLINE({
IF(D134="""",0,D134),
IF(F134="""",0,F134),
IF(H134="""",0,H134),
IF(J134="""",0,J134),
IF(L134="""",0,L134),
IF(N134="""",0,N134),
IF(P134="""",0,P134)
})"),"")</f>
        <v/>
      </c>
      <c r="U134" s="7" t="str">
        <f ca="1">IFERROR(__xludf.DUMMYFUNCTION("SPARKLINE({
IF(E134="""",0,E134),
IF(G134="""",0,G134),
IF(I134="""",0,I134),
IF(K134="""",0,K134),
IF(M134="""",0,M134),
IF(O134="""",0,O134),
IF(Q134="""",0,Q134)
})"),"")</f>
        <v/>
      </c>
      <c r="V134" s="8" t="e">
        <f t="array" aca="1" ref="V134" ca="1">IF($C$4="Giao",_xludf.Xlookup(C134,#REF!,#REF!,),_xludf.Xlookup(C134,#REF!,#REF!,))</f>
        <v>#NAME?</v>
      </c>
      <c r="W134" s="8" t="e">
        <f t="array" aca="1" ref="W134" ca="1">IF($C$4="Giao", _xludf.Xlookup(C134,#REF!,#REF!,),_xludf.Xlookup(C134,#REF!,#REF!,))</f>
        <v>#NAME?</v>
      </c>
      <c r="X134" s="9" t="e">
        <f t="shared" ca="1" si="2"/>
        <v>#NAME?</v>
      </c>
      <c r="Y134" s="7"/>
      <c r="Z134" s="7"/>
    </row>
    <row r="135" spans="1:26" ht="13" x14ac:dyDescent="0.6">
      <c r="A135" s="28" t="str">
        <f t="shared" si="1"/>
        <v/>
      </c>
      <c r="B135" s="7"/>
      <c r="C135" s="7"/>
      <c r="D135" s="9"/>
      <c r="E135" s="9"/>
      <c r="F135" s="7"/>
      <c r="G135" s="7"/>
      <c r="H135" s="7"/>
      <c r="I135" s="7"/>
      <c r="J135" s="7"/>
      <c r="K135" s="7"/>
      <c r="L135" s="7"/>
      <c r="M135" s="7"/>
      <c r="N135" s="7"/>
      <c r="O135" s="7"/>
      <c r="P135" s="29"/>
      <c r="Q135" s="29"/>
      <c r="R135" s="7"/>
      <c r="S135" s="7"/>
      <c r="T135" s="7" t="str">
        <f ca="1">IFERROR(__xludf.DUMMYFUNCTION("SPARKLINE({
IF(D135="""",0,D135),
IF(F135="""",0,F135),
IF(H135="""",0,H135),
IF(J135="""",0,J135),
IF(L135="""",0,L135),
IF(N135="""",0,N135),
IF(P135="""",0,P135)
})"),"")</f>
        <v/>
      </c>
      <c r="U135" s="7" t="str">
        <f ca="1">IFERROR(__xludf.DUMMYFUNCTION("SPARKLINE({
IF(E135="""",0,E135),
IF(G135="""",0,G135),
IF(I135="""",0,I135),
IF(K135="""",0,K135),
IF(M135="""",0,M135),
IF(O135="""",0,O135),
IF(Q135="""",0,Q135)
})"),"")</f>
        <v/>
      </c>
      <c r="V135" s="8" t="e">
        <f t="array" aca="1" ref="V135" ca="1">IF($C$4="Giao",_xludf.Xlookup(C135,#REF!,#REF!,),_xludf.Xlookup(C135,#REF!,#REF!,))</f>
        <v>#NAME?</v>
      </c>
      <c r="W135" s="8" t="e">
        <f t="array" aca="1" ref="W135" ca="1">IF($C$4="Giao", _xludf.Xlookup(C135,#REF!,#REF!,),_xludf.Xlookup(C135,#REF!,#REF!,))</f>
        <v>#NAME?</v>
      </c>
      <c r="X135" s="9" t="e">
        <f t="shared" ca="1" si="2"/>
        <v>#NAME?</v>
      </c>
      <c r="Y135" s="7"/>
      <c r="Z135" s="7"/>
    </row>
    <row r="136" spans="1:26" ht="13" x14ac:dyDescent="0.6">
      <c r="A136" s="28" t="str">
        <f t="shared" si="1"/>
        <v/>
      </c>
      <c r="B136" s="7"/>
      <c r="C136" s="7"/>
      <c r="D136" s="9"/>
      <c r="E136" s="9"/>
      <c r="F136" s="7"/>
      <c r="G136" s="7"/>
      <c r="H136" s="7"/>
      <c r="I136" s="7"/>
      <c r="J136" s="7"/>
      <c r="K136" s="7"/>
      <c r="L136" s="7"/>
      <c r="M136" s="7"/>
      <c r="N136" s="7"/>
      <c r="O136" s="7"/>
      <c r="P136" s="29"/>
      <c r="Q136" s="29"/>
      <c r="R136" s="7"/>
      <c r="S136" s="7"/>
      <c r="T136" s="7" t="str">
        <f ca="1">IFERROR(__xludf.DUMMYFUNCTION("SPARKLINE({
IF(D136="""",0,D136),
IF(F136="""",0,F136),
IF(H136="""",0,H136),
IF(J136="""",0,J136),
IF(L136="""",0,L136),
IF(N136="""",0,N136),
IF(P136="""",0,P136)
})"),"")</f>
        <v/>
      </c>
      <c r="U136" s="7" t="str">
        <f ca="1">IFERROR(__xludf.DUMMYFUNCTION("SPARKLINE({
IF(E136="""",0,E136),
IF(G136="""",0,G136),
IF(I136="""",0,I136),
IF(K136="""",0,K136),
IF(M136="""",0,M136),
IF(O136="""",0,O136),
IF(Q136="""",0,Q136)
})"),"")</f>
        <v/>
      </c>
      <c r="V136" s="8" t="e">
        <f t="array" aca="1" ref="V136" ca="1">IF($C$4="Giao",_xludf.Xlookup(C136,#REF!,#REF!,),_xludf.Xlookup(C136,#REF!,#REF!,))</f>
        <v>#NAME?</v>
      </c>
      <c r="W136" s="8" t="e">
        <f t="array" aca="1" ref="W136" ca="1">IF($C$4="Giao", _xludf.Xlookup(C136,#REF!,#REF!,),_xludf.Xlookup(C136,#REF!,#REF!,))</f>
        <v>#NAME?</v>
      </c>
      <c r="X136" s="9" t="e">
        <f t="shared" ca="1" si="2"/>
        <v>#NAME?</v>
      </c>
      <c r="Y136" s="7"/>
      <c r="Z136" s="7"/>
    </row>
    <row r="137" spans="1:26" ht="13" x14ac:dyDescent="0.6">
      <c r="A137" s="28" t="str">
        <f t="shared" si="1"/>
        <v/>
      </c>
      <c r="B137" s="7"/>
      <c r="C137" s="7"/>
      <c r="D137" s="9"/>
      <c r="E137" s="9"/>
      <c r="F137" s="7"/>
      <c r="G137" s="7"/>
      <c r="H137" s="7"/>
      <c r="I137" s="7"/>
      <c r="J137" s="7"/>
      <c r="K137" s="7"/>
      <c r="L137" s="7"/>
      <c r="M137" s="7"/>
      <c r="N137" s="7"/>
      <c r="O137" s="7"/>
      <c r="P137" s="29"/>
      <c r="Q137" s="29"/>
      <c r="R137" s="7"/>
      <c r="S137" s="7"/>
      <c r="T137" s="7" t="str">
        <f ca="1">IFERROR(__xludf.DUMMYFUNCTION("SPARKLINE({
IF(D137="""",0,D137),
IF(F137="""",0,F137),
IF(H137="""",0,H137),
IF(J137="""",0,J137),
IF(L137="""",0,L137),
IF(N137="""",0,N137),
IF(P137="""",0,P137)
})"),"")</f>
        <v/>
      </c>
      <c r="U137" s="7" t="str">
        <f ca="1">IFERROR(__xludf.DUMMYFUNCTION("SPARKLINE({
IF(E137="""",0,E137),
IF(G137="""",0,G137),
IF(I137="""",0,I137),
IF(K137="""",0,K137),
IF(M137="""",0,M137),
IF(O137="""",0,O137),
IF(Q137="""",0,Q137)
})"),"")</f>
        <v/>
      </c>
      <c r="V137" s="8" t="e">
        <f t="array" aca="1" ref="V137" ca="1">IF($C$4="Giao",_xludf.Xlookup(C137,#REF!,#REF!,),_xludf.Xlookup(C137,#REF!,#REF!,))</f>
        <v>#NAME?</v>
      </c>
      <c r="W137" s="8" t="e">
        <f t="array" aca="1" ref="W137" ca="1">IF($C$4="Giao", _xludf.Xlookup(C137,#REF!,#REF!,),_xludf.Xlookup(C137,#REF!,#REF!,))</f>
        <v>#NAME?</v>
      </c>
      <c r="X137" s="9" t="e">
        <f t="shared" ca="1" si="2"/>
        <v>#NAME?</v>
      </c>
      <c r="Y137" s="7"/>
      <c r="Z137" s="7"/>
    </row>
    <row r="138" spans="1:26" ht="13" x14ac:dyDescent="0.6">
      <c r="A138" s="28" t="str">
        <f t="shared" si="1"/>
        <v/>
      </c>
      <c r="B138" s="7"/>
      <c r="C138" s="7"/>
      <c r="D138" s="9"/>
      <c r="E138" s="9"/>
      <c r="F138" s="7"/>
      <c r="G138" s="7"/>
      <c r="H138" s="7"/>
      <c r="I138" s="7"/>
      <c r="J138" s="7"/>
      <c r="K138" s="7"/>
      <c r="L138" s="7"/>
      <c r="M138" s="7"/>
      <c r="N138" s="7"/>
      <c r="O138" s="7"/>
      <c r="P138" s="29"/>
      <c r="Q138" s="29"/>
      <c r="R138" s="7"/>
      <c r="S138" s="7"/>
      <c r="T138" s="7" t="str">
        <f ca="1">IFERROR(__xludf.DUMMYFUNCTION("SPARKLINE({
IF(D138="""",0,D138),
IF(F138="""",0,F138),
IF(H138="""",0,H138),
IF(J138="""",0,J138),
IF(L138="""",0,L138),
IF(N138="""",0,N138),
IF(P138="""",0,P138)
})"),"")</f>
        <v/>
      </c>
      <c r="U138" s="7" t="str">
        <f ca="1">IFERROR(__xludf.DUMMYFUNCTION("SPARKLINE({
IF(E138="""",0,E138),
IF(G138="""",0,G138),
IF(I138="""",0,I138),
IF(K138="""",0,K138),
IF(M138="""",0,M138),
IF(O138="""",0,O138),
IF(Q138="""",0,Q138)
})"),"")</f>
        <v/>
      </c>
      <c r="V138" s="8" t="e">
        <f t="array" aca="1" ref="V138" ca="1">IF($C$4="Giao",_xludf.Xlookup(C138,#REF!,#REF!,),_xludf.Xlookup(C138,#REF!,#REF!,))</f>
        <v>#NAME?</v>
      </c>
      <c r="W138" s="8" t="e">
        <f t="array" aca="1" ref="W138" ca="1">IF($C$4="Giao", _xludf.Xlookup(C138,#REF!,#REF!,),_xludf.Xlookup(C138,#REF!,#REF!,))</f>
        <v>#NAME?</v>
      </c>
      <c r="X138" s="9" t="e">
        <f t="shared" ca="1" si="2"/>
        <v>#NAME?</v>
      </c>
      <c r="Y138" s="7"/>
      <c r="Z138" s="7"/>
    </row>
    <row r="139" spans="1:26" ht="13" x14ac:dyDescent="0.6">
      <c r="A139" s="28" t="str">
        <f t="shared" si="1"/>
        <v/>
      </c>
      <c r="B139" s="7"/>
      <c r="C139" s="7"/>
      <c r="D139" s="9"/>
      <c r="E139" s="9"/>
      <c r="F139" s="7"/>
      <c r="G139" s="7"/>
      <c r="H139" s="7"/>
      <c r="I139" s="7"/>
      <c r="J139" s="7"/>
      <c r="K139" s="7"/>
      <c r="L139" s="7"/>
      <c r="M139" s="7"/>
      <c r="N139" s="7"/>
      <c r="O139" s="7"/>
      <c r="P139" s="29"/>
      <c r="Q139" s="29"/>
      <c r="R139" s="7"/>
      <c r="S139" s="7"/>
      <c r="T139" s="7" t="str">
        <f ca="1">IFERROR(__xludf.DUMMYFUNCTION("SPARKLINE({
IF(D139="""",0,D139),
IF(F139="""",0,F139),
IF(H139="""",0,H139),
IF(J139="""",0,J139),
IF(L139="""",0,L139),
IF(N139="""",0,N139),
IF(P139="""",0,P139)
})"),"")</f>
        <v/>
      </c>
      <c r="U139" s="7" t="str">
        <f ca="1">IFERROR(__xludf.DUMMYFUNCTION("SPARKLINE({
IF(E139="""",0,E139),
IF(G139="""",0,G139),
IF(I139="""",0,I139),
IF(K139="""",0,K139),
IF(M139="""",0,M139),
IF(O139="""",0,O139),
IF(Q139="""",0,Q139)
})"),"")</f>
        <v/>
      </c>
      <c r="V139" s="8" t="e">
        <f t="array" aca="1" ref="V139" ca="1">IF($C$4="Giao",_xludf.Xlookup(C139,#REF!,#REF!,),_xludf.Xlookup(C139,#REF!,#REF!,))</f>
        <v>#NAME?</v>
      </c>
      <c r="W139" s="8" t="e">
        <f t="array" aca="1" ref="W139" ca="1">IF($C$4="Giao", _xludf.Xlookup(C139,#REF!,#REF!,),_xludf.Xlookup(C139,#REF!,#REF!,))</f>
        <v>#NAME?</v>
      </c>
      <c r="X139" s="9" t="e">
        <f t="shared" ca="1" si="2"/>
        <v>#NAME?</v>
      </c>
      <c r="Y139" s="7"/>
      <c r="Z139" s="7"/>
    </row>
    <row r="140" spans="1:26" ht="13" x14ac:dyDescent="0.6">
      <c r="A140" s="28" t="str">
        <f t="shared" si="1"/>
        <v/>
      </c>
      <c r="B140" s="7"/>
      <c r="C140" s="7"/>
      <c r="D140" s="9"/>
      <c r="E140" s="9"/>
      <c r="F140" s="7"/>
      <c r="G140" s="7"/>
      <c r="H140" s="7"/>
      <c r="I140" s="7"/>
      <c r="J140" s="7"/>
      <c r="K140" s="7"/>
      <c r="L140" s="7"/>
      <c r="M140" s="7"/>
      <c r="N140" s="7"/>
      <c r="O140" s="7"/>
      <c r="P140" s="29"/>
      <c r="Q140" s="29"/>
      <c r="R140" s="7"/>
      <c r="S140" s="7"/>
      <c r="T140" s="7" t="str">
        <f ca="1">IFERROR(__xludf.DUMMYFUNCTION("SPARKLINE({
IF(D140="""",0,D140),
IF(F140="""",0,F140),
IF(H140="""",0,H140),
IF(J140="""",0,J140),
IF(L140="""",0,L140),
IF(N140="""",0,N140),
IF(P140="""",0,P140)
})"),"")</f>
        <v/>
      </c>
      <c r="U140" s="7" t="str">
        <f ca="1">IFERROR(__xludf.DUMMYFUNCTION("SPARKLINE({
IF(E140="""",0,E140),
IF(G140="""",0,G140),
IF(I140="""",0,I140),
IF(K140="""",0,K140),
IF(M140="""",0,M140),
IF(O140="""",0,O140),
IF(Q140="""",0,Q140)
})"),"")</f>
        <v/>
      </c>
      <c r="V140" s="8" t="e">
        <f t="array" aca="1" ref="V140" ca="1">IF($C$4="Giao",_xludf.Xlookup(C140,#REF!,#REF!,),_xludf.Xlookup(C140,#REF!,#REF!,))</f>
        <v>#NAME?</v>
      </c>
      <c r="W140" s="8" t="e">
        <f t="array" aca="1" ref="W140" ca="1">IF($C$4="Giao", _xludf.Xlookup(C140,#REF!,#REF!,),_xludf.Xlookup(C140,#REF!,#REF!,))</f>
        <v>#NAME?</v>
      </c>
      <c r="X140" s="9" t="e">
        <f t="shared" ca="1" si="2"/>
        <v>#NAME?</v>
      </c>
      <c r="Y140" s="7"/>
      <c r="Z140" s="7"/>
    </row>
    <row r="141" spans="1:26" ht="13" x14ac:dyDescent="0.6">
      <c r="A141" s="28" t="str">
        <f t="shared" si="1"/>
        <v/>
      </c>
      <c r="B141" s="7"/>
      <c r="C141" s="7"/>
      <c r="D141" s="9"/>
      <c r="E141" s="9"/>
      <c r="F141" s="7"/>
      <c r="G141" s="7"/>
      <c r="H141" s="7"/>
      <c r="I141" s="7"/>
      <c r="J141" s="7"/>
      <c r="K141" s="7"/>
      <c r="L141" s="7"/>
      <c r="M141" s="7"/>
      <c r="N141" s="7"/>
      <c r="O141" s="7"/>
      <c r="P141" s="29"/>
      <c r="Q141" s="29"/>
      <c r="R141" s="7"/>
      <c r="S141" s="7"/>
      <c r="T141" s="7" t="str">
        <f ca="1">IFERROR(__xludf.DUMMYFUNCTION("SPARKLINE({
IF(D141="""",0,D141),
IF(F141="""",0,F141),
IF(H141="""",0,H141),
IF(J141="""",0,J141),
IF(L141="""",0,L141),
IF(N141="""",0,N141),
IF(P141="""",0,P141)
})"),"")</f>
        <v/>
      </c>
      <c r="U141" s="7" t="str">
        <f ca="1">IFERROR(__xludf.DUMMYFUNCTION("SPARKLINE({
IF(E141="""",0,E141),
IF(G141="""",0,G141),
IF(I141="""",0,I141),
IF(K141="""",0,K141),
IF(M141="""",0,M141),
IF(O141="""",0,O141),
IF(Q141="""",0,Q141)
})"),"")</f>
        <v/>
      </c>
      <c r="V141" s="8" t="e">
        <f t="array" aca="1" ref="V141" ca="1">IF($C$4="Giao",_xludf.Xlookup(C141,#REF!,#REF!,),_xludf.Xlookup(C141,#REF!,#REF!,))</f>
        <v>#NAME?</v>
      </c>
      <c r="W141" s="8" t="e">
        <f t="array" aca="1" ref="W141" ca="1">IF($C$4="Giao", _xludf.Xlookup(C141,#REF!,#REF!,),_xludf.Xlookup(C141,#REF!,#REF!,))</f>
        <v>#NAME?</v>
      </c>
      <c r="X141" s="9" t="e">
        <f t="shared" ca="1" si="2"/>
        <v>#NAME?</v>
      </c>
      <c r="Y141" s="7"/>
      <c r="Z141" s="7"/>
    </row>
    <row r="142" spans="1:26" ht="13" x14ac:dyDescent="0.6">
      <c r="A142" s="28" t="str">
        <f t="shared" si="1"/>
        <v/>
      </c>
      <c r="B142" s="7"/>
      <c r="C142" s="7"/>
      <c r="D142" s="9"/>
      <c r="E142" s="9"/>
      <c r="F142" s="7"/>
      <c r="G142" s="7"/>
      <c r="H142" s="7"/>
      <c r="I142" s="7"/>
      <c r="J142" s="7"/>
      <c r="K142" s="7"/>
      <c r="L142" s="7"/>
      <c r="M142" s="7"/>
      <c r="N142" s="7"/>
      <c r="O142" s="7"/>
      <c r="P142" s="29"/>
      <c r="Q142" s="29"/>
      <c r="R142" s="7"/>
      <c r="S142" s="7"/>
      <c r="T142" s="7" t="str">
        <f ca="1">IFERROR(__xludf.DUMMYFUNCTION("SPARKLINE({
IF(D142="""",0,D142),
IF(F142="""",0,F142),
IF(H142="""",0,H142),
IF(J142="""",0,J142),
IF(L142="""",0,L142),
IF(N142="""",0,N142),
IF(P142="""",0,P142)
})"),"")</f>
        <v/>
      </c>
      <c r="U142" s="7" t="str">
        <f ca="1">IFERROR(__xludf.DUMMYFUNCTION("SPARKLINE({
IF(E142="""",0,E142),
IF(G142="""",0,G142),
IF(I142="""",0,I142),
IF(K142="""",0,K142),
IF(M142="""",0,M142),
IF(O142="""",0,O142),
IF(Q142="""",0,Q142)
})"),"")</f>
        <v/>
      </c>
      <c r="V142" s="8" t="e">
        <f t="array" aca="1" ref="V142" ca="1">IF($C$4="Giao",_xludf.Xlookup(C142,#REF!,#REF!,),_xludf.Xlookup(C142,#REF!,#REF!,))</f>
        <v>#NAME?</v>
      </c>
      <c r="W142" s="8" t="e">
        <f t="array" aca="1" ref="W142" ca="1">IF($C$4="Giao", _xludf.Xlookup(C142,#REF!,#REF!,),_xludf.Xlookup(C142,#REF!,#REF!,))</f>
        <v>#NAME?</v>
      </c>
      <c r="X142" s="9" t="e">
        <f t="shared" ca="1" si="2"/>
        <v>#NAME?</v>
      </c>
      <c r="Y142" s="7"/>
      <c r="Z142" s="7"/>
    </row>
    <row r="143" spans="1:26" ht="13" x14ac:dyDescent="0.6">
      <c r="A143" s="28" t="str">
        <f t="shared" si="1"/>
        <v/>
      </c>
      <c r="B143" s="7"/>
      <c r="C143" s="7"/>
      <c r="D143" s="9"/>
      <c r="E143" s="9"/>
      <c r="F143" s="7"/>
      <c r="G143" s="7"/>
      <c r="H143" s="7"/>
      <c r="I143" s="7"/>
      <c r="J143" s="7"/>
      <c r="K143" s="7"/>
      <c r="L143" s="7"/>
      <c r="M143" s="7"/>
      <c r="N143" s="7"/>
      <c r="O143" s="7"/>
      <c r="P143" s="29"/>
      <c r="Q143" s="29"/>
      <c r="R143" s="7"/>
      <c r="S143" s="7"/>
      <c r="T143" s="7" t="str">
        <f ca="1">IFERROR(__xludf.DUMMYFUNCTION("SPARKLINE({
IF(D143="""",0,D143),
IF(F143="""",0,F143),
IF(H143="""",0,H143),
IF(J143="""",0,J143),
IF(L143="""",0,L143),
IF(N143="""",0,N143),
IF(P143="""",0,P143)
})"),"")</f>
        <v/>
      </c>
      <c r="U143" s="7" t="str">
        <f ca="1">IFERROR(__xludf.DUMMYFUNCTION("SPARKLINE({
IF(E143="""",0,E143),
IF(G143="""",0,G143),
IF(I143="""",0,I143),
IF(K143="""",0,K143),
IF(M143="""",0,M143),
IF(O143="""",0,O143),
IF(Q143="""",0,Q143)
})"),"")</f>
        <v/>
      </c>
      <c r="V143" s="8" t="e">
        <f t="array" aca="1" ref="V143" ca="1">IF($C$4="Giao",_xludf.Xlookup(C143,#REF!,#REF!,),_xludf.Xlookup(C143,#REF!,#REF!,))</f>
        <v>#NAME?</v>
      </c>
      <c r="W143" s="8" t="e">
        <f t="array" aca="1" ref="W143" ca="1">IF($C$4="Giao", _xludf.Xlookup(C143,#REF!,#REF!,),_xludf.Xlookup(C143,#REF!,#REF!,))</f>
        <v>#NAME?</v>
      </c>
      <c r="X143" s="9" t="e">
        <f t="shared" ca="1" si="2"/>
        <v>#NAME?</v>
      </c>
      <c r="Y143" s="7"/>
      <c r="Z143" s="7"/>
    </row>
    <row r="144" spans="1:26" ht="13" x14ac:dyDescent="0.6">
      <c r="A144" s="28" t="str">
        <f t="shared" si="1"/>
        <v/>
      </c>
      <c r="B144" s="7"/>
      <c r="C144" s="7"/>
      <c r="D144" s="9"/>
      <c r="E144" s="9"/>
      <c r="F144" s="7"/>
      <c r="G144" s="7"/>
      <c r="H144" s="7"/>
      <c r="I144" s="7"/>
      <c r="J144" s="7"/>
      <c r="K144" s="7"/>
      <c r="L144" s="7"/>
      <c r="M144" s="7"/>
      <c r="N144" s="7"/>
      <c r="O144" s="7"/>
      <c r="P144" s="29"/>
      <c r="Q144" s="29"/>
      <c r="R144" s="7"/>
      <c r="S144" s="7"/>
      <c r="T144" s="7" t="str">
        <f ca="1">IFERROR(__xludf.DUMMYFUNCTION("SPARKLINE({
IF(D144="""",0,D144),
IF(F144="""",0,F144),
IF(H144="""",0,H144),
IF(J144="""",0,J144),
IF(L144="""",0,L144),
IF(N144="""",0,N144),
IF(P144="""",0,P144)
})"),"")</f>
        <v/>
      </c>
      <c r="U144" s="7" t="str">
        <f ca="1">IFERROR(__xludf.DUMMYFUNCTION("SPARKLINE({
IF(E144="""",0,E144),
IF(G144="""",0,G144),
IF(I144="""",0,I144),
IF(K144="""",0,K144),
IF(M144="""",0,M144),
IF(O144="""",0,O144),
IF(Q144="""",0,Q144)
})"),"")</f>
        <v/>
      </c>
      <c r="V144" s="8" t="e">
        <f t="array" aca="1" ref="V144" ca="1">IF($C$4="Giao",_xludf.Xlookup(C144,#REF!,#REF!,),_xludf.Xlookup(C144,#REF!,#REF!,))</f>
        <v>#NAME?</v>
      </c>
      <c r="W144" s="8" t="e">
        <f t="array" aca="1" ref="W144" ca="1">IF($C$4="Giao", _xludf.Xlookup(C144,#REF!,#REF!,),_xludf.Xlookup(C144,#REF!,#REF!,))</f>
        <v>#NAME?</v>
      </c>
      <c r="X144" s="9" t="e">
        <f t="shared" ca="1" si="2"/>
        <v>#NAME?</v>
      </c>
      <c r="Y144" s="7"/>
      <c r="Z144" s="7"/>
    </row>
    <row r="145" spans="1:26" ht="13" x14ac:dyDescent="0.6">
      <c r="A145" s="28" t="str">
        <f t="shared" si="1"/>
        <v/>
      </c>
      <c r="B145" s="7"/>
      <c r="C145" s="7"/>
      <c r="D145" s="9"/>
      <c r="E145" s="9"/>
      <c r="F145" s="7"/>
      <c r="G145" s="7"/>
      <c r="H145" s="7"/>
      <c r="I145" s="7"/>
      <c r="J145" s="7"/>
      <c r="K145" s="7"/>
      <c r="L145" s="7"/>
      <c r="M145" s="7"/>
      <c r="N145" s="7"/>
      <c r="O145" s="7"/>
      <c r="P145" s="29"/>
      <c r="Q145" s="29"/>
      <c r="R145" s="7"/>
      <c r="S145" s="7"/>
      <c r="T145" s="7" t="str">
        <f ca="1">IFERROR(__xludf.DUMMYFUNCTION("SPARKLINE({
IF(D145="""",0,D145),
IF(F145="""",0,F145),
IF(H145="""",0,H145),
IF(J145="""",0,J145),
IF(L145="""",0,L145),
IF(N145="""",0,N145),
IF(P145="""",0,P145)
})"),"")</f>
        <v/>
      </c>
      <c r="U145" s="7" t="str">
        <f ca="1">IFERROR(__xludf.DUMMYFUNCTION("SPARKLINE({
IF(E145="""",0,E145),
IF(G145="""",0,G145),
IF(I145="""",0,I145),
IF(K145="""",0,K145),
IF(M145="""",0,M145),
IF(O145="""",0,O145),
IF(Q145="""",0,Q145)
})"),"")</f>
        <v/>
      </c>
      <c r="V145" s="8" t="e">
        <f t="array" aca="1" ref="V145" ca="1">IF($C$4="Giao",_xludf.Xlookup(C145,#REF!,#REF!,),_xludf.Xlookup(C145,#REF!,#REF!,))</f>
        <v>#NAME?</v>
      </c>
      <c r="W145" s="8" t="e">
        <f t="array" aca="1" ref="W145" ca="1">IF($C$4="Giao", _xludf.Xlookup(C145,#REF!,#REF!,),_xludf.Xlookup(C145,#REF!,#REF!,))</f>
        <v>#NAME?</v>
      </c>
      <c r="X145" s="9" t="e">
        <f t="shared" ca="1" si="2"/>
        <v>#NAME?</v>
      </c>
      <c r="Y145" s="7"/>
      <c r="Z145" s="7"/>
    </row>
    <row r="146" spans="1:26" ht="13" x14ac:dyDescent="0.6">
      <c r="A146" s="28" t="str">
        <f t="shared" si="1"/>
        <v/>
      </c>
      <c r="B146" s="7"/>
      <c r="C146" s="7"/>
      <c r="D146" s="9"/>
      <c r="E146" s="9"/>
      <c r="F146" s="7"/>
      <c r="G146" s="7"/>
      <c r="H146" s="7"/>
      <c r="I146" s="7"/>
      <c r="J146" s="7"/>
      <c r="K146" s="7"/>
      <c r="L146" s="7"/>
      <c r="M146" s="7"/>
      <c r="N146" s="7"/>
      <c r="O146" s="7"/>
      <c r="P146" s="29"/>
      <c r="Q146" s="29"/>
      <c r="R146" s="7"/>
      <c r="S146" s="7"/>
      <c r="T146" s="7" t="str">
        <f ca="1">IFERROR(__xludf.DUMMYFUNCTION("SPARKLINE({
IF(D146="""",0,D146),
IF(F146="""",0,F146),
IF(H146="""",0,H146),
IF(J146="""",0,J146),
IF(L146="""",0,L146),
IF(N146="""",0,N146),
IF(P146="""",0,P146)
})"),"")</f>
        <v/>
      </c>
      <c r="U146" s="7" t="str">
        <f ca="1">IFERROR(__xludf.DUMMYFUNCTION("SPARKLINE({
IF(E146="""",0,E146),
IF(G146="""",0,G146),
IF(I146="""",0,I146),
IF(K146="""",0,K146),
IF(M146="""",0,M146),
IF(O146="""",0,O146),
IF(Q146="""",0,Q146)
})"),"")</f>
        <v/>
      </c>
      <c r="V146" s="8" t="e">
        <f t="array" aca="1" ref="V146" ca="1">IF($C$4="Giao",_xludf.Xlookup(C146,#REF!,#REF!,),_xludf.Xlookup(C146,#REF!,#REF!,))</f>
        <v>#NAME?</v>
      </c>
      <c r="W146" s="8" t="e">
        <f t="array" aca="1" ref="W146" ca="1">IF($C$4="Giao", _xludf.Xlookup(C146,#REF!,#REF!,),_xludf.Xlookup(C146,#REF!,#REF!,))</f>
        <v>#NAME?</v>
      </c>
      <c r="X146" s="9" t="e">
        <f t="shared" ca="1" si="2"/>
        <v>#NAME?</v>
      </c>
      <c r="Y146" s="7"/>
      <c r="Z146" s="7"/>
    </row>
    <row r="147" spans="1:26" ht="13" x14ac:dyDescent="0.6">
      <c r="A147" s="28" t="str">
        <f t="shared" si="1"/>
        <v/>
      </c>
      <c r="B147" s="7"/>
      <c r="C147" s="7"/>
      <c r="D147" s="9"/>
      <c r="E147" s="9"/>
      <c r="F147" s="7"/>
      <c r="G147" s="7"/>
      <c r="H147" s="7"/>
      <c r="I147" s="7"/>
      <c r="J147" s="7"/>
      <c r="K147" s="7"/>
      <c r="L147" s="7"/>
      <c r="M147" s="7"/>
      <c r="N147" s="7"/>
      <c r="O147" s="7"/>
      <c r="P147" s="29"/>
      <c r="Q147" s="29"/>
      <c r="R147" s="7"/>
      <c r="S147" s="7"/>
      <c r="T147" s="7" t="str">
        <f ca="1">IFERROR(__xludf.DUMMYFUNCTION("SPARKLINE({
IF(D147="""",0,D147),
IF(F147="""",0,F147),
IF(H147="""",0,H147),
IF(J147="""",0,J147),
IF(L147="""",0,L147),
IF(N147="""",0,N147),
IF(P147="""",0,P147)
})"),"")</f>
        <v/>
      </c>
      <c r="U147" s="7" t="str">
        <f ca="1">IFERROR(__xludf.DUMMYFUNCTION("SPARKLINE({
IF(E147="""",0,E147),
IF(G147="""",0,G147),
IF(I147="""",0,I147),
IF(K147="""",0,K147),
IF(M147="""",0,M147),
IF(O147="""",0,O147),
IF(Q147="""",0,Q147)
})"),"")</f>
        <v/>
      </c>
      <c r="V147" s="8" t="e">
        <f t="array" aca="1" ref="V147" ca="1">IF($C$4="Giao",_xludf.Xlookup(C147,#REF!,#REF!,),_xludf.Xlookup(C147,#REF!,#REF!,))</f>
        <v>#NAME?</v>
      </c>
      <c r="W147" s="8" t="e">
        <f t="array" aca="1" ref="W147" ca="1">IF($C$4="Giao", _xludf.Xlookup(C147,#REF!,#REF!,),_xludf.Xlookup(C147,#REF!,#REF!,))</f>
        <v>#NAME?</v>
      </c>
      <c r="X147" s="9" t="e">
        <f t="shared" ca="1" si="2"/>
        <v>#NAME?</v>
      </c>
      <c r="Y147" s="7"/>
      <c r="Z147" s="7"/>
    </row>
    <row r="148" spans="1:26" ht="13" x14ac:dyDescent="0.6">
      <c r="A148" s="28" t="str">
        <f t="shared" si="1"/>
        <v/>
      </c>
      <c r="B148" s="7"/>
      <c r="C148" s="7"/>
      <c r="D148" s="9"/>
      <c r="E148" s="9"/>
      <c r="F148" s="7"/>
      <c r="G148" s="7"/>
      <c r="H148" s="7"/>
      <c r="I148" s="7"/>
      <c r="J148" s="7"/>
      <c r="K148" s="7"/>
      <c r="L148" s="7"/>
      <c r="M148" s="7"/>
      <c r="N148" s="7"/>
      <c r="O148" s="7"/>
      <c r="P148" s="29"/>
      <c r="Q148" s="29"/>
      <c r="R148" s="7"/>
      <c r="S148" s="7"/>
      <c r="T148" s="7" t="str">
        <f ca="1">IFERROR(__xludf.DUMMYFUNCTION("SPARKLINE({
IF(D148="""",0,D148),
IF(F148="""",0,F148),
IF(H148="""",0,H148),
IF(J148="""",0,J148),
IF(L148="""",0,L148),
IF(N148="""",0,N148),
IF(P148="""",0,P148)
})"),"")</f>
        <v/>
      </c>
      <c r="U148" s="7" t="str">
        <f ca="1">IFERROR(__xludf.DUMMYFUNCTION("SPARKLINE({
IF(E148="""",0,E148),
IF(G148="""",0,G148),
IF(I148="""",0,I148),
IF(K148="""",0,K148),
IF(M148="""",0,M148),
IF(O148="""",0,O148),
IF(Q148="""",0,Q148)
})"),"")</f>
        <v/>
      </c>
      <c r="V148" s="8" t="e">
        <f t="array" aca="1" ref="V148" ca="1">IF($C$4="Giao",_xludf.Xlookup(C148,#REF!,#REF!,),_xludf.Xlookup(C148,#REF!,#REF!,))</f>
        <v>#NAME?</v>
      </c>
      <c r="W148" s="8" t="e">
        <f t="array" aca="1" ref="W148" ca="1">IF($C$4="Giao", _xludf.Xlookup(C148,#REF!,#REF!,),_xludf.Xlookup(C148,#REF!,#REF!,))</f>
        <v>#NAME?</v>
      </c>
      <c r="X148" s="9" t="e">
        <f t="shared" ca="1" si="2"/>
        <v>#NAME?</v>
      </c>
      <c r="Y148" s="7"/>
      <c r="Z148" s="7"/>
    </row>
    <row r="149" spans="1:26" ht="13" x14ac:dyDescent="0.6">
      <c r="A149" s="28" t="str">
        <f t="shared" si="1"/>
        <v/>
      </c>
      <c r="B149" s="7"/>
      <c r="C149" s="7"/>
      <c r="D149" s="9"/>
      <c r="E149" s="9"/>
      <c r="F149" s="7"/>
      <c r="G149" s="7"/>
      <c r="H149" s="7"/>
      <c r="I149" s="7"/>
      <c r="J149" s="7"/>
      <c r="K149" s="7"/>
      <c r="L149" s="7"/>
      <c r="M149" s="7"/>
      <c r="N149" s="7"/>
      <c r="O149" s="7"/>
      <c r="P149" s="29"/>
      <c r="Q149" s="29"/>
      <c r="R149" s="7"/>
      <c r="S149" s="7"/>
      <c r="T149" s="7" t="str">
        <f ca="1">IFERROR(__xludf.DUMMYFUNCTION("SPARKLINE({
IF(D149="""",0,D149),
IF(F149="""",0,F149),
IF(H149="""",0,H149),
IF(J149="""",0,J149),
IF(L149="""",0,L149),
IF(N149="""",0,N149),
IF(P149="""",0,P149)
})"),"")</f>
        <v/>
      </c>
      <c r="U149" s="7" t="str">
        <f ca="1">IFERROR(__xludf.DUMMYFUNCTION("SPARKLINE({
IF(E149="""",0,E149),
IF(G149="""",0,G149),
IF(I149="""",0,I149),
IF(K149="""",0,K149),
IF(M149="""",0,M149),
IF(O149="""",0,O149),
IF(Q149="""",0,Q149)
})"),"")</f>
        <v/>
      </c>
      <c r="V149" s="8" t="e">
        <f t="array" aca="1" ref="V149" ca="1">IF($C$4="Giao",_xludf.Xlookup(C149,#REF!,#REF!,),_xludf.Xlookup(C149,#REF!,#REF!,))</f>
        <v>#NAME?</v>
      </c>
      <c r="W149" s="8" t="e">
        <f t="array" aca="1" ref="W149" ca="1">IF($C$4="Giao", _xludf.Xlookup(C149,#REF!,#REF!,),_xludf.Xlookup(C149,#REF!,#REF!,))</f>
        <v>#NAME?</v>
      </c>
      <c r="X149" s="9" t="e">
        <f t="shared" ca="1" si="2"/>
        <v>#NAME?</v>
      </c>
      <c r="Y149" s="7"/>
      <c r="Z149" s="7"/>
    </row>
    <row r="150" spans="1:26" ht="13" x14ac:dyDescent="0.6">
      <c r="A150" s="28" t="str">
        <f t="shared" si="1"/>
        <v/>
      </c>
      <c r="B150" s="7"/>
      <c r="C150" s="7"/>
      <c r="D150" s="9"/>
      <c r="E150" s="9"/>
      <c r="F150" s="7"/>
      <c r="G150" s="7"/>
      <c r="H150" s="7"/>
      <c r="I150" s="7"/>
      <c r="J150" s="7"/>
      <c r="K150" s="7"/>
      <c r="L150" s="7"/>
      <c r="M150" s="7"/>
      <c r="N150" s="7"/>
      <c r="O150" s="7"/>
      <c r="P150" s="29"/>
      <c r="Q150" s="29"/>
      <c r="R150" s="7"/>
      <c r="S150" s="7"/>
      <c r="T150" s="7" t="str">
        <f ca="1">IFERROR(__xludf.DUMMYFUNCTION("SPARKLINE({
IF(D150="""",0,D150),
IF(F150="""",0,F150),
IF(H150="""",0,H150),
IF(J150="""",0,J150),
IF(L150="""",0,L150),
IF(N150="""",0,N150),
IF(P150="""",0,P150)
})"),"")</f>
        <v/>
      </c>
      <c r="U150" s="7" t="str">
        <f ca="1">IFERROR(__xludf.DUMMYFUNCTION("SPARKLINE({
IF(E150="""",0,E150),
IF(G150="""",0,G150),
IF(I150="""",0,I150),
IF(K150="""",0,K150),
IF(M150="""",0,M150),
IF(O150="""",0,O150),
IF(Q150="""",0,Q150)
})"),"")</f>
        <v/>
      </c>
      <c r="V150" s="8" t="e">
        <f t="array" aca="1" ref="V150" ca="1">IF($C$4="Giao",_xludf.Xlookup(C150,#REF!,#REF!,),_xludf.Xlookup(C150,#REF!,#REF!,))</f>
        <v>#NAME?</v>
      </c>
      <c r="W150" s="8" t="e">
        <f t="array" aca="1" ref="W150" ca="1">IF($C$4="Giao", _xludf.Xlookup(C150,#REF!,#REF!,),_xludf.Xlookup(C150,#REF!,#REF!,))</f>
        <v>#NAME?</v>
      </c>
      <c r="X150" s="9" t="e">
        <f t="shared" ca="1" si="2"/>
        <v>#NAME?</v>
      </c>
      <c r="Y150" s="7"/>
      <c r="Z150" s="7"/>
    </row>
    <row r="151" spans="1:26" ht="13" x14ac:dyDescent="0.6">
      <c r="A151" s="28" t="str">
        <f t="shared" si="1"/>
        <v/>
      </c>
      <c r="B151" s="7"/>
      <c r="C151" s="7"/>
      <c r="D151" s="9"/>
      <c r="E151" s="9"/>
      <c r="F151" s="7"/>
      <c r="G151" s="7"/>
      <c r="H151" s="7"/>
      <c r="I151" s="7"/>
      <c r="J151" s="7"/>
      <c r="K151" s="7"/>
      <c r="L151" s="7"/>
      <c r="M151" s="7"/>
      <c r="N151" s="7"/>
      <c r="O151" s="7"/>
      <c r="P151" s="29"/>
      <c r="Q151" s="29"/>
      <c r="R151" s="7"/>
      <c r="S151" s="7"/>
      <c r="T151" s="7" t="str">
        <f ca="1">IFERROR(__xludf.DUMMYFUNCTION("SPARKLINE({
IF(D151="""",0,D151),
IF(F151="""",0,F151),
IF(H151="""",0,H151),
IF(J151="""",0,J151),
IF(L151="""",0,L151),
IF(N151="""",0,N151),
IF(P151="""",0,P151)
})"),"")</f>
        <v/>
      </c>
      <c r="U151" s="7" t="str">
        <f ca="1">IFERROR(__xludf.DUMMYFUNCTION("SPARKLINE({
IF(E151="""",0,E151),
IF(G151="""",0,G151),
IF(I151="""",0,I151),
IF(K151="""",0,K151),
IF(M151="""",0,M151),
IF(O151="""",0,O151),
IF(Q151="""",0,Q151)
})"),"")</f>
        <v/>
      </c>
      <c r="V151" s="8" t="e">
        <f t="array" aca="1" ref="V151" ca="1">IF($C$4="Giao",_xludf.Xlookup(C151,#REF!,#REF!,),_xludf.Xlookup(C151,#REF!,#REF!,))</f>
        <v>#NAME?</v>
      </c>
      <c r="W151" s="8" t="e">
        <f t="array" aca="1" ref="W151" ca="1">IF($C$4="Giao", _xludf.Xlookup(C151,#REF!,#REF!,),_xludf.Xlookup(C151,#REF!,#REF!,))</f>
        <v>#NAME?</v>
      </c>
      <c r="X151" s="9" t="e">
        <f t="shared" ca="1" si="2"/>
        <v>#NAME?</v>
      </c>
      <c r="Y151" s="7"/>
      <c r="Z151" s="7"/>
    </row>
    <row r="152" spans="1:26" ht="13" x14ac:dyDescent="0.6">
      <c r="A152" s="28" t="str">
        <f t="shared" si="1"/>
        <v/>
      </c>
      <c r="B152" s="7"/>
      <c r="C152" s="7"/>
      <c r="D152" s="9"/>
      <c r="E152" s="9"/>
      <c r="F152" s="7"/>
      <c r="G152" s="7"/>
      <c r="H152" s="7"/>
      <c r="I152" s="7"/>
      <c r="J152" s="7"/>
      <c r="K152" s="7"/>
      <c r="L152" s="7"/>
      <c r="M152" s="7"/>
      <c r="N152" s="7"/>
      <c r="O152" s="7"/>
      <c r="P152" s="29"/>
      <c r="Q152" s="29"/>
      <c r="R152" s="7"/>
      <c r="S152" s="7"/>
      <c r="T152" s="7" t="str">
        <f ca="1">IFERROR(__xludf.DUMMYFUNCTION("SPARKLINE({
IF(D152="""",0,D152),
IF(F152="""",0,F152),
IF(H152="""",0,H152),
IF(J152="""",0,J152),
IF(L152="""",0,L152),
IF(N152="""",0,N152),
IF(P152="""",0,P152)
})"),"")</f>
        <v/>
      </c>
      <c r="U152" s="7" t="str">
        <f ca="1">IFERROR(__xludf.DUMMYFUNCTION("SPARKLINE({
IF(E152="""",0,E152),
IF(G152="""",0,G152),
IF(I152="""",0,I152),
IF(K152="""",0,K152),
IF(M152="""",0,M152),
IF(O152="""",0,O152),
IF(Q152="""",0,Q152)
})"),"")</f>
        <v/>
      </c>
      <c r="V152" s="8" t="e">
        <f t="array" aca="1" ref="V152" ca="1">IF($C$4="Giao",_xludf.Xlookup(C152,#REF!,#REF!,),_xludf.Xlookup(C152,#REF!,#REF!,))</f>
        <v>#NAME?</v>
      </c>
      <c r="W152" s="8" t="e">
        <f t="array" aca="1" ref="W152" ca="1">IF($C$4="Giao", _xludf.Xlookup(C152,#REF!,#REF!,),_xludf.Xlookup(C152,#REF!,#REF!,))</f>
        <v>#NAME?</v>
      </c>
      <c r="X152" s="9" t="e">
        <f t="shared" ca="1" si="2"/>
        <v>#NAME?</v>
      </c>
      <c r="Y152" s="7"/>
      <c r="Z152" s="7"/>
    </row>
    <row r="153" spans="1:26" ht="13" x14ac:dyDescent="0.6">
      <c r="A153" s="28" t="str">
        <f t="shared" si="1"/>
        <v/>
      </c>
      <c r="B153" s="7"/>
      <c r="C153" s="7"/>
      <c r="D153" s="9"/>
      <c r="E153" s="9"/>
      <c r="F153" s="7"/>
      <c r="G153" s="7"/>
      <c r="H153" s="7"/>
      <c r="I153" s="7"/>
      <c r="J153" s="7"/>
      <c r="K153" s="7"/>
      <c r="L153" s="7"/>
      <c r="M153" s="7"/>
      <c r="N153" s="7"/>
      <c r="O153" s="7"/>
      <c r="P153" s="29"/>
      <c r="Q153" s="29"/>
      <c r="R153" s="7"/>
      <c r="S153" s="7"/>
      <c r="T153" s="7" t="str">
        <f ca="1">IFERROR(__xludf.DUMMYFUNCTION("SPARKLINE({
IF(D153="""",0,D153),
IF(F153="""",0,F153),
IF(H153="""",0,H153),
IF(J153="""",0,J153),
IF(L153="""",0,L153),
IF(N153="""",0,N153),
IF(P153="""",0,P153)
})"),"")</f>
        <v/>
      </c>
      <c r="U153" s="7" t="str">
        <f ca="1">IFERROR(__xludf.DUMMYFUNCTION("SPARKLINE({
IF(E153="""",0,E153),
IF(G153="""",0,G153),
IF(I153="""",0,I153),
IF(K153="""",0,K153),
IF(M153="""",0,M153),
IF(O153="""",0,O153),
IF(Q153="""",0,Q153)
})"),"")</f>
        <v/>
      </c>
      <c r="V153" s="8" t="e">
        <f t="array" aca="1" ref="V153" ca="1">IF($C$4="Giao",_xludf.Xlookup(C153,#REF!,#REF!,),_xludf.Xlookup(C153,#REF!,#REF!,))</f>
        <v>#NAME?</v>
      </c>
      <c r="W153" s="8" t="e">
        <f t="array" aca="1" ref="W153" ca="1">IF($C$4="Giao", _xludf.Xlookup(C153,#REF!,#REF!,),_xludf.Xlookup(C153,#REF!,#REF!,))</f>
        <v>#NAME?</v>
      </c>
      <c r="X153" s="9" t="e">
        <f t="shared" ca="1" si="2"/>
        <v>#NAME?</v>
      </c>
      <c r="Y153" s="7"/>
      <c r="Z153" s="7"/>
    </row>
    <row r="154" spans="1:26" ht="13" x14ac:dyDescent="0.6">
      <c r="A154" s="28" t="str">
        <f t="shared" si="1"/>
        <v/>
      </c>
      <c r="B154" s="7"/>
      <c r="C154" s="7"/>
      <c r="D154" s="9"/>
      <c r="E154" s="9"/>
      <c r="F154" s="7"/>
      <c r="G154" s="7"/>
      <c r="H154" s="7"/>
      <c r="I154" s="7"/>
      <c r="J154" s="7"/>
      <c r="K154" s="7"/>
      <c r="L154" s="7"/>
      <c r="M154" s="7"/>
      <c r="N154" s="7"/>
      <c r="O154" s="7"/>
      <c r="P154" s="29"/>
      <c r="Q154" s="29"/>
      <c r="R154" s="7"/>
      <c r="S154" s="7"/>
      <c r="T154" s="7" t="str">
        <f ca="1">IFERROR(__xludf.DUMMYFUNCTION("SPARKLINE({
IF(D154="""",0,D154),
IF(F154="""",0,F154),
IF(H154="""",0,H154),
IF(J154="""",0,J154),
IF(L154="""",0,L154),
IF(N154="""",0,N154),
IF(P154="""",0,P154)
})"),"")</f>
        <v/>
      </c>
      <c r="U154" s="7" t="str">
        <f ca="1">IFERROR(__xludf.DUMMYFUNCTION("SPARKLINE({
IF(E154="""",0,E154),
IF(G154="""",0,G154),
IF(I154="""",0,I154),
IF(K154="""",0,K154),
IF(M154="""",0,M154),
IF(O154="""",0,O154),
IF(Q154="""",0,Q154)
})"),"")</f>
        <v/>
      </c>
      <c r="V154" s="8" t="e">
        <f t="array" aca="1" ref="V154" ca="1">IF($C$4="Giao",_xludf.Xlookup(C154,#REF!,#REF!,),_xludf.Xlookup(C154,#REF!,#REF!,))</f>
        <v>#NAME?</v>
      </c>
      <c r="W154" s="8" t="e">
        <f t="array" aca="1" ref="W154" ca="1">IF($C$4="Giao", _xludf.Xlookup(C154,#REF!,#REF!,),_xludf.Xlookup(C154,#REF!,#REF!,))</f>
        <v>#NAME?</v>
      </c>
      <c r="X154" s="9" t="e">
        <f t="shared" ca="1" si="2"/>
        <v>#NAME?</v>
      </c>
      <c r="Y154" s="7"/>
      <c r="Z154" s="7"/>
    </row>
    <row r="155" spans="1:26" ht="13" x14ac:dyDescent="0.6">
      <c r="A155" s="28" t="str">
        <f t="shared" si="1"/>
        <v/>
      </c>
      <c r="B155" s="7"/>
      <c r="C155" s="7"/>
      <c r="D155" s="9"/>
      <c r="E155" s="9"/>
      <c r="F155" s="7"/>
      <c r="G155" s="7"/>
      <c r="H155" s="7"/>
      <c r="I155" s="7"/>
      <c r="J155" s="7"/>
      <c r="K155" s="7"/>
      <c r="L155" s="7"/>
      <c r="M155" s="7"/>
      <c r="N155" s="7"/>
      <c r="O155" s="7"/>
      <c r="P155" s="29"/>
      <c r="Q155" s="29"/>
      <c r="R155" s="7"/>
      <c r="S155" s="7"/>
      <c r="T155" s="7" t="str">
        <f ca="1">IFERROR(__xludf.DUMMYFUNCTION("SPARKLINE({
IF(D155="""",0,D155),
IF(F155="""",0,F155),
IF(H155="""",0,H155),
IF(J155="""",0,J155),
IF(L155="""",0,L155),
IF(N155="""",0,N155),
IF(P155="""",0,P155)
})"),"")</f>
        <v/>
      </c>
      <c r="U155" s="7" t="str">
        <f ca="1">IFERROR(__xludf.DUMMYFUNCTION("SPARKLINE({
IF(E155="""",0,E155),
IF(G155="""",0,G155),
IF(I155="""",0,I155),
IF(K155="""",0,K155),
IF(M155="""",0,M155),
IF(O155="""",0,O155),
IF(Q155="""",0,Q155)
})"),"")</f>
        <v/>
      </c>
      <c r="V155" s="8" t="e">
        <f t="array" aca="1" ref="V155" ca="1">IF($C$4="Giao",_xludf.Xlookup(C155,#REF!,#REF!,),_xludf.Xlookup(C155,#REF!,#REF!,))</f>
        <v>#NAME?</v>
      </c>
      <c r="W155" s="8" t="e">
        <f t="array" aca="1" ref="W155" ca="1">IF($C$4="Giao", _xludf.Xlookup(C155,#REF!,#REF!,),_xludf.Xlookup(C155,#REF!,#REF!,))</f>
        <v>#NAME?</v>
      </c>
      <c r="X155" s="9" t="e">
        <f t="shared" ca="1" si="2"/>
        <v>#NAME?</v>
      </c>
      <c r="Y155" s="7"/>
      <c r="Z155" s="7"/>
    </row>
    <row r="156" spans="1:26" ht="13" x14ac:dyDescent="0.6">
      <c r="A156" s="28" t="str">
        <f t="shared" si="1"/>
        <v/>
      </c>
      <c r="B156" s="7"/>
      <c r="C156" s="7"/>
      <c r="D156" s="9"/>
      <c r="E156" s="9"/>
      <c r="F156" s="7"/>
      <c r="G156" s="7"/>
      <c r="H156" s="7"/>
      <c r="I156" s="7"/>
      <c r="J156" s="7"/>
      <c r="K156" s="7"/>
      <c r="L156" s="7"/>
      <c r="M156" s="7"/>
      <c r="N156" s="7"/>
      <c r="O156" s="7"/>
      <c r="P156" s="29"/>
      <c r="Q156" s="29"/>
      <c r="R156" s="7"/>
      <c r="S156" s="7"/>
      <c r="T156" s="7" t="str">
        <f ca="1">IFERROR(__xludf.DUMMYFUNCTION("SPARKLINE({
IF(D156="""",0,D156),
IF(F156="""",0,F156),
IF(H156="""",0,H156),
IF(J156="""",0,J156),
IF(L156="""",0,L156),
IF(N156="""",0,N156),
IF(P156="""",0,P156)
})"),"")</f>
        <v/>
      </c>
      <c r="U156" s="7" t="str">
        <f ca="1">IFERROR(__xludf.DUMMYFUNCTION("SPARKLINE({
IF(E156="""",0,E156),
IF(G156="""",0,G156),
IF(I156="""",0,I156),
IF(K156="""",0,K156),
IF(M156="""",0,M156),
IF(O156="""",0,O156),
IF(Q156="""",0,Q156)
})"),"")</f>
        <v/>
      </c>
      <c r="V156" s="8" t="e">
        <f t="array" aca="1" ref="V156" ca="1">IF($C$4="Giao",_xludf.Xlookup(C156,#REF!,#REF!,),_xludf.Xlookup(C156,#REF!,#REF!,))</f>
        <v>#NAME?</v>
      </c>
      <c r="W156" s="8" t="e">
        <f t="array" aca="1" ref="W156" ca="1">IF($C$4="Giao", _xludf.Xlookup(C156,#REF!,#REF!,),_xludf.Xlookup(C156,#REF!,#REF!,))</f>
        <v>#NAME?</v>
      </c>
      <c r="X156" s="9" t="e">
        <f t="shared" ca="1" si="2"/>
        <v>#NAME?</v>
      </c>
      <c r="Y156" s="7"/>
      <c r="Z156" s="7"/>
    </row>
    <row r="157" spans="1:26" ht="13" x14ac:dyDescent="0.6">
      <c r="A157" s="28" t="str">
        <f t="shared" si="1"/>
        <v/>
      </c>
      <c r="B157" s="7"/>
      <c r="C157" s="7"/>
      <c r="D157" s="9"/>
      <c r="E157" s="9"/>
      <c r="F157" s="7"/>
      <c r="G157" s="7"/>
      <c r="H157" s="7"/>
      <c r="I157" s="7"/>
      <c r="J157" s="7"/>
      <c r="K157" s="7"/>
      <c r="L157" s="7"/>
      <c r="M157" s="7"/>
      <c r="N157" s="7"/>
      <c r="O157" s="7"/>
      <c r="P157" s="29"/>
      <c r="Q157" s="29"/>
      <c r="R157" s="7"/>
      <c r="S157" s="7"/>
      <c r="T157" s="7" t="str">
        <f ca="1">IFERROR(__xludf.DUMMYFUNCTION("SPARKLINE({
IF(D157="""",0,D157),
IF(F157="""",0,F157),
IF(H157="""",0,H157),
IF(J157="""",0,J157),
IF(L157="""",0,L157),
IF(N157="""",0,N157),
IF(P157="""",0,P157)
})"),"")</f>
        <v/>
      </c>
      <c r="U157" s="7" t="str">
        <f ca="1">IFERROR(__xludf.DUMMYFUNCTION("SPARKLINE({
IF(E157="""",0,E157),
IF(G157="""",0,G157),
IF(I157="""",0,I157),
IF(K157="""",0,K157),
IF(M157="""",0,M157),
IF(O157="""",0,O157),
IF(Q157="""",0,Q157)
})"),"")</f>
        <v/>
      </c>
      <c r="V157" s="8" t="e">
        <f t="array" aca="1" ref="V157" ca="1">IF($C$4="Giao",_xludf.Xlookup(C157,#REF!,#REF!,),_xludf.Xlookup(C157,#REF!,#REF!,))</f>
        <v>#NAME?</v>
      </c>
      <c r="W157" s="8" t="e">
        <f t="array" aca="1" ref="W157" ca="1">IF($C$4="Giao", _xludf.Xlookup(C157,#REF!,#REF!,),_xludf.Xlookup(C157,#REF!,#REF!,))</f>
        <v>#NAME?</v>
      </c>
      <c r="X157" s="9" t="e">
        <f t="shared" ca="1" si="2"/>
        <v>#NAME?</v>
      </c>
      <c r="Y157" s="7"/>
      <c r="Z157" s="7"/>
    </row>
    <row r="158" spans="1:26" ht="13" x14ac:dyDescent="0.6">
      <c r="A158" s="28" t="str">
        <f t="shared" si="1"/>
        <v/>
      </c>
      <c r="B158" s="7"/>
      <c r="C158" s="7"/>
      <c r="D158" s="9"/>
      <c r="E158" s="9"/>
      <c r="F158" s="7"/>
      <c r="G158" s="7"/>
      <c r="H158" s="7"/>
      <c r="I158" s="7"/>
      <c r="J158" s="7"/>
      <c r="K158" s="7"/>
      <c r="L158" s="7"/>
      <c r="M158" s="7"/>
      <c r="N158" s="7"/>
      <c r="O158" s="7"/>
      <c r="P158" s="29"/>
      <c r="Q158" s="29"/>
      <c r="R158" s="7"/>
      <c r="S158" s="7"/>
      <c r="T158" s="7" t="str">
        <f ca="1">IFERROR(__xludf.DUMMYFUNCTION("SPARKLINE({
IF(D158="""",0,D158),
IF(F158="""",0,F158),
IF(H158="""",0,H158),
IF(J158="""",0,J158),
IF(L158="""",0,L158),
IF(N158="""",0,N158),
IF(P158="""",0,P158)
})"),"")</f>
        <v/>
      </c>
      <c r="U158" s="7" t="str">
        <f ca="1">IFERROR(__xludf.DUMMYFUNCTION("SPARKLINE({
IF(E158="""",0,E158),
IF(G158="""",0,G158),
IF(I158="""",0,I158),
IF(K158="""",0,K158),
IF(M158="""",0,M158),
IF(O158="""",0,O158),
IF(Q158="""",0,Q158)
})"),"")</f>
        <v/>
      </c>
      <c r="V158" s="8" t="e">
        <f t="array" aca="1" ref="V158" ca="1">IF($C$4="Giao",_xludf.Xlookup(C158,#REF!,#REF!,),_xludf.Xlookup(C158,#REF!,#REF!,))</f>
        <v>#NAME?</v>
      </c>
      <c r="W158" s="8" t="e">
        <f t="array" aca="1" ref="W158" ca="1">IF($C$4="Giao", _xludf.Xlookup(C158,#REF!,#REF!,),_xludf.Xlookup(C158,#REF!,#REF!,))</f>
        <v>#NAME?</v>
      </c>
      <c r="X158" s="9" t="e">
        <f t="shared" ca="1" si="2"/>
        <v>#NAME?</v>
      </c>
      <c r="Y158" s="7"/>
      <c r="Z158" s="7"/>
    </row>
    <row r="159" spans="1:26" ht="13" x14ac:dyDescent="0.6">
      <c r="A159" s="28" t="str">
        <f t="shared" si="1"/>
        <v/>
      </c>
      <c r="B159" s="7"/>
      <c r="C159" s="7"/>
      <c r="D159" s="9"/>
      <c r="E159" s="9"/>
      <c r="F159" s="7"/>
      <c r="G159" s="7"/>
      <c r="H159" s="7"/>
      <c r="I159" s="7"/>
      <c r="J159" s="7"/>
      <c r="K159" s="7"/>
      <c r="L159" s="7"/>
      <c r="M159" s="7"/>
      <c r="N159" s="7"/>
      <c r="O159" s="7"/>
      <c r="P159" s="29"/>
      <c r="Q159" s="29"/>
      <c r="R159" s="7"/>
      <c r="S159" s="7"/>
      <c r="T159" s="7" t="str">
        <f ca="1">IFERROR(__xludf.DUMMYFUNCTION("SPARKLINE({
IF(D159="""",0,D159),
IF(F159="""",0,F159),
IF(H159="""",0,H159),
IF(J159="""",0,J159),
IF(L159="""",0,L159),
IF(N159="""",0,N159),
IF(P159="""",0,P159)
})"),"")</f>
        <v/>
      </c>
      <c r="U159" s="7" t="str">
        <f ca="1">IFERROR(__xludf.DUMMYFUNCTION("SPARKLINE({
IF(E159="""",0,E159),
IF(G159="""",0,G159),
IF(I159="""",0,I159),
IF(K159="""",0,K159),
IF(M159="""",0,M159),
IF(O159="""",0,O159),
IF(Q159="""",0,Q159)
})"),"")</f>
        <v/>
      </c>
      <c r="V159" s="8" t="e">
        <f t="array" aca="1" ref="V159" ca="1">IF($C$4="Giao",_xludf.Xlookup(C159,#REF!,#REF!,),_xludf.Xlookup(C159,#REF!,#REF!,))</f>
        <v>#NAME?</v>
      </c>
      <c r="W159" s="8" t="e">
        <f t="array" aca="1" ref="W159" ca="1">IF($C$4="Giao", _xludf.Xlookup(C159,#REF!,#REF!,),_xludf.Xlookup(C159,#REF!,#REF!,))</f>
        <v>#NAME?</v>
      </c>
      <c r="X159" s="9" t="e">
        <f t="shared" ca="1" si="2"/>
        <v>#NAME?</v>
      </c>
      <c r="Y159" s="7"/>
      <c r="Z159" s="7"/>
    </row>
    <row r="160" spans="1:26" ht="13" x14ac:dyDescent="0.6">
      <c r="A160" s="28" t="str">
        <f t="shared" si="1"/>
        <v/>
      </c>
      <c r="B160" s="7"/>
      <c r="C160" s="7"/>
      <c r="D160" s="9"/>
      <c r="E160" s="9"/>
      <c r="F160" s="7"/>
      <c r="G160" s="7"/>
      <c r="H160" s="7"/>
      <c r="I160" s="7"/>
      <c r="J160" s="7"/>
      <c r="K160" s="7"/>
      <c r="L160" s="7"/>
      <c r="M160" s="7"/>
      <c r="N160" s="7"/>
      <c r="O160" s="7"/>
      <c r="P160" s="29"/>
      <c r="Q160" s="29"/>
      <c r="R160" s="7"/>
      <c r="S160" s="7"/>
      <c r="T160" s="7" t="str">
        <f ca="1">IFERROR(__xludf.DUMMYFUNCTION("SPARKLINE({
IF(D160="""",0,D160),
IF(F160="""",0,F160),
IF(H160="""",0,H160),
IF(J160="""",0,J160),
IF(L160="""",0,L160),
IF(N160="""",0,N160),
IF(P160="""",0,P160)
})"),"")</f>
        <v/>
      </c>
      <c r="U160" s="7" t="str">
        <f ca="1">IFERROR(__xludf.DUMMYFUNCTION("SPARKLINE({
IF(E160="""",0,E160),
IF(G160="""",0,G160),
IF(I160="""",0,I160),
IF(K160="""",0,K160),
IF(M160="""",0,M160),
IF(O160="""",0,O160),
IF(Q160="""",0,Q160)
})"),"")</f>
        <v/>
      </c>
      <c r="V160" s="8" t="e">
        <f t="array" aca="1" ref="V160" ca="1">IF($C$4="Giao",_xludf.Xlookup(C160,#REF!,#REF!,),_xludf.Xlookup(C160,#REF!,#REF!,))</f>
        <v>#NAME?</v>
      </c>
      <c r="W160" s="8" t="e">
        <f t="array" aca="1" ref="W160" ca="1">IF($C$4="Giao", _xludf.Xlookup(C160,#REF!,#REF!,),_xludf.Xlookup(C160,#REF!,#REF!,))</f>
        <v>#NAME?</v>
      </c>
      <c r="X160" s="9" t="e">
        <f t="shared" ca="1" si="2"/>
        <v>#NAME?</v>
      </c>
      <c r="Y160" s="7"/>
      <c r="Z160" s="7"/>
    </row>
    <row r="161" spans="1:26" ht="13" x14ac:dyDescent="0.6">
      <c r="A161" s="28" t="str">
        <f t="shared" si="1"/>
        <v/>
      </c>
      <c r="B161" s="7"/>
      <c r="C161" s="7"/>
      <c r="D161" s="9"/>
      <c r="E161" s="9"/>
      <c r="F161" s="7"/>
      <c r="G161" s="7"/>
      <c r="H161" s="7"/>
      <c r="I161" s="7"/>
      <c r="J161" s="7"/>
      <c r="K161" s="7"/>
      <c r="L161" s="7"/>
      <c r="M161" s="7"/>
      <c r="N161" s="7"/>
      <c r="O161" s="7"/>
      <c r="P161" s="29"/>
      <c r="Q161" s="29"/>
      <c r="R161" s="7"/>
      <c r="S161" s="7"/>
      <c r="T161" s="7" t="str">
        <f ca="1">IFERROR(__xludf.DUMMYFUNCTION("SPARKLINE({
IF(D161="""",0,D161),
IF(F161="""",0,F161),
IF(H161="""",0,H161),
IF(J161="""",0,J161),
IF(L161="""",0,L161),
IF(N161="""",0,N161),
IF(P161="""",0,P161)
})"),"")</f>
        <v/>
      </c>
      <c r="U161" s="7" t="str">
        <f ca="1">IFERROR(__xludf.DUMMYFUNCTION("SPARKLINE({
IF(E161="""",0,E161),
IF(G161="""",0,G161),
IF(I161="""",0,I161),
IF(K161="""",0,K161),
IF(M161="""",0,M161),
IF(O161="""",0,O161),
IF(Q161="""",0,Q161)
})"),"")</f>
        <v/>
      </c>
      <c r="V161" s="8" t="e">
        <f t="array" aca="1" ref="V161" ca="1">IF($C$4="Giao",_xludf.Xlookup(C161,#REF!,#REF!,),_xludf.Xlookup(C161,#REF!,#REF!,))</f>
        <v>#NAME?</v>
      </c>
      <c r="W161" s="8" t="e">
        <f t="array" aca="1" ref="W161" ca="1">IF($C$4="Giao", _xludf.Xlookup(C161,#REF!,#REF!,),_xludf.Xlookup(C161,#REF!,#REF!,))</f>
        <v>#NAME?</v>
      </c>
      <c r="X161" s="9" t="e">
        <f t="shared" ca="1" si="2"/>
        <v>#NAME?</v>
      </c>
      <c r="Y161" s="7"/>
      <c r="Z161" s="7"/>
    </row>
    <row r="162" spans="1:26" ht="13" x14ac:dyDescent="0.6">
      <c r="A162" s="28" t="str">
        <f t="shared" si="1"/>
        <v/>
      </c>
      <c r="B162" s="7"/>
      <c r="C162" s="7"/>
      <c r="D162" s="9"/>
      <c r="E162" s="9"/>
      <c r="F162" s="7"/>
      <c r="G162" s="7"/>
      <c r="H162" s="7"/>
      <c r="I162" s="7"/>
      <c r="J162" s="7"/>
      <c r="K162" s="7"/>
      <c r="L162" s="7"/>
      <c r="M162" s="7"/>
      <c r="N162" s="7"/>
      <c r="O162" s="7"/>
      <c r="P162" s="29"/>
      <c r="Q162" s="29"/>
      <c r="R162" s="7"/>
      <c r="S162" s="7"/>
      <c r="T162" s="7" t="str">
        <f ca="1">IFERROR(__xludf.DUMMYFUNCTION("SPARKLINE({
IF(D162="""",0,D162),
IF(F162="""",0,F162),
IF(H162="""",0,H162),
IF(J162="""",0,J162),
IF(L162="""",0,L162),
IF(N162="""",0,N162),
IF(P162="""",0,P162)
})"),"")</f>
        <v/>
      </c>
      <c r="U162" s="7" t="str">
        <f ca="1">IFERROR(__xludf.DUMMYFUNCTION("SPARKLINE({
IF(E162="""",0,E162),
IF(G162="""",0,G162),
IF(I162="""",0,I162),
IF(K162="""",0,K162),
IF(M162="""",0,M162),
IF(O162="""",0,O162),
IF(Q162="""",0,Q162)
})"),"")</f>
        <v/>
      </c>
      <c r="V162" s="8" t="e">
        <f t="array" aca="1" ref="V162" ca="1">IF($C$4="Giao",_xludf.Xlookup(C162,#REF!,#REF!,),_xludf.Xlookup(C162,#REF!,#REF!,))</f>
        <v>#NAME?</v>
      </c>
      <c r="W162" s="8" t="e">
        <f t="array" aca="1" ref="W162" ca="1">IF($C$4="Giao", _xludf.Xlookup(C162,#REF!,#REF!,),_xludf.Xlookup(C162,#REF!,#REF!,))</f>
        <v>#NAME?</v>
      </c>
      <c r="X162" s="9" t="e">
        <f t="shared" ca="1" si="2"/>
        <v>#NAME?</v>
      </c>
      <c r="Y162" s="7"/>
      <c r="Z162" s="7"/>
    </row>
    <row r="163" spans="1:26" ht="13" x14ac:dyDescent="0.6">
      <c r="A163" s="28" t="str">
        <f t="shared" si="1"/>
        <v/>
      </c>
      <c r="B163" s="7"/>
      <c r="C163" s="7"/>
      <c r="D163" s="9"/>
      <c r="E163" s="9"/>
      <c r="F163" s="7"/>
      <c r="G163" s="7"/>
      <c r="H163" s="7"/>
      <c r="I163" s="7"/>
      <c r="J163" s="7"/>
      <c r="K163" s="7"/>
      <c r="L163" s="7"/>
      <c r="M163" s="7"/>
      <c r="N163" s="7"/>
      <c r="O163" s="7"/>
      <c r="P163" s="29"/>
      <c r="Q163" s="29"/>
      <c r="R163" s="7"/>
      <c r="S163" s="7"/>
      <c r="T163" s="7" t="str">
        <f ca="1">IFERROR(__xludf.DUMMYFUNCTION("SPARKLINE({
IF(D163="""",0,D163),
IF(F163="""",0,F163),
IF(H163="""",0,H163),
IF(J163="""",0,J163),
IF(L163="""",0,L163),
IF(N163="""",0,N163),
IF(P163="""",0,P163)
})"),"")</f>
        <v/>
      </c>
      <c r="U163" s="7" t="str">
        <f ca="1">IFERROR(__xludf.DUMMYFUNCTION("SPARKLINE({
IF(E163="""",0,E163),
IF(G163="""",0,G163),
IF(I163="""",0,I163),
IF(K163="""",0,K163),
IF(M163="""",0,M163),
IF(O163="""",0,O163),
IF(Q163="""",0,Q163)
})"),"")</f>
        <v/>
      </c>
      <c r="V163" s="8" t="e">
        <f t="array" aca="1" ref="V163" ca="1">IF($C$4="Giao",_xludf.Xlookup(C163,#REF!,#REF!,),_xludf.Xlookup(C163,#REF!,#REF!,))</f>
        <v>#NAME?</v>
      </c>
      <c r="W163" s="8" t="e">
        <f t="array" aca="1" ref="W163" ca="1">IF($C$4="Giao", _xludf.Xlookup(C163,#REF!,#REF!,),_xludf.Xlookup(C163,#REF!,#REF!,))</f>
        <v>#NAME?</v>
      </c>
      <c r="X163" s="9" t="e">
        <f t="shared" ca="1" si="2"/>
        <v>#NAME?</v>
      </c>
      <c r="Y163" s="7"/>
      <c r="Z163" s="7"/>
    </row>
    <row r="164" spans="1:26" ht="13" x14ac:dyDescent="0.6">
      <c r="A164" s="28" t="str">
        <f t="shared" si="1"/>
        <v/>
      </c>
      <c r="B164" s="7"/>
      <c r="C164" s="7"/>
      <c r="D164" s="9"/>
      <c r="E164" s="9"/>
      <c r="F164" s="7"/>
      <c r="G164" s="7"/>
      <c r="H164" s="7"/>
      <c r="I164" s="7"/>
      <c r="J164" s="7"/>
      <c r="K164" s="7"/>
      <c r="L164" s="7"/>
      <c r="M164" s="7"/>
      <c r="N164" s="7"/>
      <c r="O164" s="7"/>
      <c r="P164" s="29"/>
      <c r="Q164" s="29"/>
      <c r="R164" s="7"/>
      <c r="S164" s="7"/>
      <c r="T164" s="7" t="str">
        <f ca="1">IFERROR(__xludf.DUMMYFUNCTION("SPARKLINE({
IF(D164="""",0,D164),
IF(F164="""",0,F164),
IF(H164="""",0,H164),
IF(J164="""",0,J164),
IF(L164="""",0,L164),
IF(N164="""",0,N164),
IF(P164="""",0,P164)
})"),"")</f>
        <v/>
      </c>
      <c r="U164" s="7" t="str">
        <f ca="1">IFERROR(__xludf.DUMMYFUNCTION("SPARKLINE({
IF(E164="""",0,E164),
IF(G164="""",0,G164),
IF(I164="""",0,I164),
IF(K164="""",0,K164),
IF(M164="""",0,M164),
IF(O164="""",0,O164),
IF(Q164="""",0,Q164)
})"),"")</f>
        <v/>
      </c>
      <c r="V164" s="8" t="e">
        <f t="array" aca="1" ref="V164" ca="1">IF($C$4="Giao",_xludf.Xlookup(C164,#REF!,#REF!,),_xludf.Xlookup(C164,#REF!,#REF!,))</f>
        <v>#NAME?</v>
      </c>
      <c r="W164" s="8" t="e">
        <f t="array" aca="1" ref="W164" ca="1">IF($C$4="Giao", _xludf.Xlookup(C164,#REF!,#REF!,),_xludf.Xlookup(C164,#REF!,#REF!,))</f>
        <v>#NAME?</v>
      </c>
      <c r="X164" s="9" t="e">
        <f t="shared" ca="1" si="2"/>
        <v>#NAME?</v>
      </c>
      <c r="Y164" s="7"/>
      <c r="Z164" s="7"/>
    </row>
    <row r="165" spans="1:26" ht="13" x14ac:dyDescent="0.6">
      <c r="A165" s="28" t="str">
        <f t="shared" si="1"/>
        <v/>
      </c>
      <c r="B165" s="7"/>
      <c r="C165" s="7"/>
      <c r="D165" s="9"/>
      <c r="E165" s="9"/>
      <c r="F165" s="7"/>
      <c r="G165" s="7"/>
      <c r="H165" s="7"/>
      <c r="I165" s="7"/>
      <c r="J165" s="7"/>
      <c r="K165" s="7"/>
      <c r="L165" s="7"/>
      <c r="M165" s="7"/>
      <c r="N165" s="7"/>
      <c r="O165" s="7"/>
      <c r="P165" s="29"/>
      <c r="Q165" s="29"/>
      <c r="R165" s="7"/>
      <c r="S165" s="7"/>
      <c r="T165" s="7" t="str">
        <f ca="1">IFERROR(__xludf.DUMMYFUNCTION("SPARKLINE({
IF(D165="""",0,D165),
IF(F165="""",0,F165),
IF(H165="""",0,H165),
IF(J165="""",0,J165),
IF(L165="""",0,L165),
IF(N165="""",0,N165),
IF(P165="""",0,P165)
})"),"")</f>
        <v/>
      </c>
      <c r="U165" s="7" t="str">
        <f ca="1">IFERROR(__xludf.DUMMYFUNCTION("SPARKLINE({
IF(E165="""",0,E165),
IF(G165="""",0,G165),
IF(I165="""",0,I165),
IF(K165="""",0,K165),
IF(M165="""",0,M165),
IF(O165="""",0,O165),
IF(Q165="""",0,Q165)
})"),"")</f>
        <v/>
      </c>
      <c r="V165" s="8" t="e">
        <f t="array" aca="1" ref="V165" ca="1">IF($C$4="Giao",_xludf.Xlookup(C165,#REF!,#REF!,),_xludf.Xlookup(C165,#REF!,#REF!,))</f>
        <v>#NAME?</v>
      </c>
      <c r="W165" s="8" t="e">
        <f t="array" aca="1" ref="W165" ca="1">IF($C$4="Giao", _xludf.Xlookup(C165,#REF!,#REF!,),_xludf.Xlookup(C165,#REF!,#REF!,))</f>
        <v>#NAME?</v>
      </c>
      <c r="X165" s="9" t="e">
        <f t="shared" ca="1" si="2"/>
        <v>#NAME?</v>
      </c>
      <c r="Y165" s="7"/>
      <c r="Z165" s="7"/>
    </row>
    <row r="166" spans="1:26" ht="13" x14ac:dyDescent="0.6">
      <c r="A166" s="28" t="str">
        <f t="shared" si="1"/>
        <v/>
      </c>
      <c r="B166" s="7"/>
      <c r="C166" s="7"/>
      <c r="D166" s="9"/>
      <c r="E166" s="9"/>
      <c r="F166" s="7"/>
      <c r="G166" s="7"/>
      <c r="H166" s="7"/>
      <c r="I166" s="7"/>
      <c r="J166" s="7"/>
      <c r="K166" s="7"/>
      <c r="L166" s="7"/>
      <c r="M166" s="7"/>
      <c r="N166" s="7"/>
      <c r="O166" s="7"/>
      <c r="P166" s="29"/>
      <c r="Q166" s="29"/>
      <c r="R166" s="7"/>
      <c r="S166" s="7"/>
      <c r="T166" s="7" t="str">
        <f ca="1">IFERROR(__xludf.DUMMYFUNCTION("SPARKLINE({
IF(D166="""",0,D166),
IF(F166="""",0,F166),
IF(H166="""",0,H166),
IF(J166="""",0,J166),
IF(L166="""",0,L166),
IF(N166="""",0,N166),
IF(P166="""",0,P166)
})"),"")</f>
        <v/>
      </c>
      <c r="U166" s="7" t="str">
        <f ca="1">IFERROR(__xludf.DUMMYFUNCTION("SPARKLINE({
IF(E166="""",0,E166),
IF(G166="""",0,G166),
IF(I166="""",0,I166),
IF(K166="""",0,K166),
IF(M166="""",0,M166),
IF(O166="""",0,O166),
IF(Q166="""",0,Q166)
})"),"")</f>
        <v/>
      </c>
      <c r="V166" s="8" t="e">
        <f t="array" aca="1" ref="V166" ca="1">IF($C$4="Giao",_xludf.Xlookup(C166,#REF!,#REF!,),_xludf.Xlookup(C166,#REF!,#REF!,))</f>
        <v>#NAME?</v>
      </c>
      <c r="W166" s="8" t="e">
        <f t="array" aca="1" ref="W166" ca="1">IF($C$4="Giao", _xludf.Xlookup(C166,#REF!,#REF!,),_xludf.Xlookup(C166,#REF!,#REF!,))</f>
        <v>#NAME?</v>
      </c>
      <c r="X166" s="9" t="e">
        <f t="shared" ca="1" si="2"/>
        <v>#NAME?</v>
      </c>
      <c r="Y166" s="7"/>
      <c r="Z166" s="7"/>
    </row>
    <row r="167" spans="1:26" ht="13" x14ac:dyDescent="0.6">
      <c r="A167" s="28" t="str">
        <f t="shared" si="1"/>
        <v/>
      </c>
      <c r="B167" s="7"/>
      <c r="C167" s="7"/>
      <c r="D167" s="9"/>
      <c r="E167" s="9"/>
      <c r="F167" s="7"/>
      <c r="G167" s="7"/>
      <c r="H167" s="7"/>
      <c r="I167" s="7"/>
      <c r="J167" s="7"/>
      <c r="K167" s="7"/>
      <c r="L167" s="7"/>
      <c r="M167" s="7"/>
      <c r="N167" s="7"/>
      <c r="O167" s="7"/>
      <c r="P167" s="29"/>
      <c r="Q167" s="29"/>
      <c r="R167" s="7"/>
      <c r="S167" s="7"/>
      <c r="T167" s="7" t="str">
        <f ca="1">IFERROR(__xludf.DUMMYFUNCTION("SPARKLINE({
IF(D167="""",0,D167),
IF(F167="""",0,F167),
IF(H167="""",0,H167),
IF(J167="""",0,J167),
IF(L167="""",0,L167),
IF(N167="""",0,N167),
IF(P167="""",0,P167)
})"),"")</f>
        <v/>
      </c>
      <c r="U167" s="7" t="str">
        <f ca="1">IFERROR(__xludf.DUMMYFUNCTION("SPARKLINE({
IF(E167="""",0,E167),
IF(G167="""",0,G167),
IF(I167="""",0,I167),
IF(K167="""",0,K167),
IF(M167="""",0,M167),
IF(O167="""",0,O167),
IF(Q167="""",0,Q167)
})"),"")</f>
        <v/>
      </c>
      <c r="V167" s="8" t="e">
        <f t="array" aca="1" ref="V167" ca="1">IF($C$4="Giao",_xludf.Xlookup(C167,#REF!,#REF!,),_xludf.Xlookup(C167,#REF!,#REF!,))</f>
        <v>#NAME?</v>
      </c>
      <c r="W167" s="8" t="e">
        <f t="array" aca="1" ref="W167" ca="1">IF($C$4="Giao", _xludf.Xlookup(C167,#REF!,#REF!,),_xludf.Xlookup(C167,#REF!,#REF!,))</f>
        <v>#NAME?</v>
      </c>
      <c r="X167" s="9" t="e">
        <f t="shared" ca="1" si="2"/>
        <v>#NAME?</v>
      </c>
      <c r="Y167" s="7"/>
      <c r="Z167" s="7"/>
    </row>
    <row r="168" spans="1:26" ht="13" x14ac:dyDescent="0.6">
      <c r="A168" s="28" t="str">
        <f t="shared" si="1"/>
        <v/>
      </c>
      <c r="B168" s="7"/>
      <c r="C168" s="7"/>
      <c r="D168" s="9"/>
      <c r="E168" s="9"/>
      <c r="F168" s="7"/>
      <c r="G168" s="7"/>
      <c r="H168" s="7"/>
      <c r="I168" s="7"/>
      <c r="J168" s="7"/>
      <c r="K168" s="7"/>
      <c r="L168" s="7"/>
      <c r="M168" s="7"/>
      <c r="N168" s="7"/>
      <c r="O168" s="7"/>
      <c r="P168" s="29"/>
      <c r="Q168" s="29"/>
      <c r="R168" s="7"/>
      <c r="S168" s="7"/>
      <c r="T168" s="7" t="str">
        <f ca="1">IFERROR(__xludf.DUMMYFUNCTION("SPARKLINE({
IF(D168="""",0,D168),
IF(F168="""",0,F168),
IF(H168="""",0,H168),
IF(J168="""",0,J168),
IF(L168="""",0,L168),
IF(N168="""",0,N168),
IF(P168="""",0,P168)
})"),"")</f>
        <v/>
      </c>
      <c r="U168" s="7" t="str">
        <f ca="1">IFERROR(__xludf.DUMMYFUNCTION("SPARKLINE({
IF(E168="""",0,E168),
IF(G168="""",0,G168),
IF(I168="""",0,I168),
IF(K168="""",0,K168),
IF(M168="""",0,M168),
IF(O168="""",0,O168),
IF(Q168="""",0,Q168)
})"),"")</f>
        <v/>
      </c>
      <c r="V168" s="8" t="e">
        <f t="array" aca="1" ref="V168" ca="1">IF($C$4="Giao",_xludf.Xlookup(C168,#REF!,#REF!,),_xludf.Xlookup(C168,#REF!,#REF!,))</f>
        <v>#NAME?</v>
      </c>
      <c r="W168" s="8" t="e">
        <f t="array" aca="1" ref="W168" ca="1">IF($C$4="Giao", _xludf.Xlookup(C168,#REF!,#REF!,),_xludf.Xlookup(C168,#REF!,#REF!,))</f>
        <v>#NAME?</v>
      </c>
      <c r="X168" s="9" t="e">
        <f t="shared" ca="1" si="2"/>
        <v>#NAME?</v>
      </c>
      <c r="Y168" s="7"/>
      <c r="Z168" s="7"/>
    </row>
    <row r="169" spans="1:26" ht="13" x14ac:dyDescent="0.6">
      <c r="A169" s="28" t="str">
        <f t="shared" si="1"/>
        <v/>
      </c>
      <c r="B169" s="7"/>
      <c r="C169" s="7"/>
      <c r="D169" s="9"/>
      <c r="E169" s="9"/>
      <c r="F169" s="7"/>
      <c r="G169" s="7"/>
      <c r="H169" s="7"/>
      <c r="I169" s="7"/>
      <c r="J169" s="7"/>
      <c r="K169" s="7"/>
      <c r="L169" s="7"/>
      <c r="M169" s="7"/>
      <c r="N169" s="7"/>
      <c r="O169" s="7"/>
      <c r="P169" s="29"/>
      <c r="Q169" s="29"/>
      <c r="R169" s="7"/>
      <c r="S169" s="7"/>
      <c r="T169" s="7" t="str">
        <f ca="1">IFERROR(__xludf.DUMMYFUNCTION("SPARKLINE({
IF(D169="""",0,D169),
IF(F169="""",0,F169),
IF(H169="""",0,H169),
IF(J169="""",0,J169),
IF(L169="""",0,L169),
IF(N169="""",0,N169),
IF(P169="""",0,P169)
})"),"")</f>
        <v/>
      </c>
      <c r="U169" s="7" t="str">
        <f ca="1">IFERROR(__xludf.DUMMYFUNCTION("SPARKLINE({
IF(E169="""",0,E169),
IF(G169="""",0,G169),
IF(I169="""",0,I169),
IF(K169="""",0,K169),
IF(M169="""",0,M169),
IF(O169="""",0,O169),
IF(Q169="""",0,Q169)
})"),"")</f>
        <v/>
      </c>
      <c r="V169" s="8" t="e">
        <f t="array" aca="1" ref="V169" ca="1">IF($C$4="Giao",_xludf.Xlookup(C169,#REF!,#REF!,),_xludf.Xlookup(C169,#REF!,#REF!,))</f>
        <v>#NAME?</v>
      </c>
      <c r="W169" s="8" t="e">
        <f t="array" aca="1" ref="W169" ca="1">IF($C$4="Giao", _xludf.Xlookup(C169,#REF!,#REF!,),_xludf.Xlookup(C169,#REF!,#REF!,))</f>
        <v>#NAME?</v>
      </c>
      <c r="X169" s="9" t="e">
        <f t="shared" ca="1" si="2"/>
        <v>#NAME?</v>
      </c>
      <c r="Y169" s="7"/>
      <c r="Z169" s="7"/>
    </row>
    <row r="170" spans="1:26" ht="13" x14ac:dyDescent="0.6">
      <c r="A170" s="28" t="str">
        <f t="shared" si="1"/>
        <v/>
      </c>
      <c r="B170" s="7"/>
      <c r="C170" s="7"/>
      <c r="D170" s="9"/>
      <c r="E170" s="9"/>
      <c r="F170" s="7"/>
      <c r="G170" s="7"/>
      <c r="H170" s="7"/>
      <c r="I170" s="7"/>
      <c r="J170" s="7"/>
      <c r="K170" s="7"/>
      <c r="L170" s="7"/>
      <c r="M170" s="7"/>
      <c r="N170" s="7"/>
      <c r="O170" s="7"/>
      <c r="P170" s="29"/>
      <c r="Q170" s="29"/>
      <c r="R170" s="7"/>
      <c r="S170" s="7"/>
      <c r="T170" s="7" t="str">
        <f ca="1">IFERROR(__xludf.DUMMYFUNCTION("SPARKLINE({
IF(D170="""",0,D170),
IF(F170="""",0,F170),
IF(H170="""",0,H170),
IF(J170="""",0,J170),
IF(L170="""",0,L170),
IF(N170="""",0,N170),
IF(P170="""",0,P170)
})"),"")</f>
        <v/>
      </c>
      <c r="U170" s="7" t="str">
        <f ca="1">IFERROR(__xludf.DUMMYFUNCTION("SPARKLINE({
IF(E170="""",0,E170),
IF(G170="""",0,G170),
IF(I170="""",0,I170),
IF(K170="""",0,K170),
IF(M170="""",0,M170),
IF(O170="""",0,O170),
IF(Q170="""",0,Q170)
})"),"")</f>
        <v/>
      </c>
      <c r="V170" s="8" t="e">
        <f t="array" aca="1" ref="V170" ca="1">IF($C$4="Giao",_xludf.Xlookup(C170,#REF!,#REF!,),_xludf.Xlookup(C170,#REF!,#REF!,))</f>
        <v>#NAME?</v>
      </c>
      <c r="W170" s="8" t="e">
        <f t="array" aca="1" ref="W170" ca="1">IF($C$4="Giao", _xludf.Xlookup(C170,#REF!,#REF!,),_xludf.Xlookup(C170,#REF!,#REF!,))</f>
        <v>#NAME?</v>
      </c>
      <c r="X170" s="9" t="e">
        <f t="shared" ca="1" si="2"/>
        <v>#NAME?</v>
      </c>
      <c r="Y170" s="7"/>
      <c r="Z170" s="7"/>
    </row>
    <row r="171" spans="1:26" ht="13" x14ac:dyDescent="0.6">
      <c r="A171" s="28" t="str">
        <f t="shared" si="1"/>
        <v/>
      </c>
      <c r="B171" s="7"/>
      <c r="C171" s="7"/>
      <c r="D171" s="9"/>
      <c r="E171" s="9"/>
      <c r="F171" s="7"/>
      <c r="G171" s="7"/>
      <c r="H171" s="7"/>
      <c r="I171" s="7"/>
      <c r="J171" s="7"/>
      <c r="K171" s="7"/>
      <c r="L171" s="7"/>
      <c r="M171" s="7"/>
      <c r="N171" s="7"/>
      <c r="O171" s="7"/>
      <c r="P171" s="29"/>
      <c r="Q171" s="29"/>
      <c r="R171" s="7"/>
      <c r="S171" s="7"/>
      <c r="T171" s="7" t="str">
        <f ca="1">IFERROR(__xludf.DUMMYFUNCTION("SPARKLINE({
IF(D171="""",0,D171),
IF(F171="""",0,F171),
IF(H171="""",0,H171),
IF(J171="""",0,J171),
IF(L171="""",0,L171),
IF(N171="""",0,N171),
IF(P171="""",0,P171)
})"),"")</f>
        <v/>
      </c>
      <c r="U171" s="7" t="str">
        <f ca="1">IFERROR(__xludf.DUMMYFUNCTION("SPARKLINE({
IF(E171="""",0,E171),
IF(G171="""",0,G171),
IF(I171="""",0,I171),
IF(K171="""",0,K171),
IF(M171="""",0,M171),
IF(O171="""",0,O171),
IF(Q171="""",0,Q171)
})"),"")</f>
        <v/>
      </c>
      <c r="V171" s="8" t="e">
        <f t="array" aca="1" ref="V171" ca="1">IF($C$4="Giao",_xludf.Xlookup(C171,#REF!,#REF!,),_xludf.Xlookup(C171,#REF!,#REF!,))</f>
        <v>#NAME?</v>
      </c>
      <c r="W171" s="8" t="e">
        <f t="array" aca="1" ref="W171" ca="1">IF($C$4="Giao", _xludf.Xlookup(C171,#REF!,#REF!,),_xludf.Xlookup(C171,#REF!,#REF!,))</f>
        <v>#NAME?</v>
      </c>
      <c r="X171" s="9" t="e">
        <f t="shared" ca="1" si="2"/>
        <v>#NAME?</v>
      </c>
      <c r="Y171" s="7"/>
      <c r="Z171" s="7"/>
    </row>
    <row r="172" spans="1:26" ht="13" x14ac:dyDescent="0.6">
      <c r="A172" s="28" t="str">
        <f t="shared" si="1"/>
        <v/>
      </c>
      <c r="B172" s="7"/>
      <c r="C172" s="7"/>
      <c r="D172" s="9"/>
      <c r="E172" s="9"/>
      <c r="F172" s="7"/>
      <c r="G172" s="7"/>
      <c r="H172" s="7"/>
      <c r="I172" s="7"/>
      <c r="J172" s="7"/>
      <c r="K172" s="7"/>
      <c r="L172" s="7"/>
      <c r="M172" s="7"/>
      <c r="N172" s="7"/>
      <c r="O172" s="7"/>
      <c r="P172" s="29"/>
      <c r="Q172" s="29"/>
      <c r="R172" s="7"/>
      <c r="S172" s="7"/>
      <c r="T172" s="7" t="str">
        <f ca="1">IFERROR(__xludf.DUMMYFUNCTION("SPARKLINE({
IF(D172="""",0,D172),
IF(F172="""",0,F172),
IF(H172="""",0,H172),
IF(J172="""",0,J172),
IF(L172="""",0,L172),
IF(N172="""",0,N172),
IF(P172="""",0,P172)
})"),"")</f>
        <v/>
      </c>
      <c r="U172" s="7" t="str">
        <f ca="1">IFERROR(__xludf.DUMMYFUNCTION("SPARKLINE({
IF(E172="""",0,E172),
IF(G172="""",0,G172),
IF(I172="""",0,I172),
IF(K172="""",0,K172),
IF(M172="""",0,M172),
IF(O172="""",0,O172),
IF(Q172="""",0,Q172)
})"),"")</f>
        <v/>
      </c>
      <c r="V172" s="8" t="e">
        <f t="array" aca="1" ref="V172" ca="1">IF($C$4="Giao",_xludf.Xlookup(C172,#REF!,#REF!,),_xludf.Xlookup(C172,#REF!,#REF!,))</f>
        <v>#NAME?</v>
      </c>
      <c r="W172" s="8" t="e">
        <f t="array" aca="1" ref="W172" ca="1">IF($C$4="Giao", _xludf.Xlookup(C172,#REF!,#REF!,),_xludf.Xlookup(C172,#REF!,#REF!,))</f>
        <v>#NAME?</v>
      </c>
      <c r="X172" s="9" t="e">
        <f t="shared" ca="1" si="2"/>
        <v>#NAME?</v>
      </c>
      <c r="Y172" s="7"/>
      <c r="Z172" s="7"/>
    </row>
    <row r="173" spans="1:26" ht="13" x14ac:dyDescent="0.6">
      <c r="A173" s="28" t="str">
        <f t="shared" si="1"/>
        <v/>
      </c>
      <c r="B173" s="7"/>
      <c r="C173" s="7"/>
      <c r="D173" s="9"/>
      <c r="E173" s="9"/>
      <c r="F173" s="7"/>
      <c r="G173" s="7"/>
      <c r="H173" s="7"/>
      <c r="I173" s="7"/>
      <c r="J173" s="7"/>
      <c r="K173" s="7"/>
      <c r="L173" s="7"/>
      <c r="M173" s="7"/>
      <c r="N173" s="7"/>
      <c r="O173" s="7"/>
      <c r="P173" s="29"/>
      <c r="Q173" s="29"/>
      <c r="R173" s="7"/>
      <c r="S173" s="7"/>
      <c r="T173" s="7" t="str">
        <f ca="1">IFERROR(__xludf.DUMMYFUNCTION("SPARKLINE({
IF(D173="""",0,D173),
IF(F173="""",0,F173),
IF(H173="""",0,H173),
IF(J173="""",0,J173),
IF(L173="""",0,L173),
IF(N173="""",0,N173),
IF(P173="""",0,P173)
})"),"")</f>
        <v/>
      </c>
      <c r="U173" s="7" t="str">
        <f ca="1">IFERROR(__xludf.DUMMYFUNCTION("SPARKLINE({
IF(E173="""",0,E173),
IF(G173="""",0,G173),
IF(I173="""",0,I173),
IF(K173="""",0,K173),
IF(M173="""",0,M173),
IF(O173="""",0,O173),
IF(Q173="""",0,Q173)
})"),"")</f>
        <v/>
      </c>
      <c r="V173" s="8" t="e">
        <f t="array" aca="1" ref="V173" ca="1">IF($C$4="Giao",_xludf.Xlookup(C173,#REF!,#REF!,),_xludf.Xlookup(C173,#REF!,#REF!,))</f>
        <v>#NAME?</v>
      </c>
      <c r="W173" s="8" t="e">
        <f t="array" aca="1" ref="W173" ca="1">IF($C$4="Giao", _xludf.Xlookup(C173,#REF!,#REF!,),_xludf.Xlookup(C173,#REF!,#REF!,))</f>
        <v>#NAME?</v>
      </c>
      <c r="X173" s="9" t="e">
        <f t="shared" ca="1" si="2"/>
        <v>#NAME?</v>
      </c>
      <c r="Y173" s="7"/>
      <c r="Z173" s="7"/>
    </row>
    <row r="174" spans="1:26" ht="13" x14ac:dyDescent="0.6">
      <c r="A174" s="28" t="str">
        <f t="shared" si="1"/>
        <v/>
      </c>
      <c r="B174" s="7"/>
      <c r="C174" s="7"/>
      <c r="D174" s="9"/>
      <c r="E174" s="9"/>
      <c r="F174" s="7"/>
      <c r="G174" s="7"/>
      <c r="H174" s="7"/>
      <c r="I174" s="7"/>
      <c r="J174" s="7"/>
      <c r="K174" s="7"/>
      <c r="L174" s="7"/>
      <c r="M174" s="7"/>
      <c r="N174" s="7"/>
      <c r="O174" s="7"/>
      <c r="P174" s="29"/>
      <c r="Q174" s="29"/>
      <c r="R174" s="7"/>
      <c r="S174" s="7"/>
      <c r="T174" s="7" t="str">
        <f ca="1">IFERROR(__xludf.DUMMYFUNCTION("SPARKLINE({
IF(D174="""",0,D174),
IF(F174="""",0,F174),
IF(H174="""",0,H174),
IF(J174="""",0,J174),
IF(L174="""",0,L174),
IF(N174="""",0,N174),
IF(P174="""",0,P174)
})"),"")</f>
        <v/>
      </c>
      <c r="U174" s="7" t="str">
        <f ca="1">IFERROR(__xludf.DUMMYFUNCTION("SPARKLINE({
IF(E174="""",0,E174),
IF(G174="""",0,G174),
IF(I174="""",0,I174),
IF(K174="""",0,K174),
IF(M174="""",0,M174),
IF(O174="""",0,O174),
IF(Q174="""",0,Q174)
})"),"")</f>
        <v/>
      </c>
      <c r="V174" s="8" t="e">
        <f t="array" aca="1" ref="V174" ca="1">IF($C$4="Giao",_xludf.Xlookup(C174,#REF!,#REF!,),_xludf.Xlookup(C174,#REF!,#REF!,))</f>
        <v>#NAME?</v>
      </c>
      <c r="W174" s="8" t="e">
        <f t="array" aca="1" ref="W174" ca="1">IF($C$4="Giao", _xludf.Xlookup(C174,#REF!,#REF!,),_xludf.Xlookup(C174,#REF!,#REF!,))</f>
        <v>#NAME?</v>
      </c>
      <c r="X174" s="9" t="e">
        <f t="shared" ca="1" si="2"/>
        <v>#NAME?</v>
      </c>
      <c r="Y174" s="7"/>
      <c r="Z174" s="7"/>
    </row>
    <row r="175" spans="1:26" ht="13" x14ac:dyDescent="0.6">
      <c r="A175" s="28" t="str">
        <f t="shared" si="1"/>
        <v/>
      </c>
      <c r="B175" s="7"/>
      <c r="C175" s="7"/>
      <c r="D175" s="9"/>
      <c r="E175" s="9"/>
      <c r="F175" s="7"/>
      <c r="G175" s="7"/>
      <c r="H175" s="7"/>
      <c r="I175" s="7"/>
      <c r="J175" s="7"/>
      <c r="K175" s="7"/>
      <c r="L175" s="7"/>
      <c r="M175" s="7"/>
      <c r="N175" s="7"/>
      <c r="O175" s="7"/>
      <c r="P175" s="29"/>
      <c r="Q175" s="29"/>
      <c r="R175" s="7"/>
      <c r="S175" s="7"/>
      <c r="T175" s="7" t="str">
        <f ca="1">IFERROR(__xludf.DUMMYFUNCTION("SPARKLINE({
IF(D175="""",0,D175),
IF(F175="""",0,F175),
IF(H175="""",0,H175),
IF(J175="""",0,J175),
IF(L175="""",0,L175),
IF(N175="""",0,N175),
IF(P175="""",0,P175)
})"),"")</f>
        <v/>
      </c>
      <c r="U175" s="7" t="str">
        <f ca="1">IFERROR(__xludf.DUMMYFUNCTION("SPARKLINE({
IF(E175="""",0,E175),
IF(G175="""",0,G175),
IF(I175="""",0,I175),
IF(K175="""",0,K175),
IF(M175="""",0,M175),
IF(O175="""",0,O175),
IF(Q175="""",0,Q175)
})"),"")</f>
        <v/>
      </c>
      <c r="V175" s="8" t="e">
        <f t="array" aca="1" ref="V175" ca="1">IF($C$4="Giao",_xludf.Xlookup(C175,#REF!,#REF!,),_xludf.Xlookup(C175,#REF!,#REF!,))</f>
        <v>#NAME?</v>
      </c>
      <c r="W175" s="8" t="e">
        <f t="array" aca="1" ref="W175" ca="1">IF($C$4="Giao", _xludf.Xlookup(C175,#REF!,#REF!,),_xludf.Xlookup(C175,#REF!,#REF!,))</f>
        <v>#NAME?</v>
      </c>
      <c r="X175" s="9" t="e">
        <f t="shared" ca="1" si="2"/>
        <v>#NAME?</v>
      </c>
      <c r="Y175" s="7"/>
      <c r="Z175" s="7"/>
    </row>
    <row r="176" spans="1:26" ht="13" x14ac:dyDescent="0.6">
      <c r="A176" s="28" t="str">
        <f t="shared" si="1"/>
        <v/>
      </c>
      <c r="B176" s="7"/>
      <c r="C176" s="7"/>
      <c r="D176" s="9"/>
      <c r="E176" s="9"/>
      <c r="F176" s="7"/>
      <c r="G176" s="7"/>
      <c r="H176" s="7"/>
      <c r="I176" s="7"/>
      <c r="J176" s="7"/>
      <c r="K176" s="7"/>
      <c r="L176" s="7"/>
      <c r="M176" s="7"/>
      <c r="N176" s="7"/>
      <c r="O176" s="7"/>
      <c r="P176" s="29"/>
      <c r="Q176" s="29"/>
      <c r="R176" s="7"/>
      <c r="S176" s="7"/>
      <c r="T176" s="7" t="str">
        <f ca="1">IFERROR(__xludf.DUMMYFUNCTION("SPARKLINE({
IF(D176="""",0,D176),
IF(F176="""",0,F176),
IF(H176="""",0,H176),
IF(J176="""",0,J176),
IF(L176="""",0,L176),
IF(N176="""",0,N176),
IF(P176="""",0,P176)
})"),"")</f>
        <v/>
      </c>
      <c r="U176" s="7" t="str">
        <f ca="1">IFERROR(__xludf.DUMMYFUNCTION("SPARKLINE({
IF(E176="""",0,E176),
IF(G176="""",0,G176),
IF(I176="""",0,I176),
IF(K176="""",0,K176),
IF(M176="""",0,M176),
IF(O176="""",0,O176),
IF(Q176="""",0,Q176)
})"),"")</f>
        <v/>
      </c>
      <c r="V176" s="8" t="e">
        <f t="array" aca="1" ref="V176" ca="1">IF($C$4="Giao",_xludf.Xlookup(C176,#REF!,#REF!,),_xludf.Xlookup(C176,#REF!,#REF!,))</f>
        <v>#NAME?</v>
      </c>
      <c r="W176" s="8" t="e">
        <f t="array" aca="1" ref="W176" ca="1">IF($C$4="Giao", _xludf.Xlookup(C176,#REF!,#REF!,),_xludf.Xlookup(C176,#REF!,#REF!,))</f>
        <v>#NAME?</v>
      </c>
      <c r="X176" s="9" t="e">
        <f t="shared" ca="1" si="2"/>
        <v>#NAME?</v>
      </c>
      <c r="Y176" s="7"/>
      <c r="Z176" s="7"/>
    </row>
    <row r="177" spans="1:26" ht="13" x14ac:dyDescent="0.6">
      <c r="A177" s="28" t="str">
        <f t="shared" si="1"/>
        <v/>
      </c>
      <c r="B177" s="7"/>
      <c r="C177" s="7"/>
      <c r="D177" s="9"/>
      <c r="E177" s="9"/>
      <c r="F177" s="7"/>
      <c r="G177" s="7"/>
      <c r="H177" s="7"/>
      <c r="I177" s="7"/>
      <c r="J177" s="7"/>
      <c r="K177" s="7"/>
      <c r="L177" s="7"/>
      <c r="M177" s="7"/>
      <c r="N177" s="7"/>
      <c r="O177" s="7"/>
      <c r="P177" s="29"/>
      <c r="Q177" s="29"/>
      <c r="R177" s="7"/>
      <c r="S177" s="7"/>
      <c r="T177" s="7" t="str">
        <f ca="1">IFERROR(__xludf.DUMMYFUNCTION("SPARKLINE({
IF(D177="""",0,D177),
IF(F177="""",0,F177),
IF(H177="""",0,H177),
IF(J177="""",0,J177),
IF(L177="""",0,L177),
IF(N177="""",0,N177),
IF(P177="""",0,P177)
})"),"")</f>
        <v/>
      </c>
      <c r="U177" s="7" t="str">
        <f ca="1">IFERROR(__xludf.DUMMYFUNCTION("SPARKLINE({
IF(E177="""",0,E177),
IF(G177="""",0,G177),
IF(I177="""",0,I177),
IF(K177="""",0,K177),
IF(M177="""",0,M177),
IF(O177="""",0,O177),
IF(Q177="""",0,Q177)
})"),"")</f>
        <v/>
      </c>
      <c r="V177" s="8" t="e">
        <f t="array" aca="1" ref="V177" ca="1">IF($C$4="Giao",_xludf.Xlookup(C177,#REF!,#REF!,),_xludf.Xlookup(C177,#REF!,#REF!,))</f>
        <v>#NAME?</v>
      </c>
      <c r="W177" s="8" t="e">
        <f t="array" aca="1" ref="W177" ca="1">IF($C$4="Giao", _xludf.Xlookup(C177,#REF!,#REF!,),_xludf.Xlookup(C177,#REF!,#REF!,))</f>
        <v>#NAME?</v>
      </c>
      <c r="X177" s="9" t="e">
        <f t="shared" ca="1" si="2"/>
        <v>#NAME?</v>
      </c>
      <c r="Y177" s="7"/>
      <c r="Z177" s="7"/>
    </row>
    <row r="178" spans="1:26" ht="13" x14ac:dyDescent="0.6">
      <c r="A178" s="28" t="str">
        <f t="shared" si="1"/>
        <v/>
      </c>
      <c r="B178" s="7"/>
      <c r="C178" s="7"/>
      <c r="D178" s="9"/>
      <c r="E178" s="9"/>
      <c r="F178" s="7"/>
      <c r="G178" s="7"/>
      <c r="H178" s="7"/>
      <c r="I178" s="7"/>
      <c r="J178" s="7"/>
      <c r="K178" s="7"/>
      <c r="L178" s="7"/>
      <c r="M178" s="7"/>
      <c r="N178" s="7"/>
      <c r="O178" s="7"/>
      <c r="P178" s="29"/>
      <c r="Q178" s="29"/>
      <c r="R178" s="7"/>
      <c r="S178" s="7"/>
      <c r="T178" s="7" t="str">
        <f ca="1">IFERROR(__xludf.DUMMYFUNCTION("SPARKLINE({
IF(D178="""",0,D178),
IF(F178="""",0,F178),
IF(H178="""",0,H178),
IF(J178="""",0,J178),
IF(L178="""",0,L178),
IF(N178="""",0,N178),
IF(P178="""",0,P178)
})"),"")</f>
        <v/>
      </c>
      <c r="U178" s="7" t="str">
        <f ca="1">IFERROR(__xludf.DUMMYFUNCTION("SPARKLINE({
IF(E178="""",0,E178),
IF(G178="""",0,G178),
IF(I178="""",0,I178),
IF(K178="""",0,K178),
IF(M178="""",0,M178),
IF(O178="""",0,O178),
IF(Q178="""",0,Q178)
})"),"")</f>
        <v/>
      </c>
      <c r="V178" s="8" t="e">
        <f t="array" aca="1" ref="V178" ca="1">IF($C$4="Giao",_xludf.Xlookup(C178,#REF!,#REF!,),_xludf.Xlookup(C178,#REF!,#REF!,))</f>
        <v>#NAME?</v>
      </c>
      <c r="W178" s="8" t="e">
        <f t="array" aca="1" ref="W178" ca="1">IF($C$4="Giao", _xludf.Xlookup(C178,#REF!,#REF!,),_xludf.Xlookup(C178,#REF!,#REF!,))</f>
        <v>#NAME?</v>
      </c>
      <c r="X178" s="9" t="e">
        <f t="shared" ca="1" si="2"/>
        <v>#NAME?</v>
      </c>
      <c r="Y178" s="7"/>
      <c r="Z178" s="7"/>
    </row>
    <row r="179" spans="1:26" ht="13" x14ac:dyDescent="0.6">
      <c r="A179" s="28" t="str">
        <f t="shared" si="1"/>
        <v/>
      </c>
      <c r="B179" s="7"/>
      <c r="C179" s="7"/>
      <c r="D179" s="9"/>
      <c r="E179" s="9"/>
      <c r="F179" s="7"/>
      <c r="G179" s="7"/>
      <c r="H179" s="7"/>
      <c r="I179" s="7"/>
      <c r="J179" s="7"/>
      <c r="K179" s="7"/>
      <c r="L179" s="7"/>
      <c r="M179" s="7"/>
      <c r="N179" s="7"/>
      <c r="O179" s="7"/>
      <c r="P179" s="29"/>
      <c r="Q179" s="29"/>
      <c r="R179" s="7"/>
      <c r="S179" s="7"/>
      <c r="T179" s="7" t="str">
        <f ca="1">IFERROR(__xludf.DUMMYFUNCTION("SPARKLINE({
IF(D179="""",0,D179),
IF(F179="""",0,F179),
IF(H179="""",0,H179),
IF(J179="""",0,J179),
IF(L179="""",0,L179),
IF(N179="""",0,N179),
IF(P179="""",0,P179)
})"),"")</f>
        <v/>
      </c>
      <c r="U179" s="7" t="str">
        <f ca="1">IFERROR(__xludf.DUMMYFUNCTION("SPARKLINE({
IF(E179="""",0,E179),
IF(G179="""",0,G179),
IF(I179="""",0,I179),
IF(K179="""",0,K179),
IF(M179="""",0,M179),
IF(O179="""",0,O179),
IF(Q179="""",0,Q179)
})"),"")</f>
        <v/>
      </c>
      <c r="V179" s="8" t="e">
        <f t="array" aca="1" ref="V179" ca="1">IF($C$4="Giao",_xludf.Xlookup(C179,#REF!,#REF!,),_xludf.Xlookup(C179,#REF!,#REF!,))</f>
        <v>#NAME?</v>
      </c>
      <c r="W179" s="8" t="e">
        <f t="array" aca="1" ref="W179" ca="1">IF($C$4="Giao", _xludf.Xlookup(C179,#REF!,#REF!,),_xludf.Xlookup(C179,#REF!,#REF!,))</f>
        <v>#NAME?</v>
      </c>
      <c r="X179" s="9" t="e">
        <f t="shared" ca="1" si="2"/>
        <v>#NAME?</v>
      </c>
      <c r="Y179" s="7"/>
      <c r="Z179" s="7"/>
    </row>
    <row r="180" spans="1:26" ht="13" x14ac:dyDescent="0.6">
      <c r="A180" s="28" t="str">
        <f t="shared" si="1"/>
        <v/>
      </c>
      <c r="B180" s="7"/>
      <c r="C180" s="7"/>
      <c r="D180" s="9"/>
      <c r="E180" s="9"/>
      <c r="F180" s="7"/>
      <c r="G180" s="7"/>
      <c r="H180" s="7"/>
      <c r="I180" s="7"/>
      <c r="J180" s="7"/>
      <c r="K180" s="7"/>
      <c r="L180" s="7"/>
      <c r="M180" s="7"/>
      <c r="N180" s="7"/>
      <c r="O180" s="7"/>
      <c r="P180" s="29"/>
      <c r="Q180" s="29"/>
      <c r="R180" s="7"/>
      <c r="S180" s="7"/>
      <c r="T180" s="7" t="str">
        <f ca="1">IFERROR(__xludf.DUMMYFUNCTION("SPARKLINE({
IF(D180="""",0,D180),
IF(F180="""",0,F180),
IF(H180="""",0,H180),
IF(J180="""",0,J180),
IF(L180="""",0,L180),
IF(N180="""",0,N180),
IF(P180="""",0,P180)
})"),"")</f>
        <v/>
      </c>
      <c r="U180" s="7" t="str">
        <f ca="1">IFERROR(__xludf.DUMMYFUNCTION("SPARKLINE({
IF(E180="""",0,E180),
IF(G180="""",0,G180),
IF(I180="""",0,I180),
IF(K180="""",0,K180),
IF(M180="""",0,M180),
IF(O180="""",0,O180),
IF(Q180="""",0,Q180)
})"),"")</f>
        <v/>
      </c>
      <c r="V180" s="8" t="e">
        <f t="array" aca="1" ref="V180" ca="1">IF($C$4="Giao",_xludf.Xlookup(C180,#REF!,#REF!,),_xludf.Xlookup(C180,#REF!,#REF!,))</f>
        <v>#NAME?</v>
      </c>
      <c r="W180" s="8" t="e">
        <f t="array" aca="1" ref="W180" ca="1">IF($C$4="Giao", _xludf.Xlookup(C180,#REF!,#REF!,),_xludf.Xlookup(C180,#REF!,#REF!,))</f>
        <v>#NAME?</v>
      </c>
      <c r="X180" s="9" t="e">
        <f t="shared" ca="1" si="2"/>
        <v>#NAME?</v>
      </c>
      <c r="Y180" s="7"/>
      <c r="Z180" s="7"/>
    </row>
    <row r="181" spans="1:26" ht="13" x14ac:dyDescent="0.6">
      <c r="A181" s="28" t="str">
        <f t="shared" si="1"/>
        <v/>
      </c>
      <c r="B181" s="7"/>
      <c r="C181" s="7"/>
      <c r="D181" s="9"/>
      <c r="E181" s="9"/>
      <c r="F181" s="7"/>
      <c r="G181" s="7"/>
      <c r="H181" s="7"/>
      <c r="I181" s="7"/>
      <c r="J181" s="7"/>
      <c r="K181" s="7"/>
      <c r="L181" s="7"/>
      <c r="M181" s="7"/>
      <c r="N181" s="7"/>
      <c r="O181" s="7"/>
      <c r="P181" s="29"/>
      <c r="Q181" s="29"/>
      <c r="R181" s="7"/>
      <c r="S181" s="7"/>
      <c r="T181" s="7" t="str">
        <f ca="1">IFERROR(__xludf.DUMMYFUNCTION("SPARKLINE({
IF(D181="""",0,D181),
IF(F181="""",0,F181),
IF(H181="""",0,H181),
IF(J181="""",0,J181),
IF(L181="""",0,L181),
IF(N181="""",0,N181),
IF(P181="""",0,P181)
})"),"")</f>
        <v/>
      </c>
      <c r="U181" s="7" t="str">
        <f ca="1">IFERROR(__xludf.DUMMYFUNCTION("SPARKLINE({
IF(E181="""",0,E181),
IF(G181="""",0,G181),
IF(I181="""",0,I181),
IF(K181="""",0,K181),
IF(M181="""",0,M181),
IF(O181="""",0,O181),
IF(Q181="""",0,Q181)
})"),"")</f>
        <v/>
      </c>
      <c r="V181" s="8" t="e">
        <f t="array" aca="1" ref="V181" ca="1">IF($C$4="Giao",_xludf.Xlookup(C181,#REF!,#REF!,),_xludf.Xlookup(C181,#REF!,#REF!,))</f>
        <v>#NAME?</v>
      </c>
      <c r="W181" s="8" t="e">
        <f t="array" aca="1" ref="W181" ca="1">IF($C$4="Giao", _xludf.Xlookup(C181,#REF!,#REF!,),)</f>
        <v>#NAME?</v>
      </c>
      <c r="X181" s="9" t="e">
        <f t="shared" ca="1" si="2"/>
        <v>#NAME?</v>
      </c>
      <c r="Y181" s="7"/>
      <c r="Z181" s="7"/>
    </row>
    <row r="182" spans="1:26" ht="13" x14ac:dyDescent="0.6">
      <c r="A182" s="28" t="str">
        <f t="shared" si="1"/>
        <v/>
      </c>
      <c r="B182" s="7"/>
      <c r="C182" s="7"/>
      <c r="D182" s="9"/>
      <c r="E182" s="9"/>
      <c r="F182" s="7"/>
      <c r="G182" s="7"/>
      <c r="H182" s="7"/>
      <c r="I182" s="7"/>
      <c r="J182" s="7"/>
      <c r="K182" s="7"/>
      <c r="L182" s="7"/>
      <c r="M182" s="7"/>
      <c r="N182" s="7"/>
      <c r="O182" s="7"/>
      <c r="P182" s="29"/>
      <c r="Q182" s="29"/>
      <c r="R182" s="7"/>
      <c r="S182" s="7"/>
      <c r="T182" s="7" t="str">
        <f ca="1">IFERROR(__xludf.DUMMYFUNCTION("SPARKLINE({
IF(D182="""",0,D182),
IF(F182="""",0,F182),
IF(H182="""",0,H182),
IF(J182="""",0,J182),
IF(L182="""",0,L182),
IF(N182="""",0,N182),
IF(P182="""",0,P182)
})"),"")</f>
        <v/>
      </c>
      <c r="U182" s="7" t="str">
        <f ca="1">IFERROR(__xludf.DUMMYFUNCTION("SPARKLINE({
IF(E182="""",0,E182),
IF(G182="""",0,G182),
IF(I182="""",0,I182),
IF(K182="""",0,K182),
IF(M182="""",0,M182),
IF(O182="""",0,O182),
IF(Q182="""",0,Q182)
})"),"")</f>
        <v/>
      </c>
      <c r="V182" s="8" t="e">
        <f t="array" aca="1" ref="V182" ca="1">IF($C$4="Giao",_xludf.Xlookup(C182,#REF!,#REF!,),_xludf.Xlookup(C182,#REF!,#REF!,))</f>
        <v>#NAME?</v>
      </c>
      <c r="W182" s="8" t="e">
        <f t="array" aca="1" ref="W182" ca="1">IF($C$4="Giao", _xludf.Xlookup(C182,#REF!,#REF!,),)</f>
        <v>#NAME?</v>
      </c>
      <c r="X182" s="9" t="e">
        <f t="shared" ca="1" si="2"/>
        <v>#NAME?</v>
      </c>
      <c r="Y182" s="7"/>
      <c r="Z182" s="7"/>
    </row>
    <row r="183" spans="1:26" ht="13" x14ac:dyDescent="0.6">
      <c r="A183" s="28" t="str">
        <f t="shared" si="1"/>
        <v/>
      </c>
      <c r="B183" s="7"/>
      <c r="C183" s="7"/>
      <c r="D183" s="9"/>
      <c r="E183" s="9"/>
      <c r="F183" s="7"/>
      <c r="G183" s="7"/>
      <c r="H183" s="7"/>
      <c r="I183" s="7"/>
      <c r="J183" s="7"/>
      <c r="K183" s="7"/>
      <c r="L183" s="7"/>
      <c r="M183" s="7"/>
      <c r="N183" s="7"/>
      <c r="O183" s="7"/>
      <c r="P183" s="29"/>
      <c r="Q183" s="29"/>
      <c r="R183" s="7"/>
      <c r="S183" s="7"/>
      <c r="T183" s="7" t="str">
        <f ca="1">IFERROR(__xludf.DUMMYFUNCTION("SPARKLINE({
IF(D183="""",0,D183),
IF(F183="""",0,F183),
IF(H183="""",0,H183),
IF(J183="""",0,J183),
IF(L183="""",0,L183),
IF(N183="""",0,N183),
IF(P183="""",0,P183)
})"),"")</f>
        <v/>
      </c>
      <c r="U183" s="7" t="str">
        <f ca="1">IFERROR(__xludf.DUMMYFUNCTION("SPARKLINE({
IF(E183="""",0,E183),
IF(G183="""",0,G183),
IF(I183="""",0,I183),
IF(K183="""",0,K183),
IF(M183="""",0,M183),
IF(O183="""",0,O183),
IF(Q183="""",0,Q183)
})"),"")</f>
        <v/>
      </c>
      <c r="V183" s="8" t="e">
        <f t="array" aca="1" ref="V183" ca="1">IF($C$4="Giao",_xludf.Xlookup(C183,#REF!,#REF!,),_xludf.Xlookup(C183,#REF!,#REF!,))</f>
        <v>#NAME?</v>
      </c>
      <c r="W183" s="8" t="e">
        <f t="array" aca="1" ref="W183" ca="1">IF($C$4="Giao", _xludf.Xlookup(C183,#REF!,#REF!,),)</f>
        <v>#NAME?</v>
      </c>
      <c r="X183" s="9" t="e">
        <f t="shared" ca="1" si="2"/>
        <v>#NAME?</v>
      </c>
      <c r="Y183" s="7"/>
      <c r="Z183" s="7"/>
    </row>
    <row r="184" spans="1:26" ht="13" x14ac:dyDescent="0.6">
      <c r="A184" s="28" t="str">
        <f t="shared" si="1"/>
        <v/>
      </c>
      <c r="B184" s="7"/>
      <c r="C184" s="7"/>
      <c r="D184" s="9"/>
      <c r="E184" s="9"/>
      <c r="F184" s="7"/>
      <c r="G184" s="7"/>
      <c r="H184" s="7"/>
      <c r="I184" s="7"/>
      <c r="J184" s="7"/>
      <c r="K184" s="7"/>
      <c r="L184" s="7"/>
      <c r="M184" s="7"/>
      <c r="N184" s="7"/>
      <c r="O184" s="7"/>
      <c r="P184" s="29"/>
      <c r="Q184" s="29"/>
      <c r="R184" s="7"/>
      <c r="S184" s="7"/>
      <c r="T184" s="7" t="str">
        <f ca="1">IFERROR(__xludf.DUMMYFUNCTION("SPARKLINE({
IF(D184="""",0,D184),
IF(F184="""",0,F184),
IF(H184="""",0,H184),
IF(J184="""",0,J184),
IF(L184="""",0,L184),
IF(N184="""",0,N184),
IF(P184="""",0,P184)
})"),"")</f>
        <v/>
      </c>
      <c r="U184" s="7" t="str">
        <f ca="1">IFERROR(__xludf.DUMMYFUNCTION("SPARKLINE({
IF(E184="""",0,E184),
IF(G184="""",0,G184),
IF(I184="""",0,I184),
IF(K184="""",0,K184),
IF(M184="""",0,M184),
IF(O184="""",0,O184),
IF(Q184="""",0,Q184)
})"),"")</f>
        <v/>
      </c>
      <c r="V184" s="8" t="e">
        <f t="array" aca="1" ref="V184" ca="1">IF($C$4="Giao",_xludf.Xlookup(C184,#REF!,#REF!,),_xludf.Xlookup(C184,#REF!,#REF!,))</f>
        <v>#NAME?</v>
      </c>
      <c r="W184" s="8" t="e">
        <f t="array" aca="1" ref="W184" ca="1">IF($C$4="Giao", _xludf.Xlookup(C184,#REF!,#REF!,),)</f>
        <v>#NAME?</v>
      </c>
      <c r="X184" s="9" t="e">
        <f t="shared" ca="1" si="2"/>
        <v>#NAME?</v>
      </c>
      <c r="Y184" s="7"/>
      <c r="Z184" s="7"/>
    </row>
    <row r="185" spans="1:26" ht="13" x14ac:dyDescent="0.6">
      <c r="A185" s="28" t="str">
        <f t="shared" si="1"/>
        <v/>
      </c>
      <c r="B185" s="7"/>
      <c r="C185" s="7"/>
      <c r="D185" s="9"/>
      <c r="E185" s="9"/>
      <c r="F185" s="7"/>
      <c r="G185" s="7"/>
      <c r="H185" s="7"/>
      <c r="I185" s="7"/>
      <c r="J185" s="7"/>
      <c r="K185" s="7"/>
      <c r="L185" s="7"/>
      <c r="M185" s="7"/>
      <c r="N185" s="7"/>
      <c r="O185" s="7"/>
      <c r="P185" s="29"/>
      <c r="Q185" s="29"/>
      <c r="R185" s="7"/>
      <c r="S185" s="7"/>
      <c r="T185" s="7" t="str">
        <f ca="1">IFERROR(__xludf.DUMMYFUNCTION("SPARKLINE({
IF(D185="""",0,D185),
IF(F185="""",0,F185),
IF(H185="""",0,H185),
IF(J185="""",0,J185),
IF(L185="""",0,L185),
IF(N185="""",0,N185),
IF(P185="""",0,P185)
})"),"")</f>
        <v/>
      </c>
      <c r="U185" s="7" t="str">
        <f ca="1">IFERROR(__xludf.DUMMYFUNCTION("SPARKLINE({
IF(E185="""",0,E185),
IF(G185="""",0,G185),
IF(I185="""",0,I185),
IF(K185="""",0,K185),
IF(M185="""",0,M185),
IF(O185="""",0,O185),
IF(Q185="""",0,Q185)
})"),"")</f>
        <v/>
      </c>
      <c r="V185" s="8" t="e">
        <f t="array" aca="1" ref="V185" ca="1">IF($C$4="Giao",_xludf.Xlookup(C185,#REF!,#REF!,),_xludf.Xlookup(C185,#REF!,#REF!,))</f>
        <v>#NAME?</v>
      </c>
      <c r="W185" s="8" t="e">
        <f t="array" aca="1" ref="W185" ca="1">IF($C$4="Giao", _xludf.Xlookup(C185,#REF!,#REF!,),)</f>
        <v>#NAME?</v>
      </c>
      <c r="X185" s="9" t="e">
        <f t="shared" ca="1" si="2"/>
        <v>#NAME?</v>
      </c>
      <c r="Y185" s="7"/>
      <c r="Z185" s="7"/>
    </row>
    <row r="186" spans="1:26" ht="13" x14ac:dyDescent="0.6">
      <c r="A186" s="28" t="str">
        <f t="shared" si="1"/>
        <v/>
      </c>
      <c r="B186" s="7"/>
      <c r="C186" s="7"/>
      <c r="D186" s="9"/>
      <c r="E186" s="9"/>
      <c r="F186" s="7"/>
      <c r="G186" s="7"/>
      <c r="H186" s="7"/>
      <c r="I186" s="7"/>
      <c r="J186" s="7"/>
      <c r="K186" s="7"/>
      <c r="L186" s="7"/>
      <c r="M186" s="7"/>
      <c r="N186" s="7"/>
      <c r="O186" s="7"/>
      <c r="P186" s="29"/>
      <c r="Q186" s="29"/>
      <c r="R186" s="7"/>
      <c r="S186" s="7"/>
      <c r="T186" s="7" t="str">
        <f ca="1">IFERROR(__xludf.DUMMYFUNCTION("SPARKLINE({
IF(D186="""",0,D186),
IF(F186="""",0,F186),
IF(H186="""",0,H186),
IF(J186="""",0,J186),
IF(L186="""",0,L186),
IF(N186="""",0,N186),
IF(P186="""",0,P186)
})"),"")</f>
        <v/>
      </c>
      <c r="U186" s="7" t="str">
        <f ca="1">IFERROR(__xludf.DUMMYFUNCTION("SPARKLINE({
IF(E186="""",0,E186),
IF(G186="""",0,G186),
IF(I186="""",0,I186),
IF(K186="""",0,K186),
IF(M186="""",0,M186),
IF(O186="""",0,O186),
IF(Q186="""",0,Q186)
})"),"")</f>
        <v/>
      </c>
      <c r="V186" s="8" t="e">
        <f t="array" aca="1" ref="V186" ca="1">IF($C$4="Giao",_xludf.Xlookup(C186,#REF!,#REF!,),_xludf.Xlookup(C186,#REF!,#REF!,))</f>
        <v>#NAME?</v>
      </c>
      <c r="W186" s="8" t="e">
        <f t="array" aca="1" ref="W186" ca="1">IF($C$4="Giao", _xludf.Xlookup(C186,#REF!,#REF!,),)</f>
        <v>#NAME?</v>
      </c>
      <c r="X186" s="9" t="e">
        <f t="shared" ca="1" si="2"/>
        <v>#NAME?</v>
      </c>
      <c r="Y186" s="7"/>
      <c r="Z186" s="7"/>
    </row>
    <row r="187" spans="1:26" ht="13" x14ac:dyDescent="0.6">
      <c r="A187" s="28" t="str">
        <f t="shared" si="1"/>
        <v/>
      </c>
      <c r="B187" s="7"/>
      <c r="C187" s="7"/>
      <c r="D187" s="9"/>
      <c r="E187" s="9"/>
      <c r="F187" s="7"/>
      <c r="G187" s="7"/>
      <c r="H187" s="7"/>
      <c r="I187" s="7"/>
      <c r="J187" s="7"/>
      <c r="K187" s="7"/>
      <c r="L187" s="7"/>
      <c r="M187" s="7"/>
      <c r="N187" s="7"/>
      <c r="O187" s="7"/>
      <c r="P187" s="29"/>
      <c r="Q187" s="29"/>
      <c r="R187" s="7"/>
      <c r="S187" s="7"/>
      <c r="T187" s="7" t="str">
        <f ca="1">IFERROR(__xludf.DUMMYFUNCTION("SPARKLINE({
IF(D187="""",0,D187),
IF(F187="""",0,F187),
IF(H187="""",0,H187),
IF(J187="""",0,J187),
IF(L187="""",0,L187),
IF(N187="""",0,N187),
IF(P187="""",0,P187)
})"),"")</f>
        <v/>
      </c>
      <c r="U187" s="7" t="str">
        <f ca="1">IFERROR(__xludf.DUMMYFUNCTION("SPARKLINE({
IF(E187="""",0,E187),
IF(G187="""",0,G187),
IF(I187="""",0,I187),
IF(K187="""",0,K187),
IF(M187="""",0,M187),
IF(O187="""",0,O187),
IF(Q187="""",0,Q187)
})"),"")</f>
        <v/>
      </c>
      <c r="V187" s="8" t="e">
        <f t="array" aca="1" ref="V187" ca="1">IF($C$4="Giao",_xludf.Xlookup(C187,#REF!,#REF!,),_xludf.Xlookup(C187,#REF!,#REF!,))</f>
        <v>#NAME?</v>
      </c>
      <c r="W187" s="8" t="e">
        <f t="array" aca="1" ref="W187" ca="1">IF($C$4="Giao", _xludf.Xlookup(C187,#REF!,#REF!,),)</f>
        <v>#NAME?</v>
      </c>
      <c r="X187" s="9" t="e">
        <f t="shared" ca="1" si="2"/>
        <v>#NAME?</v>
      </c>
      <c r="Y187" s="7"/>
      <c r="Z187" s="7"/>
    </row>
    <row r="188" spans="1:26" ht="13" x14ac:dyDescent="0.6">
      <c r="A188" s="28" t="str">
        <f t="shared" si="1"/>
        <v/>
      </c>
      <c r="B188" s="7"/>
      <c r="C188" s="7"/>
      <c r="D188" s="9"/>
      <c r="E188" s="9"/>
      <c r="F188" s="7"/>
      <c r="G188" s="7"/>
      <c r="H188" s="7"/>
      <c r="I188" s="7"/>
      <c r="J188" s="7"/>
      <c r="K188" s="7"/>
      <c r="L188" s="7"/>
      <c r="M188" s="7"/>
      <c r="N188" s="7"/>
      <c r="O188" s="7"/>
      <c r="P188" s="29"/>
      <c r="Q188" s="29"/>
      <c r="R188" s="7"/>
      <c r="S188" s="7"/>
      <c r="T188" s="7" t="str">
        <f ca="1">IFERROR(__xludf.DUMMYFUNCTION("SPARKLINE({
IF(D188="""",0,D188),
IF(F188="""",0,F188),
IF(H188="""",0,H188),
IF(J188="""",0,J188),
IF(L188="""",0,L188),
IF(N188="""",0,N188),
IF(P188="""",0,P188)
})"),"")</f>
        <v/>
      </c>
      <c r="U188" s="7" t="str">
        <f ca="1">IFERROR(__xludf.DUMMYFUNCTION("SPARKLINE({
IF(E188="""",0,E188),
IF(G188="""",0,G188),
IF(I188="""",0,I188),
IF(K188="""",0,K188),
IF(M188="""",0,M188),
IF(O188="""",0,O188),
IF(Q188="""",0,Q188)
})"),"")</f>
        <v/>
      </c>
      <c r="V188" s="8" t="e">
        <f t="array" aca="1" ref="V188" ca="1">IF($C$4="Giao",_xludf.Xlookup(C188,#REF!,#REF!,),_xludf.Xlookup(C188,#REF!,#REF!,))</f>
        <v>#NAME?</v>
      </c>
      <c r="W188" s="8" t="e">
        <f t="array" aca="1" ref="W188" ca="1">IF($C$4="Giao", _xludf.Xlookup(C188,#REF!,#REF!,),)</f>
        <v>#NAME?</v>
      </c>
      <c r="X188" s="9" t="e">
        <f t="shared" ca="1" si="2"/>
        <v>#NAME?</v>
      </c>
      <c r="Y188" s="7"/>
      <c r="Z188" s="7"/>
    </row>
    <row r="189" spans="1:26" ht="13" x14ac:dyDescent="0.6">
      <c r="A189" s="28" t="str">
        <f t="shared" si="1"/>
        <v/>
      </c>
      <c r="B189" s="7"/>
      <c r="C189" s="7"/>
      <c r="D189" s="9"/>
      <c r="E189" s="9"/>
      <c r="F189" s="7"/>
      <c r="G189" s="7"/>
      <c r="H189" s="7"/>
      <c r="I189" s="7"/>
      <c r="J189" s="7"/>
      <c r="K189" s="7"/>
      <c r="L189" s="7"/>
      <c r="M189" s="7"/>
      <c r="N189" s="7"/>
      <c r="O189" s="7"/>
      <c r="P189" s="29"/>
      <c r="Q189" s="29"/>
      <c r="R189" s="7"/>
      <c r="S189" s="7"/>
      <c r="T189" s="7" t="str">
        <f ca="1">IFERROR(__xludf.DUMMYFUNCTION("SPARKLINE({
IF(D189="""",0,D189),
IF(F189="""",0,F189),
IF(H189="""",0,H189),
IF(J189="""",0,J189),
IF(L189="""",0,L189),
IF(N189="""",0,N189),
IF(P189="""",0,P189)
})"),"")</f>
        <v/>
      </c>
      <c r="U189" s="7" t="str">
        <f ca="1">IFERROR(__xludf.DUMMYFUNCTION("SPARKLINE({
IF(E189="""",0,E189),
IF(G189="""",0,G189),
IF(I189="""",0,I189),
IF(K189="""",0,K189),
IF(M189="""",0,M189),
IF(O189="""",0,O189),
IF(Q189="""",0,Q189)
})"),"")</f>
        <v/>
      </c>
      <c r="V189" s="8" t="e">
        <f t="array" aca="1" ref="V189" ca="1">IF($C$4="Giao",_xludf.Xlookup(C189,#REF!,#REF!,),_xludf.Xlookup(C189,#REF!,#REF!,))</f>
        <v>#NAME?</v>
      </c>
      <c r="W189" s="8" t="e">
        <f t="array" aca="1" ref="W189" ca="1">IF($C$4="Giao", _xludf.Xlookup(C189,#REF!,#REF!,),)</f>
        <v>#NAME?</v>
      </c>
      <c r="X189" s="9" t="e">
        <f t="shared" ca="1" si="2"/>
        <v>#NAME?</v>
      </c>
      <c r="Y189" s="7"/>
      <c r="Z189" s="7"/>
    </row>
    <row r="190" spans="1:26" ht="13" x14ac:dyDescent="0.6">
      <c r="A190" s="28" t="str">
        <f t="shared" si="1"/>
        <v/>
      </c>
      <c r="B190" s="7"/>
      <c r="C190" s="7"/>
      <c r="D190" s="9"/>
      <c r="E190" s="9"/>
      <c r="F190" s="7"/>
      <c r="G190" s="7"/>
      <c r="H190" s="7"/>
      <c r="I190" s="7"/>
      <c r="J190" s="7"/>
      <c r="K190" s="7"/>
      <c r="L190" s="7"/>
      <c r="M190" s="7"/>
      <c r="N190" s="7"/>
      <c r="O190" s="7"/>
      <c r="P190" s="29"/>
      <c r="Q190" s="29"/>
      <c r="R190" s="7"/>
      <c r="S190" s="7"/>
      <c r="T190" s="7" t="str">
        <f ca="1">IFERROR(__xludf.DUMMYFUNCTION("SPARKLINE({
IF(D190="""",0,D190),
IF(F190="""",0,F190),
IF(H190="""",0,H190),
IF(J190="""",0,J190),
IF(L190="""",0,L190),
IF(N190="""",0,N190),
IF(P190="""",0,P190)
})"),"")</f>
        <v/>
      </c>
      <c r="U190" s="7" t="str">
        <f ca="1">IFERROR(__xludf.DUMMYFUNCTION("SPARKLINE({
IF(E190="""",0,E190),
IF(G190="""",0,G190),
IF(I190="""",0,I190),
IF(K190="""",0,K190),
IF(M190="""",0,M190),
IF(O190="""",0,O190),
IF(Q190="""",0,Q190)
})"),"")</f>
        <v/>
      </c>
      <c r="V190" s="8" t="e">
        <f t="array" aca="1" ref="V190" ca="1">IF($C$4="Giao",_xludf.Xlookup(C190,#REF!,#REF!,),_xludf.Xlookup(C190,#REF!,#REF!,))</f>
        <v>#NAME?</v>
      </c>
      <c r="W190" s="8" t="e">
        <f t="array" aca="1" ref="W190" ca="1">IF($C$4="Giao", _xludf.Xlookup(C190,#REF!,#REF!,),)</f>
        <v>#NAME?</v>
      </c>
      <c r="X190" s="9" t="e">
        <f t="shared" ca="1" si="2"/>
        <v>#NAME?</v>
      </c>
      <c r="Y190" s="7"/>
      <c r="Z190" s="7"/>
    </row>
    <row r="191" spans="1:26" ht="13" x14ac:dyDescent="0.6">
      <c r="A191" s="28" t="str">
        <f t="shared" si="1"/>
        <v/>
      </c>
      <c r="B191" s="7"/>
      <c r="C191" s="7"/>
      <c r="D191" s="9"/>
      <c r="E191" s="9"/>
      <c r="F191" s="7"/>
      <c r="G191" s="7"/>
      <c r="H191" s="7"/>
      <c r="I191" s="7"/>
      <c r="J191" s="7"/>
      <c r="K191" s="7"/>
      <c r="L191" s="7"/>
      <c r="M191" s="7"/>
      <c r="N191" s="7"/>
      <c r="O191" s="7"/>
      <c r="P191" s="29"/>
      <c r="Q191" s="29"/>
      <c r="R191" s="7"/>
      <c r="S191" s="7"/>
      <c r="T191" s="7" t="str">
        <f ca="1">IFERROR(__xludf.DUMMYFUNCTION("SPARKLINE({
IF(D191="""",0,D191),
IF(F191="""",0,F191),
IF(H191="""",0,H191),
IF(J191="""",0,J191),
IF(L191="""",0,L191),
IF(N191="""",0,N191),
IF(P191="""",0,P191)
})"),"")</f>
        <v/>
      </c>
      <c r="U191" s="7" t="str">
        <f ca="1">IFERROR(__xludf.DUMMYFUNCTION("SPARKLINE({
IF(E191="""",0,E191),
IF(G191="""",0,G191),
IF(I191="""",0,I191),
IF(K191="""",0,K191),
IF(M191="""",0,M191),
IF(O191="""",0,O191),
IF(Q191="""",0,Q191)
})"),"")</f>
        <v/>
      </c>
      <c r="V191" s="8" t="e">
        <f t="array" aca="1" ref="V191" ca="1">IF($C$4="Giao",_xludf.Xlookup(C191,#REF!,#REF!,),_xludf.Xlookup(C191,#REF!,#REF!,))</f>
        <v>#NAME?</v>
      </c>
      <c r="W191" s="8" t="e">
        <f t="array" aca="1" ref="W191" ca="1">IF($C$4="Giao", _xludf.Xlookup(C191,#REF!,#REF!,),)</f>
        <v>#NAME?</v>
      </c>
      <c r="X191" s="9" t="e">
        <f t="shared" ca="1" si="2"/>
        <v>#NAME?</v>
      </c>
      <c r="Y191" s="7"/>
      <c r="Z191" s="7"/>
    </row>
    <row r="192" spans="1:26" ht="13" x14ac:dyDescent="0.6">
      <c r="A192" s="28" t="str">
        <f t="shared" si="1"/>
        <v/>
      </c>
      <c r="B192" s="7"/>
      <c r="C192" s="7"/>
      <c r="D192" s="9"/>
      <c r="E192" s="9"/>
      <c r="F192" s="7"/>
      <c r="G192" s="7"/>
      <c r="H192" s="7"/>
      <c r="I192" s="7"/>
      <c r="J192" s="7"/>
      <c r="K192" s="7"/>
      <c r="L192" s="7"/>
      <c r="M192" s="7"/>
      <c r="N192" s="7"/>
      <c r="O192" s="7"/>
      <c r="P192" s="29"/>
      <c r="Q192" s="29"/>
      <c r="R192" s="7"/>
      <c r="S192" s="7"/>
      <c r="T192" s="7" t="str">
        <f ca="1">IFERROR(__xludf.DUMMYFUNCTION("SPARKLINE({
IF(D192="""",0,D192),
IF(F192="""",0,F192),
IF(H192="""",0,H192),
IF(J192="""",0,J192),
IF(L192="""",0,L192),
IF(N192="""",0,N192),
IF(P192="""",0,P192)
})"),"")</f>
        <v/>
      </c>
      <c r="U192" s="7" t="str">
        <f ca="1">IFERROR(__xludf.DUMMYFUNCTION("SPARKLINE({
IF(E192="""",0,E192),
IF(G192="""",0,G192),
IF(I192="""",0,I192),
IF(K192="""",0,K192),
IF(M192="""",0,M192),
IF(O192="""",0,O192),
IF(Q192="""",0,Q192)
})"),"")</f>
        <v/>
      </c>
      <c r="V192" s="8" t="e">
        <f t="array" aca="1" ref="V192" ca="1">IF($C$4="Giao",_xludf.Xlookup(C192,#REF!,#REF!,),_xludf.Xlookup(C192,#REF!,#REF!,))</f>
        <v>#NAME?</v>
      </c>
      <c r="W192" s="8" t="e">
        <f t="array" aca="1" ref="W192" ca="1">IF($C$4="Giao", _xludf.Xlookup(C192,#REF!,#REF!,),)</f>
        <v>#NAME?</v>
      </c>
      <c r="X192" s="9" t="e">
        <f t="shared" ca="1" si="2"/>
        <v>#NAME?</v>
      </c>
      <c r="Y192" s="7"/>
      <c r="Z192" s="7"/>
    </row>
    <row r="193" spans="1:26" ht="13" x14ac:dyDescent="0.6">
      <c r="A193" s="28" t="str">
        <f t="shared" si="1"/>
        <v/>
      </c>
      <c r="B193" s="7"/>
      <c r="C193" s="7"/>
      <c r="D193" s="9"/>
      <c r="E193" s="9"/>
      <c r="F193" s="7"/>
      <c r="G193" s="7"/>
      <c r="H193" s="7"/>
      <c r="I193" s="7"/>
      <c r="J193" s="7"/>
      <c r="K193" s="7"/>
      <c r="L193" s="7"/>
      <c r="M193" s="7"/>
      <c r="N193" s="7"/>
      <c r="O193" s="7"/>
      <c r="P193" s="29"/>
      <c r="Q193" s="29"/>
      <c r="R193" s="7"/>
      <c r="S193" s="7"/>
      <c r="T193" s="7" t="str">
        <f ca="1">IFERROR(__xludf.DUMMYFUNCTION("SPARKLINE({
IF(D193="""",0,D193),
IF(F193="""",0,F193),
IF(H193="""",0,H193),
IF(J193="""",0,J193),
IF(L193="""",0,L193),
IF(N193="""",0,N193),
IF(P193="""",0,P193)
})"),"")</f>
        <v/>
      </c>
      <c r="U193" s="7" t="str">
        <f ca="1">IFERROR(__xludf.DUMMYFUNCTION("SPARKLINE({
IF(E193="""",0,E193),
IF(G193="""",0,G193),
IF(I193="""",0,I193),
IF(K193="""",0,K193),
IF(M193="""",0,M193),
IF(O193="""",0,O193),
IF(Q193="""",0,Q193)
})"),"")</f>
        <v/>
      </c>
      <c r="V193" s="8" t="e">
        <f t="array" aca="1" ref="V193" ca="1">IF($C$4="Giao",_xludf.Xlookup(C193,#REF!,#REF!,),_xludf.Xlookup(C193,#REF!,#REF!,))</f>
        <v>#NAME?</v>
      </c>
      <c r="W193" s="8" t="e">
        <f t="array" aca="1" ref="W193" ca="1">IF($C$4="Giao", _xludf.Xlookup(C193,#REF!,#REF!,),)</f>
        <v>#NAME?</v>
      </c>
      <c r="X193" s="9" t="e">
        <f t="shared" ca="1" si="2"/>
        <v>#NAME?</v>
      </c>
      <c r="Y193" s="7"/>
      <c r="Z193" s="7"/>
    </row>
    <row r="194" spans="1:26" ht="13" x14ac:dyDescent="0.6">
      <c r="A194" s="28" t="str">
        <f t="shared" si="1"/>
        <v/>
      </c>
      <c r="B194" s="7"/>
      <c r="C194" s="7"/>
      <c r="D194" s="9"/>
      <c r="E194" s="9"/>
      <c r="F194" s="7"/>
      <c r="G194" s="7"/>
      <c r="H194" s="7"/>
      <c r="I194" s="7"/>
      <c r="J194" s="7"/>
      <c r="K194" s="7"/>
      <c r="L194" s="7"/>
      <c r="M194" s="7"/>
      <c r="N194" s="7"/>
      <c r="O194" s="7"/>
      <c r="P194" s="29"/>
      <c r="Q194" s="29"/>
      <c r="R194" s="7"/>
      <c r="S194" s="7"/>
      <c r="T194" s="7" t="str">
        <f ca="1">IFERROR(__xludf.DUMMYFUNCTION("SPARKLINE({
IF(D194="""",0,D194),
IF(F194="""",0,F194),
IF(H194="""",0,H194),
IF(J194="""",0,J194),
IF(L194="""",0,L194),
IF(N194="""",0,N194),
IF(P194="""",0,P194)
})"),"")</f>
        <v/>
      </c>
      <c r="U194" s="7" t="str">
        <f ca="1">IFERROR(__xludf.DUMMYFUNCTION("SPARKLINE({
IF(E194="""",0,E194),
IF(G194="""",0,G194),
IF(I194="""",0,I194),
IF(K194="""",0,K194),
IF(M194="""",0,M194),
IF(O194="""",0,O194),
IF(Q194="""",0,Q194)
})"),"")</f>
        <v/>
      </c>
      <c r="V194" s="8" t="e">
        <f t="array" aca="1" ref="V194" ca="1">IF($C$4="Giao",_xludf.Xlookup(C194,#REF!,#REF!,),_xludf.Xlookup(C194,#REF!,#REF!,))</f>
        <v>#NAME?</v>
      </c>
      <c r="W194" s="8" t="e">
        <f t="array" aca="1" ref="W194" ca="1">IF($C$4="Giao", _xludf.Xlookup(C194,#REF!,#REF!,),)</f>
        <v>#NAME?</v>
      </c>
      <c r="X194" s="9" t="e">
        <f t="shared" ca="1" si="2"/>
        <v>#NAME?</v>
      </c>
      <c r="Y194" s="7"/>
      <c r="Z194" s="7"/>
    </row>
    <row r="195" spans="1:26" ht="13" x14ac:dyDescent="0.6">
      <c r="A195" s="28" t="str">
        <f t="shared" si="1"/>
        <v/>
      </c>
      <c r="B195" s="7"/>
      <c r="C195" s="7"/>
      <c r="D195" s="9"/>
      <c r="E195" s="9"/>
      <c r="F195" s="7"/>
      <c r="G195" s="7"/>
      <c r="H195" s="7"/>
      <c r="I195" s="7"/>
      <c r="J195" s="7"/>
      <c r="K195" s="7"/>
      <c r="L195" s="7"/>
      <c r="M195" s="7"/>
      <c r="N195" s="7"/>
      <c r="O195" s="7"/>
      <c r="P195" s="29"/>
      <c r="Q195" s="29"/>
      <c r="R195" s="7"/>
      <c r="S195" s="7"/>
      <c r="T195" s="7" t="str">
        <f ca="1">IFERROR(__xludf.DUMMYFUNCTION("SPARKLINE({
IF(D195="""",0,D195),
IF(F195="""",0,F195),
IF(H195="""",0,H195),
IF(J195="""",0,J195),
IF(L195="""",0,L195),
IF(N195="""",0,N195),
IF(P195="""",0,P195)
})"),"")</f>
        <v/>
      </c>
      <c r="U195" s="7" t="str">
        <f ca="1">IFERROR(__xludf.DUMMYFUNCTION("SPARKLINE({
IF(E195="""",0,E195),
IF(G195="""",0,G195),
IF(I195="""",0,I195),
IF(K195="""",0,K195),
IF(M195="""",0,M195),
IF(O195="""",0,O195),
IF(Q195="""",0,Q195)
})"),"")</f>
        <v/>
      </c>
      <c r="V195" s="8" t="e">
        <f t="array" aca="1" ref="V195" ca="1">IF($C$4="Giao",_xludf.Xlookup(C195,#REF!,#REF!,),_xludf.Xlookup(C195,#REF!,#REF!,))</f>
        <v>#NAME?</v>
      </c>
      <c r="W195" s="8" t="e">
        <f t="array" aca="1" ref="W195" ca="1">IF($C$4="Giao", _xludf.Xlookup(C195,#REF!,#REF!,),)</f>
        <v>#NAME?</v>
      </c>
      <c r="X195" s="9" t="e">
        <f t="shared" ca="1" si="2"/>
        <v>#NAME?</v>
      </c>
      <c r="Y195" s="7"/>
      <c r="Z195" s="7"/>
    </row>
    <row r="196" spans="1:26" ht="13" x14ac:dyDescent="0.6">
      <c r="A196" s="28" t="str">
        <f t="shared" si="1"/>
        <v/>
      </c>
      <c r="B196" s="7"/>
      <c r="C196" s="7"/>
      <c r="D196" s="9"/>
      <c r="E196" s="9"/>
      <c r="F196" s="7"/>
      <c r="G196" s="7"/>
      <c r="H196" s="7"/>
      <c r="I196" s="7"/>
      <c r="J196" s="7"/>
      <c r="K196" s="7"/>
      <c r="L196" s="7"/>
      <c r="M196" s="7"/>
      <c r="N196" s="7"/>
      <c r="O196" s="7"/>
      <c r="P196" s="29"/>
      <c r="Q196" s="29"/>
      <c r="R196" s="7"/>
      <c r="S196" s="7"/>
      <c r="T196" s="7" t="str">
        <f ca="1">IFERROR(__xludf.DUMMYFUNCTION("SPARKLINE({
IF(D196="""",0,D196),
IF(F196="""",0,F196),
IF(H196="""",0,H196),
IF(J196="""",0,J196),
IF(L196="""",0,L196),
IF(N196="""",0,N196),
IF(P196="""",0,P196)
})"),"")</f>
        <v/>
      </c>
      <c r="U196" s="7" t="str">
        <f ca="1">IFERROR(__xludf.DUMMYFUNCTION("SPARKLINE({
IF(E196="""",0,E196),
IF(G196="""",0,G196),
IF(I196="""",0,I196),
IF(K196="""",0,K196),
IF(M196="""",0,M196),
IF(O196="""",0,O196),
IF(Q196="""",0,Q196)
})"),"")</f>
        <v/>
      </c>
      <c r="V196" s="8" t="e">
        <f t="array" aca="1" ref="V196" ca="1">IF($C$4="Giao",_xludf.Xlookup(C196,#REF!,#REF!,),_xludf.Xlookup(C196,#REF!,#REF!,))</f>
        <v>#NAME?</v>
      </c>
      <c r="W196" s="8" t="e">
        <f t="array" aca="1" ref="W196" ca="1">IF($C$4="Giao", _xludf.Xlookup(C196,#REF!,#REF!,),)</f>
        <v>#NAME?</v>
      </c>
      <c r="X196" s="9" t="e">
        <f t="shared" ca="1" si="2"/>
        <v>#NAME?</v>
      </c>
      <c r="Y196" s="7"/>
      <c r="Z196" s="7"/>
    </row>
    <row r="197" spans="1:26" ht="13" x14ac:dyDescent="0.6">
      <c r="A197" s="28" t="str">
        <f t="shared" si="1"/>
        <v/>
      </c>
      <c r="B197" s="7"/>
      <c r="C197" s="7"/>
      <c r="D197" s="9"/>
      <c r="E197" s="9"/>
      <c r="F197" s="7"/>
      <c r="G197" s="7"/>
      <c r="H197" s="7"/>
      <c r="I197" s="7"/>
      <c r="J197" s="7"/>
      <c r="K197" s="7"/>
      <c r="L197" s="7"/>
      <c r="M197" s="7"/>
      <c r="N197" s="7"/>
      <c r="O197" s="7"/>
      <c r="P197" s="29"/>
      <c r="Q197" s="29"/>
      <c r="R197" s="7"/>
      <c r="S197" s="7"/>
      <c r="T197" s="7" t="str">
        <f ca="1">IFERROR(__xludf.DUMMYFUNCTION("SPARKLINE({
IF(D197="""",0,D197),
IF(F197="""",0,F197),
IF(H197="""",0,H197),
IF(J197="""",0,J197),
IF(L197="""",0,L197),
IF(N197="""",0,N197),
IF(P197="""",0,P197)
})"),"")</f>
        <v/>
      </c>
      <c r="U197" s="7" t="str">
        <f ca="1">IFERROR(__xludf.DUMMYFUNCTION("SPARKLINE({
IF(E197="""",0,E197),
IF(G197="""",0,G197),
IF(I197="""",0,I197),
IF(K197="""",0,K197),
IF(M197="""",0,M197),
IF(O197="""",0,O197),
IF(Q197="""",0,Q197)
})"),"")</f>
        <v/>
      </c>
      <c r="V197" s="8" t="e">
        <f t="array" aca="1" ref="V197" ca="1">IF($C$4="Giao",_xludf.Xlookup(C197,#REF!,#REF!,),_xludf.Xlookup(C197,#REF!,#REF!,))</f>
        <v>#NAME?</v>
      </c>
      <c r="W197" s="8" t="e">
        <f t="array" aca="1" ref="W197" ca="1">IF($C$4="Giao", _xludf.Xlookup(C197,#REF!,#REF!,),)</f>
        <v>#NAME?</v>
      </c>
      <c r="X197" s="9" t="e">
        <f t="shared" ca="1" si="2"/>
        <v>#NAME?</v>
      </c>
      <c r="Y197" s="7"/>
      <c r="Z197" s="7"/>
    </row>
    <row r="198" spans="1:26" ht="13" x14ac:dyDescent="0.6">
      <c r="A198" s="28" t="str">
        <f t="shared" si="1"/>
        <v/>
      </c>
      <c r="B198" s="7"/>
      <c r="C198" s="7"/>
      <c r="D198" s="9"/>
      <c r="E198" s="9"/>
      <c r="F198" s="7"/>
      <c r="G198" s="7"/>
      <c r="H198" s="7"/>
      <c r="I198" s="7"/>
      <c r="J198" s="7"/>
      <c r="K198" s="7"/>
      <c r="L198" s="7"/>
      <c r="M198" s="7"/>
      <c r="N198" s="7"/>
      <c r="O198" s="7"/>
      <c r="P198" s="29"/>
      <c r="Q198" s="29"/>
      <c r="R198" s="7"/>
      <c r="S198" s="7"/>
      <c r="T198" s="7" t="str">
        <f ca="1">IFERROR(__xludf.DUMMYFUNCTION("SPARKLINE({
IF(D198="""",0,D198),
IF(F198="""",0,F198),
IF(H198="""",0,H198),
IF(J198="""",0,J198),
IF(L198="""",0,L198),
IF(N198="""",0,N198),
IF(P198="""",0,P198)
})"),"")</f>
        <v/>
      </c>
      <c r="U198" s="7" t="str">
        <f ca="1">IFERROR(__xludf.DUMMYFUNCTION("SPARKLINE({
IF(E198="""",0,E198),
IF(G198="""",0,G198),
IF(I198="""",0,I198),
IF(K198="""",0,K198),
IF(M198="""",0,M198),
IF(O198="""",0,O198),
IF(Q198="""",0,Q198)
})"),"")</f>
        <v/>
      </c>
      <c r="V198" s="8" t="e">
        <f t="array" aca="1" ref="V198" ca="1">IF($C$4="Giao",_xludf.Xlookup(C198,#REF!,#REF!,),_xludf.Xlookup(C198,#REF!,#REF!,))</f>
        <v>#NAME?</v>
      </c>
      <c r="W198" s="8" t="e">
        <f t="array" aca="1" ref="W198" ca="1">IF($C$4="Giao", _xludf.Xlookup(C198,#REF!,#REF!,),)</f>
        <v>#NAME?</v>
      </c>
      <c r="X198" s="9" t="e">
        <f t="shared" ca="1" si="2"/>
        <v>#NAME?</v>
      </c>
      <c r="Y198" s="7"/>
      <c r="Z198" s="7"/>
    </row>
    <row r="199" spans="1:26" ht="13" x14ac:dyDescent="0.6">
      <c r="A199" s="28" t="str">
        <f t="shared" si="1"/>
        <v/>
      </c>
      <c r="B199" s="7"/>
      <c r="C199" s="7"/>
      <c r="D199" s="9"/>
      <c r="E199" s="9"/>
      <c r="F199" s="7"/>
      <c r="G199" s="7"/>
      <c r="H199" s="7"/>
      <c r="I199" s="7"/>
      <c r="J199" s="7"/>
      <c r="K199" s="7"/>
      <c r="L199" s="7"/>
      <c r="M199" s="7"/>
      <c r="N199" s="7"/>
      <c r="O199" s="7"/>
      <c r="P199" s="29"/>
      <c r="Q199" s="29"/>
      <c r="R199" s="7"/>
      <c r="S199" s="7"/>
      <c r="T199" s="7" t="str">
        <f ca="1">IFERROR(__xludf.DUMMYFUNCTION("SPARKLINE({
IF(D199="""",0,D199),
IF(F199="""",0,F199),
IF(H199="""",0,H199),
IF(J199="""",0,J199),
IF(L199="""",0,L199),
IF(N199="""",0,N199),
IF(P199="""",0,P199)
})"),"")</f>
        <v/>
      </c>
      <c r="U199" s="7" t="str">
        <f ca="1">IFERROR(__xludf.DUMMYFUNCTION("SPARKLINE({
IF(E199="""",0,E199),
IF(G199="""",0,G199),
IF(I199="""",0,I199),
IF(K199="""",0,K199),
IF(M199="""",0,M199),
IF(O199="""",0,O199),
IF(Q199="""",0,Q199)
})"),"")</f>
        <v/>
      </c>
      <c r="V199" s="8" t="e">
        <f t="array" aca="1" ref="V199" ca="1">IF($C$4="Giao",_xludf.Xlookup(C199,#REF!,#REF!,),_xludf.Xlookup(C199,#REF!,#REF!,))</f>
        <v>#NAME?</v>
      </c>
      <c r="W199" s="8" t="e">
        <f t="array" aca="1" ref="W199" ca="1">IF($C$4="Giao", _xludf.Xlookup(C199,#REF!,#REF!,),)</f>
        <v>#NAME?</v>
      </c>
      <c r="X199" s="9" t="e">
        <f t="shared" ca="1" si="2"/>
        <v>#NAME?</v>
      </c>
      <c r="Y199" s="7"/>
      <c r="Z199" s="7"/>
    </row>
    <row r="200" spans="1:26" ht="13" x14ac:dyDescent="0.6">
      <c r="A200" s="28" t="str">
        <f t="shared" si="1"/>
        <v/>
      </c>
      <c r="B200" s="7"/>
      <c r="C200" s="7"/>
      <c r="D200" s="9"/>
      <c r="E200" s="9"/>
      <c r="F200" s="7"/>
      <c r="G200" s="7"/>
      <c r="H200" s="7"/>
      <c r="I200" s="7"/>
      <c r="J200" s="7"/>
      <c r="K200" s="7"/>
      <c r="L200" s="7"/>
      <c r="M200" s="7"/>
      <c r="N200" s="7"/>
      <c r="O200" s="7"/>
      <c r="P200" s="29"/>
      <c r="Q200" s="29"/>
      <c r="R200" s="7"/>
      <c r="S200" s="7"/>
      <c r="T200" s="7" t="str">
        <f ca="1">IFERROR(__xludf.DUMMYFUNCTION("SPARKLINE({
IF(D200="""",0,D200),
IF(F200="""",0,F200),
IF(H200="""",0,H200),
IF(J200="""",0,J200),
IF(L200="""",0,L200),
IF(N200="""",0,N200),
IF(P200="""",0,P200)
})"),"")</f>
        <v/>
      </c>
      <c r="U200" s="7" t="str">
        <f ca="1">IFERROR(__xludf.DUMMYFUNCTION("SPARKLINE({
IF(E200="""",0,E200),
IF(G200="""",0,G200),
IF(I200="""",0,I200),
IF(K200="""",0,K200),
IF(M200="""",0,M200),
IF(O200="""",0,O200),
IF(Q200="""",0,Q200)
})"),"")</f>
        <v/>
      </c>
      <c r="V200" s="8" t="e">
        <f t="array" aca="1" ref="V200" ca="1">IF($C$4="Giao",_xludf.Xlookup(C200,#REF!,#REF!,),_xludf.Xlookup(C200,#REF!,#REF!,))</f>
        <v>#NAME?</v>
      </c>
      <c r="W200" s="8" t="e">
        <f t="array" aca="1" ref="W200" ca="1">IF($C$4="Giao", _xludf.Xlookup(C200,#REF!,#REF!,),)</f>
        <v>#NAME?</v>
      </c>
      <c r="X200" s="9" t="e">
        <f t="shared" ca="1" si="2"/>
        <v>#NAME?</v>
      </c>
      <c r="Y200" s="7"/>
      <c r="Z200" s="7"/>
    </row>
    <row r="201" spans="1:26" ht="13" x14ac:dyDescent="0.6">
      <c r="A201" s="28" t="str">
        <f t="shared" si="1"/>
        <v/>
      </c>
      <c r="B201" s="7"/>
      <c r="C201" s="7"/>
      <c r="D201" s="9"/>
      <c r="E201" s="9"/>
      <c r="F201" s="7"/>
      <c r="G201" s="7"/>
      <c r="H201" s="7"/>
      <c r="I201" s="7"/>
      <c r="J201" s="7"/>
      <c r="K201" s="7"/>
      <c r="L201" s="7"/>
      <c r="M201" s="7"/>
      <c r="N201" s="7"/>
      <c r="O201" s="7"/>
      <c r="P201" s="29"/>
      <c r="Q201" s="29"/>
      <c r="R201" s="7"/>
      <c r="S201" s="7"/>
      <c r="T201" s="7" t="str">
        <f ca="1">IFERROR(__xludf.DUMMYFUNCTION("SPARKLINE({
IF(D201="""",0,D201),
IF(F201="""",0,F201),
IF(H201="""",0,H201),
IF(J201="""",0,J201),
IF(L201="""",0,L201),
IF(N201="""",0,N201),
IF(P201="""",0,P201)
})"),"")</f>
        <v/>
      </c>
      <c r="U201" s="7" t="str">
        <f ca="1">IFERROR(__xludf.DUMMYFUNCTION("SPARKLINE({
IF(E201="""",0,E201),
IF(G201="""",0,G201),
IF(I201="""",0,I201),
IF(K201="""",0,K201),
IF(M201="""",0,M201),
IF(O201="""",0,O201),
IF(Q201="""",0,Q201)
})"),"")</f>
        <v/>
      </c>
      <c r="V201" s="8" t="e">
        <f t="array" aca="1" ref="V201" ca="1">IF($C$4="Giao",_xludf.Xlookup(C201,#REF!,#REF!,),_xludf.Xlookup(C201,#REF!,#REF!,))</f>
        <v>#NAME?</v>
      </c>
      <c r="W201" s="8" t="e">
        <f t="array" aca="1" ref="W201" ca="1">IF($C$4="Giao", _xludf.Xlookup(C201,#REF!,#REF!,),)</f>
        <v>#NAME?</v>
      </c>
      <c r="X201" s="9" t="e">
        <f t="shared" ca="1" si="2"/>
        <v>#NAME?</v>
      </c>
      <c r="Y201" s="7"/>
      <c r="Z201" s="7"/>
    </row>
    <row r="202" spans="1:26" ht="13" x14ac:dyDescent="0.6">
      <c r="A202" s="28" t="str">
        <f t="shared" si="1"/>
        <v/>
      </c>
      <c r="B202" s="7"/>
      <c r="C202" s="7"/>
      <c r="D202" s="9"/>
      <c r="E202" s="9"/>
      <c r="F202" s="7"/>
      <c r="G202" s="7"/>
      <c r="H202" s="7"/>
      <c r="I202" s="7"/>
      <c r="J202" s="7"/>
      <c r="K202" s="7"/>
      <c r="L202" s="7"/>
      <c r="M202" s="7"/>
      <c r="N202" s="7"/>
      <c r="O202" s="7"/>
      <c r="P202" s="29"/>
      <c r="Q202" s="29"/>
      <c r="R202" s="7"/>
      <c r="S202" s="7"/>
      <c r="T202" s="7" t="str">
        <f ca="1">IFERROR(__xludf.DUMMYFUNCTION("SPARKLINE({
IF(D202="""",0,D202),
IF(F202="""",0,F202),
IF(H202="""",0,H202),
IF(J202="""",0,J202),
IF(L202="""",0,L202),
IF(N202="""",0,N202),
IF(P202="""",0,P202)
})"),"")</f>
        <v/>
      </c>
      <c r="U202" s="7" t="str">
        <f ca="1">IFERROR(__xludf.DUMMYFUNCTION("SPARKLINE({
IF(E202="""",0,E202),
IF(G202="""",0,G202),
IF(I202="""",0,I202),
IF(K202="""",0,K202),
IF(M202="""",0,M202),
IF(O202="""",0,O202),
IF(Q202="""",0,Q202)
})"),"")</f>
        <v/>
      </c>
      <c r="V202" s="8" t="e">
        <f t="array" aca="1" ref="V202" ca="1">IF($C$4="Giao",_xludf.Xlookup(C202,#REF!,#REF!,),_xludf.Xlookup(C202,#REF!,#REF!,))</f>
        <v>#NAME?</v>
      </c>
      <c r="W202" s="8" t="e">
        <f t="array" aca="1" ref="W202" ca="1">IF($C$4="Giao", _xludf.Xlookup(C202,#REF!,#REF!,),)</f>
        <v>#NAME?</v>
      </c>
      <c r="X202" s="9" t="e">
        <f t="shared" ca="1" si="2"/>
        <v>#NAME?</v>
      </c>
      <c r="Y202" s="7"/>
      <c r="Z202" s="7"/>
    </row>
    <row r="203" spans="1:26" ht="13" x14ac:dyDescent="0.6">
      <c r="A203" s="28" t="str">
        <f t="shared" si="1"/>
        <v/>
      </c>
      <c r="B203" s="7"/>
      <c r="C203" s="7"/>
      <c r="D203" s="9"/>
      <c r="E203" s="9"/>
      <c r="F203" s="7"/>
      <c r="G203" s="7"/>
      <c r="H203" s="7"/>
      <c r="I203" s="7"/>
      <c r="J203" s="7"/>
      <c r="K203" s="7"/>
      <c r="L203" s="7"/>
      <c r="M203" s="7"/>
      <c r="N203" s="7"/>
      <c r="O203" s="7"/>
      <c r="P203" s="29"/>
      <c r="Q203" s="29"/>
      <c r="R203" s="7"/>
      <c r="S203" s="7"/>
      <c r="T203" s="7" t="str">
        <f ca="1">IFERROR(__xludf.DUMMYFUNCTION("SPARKLINE({
IF(D203="""",0,D203),
IF(F203="""",0,F203),
IF(H203="""",0,H203),
IF(J203="""",0,J203),
IF(L203="""",0,L203),
IF(N203="""",0,N203),
IF(P203="""",0,P203)
})"),"")</f>
        <v/>
      </c>
      <c r="U203" s="7" t="str">
        <f ca="1">IFERROR(__xludf.DUMMYFUNCTION("SPARKLINE({
IF(E203="""",0,E203),
IF(G203="""",0,G203),
IF(I203="""",0,I203),
IF(K203="""",0,K203),
IF(M203="""",0,M203),
IF(O203="""",0,O203),
IF(Q203="""",0,Q203)
})"),"")</f>
        <v/>
      </c>
      <c r="V203" s="8" t="e">
        <f t="array" aca="1" ref="V203" ca="1">IF($C$4="Giao",_xludf.Xlookup(C203,#REF!,#REF!,),_xludf.Xlookup(C203,#REF!,#REF!,))</f>
        <v>#NAME?</v>
      </c>
      <c r="W203" s="8" t="e">
        <f t="array" aca="1" ref="W203" ca="1">IF($C$4="Giao", _xludf.Xlookup(C203,#REF!,#REF!,),)</f>
        <v>#NAME?</v>
      </c>
      <c r="X203" s="9" t="e">
        <f t="shared" ca="1" si="2"/>
        <v>#NAME?</v>
      </c>
      <c r="Y203" s="7"/>
      <c r="Z203" s="7"/>
    </row>
    <row r="204" spans="1:26" ht="13" x14ac:dyDescent="0.6">
      <c r="A204" s="28" t="str">
        <f t="shared" si="1"/>
        <v/>
      </c>
      <c r="B204" s="7"/>
      <c r="C204" s="7"/>
      <c r="D204" s="9"/>
      <c r="E204" s="9"/>
      <c r="F204" s="7"/>
      <c r="G204" s="7"/>
      <c r="H204" s="7"/>
      <c r="I204" s="7"/>
      <c r="J204" s="7"/>
      <c r="K204" s="7"/>
      <c r="L204" s="7"/>
      <c r="M204" s="7"/>
      <c r="N204" s="7"/>
      <c r="O204" s="7"/>
      <c r="P204" s="29"/>
      <c r="Q204" s="29"/>
      <c r="R204" s="7"/>
      <c r="S204" s="7"/>
      <c r="T204" s="7" t="str">
        <f ca="1">IFERROR(__xludf.DUMMYFUNCTION("SPARKLINE({
IF(D204="""",0,D204),
IF(F204="""",0,F204),
IF(H204="""",0,H204),
IF(J204="""",0,J204),
IF(L204="""",0,L204),
IF(N204="""",0,N204),
IF(P204="""",0,P204)
})"),"")</f>
        <v/>
      </c>
      <c r="U204" s="7" t="str">
        <f ca="1">IFERROR(__xludf.DUMMYFUNCTION("SPARKLINE({
IF(E204="""",0,E204),
IF(G204="""",0,G204),
IF(I204="""",0,I204),
IF(K204="""",0,K204),
IF(M204="""",0,M204),
IF(O204="""",0,O204),
IF(Q204="""",0,Q204)
})"),"")</f>
        <v/>
      </c>
      <c r="V204" s="8" t="e">
        <f t="array" aca="1" ref="V204" ca="1">IF($C$4="Giao",_xludf.Xlookup(C204,#REF!,#REF!,),_xludf.Xlookup(C204,#REF!,#REF!,))</f>
        <v>#NAME?</v>
      </c>
      <c r="W204" s="8" t="e">
        <f t="array" aca="1" ref="W204" ca="1">IF($C$4="Giao", _xludf.Xlookup(C204,#REF!,#REF!,),)</f>
        <v>#NAME?</v>
      </c>
      <c r="X204" s="9" t="e">
        <f t="shared" ca="1" si="2"/>
        <v>#NAME?</v>
      </c>
      <c r="Y204" s="7"/>
      <c r="Z204" s="7"/>
    </row>
    <row r="205" spans="1:26" ht="13" x14ac:dyDescent="0.6">
      <c r="A205" s="28" t="str">
        <f t="shared" si="1"/>
        <v/>
      </c>
      <c r="B205" s="7"/>
      <c r="C205" s="7"/>
      <c r="D205" s="9"/>
      <c r="E205" s="9"/>
      <c r="F205" s="7"/>
      <c r="G205" s="7"/>
      <c r="H205" s="7"/>
      <c r="I205" s="7"/>
      <c r="J205" s="7"/>
      <c r="K205" s="7"/>
      <c r="L205" s="7"/>
      <c r="M205" s="7"/>
      <c r="N205" s="7"/>
      <c r="O205" s="7"/>
      <c r="P205" s="29"/>
      <c r="Q205" s="29"/>
      <c r="R205" s="7"/>
      <c r="S205" s="7"/>
      <c r="T205" s="7" t="str">
        <f ca="1">IFERROR(__xludf.DUMMYFUNCTION("SPARKLINE({
IF(D205="""",0,D205),
IF(F205="""",0,F205),
IF(H205="""",0,H205),
IF(J205="""",0,J205),
IF(L205="""",0,L205),
IF(N205="""",0,N205),
IF(P205="""",0,P205)
})"),"")</f>
        <v/>
      </c>
      <c r="U205" s="7" t="str">
        <f ca="1">IFERROR(__xludf.DUMMYFUNCTION("SPARKLINE({
IF(E205="""",0,E205),
IF(G205="""",0,G205),
IF(I205="""",0,I205),
IF(K205="""",0,K205),
IF(M205="""",0,M205),
IF(O205="""",0,O205),
IF(Q205="""",0,Q205)
})"),"")</f>
        <v/>
      </c>
      <c r="V205" s="8" t="e">
        <f t="array" aca="1" ref="V205" ca="1">IF($C$4="Giao",_xludf.Xlookup(C205,#REF!,#REF!,),_xludf.Xlookup(C205,#REF!,#REF!,))</f>
        <v>#NAME?</v>
      </c>
      <c r="W205" s="8" t="e">
        <f t="array" aca="1" ref="W205" ca="1">IF($C$4="Giao", _xludf.Xlookup(C205,#REF!,#REF!,),)</f>
        <v>#NAME?</v>
      </c>
      <c r="X205" s="9" t="e">
        <f t="shared" ca="1" si="2"/>
        <v>#NAME?</v>
      </c>
      <c r="Y205" s="7"/>
      <c r="Z205" s="7"/>
    </row>
    <row r="206" spans="1:26" ht="13" x14ac:dyDescent="0.6">
      <c r="A206" s="28" t="str">
        <f t="shared" si="1"/>
        <v/>
      </c>
      <c r="B206" s="7"/>
      <c r="C206" s="7"/>
      <c r="D206" s="9"/>
      <c r="E206" s="9"/>
      <c r="F206" s="7"/>
      <c r="G206" s="7"/>
      <c r="H206" s="7"/>
      <c r="I206" s="7"/>
      <c r="J206" s="7"/>
      <c r="K206" s="7"/>
      <c r="L206" s="7"/>
      <c r="M206" s="7"/>
      <c r="N206" s="7"/>
      <c r="O206" s="7"/>
      <c r="P206" s="29"/>
      <c r="Q206" s="29"/>
      <c r="R206" s="7"/>
      <c r="S206" s="7"/>
      <c r="T206" s="7" t="str">
        <f ca="1">IFERROR(__xludf.DUMMYFUNCTION("SPARKLINE({
IF(D206="""",0,D206),
IF(F206="""",0,F206),
IF(H206="""",0,H206),
IF(J206="""",0,J206),
IF(L206="""",0,L206),
IF(N206="""",0,N206),
IF(P206="""",0,P206)
})"),"")</f>
        <v/>
      </c>
      <c r="U206" s="7" t="str">
        <f ca="1">IFERROR(__xludf.DUMMYFUNCTION("SPARKLINE({
IF(E206="""",0,E206),
IF(G206="""",0,G206),
IF(I206="""",0,I206),
IF(K206="""",0,K206),
IF(M206="""",0,M206),
IF(O206="""",0,O206),
IF(Q206="""",0,Q206)
})"),"")</f>
        <v/>
      </c>
      <c r="V206" s="8" t="e">
        <f t="array" aca="1" ref="V206" ca="1">IF($C$4="Giao",_xludf.Xlookup(C206,#REF!,#REF!,),_xludf.Xlookup(C206,#REF!,#REF!,))</f>
        <v>#NAME?</v>
      </c>
      <c r="W206" s="8" t="e">
        <f t="array" aca="1" ref="W206" ca="1">IF($C$4="Giao", _xludf.Xlookup(C206,#REF!,#REF!,),)</f>
        <v>#NAME?</v>
      </c>
      <c r="X206" s="9" t="e">
        <f t="shared" ca="1" si="2"/>
        <v>#NAME?</v>
      </c>
      <c r="Y206" s="7"/>
      <c r="Z206" s="7"/>
    </row>
    <row r="207" spans="1:26" ht="13" x14ac:dyDescent="0.6">
      <c r="A207" s="28" t="str">
        <f t="shared" si="1"/>
        <v/>
      </c>
      <c r="B207" s="7"/>
      <c r="C207" s="7"/>
      <c r="D207" s="9"/>
      <c r="E207" s="9"/>
      <c r="F207" s="7"/>
      <c r="G207" s="7"/>
      <c r="H207" s="7"/>
      <c r="I207" s="7"/>
      <c r="J207" s="7"/>
      <c r="K207" s="7"/>
      <c r="L207" s="7"/>
      <c r="M207" s="7"/>
      <c r="N207" s="7"/>
      <c r="O207" s="7"/>
      <c r="P207" s="29"/>
      <c r="Q207" s="29"/>
      <c r="R207" s="7"/>
      <c r="S207" s="7"/>
      <c r="T207" s="7" t="str">
        <f ca="1">IFERROR(__xludf.DUMMYFUNCTION("SPARKLINE({
IF(D207="""",0,D207),
IF(F207="""",0,F207),
IF(H207="""",0,H207),
IF(J207="""",0,J207),
IF(L207="""",0,L207),
IF(N207="""",0,N207),
IF(P207="""",0,P207)
})"),"")</f>
        <v/>
      </c>
      <c r="U207" s="7" t="str">
        <f ca="1">IFERROR(__xludf.DUMMYFUNCTION("SPARKLINE({
IF(E207="""",0,E207),
IF(G207="""",0,G207),
IF(I207="""",0,I207),
IF(K207="""",0,K207),
IF(M207="""",0,M207),
IF(O207="""",0,O207),
IF(Q207="""",0,Q207)
})"),"")</f>
        <v/>
      </c>
      <c r="V207" s="8" t="e">
        <f t="array" aca="1" ref="V207" ca="1">IF($C$4="Giao",_xludf.Xlookup(C207,#REF!,#REF!,),_xludf.Xlookup(C207,#REF!,#REF!,))</f>
        <v>#NAME?</v>
      </c>
      <c r="W207" s="8" t="e">
        <f t="array" aca="1" ref="W207" ca="1">IF($C$4="Giao", _xludf.Xlookup(C207,#REF!,#REF!,),)</f>
        <v>#NAME?</v>
      </c>
      <c r="X207" s="9" t="e">
        <f t="shared" ca="1" si="2"/>
        <v>#NAME?</v>
      </c>
      <c r="Y207" s="7"/>
      <c r="Z207" s="7"/>
    </row>
    <row r="208" spans="1:26" ht="13" x14ac:dyDescent="0.6">
      <c r="A208" s="28" t="str">
        <f t="shared" si="1"/>
        <v/>
      </c>
      <c r="B208" s="7"/>
      <c r="C208" s="7"/>
      <c r="D208" s="9"/>
      <c r="E208" s="9"/>
      <c r="F208" s="7"/>
      <c r="G208" s="7"/>
      <c r="H208" s="7"/>
      <c r="I208" s="7"/>
      <c r="J208" s="7"/>
      <c r="K208" s="7"/>
      <c r="L208" s="7"/>
      <c r="M208" s="7"/>
      <c r="N208" s="7"/>
      <c r="O208" s="7"/>
      <c r="P208" s="29"/>
      <c r="Q208" s="29"/>
      <c r="R208" s="7"/>
      <c r="S208" s="7"/>
      <c r="T208" s="7" t="str">
        <f ca="1">IFERROR(__xludf.DUMMYFUNCTION("SPARKLINE({
IF(D208="""",0,D208),
IF(F208="""",0,F208),
IF(H208="""",0,H208),
IF(J208="""",0,J208),
IF(L208="""",0,L208),
IF(N208="""",0,N208),
IF(P208="""",0,P208)
})"),"")</f>
        <v/>
      </c>
      <c r="U208" s="7" t="str">
        <f ca="1">IFERROR(__xludf.DUMMYFUNCTION("SPARKLINE({
IF(E208="""",0,E208),
IF(G208="""",0,G208),
IF(I208="""",0,I208),
IF(K208="""",0,K208),
IF(M208="""",0,M208),
IF(O208="""",0,O208),
IF(Q208="""",0,Q208)
})"),"")</f>
        <v/>
      </c>
      <c r="V208" s="8" t="e">
        <f t="array" aca="1" ref="V208" ca="1">IF($C$4="Giao",_xludf.Xlookup(C208,#REF!,#REF!,),_xludf.Xlookup(C208,#REF!,#REF!,))</f>
        <v>#NAME?</v>
      </c>
      <c r="W208" s="8" t="e">
        <f t="array" aca="1" ref="W208" ca="1">IF($C$4="Giao", _xludf.Xlookup(C208,#REF!,#REF!,),)</f>
        <v>#NAME?</v>
      </c>
      <c r="X208" s="9" t="e">
        <f t="shared" ca="1" si="2"/>
        <v>#NAME?</v>
      </c>
      <c r="Y208" s="7"/>
      <c r="Z208" s="7"/>
    </row>
    <row r="209" spans="1:26" ht="13" x14ac:dyDescent="0.6">
      <c r="A209" s="28" t="str">
        <f t="shared" si="1"/>
        <v/>
      </c>
      <c r="B209" s="7"/>
      <c r="C209" s="7"/>
      <c r="D209" s="9"/>
      <c r="E209" s="9"/>
      <c r="F209" s="7"/>
      <c r="G209" s="7"/>
      <c r="H209" s="7"/>
      <c r="I209" s="7"/>
      <c r="J209" s="7"/>
      <c r="K209" s="7"/>
      <c r="L209" s="7"/>
      <c r="M209" s="7"/>
      <c r="N209" s="7"/>
      <c r="O209" s="7"/>
      <c r="P209" s="29"/>
      <c r="Q209" s="29"/>
      <c r="R209" s="7"/>
      <c r="S209" s="7"/>
      <c r="T209" s="7" t="str">
        <f ca="1">IFERROR(__xludf.DUMMYFUNCTION("SPARKLINE({
IF(D209="""",0,D209),
IF(F209="""",0,F209),
IF(H209="""",0,H209),
IF(J209="""",0,J209),
IF(L209="""",0,L209),
IF(N209="""",0,N209),
IF(P209="""",0,P209)
})"),"")</f>
        <v/>
      </c>
      <c r="U209" s="7" t="str">
        <f ca="1">IFERROR(__xludf.DUMMYFUNCTION("SPARKLINE({
IF(E209="""",0,E209),
IF(G209="""",0,G209),
IF(I209="""",0,I209),
IF(K209="""",0,K209),
IF(M209="""",0,M209),
IF(O209="""",0,O209),
IF(Q209="""",0,Q209)
})"),"")</f>
        <v/>
      </c>
      <c r="V209" s="8" t="e">
        <f t="array" aca="1" ref="V209" ca="1">IF($C$4="Giao",_xludf.Xlookup(C209,#REF!,#REF!,),_xludf.Xlookup(C209,#REF!,#REF!,))</f>
        <v>#NAME?</v>
      </c>
      <c r="W209" s="8" t="e">
        <f t="array" aca="1" ref="W209" ca="1">IF($C$4="Giao", _xludf.Xlookup(C209,#REF!,#REF!,),)</f>
        <v>#NAME?</v>
      </c>
      <c r="X209" s="9" t="e">
        <f t="shared" ca="1" si="2"/>
        <v>#NAME?</v>
      </c>
      <c r="Y209" s="7"/>
      <c r="Z209" s="7"/>
    </row>
    <row r="210" spans="1:26" ht="13" x14ac:dyDescent="0.6">
      <c r="A210" s="28" t="str">
        <f t="shared" si="1"/>
        <v/>
      </c>
      <c r="B210" s="7"/>
      <c r="C210" s="7"/>
      <c r="D210" s="9"/>
      <c r="E210" s="9"/>
      <c r="F210" s="7"/>
      <c r="G210" s="7"/>
      <c r="H210" s="7"/>
      <c r="I210" s="7"/>
      <c r="J210" s="7"/>
      <c r="K210" s="7"/>
      <c r="L210" s="7"/>
      <c r="M210" s="7"/>
      <c r="N210" s="7"/>
      <c r="O210" s="7"/>
      <c r="P210" s="29"/>
      <c r="Q210" s="29"/>
      <c r="R210" s="7"/>
      <c r="S210" s="7"/>
      <c r="T210" s="7" t="str">
        <f ca="1">IFERROR(__xludf.DUMMYFUNCTION("SPARKLINE({
IF(D210="""",0,D210),
IF(F210="""",0,F210),
IF(H210="""",0,H210),
IF(J210="""",0,J210),
IF(L210="""",0,L210),
IF(N210="""",0,N210),
IF(P210="""",0,P210)
})"),"")</f>
        <v/>
      </c>
      <c r="U210" s="7" t="str">
        <f ca="1">IFERROR(__xludf.DUMMYFUNCTION("SPARKLINE({
IF(E210="""",0,E210),
IF(G210="""",0,G210),
IF(I210="""",0,I210),
IF(K210="""",0,K210),
IF(M210="""",0,M210),
IF(O210="""",0,O210),
IF(Q210="""",0,Q210)
})"),"")</f>
        <v/>
      </c>
      <c r="V210" s="8" t="e">
        <f t="array" aca="1" ref="V210" ca="1">IF($C$4="Giao",_xludf.Xlookup(C210,#REF!,#REF!,),_xludf.Xlookup(C210,#REF!,#REF!,))</f>
        <v>#NAME?</v>
      </c>
      <c r="W210" s="8" t="e">
        <f t="array" aca="1" ref="W210" ca="1">IF($C$4="Giao", _xludf.Xlookup(C210,#REF!,#REF!,),)</f>
        <v>#NAME?</v>
      </c>
      <c r="X210" s="9" t="e">
        <f t="shared" ca="1" si="2"/>
        <v>#NAME?</v>
      </c>
      <c r="Y210" s="7"/>
      <c r="Z210" s="7"/>
    </row>
    <row r="211" spans="1:26" ht="13" x14ac:dyDescent="0.6">
      <c r="A211" s="28" t="str">
        <f t="shared" si="1"/>
        <v/>
      </c>
      <c r="B211" s="7"/>
      <c r="C211" s="7"/>
      <c r="D211" s="9"/>
      <c r="E211" s="9"/>
      <c r="F211" s="7"/>
      <c r="G211" s="7"/>
      <c r="H211" s="7"/>
      <c r="I211" s="7"/>
      <c r="J211" s="7"/>
      <c r="K211" s="7"/>
      <c r="L211" s="7"/>
      <c r="M211" s="7"/>
      <c r="N211" s="7"/>
      <c r="O211" s="7"/>
      <c r="P211" s="29"/>
      <c r="Q211" s="29"/>
      <c r="R211" s="7"/>
      <c r="S211" s="7"/>
      <c r="T211" s="7" t="str">
        <f ca="1">IFERROR(__xludf.DUMMYFUNCTION("SPARKLINE({
IF(D211="""",0,D211),
IF(F211="""",0,F211),
IF(H211="""",0,H211),
IF(J211="""",0,J211),
IF(L211="""",0,L211),
IF(N211="""",0,N211),
IF(P211="""",0,P211)
})"),"")</f>
        <v/>
      </c>
      <c r="U211" s="7" t="str">
        <f ca="1">IFERROR(__xludf.DUMMYFUNCTION("SPARKLINE({
IF(E211="""",0,E211),
IF(G211="""",0,G211),
IF(I211="""",0,I211),
IF(K211="""",0,K211),
IF(M211="""",0,M211),
IF(O211="""",0,O211),
IF(Q211="""",0,Q211)
})"),"")</f>
        <v/>
      </c>
      <c r="V211" s="8" t="e">
        <f t="array" aca="1" ref="V211" ca="1">IF($C$4="Giao",_xludf.Xlookup(C211,#REF!,#REF!,),_xludf.Xlookup(C211,#REF!,#REF!,))</f>
        <v>#NAME?</v>
      </c>
      <c r="W211" s="8" t="e">
        <f t="array" aca="1" ref="W211" ca="1">IF($C$4="Giao", _xludf.Xlookup(C211,#REF!,#REF!,),)</f>
        <v>#NAME?</v>
      </c>
      <c r="X211" s="9" t="e">
        <f t="shared" ca="1" si="2"/>
        <v>#NAME?</v>
      </c>
      <c r="Y211" s="7"/>
      <c r="Z211" s="7"/>
    </row>
    <row r="212" spans="1:26" ht="13" x14ac:dyDescent="0.6">
      <c r="A212" s="28" t="str">
        <f t="shared" si="1"/>
        <v/>
      </c>
      <c r="B212" s="7"/>
      <c r="C212" s="7"/>
      <c r="D212" s="9"/>
      <c r="E212" s="9"/>
      <c r="F212" s="7"/>
      <c r="G212" s="7"/>
      <c r="H212" s="7"/>
      <c r="I212" s="7"/>
      <c r="J212" s="7"/>
      <c r="K212" s="7"/>
      <c r="L212" s="7"/>
      <c r="M212" s="7"/>
      <c r="N212" s="7"/>
      <c r="O212" s="7"/>
      <c r="P212" s="29"/>
      <c r="Q212" s="29"/>
      <c r="R212" s="7"/>
      <c r="S212" s="7"/>
      <c r="T212" s="7" t="str">
        <f ca="1">IFERROR(__xludf.DUMMYFUNCTION("SPARKLINE({
IF(D212="""",0,D212),
IF(F212="""",0,F212),
IF(H212="""",0,H212),
IF(J212="""",0,J212),
IF(L212="""",0,L212),
IF(N212="""",0,N212),
IF(P212="""",0,P212)
})"),"")</f>
        <v/>
      </c>
      <c r="U212" s="7" t="str">
        <f ca="1">IFERROR(__xludf.DUMMYFUNCTION("SPARKLINE({
IF(E212="""",0,E212),
IF(G212="""",0,G212),
IF(I212="""",0,I212),
IF(K212="""",0,K212),
IF(M212="""",0,M212),
IF(O212="""",0,O212),
IF(Q212="""",0,Q212)
})"),"")</f>
        <v/>
      </c>
      <c r="V212" s="8" t="e">
        <f t="array" aca="1" ref="V212" ca="1">IF($C$4="Giao",_xludf.Xlookup(C212,#REF!,#REF!,),_xludf.Xlookup(C212,#REF!,#REF!,))</f>
        <v>#NAME?</v>
      </c>
      <c r="W212" s="8" t="e">
        <f t="array" aca="1" ref="W212" ca="1">IF($C$4="Giao", _xludf.Xlookup(C212,#REF!,#REF!,),)</f>
        <v>#NAME?</v>
      </c>
      <c r="X212" s="9" t="e">
        <f t="shared" ca="1" si="2"/>
        <v>#NAME?</v>
      </c>
      <c r="Y212" s="7"/>
      <c r="Z212" s="7"/>
    </row>
    <row r="213" spans="1:26" ht="13" x14ac:dyDescent="0.6">
      <c r="A213" s="28" t="str">
        <f t="shared" si="1"/>
        <v/>
      </c>
      <c r="B213" s="7"/>
      <c r="C213" s="7"/>
      <c r="D213" s="9"/>
      <c r="E213" s="9"/>
      <c r="F213" s="7"/>
      <c r="G213" s="7"/>
      <c r="H213" s="7"/>
      <c r="I213" s="7"/>
      <c r="J213" s="7"/>
      <c r="K213" s="7"/>
      <c r="L213" s="7"/>
      <c r="M213" s="7"/>
      <c r="N213" s="7"/>
      <c r="O213" s="7"/>
      <c r="P213" s="29"/>
      <c r="Q213" s="29"/>
      <c r="R213" s="7"/>
      <c r="S213" s="7"/>
      <c r="T213" s="7" t="str">
        <f ca="1">IFERROR(__xludf.DUMMYFUNCTION("SPARKLINE({
IF(D213="""",0,D213),
IF(F213="""",0,F213),
IF(H213="""",0,H213),
IF(J213="""",0,J213),
IF(L213="""",0,L213),
IF(N213="""",0,N213),
IF(P213="""",0,P213)
})"),"")</f>
        <v/>
      </c>
      <c r="U213" s="7" t="str">
        <f ca="1">IFERROR(__xludf.DUMMYFUNCTION("SPARKLINE({
IF(E213="""",0,E213),
IF(G213="""",0,G213),
IF(I213="""",0,I213),
IF(K213="""",0,K213),
IF(M213="""",0,M213),
IF(O213="""",0,O213),
IF(Q213="""",0,Q213)
})"),"")</f>
        <v/>
      </c>
      <c r="V213" s="8" t="e">
        <f t="array" aca="1" ref="V213" ca="1">IF($C$4="Giao",_xludf.Xlookup(C213,#REF!,#REF!,),_xludf.Xlookup(C213,#REF!,#REF!,))</f>
        <v>#NAME?</v>
      </c>
      <c r="W213" s="8" t="e">
        <f t="array" aca="1" ref="W213" ca="1">IF($C$4="Giao", _xludf.Xlookup(C213,#REF!,#REF!,),)</f>
        <v>#NAME?</v>
      </c>
      <c r="X213" s="9" t="e">
        <f t="shared" ca="1" si="2"/>
        <v>#NAME?</v>
      </c>
      <c r="Y213" s="7"/>
      <c r="Z213" s="7"/>
    </row>
    <row r="214" spans="1:26" ht="13" x14ac:dyDescent="0.6">
      <c r="A214" s="28" t="str">
        <f t="shared" si="1"/>
        <v/>
      </c>
      <c r="B214" s="7"/>
      <c r="C214" s="7"/>
      <c r="D214" s="9"/>
      <c r="E214" s="9"/>
      <c r="F214" s="7"/>
      <c r="G214" s="7"/>
      <c r="H214" s="7"/>
      <c r="I214" s="7"/>
      <c r="J214" s="7"/>
      <c r="K214" s="7"/>
      <c r="L214" s="7"/>
      <c r="M214" s="7"/>
      <c r="N214" s="7"/>
      <c r="O214" s="7"/>
      <c r="P214" s="29"/>
      <c r="Q214" s="29"/>
      <c r="R214" s="7"/>
      <c r="S214" s="7"/>
      <c r="T214" s="7" t="str">
        <f ca="1">IFERROR(__xludf.DUMMYFUNCTION("SPARKLINE({
IF(D214="""",0,D214),
IF(F214="""",0,F214),
IF(H214="""",0,H214),
IF(J214="""",0,J214),
IF(L214="""",0,L214),
IF(N214="""",0,N214),
IF(P214="""",0,P214)
})"),"")</f>
        <v/>
      </c>
      <c r="U214" s="7" t="str">
        <f ca="1">IFERROR(__xludf.DUMMYFUNCTION("SPARKLINE({
IF(E214="""",0,E214),
IF(G214="""",0,G214),
IF(I214="""",0,I214),
IF(K214="""",0,K214),
IF(M214="""",0,M214),
IF(O214="""",0,O214),
IF(Q214="""",0,Q214)
})"),"")</f>
        <v/>
      </c>
      <c r="V214" s="8" t="e">
        <f t="array" aca="1" ref="V214" ca="1">IF($C$4="Giao",_xludf.Xlookup(C214,#REF!,#REF!,),_xludf.Xlookup(C214,#REF!,#REF!,))</f>
        <v>#NAME?</v>
      </c>
      <c r="W214" s="8" t="e">
        <f t="array" aca="1" ref="W214" ca="1">IF($C$4="Giao", _xludf.Xlookup(C214,#REF!,#REF!,),)</f>
        <v>#NAME?</v>
      </c>
      <c r="X214" s="9" t="e">
        <f t="shared" ca="1" si="2"/>
        <v>#NAME?</v>
      </c>
      <c r="Y214" s="7"/>
      <c r="Z214" s="7"/>
    </row>
    <row r="215" spans="1:26" ht="13" x14ac:dyDescent="0.6">
      <c r="A215" s="28" t="str">
        <f t="shared" si="1"/>
        <v/>
      </c>
      <c r="B215" s="7"/>
      <c r="C215" s="7"/>
      <c r="D215" s="9"/>
      <c r="E215" s="9"/>
      <c r="F215" s="7"/>
      <c r="G215" s="7"/>
      <c r="H215" s="7"/>
      <c r="I215" s="7"/>
      <c r="J215" s="7"/>
      <c r="K215" s="7"/>
      <c r="L215" s="7"/>
      <c r="M215" s="7"/>
      <c r="N215" s="7"/>
      <c r="O215" s="7"/>
      <c r="P215" s="29"/>
      <c r="Q215" s="29"/>
      <c r="R215" s="7"/>
      <c r="S215" s="7"/>
      <c r="T215" s="7" t="str">
        <f ca="1">IFERROR(__xludf.DUMMYFUNCTION("SPARKLINE({
IF(D215="""",0,D215),
IF(F215="""",0,F215),
IF(H215="""",0,H215),
IF(J215="""",0,J215),
IF(L215="""",0,L215),
IF(N215="""",0,N215),
IF(P215="""",0,P215)
})"),"")</f>
        <v/>
      </c>
      <c r="U215" s="7" t="str">
        <f ca="1">IFERROR(__xludf.DUMMYFUNCTION("SPARKLINE({
IF(E215="""",0,E215),
IF(G215="""",0,G215),
IF(I215="""",0,I215),
IF(K215="""",0,K215),
IF(M215="""",0,M215),
IF(O215="""",0,O215),
IF(Q215="""",0,Q215)
})"),"")</f>
        <v/>
      </c>
      <c r="V215" s="8" t="e">
        <f t="array" aca="1" ref="V215" ca="1">IF($C$4="Giao",_xludf.Xlookup(C215,#REF!,#REF!,),_xludf.Xlookup(C215,#REF!,#REF!,))</f>
        <v>#NAME?</v>
      </c>
      <c r="W215" s="8" t="e">
        <f t="array" aca="1" ref="W215" ca="1">IF($C$4="Giao", _xludf.Xlookup(C215,#REF!,#REF!,),)</f>
        <v>#NAME?</v>
      </c>
      <c r="X215" s="9" t="e">
        <f t="shared" ca="1" si="2"/>
        <v>#NAME?</v>
      </c>
      <c r="Y215" s="7"/>
      <c r="Z215" s="7"/>
    </row>
    <row r="216" spans="1:26" ht="13" x14ac:dyDescent="0.6">
      <c r="A216" s="28" t="str">
        <f t="shared" si="1"/>
        <v/>
      </c>
      <c r="B216" s="7"/>
      <c r="C216" s="7"/>
      <c r="D216" s="9"/>
      <c r="E216" s="9"/>
      <c r="F216" s="7"/>
      <c r="G216" s="7"/>
      <c r="H216" s="7"/>
      <c r="I216" s="7"/>
      <c r="J216" s="7"/>
      <c r="K216" s="7"/>
      <c r="L216" s="7"/>
      <c r="M216" s="7"/>
      <c r="N216" s="7"/>
      <c r="O216" s="7"/>
      <c r="P216" s="29"/>
      <c r="Q216" s="29"/>
      <c r="R216" s="7"/>
      <c r="S216" s="7"/>
      <c r="T216" s="7" t="str">
        <f ca="1">IFERROR(__xludf.DUMMYFUNCTION("SPARKLINE({
IF(D216="""",0,D216),
IF(F216="""",0,F216),
IF(H216="""",0,H216),
IF(J216="""",0,J216),
IF(L216="""",0,L216),
IF(N216="""",0,N216),
IF(P216="""",0,P216)
})"),"")</f>
        <v/>
      </c>
      <c r="U216" s="7" t="str">
        <f ca="1">IFERROR(__xludf.DUMMYFUNCTION("SPARKLINE({
IF(E216="""",0,E216),
IF(G216="""",0,G216),
IF(I216="""",0,I216),
IF(K216="""",0,K216),
IF(M216="""",0,M216),
IF(O216="""",0,O216),
IF(Q216="""",0,Q216)
})"),"")</f>
        <v/>
      </c>
      <c r="V216" s="8" t="e">
        <f t="array" aca="1" ref="V216" ca="1">IF($C$4="Giao",_xludf.Xlookup(C216,#REF!,#REF!,),_xludf.Xlookup(C216,#REF!,#REF!,))</f>
        <v>#NAME?</v>
      </c>
      <c r="W216" s="8" t="e">
        <f t="array" aca="1" ref="W216" ca="1">IF($C$4="Giao", _xludf.Xlookup(C216,#REF!,#REF!,),)</f>
        <v>#NAME?</v>
      </c>
      <c r="X216" s="9" t="e">
        <f t="shared" ca="1" si="2"/>
        <v>#NAME?</v>
      </c>
      <c r="Y216" s="7"/>
      <c r="Z216" s="7"/>
    </row>
    <row r="217" spans="1:26" ht="13" x14ac:dyDescent="0.6">
      <c r="A217" s="28" t="str">
        <f t="shared" si="1"/>
        <v/>
      </c>
      <c r="B217" s="7"/>
      <c r="C217" s="7"/>
      <c r="D217" s="9"/>
      <c r="E217" s="9"/>
      <c r="F217" s="7"/>
      <c r="G217" s="7"/>
      <c r="H217" s="7"/>
      <c r="I217" s="7"/>
      <c r="J217" s="7"/>
      <c r="K217" s="7"/>
      <c r="L217" s="7"/>
      <c r="M217" s="7"/>
      <c r="N217" s="7"/>
      <c r="O217" s="7"/>
      <c r="P217" s="29"/>
      <c r="Q217" s="29"/>
      <c r="R217" s="7"/>
      <c r="S217" s="7"/>
      <c r="T217" s="7" t="str">
        <f ca="1">IFERROR(__xludf.DUMMYFUNCTION("SPARKLINE({
IF(D217="""",0,D217),
IF(F217="""",0,F217),
IF(H217="""",0,H217),
IF(J217="""",0,J217),
IF(L217="""",0,L217),
IF(N217="""",0,N217),
IF(P217="""",0,P217)
})"),"")</f>
        <v/>
      </c>
      <c r="U217" s="7" t="str">
        <f ca="1">IFERROR(__xludf.DUMMYFUNCTION("SPARKLINE({
IF(E217="""",0,E217),
IF(G217="""",0,G217),
IF(I217="""",0,I217),
IF(K217="""",0,K217),
IF(M217="""",0,M217),
IF(O217="""",0,O217),
IF(Q217="""",0,Q217)
})"),"")</f>
        <v/>
      </c>
      <c r="V217" s="8" t="e">
        <f t="array" aca="1" ref="V217" ca="1">IF($C$4="Giao",_xludf.Xlookup(C217,#REF!,#REF!,),_xludf.Xlookup(C217,#REF!,#REF!,))</f>
        <v>#NAME?</v>
      </c>
      <c r="W217" s="8" t="e">
        <f t="array" aca="1" ref="W217" ca="1">IF($C$4="Giao", _xludf.Xlookup(C217,#REF!,#REF!,),)</f>
        <v>#NAME?</v>
      </c>
      <c r="X217" s="9" t="e">
        <f t="shared" ca="1" si="2"/>
        <v>#NAME?</v>
      </c>
      <c r="Y217" s="7"/>
      <c r="Z217" s="7"/>
    </row>
    <row r="218" spans="1:26" ht="13" x14ac:dyDescent="0.6">
      <c r="A218" s="28" t="str">
        <f t="shared" si="1"/>
        <v/>
      </c>
      <c r="B218" s="7"/>
      <c r="C218" s="7"/>
      <c r="D218" s="9"/>
      <c r="E218" s="9"/>
      <c r="F218" s="7"/>
      <c r="G218" s="7"/>
      <c r="H218" s="7"/>
      <c r="I218" s="7"/>
      <c r="J218" s="7"/>
      <c r="K218" s="7"/>
      <c r="L218" s="7"/>
      <c r="M218" s="7"/>
      <c r="N218" s="7"/>
      <c r="O218" s="7"/>
      <c r="P218" s="29"/>
      <c r="Q218" s="29"/>
      <c r="R218" s="7"/>
      <c r="S218" s="7"/>
      <c r="T218" s="7" t="str">
        <f ca="1">IFERROR(__xludf.DUMMYFUNCTION("SPARKLINE({
IF(D218="""",0,D218),
IF(F218="""",0,F218),
IF(H218="""",0,H218),
IF(J218="""",0,J218),
IF(L218="""",0,L218),
IF(N218="""",0,N218),
IF(P218="""",0,P218)
})"),"")</f>
        <v/>
      </c>
      <c r="U218" s="7" t="str">
        <f ca="1">IFERROR(__xludf.DUMMYFUNCTION("SPARKLINE({
IF(E218="""",0,E218),
IF(G218="""",0,G218),
IF(I218="""",0,I218),
IF(K218="""",0,K218),
IF(M218="""",0,M218),
IF(O218="""",0,O218),
IF(Q218="""",0,Q218)
})"),"")</f>
        <v/>
      </c>
      <c r="V218" s="8" t="e">
        <f t="array" aca="1" ref="V218" ca="1">IF($C$4="Giao",_xludf.Xlookup(C218,#REF!,#REF!,),_xludf.Xlookup(C218,#REF!,#REF!,))</f>
        <v>#NAME?</v>
      </c>
      <c r="W218" s="8" t="e">
        <f t="array" aca="1" ref="W218" ca="1">IF($C$4="Giao", _xludf.Xlookup(C218,#REF!,#REF!,),)</f>
        <v>#NAME?</v>
      </c>
      <c r="X218" s="9" t="e">
        <f t="shared" ca="1" si="2"/>
        <v>#NAME?</v>
      </c>
      <c r="Y218" s="7"/>
      <c r="Z218" s="7"/>
    </row>
    <row r="219" spans="1:26" ht="13" x14ac:dyDescent="0.6">
      <c r="A219" s="28" t="str">
        <f t="shared" si="1"/>
        <v/>
      </c>
      <c r="B219" s="7"/>
      <c r="C219" s="7"/>
      <c r="D219" s="9"/>
      <c r="E219" s="9"/>
      <c r="F219" s="7"/>
      <c r="G219" s="7"/>
      <c r="H219" s="7"/>
      <c r="I219" s="7"/>
      <c r="J219" s="7"/>
      <c r="K219" s="7"/>
      <c r="L219" s="7"/>
      <c r="M219" s="7"/>
      <c r="N219" s="7"/>
      <c r="O219" s="7"/>
      <c r="P219" s="29"/>
      <c r="Q219" s="29"/>
      <c r="R219" s="7"/>
      <c r="S219" s="7"/>
      <c r="T219" s="7" t="str">
        <f ca="1">IFERROR(__xludf.DUMMYFUNCTION("SPARKLINE({
IF(D219="""",0,D219),
IF(F219="""",0,F219),
IF(H219="""",0,H219),
IF(J219="""",0,J219),
IF(L219="""",0,L219),
IF(N219="""",0,N219),
IF(P219="""",0,P219)
})"),"")</f>
        <v/>
      </c>
      <c r="U219" s="7" t="str">
        <f ca="1">IFERROR(__xludf.DUMMYFUNCTION("SPARKLINE({
IF(E219="""",0,E219),
IF(G219="""",0,G219),
IF(I219="""",0,I219),
IF(K219="""",0,K219),
IF(M219="""",0,M219),
IF(O219="""",0,O219),
IF(Q219="""",0,Q219)
})"),"")</f>
        <v/>
      </c>
      <c r="V219" s="8" t="e">
        <f t="array" aca="1" ref="V219" ca="1">IF($C$4="Giao",_xludf.Xlookup(C219,#REF!,#REF!,),_xludf.Xlookup(C219,#REF!,#REF!,))</f>
        <v>#NAME?</v>
      </c>
      <c r="W219" s="8" t="e">
        <f t="array" aca="1" ref="W219" ca="1">IF($C$4="Giao", _xludf.Xlookup(C219,#REF!,#REF!,),)</f>
        <v>#NAME?</v>
      </c>
      <c r="X219" s="9" t="e">
        <f t="shared" ca="1" si="2"/>
        <v>#NAME?</v>
      </c>
      <c r="Y219" s="7"/>
      <c r="Z219" s="7"/>
    </row>
    <row r="220" spans="1:26" ht="13" x14ac:dyDescent="0.6">
      <c r="A220" s="28" t="str">
        <f t="shared" si="1"/>
        <v/>
      </c>
      <c r="B220" s="7"/>
      <c r="C220" s="7"/>
      <c r="D220" s="9"/>
      <c r="E220" s="9"/>
      <c r="F220" s="7"/>
      <c r="G220" s="7"/>
      <c r="H220" s="7"/>
      <c r="I220" s="7"/>
      <c r="J220" s="7"/>
      <c r="K220" s="7"/>
      <c r="L220" s="7"/>
      <c r="M220" s="7"/>
      <c r="N220" s="7"/>
      <c r="O220" s="7"/>
      <c r="P220" s="29"/>
      <c r="Q220" s="29"/>
      <c r="R220" s="7"/>
      <c r="S220" s="7"/>
      <c r="T220" s="7" t="str">
        <f ca="1">IFERROR(__xludf.DUMMYFUNCTION("SPARKLINE({
IF(D220="""",0,D220),
IF(F220="""",0,F220),
IF(H220="""",0,H220),
IF(J220="""",0,J220),
IF(L220="""",0,L220),
IF(N220="""",0,N220),
IF(P220="""",0,P220)
})"),"")</f>
        <v/>
      </c>
      <c r="U220" s="7" t="str">
        <f ca="1">IFERROR(__xludf.DUMMYFUNCTION("SPARKLINE({
IF(E220="""",0,E220),
IF(G220="""",0,G220),
IF(I220="""",0,I220),
IF(K220="""",0,K220),
IF(M220="""",0,M220),
IF(O220="""",0,O220),
IF(Q220="""",0,Q220)
})"),"")</f>
        <v/>
      </c>
      <c r="V220" s="8" t="e">
        <f t="array" aca="1" ref="V220" ca="1">IF($C$4="Giao",_xludf.Xlookup(C220,#REF!,#REF!,),_xludf.Xlookup(C220,#REF!,#REF!,))</f>
        <v>#NAME?</v>
      </c>
      <c r="W220" s="8" t="e">
        <f t="array" aca="1" ref="W220" ca="1">IF($C$4="Giao", _xludf.Xlookup(C220,#REF!,#REF!,),)</f>
        <v>#NAME?</v>
      </c>
      <c r="X220" s="9" t="e">
        <f t="shared" ca="1" si="2"/>
        <v>#NAME?</v>
      </c>
      <c r="Y220" s="7"/>
      <c r="Z220" s="7"/>
    </row>
    <row r="221" spans="1:26" ht="13" x14ac:dyDescent="0.6">
      <c r="A221" s="28" t="str">
        <f t="shared" si="1"/>
        <v/>
      </c>
      <c r="B221" s="7"/>
      <c r="C221" s="7"/>
      <c r="D221" s="9"/>
      <c r="E221" s="9"/>
      <c r="F221" s="7"/>
      <c r="G221" s="7"/>
      <c r="H221" s="7"/>
      <c r="I221" s="7"/>
      <c r="J221" s="7"/>
      <c r="K221" s="7"/>
      <c r="L221" s="7"/>
      <c r="M221" s="7"/>
      <c r="N221" s="7"/>
      <c r="O221" s="7"/>
      <c r="P221" s="29"/>
      <c r="Q221" s="29"/>
      <c r="R221" s="7"/>
      <c r="S221" s="7"/>
      <c r="T221" s="7" t="str">
        <f ca="1">IFERROR(__xludf.DUMMYFUNCTION("SPARKLINE({
IF(D221="""",0,D221),
IF(F221="""",0,F221),
IF(H221="""",0,H221),
IF(J221="""",0,J221),
IF(L221="""",0,L221),
IF(N221="""",0,N221),
IF(P221="""",0,P221)
})"),"")</f>
        <v/>
      </c>
      <c r="U221" s="7" t="str">
        <f ca="1">IFERROR(__xludf.DUMMYFUNCTION("SPARKLINE({
IF(E221="""",0,E221),
IF(G221="""",0,G221),
IF(I221="""",0,I221),
IF(K221="""",0,K221),
IF(M221="""",0,M221),
IF(O221="""",0,O221),
IF(Q221="""",0,Q221)
})"),"")</f>
        <v/>
      </c>
      <c r="V221" s="8" t="e">
        <f t="array" aca="1" ref="V221" ca="1">IF($C$4="Giao",_xludf.Xlookup(C221,#REF!,#REF!,),_xludf.Xlookup(C221,#REF!,#REF!,))</f>
        <v>#NAME?</v>
      </c>
      <c r="W221" s="8" t="e">
        <f t="array" aca="1" ref="W221" ca="1">IF($C$4="Giao", _xludf.Xlookup(C221,#REF!,#REF!,),)</f>
        <v>#NAME?</v>
      </c>
      <c r="X221" s="9" t="e">
        <f t="shared" ca="1" si="2"/>
        <v>#NAME?</v>
      </c>
      <c r="Y221" s="7"/>
      <c r="Z221" s="7"/>
    </row>
    <row r="222" spans="1:26" ht="13" x14ac:dyDescent="0.6">
      <c r="A222" s="28" t="str">
        <f t="shared" si="1"/>
        <v/>
      </c>
      <c r="B222" s="7"/>
      <c r="C222" s="7"/>
      <c r="D222" s="9"/>
      <c r="E222" s="9"/>
      <c r="F222" s="7"/>
      <c r="G222" s="7"/>
      <c r="H222" s="7"/>
      <c r="I222" s="7"/>
      <c r="J222" s="7"/>
      <c r="K222" s="7"/>
      <c r="L222" s="7"/>
      <c r="M222" s="7"/>
      <c r="N222" s="7"/>
      <c r="O222" s="7"/>
      <c r="P222" s="29"/>
      <c r="Q222" s="29"/>
      <c r="R222" s="7"/>
      <c r="S222" s="7"/>
      <c r="T222" s="7" t="str">
        <f ca="1">IFERROR(__xludf.DUMMYFUNCTION("SPARKLINE({
IF(D222="""",0,D222),
IF(F222="""",0,F222),
IF(H222="""",0,H222),
IF(J222="""",0,J222),
IF(L222="""",0,L222),
IF(N222="""",0,N222),
IF(P222="""",0,P222)
})"),"")</f>
        <v/>
      </c>
      <c r="U222" s="7" t="str">
        <f ca="1">IFERROR(__xludf.DUMMYFUNCTION("SPARKLINE({
IF(E222="""",0,E222),
IF(G222="""",0,G222),
IF(I222="""",0,I222),
IF(K222="""",0,K222),
IF(M222="""",0,M222),
IF(O222="""",0,O222),
IF(Q222="""",0,Q222)
})"),"")</f>
        <v/>
      </c>
      <c r="V222" s="8" t="e">
        <f t="array" aca="1" ref="V222" ca="1">IF($C$4="Giao",_xludf.Xlookup(C222,#REF!,#REF!,),_xludf.Xlookup(C222,#REF!,#REF!,))</f>
        <v>#NAME?</v>
      </c>
      <c r="W222" s="8" t="e">
        <f t="array" aca="1" ref="W222" ca="1">IF($C$4="Giao", _xludf.Xlookup(C222,#REF!,#REF!,),)</f>
        <v>#NAME?</v>
      </c>
      <c r="X222" s="9" t="e">
        <f t="shared" ca="1" si="2"/>
        <v>#NAME?</v>
      </c>
      <c r="Y222" s="7"/>
      <c r="Z222" s="7"/>
    </row>
    <row r="223" spans="1:26" ht="13" x14ac:dyDescent="0.6">
      <c r="A223" s="28" t="str">
        <f t="shared" si="1"/>
        <v/>
      </c>
      <c r="B223" s="7"/>
      <c r="C223" s="7"/>
      <c r="D223" s="9"/>
      <c r="E223" s="9"/>
      <c r="F223" s="7"/>
      <c r="G223" s="7"/>
      <c r="H223" s="7"/>
      <c r="I223" s="7"/>
      <c r="J223" s="7"/>
      <c r="K223" s="7"/>
      <c r="L223" s="7"/>
      <c r="M223" s="7"/>
      <c r="N223" s="7"/>
      <c r="O223" s="7"/>
      <c r="P223" s="29"/>
      <c r="Q223" s="29"/>
      <c r="R223" s="7"/>
      <c r="S223" s="7"/>
      <c r="T223" s="7" t="str">
        <f ca="1">IFERROR(__xludf.DUMMYFUNCTION("SPARKLINE({
IF(D223="""",0,D223),
IF(F223="""",0,F223),
IF(H223="""",0,H223),
IF(J223="""",0,J223),
IF(L223="""",0,L223),
IF(N223="""",0,N223),
IF(P223="""",0,P223)
})"),"")</f>
        <v/>
      </c>
      <c r="U223" s="7" t="str">
        <f ca="1">IFERROR(__xludf.DUMMYFUNCTION("SPARKLINE({
IF(E223="""",0,E223),
IF(G223="""",0,G223),
IF(I223="""",0,I223),
IF(K223="""",0,K223),
IF(M223="""",0,M223),
IF(O223="""",0,O223),
IF(Q223="""",0,Q223)
})"),"")</f>
        <v/>
      </c>
      <c r="V223" s="8" t="e">
        <f t="array" aca="1" ref="V223" ca="1">IF($C$4="Giao",_xludf.Xlookup(C223,#REF!,#REF!,),_xludf.Xlookup(C223,#REF!,#REF!,))</f>
        <v>#NAME?</v>
      </c>
      <c r="W223" s="8" t="e">
        <f t="array" aca="1" ref="W223" ca="1">IF($C$4="Giao", _xludf.Xlookup(C223,#REF!,#REF!,),)</f>
        <v>#NAME?</v>
      </c>
      <c r="X223" s="9" t="e">
        <f t="shared" ca="1" si="2"/>
        <v>#NAME?</v>
      </c>
      <c r="Y223" s="7"/>
      <c r="Z223" s="7"/>
    </row>
    <row r="224" spans="1:26" ht="13" x14ac:dyDescent="0.6">
      <c r="A224" s="28" t="str">
        <f t="shared" si="1"/>
        <v/>
      </c>
      <c r="B224" s="7"/>
      <c r="C224" s="7"/>
      <c r="D224" s="9"/>
      <c r="E224" s="9"/>
      <c r="F224" s="7"/>
      <c r="G224" s="7"/>
      <c r="H224" s="7"/>
      <c r="I224" s="7"/>
      <c r="J224" s="7"/>
      <c r="K224" s="7"/>
      <c r="L224" s="7"/>
      <c r="M224" s="7"/>
      <c r="N224" s="7"/>
      <c r="O224" s="7"/>
      <c r="P224" s="29"/>
      <c r="Q224" s="29"/>
      <c r="R224" s="7"/>
      <c r="S224" s="7"/>
      <c r="T224" s="7" t="str">
        <f ca="1">IFERROR(__xludf.DUMMYFUNCTION("SPARKLINE({
IF(D224="""",0,D224),
IF(F224="""",0,F224),
IF(H224="""",0,H224),
IF(J224="""",0,J224),
IF(L224="""",0,L224),
IF(N224="""",0,N224),
IF(P224="""",0,P224)
})"),"")</f>
        <v/>
      </c>
      <c r="U224" s="7" t="str">
        <f ca="1">IFERROR(__xludf.DUMMYFUNCTION("SPARKLINE({
IF(E224="""",0,E224),
IF(G224="""",0,G224),
IF(I224="""",0,I224),
IF(K224="""",0,K224),
IF(M224="""",0,M224),
IF(O224="""",0,O224),
IF(Q224="""",0,Q224)
})"),"")</f>
        <v/>
      </c>
      <c r="V224" s="8" t="e">
        <f t="array" aca="1" ref="V224" ca="1">IF($C$4="Giao",_xludf.Xlookup(C224,#REF!,#REF!,),_xludf.Xlookup(C224,#REF!,#REF!,))</f>
        <v>#NAME?</v>
      </c>
      <c r="W224" s="8" t="e">
        <f t="array" aca="1" ref="W224" ca="1">IF($C$4="Giao", _xludf.Xlookup(C224,#REF!,#REF!,),)</f>
        <v>#NAME?</v>
      </c>
      <c r="X224" s="9" t="e">
        <f t="shared" ca="1" si="2"/>
        <v>#NAME?</v>
      </c>
      <c r="Y224" s="7"/>
      <c r="Z224" s="7"/>
    </row>
    <row r="225" spans="1:26" ht="13" x14ac:dyDescent="0.6">
      <c r="A225" s="28" t="str">
        <f t="shared" si="1"/>
        <v/>
      </c>
      <c r="B225" s="7"/>
      <c r="C225" s="7"/>
      <c r="D225" s="9"/>
      <c r="E225" s="9"/>
      <c r="F225" s="7"/>
      <c r="G225" s="7"/>
      <c r="H225" s="7"/>
      <c r="I225" s="7"/>
      <c r="J225" s="7"/>
      <c r="K225" s="7"/>
      <c r="L225" s="7"/>
      <c r="M225" s="7"/>
      <c r="N225" s="7"/>
      <c r="O225" s="7"/>
      <c r="P225" s="29"/>
      <c r="Q225" s="29"/>
      <c r="R225" s="7"/>
      <c r="S225" s="7"/>
      <c r="T225" s="7" t="str">
        <f ca="1">IFERROR(__xludf.DUMMYFUNCTION("SPARKLINE({
IF(D225="""",0,D225),
IF(F225="""",0,F225),
IF(H225="""",0,H225),
IF(J225="""",0,J225),
IF(L225="""",0,L225),
IF(N225="""",0,N225),
IF(P225="""",0,P225)
})"),"")</f>
        <v/>
      </c>
      <c r="U225" s="7" t="str">
        <f ca="1">IFERROR(__xludf.DUMMYFUNCTION("SPARKLINE({
IF(E225="""",0,E225),
IF(G225="""",0,G225),
IF(I225="""",0,I225),
IF(K225="""",0,K225),
IF(M225="""",0,M225),
IF(O225="""",0,O225),
IF(Q225="""",0,Q225)
})"),"")</f>
        <v/>
      </c>
      <c r="V225" s="8" t="e">
        <f t="array" aca="1" ref="V225" ca="1">IF($C$4="Giao",_xludf.Xlookup(C225,#REF!,#REF!,),_xludf.Xlookup(C225,#REF!,#REF!,))</f>
        <v>#NAME?</v>
      </c>
      <c r="W225" s="8" t="e">
        <f t="array" aca="1" ref="W225" ca="1">IF($C$4="Giao", _xludf.Xlookup(C225,#REF!,#REF!,),)</f>
        <v>#NAME?</v>
      </c>
      <c r="X225" s="9" t="e">
        <f t="shared" ca="1" si="2"/>
        <v>#NAME?</v>
      </c>
      <c r="Y225" s="7"/>
      <c r="Z225" s="7"/>
    </row>
    <row r="226" spans="1:26" ht="13" x14ac:dyDescent="0.6">
      <c r="A226" s="28" t="str">
        <f t="shared" si="1"/>
        <v/>
      </c>
      <c r="B226" s="7"/>
      <c r="C226" s="7"/>
      <c r="D226" s="9"/>
      <c r="E226" s="9"/>
      <c r="F226" s="7"/>
      <c r="G226" s="7"/>
      <c r="H226" s="7"/>
      <c r="I226" s="7"/>
      <c r="J226" s="7"/>
      <c r="K226" s="7"/>
      <c r="L226" s="7"/>
      <c r="M226" s="7"/>
      <c r="N226" s="7"/>
      <c r="O226" s="7"/>
      <c r="P226" s="29"/>
      <c r="Q226" s="29"/>
      <c r="R226" s="7"/>
      <c r="S226" s="7"/>
      <c r="T226" s="7" t="str">
        <f ca="1">IFERROR(__xludf.DUMMYFUNCTION("SPARKLINE({
IF(D226="""",0,D226),
IF(F226="""",0,F226),
IF(H226="""",0,H226),
IF(J226="""",0,J226),
IF(L226="""",0,L226),
IF(N226="""",0,N226),
IF(P226="""",0,P226)
})"),"")</f>
        <v/>
      </c>
      <c r="U226" s="7" t="str">
        <f ca="1">IFERROR(__xludf.DUMMYFUNCTION("SPARKLINE({
IF(E226="""",0,E226),
IF(G226="""",0,G226),
IF(I226="""",0,I226),
IF(K226="""",0,K226),
IF(M226="""",0,M226),
IF(O226="""",0,O226),
IF(Q226="""",0,Q226)
})"),"")</f>
        <v/>
      </c>
      <c r="V226" s="8" t="e">
        <f t="array" aca="1" ref="V226" ca="1">IF($C$4="Giao",_xludf.Xlookup(C226,#REF!,#REF!,),_xludf.Xlookup(C226,#REF!,#REF!,))</f>
        <v>#NAME?</v>
      </c>
      <c r="W226" s="8" t="e">
        <f t="array" aca="1" ref="W226" ca="1">IF($C$4="Giao", _xludf.Xlookup(C226,#REF!,#REF!,),)</f>
        <v>#NAME?</v>
      </c>
      <c r="X226" s="9" t="e">
        <f t="shared" ca="1" si="2"/>
        <v>#NAME?</v>
      </c>
      <c r="Y226" s="7"/>
      <c r="Z226" s="7"/>
    </row>
    <row r="227" spans="1:26" ht="13" x14ac:dyDescent="0.6">
      <c r="A227" s="28" t="str">
        <f t="shared" si="1"/>
        <v/>
      </c>
      <c r="B227" s="7"/>
      <c r="C227" s="7"/>
      <c r="D227" s="9"/>
      <c r="E227" s="9"/>
      <c r="F227" s="7"/>
      <c r="G227" s="7"/>
      <c r="H227" s="7"/>
      <c r="I227" s="7"/>
      <c r="J227" s="7"/>
      <c r="K227" s="7"/>
      <c r="L227" s="7"/>
      <c r="M227" s="7"/>
      <c r="N227" s="7"/>
      <c r="O227" s="7"/>
      <c r="P227" s="29"/>
      <c r="Q227" s="29"/>
      <c r="R227" s="7"/>
      <c r="S227" s="7"/>
      <c r="T227" s="7" t="str">
        <f ca="1">IFERROR(__xludf.DUMMYFUNCTION("SPARKLINE({
IF(D227="""",0,D227),
IF(F227="""",0,F227),
IF(H227="""",0,H227),
IF(J227="""",0,J227),
IF(L227="""",0,L227),
IF(N227="""",0,N227),
IF(P227="""",0,P227)
})"),"")</f>
        <v/>
      </c>
      <c r="U227" s="7" t="str">
        <f ca="1">IFERROR(__xludf.DUMMYFUNCTION("SPARKLINE({
IF(E227="""",0,E227),
IF(G227="""",0,G227),
IF(I227="""",0,I227),
IF(K227="""",0,K227),
IF(M227="""",0,M227),
IF(O227="""",0,O227),
IF(Q227="""",0,Q227)
})"),"")</f>
        <v/>
      </c>
      <c r="V227" s="8" t="e">
        <f t="array" aca="1" ref="V227" ca="1">IF($C$4="Giao",_xludf.Xlookup(C227,#REF!,#REF!,),_xludf.Xlookup(C227,#REF!,#REF!,))</f>
        <v>#NAME?</v>
      </c>
      <c r="W227" s="8" t="e">
        <f t="array" aca="1" ref="W227" ca="1">IF($C$4="Giao", _xludf.Xlookup(C227,#REF!,#REF!,),)</f>
        <v>#NAME?</v>
      </c>
      <c r="X227" s="9" t="e">
        <f t="shared" ca="1" si="2"/>
        <v>#NAME?</v>
      </c>
      <c r="Y227" s="7"/>
      <c r="Z227" s="7"/>
    </row>
    <row r="228" spans="1:26" ht="13" x14ac:dyDescent="0.6">
      <c r="A228" s="28" t="str">
        <f t="shared" si="1"/>
        <v/>
      </c>
      <c r="B228" s="7"/>
      <c r="C228" s="7"/>
      <c r="D228" s="9"/>
      <c r="E228" s="9"/>
      <c r="F228" s="7"/>
      <c r="G228" s="7"/>
      <c r="H228" s="7"/>
      <c r="I228" s="7"/>
      <c r="J228" s="7"/>
      <c r="K228" s="7"/>
      <c r="L228" s="7"/>
      <c r="M228" s="7"/>
      <c r="N228" s="7"/>
      <c r="O228" s="7"/>
      <c r="P228" s="29"/>
      <c r="Q228" s="29"/>
      <c r="R228" s="7"/>
      <c r="S228" s="7"/>
      <c r="T228" s="7" t="str">
        <f ca="1">IFERROR(__xludf.DUMMYFUNCTION("SPARKLINE({
IF(D228="""",0,D228),
IF(F228="""",0,F228),
IF(H228="""",0,H228),
IF(J228="""",0,J228),
IF(L228="""",0,L228),
IF(N228="""",0,N228),
IF(P228="""",0,P228)
})"),"")</f>
        <v/>
      </c>
      <c r="U228" s="7" t="str">
        <f ca="1">IFERROR(__xludf.DUMMYFUNCTION("SPARKLINE({
IF(E228="""",0,E228),
IF(G228="""",0,G228),
IF(I228="""",0,I228),
IF(K228="""",0,K228),
IF(M228="""",0,M228),
IF(O228="""",0,O228),
IF(Q228="""",0,Q228)
})"),"")</f>
        <v/>
      </c>
      <c r="V228" s="8" t="e">
        <f t="array" aca="1" ref="V228" ca="1">IF($C$4="Giao",_xludf.Xlookup(C228,#REF!,#REF!,),_xludf.Xlookup(C228,#REF!,#REF!,))</f>
        <v>#NAME?</v>
      </c>
      <c r="W228" s="8" t="e">
        <f t="array" aca="1" ref="W228" ca="1">IF($C$4="Giao", _xludf.Xlookup(C228,#REF!,#REF!,),)</f>
        <v>#NAME?</v>
      </c>
      <c r="X228" s="9" t="e">
        <f t="shared" ca="1" si="2"/>
        <v>#NAME?</v>
      </c>
      <c r="Y228" s="7"/>
      <c r="Z228" s="7"/>
    </row>
    <row r="229" spans="1:26" ht="13" x14ac:dyDescent="0.6">
      <c r="A229" s="28" t="str">
        <f t="shared" si="1"/>
        <v/>
      </c>
      <c r="B229" s="7"/>
      <c r="C229" s="7"/>
      <c r="D229" s="9"/>
      <c r="E229" s="9"/>
      <c r="F229" s="7"/>
      <c r="G229" s="7"/>
      <c r="H229" s="7"/>
      <c r="I229" s="7"/>
      <c r="J229" s="7"/>
      <c r="K229" s="7"/>
      <c r="L229" s="7"/>
      <c r="M229" s="7"/>
      <c r="N229" s="7"/>
      <c r="O229" s="7"/>
      <c r="P229" s="29"/>
      <c r="Q229" s="29"/>
      <c r="R229" s="7"/>
      <c r="S229" s="7"/>
      <c r="T229" s="7" t="str">
        <f ca="1">IFERROR(__xludf.DUMMYFUNCTION("SPARKLINE({
IF(D229="""",0,D229),
IF(F229="""",0,F229),
IF(H229="""",0,H229),
IF(J229="""",0,J229),
IF(L229="""",0,L229),
IF(N229="""",0,N229),
IF(P229="""",0,P229)
})"),"")</f>
        <v/>
      </c>
      <c r="U229" s="7" t="str">
        <f ca="1">IFERROR(__xludf.DUMMYFUNCTION("SPARKLINE({
IF(E229="""",0,E229),
IF(G229="""",0,G229),
IF(I229="""",0,I229),
IF(K229="""",0,K229),
IF(M229="""",0,M229),
IF(O229="""",0,O229),
IF(Q229="""",0,Q229)
})"),"")</f>
        <v/>
      </c>
      <c r="V229" s="8" t="e">
        <f t="array" aca="1" ref="V229" ca="1">IF($C$4="Giao",_xludf.Xlookup(C229,#REF!,#REF!,),_xludf.Xlookup(C229,#REF!,#REF!,))</f>
        <v>#NAME?</v>
      </c>
      <c r="W229" s="8" t="e">
        <f t="array" aca="1" ref="W229" ca="1">IF($C$4="Giao", _xludf.Xlookup(C229,#REF!,#REF!,),)</f>
        <v>#NAME?</v>
      </c>
      <c r="X229" s="9" t="e">
        <f t="shared" ca="1" si="2"/>
        <v>#NAME?</v>
      </c>
      <c r="Y229" s="7"/>
      <c r="Z229" s="7"/>
    </row>
    <row r="230" spans="1:26" ht="13" x14ac:dyDescent="0.6">
      <c r="A230" s="28" t="str">
        <f t="shared" si="1"/>
        <v/>
      </c>
      <c r="B230" s="7"/>
      <c r="C230" s="7"/>
      <c r="D230" s="9"/>
      <c r="E230" s="9"/>
      <c r="F230" s="7"/>
      <c r="G230" s="7"/>
      <c r="H230" s="7"/>
      <c r="I230" s="7"/>
      <c r="J230" s="7"/>
      <c r="K230" s="7"/>
      <c r="L230" s="7"/>
      <c r="M230" s="7"/>
      <c r="N230" s="7"/>
      <c r="O230" s="7"/>
      <c r="P230" s="29"/>
      <c r="Q230" s="29"/>
      <c r="R230" s="7"/>
      <c r="S230" s="7"/>
      <c r="T230" s="7" t="str">
        <f ca="1">IFERROR(__xludf.DUMMYFUNCTION("SPARKLINE({
IF(D230="""",0,D230),
IF(F230="""",0,F230),
IF(H230="""",0,H230),
IF(J230="""",0,J230),
IF(L230="""",0,L230),
IF(N230="""",0,N230),
IF(P230="""",0,P230)
})"),"")</f>
        <v/>
      </c>
      <c r="U230" s="7" t="str">
        <f ca="1">IFERROR(__xludf.DUMMYFUNCTION("SPARKLINE({
IF(E230="""",0,E230),
IF(G230="""",0,G230),
IF(I230="""",0,I230),
IF(K230="""",0,K230),
IF(M230="""",0,M230),
IF(O230="""",0,O230),
IF(Q230="""",0,Q230)
})"),"")</f>
        <v/>
      </c>
      <c r="V230" s="8" t="e">
        <f t="array" aca="1" ref="V230" ca="1">IF($C$4="Giao",_xludf.Xlookup(C230,#REF!,#REF!,),_xludf.Xlookup(C230,#REF!,#REF!,))</f>
        <v>#NAME?</v>
      </c>
      <c r="W230" s="8" t="e">
        <f t="array" aca="1" ref="W230" ca="1">IF($C$4="Giao", _xludf.Xlookup(C230,#REF!,#REF!,),)</f>
        <v>#NAME?</v>
      </c>
      <c r="X230" s="9" t="e">
        <f t="shared" ca="1" si="2"/>
        <v>#NAME?</v>
      </c>
      <c r="Y230" s="7"/>
      <c r="Z230" s="7"/>
    </row>
    <row r="231" spans="1:26" ht="13" x14ac:dyDescent="0.6">
      <c r="A231" s="28" t="str">
        <f t="shared" si="1"/>
        <v/>
      </c>
      <c r="B231" s="7"/>
      <c r="C231" s="7"/>
      <c r="D231" s="9"/>
      <c r="E231" s="9"/>
      <c r="F231" s="7"/>
      <c r="G231" s="7"/>
      <c r="H231" s="7"/>
      <c r="I231" s="7"/>
      <c r="J231" s="7"/>
      <c r="K231" s="7"/>
      <c r="L231" s="7"/>
      <c r="M231" s="7"/>
      <c r="N231" s="7"/>
      <c r="O231" s="7"/>
      <c r="P231" s="29"/>
      <c r="Q231" s="29"/>
      <c r="R231" s="7"/>
      <c r="S231" s="7"/>
      <c r="T231" s="7" t="str">
        <f ca="1">IFERROR(__xludf.DUMMYFUNCTION("SPARKLINE({
IF(D231="""",0,D231),
IF(F231="""",0,F231),
IF(H231="""",0,H231),
IF(J231="""",0,J231),
IF(L231="""",0,L231),
IF(N231="""",0,N231),
IF(P231="""",0,P231)
})"),"")</f>
        <v/>
      </c>
      <c r="U231" s="7" t="str">
        <f ca="1">IFERROR(__xludf.DUMMYFUNCTION("SPARKLINE({
IF(E231="""",0,E231),
IF(G231="""",0,G231),
IF(I231="""",0,I231),
IF(K231="""",0,K231),
IF(M231="""",0,M231),
IF(O231="""",0,O231),
IF(Q231="""",0,Q231)
})"),"")</f>
        <v/>
      </c>
      <c r="V231" s="8" t="e">
        <f t="array" aca="1" ref="V231" ca="1">IF($C$4="Giao",_xludf.Xlookup(C231,#REF!,#REF!,),_xludf.Xlookup(C231,#REF!,#REF!,))</f>
        <v>#NAME?</v>
      </c>
      <c r="W231" s="8" t="e">
        <f t="array" aca="1" ref="W231" ca="1">IF($C$4="Giao", _xludf.Xlookup(C231,#REF!,#REF!,),)</f>
        <v>#NAME?</v>
      </c>
      <c r="X231" s="9" t="e">
        <f t="shared" ca="1" si="2"/>
        <v>#NAME?</v>
      </c>
      <c r="Y231" s="7"/>
      <c r="Z231" s="7"/>
    </row>
    <row r="232" spans="1:26" ht="13" x14ac:dyDescent="0.6">
      <c r="A232" s="28" t="str">
        <f t="shared" si="1"/>
        <v/>
      </c>
      <c r="B232" s="7"/>
      <c r="C232" s="7"/>
      <c r="D232" s="9"/>
      <c r="E232" s="9"/>
      <c r="F232" s="7"/>
      <c r="G232" s="7"/>
      <c r="H232" s="7"/>
      <c r="I232" s="7"/>
      <c r="J232" s="7"/>
      <c r="K232" s="7"/>
      <c r="L232" s="7"/>
      <c r="M232" s="7"/>
      <c r="N232" s="7"/>
      <c r="O232" s="7"/>
      <c r="P232" s="29"/>
      <c r="Q232" s="29"/>
      <c r="R232" s="7"/>
      <c r="S232" s="7"/>
      <c r="T232" s="7" t="str">
        <f ca="1">IFERROR(__xludf.DUMMYFUNCTION("SPARKLINE({
IF(D232="""",0,D232),
IF(F232="""",0,F232),
IF(H232="""",0,H232),
IF(J232="""",0,J232),
IF(L232="""",0,L232),
IF(N232="""",0,N232),
IF(P232="""",0,P232)
})"),"")</f>
        <v/>
      </c>
      <c r="U232" s="7" t="str">
        <f ca="1">IFERROR(__xludf.DUMMYFUNCTION("SPARKLINE({
IF(E232="""",0,E232),
IF(G232="""",0,G232),
IF(I232="""",0,I232),
IF(K232="""",0,K232),
IF(M232="""",0,M232),
IF(O232="""",0,O232),
IF(Q232="""",0,Q232)
})"),"")</f>
        <v/>
      </c>
      <c r="V232" s="8" t="e">
        <f t="array" aca="1" ref="V232" ca="1">IF($C$4="Giao",_xludf.Xlookup(C232,#REF!,#REF!,),_xludf.Xlookup(C232,#REF!,#REF!,))</f>
        <v>#NAME?</v>
      </c>
      <c r="W232" s="8" t="e">
        <f t="array" aca="1" ref="W232" ca="1">IF($C$4="Giao", _xludf.Xlookup(C232,#REF!,#REF!,),)</f>
        <v>#NAME?</v>
      </c>
      <c r="X232" s="9" t="e">
        <f t="shared" ca="1" si="2"/>
        <v>#NAME?</v>
      </c>
      <c r="Y232" s="7"/>
      <c r="Z232" s="7"/>
    </row>
    <row r="233" spans="1:26" ht="13" x14ac:dyDescent="0.6">
      <c r="A233" s="28" t="str">
        <f t="shared" si="1"/>
        <v/>
      </c>
      <c r="B233" s="7"/>
      <c r="C233" s="7"/>
      <c r="D233" s="9"/>
      <c r="E233" s="9"/>
      <c r="F233" s="7"/>
      <c r="G233" s="7"/>
      <c r="H233" s="7"/>
      <c r="I233" s="7"/>
      <c r="J233" s="7"/>
      <c r="K233" s="7"/>
      <c r="L233" s="7"/>
      <c r="M233" s="7"/>
      <c r="N233" s="7"/>
      <c r="O233" s="7"/>
      <c r="P233" s="29"/>
      <c r="Q233" s="29"/>
      <c r="R233" s="7"/>
      <c r="S233" s="7"/>
      <c r="T233" s="7" t="str">
        <f ca="1">IFERROR(__xludf.DUMMYFUNCTION("SPARKLINE({
IF(D233="""",0,D233),
IF(F233="""",0,F233),
IF(H233="""",0,H233),
IF(J233="""",0,J233),
IF(L233="""",0,L233),
IF(N233="""",0,N233),
IF(P233="""",0,P233)
})"),"")</f>
        <v/>
      </c>
      <c r="U233" s="7" t="str">
        <f ca="1">IFERROR(__xludf.DUMMYFUNCTION("SPARKLINE({
IF(E233="""",0,E233),
IF(G233="""",0,G233),
IF(I233="""",0,I233),
IF(K233="""",0,K233),
IF(M233="""",0,M233),
IF(O233="""",0,O233),
IF(Q233="""",0,Q233)
})"),"")</f>
        <v/>
      </c>
      <c r="V233" s="8" t="e">
        <f t="array" aca="1" ref="V233" ca="1">IF($C$4="Giao",_xludf.Xlookup(C233,#REF!,#REF!,),_xludf.Xlookup(C233,#REF!,#REF!,))</f>
        <v>#NAME?</v>
      </c>
      <c r="W233" s="8" t="e">
        <f t="array" aca="1" ref="W233" ca="1">IF($C$4="Giao", _xludf.Xlookup(C233,#REF!,#REF!,),)</f>
        <v>#NAME?</v>
      </c>
      <c r="X233" s="9" t="e">
        <f t="shared" ca="1" si="2"/>
        <v>#NAME?</v>
      </c>
      <c r="Y233" s="7"/>
      <c r="Z233" s="7"/>
    </row>
    <row r="234" spans="1:26" ht="13" x14ac:dyDescent="0.6">
      <c r="A234" s="28" t="str">
        <f t="shared" si="1"/>
        <v/>
      </c>
      <c r="B234" s="7"/>
      <c r="C234" s="7"/>
      <c r="D234" s="9"/>
      <c r="E234" s="9"/>
      <c r="F234" s="7"/>
      <c r="G234" s="7"/>
      <c r="H234" s="7"/>
      <c r="I234" s="7"/>
      <c r="J234" s="7"/>
      <c r="K234" s="7"/>
      <c r="L234" s="7"/>
      <c r="M234" s="7"/>
      <c r="N234" s="7"/>
      <c r="O234" s="7"/>
      <c r="P234" s="29"/>
      <c r="Q234" s="29"/>
      <c r="R234" s="7"/>
      <c r="S234" s="7"/>
      <c r="T234" s="7" t="str">
        <f ca="1">IFERROR(__xludf.DUMMYFUNCTION("SPARKLINE({
IF(D234="""",0,D234),
IF(F234="""",0,F234),
IF(H234="""",0,H234),
IF(J234="""",0,J234),
IF(L234="""",0,L234),
IF(N234="""",0,N234),
IF(P234="""",0,P234)
})"),"")</f>
        <v/>
      </c>
      <c r="U234" s="7" t="str">
        <f ca="1">IFERROR(__xludf.DUMMYFUNCTION("SPARKLINE({
IF(E234="""",0,E234),
IF(G234="""",0,G234),
IF(I234="""",0,I234),
IF(K234="""",0,K234),
IF(M234="""",0,M234),
IF(O234="""",0,O234),
IF(Q234="""",0,Q234)
})"),"")</f>
        <v/>
      </c>
      <c r="V234" s="8" t="e">
        <f t="array" aca="1" ref="V234" ca="1">IF($C$4="Giao",_xludf.Xlookup(C234,#REF!,#REF!,),_xludf.Xlookup(C234,#REF!,#REF!,))</f>
        <v>#NAME?</v>
      </c>
      <c r="W234" s="8" t="e">
        <f t="array" aca="1" ref="W234" ca="1">IF($C$4="Giao", _xludf.Xlookup(C234,#REF!,#REF!,),)</f>
        <v>#NAME?</v>
      </c>
      <c r="X234" s="9" t="e">
        <f t="shared" ca="1" si="2"/>
        <v>#NAME?</v>
      </c>
      <c r="Y234" s="7"/>
      <c r="Z234" s="7"/>
    </row>
    <row r="235" spans="1:26" ht="13" x14ac:dyDescent="0.6">
      <c r="A235" s="28" t="str">
        <f t="shared" si="1"/>
        <v/>
      </c>
      <c r="B235" s="7"/>
      <c r="C235" s="7"/>
      <c r="D235" s="9"/>
      <c r="E235" s="9"/>
      <c r="F235" s="7"/>
      <c r="G235" s="7"/>
      <c r="H235" s="7"/>
      <c r="I235" s="7"/>
      <c r="J235" s="7"/>
      <c r="K235" s="7"/>
      <c r="L235" s="7"/>
      <c r="M235" s="7"/>
      <c r="N235" s="7"/>
      <c r="O235" s="7"/>
      <c r="P235" s="29"/>
      <c r="Q235" s="29"/>
      <c r="R235" s="7"/>
      <c r="S235" s="7"/>
      <c r="T235" s="7" t="str">
        <f ca="1">IFERROR(__xludf.DUMMYFUNCTION("SPARKLINE({
IF(D235="""",0,D235),
IF(F235="""",0,F235),
IF(H235="""",0,H235),
IF(J235="""",0,J235),
IF(L235="""",0,L235),
IF(N235="""",0,N235),
IF(P235="""",0,P235)
})"),"")</f>
        <v/>
      </c>
      <c r="U235" s="7" t="str">
        <f ca="1">IFERROR(__xludf.DUMMYFUNCTION("SPARKLINE({
IF(E235="""",0,E235),
IF(G235="""",0,G235),
IF(I235="""",0,I235),
IF(K235="""",0,K235),
IF(M235="""",0,M235),
IF(O235="""",0,O235),
IF(Q235="""",0,Q235)
})"),"")</f>
        <v/>
      </c>
      <c r="V235" s="8" t="e">
        <f t="array" aca="1" ref="V235" ca="1">IF($C$4="Giao",_xludf.Xlookup(C235,#REF!,#REF!,),_xludf.Xlookup(C235,#REF!,#REF!,))</f>
        <v>#NAME?</v>
      </c>
      <c r="W235" s="8" t="e">
        <f t="array" aca="1" ref="W235" ca="1">IF($C$4="Giao", _xludf.Xlookup(C235,#REF!,#REF!,),)</f>
        <v>#NAME?</v>
      </c>
      <c r="X235" s="9" t="e">
        <f t="shared" ca="1" si="2"/>
        <v>#NAME?</v>
      </c>
      <c r="Y235" s="7"/>
      <c r="Z235" s="7"/>
    </row>
    <row r="236" spans="1:26" ht="13" x14ac:dyDescent="0.6">
      <c r="A236" s="28" t="str">
        <f t="shared" si="1"/>
        <v/>
      </c>
      <c r="B236" s="7"/>
      <c r="C236" s="7"/>
      <c r="D236" s="9"/>
      <c r="E236" s="9"/>
      <c r="F236" s="7"/>
      <c r="G236" s="7"/>
      <c r="H236" s="7"/>
      <c r="I236" s="7"/>
      <c r="J236" s="7"/>
      <c r="K236" s="7"/>
      <c r="L236" s="7"/>
      <c r="M236" s="7"/>
      <c r="N236" s="7"/>
      <c r="O236" s="7"/>
      <c r="P236" s="29"/>
      <c r="Q236" s="29"/>
      <c r="R236" s="7"/>
      <c r="S236" s="7"/>
      <c r="T236" s="7" t="str">
        <f ca="1">IFERROR(__xludf.DUMMYFUNCTION("SPARKLINE({
IF(D236="""",0,D236),
IF(F236="""",0,F236),
IF(H236="""",0,H236),
IF(J236="""",0,J236),
IF(L236="""",0,L236),
IF(N236="""",0,N236),
IF(P236="""",0,P236)
})"),"")</f>
        <v/>
      </c>
      <c r="U236" s="7" t="str">
        <f ca="1">IFERROR(__xludf.DUMMYFUNCTION("SPARKLINE({
IF(E236="""",0,E236),
IF(G236="""",0,G236),
IF(I236="""",0,I236),
IF(K236="""",0,K236),
IF(M236="""",0,M236),
IF(O236="""",0,O236),
IF(Q236="""",0,Q236)
})"),"")</f>
        <v/>
      </c>
      <c r="V236" s="8" t="e">
        <f t="array" aca="1" ref="V236" ca="1">IF($C$4="Giao",_xludf.Xlookup(C236,#REF!,#REF!,),_xludf.Xlookup(C236,#REF!,#REF!,))</f>
        <v>#NAME?</v>
      </c>
      <c r="W236" s="8" t="e">
        <f t="array" aca="1" ref="W236" ca="1">IF($C$4="Giao", _xludf.Xlookup(C236,#REF!,#REF!,),)</f>
        <v>#NAME?</v>
      </c>
      <c r="X236" s="9" t="e">
        <f t="shared" ca="1" si="2"/>
        <v>#NAME?</v>
      </c>
      <c r="Y236" s="7"/>
      <c r="Z236" s="7"/>
    </row>
    <row r="237" spans="1:26" ht="13" x14ac:dyDescent="0.6">
      <c r="A237" s="28" t="str">
        <f t="shared" si="1"/>
        <v/>
      </c>
      <c r="B237" s="7"/>
      <c r="C237" s="7"/>
      <c r="D237" s="9"/>
      <c r="E237" s="9"/>
      <c r="F237" s="7"/>
      <c r="G237" s="7"/>
      <c r="H237" s="7"/>
      <c r="I237" s="7"/>
      <c r="J237" s="7"/>
      <c r="K237" s="7"/>
      <c r="L237" s="7"/>
      <c r="M237" s="7"/>
      <c r="N237" s="7"/>
      <c r="O237" s="7"/>
      <c r="P237" s="29"/>
      <c r="Q237" s="29"/>
      <c r="R237" s="7"/>
      <c r="S237" s="7"/>
      <c r="T237" s="7" t="str">
        <f ca="1">IFERROR(__xludf.DUMMYFUNCTION("SPARKLINE({
IF(D237="""",0,D237),
IF(F237="""",0,F237),
IF(H237="""",0,H237),
IF(J237="""",0,J237),
IF(L237="""",0,L237),
IF(N237="""",0,N237),
IF(P237="""",0,P237)
})"),"")</f>
        <v/>
      </c>
      <c r="U237" s="7" t="str">
        <f ca="1">IFERROR(__xludf.DUMMYFUNCTION("SPARKLINE({
IF(E237="""",0,E237),
IF(G237="""",0,G237),
IF(I237="""",0,I237),
IF(K237="""",0,K237),
IF(M237="""",0,M237),
IF(O237="""",0,O237),
IF(Q237="""",0,Q237)
})"),"")</f>
        <v/>
      </c>
      <c r="V237" s="8" t="e">
        <f t="array" aca="1" ref="V237" ca="1">IF($C$4="Giao",_xludf.Xlookup(C237,#REF!,#REF!,),_xludf.Xlookup(C237,#REF!,#REF!,))</f>
        <v>#NAME?</v>
      </c>
      <c r="W237" s="8" t="e">
        <f t="array" aca="1" ref="W237" ca="1">IF($C$4="Giao", _xludf.Xlookup(C237,#REF!,#REF!,),)</f>
        <v>#NAME?</v>
      </c>
      <c r="X237" s="9" t="e">
        <f t="shared" ca="1" si="2"/>
        <v>#NAME?</v>
      </c>
      <c r="Y237" s="7"/>
      <c r="Z237" s="7"/>
    </row>
    <row r="238" spans="1:26" ht="13" x14ac:dyDescent="0.6">
      <c r="A238" s="28" t="str">
        <f t="shared" si="1"/>
        <v/>
      </c>
      <c r="B238" s="7"/>
      <c r="C238" s="7"/>
      <c r="D238" s="9"/>
      <c r="E238" s="9"/>
      <c r="F238" s="7"/>
      <c r="G238" s="7"/>
      <c r="H238" s="7"/>
      <c r="I238" s="7"/>
      <c r="J238" s="7"/>
      <c r="K238" s="7"/>
      <c r="L238" s="7"/>
      <c r="M238" s="7"/>
      <c r="N238" s="7"/>
      <c r="O238" s="7"/>
      <c r="P238" s="29"/>
      <c r="Q238" s="29"/>
      <c r="R238" s="7"/>
      <c r="S238" s="7"/>
      <c r="T238" s="7" t="str">
        <f ca="1">IFERROR(__xludf.DUMMYFUNCTION("SPARKLINE({
IF(D238="""",0,D238),
IF(F238="""",0,F238),
IF(H238="""",0,H238),
IF(J238="""",0,J238),
IF(L238="""",0,L238),
IF(N238="""",0,N238),
IF(P238="""",0,P238)
})"),"")</f>
        <v/>
      </c>
      <c r="U238" s="7" t="str">
        <f ca="1">IFERROR(__xludf.DUMMYFUNCTION("SPARKLINE({
IF(E238="""",0,E238),
IF(G238="""",0,G238),
IF(I238="""",0,I238),
IF(K238="""",0,K238),
IF(M238="""",0,M238),
IF(O238="""",0,O238),
IF(Q238="""",0,Q238)
})"),"")</f>
        <v/>
      </c>
      <c r="V238" s="8" t="e">
        <f t="array" aca="1" ref="V238" ca="1">IF($C$4="Giao",_xludf.Xlookup(C238,#REF!,#REF!,),_xludf.Xlookup(C238,#REF!,#REF!,))</f>
        <v>#NAME?</v>
      </c>
      <c r="W238" s="8" t="e">
        <f t="array" aca="1" ref="W238" ca="1">IF($C$4="Giao", _xludf.Xlookup(C238,#REF!,#REF!,),)</f>
        <v>#NAME?</v>
      </c>
      <c r="X238" s="9" t="e">
        <f t="shared" ca="1" si="2"/>
        <v>#NAME?</v>
      </c>
      <c r="Y238" s="7"/>
      <c r="Z238" s="7"/>
    </row>
    <row r="239" spans="1:26" ht="13" x14ac:dyDescent="0.6">
      <c r="A239" s="28" t="str">
        <f t="shared" si="1"/>
        <v/>
      </c>
      <c r="B239" s="7"/>
      <c r="C239" s="7"/>
      <c r="D239" s="9"/>
      <c r="E239" s="9"/>
      <c r="F239" s="7"/>
      <c r="G239" s="7"/>
      <c r="H239" s="7"/>
      <c r="I239" s="7"/>
      <c r="J239" s="7"/>
      <c r="K239" s="7"/>
      <c r="L239" s="7"/>
      <c r="M239" s="7"/>
      <c r="N239" s="7"/>
      <c r="O239" s="7"/>
      <c r="P239" s="29"/>
      <c r="Q239" s="29"/>
      <c r="R239" s="7"/>
      <c r="S239" s="7"/>
      <c r="T239" s="7" t="str">
        <f ca="1">IFERROR(__xludf.DUMMYFUNCTION("SPARKLINE({
IF(D239="""",0,D239),
IF(F239="""",0,F239),
IF(H239="""",0,H239),
IF(J239="""",0,J239),
IF(L239="""",0,L239),
IF(N239="""",0,N239),
IF(P239="""",0,P239)
})"),"")</f>
        <v/>
      </c>
      <c r="U239" s="7" t="str">
        <f ca="1">IFERROR(__xludf.DUMMYFUNCTION("SPARKLINE({
IF(E239="""",0,E239),
IF(G239="""",0,G239),
IF(I239="""",0,I239),
IF(K239="""",0,K239),
IF(M239="""",0,M239),
IF(O239="""",0,O239),
IF(Q239="""",0,Q239)
})"),"")</f>
        <v/>
      </c>
      <c r="V239" s="8" t="e">
        <f t="array" aca="1" ref="V239" ca="1">IF($C$4="Giao",_xludf.Xlookup(C239,#REF!,#REF!,),_xludf.Xlookup(C239,#REF!,#REF!,))</f>
        <v>#NAME?</v>
      </c>
      <c r="W239" s="8" t="e">
        <f t="array" aca="1" ref="W239" ca="1">IF($C$4="Giao", _xludf.Xlookup(C239,#REF!,#REF!,),)</f>
        <v>#NAME?</v>
      </c>
      <c r="X239" s="9" t="e">
        <f t="shared" ca="1" si="2"/>
        <v>#NAME?</v>
      </c>
      <c r="Y239" s="7"/>
      <c r="Z239" s="7"/>
    </row>
    <row r="240" spans="1:26" ht="13" x14ac:dyDescent="0.6">
      <c r="A240" s="28" t="str">
        <f t="shared" si="1"/>
        <v/>
      </c>
      <c r="B240" s="7"/>
      <c r="C240" s="7"/>
      <c r="D240" s="9"/>
      <c r="E240" s="9"/>
      <c r="F240" s="7"/>
      <c r="G240" s="7"/>
      <c r="H240" s="7"/>
      <c r="I240" s="7"/>
      <c r="J240" s="7"/>
      <c r="K240" s="7"/>
      <c r="L240" s="7"/>
      <c r="M240" s="7"/>
      <c r="N240" s="7"/>
      <c r="O240" s="7"/>
      <c r="P240" s="29"/>
      <c r="Q240" s="29"/>
      <c r="R240" s="7"/>
      <c r="S240" s="7"/>
      <c r="T240" s="7" t="str">
        <f ca="1">IFERROR(__xludf.DUMMYFUNCTION("SPARKLINE({
IF(D240="""",0,D240),
IF(F240="""",0,F240),
IF(H240="""",0,H240),
IF(J240="""",0,J240),
IF(L240="""",0,L240),
IF(N240="""",0,N240),
IF(P240="""",0,P240)
})"),"")</f>
        <v/>
      </c>
      <c r="U240" s="7" t="str">
        <f ca="1">IFERROR(__xludf.DUMMYFUNCTION("SPARKLINE({
IF(E240="""",0,E240),
IF(G240="""",0,G240),
IF(I240="""",0,I240),
IF(K240="""",0,K240),
IF(M240="""",0,M240),
IF(O240="""",0,O240),
IF(Q240="""",0,Q240)
})"),"")</f>
        <v/>
      </c>
      <c r="V240" s="8" t="e">
        <f t="array" aca="1" ref="V240" ca="1">IF($C$4="Giao",_xludf.Xlookup(C240,#REF!,#REF!,),_xludf.Xlookup(C240,#REF!,#REF!,))</f>
        <v>#NAME?</v>
      </c>
      <c r="W240" s="8" t="e">
        <f t="array" aca="1" ref="W240" ca="1">IF($C$4="Giao", _xludf.Xlookup(C240,#REF!,#REF!,),)</f>
        <v>#NAME?</v>
      </c>
      <c r="X240" s="9" t="e">
        <f t="shared" ca="1" si="2"/>
        <v>#NAME?</v>
      </c>
      <c r="Y240" s="7"/>
      <c r="Z240" s="7"/>
    </row>
    <row r="241" spans="1:26" ht="13" x14ac:dyDescent="0.6">
      <c r="A241" s="28" t="str">
        <f t="shared" si="1"/>
        <v/>
      </c>
      <c r="B241" s="7"/>
      <c r="C241" s="7"/>
      <c r="D241" s="9"/>
      <c r="E241" s="9"/>
      <c r="F241" s="7"/>
      <c r="G241" s="7"/>
      <c r="H241" s="7"/>
      <c r="I241" s="7"/>
      <c r="J241" s="7"/>
      <c r="K241" s="7"/>
      <c r="L241" s="7"/>
      <c r="M241" s="7"/>
      <c r="N241" s="7"/>
      <c r="O241" s="7"/>
      <c r="P241" s="29"/>
      <c r="Q241" s="29"/>
      <c r="R241" s="7"/>
      <c r="S241" s="7"/>
      <c r="T241" s="7" t="str">
        <f ca="1">IFERROR(__xludf.DUMMYFUNCTION("SPARKLINE({
IF(D241="""",0,D241),
IF(F241="""",0,F241),
IF(H241="""",0,H241),
IF(J241="""",0,J241),
IF(L241="""",0,L241),
IF(N241="""",0,N241),
IF(P241="""",0,P241)
})"),"")</f>
        <v/>
      </c>
      <c r="U241" s="7" t="str">
        <f ca="1">IFERROR(__xludf.DUMMYFUNCTION("SPARKLINE({
IF(E241="""",0,E241),
IF(G241="""",0,G241),
IF(I241="""",0,I241),
IF(K241="""",0,K241),
IF(M241="""",0,M241),
IF(O241="""",0,O241),
IF(Q241="""",0,Q241)
})"),"")</f>
        <v/>
      </c>
      <c r="V241" s="8" t="e">
        <f t="array" aca="1" ref="V241" ca="1">IF($C$4="Giao",_xludf.Xlookup(C241,#REF!,#REF!,),_xludf.Xlookup(C241,#REF!,#REF!,))</f>
        <v>#NAME?</v>
      </c>
      <c r="W241" s="8" t="e">
        <f t="array" aca="1" ref="W241" ca="1">IF($C$4="Giao", _xludf.Xlookup(C241,#REF!,#REF!,),)</f>
        <v>#NAME?</v>
      </c>
      <c r="X241" s="9" t="e">
        <f t="shared" ca="1" si="2"/>
        <v>#NAME?</v>
      </c>
      <c r="Y241" s="7"/>
      <c r="Z241" s="7"/>
    </row>
    <row r="242" spans="1:26" ht="13" x14ac:dyDescent="0.6">
      <c r="A242" s="28" t="str">
        <f t="shared" si="1"/>
        <v/>
      </c>
      <c r="B242" s="7"/>
      <c r="C242" s="7"/>
      <c r="D242" s="9"/>
      <c r="E242" s="9"/>
      <c r="F242" s="7"/>
      <c r="G242" s="7"/>
      <c r="H242" s="7"/>
      <c r="I242" s="7"/>
      <c r="J242" s="7"/>
      <c r="K242" s="7"/>
      <c r="L242" s="7"/>
      <c r="M242" s="7"/>
      <c r="N242" s="7"/>
      <c r="O242" s="7"/>
      <c r="P242" s="29"/>
      <c r="Q242" s="29"/>
      <c r="R242" s="7"/>
      <c r="S242" s="7"/>
      <c r="T242" s="7" t="str">
        <f ca="1">IFERROR(__xludf.DUMMYFUNCTION("SPARKLINE({
IF(D242="""",0,D242),
IF(F242="""",0,F242),
IF(H242="""",0,H242),
IF(J242="""",0,J242),
IF(L242="""",0,L242),
IF(N242="""",0,N242),
IF(P242="""",0,P242)
})"),"")</f>
        <v/>
      </c>
      <c r="U242" s="7" t="str">
        <f ca="1">IFERROR(__xludf.DUMMYFUNCTION("SPARKLINE({
IF(E242="""",0,E242),
IF(G242="""",0,G242),
IF(I242="""",0,I242),
IF(K242="""",0,K242),
IF(M242="""",0,M242),
IF(O242="""",0,O242),
IF(Q242="""",0,Q242)
})"),"")</f>
        <v/>
      </c>
      <c r="V242" s="8" t="e">
        <f t="array" aca="1" ref="V242" ca="1">IF($C$4="Giao",_xludf.Xlookup(C242,#REF!,#REF!,),_xludf.Xlookup(C242,#REF!,#REF!,))</f>
        <v>#NAME?</v>
      </c>
      <c r="W242" s="8" t="e">
        <f t="array" aca="1" ref="W242" ca="1">IF($C$4="Giao", _xludf.Xlookup(C242,#REF!,#REF!,),)</f>
        <v>#NAME?</v>
      </c>
      <c r="X242" s="9" t="e">
        <f t="shared" ca="1" si="2"/>
        <v>#NAME?</v>
      </c>
      <c r="Y242" s="7"/>
      <c r="Z242" s="7"/>
    </row>
    <row r="243" spans="1:26" ht="13" x14ac:dyDescent="0.6">
      <c r="A243" s="28" t="str">
        <f t="shared" si="1"/>
        <v/>
      </c>
      <c r="B243" s="7"/>
      <c r="C243" s="7"/>
      <c r="D243" s="9"/>
      <c r="E243" s="9"/>
      <c r="F243" s="7"/>
      <c r="G243" s="7"/>
      <c r="H243" s="7"/>
      <c r="I243" s="7"/>
      <c r="J243" s="7"/>
      <c r="K243" s="7"/>
      <c r="L243" s="7"/>
      <c r="M243" s="7"/>
      <c r="N243" s="7"/>
      <c r="O243" s="7"/>
      <c r="P243" s="29"/>
      <c r="Q243" s="29"/>
      <c r="R243" s="7"/>
      <c r="S243" s="7"/>
      <c r="T243" s="7" t="str">
        <f ca="1">IFERROR(__xludf.DUMMYFUNCTION("SPARKLINE({
IF(D243="""",0,D243),
IF(F243="""",0,F243),
IF(H243="""",0,H243),
IF(J243="""",0,J243),
IF(L243="""",0,L243),
IF(N243="""",0,N243),
IF(P243="""",0,P243)
})"),"")</f>
        <v/>
      </c>
      <c r="U243" s="7" t="str">
        <f ca="1">IFERROR(__xludf.DUMMYFUNCTION("SPARKLINE({
IF(E243="""",0,E243),
IF(G243="""",0,G243),
IF(I243="""",0,I243),
IF(K243="""",0,K243),
IF(M243="""",0,M243),
IF(O243="""",0,O243),
IF(Q243="""",0,Q243)
})"),"")</f>
        <v/>
      </c>
      <c r="V243" s="8" t="e">
        <f t="array" aca="1" ref="V243" ca="1">IF($C$4="Giao",_xludf.Xlookup(C243,#REF!,#REF!,),_xludf.Xlookup(C243,#REF!,#REF!,))</f>
        <v>#NAME?</v>
      </c>
      <c r="W243" s="8" t="e">
        <f t="array" aca="1" ref="W243" ca="1">IF($C$4="Giao", _xludf.Xlookup(C243,#REF!,#REF!,),)</f>
        <v>#NAME?</v>
      </c>
      <c r="X243" s="9" t="e">
        <f t="shared" ca="1" si="2"/>
        <v>#NAME?</v>
      </c>
      <c r="Y243" s="7"/>
      <c r="Z243" s="7"/>
    </row>
    <row r="244" spans="1:26" ht="13" x14ac:dyDescent="0.6">
      <c r="A244" s="28" t="str">
        <f t="shared" si="1"/>
        <v/>
      </c>
      <c r="B244" s="7"/>
      <c r="C244" s="7"/>
      <c r="D244" s="9"/>
      <c r="E244" s="9"/>
      <c r="F244" s="7"/>
      <c r="G244" s="7"/>
      <c r="H244" s="7"/>
      <c r="I244" s="7"/>
      <c r="J244" s="7"/>
      <c r="K244" s="7"/>
      <c r="L244" s="7"/>
      <c r="M244" s="7"/>
      <c r="N244" s="7"/>
      <c r="O244" s="7"/>
      <c r="P244" s="29"/>
      <c r="Q244" s="29"/>
      <c r="R244" s="7"/>
      <c r="S244" s="7"/>
      <c r="T244" s="7" t="str">
        <f ca="1">IFERROR(__xludf.DUMMYFUNCTION("SPARKLINE({
IF(D244="""",0,D244),
IF(F244="""",0,F244),
IF(H244="""",0,H244),
IF(J244="""",0,J244),
IF(L244="""",0,L244),
IF(N244="""",0,N244),
IF(P244="""",0,P244)
})"),"")</f>
        <v/>
      </c>
      <c r="U244" s="7" t="str">
        <f ca="1">IFERROR(__xludf.DUMMYFUNCTION("SPARKLINE({
IF(E244="""",0,E244),
IF(G244="""",0,G244),
IF(I244="""",0,I244),
IF(K244="""",0,K244),
IF(M244="""",0,M244),
IF(O244="""",0,O244),
IF(Q244="""",0,Q244)
})"),"")</f>
        <v/>
      </c>
      <c r="V244" s="8" t="e">
        <f t="array" aca="1" ref="V244" ca="1">IF($C$4="Giao",_xludf.Xlookup(C244,#REF!,#REF!,),_xludf.Xlookup(C244,#REF!,#REF!,))</f>
        <v>#NAME?</v>
      </c>
      <c r="W244" s="8" t="e">
        <f t="array" aca="1" ref="W244" ca="1">IF($C$4="Giao", _xludf.Xlookup(C244,#REF!,#REF!,),)</f>
        <v>#NAME?</v>
      </c>
      <c r="X244" s="9" t="e">
        <f t="shared" ca="1" si="2"/>
        <v>#NAME?</v>
      </c>
      <c r="Y244" s="7"/>
      <c r="Z244" s="7"/>
    </row>
    <row r="245" spans="1:26" ht="13" x14ac:dyDescent="0.6">
      <c r="A245" s="28" t="str">
        <f t="shared" si="1"/>
        <v/>
      </c>
      <c r="B245" s="7"/>
      <c r="C245" s="7"/>
      <c r="D245" s="9"/>
      <c r="E245" s="9"/>
      <c r="F245" s="7"/>
      <c r="G245" s="7"/>
      <c r="H245" s="7"/>
      <c r="I245" s="7"/>
      <c r="J245" s="7"/>
      <c r="K245" s="7"/>
      <c r="L245" s="7"/>
      <c r="M245" s="7"/>
      <c r="N245" s="7"/>
      <c r="O245" s="7"/>
      <c r="P245" s="29"/>
      <c r="Q245" s="29"/>
      <c r="R245" s="7"/>
      <c r="S245" s="7"/>
      <c r="T245" s="7" t="str">
        <f ca="1">IFERROR(__xludf.DUMMYFUNCTION("SPARKLINE({
IF(D245="""",0,D245),
IF(F245="""",0,F245),
IF(H245="""",0,H245),
IF(J245="""",0,J245),
IF(L245="""",0,L245),
IF(N245="""",0,N245),
IF(P245="""",0,P245)
})"),"")</f>
        <v/>
      </c>
      <c r="U245" s="7" t="str">
        <f ca="1">IFERROR(__xludf.DUMMYFUNCTION("SPARKLINE({
IF(E245="""",0,E245),
IF(G245="""",0,G245),
IF(I245="""",0,I245),
IF(K245="""",0,K245),
IF(M245="""",0,M245),
IF(O245="""",0,O245),
IF(Q245="""",0,Q245)
})"),"")</f>
        <v/>
      </c>
      <c r="V245" s="8" t="e">
        <f t="array" aca="1" ref="V245" ca="1">IF($C$4="Giao",_xludf.Xlookup(C245,#REF!,#REF!,),_xludf.Xlookup(C245,#REF!,#REF!,))</f>
        <v>#NAME?</v>
      </c>
      <c r="W245" s="8" t="e">
        <f t="array" aca="1" ref="W245" ca="1">IF($C$4="Giao", _xludf.Xlookup(C245,#REF!,#REF!,),)</f>
        <v>#NAME?</v>
      </c>
      <c r="X245" s="9" t="e">
        <f t="shared" ca="1" si="2"/>
        <v>#NAME?</v>
      </c>
      <c r="Y245" s="7"/>
      <c r="Z245" s="7"/>
    </row>
    <row r="246" spans="1:26" ht="13" x14ac:dyDescent="0.6">
      <c r="A246" s="28" t="str">
        <f t="shared" si="1"/>
        <v/>
      </c>
      <c r="B246" s="7"/>
      <c r="C246" s="7"/>
      <c r="D246" s="9"/>
      <c r="E246" s="9"/>
      <c r="F246" s="7"/>
      <c r="G246" s="7"/>
      <c r="H246" s="7"/>
      <c r="I246" s="7"/>
      <c r="J246" s="7"/>
      <c r="K246" s="7"/>
      <c r="L246" s="7"/>
      <c r="M246" s="7"/>
      <c r="N246" s="7"/>
      <c r="O246" s="7"/>
      <c r="P246" s="29"/>
      <c r="Q246" s="29"/>
      <c r="R246" s="7"/>
      <c r="S246" s="7"/>
      <c r="T246" s="7" t="str">
        <f ca="1">IFERROR(__xludf.DUMMYFUNCTION("SPARKLINE({
IF(D246="""",0,D246),
IF(F246="""",0,F246),
IF(H246="""",0,H246),
IF(J246="""",0,J246),
IF(L246="""",0,L246),
IF(N246="""",0,N246),
IF(P246="""",0,P246)
})"),"")</f>
        <v/>
      </c>
      <c r="U246" s="7" t="str">
        <f ca="1">IFERROR(__xludf.DUMMYFUNCTION("SPARKLINE({
IF(E246="""",0,E246),
IF(G246="""",0,G246),
IF(I246="""",0,I246),
IF(K246="""",0,K246),
IF(M246="""",0,M246),
IF(O246="""",0,O246),
IF(Q246="""",0,Q246)
})"),"")</f>
        <v/>
      </c>
      <c r="V246" s="8" t="e">
        <f t="array" aca="1" ref="V246" ca="1">IF($C$4="Giao",_xludf.Xlookup(C246,#REF!,#REF!,),_xludf.Xlookup(C246,#REF!,#REF!,))</f>
        <v>#NAME?</v>
      </c>
      <c r="W246" s="8" t="e">
        <f t="array" aca="1" ref="W246" ca="1">IF($C$4="Giao", _xludf.Xlookup(C246,#REF!,#REF!,),)</f>
        <v>#NAME?</v>
      </c>
      <c r="X246" s="9" t="e">
        <f t="shared" ca="1" si="2"/>
        <v>#NAME?</v>
      </c>
      <c r="Y246" s="7"/>
      <c r="Z246" s="7"/>
    </row>
    <row r="247" spans="1:26" ht="13" x14ac:dyDescent="0.6">
      <c r="A247" s="28" t="str">
        <f t="shared" si="1"/>
        <v/>
      </c>
      <c r="B247" s="7"/>
      <c r="C247" s="7"/>
      <c r="D247" s="9"/>
      <c r="E247" s="9"/>
      <c r="F247" s="7"/>
      <c r="G247" s="7"/>
      <c r="H247" s="7"/>
      <c r="I247" s="7"/>
      <c r="J247" s="7"/>
      <c r="K247" s="7"/>
      <c r="L247" s="7"/>
      <c r="M247" s="7"/>
      <c r="N247" s="7"/>
      <c r="O247" s="7"/>
      <c r="P247" s="29"/>
      <c r="Q247" s="29"/>
      <c r="R247" s="7"/>
      <c r="S247" s="7"/>
      <c r="T247" s="7" t="str">
        <f ca="1">IFERROR(__xludf.DUMMYFUNCTION("SPARKLINE({
IF(D247="""",0,D247),
IF(F247="""",0,F247),
IF(H247="""",0,H247),
IF(J247="""",0,J247),
IF(L247="""",0,L247),
IF(N247="""",0,N247),
IF(P247="""",0,P247)
})"),"")</f>
        <v/>
      </c>
      <c r="U247" s="7" t="str">
        <f ca="1">IFERROR(__xludf.DUMMYFUNCTION("SPARKLINE({
IF(E247="""",0,E247),
IF(G247="""",0,G247),
IF(I247="""",0,I247),
IF(K247="""",0,K247),
IF(M247="""",0,M247),
IF(O247="""",0,O247),
IF(Q247="""",0,Q247)
})"),"")</f>
        <v/>
      </c>
      <c r="V247" s="8" t="e">
        <f t="array" aca="1" ref="V247" ca="1">IF($C$4="Giao",_xludf.Xlookup(C247,#REF!,#REF!,),_xludf.Xlookup(C247,#REF!,#REF!,))</f>
        <v>#NAME?</v>
      </c>
      <c r="W247" s="8" t="e">
        <f t="array" aca="1" ref="W247" ca="1">IF($C$4="Giao", _xludf.Xlookup(C247,#REF!,#REF!,),)</f>
        <v>#NAME?</v>
      </c>
      <c r="X247" s="9" t="e">
        <f t="shared" ca="1" si="2"/>
        <v>#NAME?</v>
      </c>
      <c r="Y247" s="7"/>
      <c r="Z247" s="7"/>
    </row>
    <row r="248" spans="1:26" ht="13" x14ac:dyDescent="0.6">
      <c r="A248" s="28" t="str">
        <f t="shared" si="1"/>
        <v/>
      </c>
      <c r="B248" s="7"/>
      <c r="C248" s="7"/>
      <c r="D248" s="9"/>
      <c r="E248" s="9"/>
      <c r="F248" s="7"/>
      <c r="G248" s="7"/>
      <c r="H248" s="7"/>
      <c r="I248" s="7"/>
      <c r="J248" s="7"/>
      <c r="K248" s="7"/>
      <c r="L248" s="7"/>
      <c r="M248" s="7"/>
      <c r="N248" s="7"/>
      <c r="O248" s="7"/>
      <c r="P248" s="29"/>
      <c r="Q248" s="29"/>
      <c r="R248" s="7"/>
      <c r="S248" s="7"/>
      <c r="T248" s="7" t="str">
        <f ca="1">IFERROR(__xludf.DUMMYFUNCTION("SPARKLINE({
IF(D248="""",0,D248),
IF(F248="""",0,F248),
IF(H248="""",0,H248),
IF(J248="""",0,J248),
IF(L248="""",0,L248),
IF(N248="""",0,N248),
IF(P248="""",0,P248)
})"),"")</f>
        <v/>
      </c>
      <c r="U248" s="7" t="str">
        <f ca="1">IFERROR(__xludf.DUMMYFUNCTION("SPARKLINE({
IF(E248="""",0,E248),
IF(G248="""",0,G248),
IF(I248="""",0,I248),
IF(K248="""",0,K248),
IF(M248="""",0,M248),
IF(O248="""",0,O248),
IF(Q248="""",0,Q248)
})"),"")</f>
        <v/>
      </c>
      <c r="V248" s="8" t="e">
        <f t="array" aca="1" ref="V248" ca="1">IF($C$4="Giao",_xludf.Xlookup(C248,#REF!,#REF!,),_xludf.Xlookup(C248,#REF!,#REF!,))</f>
        <v>#NAME?</v>
      </c>
      <c r="W248" s="8" t="e">
        <f t="array" aca="1" ref="W248" ca="1">IF($C$4="Giao", _xludf.Xlookup(C248,#REF!,#REF!,),)</f>
        <v>#NAME?</v>
      </c>
      <c r="X248" s="9" t="e">
        <f t="shared" ca="1" si="2"/>
        <v>#NAME?</v>
      </c>
      <c r="Y248" s="7"/>
      <c r="Z248" s="7"/>
    </row>
    <row r="249" spans="1:26" ht="13" x14ac:dyDescent="0.6">
      <c r="A249" s="28" t="str">
        <f t="shared" si="1"/>
        <v/>
      </c>
      <c r="B249" s="7"/>
      <c r="C249" s="7"/>
      <c r="D249" s="9"/>
      <c r="E249" s="9"/>
      <c r="F249" s="7"/>
      <c r="G249" s="7"/>
      <c r="H249" s="7"/>
      <c r="I249" s="7"/>
      <c r="J249" s="7"/>
      <c r="K249" s="7"/>
      <c r="L249" s="7"/>
      <c r="M249" s="7"/>
      <c r="N249" s="7"/>
      <c r="O249" s="7"/>
      <c r="P249" s="29"/>
      <c r="Q249" s="29"/>
      <c r="R249" s="7"/>
      <c r="S249" s="7"/>
      <c r="T249" s="7" t="str">
        <f ca="1">IFERROR(__xludf.DUMMYFUNCTION("SPARKLINE({
IF(D249="""",0,D249),
IF(F249="""",0,F249),
IF(H249="""",0,H249),
IF(J249="""",0,J249),
IF(L249="""",0,L249),
IF(N249="""",0,N249),
IF(P249="""",0,P249)
})"),"")</f>
        <v/>
      </c>
      <c r="U249" s="7" t="str">
        <f ca="1">IFERROR(__xludf.DUMMYFUNCTION("SPARKLINE({
IF(E249="""",0,E249),
IF(G249="""",0,G249),
IF(I249="""",0,I249),
IF(K249="""",0,K249),
IF(M249="""",0,M249),
IF(O249="""",0,O249),
IF(Q249="""",0,Q249)
})"),"")</f>
        <v/>
      </c>
      <c r="V249" s="8" t="e">
        <f t="array" aca="1" ref="V249" ca="1">IF($C$4="Giao",_xludf.Xlookup(C249,#REF!,#REF!,),_xludf.Xlookup(C249,#REF!,#REF!,))</f>
        <v>#NAME?</v>
      </c>
      <c r="W249" s="8" t="e">
        <f t="array" aca="1" ref="W249" ca="1">IF($C$4="Giao", _xludf.Xlookup(C249,#REF!,#REF!,),)</f>
        <v>#NAME?</v>
      </c>
      <c r="X249" s="9" t="e">
        <f t="shared" ca="1" si="2"/>
        <v>#NAME?</v>
      </c>
      <c r="Y249" s="7"/>
      <c r="Z249" s="7"/>
    </row>
    <row r="250" spans="1:26" ht="13" x14ac:dyDescent="0.6">
      <c r="A250" s="28" t="str">
        <f t="shared" si="1"/>
        <v/>
      </c>
      <c r="B250" s="7"/>
      <c r="C250" s="7"/>
      <c r="D250" s="9"/>
      <c r="E250" s="9"/>
      <c r="F250" s="7"/>
      <c r="G250" s="7"/>
      <c r="H250" s="7"/>
      <c r="I250" s="7"/>
      <c r="J250" s="7"/>
      <c r="K250" s="7"/>
      <c r="L250" s="7"/>
      <c r="M250" s="7"/>
      <c r="N250" s="7"/>
      <c r="O250" s="7"/>
      <c r="P250" s="29"/>
      <c r="Q250" s="29"/>
      <c r="R250" s="7"/>
      <c r="S250" s="7"/>
      <c r="T250" s="7" t="str">
        <f ca="1">IFERROR(__xludf.DUMMYFUNCTION("SPARKLINE({
IF(D250="""",0,D250),
IF(F250="""",0,F250),
IF(H250="""",0,H250),
IF(J250="""",0,J250),
IF(L250="""",0,L250),
IF(N250="""",0,N250),
IF(P250="""",0,P250)
})"),"")</f>
        <v/>
      </c>
      <c r="U250" s="7" t="str">
        <f ca="1">IFERROR(__xludf.DUMMYFUNCTION("SPARKLINE({
IF(E250="""",0,E250),
IF(G250="""",0,G250),
IF(I250="""",0,I250),
IF(K250="""",0,K250),
IF(M250="""",0,M250),
IF(O250="""",0,O250),
IF(Q250="""",0,Q250)
})"),"")</f>
        <v/>
      </c>
      <c r="V250" s="8" t="e">
        <f t="array" aca="1" ref="V250" ca="1">IF($C$4="Giao",_xludf.Xlookup(C250,#REF!,#REF!,),_xludf.Xlookup(C250,#REF!,#REF!,))</f>
        <v>#NAME?</v>
      </c>
      <c r="W250" s="8" t="e">
        <f t="array" aca="1" ref="W250" ca="1">IF($C$4="Giao", _xludf.Xlookup(C250,#REF!,#REF!,),)</f>
        <v>#NAME?</v>
      </c>
      <c r="X250" s="9" t="e">
        <f t="shared" ca="1" si="2"/>
        <v>#NAME?</v>
      </c>
      <c r="Y250" s="7"/>
      <c r="Z250" s="7"/>
    </row>
    <row r="251" spans="1:26" ht="13" x14ac:dyDescent="0.6">
      <c r="A251" s="28" t="str">
        <f t="shared" si="1"/>
        <v/>
      </c>
      <c r="B251" s="7"/>
      <c r="C251" s="7"/>
      <c r="D251" s="9"/>
      <c r="E251" s="9"/>
      <c r="F251" s="7"/>
      <c r="G251" s="7"/>
      <c r="H251" s="7"/>
      <c r="I251" s="7"/>
      <c r="J251" s="7"/>
      <c r="K251" s="7"/>
      <c r="L251" s="7"/>
      <c r="M251" s="7"/>
      <c r="N251" s="7"/>
      <c r="O251" s="7"/>
      <c r="P251" s="29"/>
      <c r="Q251" s="29"/>
      <c r="R251" s="7"/>
      <c r="S251" s="7"/>
      <c r="T251" s="7" t="str">
        <f ca="1">IFERROR(__xludf.DUMMYFUNCTION("SPARKLINE({
IF(D251="""",0,D251),
IF(F251="""",0,F251),
IF(H251="""",0,H251),
IF(J251="""",0,J251),
IF(L251="""",0,L251),
IF(N251="""",0,N251),
IF(P251="""",0,P251)
})"),"")</f>
        <v/>
      </c>
      <c r="U251" s="7" t="str">
        <f ca="1">IFERROR(__xludf.DUMMYFUNCTION("SPARKLINE({
IF(E251="""",0,E251),
IF(G251="""",0,G251),
IF(I251="""",0,I251),
IF(K251="""",0,K251),
IF(M251="""",0,M251),
IF(O251="""",0,O251),
IF(Q251="""",0,Q251)
})"),"")</f>
        <v/>
      </c>
      <c r="V251" s="8" t="e">
        <f t="array" aca="1" ref="V251" ca="1">IF($C$4="Giao",_xludf.Xlookup(C251,#REF!,#REF!,),_xludf.Xlookup(C251,#REF!,#REF!,))</f>
        <v>#NAME?</v>
      </c>
      <c r="W251" s="8" t="e">
        <f t="array" aca="1" ref="W251" ca="1">IF($C$4="Giao", _xludf.Xlookup(C251,#REF!,#REF!,),)</f>
        <v>#NAME?</v>
      </c>
      <c r="X251" s="9" t="e">
        <f t="shared" ca="1" si="2"/>
        <v>#NAME?</v>
      </c>
      <c r="Y251" s="7"/>
      <c r="Z251" s="7"/>
    </row>
    <row r="252" spans="1:26" ht="13" x14ac:dyDescent="0.6">
      <c r="A252" s="28" t="str">
        <f t="shared" si="1"/>
        <v/>
      </c>
      <c r="B252" s="7"/>
      <c r="C252" s="7"/>
      <c r="D252" s="9"/>
      <c r="E252" s="9"/>
      <c r="F252" s="7"/>
      <c r="G252" s="7"/>
      <c r="H252" s="7"/>
      <c r="I252" s="7"/>
      <c r="J252" s="7"/>
      <c r="K252" s="7"/>
      <c r="L252" s="7"/>
      <c r="M252" s="7"/>
      <c r="N252" s="7"/>
      <c r="O252" s="7"/>
      <c r="P252" s="29"/>
      <c r="Q252" s="29"/>
      <c r="R252" s="7"/>
      <c r="S252" s="7"/>
      <c r="T252" s="7" t="str">
        <f ca="1">IFERROR(__xludf.DUMMYFUNCTION("SPARKLINE({
IF(D252="""",0,D252),
IF(F252="""",0,F252),
IF(H252="""",0,H252),
IF(J252="""",0,J252),
IF(L252="""",0,L252),
IF(N252="""",0,N252),
IF(P252="""",0,P252)
})"),"")</f>
        <v/>
      </c>
      <c r="U252" s="7" t="str">
        <f ca="1">IFERROR(__xludf.DUMMYFUNCTION("SPARKLINE({
IF(E252="""",0,E252),
IF(G252="""",0,G252),
IF(I252="""",0,I252),
IF(K252="""",0,K252),
IF(M252="""",0,M252),
IF(O252="""",0,O252),
IF(Q252="""",0,Q252)
})"),"")</f>
        <v/>
      </c>
      <c r="V252" s="8" t="e">
        <f t="array" aca="1" ref="V252" ca="1">IF($C$4="Giao",_xludf.Xlookup(C252,#REF!,#REF!,),_xludf.Xlookup(C252,#REF!,#REF!,))</f>
        <v>#NAME?</v>
      </c>
      <c r="W252" s="8" t="e">
        <f t="array" aca="1" ref="W252" ca="1">IF($C$4="Giao", _xludf.Xlookup(C252,#REF!,#REF!,),)</f>
        <v>#NAME?</v>
      </c>
      <c r="X252" s="9" t="e">
        <f t="shared" ca="1" si="2"/>
        <v>#NAME?</v>
      </c>
      <c r="Y252" s="7"/>
      <c r="Z252" s="7"/>
    </row>
    <row r="253" spans="1:26" ht="13" x14ac:dyDescent="0.6">
      <c r="A253" s="28" t="str">
        <f t="shared" si="1"/>
        <v/>
      </c>
      <c r="B253" s="7"/>
      <c r="C253" s="7"/>
      <c r="D253" s="9"/>
      <c r="E253" s="9"/>
      <c r="F253" s="7"/>
      <c r="G253" s="7"/>
      <c r="H253" s="7"/>
      <c r="I253" s="7"/>
      <c r="J253" s="7"/>
      <c r="K253" s="7"/>
      <c r="L253" s="7"/>
      <c r="M253" s="7"/>
      <c r="N253" s="7"/>
      <c r="O253" s="7"/>
      <c r="P253" s="29"/>
      <c r="Q253" s="29"/>
      <c r="R253" s="7"/>
      <c r="S253" s="7"/>
      <c r="T253" s="7" t="str">
        <f ca="1">IFERROR(__xludf.DUMMYFUNCTION("SPARKLINE({
IF(D253="""",0,D253),
IF(F253="""",0,F253),
IF(H253="""",0,H253),
IF(J253="""",0,J253),
IF(L253="""",0,L253),
IF(N253="""",0,N253),
IF(P253="""",0,P253)
})"),"")</f>
        <v/>
      </c>
      <c r="U253" s="7" t="str">
        <f ca="1">IFERROR(__xludf.DUMMYFUNCTION("SPARKLINE({
IF(E253="""",0,E253),
IF(G253="""",0,G253),
IF(I253="""",0,I253),
IF(K253="""",0,K253),
IF(M253="""",0,M253),
IF(O253="""",0,O253),
IF(Q253="""",0,Q253)
})"),"")</f>
        <v/>
      </c>
      <c r="V253" s="8" t="e">
        <f t="array" aca="1" ref="V253" ca="1">IF($C$4="Giao",_xludf.Xlookup(C253,#REF!,#REF!,),_xludf.Xlookup(C253,#REF!,#REF!,))</f>
        <v>#NAME?</v>
      </c>
      <c r="W253" s="8" t="e">
        <f t="array" aca="1" ref="W253" ca="1">IF($C$4="Giao", _xludf.Xlookup(C253,#REF!,#REF!,),)</f>
        <v>#NAME?</v>
      </c>
      <c r="X253" s="9" t="e">
        <f t="shared" ca="1" si="2"/>
        <v>#NAME?</v>
      </c>
      <c r="Y253" s="7"/>
      <c r="Z253" s="7"/>
    </row>
    <row r="254" spans="1:26" ht="13" x14ac:dyDescent="0.6">
      <c r="A254" s="28" t="str">
        <f t="shared" si="1"/>
        <v/>
      </c>
      <c r="B254" s="7"/>
      <c r="C254" s="7"/>
      <c r="D254" s="9"/>
      <c r="E254" s="9"/>
      <c r="F254" s="7"/>
      <c r="G254" s="7"/>
      <c r="H254" s="7"/>
      <c r="I254" s="7"/>
      <c r="J254" s="7"/>
      <c r="K254" s="7"/>
      <c r="L254" s="7"/>
      <c r="M254" s="7"/>
      <c r="N254" s="7"/>
      <c r="O254" s="7"/>
      <c r="P254" s="29"/>
      <c r="Q254" s="29"/>
      <c r="R254" s="7"/>
      <c r="S254" s="7"/>
      <c r="T254" s="7" t="str">
        <f ca="1">IFERROR(__xludf.DUMMYFUNCTION("SPARKLINE({
IF(D254="""",0,D254),
IF(F254="""",0,F254),
IF(H254="""",0,H254),
IF(J254="""",0,J254),
IF(L254="""",0,L254),
IF(N254="""",0,N254),
IF(P254="""",0,P254)
})"),"")</f>
        <v/>
      </c>
      <c r="U254" s="7" t="str">
        <f ca="1">IFERROR(__xludf.DUMMYFUNCTION("SPARKLINE({
IF(E254="""",0,E254),
IF(G254="""",0,G254),
IF(I254="""",0,I254),
IF(K254="""",0,K254),
IF(M254="""",0,M254),
IF(O254="""",0,O254),
IF(Q254="""",0,Q254)
})"),"")</f>
        <v/>
      </c>
      <c r="V254" s="8" t="e">
        <f t="array" aca="1" ref="V254" ca="1">IF($C$4="Giao",_xludf.Xlookup(C254,#REF!,#REF!,),_xludf.Xlookup(C254,#REF!,#REF!,))</f>
        <v>#NAME?</v>
      </c>
      <c r="W254" s="8" t="e">
        <f t="array" aca="1" ref="W254" ca="1">IF($C$4="Giao", _xludf.Xlookup(C254,#REF!,#REF!,),)</f>
        <v>#NAME?</v>
      </c>
      <c r="X254" s="9" t="e">
        <f t="shared" ca="1" si="2"/>
        <v>#NAME?</v>
      </c>
      <c r="Y254" s="7"/>
      <c r="Z254" s="7"/>
    </row>
    <row r="255" spans="1:26" ht="13" x14ac:dyDescent="0.6">
      <c r="A255" s="28" t="str">
        <f t="shared" si="1"/>
        <v/>
      </c>
      <c r="B255" s="7"/>
      <c r="C255" s="7"/>
      <c r="D255" s="9"/>
      <c r="E255" s="9"/>
      <c r="F255" s="7"/>
      <c r="G255" s="7"/>
      <c r="H255" s="7"/>
      <c r="I255" s="7"/>
      <c r="J255" s="7"/>
      <c r="K255" s="7"/>
      <c r="L255" s="7"/>
      <c r="M255" s="7"/>
      <c r="N255" s="7"/>
      <c r="O255" s="7"/>
      <c r="P255" s="29"/>
      <c r="Q255" s="29"/>
      <c r="R255" s="7"/>
      <c r="S255" s="7"/>
      <c r="T255" s="7" t="str">
        <f ca="1">IFERROR(__xludf.DUMMYFUNCTION("SPARKLINE({
IF(D255="""",0,D255),
IF(F255="""",0,F255),
IF(H255="""",0,H255),
IF(J255="""",0,J255),
IF(L255="""",0,L255),
IF(N255="""",0,N255),
IF(P255="""",0,P255)
})"),"")</f>
        <v/>
      </c>
      <c r="U255" s="7" t="str">
        <f ca="1">IFERROR(__xludf.DUMMYFUNCTION("SPARKLINE({
IF(E255="""",0,E255),
IF(G255="""",0,G255),
IF(I255="""",0,I255),
IF(K255="""",0,K255),
IF(M255="""",0,M255),
IF(O255="""",0,O255),
IF(Q255="""",0,Q255)
})"),"")</f>
        <v/>
      </c>
      <c r="V255" s="8" t="e">
        <f t="array" aca="1" ref="V255" ca="1">IF($C$4="Giao",_xludf.Xlookup(C255,#REF!,#REF!,),_xludf.Xlookup(C255,#REF!,#REF!,))</f>
        <v>#NAME?</v>
      </c>
      <c r="W255" s="8" t="e">
        <f t="array" aca="1" ref="W255" ca="1">IF($C$4="Giao", _xludf.Xlookup(C255,#REF!,#REF!,),)</f>
        <v>#NAME?</v>
      </c>
      <c r="X255" s="9" t="e">
        <f t="shared" ca="1" si="2"/>
        <v>#NAME?</v>
      </c>
      <c r="Y255" s="7"/>
      <c r="Z255" s="7"/>
    </row>
    <row r="256" spans="1:26" ht="13" x14ac:dyDescent="0.6">
      <c r="A256" s="28" t="str">
        <f t="shared" si="1"/>
        <v/>
      </c>
      <c r="B256" s="7"/>
      <c r="C256" s="7"/>
      <c r="D256" s="9"/>
      <c r="E256" s="9"/>
      <c r="F256" s="7"/>
      <c r="G256" s="7"/>
      <c r="H256" s="7"/>
      <c r="I256" s="7"/>
      <c r="J256" s="7"/>
      <c r="K256" s="7"/>
      <c r="L256" s="7"/>
      <c r="M256" s="7"/>
      <c r="N256" s="7"/>
      <c r="O256" s="7"/>
      <c r="P256" s="29"/>
      <c r="Q256" s="29"/>
      <c r="R256" s="7"/>
      <c r="S256" s="7"/>
      <c r="T256" s="7" t="str">
        <f ca="1">IFERROR(__xludf.DUMMYFUNCTION("SPARKLINE({
IF(D256="""",0,D256),
IF(F256="""",0,F256),
IF(H256="""",0,H256),
IF(J256="""",0,J256),
IF(L256="""",0,L256),
IF(N256="""",0,N256),
IF(P256="""",0,P256)
})"),"")</f>
        <v/>
      </c>
      <c r="U256" s="7" t="str">
        <f ca="1">IFERROR(__xludf.DUMMYFUNCTION("SPARKLINE({
IF(E256="""",0,E256),
IF(G256="""",0,G256),
IF(I256="""",0,I256),
IF(K256="""",0,K256),
IF(M256="""",0,M256),
IF(O256="""",0,O256),
IF(Q256="""",0,Q256)
})"),"")</f>
        <v/>
      </c>
      <c r="V256" s="8" t="e">
        <f t="array" aca="1" ref="V256" ca="1">IF($C$4="Giao",_xludf.Xlookup(C256,#REF!,#REF!,),_xludf.Xlookup(C256,#REF!,#REF!,))</f>
        <v>#NAME?</v>
      </c>
      <c r="W256" s="8" t="e">
        <f t="array" aca="1" ref="W256" ca="1">IF($C$4="Giao", _xludf.Xlookup(C256,#REF!,#REF!,),)</f>
        <v>#NAME?</v>
      </c>
      <c r="X256" s="9" t="e">
        <f t="shared" ca="1" si="2"/>
        <v>#NAME?</v>
      </c>
      <c r="Y256" s="7"/>
      <c r="Z256" s="7"/>
    </row>
    <row r="257" spans="1:26" ht="13" x14ac:dyDescent="0.6">
      <c r="A257" s="28" t="str">
        <f t="shared" si="1"/>
        <v/>
      </c>
      <c r="B257" s="7"/>
      <c r="C257" s="7"/>
      <c r="D257" s="9"/>
      <c r="E257" s="9"/>
      <c r="F257" s="7"/>
      <c r="G257" s="7"/>
      <c r="H257" s="7"/>
      <c r="I257" s="7"/>
      <c r="J257" s="7"/>
      <c r="K257" s="7"/>
      <c r="L257" s="7"/>
      <c r="M257" s="7"/>
      <c r="N257" s="7"/>
      <c r="O257" s="7"/>
      <c r="P257" s="29"/>
      <c r="Q257" s="29"/>
      <c r="R257" s="7"/>
      <c r="S257" s="7"/>
      <c r="T257" s="7" t="str">
        <f ca="1">IFERROR(__xludf.DUMMYFUNCTION("SPARKLINE({
IF(D257="""",0,D257),
IF(F257="""",0,F257),
IF(H257="""",0,H257),
IF(J257="""",0,J257),
IF(L257="""",0,L257),
IF(N257="""",0,N257),
IF(P257="""",0,P257)
})"),"")</f>
        <v/>
      </c>
      <c r="U257" s="7" t="str">
        <f ca="1">IFERROR(__xludf.DUMMYFUNCTION("SPARKLINE({
IF(E257="""",0,E257),
IF(G257="""",0,G257),
IF(I257="""",0,I257),
IF(K257="""",0,K257),
IF(M257="""",0,M257),
IF(O257="""",0,O257),
IF(Q257="""",0,Q257)
})"),"")</f>
        <v/>
      </c>
      <c r="V257" s="8" t="e">
        <f t="array" aca="1" ref="V257" ca="1">IF($C$4="Giao",_xludf.Xlookup(C257,#REF!,#REF!,),_xludf.Xlookup(C257,#REF!,#REF!,))</f>
        <v>#NAME?</v>
      </c>
      <c r="W257" s="8" t="e">
        <f t="array" aca="1" ref="W257" ca="1">IF($C$4="Giao", _xludf.Xlookup(C257,#REF!,#REF!,),)</f>
        <v>#NAME?</v>
      </c>
      <c r="X257" s="9" t="e">
        <f t="shared" ca="1" si="2"/>
        <v>#NAME?</v>
      </c>
      <c r="Y257" s="7"/>
      <c r="Z257" s="7"/>
    </row>
    <row r="258" spans="1:26" ht="13" x14ac:dyDescent="0.6">
      <c r="A258" s="28" t="str">
        <f t="shared" si="1"/>
        <v/>
      </c>
      <c r="B258" s="7"/>
      <c r="C258" s="7"/>
      <c r="D258" s="9"/>
      <c r="E258" s="9"/>
      <c r="F258" s="7"/>
      <c r="G258" s="7"/>
      <c r="H258" s="7"/>
      <c r="I258" s="7"/>
      <c r="J258" s="7"/>
      <c r="K258" s="7"/>
      <c r="L258" s="7"/>
      <c r="M258" s="7"/>
      <c r="N258" s="7"/>
      <c r="O258" s="7"/>
      <c r="P258" s="29"/>
      <c r="Q258" s="29"/>
      <c r="R258" s="7"/>
      <c r="S258" s="7"/>
      <c r="T258" s="7" t="str">
        <f ca="1">IFERROR(__xludf.DUMMYFUNCTION("SPARKLINE({
IF(D258="""",0,D258),
IF(F258="""",0,F258),
IF(H258="""",0,H258),
IF(J258="""",0,J258),
IF(L258="""",0,L258),
IF(N258="""",0,N258),
IF(P258="""",0,P258)
})"),"")</f>
        <v/>
      </c>
      <c r="U258" s="7" t="str">
        <f ca="1">IFERROR(__xludf.DUMMYFUNCTION("SPARKLINE({
IF(E258="""",0,E258),
IF(G258="""",0,G258),
IF(I258="""",0,I258),
IF(K258="""",0,K258),
IF(M258="""",0,M258),
IF(O258="""",0,O258),
IF(Q258="""",0,Q258)
})"),"")</f>
        <v/>
      </c>
      <c r="V258" s="8" t="e">
        <f t="array" aca="1" ref="V258" ca="1">IF($C$4="Giao",_xludf.Xlookup(C258,#REF!,#REF!,),_xludf.Xlookup(C258,#REF!,#REF!,))</f>
        <v>#NAME?</v>
      </c>
      <c r="W258" s="8" t="e">
        <f t="array" aca="1" ref="W258" ca="1">IF($C$4="Giao", _xludf.Xlookup(C258,#REF!,#REF!,),)</f>
        <v>#NAME?</v>
      </c>
      <c r="X258" s="9" t="e">
        <f t="shared" ca="1" si="2"/>
        <v>#NAME?</v>
      </c>
      <c r="Y258" s="7"/>
      <c r="Z258" s="7"/>
    </row>
    <row r="259" spans="1:26" ht="13" x14ac:dyDescent="0.6">
      <c r="A259" s="28" t="str">
        <f t="shared" si="1"/>
        <v/>
      </c>
      <c r="B259" s="7"/>
      <c r="C259" s="7"/>
      <c r="D259" s="9"/>
      <c r="E259" s="9"/>
      <c r="F259" s="7"/>
      <c r="G259" s="7"/>
      <c r="H259" s="7"/>
      <c r="I259" s="7"/>
      <c r="J259" s="7"/>
      <c r="K259" s="7"/>
      <c r="L259" s="7"/>
      <c r="M259" s="7"/>
      <c r="N259" s="7"/>
      <c r="O259" s="7"/>
      <c r="P259" s="29"/>
      <c r="Q259" s="29"/>
      <c r="R259" s="7"/>
      <c r="S259" s="7"/>
      <c r="T259" s="7" t="str">
        <f ca="1">IFERROR(__xludf.DUMMYFUNCTION("SPARKLINE({
IF(D259="""",0,D259),
IF(F259="""",0,F259),
IF(H259="""",0,H259),
IF(J259="""",0,J259),
IF(L259="""",0,L259),
IF(N259="""",0,N259),
IF(P259="""",0,P259)
})"),"")</f>
        <v/>
      </c>
      <c r="U259" s="7" t="str">
        <f ca="1">IFERROR(__xludf.DUMMYFUNCTION("SPARKLINE({
IF(E259="""",0,E259),
IF(G259="""",0,G259),
IF(I259="""",0,I259),
IF(K259="""",0,K259),
IF(M259="""",0,M259),
IF(O259="""",0,O259),
IF(Q259="""",0,Q259)
})"),"")</f>
        <v/>
      </c>
      <c r="V259" s="8" t="e">
        <f t="array" aca="1" ref="V259" ca="1">IF($C$4="Giao",_xludf.Xlookup(C259,#REF!,#REF!,),_xludf.Xlookup(C259,#REF!,#REF!,))</f>
        <v>#NAME?</v>
      </c>
      <c r="W259" s="8" t="e">
        <f t="array" aca="1" ref="W259" ca="1">IF($C$4="Giao", _xludf.Xlookup(C259,#REF!,#REF!,),)</f>
        <v>#NAME?</v>
      </c>
      <c r="X259" s="9" t="e">
        <f t="shared" ca="1" si="2"/>
        <v>#NAME?</v>
      </c>
      <c r="Y259" s="7"/>
      <c r="Z259" s="7"/>
    </row>
    <row r="260" spans="1:26" ht="13" x14ac:dyDescent="0.6">
      <c r="A260" s="28" t="str">
        <f t="shared" si="1"/>
        <v/>
      </c>
      <c r="B260" s="7"/>
      <c r="C260" s="7"/>
      <c r="D260" s="9"/>
      <c r="E260" s="9"/>
      <c r="F260" s="7"/>
      <c r="G260" s="7"/>
      <c r="H260" s="7"/>
      <c r="I260" s="7"/>
      <c r="J260" s="7"/>
      <c r="K260" s="7"/>
      <c r="L260" s="7"/>
      <c r="M260" s="7"/>
      <c r="N260" s="7"/>
      <c r="O260" s="7"/>
      <c r="P260" s="29"/>
      <c r="Q260" s="29"/>
      <c r="R260" s="7"/>
      <c r="S260" s="7"/>
      <c r="T260" s="7" t="str">
        <f ca="1">IFERROR(__xludf.DUMMYFUNCTION("SPARKLINE({
IF(D260="""",0,D260),
IF(F260="""",0,F260),
IF(H260="""",0,H260),
IF(J260="""",0,J260),
IF(L260="""",0,L260),
IF(N260="""",0,N260),
IF(P260="""",0,P260)
})"),"")</f>
        <v/>
      </c>
      <c r="U260" s="7" t="str">
        <f ca="1">IFERROR(__xludf.DUMMYFUNCTION("SPARKLINE({
IF(E260="""",0,E260),
IF(G260="""",0,G260),
IF(I260="""",0,I260),
IF(K260="""",0,K260),
IF(M260="""",0,M260),
IF(O260="""",0,O260),
IF(Q260="""",0,Q260)
})"),"")</f>
        <v/>
      </c>
      <c r="V260" s="8" t="e">
        <f t="array" aca="1" ref="V260" ca="1">IF($C$4="Giao",_xludf.Xlookup(C260,#REF!,#REF!,),_xludf.Xlookup(C260,#REF!,#REF!,))</f>
        <v>#NAME?</v>
      </c>
      <c r="W260" s="8" t="e">
        <f t="array" aca="1" ref="W260" ca="1">IF($C$4="Giao", _xludf.Xlookup(C260,#REF!,#REF!,),)</f>
        <v>#NAME?</v>
      </c>
      <c r="X260" s="9" t="e">
        <f t="shared" ca="1" si="2"/>
        <v>#NAME?</v>
      </c>
      <c r="Y260" s="7"/>
      <c r="Z260" s="7"/>
    </row>
    <row r="261" spans="1:26" ht="13" x14ac:dyDescent="0.6">
      <c r="A261" s="28" t="str">
        <f t="shared" si="1"/>
        <v/>
      </c>
      <c r="B261" s="7"/>
      <c r="C261" s="7"/>
      <c r="D261" s="9"/>
      <c r="E261" s="9"/>
      <c r="F261" s="7"/>
      <c r="G261" s="7"/>
      <c r="H261" s="7"/>
      <c r="I261" s="7"/>
      <c r="J261" s="7"/>
      <c r="K261" s="7"/>
      <c r="L261" s="7"/>
      <c r="M261" s="7"/>
      <c r="N261" s="7"/>
      <c r="O261" s="7"/>
      <c r="P261" s="29"/>
      <c r="Q261" s="29"/>
      <c r="R261" s="7"/>
      <c r="S261" s="7"/>
      <c r="T261" s="7" t="str">
        <f ca="1">IFERROR(__xludf.DUMMYFUNCTION("SPARKLINE({
IF(D261="""",0,D261),
IF(F261="""",0,F261),
IF(H261="""",0,H261),
IF(J261="""",0,J261),
IF(L261="""",0,L261),
IF(N261="""",0,N261),
IF(P261="""",0,P261)
})"),"")</f>
        <v/>
      </c>
      <c r="U261" s="7" t="str">
        <f ca="1">IFERROR(__xludf.DUMMYFUNCTION("SPARKLINE({
IF(E261="""",0,E261),
IF(G261="""",0,G261),
IF(I261="""",0,I261),
IF(K261="""",0,K261),
IF(M261="""",0,M261),
IF(O261="""",0,O261),
IF(Q261="""",0,Q261)
})"),"")</f>
        <v/>
      </c>
      <c r="V261" s="8" t="e">
        <f t="array" aca="1" ref="V261" ca="1">IF($C$4="Giao",_xludf.Xlookup(C261,#REF!,#REF!,),_xludf.Xlookup(C261,#REF!,#REF!,))</f>
        <v>#NAME?</v>
      </c>
      <c r="W261" s="8" t="e">
        <f t="array" aca="1" ref="W261" ca="1">IF($C$4="Giao", _xludf.Xlookup(C261,#REF!,#REF!,),)</f>
        <v>#NAME?</v>
      </c>
      <c r="X261" s="9" t="e">
        <f t="shared" ca="1" si="2"/>
        <v>#NAME?</v>
      </c>
      <c r="Y261" s="7"/>
      <c r="Z261" s="7"/>
    </row>
    <row r="262" spans="1:26" ht="13" x14ac:dyDescent="0.6">
      <c r="A262" s="28" t="str">
        <f t="shared" si="1"/>
        <v/>
      </c>
      <c r="B262" s="7"/>
      <c r="C262" s="7"/>
      <c r="D262" s="9"/>
      <c r="E262" s="9"/>
      <c r="F262" s="7"/>
      <c r="G262" s="7"/>
      <c r="H262" s="7"/>
      <c r="I262" s="7"/>
      <c r="J262" s="7"/>
      <c r="K262" s="7"/>
      <c r="L262" s="7"/>
      <c r="M262" s="7"/>
      <c r="N262" s="7"/>
      <c r="O262" s="7"/>
      <c r="P262" s="29"/>
      <c r="Q262" s="29"/>
      <c r="R262" s="7"/>
      <c r="S262" s="7"/>
      <c r="T262" s="7" t="str">
        <f ca="1">IFERROR(__xludf.DUMMYFUNCTION("SPARKLINE({
IF(D262="""",0,D262),
IF(F262="""",0,F262),
IF(H262="""",0,H262),
IF(J262="""",0,J262),
IF(L262="""",0,L262),
IF(N262="""",0,N262),
IF(P262="""",0,P262)
})"),"")</f>
        <v/>
      </c>
      <c r="U262" s="7" t="str">
        <f ca="1">IFERROR(__xludf.DUMMYFUNCTION("SPARKLINE({
IF(E262="""",0,E262),
IF(G262="""",0,G262),
IF(I262="""",0,I262),
IF(K262="""",0,K262),
IF(M262="""",0,M262),
IF(O262="""",0,O262),
IF(Q262="""",0,Q262)
})"),"")</f>
        <v/>
      </c>
      <c r="V262" s="8" t="e">
        <f t="array" aca="1" ref="V262" ca="1">IF($C$4="Giao",_xludf.Xlookup(C262,#REF!,#REF!,),_xludf.Xlookup(C262,#REF!,#REF!,))</f>
        <v>#NAME?</v>
      </c>
      <c r="W262" s="8" t="e">
        <f t="array" aca="1" ref="W262" ca="1">IF($C$4="Giao", _xludf.Xlookup(C262,#REF!,#REF!,),)</f>
        <v>#NAME?</v>
      </c>
      <c r="X262" s="9" t="e">
        <f t="shared" ca="1" si="2"/>
        <v>#NAME?</v>
      </c>
      <c r="Y262" s="7"/>
      <c r="Z262" s="7"/>
    </row>
    <row r="263" spans="1:26" ht="13" x14ac:dyDescent="0.6">
      <c r="A263" s="28" t="str">
        <f t="shared" ref="A263:A517" si="5">IF(B263="","",COUNTA($B$8:B263))</f>
        <v/>
      </c>
      <c r="B263" s="7"/>
      <c r="C263" s="7"/>
      <c r="D263" s="9"/>
      <c r="E263" s="9"/>
      <c r="F263" s="7"/>
      <c r="G263" s="7"/>
      <c r="H263" s="7"/>
      <c r="I263" s="7"/>
      <c r="J263" s="7"/>
      <c r="K263" s="7"/>
      <c r="L263" s="7"/>
      <c r="M263" s="7"/>
      <c r="N263" s="7"/>
      <c r="O263" s="7"/>
      <c r="P263" s="29"/>
      <c r="Q263" s="29"/>
      <c r="R263" s="7"/>
      <c r="S263" s="7"/>
      <c r="T263" s="7" t="str">
        <f ca="1">IFERROR(__xludf.DUMMYFUNCTION("SPARKLINE({
IF(D263="""",0,D263),
IF(F263="""",0,F263),
IF(H263="""",0,H263),
IF(J263="""",0,J263),
IF(L263="""",0,L263),
IF(N263="""",0,N263),
IF(P263="""",0,P263)
})"),"")</f>
        <v/>
      </c>
      <c r="U263" s="7" t="str">
        <f ca="1">IFERROR(__xludf.DUMMYFUNCTION("SPARKLINE({
IF(E263="""",0,E263),
IF(G263="""",0,G263),
IF(I263="""",0,I263),
IF(K263="""",0,K263),
IF(M263="""",0,M263),
IF(O263="""",0,O263),
IF(Q263="""",0,Q263)
})"),"")</f>
        <v/>
      </c>
      <c r="V263" s="8" t="e">
        <f t="array" aca="1" ref="V263" ca="1">IF($C$4="Giao",_xludf.Xlookup(C263,#REF!,#REF!,),_xludf.Xlookup(C263,#REF!,#REF!,))</f>
        <v>#NAME?</v>
      </c>
      <c r="W263" s="8" t="e">
        <f t="array" aca="1" ref="W263" ca="1">IF($C$4="Giao", _xludf.Xlookup(C263,#REF!,#REF!,),)</f>
        <v>#NAME?</v>
      </c>
      <c r="X263" s="9" t="e">
        <f t="shared" ref="X263:X517" ca="1" si="6">W263*1.08</f>
        <v>#NAME?</v>
      </c>
      <c r="Y263" s="7"/>
      <c r="Z263" s="7"/>
    </row>
    <row r="264" spans="1:26" ht="13" x14ac:dyDescent="0.6">
      <c r="A264" s="28" t="str">
        <f t="shared" si="5"/>
        <v/>
      </c>
      <c r="B264" s="7"/>
      <c r="C264" s="7"/>
      <c r="D264" s="9"/>
      <c r="E264" s="9"/>
      <c r="F264" s="7"/>
      <c r="G264" s="7"/>
      <c r="H264" s="7"/>
      <c r="I264" s="7"/>
      <c r="J264" s="7"/>
      <c r="K264" s="7"/>
      <c r="L264" s="7"/>
      <c r="M264" s="7"/>
      <c r="N264" s="7"/>
      <c r="O264" s="7"/>
      <c r="P264" s="29"/>
      <c r="Q264" s="29"/>
      <c r="R264" s="7"/>
      <c r="S264" s="7"/>
      <c r="T264" s="7" t="str">
        <f ca="1">IFERROR(__xludf.DUMMYFUNCTION("SPARKLINE({
IF(D264="""",0,D264),
IF(F264="""",0,F264),
IF(H264="""",0,H264),
IF(J264="""",0,J264),
IF(L264="""",0,L264),
IF(N264="""",0,N264),
IF(P264="""",0,P264)
})"),"")</f>
        <v/>
      </c>
      <c r="U264" s="7" t="str">
        <f ca="1">IFERROR(__xludf.DUMMYFUNCTION("SPARKLINE({
IF(E264="""",0,E264),
IF(G264="""",0,G264),
IF(I264="""",0,I264),
IF(K264="""",0,K264),
IF(M264="""",0,M264),
IF(O264="""",0,O264),
IF(Q264="""",0,Q264)
})"),"")</f>
        <v/>
      </c>
      <c r="V264" s="8" t="e">
        <f t="array" aca="1" ref="V264" ca="1">IF($C$4="Giao",_xludf.Xlookup(C264,#REF!,#REF!,),_xludf.Xlookup(C264,#REF!,#REF!,))</f>
        <v>#NAME?</v>
      </c>
      <c r="W264" s="8" t="e">
        <f t="array" aca="1" ref="W264" ca="1">IF($C$4="Giao", _xludf.Xlookup(C264,#REF!,#REF!,),)</f>
        <v>#NAME?</v>
      </c>
      <c r="X264" s="9" t="e">
        <f t="shared" ca="1" si="6"/>
        <v>#NAME?</v>
      </c>
      <c r="Y264" s="7"/>
      <c r="Z264" s="7"/>
    </row>
    <row r="265" spans="1:26" ht="13" x14ac:dyDescent="0.6">
      <c r="A265" s="28" t="str">
        <f t="shared" si="5"/>
        <v/>
      </c>
      <c r="B265" s="7"/>
      <c r="C265" s="7"/>
      <c r="D265" s="9"/>
      <c r="E265" s="9"/>
      <c r="F265" s="7"/>
      <c r="G265" s="7"/>
      <c r="H265" s="7"/>
      <c r="I265" s="7"/>
      <c r="J265" s="7"/>
      <c r="K265" s="7"/>
      <c r="L265" s="7"/>
      <c r="M265" s="7"/>
      <c r="N265" s="7"/>
      <c r="O265" s="7"/>
      <c r="P265" s="29"/>
      <c r="Q265" s="29"/>
      <c r="R265" s="7"/>
      <c r="S265" s="7"/>
      <c r="T265" s="7" t="str">
        <f ca="1">IFERROR(__xludf.DUMMYFUNCTION("SPARKLINE({
IF(D265="""",0,D265),
IF(F265="""",0,F265),
IF(H265="""",0,H265),
IF(J265="""",0,J265),
IF(L265="""",0,L265),
IF(N265="""",0,N265),
IF(P265="""",0,P265)
})"),"")</f>
        <v/>
      </c>
      <c r="U265" s="7" t="str">
        <f ca="1">IFERROR(__xludf.DUMMYFUNCTION("SPARKLINE({
IF(E265="""",0,E265),
IF(G265="""",0,G265),
IF(I265="""",0,I265),
IF(K265="""",0,K265),
IF(M265="""",0,M265),
IF(O265="""",0,O265),
IF(Q265="""",0,Q265)
})"),"")</f>
        <v/>
      </c>
      <c r="V265" s="8" t="e">
        <f t="array" aca="1" ref="V265" ca="1">IF($C$4="Giao",_xludf.Xlookup(C265,#REF!,#REF!,),_xludf.Xlookup(C265,#REF!,#REF!,))</f>
        <v>#NAME?</v>
      </c>
      <c r="W265" s="8" t="e">
        <f t="array" aca="1" ref="W265" ca="1">IF($C$4="Giao", _xludf.Xlookup(C265,#REF!,#REF!,),)</f>
        <v>#NAME?</v>
      </c>
      <c r="X265" s="9" t="e">
        <f t="shared" ca="1" si="6"/>
        <v>#NAME?</v>
      </c>
      <c r="Y265" s="7"/>
      <c r="Z265" s="7"/>
    </row>
    <row r="266" spans="1:26" ht="13" x14ac:dyDescent="0.6">
      <c r="A266" s="28" t="str">
        <f t="shared" si="5"/>
        <v/>
      </c>
      <c r="B266" s="7"/>
      <c r="C266" s="7"/>
      <c r="D266" s="9"/>
      <c r="E266" s="9"/>
      <c r="F266" s="7"/>
      <c r="G266" s="7"/>
      <c r="H266" s="7"/>
      <c r="I266" s="7"/>
      <c r="J266" s="7"/>
      <c r="K266" s="7"/>
      <c r="L266" s="7"/>
      <c r="M266" s="7"/>
      <c r="N266" s="7"/>
      <c r="O266" s="7"/>
      <c r="P266" s="29"/>
      <c r="Q266" s="29"/>
      <c r="R266" s="7"/>
      <c r="S266" s="7"/>
      <c r="T266" s="7" t="str">
        <f ca="1">IFERROR(__xludf.DUMMYFUNCTION("SPARKLINE({
IF(D266="""",0,D266),
IF(F266="""",0,F266),
IF(H266="""",0,H266),
IF(J266="""",0,J266),
IF(L266="""",0,L266),
IF(N266="""",0,N266),
IF(P266="""",0,P266)
})"),"")</f>
        <v/>
      </c>
      <c r="U266" s="7" t="str">
        <f ca="1">IFERROR(__xludf.DUMMYFUNCTION("SPARKLINE({
IF(E266="""",0,E266),
IF(G266="""",0,G266),
IF(I266="""",0,I266),
IF(K266="""",0,K266),
IF(M266="""",0,M266),
IF(O266="""",0,O266),
IF(Q266="""",0,Q266)
})"),"")</f>
        <v/>
      </c>
      <c r="V266" s="8" t="e">
        <f t="array" aca="1" ref="V266" ca="1">IF($C$4="Giao",_xludf.Xlookup(C266,#REF!,#REF!,),_xludf.Xlookup(C266,#REF!,#REF!,))</f>
        <v>#NAME?</v>
      </c>
      <c r="W266" s="8" t="e">
        <f t="array" aca="1" ref="W266" ca="1">IF($C$4="Giao", _xludf.Xlookup(C266,#REF!,#REF!,),)</f>
        <v>#NAME?</v>
      </c>
      <c r="X266" s="9" t="e">
        <f t="shared" ca="1" si="6"/>
        <v>#NAME?</v>
      </c>
      <c r="Y266" s="7"/>
      <c r="Z266" s="7"/>
    </row>
    <row r="267" spans="1:26" ht="13" x14ac:dyDescent="0.6">
      <c r="A267" s="28" t="str">
        <f t="shared" si="5"/>
        <v/>
      </c>
      <c r="B267" s="7"/>
      <c r="C267" s="7"/>
      <c r="D267" s="9"/>
      <c r="E267" s="9"/>
      <c r="F267" s="7"/>
      <c r="G267" s="7"/>
      <c r="H267" s="7"/>
      <c r="I267" s="7"/>
      <c r="J267" s="7"/>
      <c r="K267" s="7"/>
      <c r="L267" s="7"/>
      <c r="M267" s="7"/>
      <c r="N267" s="7"/>
      <c r="O267" s="7"/>
      <c r="P267" s="29"/>
      <c r="Q267" s="29"/>
      <c r="R267" s="7"/>
      <c r="S267" s="7"/>
      <c r="T267" s="7" t="str">
        <f ca="1">IFERROR(__xludf.DUMMYFUNCTION("SPARKLINE({
IF(D267="""",0,D267),
IF(F267="""",0,F267),
IF(H267="""",0,H267),
IF(J267="""",0,J267),
IF(L267="""",0,L267),
IF(N267="""",0,N267),
IF(P267="""",0,P267)
})"),"")</f>
        <v/>
      </c>
      <c r="U267" s="7" t="str">
        <f ca="1">IFERROR(__xludf.DUMMYFUNCTION("SPARKLINE({
IF(E267="""",0,E267),
IF(G267="""",0,G267),
IF(I267="""",0,I267),
IF(K267="""",0,K267),
IF(M267="""",0,M267),
IF(O267="""",0,O267),
IF(Q267="""",0,Q267)
})"),"")</f>
        <v/>
      </c>
      <c r="V267" s="8" t="e">
        <f t="array" aca="1" ref="V267" ca="1">IF($C$4="Giao",_xludf.Xlookup(C267,#REF!,#REF!,),_xludf.Xlookup(C267,#REF!,#REF!,))</f>
        <v>#NAME?</v>
      </c>
      <c r="W267" s="8" t="e">
        <f t="array" aca="1" ref="W267" ca="1">IF($C$4="Giao", _xludf.Xlookup(C267,#REF!,#REF!,),)</f>
        <v>#NAME?</v>
      </c>
      <c r="X267" s="9" t="e">
        <f t="shared" ca="1" si="6"/>
        <v>#NAME?</v>
      </c>
      <c r="Y267" s="7"/>
      <c r="Z267" s="7"/>
    </row>
    <row r="268" spans="1:26" ht="13" x14ac:dyDescent="0.6">
      <c r="A268" s="28" t="str">
        <f t="shared" si="5"/>
        <v/>
      </c>
      <c r="B268" s="7"/>
      <c r="C268" s="7"/>
      <c r="D268" s="9"/>
      <c r="E268" s="9"/>
      <c r="F268" s="7"/>
      <c r="G268" s="7"/>
      <c r="H268" s="7"/>
      <c r="I268" s="7"/>
      <c r="J268" s="7"/>
      <c r="K268" s="7"/>
      <c r="L268" s="7"/>
      <c r="M268" s="7"/>
      <c r="N268" s="7"/>
      <c r="O268" s="7"/>
      <c r="P268" s="29"/>
      <c r="Q268" s="29"/>
      <c r="R268" s="7"/>
      <c r="S268" s="7"/>
      <c r="T268" s="7" t="str">
        <f ca="1">IFERROR(__xludf.DUMMYFUNCTION("SPARKLINE({
IF(D268="""",0,D268),
IF(F268="""",0,F268),
IF(H268="""",0,H268),
IF(J268="""",0,J268),
IF(L268="""",0,L268),
IF(N268="""",0,N268),
IF(P268="""",0,P268)
})"),"")</f>
        <v/>
      </c>
      <c r="U268" s="7" t="str">
        <f ca="1">IFERROR(__xludf.DUMMYFUNCTION("SPARKLINE({
IF(E268="""",0,E268),
IF(G268="""",0,G268),
IF(I268="""",0,I268),
IF(K268="""",0,K268),
IF(M268="""",0,M268),
IF(O268="""",0,O268),
IF(Q268="""",0,Q268)
})"),"")</f>
        <v/>
      </c>
      <c r="V268" s="8" t="e">
        <f t="array" aca="1" ref="V268" ca="1">IF($C$4="Giao",_xludf.Xlookup(C268,#REF!,#REF!,),_xludf.Xlookup(C268,#REF!,#REF!,))</f>
        <v>#NAME?</v>
      </c>
      <c r="W268" s="8" t="e">
        <f t="array" aca="1" ref="W268" ca="1">IF($C$4="Giao", _xludf.Xlookup(C268,#REF!,#REF!,),)</f>
        <v>#NAME?</v>
      </c>
      <c r="X268" s="9" t="e">
        <f t="shared" ca="1" si="6"/>
        <v>#NAME?</v>
      </c>
      <c r="Y268" s="7"/>
      <c r="Z268" s="7"/>
    </row>
    <row r="269" spans="1:26" ht="13" x14ac:dyDescent="0.6">
      <c r="A269" s="28" t="str">
        <f t="shared" si="5"/>
        <v/>
      </c>
      <c r="B269" s="7"/>
      <c r="C269" s="7"/>
      <c r="D269" s="9"/>
      <c r="E269" s="9"/>
      <c r="F269" s="7"/>
      <c r="G269" s="7"/>
      <c r="H269" s="7"/>
      <c r="I269" s="7"/>
      <c r="J269" s="7"/>
      <c r="K269" s="7"/>
      <c r="L269" s="7"/>
      <c r="M269" s="7"/>
      <c r="N269" s="7"/>
      <c r="O269" s="7"/>
      <c r="P269" s="29"/>
      <c r="Q269" s="29"/>
      <c r="R269" s="7"/>
      <c r="S269" s="7"/>
      <c r="T269" s="7" t="str">
        <f ca="1">IFERROR(__xludf.DUMMYFUNCTION("SPARKLINE({
IF(D269="""",0,D269),
IF(F269="""",0,F269),
IF(H269="""",0,H269),
IF(J269="""",0,J269),
IF(L269="""",0,L269),
IF(N269="""",0,N269),
IF(P269="""",0,P269)
})"),"")</f>
        <v/>
      </c>
      <c r="U269" s="7" t="str">
        <f ca="1">IFERROR(__xludf.DUMMYFUNCTION("SPARKLINE({
IF(E269="""",0,E269),
IF(G269="""",0,G269),
IF(I269="""",0,I269),
IF(K269="""",0,K269),
IF(M269="""",0,M269),
IF(O269="""",0,O269),
IF(Q269="""",0,Q269)
})"),"")</f>
        <v/>
      </c>
      <c r="V269" s="8" t="e">
        <f t="array" aca="1" ref="V269" ca="1">IF($C$4="Giao",_xludf.Xlookup(C269,#REF!,#REF!,),_xludf.Xlookup(C269,#REF!,#REF!,))</f>
        <v>#NAME?</v>
      </c>
      <c r="W269" s="8" t="e">
        <f t="array" aca="1" ref="W269" ca="1">IF($C$4="Giao", _xludf.Xlookup(C269,#REF!,#REF!,),)</f>
        <v>#NAME?</v>
      </c>
      <c r="X269" s="9" t="e">
        <f t="shared" ca="1" si="6"/>
        <v>#NAME?</v>
      </c>
      <c r="Y269" s="7"/>
      <c r="Z269" s="7"/>
    </row>
    <row r="270" spans="1:26" ht="13" x14ac:dyDescent="0.6">
      <c r="A270" s="28" t="str">
        <f t="shared" si="5"/>
        <v/>
      </c>
      <c r="B270" s="7"/>
      <c r="C270" s="7"/>
      <c r="D270" s="9"/>
      <c r="E270" s="9"/>
      <c r="F270" s="7"/>
      <c r="G270" s="7"/>
      <c r="H270" s="7"/>
      <c r="I270" s="7"/>
      <c r="J270" s="7"/>
      <c r="K270" s="7"/>
      <c r="L270" s="7"/>
      <c r="M270" s="7"/>
      <c r="N270" s="7"/>
      <c r="O270" s="7"/>
      <c r="P270" s="29"/>
      <c r="Q270" s="29"/>
      <c r="R270" s="7"/>
      <c r="S270" s="7"/>
      <c r="T270" s="7" t="str">
        <f ca="1">IFERROR(__xludf.DUMMYFUNCTION("SPARKLINE({
IF(D270="""",0,D270),
IF(F270="""",0,F270),
IF(H270="""",0,H270),
IF(J270="""",0,J270),
IF(L270="""",0,L270),
IF(N270="""",0,N270),
IF(P270="""",0,P270)
})"),"")</f>
        <v/>
      </c>
      <c r="U270" s="7" t="str">
        <f ca="1">IFERROR(__xludf.DUMMYFUNCTION("SPARKLINE({
IF(E270="""",0,E270),
IF(G270="""",0,G270),
IF(I270="""",0,I270),
IF(K270="""",0,K270),
IF(M270="""",0,M270),
IF(O270="""",0,O270),
IF(Q270="""",0,Q270)
})"),"")</f>
        <v/>
      </c>
      <c r="V270" s="8" t="e">
        <f t="array" aca="1" ref="V270" ca="1">IF($C$4="Giao",_xludf.Xlookup(C270,#REF!,#REF!,),_xludf.Xlookup(C270,#REF!,#REF!,))</f>
        <v>#NAME?</v>
      </c>
      <c r="W270" s="8" t="e">
        <f t="array" aca="1" ref="W270" ca="1">IF($C$4="Giao", _xludf.Xlookup(C270,#REF!,#REF!,),)</f>
        <v>#NAME?</v>
      </c>
      <c r="X270" s="9" t="e">
        <f t="shared" ca="1" si="6"/>
        <v>#NAME?</v>
      </c>
      <c r="Y270" s="7"/>
      <c r="Z270" s="7"/>
    </row>
    <row r="271" spans="1:26" ht="13" x14ac:dyDescent="0.6">
      <c r="A271" s="28" t="str">
        <f t="shared" si="5"/>
        <v/>
      </c>
      <c r="B271" s="7"/>
      <c r="C271" s="7"/>
      <c r="D271" s="9"/>
      <c r="E271" s="9"/>
      <c r="F271" s="7"/>
      <c r="G271" s="7"/>
      <c r="H271" s="7"/>
      <c r="I271" s="7"/>
      <c r="J271" s="7"/>
      <c r="K271" s="7"/>
      <c r="L271" s="7"/>
      <c r="M271" s="7"/>
      <c r="N271" s="7"/>
      <c r="O271" s="7"/>
      <c r="P271" s="29"/>
      <c r="Q271" s="29"/>
      <c r="R271" s="7"/>
      <c r="S271" s="7"/>
      <c r="T271" s="7" t="str">
        <f ca="1">IFERROR(__xludf.DUMMYFUNCTION("SPARKLINE({
IF(D271="""",0,D271),
IF(F271="""",0,F271),
IF(H271="""",0,H271),
IF(J271="""",0,J271),
IF(L271="""",0,L271),
IF(N271="""",0,N271),
IF(P271="""",0,P271)
})"),"")</f>
        <v/>
      </c>
      <c r="U271" s="7" t="str">
        <f ca="1">IFERROR(__xludf.DUMMYFUNCTION("SPARKLINE({
IF(E271="""",0,E271),
IF(G271="""",0,G271),
IF(I271="""",0,I271),
IF(K271="""",0,K271),
IF(M271="""",0,M271),
IF(O271="""",0,O271),
IF(Q271="""",0,Q271)
})"),"")</f>
        <v/>
      </c>
      <c r="V271" s="8" t="e">
        <f t="array" aca="1" ref="V271" ca="1">IF($C$4="Giao",_xludf.Xlookup(C271,#REF!,#REF!,),_xludf.Xlookup(C271,#REF!,#REF!,))</f>
        <v>#NAME?</v>
      </c>
      <c r="W271" s="8" t="e">
        <f t="array" aca="1" ref="W271" ca="1">IF($C$4="Giao", _xludf.Xlookup(C271,#REF!,#REF!,),)</f>
        <v>#NAME?</v>
      </c>
      <c r="X271" s="9" t="e">
        <f t="shared" ca="1" si="6"/>
        <v>#NAME?</v>
      </c>
      <c r="Y271" s="7"/>
      <c r="Z271" s="7"/>
    </row>
    <row r="272" spans="1:26" ht="13" x14ac:dyDescent="0.6">
      <c r="A272" s="28" t="str">
        <f t="shared" si="5"/>
        <v/>
      </c>
      <c r="B272" s="7"/>
      <c r="C272" s="7"/>
      <c r="D272" s="9"/>
      <c r="E272" s="9"/>
      <c r="F272" s="7"/>
      <c r="G272" s="7"/>
      <c r="H272" s="7"/>
      <c r="I272" s="7"/>
      <c r="J272" s="7"/>
      <c r="K272" s="7"/>
      <c r="L272" s="7"/>
      <c r="M272" s="7"/>
      <c r="N272" s="7"/>
      <c r="O272" s="7"/>
      <c r="P272" s="29"/>
      <c r="Q272" s="29"/>
      <c r="R272" s="7"/>
      <c r="S272" s="7"/>
      <c r="T272" s="7" t="str">
        <f ca="1">IFERROR(__xludf.DUMMYFUNCTION("SPARKLINE({
IF(D272="""",0,D272),
IF(F272="""",0,F272),
IF(H272="""",0,H272),
IF(J272="""",0,J272),
IF(L272="""",0,L272),
IF(N272="""",0,N272),
IF(P272="""",0,P272)
})"),"")</f>
        <v/>
      </c>
      <c r="U272" s="7" t="str">
        <f ca="1">IFERROR(__xludf.DUMMYFUNCTION("SPARKLINE({
IF(E272="""",0,E272),
IF(G272="""",0,G272),
IF(I272="""",0,I272),
IF(K272="""",0,K272),
IF(M272="""",0,M272),
IF(O272="""",0,O272),
IF(Q272="""",0,Q272)
})"),"")</f>
        <v/>
      </c>
      <c r="V272" s="8" t="e">
        <f t="array" aca="1" ref="V272" ca="1">IF($C$4="Giao",_xludf.Xlookup(C272,#REF!,#REF!,),_xludf.Xlookup(C272,#REF!,#REF!,))</f>
        <v>#NAME?</v>
      </c>
      <c r="W272" s="8" t="e">
        <f t="array" aca="1" ref="W272" ca="1">IF($C$4="Giao", _xludf.Xlookup(C272,#REF!,#REF!,),)</f>
        <v>#NAME?</v>
      </c>
      <c r="X272" s="9" t="e">
        <f t="shared" ca="1" si="6"/>
        <v>#NAME?</v>
      </c>
      <c r="Y272" s="7"/>
      <c r="Z272" s="7"/>
    </row>
    <row r="273" spans="1:26" ht="13" x14ac:dyDescent="0.6">
      <c r="A273" s="28" t="str">
        <f t="shared" si="5"/>
        <v/>
      </c>
      <c r="B273" s="7"/>
      <c r="C273" s="7"/>
      <c r="D273" s="9"/>
      <c r="E273" s="9"/>
      <c r="F273" s="7"/>
      <c r="G273" s="7"/>
      <c r="H273" s="7"/>
      <c r="I273" s="7"/>
      <c r="J273" s="7"/>
      <c r="K273" s="7"/>
      <c r="L273" s="7"/>
      <c r="M273" s="7"/>
      <c r="N273" s="7"/>
      <c r="O273" s="7"/>
      <c r="P273" s="29"/>
      <c r="Q273" s="29"/>
      <c r="R273" s="7"/>
      <c r="S273" s="7"/>
      <c r="T273" s="7" t="str">
        <f ca="1">IFERROR(__xludf.DUMMYFUNCTION("SPARKLINE({
IF(D273="""",0,D273),
IF(F273="""",0,F273),
IF(H273="""",0,H273),
IF(J273="""",0,J273),
IF(L273="""",0,L273),
IF(N273="""",0,N273),
IF(P273="""",0,P273)
})"),"")</f>
        <v/>
      </c>
      <c r="U273" s="7" t="str">
        <f ca="1">IFERROR(__xludf.DUMMYFUNCTION("SPARKLINE({
IF(E273="""",0,E273),
IF(G273="""",0,G273),
IF(I273="""",0,I273),
IF(K273="""",0,K273),
IF(M273="""",0,M273),
IF(O273="""",0,O273),
IF(Q273="""",0,Q273)
})"),"")</f>
        <v/>
      </c>
      <c r="V273" s="8" t="e">
        <f t="array" aca="1" ref="V273" ca="1">IF($C$4="Giao",_xludf.Xlookup(C273,#REF!,#REF!,),_xludf.Xlookup(C273,#REF!,#REF!,))</f>
        <v>#NAME?</v>
      </c>
      <c r="W273" s="8" t="e">
        <f t="array" aca="1" ref="W273" ca="1">IF($C$4="Giao", _xludf.Xlookup(C273,#REF!,#REF!,),)</f>
        <v>#NAME?</v>
      </c>
      <c r="X273" s="9" t="e">
        <f t="shared" ca="1" si="6"/>
        <v>#NAME?</v>
      </c>
      <c r="Y273" s="7"/>
      <c r="Z273" s="7"/>
    </row>
    <row r="274" spans="1:26" ht="13" x14ac:dyDescent="0.6">
      <c r="A274" s="28" t="str">
        <f t="shared" si="5"/>
        <v/>
      </c>
      <c r="B274" s="7"/>
      <c r="C274" s="7"/>
      <c r="D274" s="9"/>
      <c r="E274" s="9"/>
      <c r="F274" s="7"/>
      <c r="G274" s="7"/>
      <c r="H274" s="7"/>
      <c r="I274" s="7"/>
      <c r="J274" s="7"/>
      <c r="K274" s="7"/>
      <c r="L274" s="7"/>
      <c r="M274" s="7"/>
      <c r="N274" s="7"/>
      <c r="O274" s="7"/>
      <c r="P274" s="29"/>
      <c r="Q274" s="29"/>
      <c r="R274" s="7"/>
      <c r="S274" s="7"/>
      <c r="T274" s="7" t="str">
        <f ca="1">IFERROR(__xludf.DUMMYFUNCTION("SPARKLINE({
IF(D274="""",0,D274),
IF(F274="""",0,F274),
IF(H274="""",0,H274),
IF(J274="""",0,J274),
IF(L274="""",0,L274),
IF(N274="""",0,N274),
IF(P274="""",0,P274)
})"),"")</f>
        <v/>
      </c>
      <c r="U274" s="7" t="str">
        <f ca="1">IFERROR(__xludf.DUMMYFUNCTION("SPARKLINE({
IF(E274="""",0,E274),
IF(G274="""",0,G274),
IF(I274="""",0,I274),
IF(K274="""",0,K274),
IF(M274="""",0,M274),
IF(O274="""",0,O274),
IF(Q274="""",0,Q274)
})"),"")</f>
        <v/>
      </c>
      <c r="V274" s="8" t="e">
        <f t="array" aca="1" ref="V274" ca="1">IF($C$4="Giao",_xludf.Xlookup(C274,#REF!,#REF!,),_xludf.Xlookup(C274,#REF!,#REF!,))</f>
        <v>#NAME?</v>
      </c>
      <c r="W274" s="8" t="e">
        <f t="array" aca="1" ref="W274" ca="1">IF($C$4="Giao", _xludf.Xlookup(C274,#REF!,#REF!,),)</f>
        <v>#NAME?</v>
      </c>
      <c r="X274" s="9" t="e">
        <f t="shared" ca="1" si="6"/>
        <v>#NAME?</v>
      </c>
      <c r="Y274" s="7"/>
      <c r="Z274" s="7"/>
    </row>
    <row r="275" spans="1:26" ht="13" x14ac:dyDescent="0.6">
      <c r="A275" s="28" t="str">
        <f t="shared" si="5"/>
        <v/>
      </c>
      <c r="B275" s="7"/>
      <c r="C275" s="7"/>
      <c r="D275" s="9"/>
      <c r="E275" s="9"/>
      <c r="F275" s="7"/>
      <c r="G275" s="7"/>
      <c r="H275" s="7"/>
      <c r="I275" s="7"/>
      <c r="J275" s="7"/>
      <c r="K275" s="7"/>
      <c r="L275" s="7"/>
      <c r="M275" s="7"/>
      <c r="N275" s="7"/>
      <c r="O275" s="7"/>
      <c r="P275" s="29"/>
      <c r="Q275" s="29"/>
      <c r="R275" s="7"/>
      <c r="S275" s="7"/>
      <c r="T275" s="7" t="str">
        <f ca="1">IFERROR(__xludf.DUMMYFUNCTION("SPARKLINE({
IF(D275="""",0,D275),
IF(F275="""",0,F275),
IF(H275="""",0,H275),
IF(J275="""",0,J275),
IF(L275="""",0,L275),
IF(N275="""",0,N275),
IF(P275="""",0,P275)
})"),"")</f>
        <v/>
      </c>
      <c r="U275" s="7" t="str">
        <f ca="1">IFERROR(__xludf.DUMMYFUNCTION("SPARKLINE({
IF(E275="""",0,E275),
IF(G275="""",0,G275),
IF(I275="""",0,I275),
IF(K275="""",0,K275),
IF(M275="""",0,M275),
IF(O275="""",0,O275),
IF(Q275="""",0,Q275)
})"),"")</f>
        <v/>
      </c>
      <c r="V275" s="8" t="e">
        <f t="array" aca="1" ref="V275" ca="1">IF($C$4="Giao",_xludf.Xlookup(C275,#REF!,#REF!,),_xludf.Xlookup(C275,#REF!,#REF!,))</f>
        <v>#NAME?</v>
      </c>
      <c r="W275" s="8" t="e">
        <f t="array" aca="1" ref="W275" ca="1">IF($C$4="Giao", _xludf.Xlookup(C275,#REF!,#REF!,),)</f>
        <v>#NAME?</v>
      </c>
      <c r="X275" s="9" t="e">
        <f t="shared" ca="1" si="6"/>
        <v>#NAME?</v>
      </c>
      <c r="Y275" s="7"/>
      <c r="Z275" s="7"/>
    </row>
    <row r="276" spans="1:26" ht="13" x14ac:dyDescent="0.6">
      <c r="A276" s="28" t="str">
        <f t="shared" si="5"/>
        <v/>
      </c>
      <c r="B276" s="7"/>
      <c r="C276" s="7"/>
      <c r="D276" s="9"/>
      <c r="E276" s="9"/>
      <c r="F276" s="7"/>
      <c r="G276" s="7"/>
      <c r="H276" s="7"/>
      <c r="I276" s="7"/>
      <c r="J276" s="7"/>
      <c r="K276" s="7"/>
      <c r="L276" s="7"/>
      <c r="M276" s="7"/>
      <c r="N276" s="7"/>
      <c r="O276" s="7"/>
      <c r="P276" s="29"/>
      <c r="Q276" s="29"/>
      <c r="R276" s="7"/>
      <c r="S276" s="7"/>
      <c r="T276" s="7" t="str">
        <f ca="1">IFERROR(__xludf.DUMMYFUNCTION("SPARKLINE({
IF(D276="""",0,D276),
IF(F276="""",0,F276),
IF(H276="""",0,H276),
IF(J276="""",0,J276),
IF(L276="""",0,L276),
IF(N276="""",0,N276),
IF(P276="""",0,P276)
})"),"")</f>
        <v/>
      </c>
      <c r="U276" s="7" t="str">
        <f ca="1">IFERROR(__xludf.DUMMYFUNCTION("SPARKLINE({
IF(E276="""",0,E276),
IF(G276="""",0,G276),
IF(I276="""",0,I276),
IF(K276="""",0,K276),
IF(M276="""",0,M276),
IF(O276="""",0,O276),
IF(Q276="""",0,Q276)
})"),"")</f>
        <v/>
      </c>
      <c r="V276" s="8" t="e">
        <f t="array" aca="1" ref="V276" ca="1">IF($C$4="Giao",_xludf.Xlookup(C276,#REF!,#REF!,),_xludf.Xlookup(C276,#REF!,#REF!,))</f>
        <v>#NAME?</v>
      </c>
      <c r="W276" s="8" t="e">
        <f t="array" aca="1" ref="W276" ca="1">IF($C$4="Giao", _xludf.Xlookup(C276,#REF!,#REF!,),)</f>
        <v>#NAME?</v>
      </c>
      <c r="X276" s="9" t="e">
        <f t="shared" ca="1" si="6"/>
        <v>#NAME?</v>
      </c>
      <c r="Y276" s="7"/>
      <c r="Z276" s="7"/>
    </row>
    <row r="277" spans="1:26" ht="13" x14ac:dyDescent="0.6">
      <c r="A277" s="28" t="str">
        <f t="shared" si="5"/>
        <v/>
      </c>
      <c r="B277" s="7"/>
      <c r="C277" s="7"/>
      <c r="D277" s="9"/>
      <c r="E277" s="9"/>
      <c r="F277" s="7"/>
      <c r="G277" s="7"/>
      <c r="H277" s="7"/>
      <c r="I277" s="7"/>
      <c r="J277" s="7"/>
      <c r="K277" s="7"/>
      <c r="L277" s="7"/>
      <c r="M277" s="7"/>
      <c r="N277" s="7"/>
      <c r="O277" s="7"/>
      <c r="P277" s="29"/>
      <c r="Q277" s="29"/>
      <c r="R277" s="7"/>
      <c r="S277" s="7"/>
      <c r="T277" s="7" t="str">
        <f ca="1">IFERROR(__xludf.DUMMYFUNCTION("SPARKLINE({
IF(D277="""",0,D277),
IF(F277="""",0,F277),
IF(H277="""",0,H277),
IF(J277="""",0,J277),
IF(L277="""",0,L277),
IF(N277="""",0,N277),
IF(P277="""",0,P277)
})"),"")</f>
        <v/>
      </c>
      <c r="U277" s="7" t="str">
        <f ca="1">IFERROR(__xludf.DUMMYFUNCTION("SPARKLINE({
IF(E277="""",0,E277),
IF(G277="""",0,G277),
IF(I277="""",0,I277),
IF(K277="""",0,K277),
IF(M277="""",0,M277),
IF(O277="""",0,O277),
IF(Q277="""",0,Q277)
})"),"")</f>
        <v/>
      </c>
      <c r="V277" s="8" t="e">
        <f t="array" aca="1" ref="V277" ca="1">IF($C$4="Giao",_xludf.Xlookup(C277,#REF!,#REF!,),_xludf.Xlookup(C277,#REF!,#REF!,))</f>
        <v>#NAME?</v>
      </c>
      <c r="W277" s="8" t="e">
        <f t="array" aca="1" ref="W277" ca="1">IF($C$4="Giao", _xludf.Xlookup(C277,#REF!,#REF!,),)</f>
        <v>#NAME?</v>
      </c>
      <c r="X277" s="9" t="e">
        <f t="shared" ca="1" si="6"/>
        <v>#NAME?</v>
      </c>
      <c r="Y277" s="7"/>
      <c r="Z277" s="7"/>
    </row>
    <row r="278" spans="1:26" ht="13" x14ac:dyDescent="0.6">
      <c r="A278" s="28" t="str">
        <f t="shared" si="5"/>
        <v/>
      </c>
      <c r="B278" s="7"/>
      <c r="C278" s="7"/>
      <c r="D278" s="9"/>
      <c r="E278" s="9"/>
      <c r="F278" s="7"/>
      <c r="G278" s="7"/>
      <c r="H278" s="7"/>
      <c r="I278" s="7"/>
      <c r="J278" s="7"/>
      <c r="K278" s="7"/>
      <c r="L278" s="7"/>
      <c r="M278" s="7"/>
      <c r="N278" s="7"/>
      <c r="O278" s="7"/>
      <c r="P278" s="29"/>
      <c r="Q278" s="29"/>
      <c r="R278" s="7"/>
      <c r="S278" s="7"/>
      <c r="T278" s="7" t="str">
        <f ca="1">IFERROR(__xludf.DUMMYFUNCTION("SPARKLINE({
IF(D278="""",0,D278),
IF(F278="""",0,F278),
IF(H278="""",0,H278),
IF(J278="""",0,J278),
IF(L278="""",0,L278),
IF(N278="""",0,N278),
IF(P278="""",0,P278)
})"),"")</f>
        <v/>
      </c>
      <c r="U278" s="7" t="str">
        <f ca="1">IFERROR(__xludf.DUMMYFUNCTION("SPARKLINE({
IF(E278="""",0,E278),
IF(G278="""",0,G278),
IF(I278="""",0,I278),
IF(K278="""",0,K278),
IF(M278="""",0,M278),
IF(O278="""",0,O278),
IF(Q278="""",0,Q278)
})"),"")</f>
        <v/>
      </c>
      <c r="V278" s="8" t="e">
        <f t="array" aca="1" ref="V278" ca="1">IF($C$4="Giao",_xludf.Xlookup(C278,#REF!,#REF!,),_xludf.Xlookup(C278,#REF!,#REF!,))</f>
        <v>#NAME?</v>
      </c>
      <c r="W278" s="8" t="e">
        <f t="array" aca="1" ref="W278" ca="1">IF($C$4="Giao", _xludf.Xlookup(C278,#REF!,#REF!,),)</f>
        <v>#NAME?</v>
      </c>
      <c r="X278" s="9" t="e">
        <f t="shared" ca="1" si="6"/>
        <v>#NAME?</v>
      </c>
      <c r="Y278" s="7"/>
      <c r="Z278" s="7"/>
    </row>
    <row r="279" spans="1:26" ht="13" x14ac:dyDescent="0.6">
      <c r="A279" s="28" t="str">
        <f t="shared" si="5"/>
        <v/>
      </c>
      <c r="B279" s="7"/>
      <c r="C279" s="7"/>
      <c r="D279" s="9"/>
      <c r="E279" s="9"/>
      <c r="F279" s="7"/>
      <c r="G279" s="7"/>
      <c r="H279" s="7"/>
      <c r="I279" s="7"/>
      <c r="J279" s="7"/>
      <c r="K279" s="7"/>
      <c r="L279" s="7"/>
      <c r="M279" s="7"/>
      <c r="N279" s="7"/>
      <c r="O279" s="7"/>
      <c r="P279" s="29"/>
      <c r="Q279" s="29"/>
      <c r="R279" s="7"/>
      <c r="S279" s="7"/>
      <c r="T279" s="7" t="str">
        <f ca="1">IFERROR(__xludf.DUMMYFUNCTION("SPARKLINE({
IF(D279="""",0,D279),
IF(F279="""",0,F279),
IF(H279="""",0,H279),
IF(J279="""",0,J279),
IF(L279="""",0,L279),
IF(N279="""",0,N279),
IF(P279="""",0,P279)
})"),"")</f>
        <v/>
      </c>
      <c r="U279" s="7" t="str">
        <f ca="1">IFERROR(__xludf.DUMMYFUNCTION("SPARKLINE({
IF(E279="""",0,E279),
IF(G279="""",0,G279),
IF(I279="""",0,I279),
IF(K279="""",0,K279),
IF(M279="""",0,M279),
IF(O279="""",0,O279),
IF(Q279="""",0,Q279)
})"),"")</f>
        <v/>
      </c>
      <c r="V279" s="8" t="e">
        <f t="array" aca="1" ref="V279" ca="1">IF($C$4="Giao",_xludf.Xlookup(C279,#REF!,#REF!,),_xludf.Xlookup(C279,#REF!,#REF!,))</f>
        <v>#NAME?</v>
      </c>
      <c r="W279" s="8" t="e">
        <f t="array" aca="1" ref="W279" ca="1">IF($C$4="Giao", _xludf.Xlookup(C279,#REF!,#REF!,),)</f>
        <v>#NAME?</v>
      </c>
      <c r="X279" s="9" t="e">
        <f t="shared" ca="1" si="6"/>
        <v>#NAME?</v>
      </c>
      <c r="Y279" s="7"/>
      <c r="Z279" s="7"/>
    </row>
    <row r="280" spans="1:26" ht="13" x14ac:dyDescent="0.6">
      <c r="A280" s="28" t="str">
        <f t="shared" si="5"/>
        <v/>
      </c>
      <c r="B280" s="7"/>
      <c r="C280" s="7"/>
      <c r="D280" s="9"/>
      <c r="E280" s="9"/>
      <c r="F280" s="7"/>
      <c r="G280" s="7"/>
      <c r="H280" s="7"/>
      <c r="I280" s="7"/>
      <c r="J280" s="7"/>
      <c r="K280" s="7"/>
      <c r="L280" s="7"/>
      <c r="M280" s="7"/>
      <c r="N280" s="7"/>
      <c r="O280" s="7"/>
      <c r="P280" s="29"/>
      <c r="Q280" s="29"/>
      <c r="R280" s="7"/>
      <c r="S280" s="7"/>
      <c r="T280" s="7" t="str">
        <f ca="1">IFERROR(__xludf.DUMMYFUNCTION("SPARKLINE({
IF(D280="""",0,D280),
IF(F280="""",0,F280),
IF(H280="""",0,H280),
IF(J280="""",0,J280),
IF(L280="""",0,L280),
IF(N280="""",0,N280),
IF(P280="""",0,P280)
})"),"")</f>
        <v/>
      </c>
      <c r="U280" s="7" t="str">
        <f ca="1">IFERROR(__xludf.DUMMYFUNCTION("SPARKLINE({
IF(E280="""",0,E280),
IF(G280="""",0,G280),
IF(I280="""",0,I280),
IF(K280="""",0,K280),
IF(M280="""",0,M280),
IF(O280="""",0,O280),
IF(Q280="""",0,Q280)
})"),"")</f>
        <v/>
      </c>
      <c r="V280" s="8" t="e">
        <f t="array" aca="1" ref="V280" ca="1">IF($C$4="Giao",_xludf.Xlookup(C280,#REF!,#REF!,),_xludf.Xlookup(C280,#REF!,#REF!,))</f>
        <v>#NAME?</v>
      </c>
      <c r="W280" s="8" t="e">
        <f t="array" aca="1" ref="W280" ca="1">IF($C$4="Giao", _xludf.Xlookup(C280,#REF!,#REF!,),)</f>
        <v>#NAME?</v>
      </c>
      <c r="X280" s="9" t="e">
        <f t="shared" ca="1" si="6"/>
        <v>#NAME?</v>
      </c>
      <c r="Y280" s="7"/>
      <c r="Z280" s="7"/>
    </row>
    <row r="281" spans="1:26" ht="13" x14ac:dyDescent="0.6">
      <c r="A281" s="28" t="str">
        <f t="shared" si="5"/>
        <v/>
      </c>
      <c r="B281" s="7"/>
      <c r="C281" s="7"/>
      <c r="D281" s="9"/>
      <c r="E281" s="9"/>
      <c r="F281" s="7"/>
      <c r="G281" s="7"/>
      <c r="H281" s="7"/>
      <c r="I281" s="7"/>
      <c r="J281" s="7"/>
      <c r="K281" s="7"/>
      <c r="L281" s="7"/>
      <c r="M281" s="7"/>
      <c r="N281" s="7"/>
      <c r="O281" s="7"/>
      <c r="P281" s="29"/>
      <c r="Q281" s="29"/>
      <c r="R281" s="7"/>
      <c r="S281" s="7"/>
      <c r="T281" s="7" t="str">
        <f ca="1">IFERROR(__xludf.DUMMYFUNCTION("SPARKLINE({
IF(D281="""",0,D281),
IF(F281="""",0,F281),
IF(H281="""",0,H281),
IF(J281="""",0,J281),
IF(L281="""",0,L281),
IF(N281="""",0,N281),
IF(P281="""",0,P281)
})"),"")</f>
        <v/>
      </c>
      <c r="U281" s="7" t="str">
        <f ca="1">IFERROR(__xludf.DUMMYFUNCTION("SPARKLINE({
IF(E281="""",0,E281),
IF(G281="""",0,G281),
IF(I281="""",0,I281),
IF(K281="""",0,K281),
IF(M281="""",0,M281),
IF(O281="""",0,O281),
IF(Q281="""",0,Q281)
})"),"")</f>
        <v/>
      </c>
      <c r="V281" s="8" t="e">
        <f t="array" aca="1" ref="V281" ca="1">IF($C$4="Giao",_xludf.Xlookup(C281,#REF!,#REF!,),_xludf.Xlookup(C281,#REF!,#REF!,))</f>
        <v>#NAME?</v>
      </c>
      <c r="W281" s="8" t="e">
        <f t="array" aca="1" ref="W281" ca="1">IF($C$4="Giao", _xludf.Xlookup(C281,#REF!,#REF!,),)</f>
        <v>#NAME?</v>
      </c>
      <c r="X281" s="9" t="e">
        <f t="shared" ca="1" si="6"/>
        <v>#NAME?</v>
      </c>
      <c r="Y281" s="7"/>
      <c r="Z281" s="7"/>
    </row>
    <row r="282" spans="1:26" ht="13" x14ac:dyDescent="0.6">
      <c r="A282" s="28" t="str">
        <f t="shared" si="5"/>
        <v/>
      </c>
      <c r="B282" s="7"/>
      <c r="C282" s="7"/>
      <c r="D282" s="9"/>
      <c r="E282" s="9"/>
      <c r="F282" s="7"/>
      <c r="G282" s="7"/>
      <c r="H282" s="7"/>
      <c r="I282" s="7"/>
      <c r="J282" s="7"/>
      <c r="K282" s="7"/>
      <c r="L282" s="7"/>
      <c r="M282" s="7"/>
      <c r="N282" s="7"/>
      <c r="O282" s="7"/>
      <c r="P282" s="29"/>
      <c r="Q282" s="29"/>
      <c r="R282" s="7"/>
      <c r="S282" s="7"/>
      <c r="T282" s="7" t="str">
        <f ca="1">IFERROR(__xludf.DUMMYFUNCTION("SPARKLINE({
IF(D282="""",0,D282),
IF(F282="""",0,F282),
IF(H282="""",0,H282),
IF(J282="""",0,J282),
IF(L282="""",0,L282),
IF(N282="""",0,N282),
IF(P282="""",0,P282)
})"),"")</f>
        <v/>
      </c>
      <c r="U282" s="7" t="str">
        <f ca="1">IFERROR(__xludf.DUMMYFUNCTION("SPARKLINE({
IF(E282="""",0,E282),
IF(G282="""",0,G282),
IF(I282="""",0,I282),
IF(K282="""",0,K282),
IF(M282="""",0,M282),
IF(O282="""",0,O282),
IF(Q282="""",0,Q282)
})"),"")</f>
        <v/>
      </c>
      <c r="V282" s="8" t="e">
        <f t="array" aca="1" ref="V282" ca="1">IF($C$4="Giao",_xludf.Xlookup(C282,#REF!,#REF!,),_xludf.Xlookup(C282,#REF!,#REF!,))</f>
        <v>#NAME?</v>
      </c>
      <c r="W282" s="8" t="e">
        <f t="array" aca="1" ref="W282" ca="1">IF($C$4="Giao", _xludf.Xlookup(C282,#REF!,#REF!,),)</f>
        <v>#NAME?</v>
      </c>
      <c r="X282" s="9" t="e">
        <f t="shared" ca="1" si="6"/>
        <v>#NAME?</v>
      </c>
      <c r="Y282" s="7"/>
      <c r="Z282" s="7"/>
    </row>
    <row r="283" spans="1:26" ht="13" x14ac:dyDescent="0.6">
      <c r="A283" s="28" t="str">
        <f t="shared" si="5"/>
        <v/>
      </c>
      <c r="B283" s="7"/>
      <c r="C283" s="7"/>
      <c r="D283" s="9"/>
      <c r="E283" s="9"/>
      <c r="F283" s="7"/>
      <c r="G283" s="7"/>
      <c r="H283" s="7"/>
      <c r="I283" s="7"/>
      <c r="J283" s="7"/>
      <c r="K283" s="7"/>
      <c r="L283" s="7"/>
      <c r="M283" s="7"/>
      <c r="N283" s="7"/>
      <c r="O283" s="7"/>
      <c r="P283" s="29"/>
      <c r="Q283" s="29"/>
      <c r="R283" s="7"/>
      <c r="S283" s="7"/>
      <c r="T283" s="7" t="str">
        <f ca="1">IFERROR(__xludf.DUMMYFUNCTION("SPARKLINE({
IF(D283="""",0,D283),
IF(F283="""",0,F283),
IF(H283="""",0,H283),
IF(J283="""",0,J283),
IF(L283="""",0,L283),
IF(N283="""",0,N283),
IF(P283="""",0,P283)
})"),"")</f>
        <v/>
      </c>
      <c r="U283" s="7" t="str">
        <f ca="1">IFERROR(__xludf.DUMMYFUNCTION("SPARKLINE({
IF(E283="""",0,E283),
IF(G283="""",0,G283),
IF(I283="""",0,I283),
IF(K283="""",0,K283),
IF(M283="""",0,M283),
IF(O283="""",0,O283),
IF(Q283="""",0,Q283)
})"),"")</f>
        <v/>
      </c>
      <c r="V283" s="8" t="e">
        <f t="array" aca="1" ref="V283" ca="1">IF($C$4="Giao",_xludf.Xlookup(C283,#REF!,#REF!,),_xludf.Xlookup(C283,#REF!,#REF!,))</f>
        <v>#NAME?</v>
      </c>
      <c r="W283" s="8" t="e">
        <f t="array" aca="1" ref="W283" ca="1">IF($C$4="Giao", _xludf.Xlookup(C283,#REF!,#REF!,),)</f>
        <v>#NAME?</v>
      </c>
      <c r="X283" s="9" t="e">
        <f t="shared" ca="1" si="6"/>
        <v>#NAME?</v>
      </c>
      <c r="Y283" s="7"/>
      <c r="Z283" s="7"/>
    </row>
    <row r="284" spans="1:26" ht="13" x14ac:dyDescent="0.6">
      <c r="A284" s="28" t="str">
        <f t="shared" si="5"/>
        <v/>
      </c>
      <c r="B284" s="7"/>
      <c r="C284" s="7"/>
      <c r="D284" s="9"/>
      <c r="E284" s="9"/>
      <c r="F284" s="7"/>
      <c r="G284" s="7"/>
      <c r="H284" s="7"/>
      <c r="I284" s="7"/>
      <c r="J284" s="7"/>
      <c r="K284" s="7"/>
      <c r="L284" s="7"/>
      <c r="M284" s="7"/>
      <c r="N284" s="7"/>
      <c r="O284" s="7"/>
      <c r="P284" s="29"/>
      <c r="Q284" s="29"/>
      <c r="R284" s="7"/>
      <c r="S284" s="7"/>
      <c r="T284" s="7" t="str">
        <f ca="1">IFERROR(__xludf.DUMMYFUNCTION("SPARKLINE({
IF(D284="""",0,D284),
IF(F284="""",0,F284),
IF(H284="""",0,H284),
IF(J284="""",0,J284),
IF(L284="""",0,L284),
IF(N284="""",0,N284),
IF(P284="""",0,P284)
})"),"")</f>
        <v/>
      </c>
      <c r="U284" s="7" t="str">
        <f ca="1">IFERROR(__xludf.DUMMYFUNCTION("SPARKLINE({
IF(E284="""",0,E284),
IF(G284="""",0,G284),
IF(I284="""",0,I284),
IF(K284="""",0,K284),
IF(M284="""",0,M284),
IF(O284="""",0,O284),
IF(Q284="""",0,Q284)
})"),"")</f>
        <v/>
      </c>
      <c r="V284" s="8" t="e">
        <f t="array" aca="1" ref="V284" ca="1">IF($C$4="Giao",_xludf.Xlookup(C284,#REF!,#REF!,),_xludf.Xlookup(C284,#REF!,#REF!,))</f>
        <v>#NAME?</v>
      </c>
      <c r="W284" s="8" t="e">
        <f t="array" aca="1" ref="W284" ca="1">IF($C$4="Giao", _xludf.Xlookup(C284,#REF!,#REF!,),)</f>
        <v>#NAME?</v>
      </c>
      <c r="X284" s="9" t="e">
        <f t="shared" ca="1" si="6"/>
        <v>#NAME?</v>
      </c>
      <c r="Y284" s="7"/>
      <c r="Z284" s="7"/>
    </row>
    <row r="285" spans="1:26" ht="13" x14ac:dyDescent="0.6">
      <c r="A285" s="28" t="str">
        <f t="shared" si="5"/>
        <v/>
      </c>
      <c r="B285" s="7"/>
      <c r="C285" s="7"/>
      <c r="D285" s="9"/>
      <c r="E285" s="9"/>
      <c r="F285" s="7"/>
      <c r="G285" s="7"/>
      <c r="H285" s="7"/>
      <c r="I285" s="7"/>
      <c r="J285" s="7"/>
      <c r="K285" s="7"/>
      <c r="L285" s="7"/>
      <c r="M285" s="7"/>
      <c r="N285" s="7"/>
      <c r="O285" s="7"/>
      <c r="P285" s="29"/>
      <c r="Q285" s="29"/>
      <c r="R285" s="7"/>
      <c r="S285" s="7"/>
      <c r="T285" s="7" t="str">
        <f ca="1">IFERROR(__xludf.DUMMYFUNCTION("SPARKLINE({
IF(D285="""",0,D285),
IF(F285="""",0,F285),
IF(H285="""",0,H285),
IF(J285="""",0,J285),
IF(L285="""",0,L285),
IF(N285="""",0,N285),
IF(P285="""",0,P285)
})"),"")</f>
        <v/>
      </c>
      <c r="U285" s="7" t="str">
        <f ca="1">IFERROR(__xludf.DUMMYFUNCTION("SPARKLINE({
IF(E285="""",0,E285),
IF(G285="""",0,G285),
IF(I285="""",0,I285),
IF(K285="""",0,K285),
IF(M285="""",0,M285),
IF(O285="""",0,O285),
IF(Q285="""",0,Q285)
})"),"")</f>
        <v/>
      </c>
      <c r="V285" s="8" t="e">
        <f t="array" aca="1" ref="V285" ca="1">IF($C$4="Giao",_xludf.Xlookup(C285,#REF!,#REF!,),_xludf.Xlookup(C285,#REF!,#REF!,))</f>
        <v>#NAME?</v>
      </c>
      <c r="W285" s="8" t="e">
        <f t="array" aca="1" ref="W285" ca="1">IF($C$4="Giao", _xludf.Xlookup(C285,#REF!,#REF!,),)</f>
        <v>#NAME?</v>
      </c>
      <c r="X285" s="9" t="e">
        <f t="shared" ca="1" si="6"/>
        <v>#NAME?</v>
      </c>
      <c r="Y285" s="7"/>
      <c r="Z285" s="7"/>
    </row>
    <row r="286" spans="1:26" ht="13" x14ac:dyDescent="0.6">
      <c r="A286" s="28" t="str">
        <f t="shared" si="5"/>
        <v/>
      </c>
      <c r="B286" s="7"/>
      <c r="C286" s="7"/>
      <c r="D286" s="9"/>
      <c r="E286" s="9"/>
      <c r="F286" s="7"/>
      <c r="G286" s="7"/>
      <c r="H286" s="7"/>
      <c r="I286" s="7"/>
      <c r="J286" s="7"/>
      <c r="K286" s="7"/>
      <c r="L286" s="7"/>
      <c r="M286" s="7"/>
      <c r="N286" s="7"/>
      <c r="O286" s="7"/>
      <c r="P286" s="29"/>
      <c r="Q286" s="29"/>
      <c r="R286" s="7"/>
      <c r="S286" s="7"/>
      <c r="T286" s="7" t="str">
        <f ca="1">IFERROR(__xludf.DUMMYFUNCTION("SPARKLINE({
IF(D286="""",0,D286),
IF(F286="""",0,F286),
IF(H286="""",0,H286),
IF(J286="""",0,J286),
IF(L286="""",0,L286),
IF(N286="""",0,N286),
IF(P286="""",0,P286)
})"),"")</f>
        <v/>
      </c>
      <c r="U286" s="7" t="str">
        <f ca="1">IFERROR(__xludf.DUMMYFUNCTION("SPARKLINE({
IF(E286="""",0,E286),
IF(G286="""",0,G286),
IF(I286="""",0,I286),
IF(K286="""",0,K286),
IF(M286="""",0,M286),
IF(O286="""",0,O286),
IF(Q286="""",0,Q286)
})"),"")</f>
        <v/>
      </c>
      <c r="V286" s="8" t="e">
        <f t="array" aca="1" ref="V286" ca="1">IF($C$4="Giao",_xludf.Xlookup(C286,#REF!,#REF!,),_xludf.Xlookup(C286,#REF!,#REF!,))</f>
        <v>#NAME?</v>
      </c>
      <c r="W286" s="8" t="e">
        <f t="array" aca="1" ref="W286" ca="1">IF($C$4="Giao", _xludf.Xlookup(C286,#REF!,#REF!,),)</f>
        <v>#NAME?</v>
      </c>
      <c r="X286" s="9" t="e">
        <f t="shared" ca="1" si="6"/>
        <v>#NAME?</v>
      </c>
      <c r="Y286" s="7"/>
      <c r="Z286" s="7"/>
    </row>
    <row r="287" spans="1:26" ht="13" x14ac:dyDescent="0.6">
      <c r="A287" s="28" t="str">
        <f t="shared" si="5"/>
        <v/>
      </c>
      <c r="B287" s="7"/>
      <c r="C287" s="7"/>
      <c r="D287" s="9"/>
      <c r="E287" s="9"/>
      <c r="F287" s="7"/>
      <c r="G287" s="7"/>
      <c r="H287" s="7"/>
      <c r="I287" s="7"/>
      <c r="J287" s="7"/>
      <c r="K287" s="7"/>
      <c r="L287" s="7"/>
      <c r="M287" s="7"/>
      <c r="N287" s="7"/>
      <c r="O287" s="7"/>
      <c r="P287" s="29"/>
      <c r="Q287" s="29"/>
      <c r="R287" s="7"/>
      <c r="S287" s="7"/>
      <c r="T287" s="7" t="str">
        <f ca="1">IFERROR(__xludf.DUMMYFUNCTION("SPARKLINE({
IF(D287="""",0,D287),
IF(F287="""",0,F287),
IF(H287="""",0,H287),
IF(J287="""",0,J287),
IF(L287="""",0,L287),
IF(N287="""",0,N287),
IF(P287="""",0,P287)
})"),"")</f>
        <v/>
      </c>
      <c r="U287" s="7" t="str">
        <f ca="1">IFERROR(__xludf.DUMMYFUNCTION("SPARKLINE({
IF(E287="""",0,E287),
IF(G287="""",0,G287),
IF(I287="""",0,I287),
IF(K287="""",0,K287),
IF(M287="""",0,M287),
IF(O287="""",0,O287),
IF(Q287="""",0,Q287)
})"),"")</f>
        <v/>
      </c>
      <c r="V287" s="8" t="e">
        <f t="array" aca="1" ref="V287" ca="1">IF($C$4="Giao",_xludf.Xlookup(C287,#REF!,#REF!,),_xludf.Xlookup(C287,#REF!,#REF!,))</f>
        <v>#NAME?</v>
      </c>
      <c r="W287" s="8" t="e">
        <f t="array" aca="1" ref="W287" ca="1">IF($C$4="Giao", _xludf.Xlookup(C287,#REF!,#REF!,),)</f>
        <v>#NAME?</v>
      </c>
      <c r="X287" s="9" t="e">
        <f t="shared" ca="1" si="6"/>
        <v>#NAME?</v>
      </c>
      <c r="Y287" s="7"/>
      <c r="Z287" s="7"/>
    </row>
    <row r="288" spans="1:26" ht="13" x14ac:dyDescent="0.6">
      <c r="A288" s="28" t="str">
        <f t="shared" si="5"/>
        <v/>
      </c>
      <c r="B288" s="7"/>
      <c r="C288" s="7"/>
      <c r="D288" s="9"/>
      <c r="E288" s="9"/>
      <c r="F288" s="7"/>
      <c r="G288" s="7"/>
      <c r="H288" s="7"/>
      <c r="I288" s="7"/>
      <c r="J288" s="7"/>
      <c r="K288" s="7"/>
      <c r="L288" s="7"/>
      <c r="M288" s="7"/>
      <c r="N288" s="7"/>
      <c r="O288" s="7"/>
      <c r="P288" s="29"/>
      <c r="Q288" s="29"/>
      <c r="R288" s="7"/>
      <c r="S288" s="7"/>
      <c r="T288" s="7" t="str">
        <f ca="1">IFERROR(__xludf.DUMMYFUNCTION("SPARKLINE({
IF(D288="""",0,D288),
IF(F288="""",0,F288),
IF(H288="""",0,H288),
IF(J288="""",0,J288),
IF(L288="""",0,L288),
IF(N288="""",0,N288),
IF(P288="""",0,P288)
})"),"")</f>
        <v/>
      </c>
      <c r="U288" s="7" t="str">
        <f ca="1">IFERROR(__xludf.DUMMYFUNCTION("SPARKLINE({
IF(E288="""",0,E288),
IF(G288="""",0,G288),
IF(I288="""",0,I288),
IF(K288="""",0,K288),
IF(M288="""",0,M288),
IF(O288="""",0,O288),
IF(Q288="""",0,Q288)
})"),"")</f>
        <v/>
      </c>
      <c r="V288" s="8" t="e">
        <f t="array" aca="1" ref="V288" ca="1">IF($C$4="Giao",_xludf.Xlookup(C288,#REF!,#REF!,),_xludf.Xlookup(C288,#REF!,#REF!,))</f>
        <v>#NAME?</v>
      </c>
      <c r="W288" s="8" t="e">
        <f t="array" aca="1" ref="W288" ca="1">IF($C$4="Giao", _xludf.Xlookup(C288,#REF!,#REF!,),)</f>
        <v>#NAME?</v>
      </c>
      <c r="X288" s="9" t="e">
        <f t="shared" ca="1" si="6"/>
        <v>#NAME?</v>
      </c>
      <c r="Y288" s="7"/>
      <c r="Z288" s="7"/>
    </row>
    <row r="289" spans="1:26" ht="13" x14ac:dyDescent="0.6">
      <c r="A289" s="28" t="str">
        <f t="shared" si="5"/>
        <v/>
      </c>
      <c r="B289" s="7"/>
      <c r="C289" s="7"/>
      <c r="D289" s="9"/>
      <c r="E289" s="9"/>
      <c r="F289" s="7"/>
      <c r="G289" s="7"/>
      <c r="H289" s="7"/>
      <c r="I289" s="7"/>
      <c r="J289" s="7"/>
      <c r="K289" s="7"/>
      <c r="L289" s="7"/>
      <c r="M289" s="7"/>
      <c r="N289" s="7"/>
      <c r="O289" s="7"/>
      <c r="P289" s="29"/>
      <c r="Q289" s="29"/>
      <c r="R289" s="7"/>
      <c r="S289" s="7"/>
      <c r="T289" s="7" t="str">
        <f ca="1">IFERROR(__xludf.DUMMYFUNCTION("SPARKLINE({
IF(D289="""",0,D289),
IF(F289="""",0,F289),
IF(H289="""",0,H289),
IF(J289="""",0,J289),
IF(L289="""",0,L289),
IF(N289="""",0,N289),
IF(P289="""",0,P289)
})"),"")</f>
        <v/>
      </c>
      <c r="U289" s="7" t="str">
        <f ca="1">IFERROR(__xludf.DUMMYFUNCTION("SPARKLINE({
IF(E289="""",0,E289),
IF(G289="""",0,G289),
IF(I289="""",0,I289),
IF(K289="""",0,K289),
IF(M289="""",0,M289),
IF(O289="""",0,O289),
IF(Q289="""",0,Q289)
})"),"")</f>
        <v/>
      </c>
      <c r="V289" s="8" t="e">
        <f t="array" aca="1" ref="V289" ca="1">IF($C$4="Giao",_xludf.Xlookup(C289,#REF!,#REF!,),_xludf.Xlookup(C289,#REF!,#REF!,))</f>
        <v>#NAME?</v>
      </c>
      <c r="W289" s="8" t="e">
        <f t="array" aca="1" ref="W289" ca="1">IF($C$4="Giao", _xludf.Xlookup(C289,#REF!,#REF!,),)</f>
        <v>#NAME?</v>
      </c>
      <c r="X289" s="9" t="e">
        <f t="shared" ca="1" si="6"/>
        <v>#NAME?</v>
      </c>
      <c r="Y289" s="7"/>
      <c r="Z289" s="7"/>
    </row>
    <row r="290" spans="1:26" ht="13" x14ac:dyDescent="0.6">
      <c r="A290" s="28" t="str">
        <f t="shared" si="5"/>
        <v/>
      </c>
      <c r="B290" s="7"/>
      <c r="C290" s="7"/>
      <c r="D290" s="9"/>
      <c r="E290" s="9"/>
      <c r="F290" s="7"/>
      <c r="G290" s="7"/>
      <c r="H290" s="7"/>
      <c r="I290" s="7"/>
      <c r="J290" s="7"/>
      <c r="K290" s="7"/>
      <c r="L290" s="7"/>
      <c r="M290" s="7"/>
      <c r="N290" s="7"/>
      <c r="O290" s="7"/>
      <c r="P290" s="29"/>
      <c r="Q290" s="29"/>
      <c r="R290" s="7"/>
      <c r="S290" s="7"/>
      <c r="T290" s="7" t="str">
        <f ca="1">IFERROR(__xludf.DUMMYFUNCTION("SPARKLINE({
IF(D290="""",0,D290),
IF(F290="""",0,F290),
IF(H290="""",0,H290),
IF(J290="""",0,J290),
IF(L290="""",0,L290),
IF(N290="""",0,N290),
IF(P290="""",0,P290)
})"),"")</f>
        <v/>
      </c>
      <c r="U290" s="7" t="str">
        <f ca="1">IFERROR(__xludf.DUMMYFUNCTION("SPARKLINE({
IF(E290="""",0,E290),
IF(G290="""",0,G290),
IF(I290="""",0,I290),
IF(K290="""",0,K290),
IF(M290="""",0,M290),
IF(O290="""",0,O290),
IF(Q290="""",0,Q290)
})"),"")</f>
        <v/>
      </c>
      <c r="V290" s="8" t="e">
        <f t="array" aca="1" ref="V290" ca="1">IF($C$4="Giao",_xludf.Xlookup(C290,#REF!,#REF!,),_xludf.Xlookup(C290,#REF!,#REF!,))</f>
        <v>#NAME?</v>
      </c>
      <c r="W290" s="8" t="e">
        <f t="array" aca="1" ref="W290" ca="1">IF($C$4="Giao", _xludf.Xlookup(C290,#REF!,#REF!,),)</f>
        <v>#NAME?</v>
      </c>
      <c r="X290" s="9" t="e">
        <f t="shared" ca="1" si="6"/>
        <v>#NAME?</v>
      </c>
      <c r="Y290" s="7"/>
      <c r="Z290" s="7"/>
    </row>
    <row r="291" spans="1:26" ht="13" x14ac:dyDescent="0.6">
      <c r="A291" s="28" t="str">
        <f t="shared" si="5"/>
        <v/>
      </c>
      <c r="B291" s="7"/>
      <c r="C291" s="7"/>
      <c r="D291" s="9"/>
      <c r="E291" s="9"/>
      <c r="F291" s="7"/>
      <c r="G291" s="7"/>
      <c r="H291" s="7"/>
      <c r="I291" s="7"/>
      <c r="J291" s="7"/>
      <c r="K291" s="7"/>
      <c r="L291" s="7"/>
      <c r="M291" s="7"/>
      <c r="N291" s="7"/>
      <c r="O291" s="7"/>
      <c r="P291" s="29"/>
      <c r="Q291" s="29"/>
      <c r="R291" s="7"/>
      <c r="S291" s="7"/>
      <c r="T291" s="7" t="str">
        <f ca="1">IFERROR(__xludf.DUMMYFUNCTION("SPARKLINE({
IF(D291="""",0,D291),
IF(F291="""",0,F291),
IF(H291="""",0,H291),
IF(J291="""",0,J291),
IF(L291="""",0,L291),
IF(N291="""",0,N291),
IF(P291="""",0,P291)
})"),"")</f>
        <v/>
      </c>
      <c r="U291" s="7" t="str">
        <f ca="1">IFERROR(__xludf.DUMMYFUNCTION("SPARKLINE({
IF(E291="""",0,E291),
IF(G291="""",0,G291),
IF(I291="""",0,I291),
IF(K291="""",0,K291),
IF(M291="""",0,M291),
IF(O291="""",0,O291),
IF(Q291="""",0,Q291)
})"),"")</f>
        <v/>
      </c>
      <c r="V291" s="8" t="e">
        <f t="array" aca="1" ref="V291" ca="1">IF($C$4="Giao",_xludf.Xlookup(C291,#REF!,#REF!,),_xludf.Xlookup(C291,#REF!,#REF!,))</f>
        <v>#NAME?</v>
      </c>
      <c r="W291" s="8" t="e">
        <f t="array" aca="1" ref="W291" ca="1">IF($C$4="Giao", _xludf.Xlookup(C291,#REF!,#REF!,),)</f>
        <v>#NAME?</v>
      </c>
      <c r="X291" s="9" t="e">
        <f t="shared" ca="1" si="6"/>
        <v>#NAME?</v>
      </c>
      <c r="Y291" s="7"/>
      <c r="Z291" s="7"/>
    </row>
    <row r="292" spans="1:26" ht="13" x14ac:dyDescent="0.6">
      <c r="A292" s="28" t="str">
        <f t="shared" si="5"/>
        <v/>
      </c>
      <c r="B292" s="7"/>
      <c r="C292" s="7"/>
      <c r="D292" s="9"/>
      <c r="E292" s="9"/>
      <c r="F292" s="7"/>
      <c r="G292" s="7"/>
      <c r="H292" s="7"/>
      <c r="I292" s="7"/>
      <c r="J292" s="7"/>
      <c r="K292" s="7"/>
      <c r="L292" s="7"/>
      <c r="M292" s="7"/>
      <c r="N292" s="7"/>
      <c r="O292" s="7"/>
      <c r="P292" s="29"/>
      <c r="Q292" s="29"/>
      <c r="R292" s="7"/>
      <c r="S292" s="7"/>
      <c r="T292" s="7" t="str">
        <f ca="1">IFERROR(__xludf.DUMMYFUNCTION("SPARKLINE({
IF(D292="""",0,D292),
IF(F292="""",0,F292),
IF(H292="""",0,H292),
IF(J292="""",0,J292),
IF(L292="""",0,L292),
IF(N292="""",0,N292),
IF(P292="""",0,P292)
})"),"")</f>
        <v/>
      </c>
      <c r="U292" s="7" t="str">
        <f ca="1">IFERROR(__xludf.DUMMYFUNCTION("SPARKLINE({
IF(E292="""",0,E292),
IF(G292="""",0,G292),
IF(I292="""",0,I292),
IF(K292="""",0,K292),
IF(M292="""",0,M292),
IF(O292="""",0,O292),
IF(Q292="""",0,Q292)
})"),"")</f>
        <v/>
      </c>
      <c r="V292" s="8" t="e">
        <f t="array" aca="1" ref="V292" ca="1">IF($C$4="Giao",_xludf.Xlookup(C292,#REF!,#REF!,),_xludf.Xlookup(C292,#REF!,#REF!,))</f>
        <v>#NAME?</v>
      </c>
      <c r="W292" s="8" t="e">
        <f t="array" aca="1" ref="W292" ca="1">IF($C$4="Giao", _xludf.Xlookup(C292,#REF!,#REF!,),)</f>
        <v>#NAME?</v>
      </c>
      <c r="X292" s="9" t="e">
        <f t="shared" ca="1" si="6"/>
        <v>#NAME?</v>
      </c>
      <c r="Y292" s="7"/>
      <c r="Z292" s="7"/>
    </row>
    <row r="293" spans="1:26" ht="13" x14ac:dyDescent="0.6">
      <c r="A293" s="28" t="str">
        <f t="shared" si="5"/>
        <v/>
      </c>
      <c r="B293" s="7"/>
      <c r="C293" s="7"/>
      <c r="D293" s="9"/>
      <c r="E293" s="9"/>
      <c r="F293" s="7"/>
      <c r="G293" s="7"/>
      <c r="H293" s="7"/>
      <c r="I293" s="7"/>
      <c r="J293" s="7"/>
      <c r="K293" s="7"/>
      <c r="L293" s="7"/>
      <c r="M293" s="7"/>
      <c r="N293" s="7"/>
      <c r="O293" s="7"/>
      <c r="P293" s="29"/>
      <c r="Q293" s="29"/>
      <c r="R293" s="7"/>
      <c r="S293" s="7"/>
      <c r="T293" s="7" t="str">
        <f ca="1">IFERROR(__xludf.DUMMYFUNCTION("SPARKLINE({
IF(D293="""",0,D293),
IF(F293="""",0,F293),
IF(H293="""",0,H293),
IF(J293="""",0,J293),
IF(L293="""",0,L293),
IF(N293="""",0,N293),
IF(P293="""",0,P293)
})"),"")</f>
        <v/>
      </c>
      <c r="U293" s="7" t="str">
        <f ca="1">IFERROR(__xludf.DUMMYFUNCTION("SPARKLINE({
IF(E293="""",0,E293),
IF(G293="""",0,G293),
IF(I293="""",0,I293),
IF(K293="""",0,K293),
IF(M293="""",0,M293),
IF(O293="""",0,O293),
IF(Q293="""",0,Q293)
})"),"")</f>
        <v/>
      </c>
      <c r="V293" s="8" t="e">
        <f t="array" aca="1" ref="V293" ca="1">IF($C$4="Giao",_xludf.Xlookup(C293,#REF!,#REF!,),_xludf.Xlookup(C293,#REF!,#REF!,))</f>
        <v>#NAME?</v>
      </c>
      <c r="W293" s="8" t="e">
        <f t="array" aca="1" ref="W293" ca="1">IF($C$4="Giao", _xludf.Xlookup(C293,#REF!,#REF!,),)</f>
        <v>#NAME?</v>
      </c>
      <c r="X293" s="9" t="e">
        <f t="shared" ca="1" si="6"/>
        <v>#NAME?</v>
      </c>
      <c r="Y293" s="7"/>
      <c r="Z293" s="7"/>
    </row>
    <row r="294" spans="1:26" ht="13" x14ac:dyDescent="0.6">
      <c r="A294" s="28" t="str">
        <f t="shared" si="5"/>
        <v/>
      </c>
      <c r="B294" s="7"/>
      <c r="C294" s="7"/>
      <c r="D294" s="9"/>
      <c r="E294" s="9"/>
      <c r="F294" s="7"/>
      <c r="G294" s="7"/>
      <c r="H294" s="7"/>
      <c r="I294" s="7"/>
      <c r="J294" s="7"/>
      <c r="K294" s="7"/>
      <c r="L294" s="7"/>
      <c r="M294" s="7"/>
      <c r="N294" s="7"/>
      <c r="O294" s="7"/>
      <c r="P294" s="29"/>
      <c r="Q294" s="29"/>
      <c r="R294" s="7"/>
      <c r="S294" s="7"/>
      <c r="T294" s="7" t="str">
        <f ca="1">IFERROR(__xludf.DUMMYFUNCTION("SPARKLINE({
IF(D294="""",0,D294),
IF(F294="""",0,F294),
IF(H294="""",0,H294),
IF(J294="""",0,J294),
IF(L294="""",0,L294),
IF(N294="""",0,N294),
IF(P294="""",0,P294)
})"),"")</f>
        <v/>
      </c>
      <c r="U294" s="7" t="str">
        <f ca="1">IFERROR(__xludf.DUMMYFUNCTION("SPARKLINE({
IF(E294="""",0,E294),
IF(G294="""",0,G294),
IF(I294="""",0,I294),
IF(K294="""",0,K294),
IF(M294="""",0,M294),
IF(O294="""",0,O294),
IF(Q294="""",0,Q294)
})"),"")</f>
        <v/>
      </c>
      <c r="V294" s="8" t="e">
        <f t="array" aca="1" ref="V294" ca="1">IF($C$4="Giao",_xludf.Xlookup(C294,#REF!,#REF!,),_xludf.Xlookup(C294,#REF!,#REF!,))</f>
        <v>#NAME?</v>
      </c>
      <c r="W294" s="8" t="e">
        <f t="array" aca="1" ref="W294" ca="1">IF($C$4="Giao", _xludf.Xlookup(C294,#REF!,#REF!,),)</f>
        <v>#NAME?</v>
      </c>
      <c r="X294" s="9" t="e">
        <f t="shared" ca="1" si="6"/>
        <v>#NAME?</v>
      </c>
      <c r="Y294" s="7"/>
      <c r="Z294" s="7"/>
    </row>
    <row r="295" spans="1:26" ht="13" x14ac:dyDescent="0.6">
      <c r="A295" s="28" t="str">
        <f t="shared" si="5"/>
        <v/>
      </c>
      <c r="B295" s="7"/>
      <c r="C295" s="7"/>
      <c r="D295" s="9"/>
      <c r="E295" s="9"/>
      <c r="F295" s="7"/>
      <c r="G295" s="7"/>
      <c r="H295" s="7"/>
      <c r="I295" s="7"/>
      <c r="J295" s="7"/>
      <c r="K295" s="7"/>
      <c r="L295" s="7"/>
      <c r="M295" s="7"/>
      <c r="N295" s="7"/>
      <c r="O295" s="7"/>
      <c r="P295" s="29"/>
      <c r="Q295" s="29"/>
      <c r="R295" s="7"/>
      <c r="S295" s="7"/>
      <c r="T295" s="7" t="str">
        <f ca="1">IFERROR(__xludf.DUMMYFUNCTION("SPARKLINE({
IF(D295="""",0,D295),
IF(F295="""",0,F295),
IF(H295="""",0,H295),
IF(J295="""",0,J295),
IF(L295="""",0,L295),
IF(N295="""",0,N295),
IF(P295="""",0,P295)
})"),"")</f>
        <v/>
      </c>
      <c r="U295" s="7" t="str">
        <f ca="1">IFERROR(__xludf.DUMMYFUNCTION("SPARKLINE({
IF(E295="""",0,E295),
IF(G295="""",0,G295),
IF(I295="""",0,I295),
IF(K295="""",0,K295),
IF(M295="""",0,M295),
IF(O295="""",0,O295),
IF(Q295="""",0,Q295)
})"),"")</f>
        <v/>
      </c>
      <c r="V295" s="8" t="e">
        <f t="array" aca="1" ref="V295" ca="1">IF($C$4="Giao",_xludf.Xlookup(C295,#REF!,#REF!,),_xludf.Xlookup(C295,#REF!,#REF!,))</f>
        <v>#NAME?</v>
      </c>
      <c r="W295" s="8" t="e">
        <f t="array" aca="1" ref="W295" ca="1">IF($C$4="Giao", _xludf.Xlookup(C295,#REF!,#REF!,),)</f>
        <v>#NAME?</v>
      </c>
      <c r="X295" s="9" t="e">
        <f t="shared" ca="1" si="6"/>
        <v>#NAME?</v>
      </c>
      <c r="Y295" s="7"/>
      <c r="Z295" s="7"/>
    </row>
    <row r="296" spans="1:26" ht="13" x14ac:dyDescent="0.6">
      <c r="A296" s="28" t="str">
        <f t="shared" si="5"/>
        <v/>
      </c>
      <c r="B296" s="7"/>
      <c r="C296" s="7"/>
      <c r="D296" s="9"/>
      <c r="E296" s="9"/>
      <c r="F296" s="7"/>
      <c r="G296" s="7"/>
      <c r="H296" s="7"/>
      <c r="I296" s="7"/>
      <c r="J296" s="7"/>
      <c r="K296" s="7"/>
      <c r="L296" s="7"/>
      <c r="M296" s="7"/>
      <c r="N296" s="7"/>
      <c r="O296" s="7"/>
      <c r="P296" s="29"/>
      <c r="Q296" s="29"/>
      <c r="R296" s="7"/>
      <c r="S296" s="7"/>
      <c r="T296" s="7" t="str">
        <f ca="1">IFERROR(__xludf.DUMMYFUNCTION("SPARKLINE({
IF(D296="""",0,D296),
IF(F296="""",0,F296),
IF(H296="""",0,H296),
IF(J296="""",0,J296),
IF(L296="""",0,L296),
IF(N296="""",0,N296),
IF(P296="""",0,P296)
})"),"")</f>
        <v/>
      </c>
      <c r="U296" s="7" t="str">
        <f ca="1">IFERROR(__xludf.DUMMYFUNCTION("SPARKLINE({
IF(E296="""",0,E296),
IF(G296="""",0,G296),
IF(I296="""",0,I296),
IF(K296="""",0,K296),
IF(M296="""",0,M296),
IF(O296="""",0,O296),
IF(Q296="""",0,Q296)
})"),"")</f>
        <v/>
      </c>
      <c r="V296" s="8" t="e">
        <f t="array" aca="1" ref="V296" ca="1">IF($C$4="Giao",_xludf.Xlookup(C296,#REF!,#REF!,),_xludf.Xlookup(C296,#REF!,#REF!,))</f>
        <v>#NAME?</v>
      </c>
      <c r="W296" s="8" t="e">
        <f t="array" aca="1" ref="W296" ca="1">IF($C$4="Giao", _xludf.Xlookup(C296,#REF!,#REF!,),)</f>
        <v>#NAME?</v>
      </c>
      <c r="X296" s="9" t="e">
        <f t="shared" ca="1" si="6"/>
        <v>#NAME?</v>
      </c>
      <c r="Y296" s="7"/>
      <c r="Z296" s="7"/>
    </row>
    <row r="297" spans="1:26" ht="13" x14ac:dyDescent="0.6">
      <c r="A297" s="28" t="str">
        <f t="shared" si="5"/>
        <v/>
      </c>
      <c r="B297" s="7"/>
      <c r="C297" s="7"/>
      <c r="D297" s="9"/>
      <c r="E297" s="9"/>
      <c r="F297" s="7"/>
      <c r="G297" s="7"/>
      <c r="H297" s="7"/>
      <c r="I297" s="7"/>
      <c r="J297" s="7"/>
      <c r="K297" s="7"/>
      <c r="L297" s="7"/>
      <c r="M297" s="7"/>
      <c r="N297" s="7"/>
      <c r="O297" s="7"/>
      <c r="P297" s="29"/>
      <c r="Q297" s="29"/>
      <c r="R297" s="7"/>
      <c r="S297" s="7"/>
      <c r="T297" s="7" t="str">
        <f ca="1">IFERROR(__xludf.DUMMYFUNCTION("SPARKLINE({
IF(D297="""",0,D297),
IF(F297="""",0,F297),
IF(H297="""",0,H297),
IF(J297="""",0,J297),
IF(L297="""",0,L297),
IF(N297="""",0,N297),
IF(P297="""",0,P297)
})"),"")</f>
        <v/>
      </c>
      <c r="U297" s="7" t="str">
        <f ca="1">IFERROR(__xludf.DUMMYFUNCTION("SPARKLINE({
IF(E297="""",0,E297),
IF(G297="""",0,G297),
IF(I297="""",0,I297),
IF(K297="""",0,K297),
IF(M297="""",0,M297),
IF(O297="""",0,O297),
IF(Q297="""",0,Q297)
})"),"")</f>
        <v/>
      </c>
      <c r="V297" s="8" t="e">
        <f t="array" aca="1" ref="V297" ca="1">IF($C$4="Giao",_xludf.Xlookup(C297,#REF!,#REF!,),_xludf.Xlookup(C297,#REF!,#REF!,))</f>
        <v>#NAME?</v>
      </c>
      <c r="W297" s="8" t="e">
        <f t="array" aca="1" ref="W297" ca="1">IF($C$4="Giao", _xludf.Xlookup(C297,#REF!,#REF!,),)</f>
        <v>#NAME?</v>
      </c>
      <c r="X297" s="9" t="e">
        <f t="shared" ca="1" si="6"/>
        <v>#NAME?</v>
      </c>
      <c r="Y297" s="7"/>
      <c r="Z297" s="7"/>
    </row>
    <row r="298" spans="1:26" ht="13" x14ac:dyDescent="0.6">
      <c r="A298" s="28" t="str">
        <f t="shared" si="5"/>
        <v/>
      </c>
      <c r="B298" s="7"/>
      <c r="C298" s="7"/>
      <c r="D298" s="9"/>
      <c r="E298" s="9"/>
      <c r="F298" s="7"/>
      <c r="G298" s="7"/>
      <c r="H298" s="7"/>
      <c r="I298" s="7"/>
      <c r="J298" s="7"/>
      <c r="K298" s="7"/>
      <c r="L298" s="7"/>
      <c r="M298" s="7"/>
      <c r="N298" s="7"/>
      <c r="O298" s="7"/>
      <c r="P298" s="29"/>
      <c r="Q298" s="29"/>
      <c r="R298" s="7"/>
      <c r="S298" s="7"/>
      <c r="T298" s="7" t="str">
        <f ca="1">IFERROR(__xludf.DUMMYFUNCTION("SPARKLINE({
IF(D298="""",0,D298),
IF(F298="""",0,F298),
IF(H298="""",0,H298),
IF(J298="""",0,J298),
IF(L298="""",0,L298),
IF(N298="""",0,N298),
IF(P298="""",0,P298)
})"),"")</f>
        <v/>
      </c>
      <c r="U298" s="7" t="str">
        <f ca="1">IFERROR(__xludf.DUMMYFUNCTION("SPARKLINE({
IF(E298="""",0,E298),
IF(G298="""",0,G298),
IF(I298="""",0,I298),
IF(K298="""",0,K298),
IF(M298="""",0,M298),
IF(O298="""",0,O298),
IF(Q298="""",0,Q298)
})"),"")</f>
        <v/>
      </c>
      <c r="V298" s="8" t="e">
        <f t="array" aca="1" ref="V298" ca="1">IF($C$4="Giao",_xludf.Xlookup(C298,#REF!,#REF!,),_xludf.Xlookup(C298,#REF!,#REF!,))</f>
        <v>#NAME?</v>
      </c>
      <c r="W298" s="8" t="e">
        <f t="array" aca="1" ref="W298" ca="1">IF($C$4="Giao", _xludf.Xlookup(C298,#REF!,#REF!,),)</f>
        <v>#NAME?</v>
      </c>
      <c r="X298" s="9" t="e">
        <f t="shared" ca="1" si="6"/>
        <v>#NAME?</v>
      </c>
      <c r="Y298" s="7"/>
      <c r="Z298" s="7"/>
    </row>
    <row r="299" spans="1:26" ht="13" x14ac:dyDescent="0.6">
      <c r="A299" s="28" t="str">
        <f t="shared" si="5"/>
        <v/>
      </c>
      <c r="B299" s="7"/>
      <c r="C299" s="7"/>
      <c r="D299" s="9"/>
      <c r="E299" s="9"/>
      <c r="F299" s="7"/>
      <c r="G299" s="7"/>
      <c r="H299" s="7"/>
      <c r="I299" s="7"/>
      <c r="J299" s="7"/>
      <c r="K299" s="7"/>
      <c r="L299" s="7"/>
      <c r="M299" s="7"/>
      <c r="N299" s="7"/>
      <c r="O299" s="7"/>
      <c r="P299" s="29"/>
      <c r="Q299" s="29"/>
      <c r="R299" s="7"/>
      <c r="S299" s="7"/>
      <c r="T299" s="7" t="str">
        <f ca="1">IFERROR(__xludf.DUMMYFUNCTION("SPARKLINE({
IF(D299="""",0,D299),
IF(F299="""",0,F299),
IF(H299="""",0,H299),
IF(J299="""",0,J299),
IF(L299="""",0,L299),
IF(N299="""",0,N299),
IF(P299="""",0,P299)
})"),"")</f>
        <v/>
      </c>
      <c r="U299" s="7" t="str">
        <f ca="1">IFERROR(__xludf.DUMMYFUNCTION("SPARKLINE({
IF(E299="""",0,E299),
IF(G299="""",0,G299),
IF(I299="""",0,I299),
IF(K299="""",0,K299),
IF(M299="""",0,M299),
IF(O299="""",0,O299),
IF(Q299="""",0,Q299)
})"),"")</f>
        <v/>
      </c>
      <c r="V299" s="8" t="e">
        <f t="array" aca="1" ref="V299" ca="1">IF($C$4="Giao",_xludf.Xlookup(C299,#REF!,#REF!,),_xludf.Xlookup(C299,#REF!,#REF!,))</f>
        <v>#NAME?</v>
      </c>
      <c r="W299" s="8" t="e">
        <f t="array" aca="1" ref="W299" ca="1">IF($C$4="Giao", _xludf.Xlookup(C299,#REF!,#REF!,),)</f>
        <v>#NAME?</v>
      </c>
      <c r="X299" s="9" t="e">
        <f t="shared" ca="1" si="6"/>
        <v>#NAME?</v>
      </c>
      <c r="Y299" s="7"/>
      <c r="Z299" s="7"/>
    </row>
    <row r="300" spans="1:26" ht="13" x14ac:dyDescent="0.6">
      <c r="A300" s="28" t="str">
        <f t="shared" si="5"/>
        <v/>
      </c>
      <c r="B300" s="7"/>
      <c r="C300" s="7"/>
      <c r="D300" s="9"/>
      <c r="E300" s="9"/>
      <c r="F300" s="7"/>
      <c r="G300" s="7"/>
      <c r="H300" s="7"/>
      <c r="I300" s="7"/>
      <c r="J300" s="7"/>
      <c r="K300" s="7"/>
      <c r="L300" s="7"/>
      <c r="M300" s="7"/>
      <c r="N300" s="7"/>
      <c r="O300" s="7"/>
      <c r="P300" s="29"/>
      <c r="Q300" s="29"/>
      <c r="R300" s="7"/>
      <c r="S300" s="7"/>
      <c r="T300" s="7" t="str">
        <f ca="1">IFERROR(__xludf.DUMMYFUNCTION("SPARKLINE({
IF(D300="""",0,D300),
IF(F300="""",0,F300),
IF(H300="""",0,H300),
IF(J300="""",0,J300),
IF(L300="""",0,L300),
IF(N300="""",0,N300),
IF(P300="""",0,P300)
})"),"")</f>
        <v/>
      </c>
      <c r="U300" s="7" t="str">
        <f ca="1">IFERROR(__xludf.DUMMYFUNCTION("SPARKLINE({
IF(E300="""",0,E300),
IF(G300="""",0,G300),
IF(I300="""",0,I300),
IF(K300="""",0,K300),
IF(M300="""",0,M300),
IF(O300="""",0,O300),
IF(Q300="""",0,Q300)
})"),"")</f>
        <v/>
      </c>
      <c r="V300" s="8" t="e">
        <f t="array" aca="1" ref="V300" ca="1">IF($C$4="Giao",_xludf.Xlookup(C300,#REF!,#REF!,),_xludf.Xlookup(C300,#REF!,#REF!,))</f>
        <v>#NAME?</v>
      </c>
      <c r="W300" s="8" t="e">
        <f t="array" aca="1" ref="W300" ca="1">IF($C$4="Giao", _xludf.Xlookup(C300,#REF!,#REF!,),)</f>
        <v>#NAME?</v>
      </c>
      <c r="X300" s="9" t="e">
        <f t="shared" ca="1" si="6"/>
        <v>#NAME?</v>
      </c>
      <c r="Y300" s="7"/>
      <c r="Z300" s="7"/>
    </row>
    <row r="301" spans="1:26" ht="13" x14ac:dyDescent="0.6">
      <c r="A301" s="28" t="str">
        <f t="shared" si="5"/>
        <v/>
      </c>
      <c r="B301" s="7"/>
      <c r="C301" s="7"/>
      <c r="D301" s="9"/>
      <c r="E301" s="9"/>
      <c r="F301" s="7"/>
      <c r="G301" s="7"/>
      <c r="H301" s="7"/>
      <c r="I301" s="7"/>
      <c r="J301" s="7"/>
      <c r="K301" s="7"/>
      <c r="L301" s="7"/>
      <c r="M301" s="7"/>
      <c r="N301" s="7"/>
      <c r="O301" s="7"/>
      <c r="P301" s="29"/>
      <c r="Q301" s="29"/>
      <c r="R301" s="7"/>
      <c r="S301" s="7"/>
      <c r="T301" s="7" t="str">
        <f ca="1">IFERROR(__xludf.DUMMYFUNCTION("SPARKLINE({
IF(D301="""",0,D301),
IF(F301="""",0,F301),
IF(H301="""",0,H301),
IF(J301="""",0,J301),
IF(L301="""",0,L301),
IF(N301="""",0,N301),
IF(P301="""",0,P301)
})"),"")</f>
        <v/>
      </c>
      <c r="U301" s="7" t="str">
        <f ca="1">IFERROR(__xludf.DUMMYFUNCTION("SPARKLINE({
IF(E301="""",0,E301),
IF(G301="""",0,G301),
IF(I301="""",0,I301),
IF(K301="""",0,K301),
IF(M301="""",0,M301),
IF(O301="""",0,O301),
IF(Q301="""",0,Q301)
})"),"")</f>
        <v/>
      </c>
      <c r="V301" s="8" t="e">
        <f t="array" aca="1" ref="V301" ca="1">IF($C$4="Giao",_xludf.Xlookup(C301,#REF!,#REF!,),_xludf.Xlookup(C301,#REF!,#REF!,))</f>
        <v>#NAME?</v>
      </c>
      <c r="W301" s="8" t="e">
        <f t="array" aca="1" ref="W301" ca="1">IF($C$4="Giao", _xludf.Xlookup(C301,#REF!,#REF!,),)</f>
        <v>#NAME?</v>
      </c>
      <c r="X301" s="9" t="e">
        <f t="shared" ca="1" si="6"/>
        <v>#NAME?</v>
      </c>
      <c r="Y301" s="7"/>
      <c r="Z301" s="7"/>
    </row>
    <row r="302" spans="1:26" ht="13" x14ac:dyDescent="0.6">
      <c r="A302" s="28" t="str">
        <f t="shared" si="5"/>
        <v/>
      </c>
      <c r="B302" s="7"/>
      <c r="C302" s="7"/>
      <c r="D302" s="9"/>
      <c r="E302" s="9"/>
      <c r="F302" s="7"/>
      <c r="G302" s="7"/>
      <c r="H302" s="7"/>
      <c r="I302" s="7"/>
      <c r="J302" s="7"/>
      <c r="K302" s="7"/>
      <c r="L302" s="7"/>
      <c r="M302" s="7"/>
      <c r="N302" s="7"/>
      <c r="O302" s="7"/>
      <c r="P302" s="29"/>
      <c r="Q302" s="29"/>
      <c r="R302" s="7"/>
      <c r="S302" s="7"/>
      <c r="T302" s="7" t="str">
        <f ca="1">IFERROR(__xludf.DUMMYFUNCTION("SPARKLINE({
IF(D302="""",0,D302),
IF(F302="""",0,F302),
IF(H302="""",0,H302),
IF(J302="""",0,J302),
IF(L302="""",0,L302),
IF(N302="""",0,N302),
IF(P302="""",0,P302)
})"),"")</f>
        <v/>
      </c>
      <c r="U302" s="7" t="str">
        <f ca="1">IFERROR(__xludf.DUMMYFUNCTION("SPARKLINE({
IF(E302="""",0,E302),
IF(G302="""",0,G302),
IF(I302="""",0,I302),
IF(K302="""",0,K302),
IF(M302="""",0,M302),
IF(O302="""",0,O302),
IF(Q302="""",0,Q302)
})"),"")</f>
        <v/>
      </c>
      <c r="V302" s="8" t="e">
        <f t="array" aca="1" ref="V302" ca="1">IF($C$4="Giao",_xludf.Xlookup(C302,#REF!,#REF!,),_xludf.Xlookup(C302,#REF!,#REF!,))</f>
        <v>#NAME?</v>
      </c>
      <c r="W302" s="8" t="e">
        <f t="array" aca="1" ref="W302" ca="1">IF($C$4="Giao", _xludf.Xlookup(C302,#REF!,#REF!,),)</f>
        <v>#NAME?</v>
      </c>
      <c r="X302" s="9" t="e">
        <f t="shared" ca="1" si="6"/>
        <v>#NAME?</v>
      </c>
      <c r="Y302" s="7"/>
      <c r="Z302" s="7"/>
    </row>
    <row r="303" spans="1:26" ht="13" x14ac:dyDescent="0.6">
      <c r="A303" s="28" t="str">
        <f t="shared" si="5"/>
        <v/>
      </c>
      <c r="B303" s="7"/>
      <c r="C303" s="7"/>
      <c r="D303" s="9"/>
      <c r="E303" s="9"/>
      <c r="F303" s="7"/>
      <c r="G303" s="7"/>
      <c r="H303" s="7"/>
      <c r="I303" s="7"/>
      <c r="J303" s="7"/>
      <c r="K303" s="7"/>
      <c r="L303" s="7"/>
      <c r="M303" s="7"/>
      <c r="N303" s="7"/>
      <c r="O303" s="7"/>
      <c r="P303" s="29"/>
      <c r="Q303" s="29"/>
      <c r="R303" s="7"/>
      <c r="S303" s="7"/>
      <c r="T303" s="7" t="str">
        <f ca="1">IFERROR(__xludf.DUMMYFUNCTION("SPARKLINE({
IF(D303="""",0,D303),
IF(F303="""",0,F303),
IF(H303="""",0,H303),
IF(J303="""",0,J303),
IF(L303="""",0,L303),
IF(N303="""",0,N303),
IF(P303="""",0,P303)
})"),"")</f>
        <v/>
      </c>
      <c r="U303" s="7" t="str">
        <f ca="1">IFERROR(__xludf.DUMMYFUNCTION("SPARKLINE({
IF(E303="""",0,E303),
IF(G303="""",0,G303),
IF(I303="""",0,I303),
IF(K303="""",0,K303),
IF(M303="""",0,M303),
IF(O303="""",0,O303),
IF(Q303="""",0,Q303)
})"),"")</f>
        <v/>
      </c>
      <c r="V303" s="8" t="e">
        <f t="array" aca="1" ref="V303" ca="1">IF($C$4="Giao",_xludf.Xlookup(C303,#REF!,#REF!,),_xludf.Xlookup(C303,#REF!,#REF!,))</f>
        <v>#NAME?</v>
      </c>
      <c r="W303" s="8" t="e">
        <f t="array" aca="1" ref="W303" ca="1">IF($C$4="Giao", _xludf.Xlookup(C303,#REF!,#REF!,),)</f>
        <v>#NAME?</v>
      </c>
      <c r="X303" s="9" t="e">
        <f t="shared" ca="1" si="6"/>
        <v>#NAME?</v>
      </c>
      <c r="Y303" s="7"/>
      <c r="Z303" s="7"/>
    </row>
    <row r="304" spans="1:26" ht="13" x14ac:dyDescent="0.6">
      <c r="A304" s="28" t="str">
        <f t="shared" si="5"/>
        <v/>
      </c>
      <c r="B304" s="7"/>
      <c r="C304" s="7"/>
      <c r="D304" s="9"/>
      <c r="E304" s="9"/>
      <c r="F304" s="7"/>
      <c r="G304" s="7"/>
      <c r="H304" s="7"/>
      <c r="I304" s="7"/>
      <c r="J304" s="7"/>
      <c r="K304" s="7"/>
      <c r="L304" s="7"/>
      <c r="M304" s="7"/>
      <c r="N304" s="7"/>
      <c r="O304" s="7"/>
      <c r="P304" s="29"/>
      <c r="Q304" s="29"/>
      <c r="R304" s="7"/>
      <c r="S304" s="7"/>
      <c r="T304" s="7" t="str">
        <f ca="1">IFERROR(__xludf.DUMMYFUNCTION("SPARKLINE({
IF(D304="""",0,D304),
IF(F304="""",0,F304),
IF(H304="""",0,H304),
IF(J304="""",0,J304),
IF(L304="""",0,L304),
IF(N304="""",0,N304),
IF(P304="""",0,P304)
})"),"")</f>
        <v/>
      </c>
      <c r="U304" s="7" t="str">
        <f ca="1">IFERROR(__xludf.DUMMYFUNCTION("SPARKLINE({
IF(E304="""",0,E304),
IF(G304="""",0,G304),
IF(I304="""",0,I304),
IF(K304="""",0,K304),
IF(M304="""",0,M304),
IF(O304="""",0,O304),
IF(Q304="""",0,Q304)
})"),"")</f>
        <v/>
      </c>
      <c r="V304" s="8" t="e">
        <f t="array" aca="1" ref="V304" ca="1">IF($C$4="Giao",_xludf.Xlookup(C304,#REF!,#REF!,),_xludf.Xlookup(C304,#REF!,#REF!,))</f>
        <v>#NAME?</v>
      </c>
      <c r="W304" s="8" t="e">
        <f t="array" aca="1" ref="W304" ca="1">IF($C$4="Giao", _xludf.Xlookup(C304,#REF!,#REF!,),)</f>
        <v>#NAME?</v>
      </c>
      <c r="X304" s="9" t="e">
        <f t="shared" ca="1" si="6"/>
        <v>#NAME?</v>
      </c>
      <c r="Y304" s="7"/>
      <c r="Z304" s="7"/>
    </row>
    <row r="305" spans="1:26" ht="13" x14ac:dyDescent="0.6">
      <c r="A305" s="28" t="str">
        <f t="shared" si="5"/>
        <v/>
      </c>
      <c r="B305" s="7"/>
      <c r="C305" s="7"/>
      <c r="D305" s="9"/>
      <c r="E305" s="9"/>
      <c r="F305" s="7"/>
      <c r="G305" s="7"/>
      <c r="H305" s="7"/>
      <c r="I305" s="7"/>
      <c r="J305" s="7"/>
      <c r="K305" s="7"/>
      <c r="L305" s="7"/>
      <c r="M305" s="7"/>
      <c r="N305" s="7"/>
      <c r="O305" s="7"/>
      <c r="P305" s="29"/>
      <c r="Q305" s="29"/>
      <c r="R305" s="7"/>
      <c r="S305" s="7"/>
      <c r="T305" s="7" t="str">
        <f ca="1">IFERROR(__xludf.DUMMYFUNCTION("SPARKLINE({
IF(D305="""",0,D305),
IF(F305="""",0,F305),
IF(H305="""",0,H305),
IF(J305="""",0,J305),
IF(L305="""",0,L305),
IF(N305="""",0,N305),
IF(P305="""",0,P305)
})"),"")</f>
        <v/>
      </c>
      <c r="U305" s="7" t="str">
        <f ca="1">IFERROR(__xludf.DUMMYFUNCTION("SPARKLINE({
IF(E305="""",0,E305),
IF(G305="""",0,G305),
IF(I305="""",0,I305),
IF(K305="""",0,K305),
IF(M305="""",0,M305),
IF(O305="""",0,O305),
IF(Q305="""",0,Q305)
})"),"")</f>
        <v/>
      </c>
      <c r="V305" s="8" t="e">
        <f t="array" aca="1" ref="V305" ca="1">IF($C$4="Giao",_xludf.Xlookup(C305,#REF!,#REF!,),_xludf.Xlookup(C305,#REF!,#REF!,))</f>
        <v>#NAME?</v>
      </c>
      <c r="W305" s="8" t="e">
        <f t="array" aca="1" ref="W305" ca="1">IF($C$4="Giao", _xludf.Xlookup(C305,#REF!,#REF!,),)</f>
        <v>#NAME?</v>
      </c>
      <c r="X305" s="9" t="e">
        <f t="shared" ca="1" si="6"/>
        <v>#NAME?</v>
      </c>
      <c r="Y305" s="7"/>
      <c r="Z305" s="7"/>
    </row>
    <row r="306" spans="1:26" ht="13" x14ac:dyDescent="0.6">
      <c r="A306" s="28" t="str">
        <f t="shared" si="5"/>
        <v/>
      </c>
      <c r="B306" s="7"/>
      <c r="C306" s="7"/>
      <c r="D306" s="9"/>
      <c r="E306" s="9"/>
      <c r="F306" s="7"/>
      <c r="G306" s="7"/>
      <c r="H306" s="7"/>
      <c r="I306" s="7"/>
      <c r="J306" s="7"/>
      <c r="K306" s="7"/>
      <c r="L306" s="7"/>
      <c r="M306" s="7"/>
      <c r="N306" s="7"/>
      <c r="O306" s="7"/>
      <c r="P306" s="29"/>
      <c r="Q306" s="29"/>
      <c r="R306" s="7"/>
      <c r="S306" s="7"/>
      <c r="T306" s="7" t="str">
        <f ca="1">IFERROR(__xludf.DUMMYFUNCTION("SPARKLINE({
IF(D306="""",0,D306),
IF(F306="""",0,F306),
IF(H306="""",0,H306),
IF(J306="""",0,J306),
IF(L306="""",0,L306),
IF(N306="""",0,N306),
IF(P306="""",0,P306)
})"),"")</f>
        <v/>
      </c>
      <c r="U306" s="7" t="str">
        <f ca="1">IFERROR(__xludf.DUMMYFUNCTION("SPARKLINE({
IF(E306="""",0,E306),
IF(G306="""",0,G306),
IF(I306="""",0,I306),
IF(K306="""",0,K306),
IF(M306="""",0,M306),
IF(O306="""",0,O306),
IF(Q306="""",0,Q306)
})"),"")</f>
        <v/>
      </c>
      <c r="V306" s="8" t="e">
        <f t="array" aca="1" ref="V306" ca="1">IF($C$4="Giao",_xludf.Xlookup(C306,#REF!,#REF!,),_xludf.Xlookup(C306,#REF!,#REF!,))</f>
        <v>#NAME?</v>
      </c>
      <c r="W306" s="8" t="e">
        <f t="array" aca="1" ref="W306" ca="1">IF($C$4="Giao", _xludf.Xlookup(C306,#REF!,#REF!,),)</f>
        <v>#NAME?</v>
      </c>
      <c r="X306" s="9" t="e">
        <f t="shared" ca="1" si="6"/>
        <v>#NAME?</v>
      </c>
      <c r="Y306" s="7"/>
      <c r="Z306" s="7"/>
    </row>
    <row r="307" spans="1:26" ht="13" x14ac:dyDescent="0.6">
      <c r="A307" s="28" t="str">
        <f t="shared" si="5"/>
        <v/>
      </c>
      <c r="B307" s="7"/>
      <c r="C307" s="7"/>
      <c r="D307" s="9"/>
      <c r="E307" s="9"/>
      <c r="F307" s="7"/>
      <c r="G307" s="7"/>
      <c r="H307" s="7"/>
      <c r="I307" s="7"/>
      <c r="J307" s="7"/>
      <c r="K307" s="7"/>
      <c r="L307" s="7"/>
      <c r="M307" s="7"/>
      <c r="N307" s="7"/>
      <c r="O307" s="7"/>
      <c r="P307" s="29"/>
      <c r="Q307" s="29"/>
      <c r="R307" s="7"/>
      <c r="S307" s="7"/>
      <c r="T307" s="7" t="str">
        <f ca="1">IFERROR(__xludf.DUMMYFUNCTION("SPARKLINE({
IF(D307="""",0,D307),
IF(F307="""",0,F307),
IF(H307="""",0,H307),
IF(J307="""",0,J307),
IF(L307="""",0,L307),
IF(N307="""",0,N307),
IF(P307="""",0,P307)
})"),"")</f>
        <v/>
      </c>
      <c r="U307" s="7" t="str">
        <f ca="1">IFERROR(__xludf.DUMMYFUNCTION("SPARKLINE({
IF(E307="""",0,E307),
IF(G307="""",0,G307),
IF(I307="""",0,I307),
IF(K307="""",0,K307),
IF(M307="""",0,M307),
IF(O307="""",0,O307),
IF(Q307="""",0,Q307)
})"),"")</f>
        <v/>
      </c>
      <c r="V307" s="8" t="e">
        <f t="array" aca="1" ref="V307" ca="1">IF($C$4="Giao",_xludf.Xlookup(C307,#REF!,#REF!,),_xludf.Xlookup(C307,#REF!,#REF!,))</f>
        <v>#NAME?</v>
      </c>
      <c r="W307" s="8" t="e">
        <f t="array" aca="1" ref="W307" ca="1">IF($C$4="Giao", _xludf.Xlookup(C307,#REF!,#REF!,),)</f>
        <v>#NAME?</v>
      </c>
      <c r="X307" s="9" t="e">
        <f t="shared" ca="1" si="6"/>
        <v>#NAME?</v>
      </c>
      <c r="Y307" s="7"/>
      <c r="Z307" s="7"/>
    </row>
    <row r="308" spans="1:26" ht="13" x14ac:dyDescent="0.6">
      <c r="A308" s="28" t="str">
        <f t="shared" si="5"/>
        <v/>
      </c>
      <c r="B308" s="7"/>
      <c r="C308" s="7"/>
      <c r="D308" s="9"/>
      <c r="E308" s="9"/>
      <c r="F308" s="7"/>
      <c r="G308" s="7"/>
      <c r="H308" s="7"/>
      <c r="I308" s="7"/>
      <c r="J308" s="7"/>
      <c r="K308" s="7"/>
      <c r="L308" s="7"/>
      <c r="M308" s="7"/>
      <c r="N308" s="7"/>
      <c r="O308" s="7"/>
      <c r="P308" s="29"/>
      <c r="Q308" s="29"/>
      <c r="R308" s="7"/>
      <c r="S308" s="7"/>
      <c r="T308" s="7" t="str">
        <f ca="1">IFERROR(__xludf.DUMMYFUNCTION("SPARKLINE({
IF(D308="""",0,D308),
IF(F308="""",0,F308),
IF(H308="""",0,H308),
IF(J308="""",0,J308),
IF(L308="""",0,L308),
IF(N308="""",0,N308),
IF(P308="""",0,P308)
})"),"")</f>
        <v/>
      </c>
      <c r="U308" s="7" t="str">
        <f ca="1">IFERROR(__xludf.DUMMYFUNCTION("SPARKLINE({
IF(E308="""",0,E308),
IF(G308="""",0,G308),
IF(I308="""",0,I308),
IF(K308="""",0,K308),
IF(M308="""",0,M308),
IF(O308="""",0,O308),
IF(Q308="""",0,Q308)
})"),"")</f>
        <v/>
      </c>
      <c r="V308" s="8" t="e">
        <f t="array" aca="1" ref="V308" ca="1">IF($C$4="Giao",_xludf.Xlookup(C308,#REF!,#REF!,),_xludf.Xlookup(C308,#REF!,#REF!,))</f>
        <v>#NAME?</v>
      </c>
      <c r="W308" s="8" t="e">
        <f t="array" aca="1" ref="W308" ca="1">IF($C$4="Giao", _xludf.Xlookup(C308,#REF!,#REF!,),)</f>
        <v>#NAME?</v>
      </c>
      <c r="X308" s="9" t="e">
        <f t="shared" ca="1" si="6"/>
        <v>#NAME?</v>
      </c>
      <c r="Y308" s="7"/>
      <c r="Z308" s="7"/>
    </row>
    <row r="309" spans="1:26" ht="13" x14ac:dyDescent="0.6">
      <c r="A309" s="28" t="str">
        <f t="shared" si="5"/>
        <v/>
      </c>
      <c r="B309" s="7"/>
      <c r="C309" s="7"/>
      <c r="D309" s="9"/>
      <c r="E309" s="9"/>
      <c r="F309" s="7"/>
      <c r="G309" s="7"/>
      <c r="H309" s="7"/>
      <c r="I309" s="7"/>
      <c r="J309" s="7"/>
      <c r="K309" s="7"/>
      <c r="L309" s="7"/>
      <c r="M309" s="7"/>
      <c r="N309" s="7"/>
      <c r="O309" s="7"/>
      <c r="P309" s="29"/>
      <c r="Q309" s="29"/>
      <c r="R309" s="7"/>
      <c r="S309" s="7"/>
      <c r="T309" s="7" t="str">
        <f ca="1">IFERROR(__xludf.DUMMYFUNCTION("SPARKLINE({
IF(D309="""",0,D309),
IF(F309="""",0,F309),
IF(H309="""",0,H309),
IF(J309="""",0,J309),
IF(L309="""",0,L309),
IF(N309="""",0,N309),
IF(P309="""",0,P309)
})"),"")</f>
        <v/>
      </c>
      <c r="U309" s="7" t="str">
        <f ca="1">IFERROR(__xludf.DUMMYFUNCTION("SPARKLINE({
IF(E309="""",0,E309),
IF(G309="""",0,G309),
IF(I309="""",0,I309),
IF(K309="""",0,K309),
IF(M309="""",0,M309),
IF(O309="""",0,O309),
IF(Q309="""",0,Q309)
})"),"")</f>
        <v/>
      </c>
      <c r="V309" s="8" t="e">
        <f t="array" aca="1" ref="V309" ca="1">IF($C$4="Giao",_xludf.Xlookup(C309,#REF!,#REF!,),_xludf.Xlookup(C309,#REF!,#REF!,))</f>
        <v>#NAME?</v>
      </c>
      <c r="W309" s="8" t="e">
        <f t="array" aca="1" ref="W309" ca="1">IF($C$4="Giao", _xludf.Xlookup(C309,#REF!,#REF!,),)</f>
        <v>#NAME?</v>
      </c>
      <c r="X309" s="9" t="e">
        <f t="shared" ca="1" si="6"/>
        <v>#NAME?</v>
      </c>
      <c r="Y309" s="7"/>
      <c r="Z309" s="7"/>
    </row>
    <row r="310" spans="1:26" ht="13" x14ac:dyDescent="0.6">
      <c r="A310" s="28" t="str">
        <f t="shared" si="5"/>
        <v/>
      </c>
      <c r="B310" s="7"/>
      <c r="C310" s="7"/>
      <c r="D310" s="9"/>
      <c r="E310" s="9"/>
      <c r="F310" s="7"/>
      <c r="G310" s="7"/>
      <c r="H310" s="7"/>
      <c r="I310" s="7"/>
      <c r="J310" s="7"/>
      <c r="K310" s="7"/>
      <c r="L310" s="7"/>
      <c r="M310" s="7"/>
      <c r="N310" s="7"/>
      <c r="O310" s="7"/>
      <c r="P310" s="29"/>
      <c r="Q310" s="29"/>
      <c r="R310" s="7"/>
      <c r="S310" s="7"/>
      <c r="T310" s="7" t="str">
        <f ca="1">IFERROR(__xludf.DUMMYFUNCTION("SPARKLINE({
IF(D310="""",0,D310),
IF(F310="""",0,F310),
IF(H310="""",0,H310),
IF(J310="""",0,J310),
IF(L310="""",0,L310),
IF(N310="""",0,N310),
IF(P310="""",0,P310)
})"),"")</f>
        <v/>
      </c>
      <c r="U310" s="7" t="str">
        <f ca="1">IFERROR(__xludf.DUMMYFUNCTION("SPARKLINE({
IF(E310="""",0,E310),
IF(G310="""",0,G310),
IF(I310="""",0,I310),
IF(K310="""",0,K310),
IF(M310="""",0,M310),
IF(O310="""",0,O310),
IF(Q310="""",0,Q310)
})"),"")</f>
        <v/>
      </c>
      <c r="V310" s="8" t="e">
        <f t="array" aca="1" ref="V310" ca="1">IF($C$4="Giao",_xludf.Xlookup(C310,#REF!,#REF!,),_xludf.Xlookup(C310,#REF!,#REF!,))</f>
        <v>#NAME?</v>
      </c>
      <c r="W310" s="8" t="e">
        <f t="array" aca="1" ref="W310" ca="1">IF($C$4="Giao", _xludf.Xlookup(C310,#REF!,#REF!,),)</f>
        <v>#NAME?</v>
      </c>
      <c r="X310" s="9" t="e">
        <f t="shared" ca="1" si="6"/>
        <v>#NAME?</v>
      </c>
      <c r="Y310" s="7"/>
      <c r="Z310" s="7"/>
    </row>
    <row r="311" spans="1:26" ht="13" x14ac:dyDescent="0.6">
      <c r="A311" s="28" t="str">
        <f t="shared" si="5"/>
        <v/>
      </c>
      <c r="B311" s="7"/>
      <c r="C311" s="7"/>
      <c r="D311" s="9"/>
      <c r="E311" s="9"/>
      <c r="F311" s="7"/>
      <c r="G311" s="7"/>
      <c r="H311" s="7"/>
      <c r="I311" s="7"/>
      <c r="J311" s="7"/>
      <c r="K311" s="7"/>
      <c r="L311" s="7"/>
      <c r="M311" s="7"/>
      <c r="N311" s="7"/>
      <c r="O311" s="7"/>
      <c r="P311" s="29"/>
      <c r="Q311" s="29"/>
      <c r="R311" s="7"/>
      <c r="S311" s="7"/>
      <c r="T311" s="7" t="str">
        <f ca="1">IFERROR(__xludf.DUMMYFUNCTION("SPARKLINE({
IF(D311="""",0,D311),
IF(F311="""",0,F311),
IF(H311="""",0,H311),
IF(J311="""",0,J311),
IF(L311="""",0,L311),
IF(N311="""",0,N311),
IF(P311="""",0,P311)
})"),"")</f>
        <v/>
      </c>
      <c r="U311" s="7" t="str">
        <f ca="1">IFERROR(__xludf.DUMMYFUNCTION("SPARKLINE({
IF(E311="""",0,E311),
IF(G311="""",0,G311),
IF(I311="""",0,I311),
IF(K311="""",0,K311),
IF(M311="""",0,M311),
IF(O311="""",0,O311),
IF(Q311="""",0,Q311)
})"),"")</f>
        <v/>
      </c>
      <c r="V311" s="8" t="e">
        <f t="array" aca="1" ref="V311" ca="1">IF($C$4="Giao",_xludf.Xlookup(C311,#REF!,#REF!,),_xludf.Xlookup(C311,#REF!,#REF!,))</f>
        <v>#NAME?</v>
      </c>
      <c r="W311" s="8" t="e">
        <f t="array" aca="1" ref="W311" ca="1">IF($C$4="Giao", _xludf.Xlookup(C311,#REF!,#REF!,),)</f>
        <v>#NAME?</v>
      </c>
      <c r="X311" s="9" t="e">
        <f t="shared" ca="1" si="6"/>
        <v>#NAME?</v>
      </c>
      <c r="Y311" s="7"/>
      <c r="Z311" s="7"/>
    </row>
    <row r="312" spans="1:26" ht="13" x14ac:dyDescent="0.6">
      <c r="A312" s="28" t="str">
        <f t="shared" si="5"/>
        <v/>
      </c>
      <c r="B312" s="7"/>
      <c r="C312" s="7"/>
      <c r="D312" s="9"/>
      <c r="E312" s="9"/>
      <c r="F312" s="7"/>
      <c r="G312" s="7"/>
      <c r="H312" s="7"/>
      <c r="I312" s="7"/>
      <c r="J312" s="7"/>
      <c r="K312" s="7"/>
      <c r="L312" s="7"/>
      <c r="M312" s="7"/>
      <c r="N312" s="7"/>
      <c r="O312" s="7"/>
      <c r="P312" s="29"/>
      <c r="Q312" s="29"/>
      <c r="R312" s="7"/>
      <c r="S312" s="7"/>
      <c r="T312" s="7" t="str">
        <f ca="1">IFERROR(__xludf.DUMMYFUNCTION("SPARKLINE({
IF(D312="""",0,D312),
IF(F312="""",0,F312),
IF(H312="""",0,H312),
IF(J312="""",0,J312),
IF(L312="""",0,L312),
IF(N312="""",0,N312),
IF(P312="""",0,P312)
})"),"")</f>
        <v/>
      </c>
      <c r="U312" s="7" t="str">
        <f ca="1">IFERROR(__xludf.DUMMYFUNCTION("SPARKLINE({
IF(E312="""",0,E312),
IF(G312="""",0,G312),
IF(I312="""",0,I312),
IF(K312="""",0,K312),
IF(M312="""",0,M312),
IF(O312="""",0,O312),
IF(Q312="""",0,Q312)
})"),"")</f>
        <v/>
      </c>
      <c r="V312" s="8" t="e">
        <f t="array" aca="1" ref="V312" ca="1">IF($C$4="Giao",_xludf.Xlookup(C312,#REF!,#REF!,),_xludf.Xlookup(C312,#REF!,#REF!,))</f>
        <v>#NAME?</v>
      </c>
      <c r="W312" s="8" t="e">
        <f t="array" aca="1" ref="W312" ca="1">IF($C$4="Giao", _xludf.Xlookup(C312,#REF!,#REF!,),)</f>
        <v>#NAME?</v>
      </c>
      <c r="X312" s="9" t="e">
        <f t="shared" ca="1" si="6"/>
        <v>#NAME?</v>
      </c>
      <c r="Y312" s="7"/>
      <c r="Z312" s="7"/>
    </row>
    <row r="313" spans="1:26" ht="13" x14ac:dyDescent="0.6">
      <c r="A313" s="28" t="str">
        <f t="shared" si="5"/>
        <v/>
      </c>
      <c r="B313" s="7"/>
      <c r="C313" s="7"/>
      <c r="D313" s="9"/>
      <c r="E313" s="9"/>
      <c r="F313" s="7"/>
      <c r="G313" s="7"/>
      <c r="H313" s="7"/>
      <c r="I313" s="7"/>
      <c r="J313" s="7"/>
      <c r="K313" s="7"/>
      <c r="L313" s="7"/>
      <c r="M313" s="7"/>
      <c r="N313" s="7"/>
      <c r="O313" s="7"/>
      <c r="P313" s="29"/>
      <c r="Q313" s="29"/>
      <c r="R313" s="7"/>
      <c r="S313" s="7"/>
      <c r="T313" s="7" t="str">
        <f ca="1">IFERROR(__xludf.DUMMYFUNCTION("SPARKLINE({
IF(D313="""",0,D313),
IF(F313="""",0,F313),
IF(H313="""",0,H313),
IF(J313="""",0,J313),
IF(L313="""",0,L313),
IF(N313="""",0,N313),
IF(P313="""",0,P313)
})"),"")</f>
        <v/>
      </c>
      <c r="U313" s="7" t="str">
        <f ca="1">IFERROR(__xludf.DUMMYFUNCTION("SPARKLINE({
IF(E313="""",0,E313),
IF(G313="""",0,G313),
IF(I313="""",0,I313),
IF(K313="""",0,K313),
IF(M313="""",0,M313),
IF(O313="""",0,O313),
IF(Q313="""",0,Q313)
})"),"")</f>
        <v/>
      </c>
      <c r="V313" s="8" t="e">
        <f t="array" aca="1" ref="V313" ca="1">IF($C$4="Giao",_xludf.Xlookup(C313,#REF!,#REF!,),_xludf.Xlookup(C313,#REF!,#REF!,))</f>
        <v>#NAME?</v>
      </c>
      <c r="W313" s="8" t="e">
        <f t="array" aca="1" ref="W313" ca="1">IF($C$4="Giao", _xludf.Xlookup(C313,#REF!,#REF!,),)</f>
        <v>#NAME?</v>
      </c>
      <c r="X313" s="9" t="e">
        <f t="shared" ca="1" si="6"/>
        <v>#NAME?</v>
      </c>
      <c r="Y313" s="7"/>
      <c r="Z313" s="7"/>
    </row>
    <row r="314" spans="1:26" ht="13" x14ac:dyDescent="0.6">
      <c r="A314" s="28" t="str">
        <f t="shared" si="5"/>
        <v/>
      </c>
      <c r="B314" s="7"/>
      <c r="C314" s="7"/>
      <c r="D314" s="9"/>
      <c r="E314" s="9"/>
      <c r="F314" s="7"/>
      <c r="G314" s="7"/>
      <c r="H314" s="7"/>
      <c r="I314" s="7"/>
      <c r="J314" s="7"/>
      <c r="K314" s="7"/>
      <c r="L314" s="7"/>
      <c r="M314" s="7"/>
      <c r="N314" s="7"/>
      <c r="O314" s="7"/>
      <c r="P314" s="29"/>
      <c r="Q314" s="29"/>
      <c r="R314" s="7"/>
      <c r="S314" s="7"/>
      <c r="T314" s="7" t="str">
        <f ca="1">IFERROR(__xludf.DUMMYFUNCTION("SPARKLINE({
IF(D314="""",0,D314),
IF(F314="""",0,F314),
IF(H314="""",0,H314),
IF(J314="""",0,J314),
IF(L314="""",0,L314),
IF(N314="""",0,N314),
IF(P314="""",0,P314)
})"),"")</f>
        <v/>
      </c>
      <c r="U314" s="7" t="str">
        <f ca="1">IFERROR(__xludf.DUMMYFUNCTION("SPARKLINE({
IF(E314="""",0,E314),
IF(G314="""",0,G314),
IF(I314="""",0,I314),
IF(K314="""",0,K314),
IF(M314="""",0,M314),
IF(O314="""",0,O314),
IF(Q314="""",0,Q314)
})"),"")</f>
        <v/>
      </c>
      <c r="V314" s="8" t="e">
        <f t="array" aca="1" ref="V314" ca="1">IF($C$4="Giao",_xludf.Xlookup(C314,#REF!,#REF!,),_xludf.Xlookup(C314,#REF!,#REF!,))</f>
        <v>#NAME?</v>
      </c>
      <c r="W314" s="8" t="e">
        <f t="array" aca="1" ref="W314" ca="1">IF($C$4="Giao", _xludf.Xlookup(C314,#REF!,#REF!,),)</f>
        <v>#NAME?</v>
      </c>
      <c r="X314" s="9" t="e">
        <f t="shared" ca="1" si="6"/>
        <v>#NAME?</v>
      </c>
      <c r="Y314" s="7"/>
      <c r="Z314" s="7"/>
    </row>
    <row r="315" spans="1:26" ht="13" x14ac:dyDescent="0.6">
      <c r="A315" s="28" t="str">
        <f t="shared" si="5"/>
        <v/>
      </c>
      <c r="B315" s="7"/>
      <c r="C315" s="7"/>
      <c r="D315" s="9"/>
      <c r="E315" s="9"/>
      <c r="F315" s="7"/>
      <c r="G315" s="7"/>
      <c r="H315" s="7"/>
      <c r="I315" s="7"/>
      <c r="J315" s="7"/>
      <c r="K315" s="7"/>
      <c r="L315" s="7"/>
      <c r="M315" s="7"/>
      <c r="N315" s="7"/>
      <c r="O315" s="7"/>
      <c r="P315" s="29"/>
      <c r="Q315" s="29"/>
      <c r="R315" s="7"/>
      <c r="S315" s="7"/>
      <c r="T315" s="7" t="str">
        <f ca="1">IFERROR(__xludf.DUMMYFUNCTION("SPARKLINE({
IF(D315="""",0,D315),
IF(F315="""",0,F315),
IF(H315="""",0,H315),
IF(J315="""",0,J315),
IF(L315="""",0,L315),
IF(N315="""",0,N315),
IF(P315="""",0,P315)
})"),"")</f>
        <v/>
      </c>
      <c r="U315" s="7" t="str">
        <f ca="1">IFERROR(__xludf.DUMMYFUNCTION("SPARKLINE({
IF(E315="""",0,E315),
IF(G315="""",0,G315),
IF(I315="""",0,I315),
IF(K315="""",0,K315),
IF(M315="""",0,M315),
IF(O315="""",0,O315),
IF(Q315="""",0,Q315)
})"),"")</f>
        <v/>
      </c>
      <c r="V315" s="8" t="e">
        <f t="array" aca="1" ref="V315" ca="1">IF($C$4="Giao",_xludf.Xlookup(C315,#REF!,#REF!,),_xludf.Xlookup(C315,#REF!,#REF!,))</f>
        <v>#NAME?</v>
      </c>
      <c r="W315" s="8" t="e">
        <f t="array" aca="1" ref="W315" ca="1">IF($C$4="Giao", _xludf.Xlookup(C315,#REF!,#REF!,),)</f>
        <v>#NAME?</v>
      </c>
      <c r="X315" s="9" t="e">
        <f t="shared" ca="1" si="6"/>
        <v>#NAME?</v>
      </c>
      <c r="Y315" s="7"/>
      <c r="Z315" s="7"/>
    </row>
    <row r="316" spans="1:26" ht="13" x14ac:dyDescent="0.6">
      <c r="A316" s="28" t="str">
        <f t="shared" si="5"/>
        <v/>
      </c>
      <c r="B316" s="7"/>
      <c r="C316" s="7"/>
      <c r="D316" s="9"/>
      <c r="E316" s="9"/>
      <c r="F316" s="7"/>
      <c r="G316" s="7"/>
      <c r="H316" s="7"/>
      <c r="I316" s="7"/>
      <c r="J316" s="7"/>
      <c r="K316" s="7"/>
      <c r="L316" s="7"/>
      <c r="M316" s="7"/>
      <c r="N316" s="7"/>
      <c r="O316" s="7"/>
      <c r="P316" s="29"/>
      <c r="Q316" s="29"/>
      <c r="R316" s="7"/>
      <c r="S316" s="7"/>
      <c r="T316" s="7" t="str">
        <f ca="1">IFERROR(__xludf.DUMMYFUNCTION("SPARKLINE({
IF(D316="""",0,D316),
IF(F316="""",0,F316),
IF(H316="""",0,H316),
IF(J316="""",0,J316),
IF(L316="""",0,L316),
IF(N316="""",0,N316),
IF(P316="""",0,P316)
})"),"")</f>
        <v/>
      </c>
      <c r="U316" s="7" t="str">
        <f ca="1">IFERROR(__xludf.DUMMYFUNCTION("SPARKLINE({
IF(E316="""",0,E316),
IF(G316="""",0,G316),
IF(I316="""",0,I316),
IF(K316="""",0,K316),
IF(M316="""",0,M316),
IF(O316="""",0,O316),
IF(Q316="""",0,Q316)
})"),"")</f>
        <v/>
      </c>
      <c r="V316" s="8" t="e">
        <f t="array" aca="1" ref="V316" ca="1">IF($C$4="Giao",_xludf.Xlookup(C316,#REF!,#REF!,),_xludf.Xlookup(C316,#REF!,#REF!,))</f>
        <v>#NAME?</v>
      </c>
      <c r="W316" s="8" t="e">
        <f t="array" aca="1" ref="W316" ca="1">IF($C$4="Giao", _xludf.Xlookup(C316,#REF!,#REF!,),)</f>
        <v>#NAME?</v>
      </c>
      <c r="X316" s="9" t="e">
        <f t="shared" ca="1" si="6"/>
        <v>#NAME?</v>
      </c>
      <c r="Y316" s="7"/>
      <c r="Z316" s="7"/>
    </row>
    <row r="317" spans="1:26" ht="13" x14ac:dyDescent="0.6">
      <c r="A317" s="28" t="str">
        <f t="shared" si="5"/>
        <v/>
      </c>
      <c r="B317" s="7"/>
      <c r="C317" s="7"/>
      <c r="D317" s="9"/>
      <c r="E317" s="9"/>
      <c r="F317" s="7"/>
      <c r="G317" s="7"/>
      <c r="H317" s="7"/>
      <c r="I317" s="7"/>
      <c r="J317" s="7"/>
      <c r="K317" s="7"/>
      <c r="L317" s="7"/>
      <c r="M317" s="7"/>
      <c r="N317" s="7"/>
      <c r="O317" s="7"/>
      <c r="P317" s="29"/>
      <c r="Q317" s="29"/>
      <c r="R317" s="7"/>
      <c r="S317" s="7"/>
      <c r="T317" s="7" t="str">
        <f ca="1">IFERROR(__xludf.DUMMYFUNCTION("SPARKLINE({
IF(D317="""",0,D317),
IF(F317="""",0,F317),
IF(H317="""",0,H317),
IF(J317="""",0,J317),
IF(L317="""",0,L317),
IF(N317="""",0,N317),
IF(P317="""",0,P317)
})"),"")</f>
        <v/>
      </c>
      <c r="U317" s="7" t="str">
        <f ca="1">IFERROR(__xludf.DUMMYFUNCTION("SPARKLINE({
IF(E317="""",0,E317),
IF(G317="""",0,G317),
IF(I317="""",0,I317),
IF(K317="""",0,K317),
IF(M317="""",0,M317),
IF(O317="""",0,O317),
IF(Q317="""",0,Q317)
})"),"")</f>
        <v/>
      </c>
      <c r="V317" s="8" t="e">
        <f t="array" aca="1" ref="V317" ca="1">IF($C$4="Giao",_xludf.Xlookup(C317,#REF!,#REF!,),_xludf.Xlookup(C317,#REF!,#REF!,))</f>
        <v>#NAME?</v>
      </c>
      <c r="W317" s="8" t="e">
        <f t="array" aca="1" ref="W317" ca="1">IF($C$4="Giao", _xludf.Xlookup(C317,#REF!,#REF!,),)</f>
        <v>#NAME?</v>
      </c>
      <c r="X317" s="9" t="e">
        <f t="shared" ca="1" si="6"/>
        <v>#NAME?</v>
      </c>
      <c r="Y317" s="7"/>
      <c r="Z317" s="7"/>
    </row>
    <row r="318" spans="1:26" ht="13" x14ac:dyDescent="0.6">
      <c r="A318" s="28" t="str">
        <f t="shared" si="5"/>
        <v/>
      </c>
      <c r="B318" s="7"/>
      <c r="C318" s="7"/>
      <c r="D318" s="9"/>
      <c r="E318" s="9"/>
      <c r="F318" s="7"/>
      <c r="G318" s="7"/>
      <c r="H318" s="7"/>
      <c r="I318" s="7"/>
      <c r="J318" s="7"/>
      <c r="K318" s="7"/>
      <c r="L318" s="7"/>
      <c r="M318" s="7"/>
      <c r="N318" s="7"/>
      <c r="O318" s="7"/>
      <c r="P318" s="29"/>
      <c r="Q318" s="29"/>
      <c r="R318" s="7"/>
      <c r="S318" s="7"/>
      <c r="T318" s="7" t="str">
        <f ca="1">IFERROR(__xludf.DUMMYFUNCTION("SPARKLINE({
IF(D318="""",0,D318),
IF(F318="""",0,F318),
IF(H318="""",0,H318),
IF(J318="""",0,J318),
IF(L318="""",0,L318),
IF(N318="""",0,N318),
IF(P318="""",0,P318)
})"),"")</f>
        <v/>
      </c>
      <c r="U318" s="7" t="str">
        <f ca="1">IFERROR(__xludf.DUMMYFUNCTION("SPARKLINE({
IF(E318="""",0,E318),
IF(G318="""",0,G318),
IF(I318="""",0,I318),
IF(K318="""",0,K318),
IF(M318="""",0,M318),
IF(O318="""",0,O318),
IF(Q318="""",0,Q318)
})"),"")</f>
        <v/>
      </c>
      <c r="V318" s="8" t="e">
        <f t="array" aca="1" ref="V318" ca="1">IF($C$4="Giao",_xludf.Xlookup(C318,#REF!,#REF!,),_xludf.Xlookup(C318,#REF!,#REF!,))</f>
        <v>#NAME?</v>
      </c>
      <c r="W318" s="8" t="e">
        <f t="array" aca="1" ref="W318" ca="1">IF($C$4="Giao", _xludf.Xlookup(C318,#REF!,#REF!,),)</f>
        <v>#NAME?</v>
      </c>
      <c r="X318" s="9" t="e">
        <f t="shared" ca="1" si="6"/>
        <v>#NAME?</v>
      </c>
      <c r="Y318" s="7"/>
      <c r="Z318" s="7"/>
    </row>
    <row r="319" spans="1:26" ht="13" x14ac:dyDescent="0.6">
      <c r="A319" s="28" t="str">
        <f t="shared" si="5"/>
        <v/>
      </c>
      <c r="B319" s="7"/>
      <c r="C319" s="7"/>
      <c r="D319" s="9"/>
      <c r="E319" s="9"/>
      <c r="F319" s="7"/>
      <c r="G319" s="7"/>
      <c r="H319" s="7"/>
      <c r="I319" s="7"/>
      <c r="J319" s="7"/>
      <c r="K319" s="7"/>
      <c r="L319" s="7"/>
      <c r="M319" s="7"/>
      <c r="N319" s="7"/>
      <c r="O319" s="7"/>
      <c r="P319" s="29"/>
      <c r="Q319" s="29"/>
      <c r="R319" s="7"/>
      <c r="S319" s="7"/>
      <c r="T319" s="7" t="str">
        <f ca="1">IFERROR(__xludf.DUMMYFUNCTION("SPARKLINE({
IF(D319="""",0,D319),
IF(F319="""",0,F319),
IF(H319="""",0,H319),
IF(J319="""",0,J319),
IF(L319="""",0,L319),
IF(N319="""",0,N319),
IF(P319="""",0,P319)
})"),"")</f>
        <v/>
      </c>
      <c r="U319" s="7" t="str">
        <f ca="1">IFERROR(__xludf.DUMMYFUNCTION("SPARKLINE({
IF(E319="""",0,E319),
IF(G319="""",0,G319),
IF(I319="""",0,I319),
IF(K319="""",0,K319),
IF(M319="""",0,M319),
IF(O319="""",0,O319),
IF(Q319="""",0,Q319)
})"),"")</f>
        <v/>
      </c>
      <c r="V319" s="8" t="e">
        <f t="array" aca="1" ref="V319" ca="1">IF($C$4="Giao",_xludf.Xlookup(C319,#REF!,#REF!,),_xludf.Xlookup(C319,#REF!,#REF!,))</f>
        <v>#NAME?</v>
      </c>
      <c r="W319" s="8" t="e">
        <f t="array" aca="1" ref="W319" ca="1">IF($C$4="Giao", _xludf.Xlookup(C319,#REF!,#REF!,),)</f>
        <v>#NAME?</v>
      </c>
      <c r="X319" s="9" t="e">
        <f t="shared" ca="1" si="6"/>
        <v>#NAME?</v>
      </c>
      <c r="Y319" s="7"/>
      <c r="Z319" s="7"/>
    </row>
    <row r="320" spans="1:26" ht="13" x14ac:dyDescent="0.6">
      <c r="A320" s="28" t="str">
        <f t="shared" si="5"/>
        <v/>
      </c>
      <c r="B320" s="7"/>
      <c r="C320" s="7"/>
      <c r="D320" s="9"/>
      <c r="E320" s="9"/>
      <c r="F320" s="7"/>
      <c r="G320" s="7"/>
      <c r="H320" s="7"/>
      <c r="I320" s="7"/>
      <c r="J320" s="7"/>
      <c r="K320" s="7"/>
      <c r="L320" s="7"/>
      <c r="M320" s="7"/>
      <c r="N320" s="7"/>
      <c r="O320" s="7"/>
      <c r="P320" s="29"/>
      <c r="Q320" s="29"/>
      <c r="R320" s="7"/>
      <c r="S320" s="7"/>
      <c r="T320" s="7" t="str">
        <f ca="1">IFERROR(__xludf.DUMMYFUNCTION("SPARKLINE({
IF(D320="""",0,D320),
IF(F320="""",0,F320),
IF(H320="""",0,H320),
IF(J320="""",0,J320),
IF(L320="""",0,L320),
IF(N320="""",0,N320),
IF(P320="""",0,P320)
})"),"")</f>
        <v/>
      </c>
      <c r="U320" s="7" t="str">
        <f ca="1">IFERROR(__xludf.DUMMYFUNCTION("SPARKLINE({
IF(E320="""",0,E320),
IF(G320="""",0,G320),
IF(I320="""",0,I320),
IF(K320="""",0,K320),
IF(M320="""",0,M320),
IF(O320="""",0,O320),
IF(Q320="""",0,Q320)
})"),"")</f>
        <v/>
      </c>
      <c r="V320" s="8" t="e">
        <f t="array" aca="1" ref="V320" ca="1">IF($C$4="Giao",_xludf.Xlookup(C320,#REF!,#REF!,),_xludf.Xlookup(C320,#REF!,#REF!,))</f>
        <v>#NAME?</v>
      </c>
      <c r="W320" s="8" t="e">
        <f t="array" aca="1" ref="W320" ca="1">IF($C$4="Giao", _xludf.Xlookup(C320,#REF!,#REF!,),)</f>
        <v>#NAME?</v>
      </c>
      <c r="X320" s="9" t="e">
        <f t="shared" ca="1" si="6"/>
        <v>#NAME?</v>
      </c>
      <c r="Y320" s="7"/>
      <c r="Z320" s="7"/>
    </row>
    <row r="321" spans="1:26" ht="13" x14ac:dyDescent="0.6">
      <c r="A321" s="28" t="str">
        <f t="shared" si="5"/>
        <v/>
      </c>
      <c r="B321" s="7"/>
      <c r="C321" s="7"/>
      <c r="D321" s="9"/>
      <c r="E321" s="9"/>
      <c r="F321" s="7"/>
      <c r="G321" s="7"/>
      <c r="H321" s="7"/>
      <c r="I321" s="7"/>
      <c r="J321" s="7"/>
      <c r="K321" s="7"/>
      <c r="L321" s="7"/>
      <c r="M321" s="7"/>
      <c r="N321" s="7"/>
      <c r="O321" s="7"/>
      <c r="P321" s="29"/>
      <c r="Q321" s="29"/>
      <c r="R321" s="7"/>
      <c r="S321" s="7"/>
      <c r="T321" s="7" t="str">
        <f ca="1">IFERROR(__xludf.DUMMYFUNCTION("SPARKLINE({
IF(D321="""",0,D321),
IF(F321="""",0,F321),
IF(H321="""",0,H321),
IF(J321="""",0,J321),
IF(L321="""",0,L321),
IF(N321="""",0,N321),
IF(P321="""",0,P321)
})"),"")</f>
        <v/>
      </c>
      <c r="U321" s="7" t="str">
        <f ca="1">IFERROR(__xludf.DUMMYFUNCTION("SPARKLINE({
IF(E321="""",0,E321),
IF(G321="""",0,G321),
IF(I321="""",0,I321),
IF(K321="""",0,K321),
IF(M321="""",0,M321),
IF(O321="""",0,O321),
IF(Q321="""",0,Q321)
})"),"")</f>
        <v/>
      </c>
      <c r="V321" s="8" t="e">
        <f t="array" aca="1" ref="V321" ca="1">IF($C$4="Giao",_xludf.Xlookup(C321,#REF!,#REF!,),_xludf.Xlookup(C321,#REF!,#REF!,))</f>
        <v>#NAME?</v>
      </c>
      <c r="W321" s="8" t="e">
        <f t="array" aca="1" ref="W321" ca="1">IF($C$4="Giao", _xludf.Xlookup(C321,#REF!,#REF!,),)</f>
        <v>#NAME?</v>
      </c>
      <c r="X321" s="9" t="e">
        <f t="shared" ca="1" si="6"/>
        <v>#NAME?</v>
      </c>
      <c r="Y321" s="7"/>
      <c r="Z321" s="7"/>
    </row>
    <row r="322" spans="1:26" ht="13" x14ac:dyDescent="0.6">
      <c r="A322" s="28" t="str">
        <f t="shared" si="5"/>
        <v/>
      </c>
      <c r="B322" s="7"/>
      <c r="C322" s="7"/>
      <c r="D322" s="9"/>
      <c r="E322" s="9"/>
      <c r="F322" s="7"/>
      <c r="G322" s="7"/>
      <c r="H322" s="7"/>
      <c r="I322" s="7"/>
      <c r="J322" s="7"/>
      <c r="K322" s="7"/>
      <c r="L322" s="7"/>
      <c r="M322" s="7"/>
      <c r="N322" s="7"/>
      <c r="O322" s="7"/>
      <c r="P322" s="29"/>
      <c r="Q322" s="29"/>
      <c r="R322" s="7"/>
      <c r="S322" s="7"/>
      <c r="T322" s="7" t="str">
        <f ca="1">IFERROR(__xludf.DUMMYFUNCTION("SPARKLINE({
IF(D322="""",0,D322),
IF(F322="""",0,F322),
IF(H322="""",0,H322),
IF(J322="""",0,J322),
IF(L322="""",0,L322),
IF(N322="""",0,N322),
IF(P322="""",0,P322)
})"),"")</f>
        <v/>
      </c>
      <c r="U322" s="7" t="str">
        <f ca="1">IFERROR(__xludf.DUMMYFUNCTION("SPARKLINE({
IF(E322="""",0,E322),
IF(G322="""",0,G322),
IF(I322="""",0,I322),
IF(K322="""",0,K322),
IF(M322="""",0,M322),
IF(O322="""",0,O322),
IF(Q322="""",0,Q322)
})"),"")</f>
        <v/>
      </c>
      <c r="V322" s="8" t="e">
        <f t="array" aca="1" ref="V322" ca="1">IF($C$4="Giao",_xludf.Xlookup(C322,#REF!,#REF!,),_xludf.Xlookup(C322,#REF!,#REF!,))</f>
        <v>#NAME?</v>
      </c>
      <c r="W322" s="8" t="e">
        <f t="array" aca="1" ref="W322" ca="1">IF($C$4="Giao", _xludf.Xlookup(C322,#REF!,#REF!,),)</f>
        <v>#NAME?</v>
      </c>
      <c r="X322" s="9" t="e">
        <f t="shared" ca="1" si="6"/>
        <v>#NAME?</v>
      </c>
      <c r="Y322" s="7"/>
      <c r="Z322" s="7"/>
    </row>
    <row r="323" spans="1:26" ht="13" x14ac:dyDescent="0.6">
      <c r="A323" s="28" t="str">
        <f t="shared" si="5"/>
        <v/>
      </c>
      <c r="B323" s="7"/>
      <c r="C323" s="7"/>
      <c r="D323" s="9"/>
      <c r="E323" s="9"/>
      <c r="F323" s="7"/>
      <c r="G323" s="7"/>
      <c r="H323" s="7"/>
      <c r="I323" s="7"/>
      <c r="J323" s="7"/>
      <c r="K323" s="7"/>
      <c r="L323" s="7"/>
      <c r="M323" s="7"/>
      <c r="N323" s="7"/>
      <c r="O323" s="7"/>
      <c r="P323" s="29"/>
      <c r="Q323" s="29"/>
      <c r="R323" s="7"/>
      <c r="S323" s="7"/>
      <c r="T323" s="7" t="str">
        <f ca="1">IFERROR(__xludf.DUMMYFUNCTION("SPARKLINE({
IF(D323="""",0,D323),
IF(F323="""",0,F323),
IF(H323="""",0,H323),
IF(J323="""",0,J323),
IF(L323="""",0,L323),
IF(N323="""",0,N323),
IF(P323="""",0,P323)
})"),"")</f>
        <v/>
      </c>
      <c r="U323" s="7" t="str">
        <f ca="1">IFERROR(__xludf.DUMMYFUNCTION("SPARKLINE({
IF(E323="""",0,E323),
IF(G323="""",0,G323),
IF(I323="""",0,I323),
IF(K323="""",0,K323),
IF(M323="""",0,M323),
IF(O323="""",0,O323),
IF(Q323="""",0,Q323)
})"),"")</f>
        <v/>
      </c>
      <c r="V323" s="8" t="e">
        <f t="array" aca="1" ref="V323" ca="1">IF($C$4="Giao",_xludf.Xlookup(C323,#REF!,#REF!,),_xludf.Xlookup(C323,#REF!,#REF!,))</f>
        <v>#NAME?</v>
      </c>
      <c r="W323" s="8" t="e">
        <f t="array" aca="1" ref="W323" ca="1">IF($C$4="Giao", _xludf.Xlookup(C323,#REF!,#REF!,),)</f>
        <v>#NAME?</v>
      </c>
      <c r="X323" s="9" t="e">
        <f t="shared" ca="1" si="6"/>
        <v>#NAME?</v>
      </c>
      <c r="Y323" s="7"/>
      <c r="Z323" s="7"/>
    </row>
    <row r="324" spans="1:26" ht="13" x14ac:dyDescent="0.6">
      <c r="A324" s="28" t="str">
        <f t="shared" si="5"/>
        <v/>
      </c>
      <c r="B324" s="7"/>
      <c r="C324" s="7"/>
      <c r="D324" s="9"/>
      <c r="E324" s="9"/>
      <c r="F324" s="7"/>
      <c r="G324" s="7"/>
      <c r="H324" s="7"/>
      <c r="I324" s="7"/>
      <c r="J324" s="7"/>
      <c r="K324" s="7"/>
      <c r="L324" s="7"/>
      <c r="M324" s="7"/>
      <c r="N324" s="7"/>
      <c r="O324" s="7"/>
      <c r="P324" s="29"/>
      <c r="Q324" s="29"/>
      <c r="R324" s="7"/>
      <c r="S324" s="7"/>
      <c r="T324" s="7" t="str">
        <f ca="1">IFERROR(__xludf.DUMMYFUNCTION("SPARKLINE({
IF(D324="""",0,D324),
IF(F324="""",0,F324),
IF(H324="""",0,H324),
IF(J324="""",0,J324),
IF(L324="""",0,L324),
IF(N324="""",0,N324),
IF(P324="""",0,P324)
})"),"")</f>
        <v/>
      </c>
      <c r="U324" s="7" t="str">
        <f ca="1">IFERROR(__xludf.DUMMYFUNCTION("SPARKLINE({
IF(E324="""",0,E324),
IF(G324="""",0,G324),
IF(I324="""",0,I324),
IF(K324="""",0,K324),
IF(M324="""",0,M324),
IF(O324="""",0,O324),
IF(Q324="""",0,Q324)
})"),"")</f>
        <v/>
      </c>
      <c r="V324" s="8" t="e">
        <f t="array" aca="1" ref="V324" ca="1">IF($C$4="Giao",_xludf.Xlookup(C324,#REF!,#REF!,),_xludf.Xlookup(C324,#REF!,#REF!,))</f>
        <v>#NAME?</v>
      </c>
      <c r="W324" s="8" t="e">
        <f t="array" aca="1" ref="W324" ca="1">IF($C$4="Giao", _xludf.Xlookup(C324,#REF!,#REF!,),)</f>
        <v>#NAME?</v>
      </c>
      <c r="X324" s="9" t="e">
        <f t="shared" ca="1" si="6"/>
        <v>#NAME?</v>
      </c>
      <c r="Y324" s="7"/>
      <c r="Z324" s="7"/>
    </row>
    <row r="325" spans="1:26" ht="13" x14ac:dyDescent="0.6">
      <c r="A325" s="28" t="str">
        <f t="shared" si="5"/>
        <v/>
      </c>
      <c r="B325" s="7"/>
      <c r="C325" s="7"/>
      <c r="D325" s="9"/>
      <c r="E325" s="9"/>
      <c r="F325" s="7"/>
      <c r="G325" s="7"/>
      <c r="H325" s="7"/>
      <c r="I325" s="7"/>
      <c r="J325" s="7"/>
      <c r="K325" s="7"/>
      <c r="L325" s="7"/>
      <c r="M325" s="7"/>
      <c r="N325" s="7"/>
      <c r="O325" s="7"/>
      <c r="P325" s="29"/>
      <c r="Q325" s="29"/>
      <c r="R325" s="7"/>
      <c r="S325" s="7"/>
      <c r="T325" s="7" t="str">
        <f ca="1">IFERROR(__xludf.DUMMYFUNCTION("SPARKLINE({
IF(D325="""",0,D325),
IF(F325="""",0,F325),
IF(H325="""",0,H325),
IF(J325="""",0,J325),
IF(L325="""",0,L325),
IF(N325="""",0,N325),
IF(P325="""",0,P325)
})"),"")</f>
        <v/>
      </c>
      <c r="U325" s="7" t="str">
        <f ca="1">IFERROR(__xludf.DUMMYFUNCTION("SPARKLINE({
IF(E325="""",0,E325),
IF(G325="""",0,G325),
IF(I325="""",0,I325),
IF(K325="""",0,K325),
IF(M325="""",0,M325),
IF(O325="""",0,O325),
IF(Q325="""",0,Q325)
})"),"")</f>
        <v/>
      </c>
      <c r="V325" s="8" t="e">
        <f t="array" aca="1" ref="V325" ca="1">IF($C$4="Giao",_xludf.Xlookup(C325,#REF!,#REF!,),_xludf.Xlookup(C325,#REF!,#REF!,))</f>
        <v>#NAME?</v>
      </c>
      <c r="W325" s="8" t="e">
        <f t="array" aca="1" ref="W325" ca="1">IF($C$4="Giao", _xludf.Xlookup(C325,#REF!,#REF!,),)</f>
        <v>#NAME?</v>
      </c>
      <c r="X325" s="9" t="e">
        <f t="shared" ca="1" si="6"/>
        <v>#NAME?</v>
      </c>
      <c r="Y325" s="7"/>
      <c r="Z325" s="7"/>
    </row>
    <row r="326" spans="1:26" ht="13" x14ac:dyDescent="0.6">
      <c r="A326" s="28" t="str">
        <f t="shared" si="5"/>
        <v/>
      </c>
      <c r="B326" s="7"/>
      <c r="C326" s="7"/>
      <c r="D326" s="9"/>
      <c r="E326" s="9"/>
      <c r="F326" s="7"/>
      <c r="G326" s="7"/>
      <c r="H326" s="7"/>
      <c r="I326" s="7"/>
      <c r="J326" s="7"/>
      <c r="K326" s="7"/>
      <c r="L326" s="7"/>
      <c r="M326" s="7"/>
      <c r="N326" s="7"/>
      <c r="O326" s="7"/>
      <c r="P326" s="29"/>
      <c r="Q326" s="29"/>
      <c r="R326" s="7"/>
      <c r="S326" s="7"/>
      <c r="T326" s="7" t="str">
        <f ca="1">IFERROR(__xludf.DUMMYFUNCTION("SPARKLINE({
IF(D326="""",0,D326),
IF(F326="""",0,F326),
IF(H326="""",0,H326),
IF(J326="""",0,J326),
IF(L326="""",0,L326),
IF(N326="""",0,N326),
IF(P326="""",0,P326)
})"),"")</f>
        <v/>
      </c>
      <c r="U326" s="7" t="str">
        <f ca="1">IFERROR(__xludf.DUMMYFUNCTION("SPARKLINE({
IF(E326="""",0,E326),
IF(G326="""",0,G326),
IF(I326="""",0,I326),
IF(K326="""",0,K326),
IF(M326="""",0,M326),
IF(O326="""",0,O326),
IF(Q326="""",0,Q326)
})"),"")</f>
        <v/>
      </c>
      <c r="V326" s="8" t="e">
        <f t="array" aca="1" ref="V326" ca="1">IF($C$4="Giao",_xludf.Xlookup(C326,#REF!,#REF!,),_xludf.Xlookup(C326,#REF!,#REF!,))</f>
        <v>#NAME?</v>
      </c>
      <c r="W326" s="8" t="e">
        <f t="array" aca="1" ref="W326" ca="1">IF($C$4="Giao", _xludf.Xlookup(C326,#REF!,#REF!,),)</f>
        <v>#NAME?</v>
      </c>
      <c r="X326" s="9" t="e">
        <f t="shared" ca="1" si="6"/>
        <v>#NAME?</v>
      </c>
      <c r="Y326" s="7"/>
      <c r="Z326" s="7"/>
    </row>
    <row r="327" spans="1:26" ht="13" x14ac:dyDescent="0.6">
      <c r="A327" s="28" t="str">
        <f t="shared" si="5"/>
        <v/>
      </c>
      <c r="B327" s="7"/>
      <c r="C327" s="7"/>
      <c r="D327" s="9"/>
      <c r="E327" s="9"/>
      <c r="F327" s="7"/>
      <c r="G327" s="7"/>
      <c r="H327" s="7"/>
      <c r="I327" s="7"/>
      <c r="J327" s="7"/>
      <c r="K327" s="7"/>
      <c r="L327" s="7"/>
      <c r="M327" s="7"/>
      <c r="N327" s="7"/>
      <c r="O327" s="7"/>
      <c r="P327" s="29"/>
      <c r="Q327" s="29"/>
      <c r="R327" s="7"/>
      <c r="S327" s="7"/>
      <c r="T327" s="7" t="str">
        <f ca="1">IFERROR(__xludf.DUMMYFUNCTION("SPARKLINE({
IF(D327="""",0,D327),
IF(F327="""",0,F327),
IF(H327="""",0,H327),
IF(J327="""",0,J327),
IF(L327="""",0,L327),
IF(N327="""",0,N327),
IF(P327="""",0,P327)
})"),"")</f>
        <v/>
      </c>
      <c r="U327" s="7" t="str">
        <f ca="1">IFERROR(__xludf.DUMMYFUNCTION("SPARKLINE({
IF(E327="""",0,E327),
IF(G327="""",0,G327),
IF(I327="""",0,I327),
IF(K327="""",0,K327),
IF(M327="""",0,M327),
IF(O327="""",0,O327),
IF(Q327="""",0,Q327)
})"),"")</f>
        <v/>
      </c>
      <c r="V327" s="8" t="e">
        <f t="array" aca="1" ref="V327" ca="1">IF($C$4="Giao",_xludf.Xlookup(C327,#REF!,#REF!,),_xludf.Xlookup(C327,#REF!,#REF!,))</f>
        <v>#NAME?</v>
      </c>
      <c r="W327" s="8" t="e">
        <f t="array" aca="1" ref="W327" ca="1">IF($C$4="Giao", _xludf.Xlookup(C327,#REF!,#REF!,),)</f>
        <v>#NAME?</v>
      </c>
      <c r="X327" s="9" t="e">
        <f t="shared" ca="1" si="6"/>
        <v>#NAME?</v>
      </c>
      <c r="Y327" s="7"/>
      <c r="Z327" s="7"/>
    </row>
    <row r="328" spans="1:26" ht="13" x14ac:dyDescent="0.6">
      <c r="A328" s="28" t="str">
        <f t="shared" si="5"/>
        <v/>
      </c>
      <c r="B328" s="7"/>
      <c r="C328" s="7"/>
      <c r="D328" s="9"/>
      <c r="E328" s="9"/>
      <c r="F328" s="7"/>
      <c r="G328" s="7"/>
      <c r="H328" s="7"/>
      <c r="I328" s="7"/>
      <c r="J328" s="7"/>
      <c r="K328" s="7"/>
      <c r="L328" s="7"/>
      <c r="M328" s="7"/>
      <c r="N328" s="7"/>
      <c r="O328" s="7"/>
      <c r="P328" s="29"/>
      <c r="Q328" s="29"/>
      <c r="R328" s="7"/>
      <c r="S328" s="7"/>
      <c r="T328" s="7" t="str">
        <f ca="1">IFERROR(__xludf.DUMMYFUNCTION("SPARKLINE({
IF(D328="""",0,D328),
IF(F328="""",0,F328),
IF(H328="""",0,H328),
IF(J328="""",0,J328),
IF(L328="""",0,L328),
IF(N328="""",0,N328),
IF(P328="""",0,P328)
})"),"")</f>
        <v/>
      </c>
      <c r="U328" s="7" t="str">
        <f ca="1">IFERROR(__xludf.DUMMYFUNCTION("SPARKLINE({
IF(E328="""",0,E328),
IF(G328="""",0,G328),
IF(I328="""",0,I328),
IF(K328="""",0,K328),
IF(M328="""",0,M328),
IF(O328="""",0,O328),
IF(Q328="""",0,Q328)
})"),"")</f>
        <v/>
      </c>
      <c r="V328" s="8" t="e">
        <f t="array" aca="1" ref="V328" ca="1">IF($C$4="Giao",_xludf.Xlookup(C328,#REF!,#REF!,),_xludf.Xlookup(C328,#REF!,#REF!,))</f>
        <v>#NAME?</v>
      </c>
      <c r="W328" s="8" t="e">
        <f t="array" aca="1" ref="W328" ca="1">IF($C$4="Giao", _xludf.Xlookup(C328,#REF!,#REF!,),)</f>
        <v>#NAME?</v>
      </c>
      <c r="X328" s="9" t="e">
        <f t="shared" ca="1" si="6"/>
        <v>#NAME?</v>
      </c>
      <c r="Y328" s="7"/>
      <c r="Z328" s="7"/>
    </row>
    <row r="329" spans="1:26" ht="13" x14ac:dyDescent="0.6">
      <c r="A329" s="28" t="str">
        <f t="shared" si="5"/>
        <v/>
      </c>
      <c r="B329" s="7"/>
      <c r="C329" s="7"/>
      <c r="D329" s="9"/>
      <c r="E329" s="9"/>
      <c r="F329" s="7"/>
      <c r="G329" s="7"/>
      <c r="H329" s="7"/>
      <c r="I329" s="7"/>
      <c r="J329" s="7"/>
      <c r="K329" s="7"/>
      <c r="L329" s="7"/>
      <c r="M329" s="7"/>
      <c r="N329" s="7"/>
      <c r="O329" s="7"/>
      <c r="P329" s="29"/>
      <c r="Q329" s="29"/>
      <c r="R329" s="7"/>
      <c r="S329" s="7"/>
      <c r="T329" s="7" t="str">
        <f ca="1">IFERROR(__xludf.DUMMYFUNCTION("SPARKLINE({
IF(D329="""",0,D329),
IF(F329="""",0,F329),
IF(H329="""",0,H329),
IF(J329="""",0,J329),
IF(L329="""",0,L329),
IF(N329="""",0,N329),
IF(P329="""",0,P329)
})"),"")</f>
        <v/>
      </c>
      <c r="U329" s="7" t="str">
        <f ca="1">IFERROR(__xludf.DUMMYFUNCTION("SPARKLINE({
IF(E329="""",0,E329),
IF(G329="""",0,G329),
IF(I329="""",0,I329),
IF(K329="""",0,K329),
IF(M329="""",0,M329),
IF(O329="""",0,O329),
IF(Q329="""",0,Q329)
})"),"")</f>
        <v/>
      </c>
      <c r="V329" s="8" t="e">
        <f t="array" aca="1" ref="V329" ca="1">IF($C$4="Giao",_xludf.Xlookup(C329,#REF!,#REF!,),_xludf.Xlookup(C329,#REF!,#REF!,))</f>
        <v>#NAME?</v>
      </c>
      <c r="W329" s="8" t="e">
        <f t="array" aca="1" ref="W329" ca="1">IF($C$4="Giao", _xludf.Xlookup(C329,#REF!,#REF!,),)</f>
        <v>#NAME?</v>
      </c>
      <c r="X329" s="9" t="e">
        <f t="shared" ca="1" si="6"/>
        <v>#NAME?</v>
      </c>
      <c r="Y329" s="7"/>
      <c r="Z329" s="7"/>
    </row>
    <row r="330" spans="1:26" ht="13" x14ac:dyDescent="0.6">
      <c r="A330" s="28" t="str">
        <f t="shared" si="5"/>
        <v/>
      </c>
      <c r="B330" s="7"/>
      <c r="C330" s="7"/>
      <c r="D330" s="9"/>
      <c r="E330" s="9"/>
      <c r="F330" s="7"/>
      <c r="G330" s="7"/>
      <c r="H330" s="7"/>
      <c r="I330" s="7"/>
      <c r="J330" s="7"/>
      <c r="K330" s="7"/>
      <c r="L330" s="7"/>
      <c r="M330" s="7"/>
      <c r="N330" s="7"/>
      <c r="O330" s="7"/>
      <c r="P330" s="29"/>
      <c r="Q330" s="29"/>
      <c r="R330" s="7"/>
      <c r="S330" s="7"/>
      <c r="T330" s="7" t="str">
        <f ca="1">IFERROR(__xludf.DUMMYFUNCTION("SPARKLINE({
IF(D330="""",0,D330),
IF(F330="""",0,F330),
IF(H330="""",0,H330),
IF(J330="""",0,J330),
IF(L330="""",0,L330),
IF(N330="""",0,N330),
IF(P330="""",0,P330)
})"),"")</f>
        <v/>
      </c>
      <c r="U330" s="7" t="str">
        <f ca="1">IFERROR(__xludf.DUMMYFUNCTION("SPARKLINE({
IF(E330="""",0,E330),
IF(G330="""",0,G330),
IF(I330="""",0,I330),
IF(K330="""",0,K330),
IF(M330="""",0,M330),
IF(O330="""",0,O330),
IF(Q330="""",0,Q330)
})"),"")</f>
        <v/>
      </c>
      <c r="V330" s="8" t="e">
        <f t="array" aca="1" ref="V330" ca="1">IF($C$4="Giao",_xludf.Xlookup(C330,#REF!,#REF!,),_xludf.Xlookup(C330,#REF!,#REF!,))</f>
        <v>#NAME?</v>
      </c>
      <c r="W330" s="8" t="e">
        <f t="array" aca="1" ref="W330" ca="1">IF($C$4="Giao", _xludf.Xlookup(C330,#REF!,#REF!,),)</f>
        <v>#NAME?</v>
      </c>
      <c r="X330" s="9" t="e">
        <f t="shared" ca="1" si="6"/>
        <v>#NAME?</v>
      </c>
      <c r="Y330" s="7"/>
      <c r="Z330" s="7"/>
    </row>
    <row r="331" spans="1:26" ht="13" x14ac:dyDescent="0.6">
      <c r="A331" s="28" t="str">
        <f t="shared" si="5"/>
        <v/>
      </c>
      <c r="B331" s="7"/>
      <c r="C331" s="7"/>
      <c r="D331" s="9"/>
      <c r="E331" s="9"/>
      <c r="F331" s="7"/>
      <c r="G331" s="7"/>
      <c r="H331" s="7"/>
      <c r="I331" s="7"/>
      <c r="J331" s="7"/>
      <c r="K331" s="7"/>
      <c r="L331" s="7"/>
      <c r="M331" s="7"/>
      <c r="N331" s="7"/>
      <c r="O331" s="7"/>
      <c r="P331" s="29"/>
      <c r="Q331" s="29"/>
      <c r="R331" s="7"/>
      <c r="S331" s="7"/>
      <c r="T331" s="7" t="str">
        <f ca="1">IFERROR(__xludf.DUMMYFUNCTION("SPARKLINE({
IF(D331="""",0,D331),
IF(F331="""",0,F331),
IF(H331="""",0,H331),
IF(J331="""",0,J331),
IF(L331="""",0,L331),
IF(N331="""",0,N331),
IF(P331="""",0,P331)
})"),"")</f>
        <v/>
      </c>
      <c r="U331" s="7" t="str">
        <f ca="1">IFERROR(__xludf.DUMMYFUNCTION("SPARKLINE({
IF(E331="""",0,E331),
IF(G331="""",0,G331),
IF(I331="""",0,I331),
IF(K331="""",0,K331),
IF(M331="""",0,M331),
IF(O331="""",0,O331),
IF(Q331="""",0,Q331)
})"),"")</f>
        <v/>
      </c>
      <c r="V331" s="8" t="e">
        <f t="array" aca="1" ref="V331" ca="1">IF($C$4="Giao",_xludf.Xlookup(C331,#REF!,#REF!,),_xludf.Xlookup(C331,#REF!,#REF!,))</f>
        <v>#NAME?</v>
      </c>
      <c r="W331" s="8" t="e">
        <f t="array" aca="1" ref="W331" ca="1">IF($C$4="Giao", _xludf.Xlookup(C331,#REF!,#REF!,),)</f>
        <v>#NAME?</v>
      </c>
      <c r="X331" s="9" t="e">
        <f t="shared" ca="1" si="6"/>
        <v>#NAME?</v>
      </c>
      <c r="Y331" s="7"/>
      <c r="Z331" s="7"/>
    </row>
    <row r="332" spans="1:26" ht="13" x14ac:dyDescent="0.6">
      <c r="A332" s="28" t="str">
        <f t="shared" si="5"/>
        <v/>
      </c>
      <c r="B332" s="7"/>
      <c r="C332" s="7"/>
      <c r="D332" s="9"/>
      <c r="E332" s="9"/>
      <c r="F332" s="7"/>
      <c r="G332" s="7"/>
      <c r="H332" s="7"/>
      <c r="I332" s="7"/>
      <c r="J332" s="7"/>
      <c r="K332" s="7"/>
      <c r="L332" s="7"/>
      <c r="M332" s="7"/>
      <c r="N332" s="7"/>
      <c r="O332" s="7"/>
      <c r="P332" s="29"/>
      <c r="Q332" s="29"/>
      <c r="R332" s="7"/>
      <c r="S332" s="7"/>
      <c r="T332" s="7" t="str">
        <f ca="1">IFERROR(__xludf.DUMMYFUNCTION("SPARKLINE({
IF(D332="""",0,D332),
IF(F332="""",0,F332),
IF(H332="""",0,H332),
IF(J332="""",0,J332),
IF(L332="""",0,L332),
IF(N332="""",0,N332),
IF(P332="""",0,P332)
})"),"")</f>
        <v/>
      </c>
      <c r="U332" s="7" t="str">
        <f ca="1">IFERROR(__xludf.DUMMYFUNCTION("SPARKLINE({
IF(E332="""",0,E332),
IF(G332="""",0,G332),
IF(I332="""",0,I332),
IF(K332="""",0,K332),
IF(M332="""",0,M332),
IF(O332="""",0,O332),
IF(Q332="""",0,Q332)
})"),"")</f>
        <v/>
      </c>
      <c r="V332" s="8" t="e">
        <f t="array" aca="1" ref="V332" ca="1">IF($C$4="Giao",_xludf.Xlookup(C332,#REF!,#REF!,),_xludf.Xlookup(C332,#REF!,#REF!,))</f>
        <v>#NAME?</v>
      </c>
      <c r="W332" s="8" t="e">
        <f t="array" aca="1" ref="W332" ca="1">IF($C$4="Giao", _xludf.Xlookup(C332,#REF!,#REF!,),)</f>
        <v>#NAME?</v>
      </c>
      <c r="X332" s="9" t="e">
        <f t="shared" ca="1" si="6"/>
        <v>#NAME?</v>
      </c>
      <c r="Y332" s="7"/>
      <c r="Z332" s="7"/>
    </row>
    <row r="333" spans="1:26" ht="13" x14ac:dyDescent="0.6">
      <c r="A333" s="28" t="str">
        <f t="shared" si="5"/>
        <v/>
      </c>
      <c r="B333" s="7"/>
      <c r="C333" s="7"/>
      <c r="D333" s="9"/>
      <c r="E333" s="9"/>
      <c r="F333" s="7"/>
      <c r="G333" s="7"/>
      <c r="H333" s="7"/>
      <c r="I333" s="7"/>
      <c r="J333" s="7"/>
      <c r="K333" s="7"/>
      <c r="L333" s="7"/>
      <c r="M333" s="7"/>
      <c r="N333" s="7"/>
      <c r="O333" s="7"/>
      <c r="P333" s="29"/>
      <c r="Q333" s="29"/>
      <c r="R333" s="7"/>
      <c r="S333" s="7"/>
      <c r="T333" s="7" t="str">
        <f ca="1">IFERROR(__xludf.DUMMYFUNCTION("SPARKLINE({
IF(D333="""",0,D333),
IF(F333="""",0,F333),
IF(H333="""",0,H333),
IF(J333="""",0,J333),
IF(L333="""",0,L333),
IF(N333="""",0,N333),
IF(P333="""",0,P333)
})"),"")</f>
        <v/>
      </c>
      <c r="U333" s="7" t="str">
        <f ca="1">IFERROR(__xludf.DUMMYFUNCTION("SPARKLINE({
IF(E333="""",0,E333),
IF(G333="""",0,G333),
IF(I333="""",0,I333),
IF(K333="""",0,K333),
IF(M333="""",0,M333),
IF(O333="""",0,O333),
IF(Q333="""",0,Q333)
})"),"")</f>
        <v/>
      </c>
      <c r="V333" s="8" t="e">
        <f t="array" aca="1" ref="V333" ca="1">IF($C$4="Giao",_xludf.Xlookup(C333,#REF!,#REF!,),_xludf.Xlookup(C333,#REF!,#REF!,))</f>
        <v>#NAME?</v>
      </c>
      <c r="W333" s="8" t="e">
        <f t="array" aca="1" ref="W333" ca="1">IF($C$4="Giao", _xludf.Xlookup(C333,#REF!,#REF!,),)</f>
        <v>#NAME?</v>
      </c>
      <c r="X333" s="9" t="e">
        <f t="shared" ca="1" si="6"/>
        <v>#NAME?</v>
      </c>
      <c r="Y333" s="7"/>
      <c r="Z333" s="7"/>
    </row>
    <row r="334" spans="1:26" ht="13" x14ac:dyDescent="0.6">
      <c r="A334" s="28" t="str">
        <f t="shared" si="5"/>
        <v/>
      </c>
      <c r="B334" s="7"/>
      <c r="C334" s="7"/>
      <c r="D334" s="9"/>
      <c r="E334" s="9"/>
      <c r="F334" s="7"/>
      <c r="G334" s="7"/>
      <c r="H334" s="7"/>
      <c r="I334" s="7"/>
      <c r="J334" s="7"/>
      <c r="K334" s="7"/>
      <c r="L334" s="7"/>
      <c r="M334" s="7"/>
      <c r="N334" s="7"/>
      <c r="O334" s="7"/>
      <c r="P334" s="29"/>
      <c r="Q334" s="29"/>
      <c r="R334" s="7"/>
      <c r="S334" s="7"/>
      <c r="T334" s="7" t="str">
        <f ca="1">IFERROR(__xludf.DUMMYFUNCTION("SPARKLINE({
IF(D334="""",0,D334),
IF(F334="""",0,F334),
IF(H334="""",0,H334),
IF(J334="""",0,J334),
IF(L334="""",0,L334),
IF(N334="""",0,N334),
IF(P334="""",0,P334)
})"),"")</f>
        <v/>
      </c>
      <c r="U334" s="7" t="str">
        <f ca="1">IFERROR(__xludf.DUMMYFUNCTION("SPARKLINE({
IF(E334="""",0,E334),
IF(G334="""",0,G334),
IF(I334="""",0,I334),
IF(K334="""",0,K334),
IF(M334="""",0,M334),
IF(O334="""",0,O334),
IF(Q334="""",0,Q334)
})"),"")</f>
        <v/>
      </c>
      <c r="V334" s="8" t="e">
        <f t="array" aca="1" ref="V334" ca="1">IF($C$4="Giao",_xludf.Xlookup(C334,#REF!,#REF!,),_xludf.Xlookup(C334,#REF!,#REF!,))</f>
        <v>#NAME?</v>
      </c>
      <c r="W334" s="8" t="e">
        <f t="array" aca="1" ref="W334" ca="1">IF($C$4="Giao", _xludf.Xlookup(C334,#REF!,#REF!,),)</f>
        <v>#NAME?</v>
      </c>
      <c r="X334" s="9" t="e">
        <f t="shared" ca="1" si="6"/>
        <v>#NAME?</v>
      </c>
      <c r="Y334" s="7"/>
      <c r="Z334" s="7"/>
    </row>
    <row r="335" spans="1:26" ht="13" x14ac:dyDescent="0.6">
      <c r="A335" s="28" t="str">
        <f t="shared" si="5"/>
        <v/>
      </c>
      <c r="B335" s="7"/>
      <c r="C335" s="7"/>
      <c r="D335" s="9"/>
      <c r="E335" s="9"/>
      <c r="F335" s="7"/>
      <c r="G335" s="7"/>
      <c r="H335" s="7"/>
      <c r="I335" s="7"/>
      <c r="J335" s="7"/>
      <c r="K335" s="7"/>
      <c r="L335" s="7"/>
      <c r="M335" s="7"/>
      <c r="N335" s="7"/>
      <c r="O335" s="7"/>
      <c r="P335" s="29"/>
      <c r="Q335" s="29"/>
      <c r="R335" s="7"/>
      <c r="S335" s="7"/>
      <c r="T335" s="7" t="str">
        <f ca="1">IFERROR(__xludf.DUMMYFUNCTION("SPARKLINE({
IF(D335="""",0,D335),
IF(F335="""",0,F335),
IF(H335="""",0,H335),
IF(J335="""",0,J335),
IF(L335="""",0,L335),
IF(N335="""",0,N335),
IF(P335="""",0,P335)
})"),"")</f>
        <v/>
      </c>
      <c r="U335" s="7" t="str">
        <f ca="1">IFERROR(__xludf.DUMMYFUNCTION("SPARKLINE({
IF(E335="""",0,E335),
IF(G335="""",0,G335),
IF(I335="""",0,I335),
IF(K335="""",0,K335),
IF(M335="""",0,M335),
IF(O335="""",0,O335),
IF(Q335="""",0,Q335)
})"),"")</f>
        <v/>
      </c>
      <c r="V335" s="8" t="e">
        <f t="array" aca="1" ref="V335" ca="1">IF($C$4="Giao",_xludf.Xlookup(C335,#REF!,#REF!,),_xludf.Xlookup(C335,#REF!,#REF!,))</f>
        <v>#NAME?</v>
      </c>
      <c r="W335" s="8" t="e">
        <f t="array" aca="1" ref="W335" ca="1">IF($C$4="Giao", _xludf.Xlookup(C335,#REF!,#REF!,),)</f>
        <v>#NAME?</v>
      </c>
      <c r="X335" s="9" t="e">
        <f t="shared" ca="1" si="6"/>
        <v>#NAME?</v>
      </c>
      <c r="Y335" s="7"/>
      <c r="Z335" s="7"/>
    </row>
    <row r="336" spans="1:26" ht="13" x14ac:dyDescent="0.6">
      <c r="A336" s="28" t="str">
        <f t="shared" si="5"/>
        <v/>
      </c>
      <c r="B336" s="7"/>
      <c r="C336" s="7"/>
      <c r="D336" s="9"/>
      <c r="E336" s="9"/>
      <c r="F336" s="7"/>
      <c r="G336" s="7"/>
      <c r="H336" s="7"/>
      <c r="I336" s="7"/>
      <c r="J336" s="7"/>
      <c r="K336" s="7"/>
      <c r="L336" s="7"/>
      <c r="M336" s="7"/>
      <c r="N336" s="7"/>
      <c r="O336" s="7"/>
      <c r="P336" s="29"/>
      <c r="Q336" s="29"/>
      <c r="R336" s="7"/>
      <c r="S336" s="7"/>
      <c r="T336" s="7" t="str">
        <f ca="1">IFERROR(__xludf.DUMMYFUNCTION("SPARKLINE({
IF(D336="""",0,D336),
IF(F336="""",0,F336),
IF(H336="""",0,H336),
IF(J336="""",0,J336),
IF(L336="""",0,L336),
IF(N336="""",0,N336),
IF(P336="""",0,P336)
})"),"")</f>
        <v/>
      </c>
      <c r="U336" s="7" t="str">
        <f ca="1">IFERROR(__xludf.DUMMYFUNCTION("SPARKLINE({
IF(E336="""",0,E336),
IF(G336="""",0,G336),
IF(I336="""",0,I336),
IF(K336="""",0,K336),
IF(M336="""",0,M336),
IF(O336="""",0,O336),
IF(Q336="""",0,Q336)
})"),"")</f>
        <v/>
      </c>
      <c r="V336" s="8" t="e">
        <f t="array" aca="1" ref="V336" ca="1">IF($C$4="Giao",_xludf.Xlookup(C336,#REF!,#REF!,),_xludf.Xlookup(C336,#REF!,#REF!,))</f>
        <v>#NAME?</v>
      </c>
      <c r="W336" s="8" t="e">
        <f t="array" aca="1" ref="W336" ca="1">IF($C$4="Giao", _xludf.Xlookup(C336,#REF!,#REF!,),)</f>
        <v>#NAME?</v>
      </c>
      <c r="X336" s="9" t="e">
        <f t="shared" ca="1" si="6"/>
        <v>#NAME?</v>
      </c>
      <c r="Y336" s="7"/>
      <c r="Z336" s="7"/>
    </row>
    <row r="337" spans="1:26" ht="13" x14ac:dyDescent="0.6">
      <c r="A337" s="28" t="str">
        <f t="shared" si="5"/>
        <v/>
      </c>
      <c r="B337" s="7"/>
      <c r="C337" s="7"/>
      <c r="D337" s="9"/>
      <c r="E337" s="9"/>
      <c r="F337" s="7"/>
      <c r="G337" s="7"/>
      <c r="H337" s="7"/>
      <c r="I337" s="7"/>
      <c r="J337" s="7"/>
      <c r="K337" s="7"/>
      <c r="L337" s="7"/>
      <c r="M337" s="7"/>
      <c r="N337" s="7"/>
      <c r="O337" s="7"/>
      <c r="P337" s="29"/>
      <c r="Q337" s="29"/>
      <c r="R337" s="7"/>
      <c r="S337" s="7"/>
      <c r="T337" s="7" t="str">
        <f ca="1">IFERROR(__xludf.DUMMYFUNCTION("SPARKLINE({
IF(D337="""",0,D337),
IF(F337="""",0,F337),
IF(H337="""",0,H337),
IF(J337="""",0,J337),
IF(L337="""",0,L337),
IF(N337="""",0,N337),
IF(P337="""",0,P337)
})"),"")</f>
        <v/>
      </c>
      <c r="U337" s="7" t="str">
        <f ca="1">IFERROR(__xludf.DUMMYFUNCTION("SPARKLINE({
IF(E337="""",0,E337),
IF(G337="""",0,G337),
IF(I337="""",0,I337),
IF(K337="""",0,K337),
IF(M337="""",0,M337),
IF(O337="""",0,O337),
IF(Q337="""",0,Q337)
})"),"")</f>
        <v/>
      </c>
      <c r="V337" s="8" t="e">
        <f t="array" aca="1" ref="V337" ca="1">IF($C$4="Giao",_xludf.Xlookup(C337,#REF!,#REF!,),_xludf.Xlookup(C337,#REF!,#REF!,))</f>
        <v>#NAME?</v>
      </c>
      <c r="W337" s="8" t="e">
        <f t="array" aca="1" ref="W337" ca="1">IF($C$4="Giao", _xludf.Xlookup(C337,#REF!,#REF!,),)</f>
        <v>#NAME?</v>
      </c>
      <c r="X337" s="9" t="e">
        <f t="shared" ca="1" si="6"/>
        <v>#NAME?</v>
      </c>
      <c r="Y337" s="7"/>
      <c r="Z337" s="7"/>
    </row>
    <row r="338" spans="1:26" ht="13" x14ac:dyDescent="0.6">
      <c r="A338" s="28" t="str">
        <f t="shared" si="5"/>
        <v/>
      </c>
      <c r="B338" s="7"/>
      <c r="C338" s="7"/>
      <c r="D338" s="9"/>
      <c r="E338" s="9"/>
      <c r="F338" s="7"/>
      <c r="G338" s="7"/>
      <c r="H338" s="7"/>
      <c r="I338" s="7"/>
      <c r="J338" s="7"/>
      <c r="K338" s="7"/>
      <c r="L338" s="7"/>
      <c r="M338" s="7"/>
      <c r="N338" s="7"/>
      <c r="O338" s="7"/>
      <c r="P338" s="29"/>
      <c r="Q338" s="29"/>
      <c r="R338" s="7"/>
      <c r="S338" s="7"/>
      <c r="T338" s="7" t="str">
        <f ca="1">IFERROR(__xludf.DUMMYFUNCTION("SPARKLINE({
IF(D338="""",0,D338),
IF(F338="""",0,F338),
IF(H338="""",0,H338),
IF(J338="""",0,J338),
IF(L338="""",0,L338),
IF(N338="""",0,N338),
IF(P338="""",0,P338)
})"),"")</f>
        <v/>
      </c>
      <c r="U338" s="7" t="str">
        <f ca="1">IFERROR(__xludf.DUMMYFUNCTION("SPARKLINE({
IF(E338="""",0,E338),
IF(G338="""",0,G338),
IF(I338="""",0,I338),
IF(K338="""",0,K338),
IF(M338="""",0,M338),
IF(O338="""",0,O338),
IF(Q338="""",0,Q338)
})"),"")</f>
        <v/>
      </c>
      <c r="V338" s="8" t="e">
        <f t="array" aca="1" ref="V338" ca="1">IF($C$4="Giao",_xludf.Xlookup(C338,#REF!,#REF!,),_xludf.Xlookup(C338,#REF!,#REF!,))</f>
        <v>#NAME?</v>
      </c>
      <c r="W338" s="8" t="e">
        <f t="array" aca="1" ref="W338" ca="1">IF($C$4="Giao", _xludf.Xlookup(C338,#REF!,#REF!,),)</f>
        <v>#NAME?</v>
      </c>
      <c r="X338" s="9" t="e">
        <f t="shared" ca="1" si="6"/>
        <v>#NAME?</v>
      </c>
      <c r="Y338" s="7"/>
      <c r="Z338" s="7"/>
    </row>
    <row r="339" spans="1:26" ht="13" x14ac:dyDescent="0.6">
      <c r="A339" s="28" t="str">
        <f t="shared" si="5"/>
        <v/>
      </c>
      <c r="B339" s="7"/>
      <c r="C339" s="7"/>
      <c r="D339" s="9"/>
      <c r="E339" s="9"/>
      <c r="F339" s="7"/>
      <c r="G339" s="7"/>
      <c r="H339" s="7"/>
      <c r="I339" s="7"/>
      <c r="J339" s="7"/>
      <c r="K339" s="7"/>
      <c r="L339" s="7"/>
      <c r="M339" s="7"/>
      <c r="N339" s="7"/>
      <c r="O339" s="7"/>
      <c r="P339" s="29"/>
      <c r="Q339" s="29"/>
      <c r="R339" s="7"/>
      <c r="S339" s="7"/>
      <c r="T339" s="7" t="str">
        <f ca="1">IFERROR(__xludf.DUMMYFUNCTION("SPARKLINE({
IF(D339="""",0,D339),
IF(F339="""",0,F339),
IF(H339="""",0,H339),
IF(J339="""",0,J339),
IF(L339="""",0,L339),
IF(N339="""",0,N339),
IF(P339="""",0,P339)
})"),"")</f>
        <v/>
      </c>
      <c r="U339" s="7" t="str">
        <f ca="1">IFERROR(__xludf.DUMMYFUNCTION("SPARKLINE({
IF(E339="""",0,E339),
IF(G339="""",0,G339),
IF(I339="""",0,I339),
IF(K339="""",0,K339),
IF(M339="""",0,M339),
IF(O339="""",0,O339),
IF(Q339="""",0,Q339)
})"),"")</f>
        <v/>
      </c>
      <c r="V339" s="8" t="e">
        <f t="array" aca="1" ref="V339" ca="1">IF($C$4="Giao",_xludf.Xlookup(C339,#REF!,#REF!,),_xludf.Xlookup(C339,#REF!,#REF!,))</f>
        <v>#NAME?</v>
      </c>
      <c r="W339" s="8" t="e">
        <f t="array" aca="1" ref="W339" ca="1">IF($C$4="Giao", _xludf.Xlookup(C339,#REF!,#REF!,),)</f>
        <v>#NAME?</v>
      </c>
      <c r="X339" s="9" t="e">
        <f t="shared" ca="1" si="6"/>
        <v>#NAME?</v>
      </c>
      <c r="Y339" s="7"/>
      <c r="Z339" s="7"/>
    </row>
    <row r="340" spans="1:26" ht="13" x14ac:dyDescent="0.6">
      <c r="A340" s="28" t="str">
        <f t="shared" si="5"/>
        <v/>
      </c>
      <c r="B340" s="7"/>
      <c r="C340" s="7"/>
      <c r="D340" s="9"/>
      <c r="E340" s="9"/>
      <c r="F340" s="7"/>
      <c r="G340" s="7"/>
      <c r="H340" s="7"/>
      <c r="I340" s="7"/>
      <c r="J340" s="7"/>
      <c r="K340" s="7"/>
      <c r="L340" s="7"/>
      <c r="M340" s="7"/>
      <c r="N340" s="7"/>
      <c r="O340" s="7"/>
      <c r="P340" s="29"/>
      <c r="Q340" s="29"/>
      <c r="R340" s="7"/>
      <c r="S340" s="7"/>
      <c r="T340" s="7" t="str">
        <f ca="1">IFERROR(__xludf.DUMMYFUNCTION("SPARKLINE({
IF(D340="""",0,D340),
IF(F340="""",0,F340),
IF(H340="""",0,H340),
IF(J340="""",0,J340),
IF(L340="""",0,L340),
IF(N340="""",0,N340),
IF(P340="""",0,P340)
})"),"")</f>
        <v/>
      </c>
      <c r="U340" s="7" t="str">
        <f ca="1">IFERROR(__xludf.DUMMYFUNCTION("SPARKLINE({
IF(E340="""",0,E340),
IF(G340="""",0,G340),
IF(I340="""",0,I340),
IF(K340="""",0,K340),
IF(M340="""",0,M340),
IF(O340="""",0,O340),
IF(Q340="""",0,Q340)
})"),"")</f>
        <v/>
      </c>
      <c r="V340" s="8" t="e">
        <f t="array" aca="1" ref="V340" ca="1">IF($C$4="Giao",_xludf.Xlookup(C340,#REF!,#REF!,),_xludf.Xlookup(C340,#REF!,#REF!,))</f>
        <v>#NAME?</v>
      </c>
      <c r="W340" s="8" t="e">
        <f t="array" aca="1" ref="W340" ca="1">IF($C$4="Giao", _xludf.Xlookup(C340,#REF!,#REF!,),)</f>
        <v>#NAME?</v>
      </c>
      <c r="X340" s="9" t="e">
        <f t="shared" ca="1" si="6"/>
        <v>#NAME?</v>
      </c>
      <c r="Y340" s="7"/>
      <c r="Z340" s="7"/>
    </row>
    <row r="341" spans="1:26" ht="13" x14ac:dyDescent="0.6">
      <c r="A341" s="28" t="str">
        <f t="shared" si="5"/>
        <v/>
      </c>
      <c r="B341" s="7"/>
      <c r="C341" s="7"/>
      <c r="D341" s="9"/>
      <c r="E341" s="9"/>
      <c r="F341" s="7"/>
      <c r="G341" s="7"/>
      <c r="H341" s="7"/>
      <c r="I341" s="7"/>
      <c r="J341" s="7"/>
      <c r="K341" s="7"/>
      <c r="L341" s="7"/>
      <c r="M341" s="7"/>
      <c r="N341" s="7"/>
      <c r="O341" s="7"/>
      <c r="P341" s="29"/>
      <c r="Q341" s="29"/>
      <c r="R341" s="7"/>
      <c r="S341" s="7"/>
      <c r="T341" s="7" t="str">
        <f ca="1">IFERROR(__xludf.DUMMYFUNCTION("SPARKLINE({
IF(D341="""",0,D341),
IF(F341="""",0,F341),
IF(H341="""",0,H341),
IF(J341="""",0,J341),
IF(L341="""",0,L341),
IF(N341="""",0,N341),
IF(P341="""",0,P341)
})"),"")</f>
        <v/>
      </c>
      <c r="U341" s="7" t="str">
        <f ca="1">IFERROR(__xludf.DUMMYFUNCTION("SPARKLINE({
IF(E341="""",0,E341),
IF(G341="""",0,G341),
IF(I341="""",0,I341),
IF(K341="""",0,K341),
IF(M341="""",0,M341),
IF(O341="""",0,O341),
IF(Q341="""",0,Q341)
})"),"")</f>
        <v/>
      </c>
      <c r="V341" s="8" t="e">
        <f t="array" aca="1" ref="V341" ca="1">IF($C$4="Giao",_xludf.Xlookup(C341,#REF!,#REF!,),_xludf.Xlookup(C341,#REF!,#REF!,))</f>
        <v>#NAME?</v>
      </c>
      <c r="W341" s="8" t="e">
        <f t="array" aca="1" ref="W341" ca="1">IF($C$4="Giao", _xludf.Xlookup(C341,#REF!,#REF!,),)</f>
        <v>#NAME?</v>
      </c>
      <c r="X341" s="9" t="e">
        <f t="shared" ca="1" si="6"/>
        <v>#NAME?</v>
      </c>
      <c r="Y341" s="7"/>
      <c r="Z341" s="7"/>
    </row>
    <row r="342" spans="1:26" ht="13" x14ac:dyDescent="0.6">
      <c r="A342" s="28" t="str">
        <f t="shared" si="5"/>
        <v/>
      </c>
      <c r="B342" s="7"/>
      <c r="C342" s="7"/>
      <c r="D342" s="9"/>
      <c r="E342" s="9"/>
      <c r="F342" s="7"/>
      <c r="G342" s="7"/>
      <c r="H342" s="7"/>
      <c r="I342" s="7"/>
      <c r="J342" s="7"/>
      <c r="K342" s="7"/>
      <c r="L342" s="7"/>
      <c r="M342" s="7"/>
      <c r="N342" s="7"/>
      <c r="O342" s="7"/>
      <c r="P342" s="29"/>
      <c r="Q342" s="29"/>
      <c r="R342" s="7"/>
      <c r="S342" s="7"/>
      <c r="T342" s="7" t="str">
        <f ca="1">IFERROR(__xludf.DUMMYFUNCTION("SPARKLINE({
IF(D342="""",0,D342),
IF(F342="""",0,F342),
IF(H342="""",0,H342),
IF(J342="""",0,J342),
IF(L342="""",0,L342),
IF(N342="""",0,N342),
IF(P342="""",0,P342)
})"),"")</f>
        <v/>
      </c>
      <c r="U342" s="7" t="str">
        <f ca="1">IFERROR(__xludf.DUMMYFUNCTION("SPARKLINE({
IF(E342="""",0,E342),
IF(G342="""",0,G342),
IF(I342="""",0,I342),
IF(K342="""",0,K342),
IF(M342="""",0,M342),
IF(O342="""",0,O342),
IF(Q342="""",0,Q342)
})"),"")</f>
        <v/>
      </c>
      <c r="V342" s="8" t="e">
        <f t="array" aca="1" ref="V342" ca="1">IF($C$4="Giao",_xludf.Xlookup(C342,#REF!,#REF!,),_xludf.Xlookup(C342,#REF!,#REF!,))</f>
        <v>#NAME?</v>
      </c>
      <c r="W342" s="8" t="e">
        <f t="array" aca="1" ref="W342" ca="1">IF($C$4="Giao", _xludf.Xlookup(C342,#REF!,#REF!,),)</f>
        <v>#NAME?</v>
      </c>
      <c r="X342" s="9" t="e">
        <f t="shared" ca="1" si="6"/>
        <v>#NAME?</v>
      </c>
      <c r="Y342" s="7"/>
      <c r="Z342" s="7"/>
    </row>
    <row r="343" spans="1:26" ht="13" x14ac:dyDescent="0.6">
      <c r="A343" s="28" t="str">
        <f t="shared" si="5"/>
        <v/>
      </c>
      <c r="B343" s="7"/>
      <c r="C343" s="7"/>
      <c r="D343" s="9"/>
      <c r="E343" s="9"/>
      <c r="F343" s="7"/>
      <c r="G343" s="7"/>
      <c r="H343" s="7"/>
      <c r="I343" s="7"/>
      <c r="J343" s="7"/>
      <c r="K343" s="7"/>
      <c r="L343" s="7"/>
      <c r="M343" s="7"/>
      <c r="N343" s="7"/>
      <c r="O343" s="7"/>
      <c r="P343" s="29"/>
      <c r="Q343" s="29"/>
      <c r="R343" s="7"/>
      <c r="S343" s="7"/>
      <c r="T343" s="7" t="str">
        <f ca="1">IFERROR(__xludf.DUMMYFUNCTION("SPARKLINE({
IF(D343="""",0,D343),
IF(F343="""",0,F343),
IF(H343="""",0,H343),
IF(J343="""",0,J343),
IF(L343="""",0,L343),
IF(N343="""",0,N343),
IF(P343="""",0,P343)
})"),"")</f>
        <v/>
      </c>
      <c r="U343" s="7" t="str">
        <f ca="1">IFERROR(__xludf.DUMMYFUNCTION("SPARKLINE({
IF(E343="""",0,E343),
IF(G343="""",0,G343),
IF(I343="""",0,I343),
IF(K343="""",0,K343),
IF(M343="""",0,M343),
IF(O343="""",0,O343),
IF(Q343="""",0,Q343)
})"),"")</f>
        <v/>
      </c>
      <c r="V343" s="8" t="e">
        <f t="array" aca="1" ref="V343" ca="1">IF($C$4="Giao",_xludf.Xlookup(C343,#REF!,#REF!,),_xludf.Xlookup(C343,#REF!,#REF!,))</f>
        <v>#NAME?</v>
      </c>
      <c r="W343" s="8" t="e">
        <f t="array" aca="1" ref="W343" ca="1">IF($C$4="Giao", _xludf.Xlookup(C343,#REF!,#REF!,),)</f>
        <v>#NAME?</v>
      </c>
      <c r="X343" s="9" t="e">
        <f t="shared" ca="1" si="6"/>
        <v>#NAME?</v>
      </c>
      <c r="Y343" s="7"/>
      <c r="Z343" s="7"/>
    </row>
    <row r="344" spans="1:26" ht="13" x14ac:dyDescent="0.6">
      <c r="A344" s="28" t="str">
        <f t="shared" si="5"/>
        <v/>
      </c>
      <c r="B344" s="7"/>
      <c r="C344" s="7"/>
      <c r="D344" s="9"/>
      <c r="E344" s="9"/>
      <c r="F344" s="7"/>
      <c r="G344" s="7"/>
      <c r="H344" s="7"/>
      <c r="I344" s="7"/>
      <c r="J344" s="7"/>
      <c r="K344" s="7"/>
      <c r="L344" s="7"/>
      <c r="M344" s="7"/>
      <c r="N344" s="7"/>
      <c r="O344" s="7"/>
      <c r="P344" s="29"/>
      <c r="Q344" s="29"/>
      <c r="R344" s="7"/>
      <c r="S344" s="7"/>
      <c r="T344" s="7" t="str">
        <f ca="1">IFERROR(__xludf.DUMMYFUNCTION("SPARKLINE({
IF(D344="""",0,D344),
IF(F344="""",0,F344),
IF(H344="""",0,H344),
IF(J344="""",0,J344),
IF(L344="""",0,L344),
IF(N344="""",0,N344),
IF(P344="""",0,P344)
})"),"")</f>
        <v/>
      </c>
      <c r="U344" s="7" t="str">
        <f ca="1">IFERROR(__xludf.DUMMYFUNCTION("SPARKLINE({
IF(E344="""",0,E344),
IF(G344="""",0,G344),
IF(I344="""",0,I344),
IF(K344="""",0,K344),
IF(M344="""",0,M344),
IF(O344="""",0,O344),
IF(Q344="""",0,Q344)
})"),"")</f>
        <v/>
      </c>
      <c r="V344" s="8" t="e">
        <f t="array" aca="1" ref="V344" ca="1">IF($C$4="Giao",_xludf.Xlookup(C344,#REF!,#REF!,),_xludf.Xlookup(C344,#REF!,#REF!,))</f>
        <v>#NAME?</v>
      </c>
      <c r="W344" s="8" t="e">
        <f t="array" aca="1" ref="W344" ca="1">IF($C$4="Giao", _xludf.Xlookup(C344,#REF!,#REF!,),)</f>
        <v>#NAME?</v>
      </c>
      <c r="X344" s="9" t="e">
        <f t="shared" ca="1" si="6"/>
        <v>#NAME?</v>
      </c>
      <c r="Y344" s="7"/>
      <c r="Z344" s="7"/>
    </row>
    <row r="345" spans="1:26" ht="13" x14ac:dyDescent="0.6">
      <c r="A345" s="28" t="str">
        <f t="shared" si="5"/>
        <v/>
      </c>
      <c r="B345" s="7"/>
      <c r="C345" s="7"/>
      <c r="D345" s="9"/>
      <c r="E345" s="9"/>
      <c r="F345" s="7"/>
      <c r="G345" s="7"/>
      <c r="H345" s="7"/>
      <c r="I345" s="7"/>
      <c r="J345" s="7"/>
      <c r="K345" s="7"/>
      <c r="L345" s="7"/>
      <c r="M345" s="7"/>
      <c r="N345" s="7"/>
      <c r="O345" s="7"/>
      <c r="P345" s="29"/>
      <c r="Q345" s="29"/>
      <c r="R345" s="7"/>
      <c r="S345" s="7"/>
      <c r="T345" s="7" t="str">
        <f ca="1">IFERROR(__xludf.DUMMYFUNCTION("SPARKLINE({
IF(D345="""",0,D345),
IF(F345="""",0,F345),
IF(H345="""",0,H345),
IF(J345="""",0,J345),
IF(L345="""",0,L345),
IF(N345="""",0,N345),
IF(P345="""",0,P345)
})"),"")</f>
        <v/>
      </c>
      <c r="U345" s="7" t="str">
        <f ca="1">IFERROR(__xludf.DUMMYFUNCTION("SPARKLINE({
IF(E345="""",0,E345),
IF(G345="""",0,G345),
IF(I345="""",0,I345),
IF(K345="""",0,K345),
IF(M345="""",0,M345),
IF(O345="""",0,O345),
IF(Q345="""",0,Q345)
})"),"")</f>
        <v/>
      </c>
      <c r="V345" s="8" t="e">
        <f t="array" aca="1" ref="V345" ca="1">IF($C$4="Giao",_xludf.Xlookup(C345,#REF!,#REF!,),_xludf.Xlookup(C345,#REF!,#REF!,))</f>
        <v>#NAME?</v>
      </c>
      <c r="W345" s="8" t="e">
        <f t="array" aca="1" ref="W345" ca="1">IF($C$4="Giao", _xludf.Xlookup(C345,#REF!,#REF!,),)</f>
        <v>#NAME?</v>
      </c>
      <c r="X345" s="9" t="e">
        <f t="shared" ca="1" si="6"/>
        <v>#NAME?</v>
      </c>
      <c r="Y345" s="7"/>
      <c r="Z345" s="7"/>
    </row>
    <row r="346" spans="1:26" ht="13" x14ac:dyDescent="0.6">
      <c r="A346" s="28" t="str">
        <f t="shared" si="5"/>
        <v/>
      </c>
      <c r="B346" s="7"/>
      <c r="C346" s="7"/>
      <c r="D346" s="9"/>
      <c r="E346" s="9"/>
      <c r="F346" s="7"/>
      <c r="G346" s="7"/>
      <c r="H346" s="7"/>
      <c r="I346" s="7"/>
      <c r="J346" s="7"/>
      <c r="K346" s="7"/>
      <c r="L346" s="7"/>
      <c r="M346" s="7"/>
      <c r="N346" s="7"/>
      <c r="O346" s="7"/>
      <c r="P346" s="29"/>
      <c r="Q346" s="29"/>
      <c r="R346" s="7"/>
      <c r="S346" s="7"/>
      <c r="T346" s="7" t="str">
        <f ca="1">IFERROR(__xludf.DUMMYFUNCTION("SPARKLINE({
IF(D346="""",0,D346),
IF(F346="""",0,F346),
IF(H346="""",0,H346),
IF(J346="""",0,J346),
IF(L346="""",0,L346),
IF(N346="""",0,N346),
IF(P346="""",0,P346)
})"),"")</f>
        <v/>
      </c>
      <c r="U346" s="7" t="str">
        <f ca="1">IFERROR(__xludf.DUMMYFUNCTION("SPARKLINE({
IF(E346="""",0,E346),
IF(G346="""",0,G346),
IF(I346="""",0,I346),
IF(K346="""",0,K346),
IF(M346="""",0,M346),
IF(O346="""",0,O346),
IF(Q346="""",0,Q346)
})"),"")</f>
        <v/>
      </c>
      <c r="V346" s="8" t="e">
        <f t="array" aca="1" ref="V346" ca="1">IF($C$4="Giao",_xludf.Xlookup(C346,#REF!,#REF!,),_xludf.Xlookup(C346,#REF!,#REF!,))</f>
        <v>#NAME?</v>
      </c>
      <c r="W346" s="8" t="e">
        <f t="array" aca="1" ref="W346" ca="1">IF($C$4="Giao", _xludf.Xlookup(C346,#REF!,#REF!,),)</f>
        <v>#NAME?</v>
      </c>
      <c r="X346" s="9" t="e">
        <f t="shared" ca="1" si="6"/>
        <v>#NAME?</v>
      </c>
      <c r="Y346" s="7"/>
      <c r="Z346" s="7"/>
    </row>
    <row r="347" spans="1:26" ht="13" x14ac:dyDescent="0.6">
      <c r="A347" s="28" t="str">
        <f t="shared" si="5"/>
        <v/>
      </c>
      <c r="B347" s="7"/>
      <c r="C347" s="7"/>
      <c r="D347" s="9"/>
      <c r="E347" s="9"/>
      <c r="F347" s="7"/>
      <c r="G347" s="7"/>
      <c r="H347" s="7"/>
      <c r="I347" s="7"/>
      <c r="J347" s="7"/>
      <c r="K347" s="7"/>
      <c r="L347" s="7"/>
      <c r="M347" s="7"/>
      <c r="N347" s="7"/>
      <c r="O347" s="7"/>
      <c r="P347" s="29"/>
      <c r="Q347" s="29"/>
      <c r="R347" s="7"/>
      <c r="S347" s="7"/>
      <c r="T347" s="7" t="str">
        <f ca="1">IFERROR(__xludf.DUMMYFUNCTION("SPARKLINE({
IF(D347="""",0,D347),
IF(F347="""",0,F347),
IF(H347="""",0,H347),
IF(J347="""",0,J347),
IF(L347="""",0,L347),
IF(N347="""",0,N347),
IF(P347="""",0,P347)
})"),"")</f>
        <v/>
      </c>
      <c r="U347" s="7" t="str">
        <f ca="1">IFERROR(__xludf.DUMMYFUNCTION("SPARKLINE({
IF(E347="""",0,E347),
IF(G347="""",0,G347),
IF(I347="""",0,I347),
IF(K347="""",0,K347),
IF(M347="""",0,M347),
IF(O347="""",0,O347),
IF(Q347="""",0,Q347)
})"),"")</f>
        <v/>
      </c>
      <c r="V347" s="8" t="e">
        <f t="array" aca="1" ref="V347" ca="1">IF($C$4="Giao",_xludf.Xlookup(C347,#REF!,#REF!,),_xludf.Xlookup(C347,#REF!,#REF!,))</f>
        <v>#NAME?</v>
      </c>
      <c r="W347" s="8" t="e">
        <f t="array" aca="1" ref="W347" ca="1">IF($C$4="Giao", _xludf.Xlookup(C347,#REF!,#REF!,),)</f>
        <v>#NAME?</v>
      </c>
      <c r="X347" s="9" t="e">
        <f t="shared" ca="1" si="6"/>
        <v>#NAME?</v>
      </c>
      <c r="Y347" s="7"/>
      <c r="Z347" s="7"/>
    </row>
    <row r="348" spans="1:26" ht="13" x14ac:dyDescent="0.6">
      <c r="A348" s="28" t="str">
        <f t="shared" si="5"/>
        <v/>
      </c>
      <c r="B348" s="7"/>
      <c r="C348" s="7"/>
      <c r="D348" s="9"/>
      <c r="E348" s="9"/>
      <c r="F348" s="7"/>
      <c r="G348" s="7"/>
      <c r="H348" s="7"/>
      <c r="I348" s="7"/>
      <c r="J348" s="7"/>
      <c r="K348" s="7"/>
      <c r="L348" s="7"/>
      <c r="M348" s="7"/>
      <c r="N348" s="7"/>
      <c r="O348" s="7"/>
      <c r="P348" s="29"/>
      <c r="Q348" s="29"/>
      <c r="R348" s="7"/>
      <c r="S348" s="7"/>
      <c r="T348" s="7" t="str">
        <f ca="1">IFERROR(__xludf.DUMMYFUNCTION("SPARKLINE({
IF(D348="""",0,D348),
IF(F348="""",0,F348),
IF(H348="""",0,H348),
IF(J348="""",0,J348),
IF(L348="""",0,L348),
IF(N348="""",0,N348),
IF(P348="""",0,P348)
})"),"")</f>
        <v/>
      </c>
      <c r="U348" s="7" t="str">
        <f ca="1">IFERROR(__xludf.DUMMYFUNCTION("SPARKLINE({
IF(E348="""",0,E348),
IF(G348="""",0,G348),
IF(I348="""",0,I348),
IF(K348="""",0,K348),
IF(M348="""",0,M348),
IF(O348="""",0,O348),
IF(Q348="""",0,Q348)
})"),"")</f>
        <v/>
      </c>
      <c r="V348" s="8" t="e">
        <f t="array" aca="1" ref="V348" ca="1">IF($C$4="Giao",_xludf.Xlookup(C348,#REF!,#REF!,),_xludf.Xlookup(C348,#REF!,#REF!,))</f>
        <v>#NAME?</v>
      </c>
      <c r="W348" s="8" t="e">
        <f t="array" aca="1" ref="W348" ca="1">IF($C$4="Giao", _xludf.Xlookup(C348,#REF!,#REF!,),)</f>
        <v>#NAME?</v>
      </c>
      <c r="X348" s="9" t="e">
        <f t="shared" ca="1" si="6"/>
        <v>#NAME?</v>
      </c>
      <c r="Y348" s="7"/>
      <c r="Z348" s="7"/>
    </row>
    <row r="349" spans="1:26" ht="13" x14ac:dyDescent="0.6">
      <c r="A349" s="28" t="str">
        <f t="shared" si="5"/>
        <v/>
      </c>
      <c r="B349" s="7"/>
      <c r="C349" s="7"/>
      <c r="D349" s="9"/>
      <c r="E349" s="9"/>
      <c r="F349" s="7"/>
      <c r="G349" s="7"/>
      <c r="H349" s="7"/>
      <c r="I349" s="7"/>
      <c r="J349" s="7"/>
      <c r="K349" s="7"/>
      <c r="L349" s="7"/>
      <c r="M349" s="7"/>
      <c r="N349" s="7"/>
      <c r="O349" s="7"/>
      <c r="P349" s="29"/>
      <c r="Q349" s="29"/>
      <c r="R349" s="7"/>
      <c r="S349" s="7"/>
      <c r="T349" s="7" t="str">
        <f ca="1">IFERROR(__xludf.DUMMYFUNCTION("SPARKLINE({
IF(D349="""",0,D349),
IF(F349="""",0,F349),
IF(H349="""",0,H349),
IF(J349="""",0,J349),
IF(L349="""",0,L349),
IF(N349="""",0,N349),
IF(P349="""",0,P349)
})"),"")</f>
        <v/>
      </c>
      <c r="U349" s="7" t="str">
        <f ca="1">IFERROR(__xludf.DUMMYFUNCTION("SPARKLINE({
IF(E349="""",0,E349),
IF(G349="""",0,G349),
IF(I349="""",0,I349),
IF(K349="""",0,K349),
IF(M349="""",0,M349),
IF(O349="""",0,O349),
IF(Q349="""",0,Q349)
})"),"")</f>
        <v/>
      </c>
      <c r="V349" s="8" t="e">
        <f t="array" aca="1" ref="V349" ca="1">IF($C$4="Giao",_xludf.Xlookup(C349,#REF!,#REF!,),_xludf.Xlookup(C349,#REF!,#REF!,))</f>
        <v>#NAME?</v>
      </c>
      <c r="W349" s="8" t="e">
        <f t="array" aca="1" ref="W349" ca="1">IF($C$4="Giao", _xludf.Xlookup(C349,#REF!,#REF!,),)</f>
        <v>#NAME?</v>
      </c>
      <c r="X349" s="9" t="e">
        <f t="shared" ca="1" si="6"/>
        <v>#NAME?</v>
      </c>
      <c r="Y349" s="7"/>
      <c r="Z349" s="7"/>
    </row>
    <row r="350" spans="1:26" ht="13" x14ac:dyDescent="0.6">
      <c r="A350" s="28" t="str">
        <f t="shared" si="5"/>
        <v/>
      </c>
      <c r="B350" s="7"/>
      <c r="C350" s="7"/>
      <c r="D350" s="9"/>
      <c r="E350" s="9"/>
      <c r="F350" s="7"/>
      <c r="G350" s="7"/>
      <c r="H350" s="7"/>
      <c r="I350" s="7"/>
      <c r="J350" s="7"/>
      <c r="K350" s="7"/>
      <c r="L350" s="7"/>
      <c r="M350" s="7"/>
      <c r="N350" s="7"/>
      <c r="O350" s="7"/>
      <c r="P350" s="29"/>
      <c r="Q350" s="29"/>
      <c r="R350" s="7"/>
      <c r="S350" s="7"/>
      <c r="T350" s="7" t="str">
        <f ca="1">IFERROR(__xludf.DUMMYFUNCTION("SPARKLINE({
IF(D350="""",0,D350),
IF(F350="""",0,F350),
IF(H350="""",0,H350),
IF(J350="""",0,J350),
IF(L350="""",0,L350),
IF(N350="""",0,N350),
IF(P350="""",0,P350)
})"),"")</f>
        <v/>
      </c>
      <c r="U350" s="7" t="str">
        <f ca="1">IFERROR(__xludf.DUMMYFUNCTION("SPARKLINE({
IF(E350="""",0,E350),
IF(G350="""",0,G350),
IF(I350="""",0,I350),
IF(K350="""",0,K350),
IF(M350="""",0,M350),
IF(O350="""",0,O350),
IF(Q350="""",0,Q350)
})"),"")</f>
        <v/>
      </c>
      <c r="V350" s="8" t="e">
        <f t="array" aca="1" ref="V350" ca="1">IF($C$4="Giao",_xludf.Xlookup(C350,#REF!,#REF!,),_xludf.Xlookup(C350,#REF!,#REF!,))</f>
        <v>#NAME?</v>
      </c>
      <c r="W350" s="8" t="e">
        <f t="array" aca="1" ref="W350" ca="1">IF($C$4="Giao", _xludf.Xlookup(C350,#REF!,#REF!,),)</f>
        <v>#NAME?</v>
      </c>
      <c r="X350" s="9" t="e">
        <f t="shared" ca="1" si="6"/>
        <v>#NAME?</v>
      </c>
      <c r="Y350" s="7"/>
      <c r="Z350" s="7"/>
    </row>
    <row r="351" spans="1:26" ht="13" x14ac:dyDescent="0.6">
      <c r="A351" s="28" t="str">
        <f t="shared" si="5"/>
        <v/>
      </c>
      <c r="B351" s="7"/>
      <c r="C351" s="7"/>
      <c r="D351" s="9"/>
      <c r="E351" s="9"/>
      <c r="F351" s="7"/>
      <c r="G351" s="7"/>
      <c r="H351" s="7"/>
      <c r="I351" s="7"/>
      <c r="J351" s="7"/>
      <c r="K351" s="7"/>
      <c r="L351" s="7"/>
      <c r="M351" s="7"/>
      <c r="N351" s="7"/>
      <c r="O351" s="7"/>
      <c r="P351" s="29"/>
      <c r="Q351" s="29"/>
      <c r="R351" s="7"/>
      <c r="S351" s="7"/>
      <c r="T351" s="7" t="str">
        <f ca="1">IFERROR(__xludf.DUMMYFUNCTION("SPARKLINE({
IF(D351="""",0,D351),
IF(F351="""",0,F351),
IF(H351="""",0,H351),
IF(J351="""",0,J351),
IF(L351="""",0,L351),
IF(N351="""",0,N351),
IF(P351="""",0,P351)
})"),"")</f>
        <v/>
      </c>
      <c r="U351" s="7" t="str">
        <f ca="1">IFERROR(__xludf.DUMMYFUNCTION("SPARKLINE({
IF(E351="""",0,E351),
IF(G351="""",0,G351),
IF(I351="""",0,I351),
IF(K351="""",0,K351),
IF(M351="""",0,M351),
IF(O351="""",0,O351),
IF(Q351="""",0,Q351)
})"),"")</f>
        <v/>
      </c>
      <c r="V351" s="8" t="e">
        <f t="array" aca="1" ref="V351" ca="1">IF($C$4="Giao",_xludf.Xlookup(C351,#REF!,#REF!,),_xludf.Xlookup(C351,#REF!,#REF!,))</f>
        <v>#NAME?</v>
      </c>
      <c r="W351" s="8" t="e">
        <f t="array" aca="1" ref="W351" ca="1">IF($C$4="Giao", _xludf.Xlookup(C351,#REF!,#REF!,),)</f>
        <v>#NAME?</v>
      </c>
      <c r="X351" s="9" t="e">
        <f t="shared" ca="1" si="6"/>
        <v>#NAME?</v>
      </c>
      <c r="Y351" s="7"/>
      <c r="Z351" s="7"/>
    </row>
    <row r="352" spans="1:26" ht="13" x14ac:dyDescent="0.6">
      <c r="A352" s="28" t="str">
        <f t="shared" si="5"/>
        <v/>
      </c>
      <c r="B352" s="7"/>
      <c r="C352" s="7"/>
      <c r="D352" s="9"/>
      <c r="E352" s="9"/>
      <c r="F352" s="7"/>
      <c r="G352" s="7"/>
      <c r="H352" s="7"/>
      <c r="I352" s="7"/>
      <c r="J352" s="7"/>
      <c r="K352" s="7"/>
      <c r="L352" s="7"/>
      <c r="M352" s="7"/>
      <c r="N352" s="7"/>
      <c r="O352" s="7"/>
      <c r="P352" s="29"/>
      <c r="Q352" s="29"/>
      <c r="R352" s="7"/>
      <c r="S352" s="7"/>
      <c r="T352" s="7" t="str">
        <f ca="1">IFERROR(__xludf.DUMMYFUNCTION("SPARKLINE({
IF(D352="""",0,D352),
IF(F352="""",0,F352),
IF(H352="""",0,H352),
IF(J352="""",0,J352),
IF(L352="""",0,L352),
IF(N352="""",0,N352),
IF(P352="""",0,P352)
})"),"")</f>
        <v/>
      </c>
      <c r="U352" s="7" t="str">
        <f ca="1">IFERROR(__xludf.DUMMYFUNCTION("SPARKLINE({
IF(E352="""",0,E352),
IF(G352="""",0,G352),
IF(I352="""",0,I352),
IF(K352="""",0,K352),
IF(M352="""",0,M352),
IF(O352="""",0,O352),
IF(Q352="""",0,Q352)
})"),"")</f>
        <v/>
      </c>
      <c r="V352" s="8" t="e">
        <f t="array" aca="1" ref="V352" ca="1">IF($C$4="Giao",_xludf.Xlookup(C352,#REF!,#REF!,),_xludf.Xlookup(C352,#REF!,#REF!,))</f>
        <v>#NAME?</v>
      </c>
      <c r="W352" s="8" t="e">
        <f t="array" aca="1" ref="W352" ca="1">IF($C$4="Giao", _xludf.Xlookup(C352,#REF!,#REF!,),)</f>
        <v>#NAME?</v>
      </c>
      <c r="X352" s="9" t="e">
        <f t="shared" ca="1" si="6"/>
        <v>#NAME?</v>
      </c>
      <c r="Y352" s="7"/>
      <c r="Z352" s="7"/>
    </row>
    <row r="353" spans="1:26" ht="13" x14ac:dyDescent="0.6">
      <c r="A353" s="28" t="str">
        <f t="shared" si="5"/>
        <v/>
      </c>
      <c r="B353" s="7"/>
      <c r="C353" s="7"/>
      <c r="D353" s="9"/>
      <c r="E353" s="9"/>
      <c r="F353" s="7"/>
      <c r="G353" s="7"/>
      <c r="H353" s="7"/>
      <c r="I353" s="7"/>
      <c r="J353" s="7"/>
      <c r="K353" s="7"/>
      <c r="L353" s="7"/>
      <c r="M353" s="7"/>
      <c r="N353" s="7"/>
      <c r="O353" s="7"/>
      <c r="P353" s="29"/>
      <c r="Q353" s="29"/>
      <c r="R353" s="7"/>
      <c r="S353" s="7"/>
      <c r="T353" s="7" t="str">
        <f ca="1">IFERROR(__xludf.DUMMYFUNCTION("SPARKLINE({
IF(D353="""",0,D353),
IF(F353="""",0,F353),
IF(H353="""",0,H353),
IF(J353="""",0,J353),
IF(L353="""",0,L353),
IF(N353="""",0,N353),
IF(P353="""",0,P353)
})"),"")</f>
        <v/>
      </c>
      <c r="U353" s="7" t="str">
        <f ca="1">IFERROR(__xludf.DUMMYFUNCTION("SPARKLINE({
IF(E353="""",0,E353),
IF(G353="""",0,G353),
IF(I353="""",0,I353),
IF(K353="""",0,K353),
IF(M353="""",0,M353),
IF(O353="""",0,O353),
IF(Q353="""",0,Q353)
})"),"")</f>
        <v/>
      </c>
      <c r="V353" s="8" t="e">
        <f t="array" aca="1" ref="V353" ca="1">IF($C$4="Giao",_xludf.Xlookup(C353,#REF!,#REF!,),_xludf.Xlookup(C353,#REF!,#REF!,))</f>
        <v>#NAME?</v>
      </c>
      <c r="W353" s="8" t="e">
        <f t="array" aca="1" ref="W353" ca="1">IF($C$4="Giao", _xludf.Xlookup(C353,#REF!,#REF!,),)</f>
        <v>#NAME?</v>
      </c>
      <c r="X353" s="9" t="e">
        <f t="shared" ca="1" si="6"/>
        <v>#NAME?</v>
      </c>
      <c r="Y353" s="7"/>
      <c r="Z353" s="7"/>
    </row>
    <row r="354" spans="1:26" ht="13" x14ac:dyDescent="0.6">
      <c r="A354" s="28" t="str">
        <f t="shared" si="5"/>
        <v/>
      </c>
      <c r="B354" s="7"/>
      <c r="C354" s="7"/>
      <c r="D354" s="9"/>
      <c r="E354" s="9"/>
      <c r="F354" s="7"/>
      <c r="G354" s="7"/>
      <c r="H354" s="7"/>
      <c r="I354" s="7"/>
      <c r="J354" s="7"/>
      <c r="K354" s="7"/>
      <c r="L354" s="7"/>
      <c r="M354" s="7"/>
      <c r="N354" s="7"/>
      <c r="O354" s="7"/>
      <c r="P354" s="29"/>
      <c r="Q354" s="29"/>
      <c r="R354" s="7"/>
      <c r="S354" s="7"/>
      <c r="T354" s="7" t="str">
        <f ca="1">IFERROR(__xludf.DUMMYFUNCTION("SPARKLINE({
IF(D354="""",0,D354),
IF(F354="""",0,F354),
IF(H354="""",0,H354),
IF(J354="""",0,J354),
IF(L354="""",0,L354),
IF(N354="""",0,N354),
IF(P354="""",0,P354)
})"),"")</f>
        <v/>
      </c>
      <c r="U354" s="7" t="str">
        <f ca="1">IFERROR(__xludf.DUMMYFUNCTION("SPARKLINE({
IF(E354="""",0,E354),
IF(G354="""",0,G354),
IF(I354="""",0,I354),
IF(K354="""",0,K354),
IF(M354="""",0,M354),
IF(O354="""",0,O354),
IF(Q354="""",0,Q354)
})"),"")</f>
        <v/>
      </c>
      <c r="V354" s="8" t="e">
        <f t="array" aca="1" ref="V354" ca="1">IF($C$4="Giao",_xludf.Xlookup(C354,#REF!,#REF!,),_xludf.Xlookup(C354,#REF!,#REF!,))</f>
        <v>#NAME?</v>
      </c>
      <c r="W354" s="8" t="e">
        <f t="array" aca="1" ref="W354" ca="1">IF($C$4="Giao", _xludf.Xlookup(C354,#REF!,#REF!,),)</f>
        <v>#NAME?</v>
      </c>
      <c r="X354" s="9" t="e">
        <f t="shared" ca="1" si="6"/>
        <v>#NAME?</v>
      </c>
      <c r="Y354" s="7"/>
      <c r="Z354" s="7"/>
    </row>
    <row r="355" spans="1:26" ht="13" x14ac:dyDescent="0.6">
      <c r="A355" s="28" t="str">
        <f t="shared" si="5"/>
        <v/>
      </c>
      <c r="B355" s="7"/>
      <c r="C355" s="7"/>
      <c r="D355" s="9"/>
      <c r="E355" s="9"/>
      <c r="F355" s="7"/>
      <c r="G355" s="7"/>
      <c r="H355" s="7"/>
      <c r="I355" s="7"/>
      <c r="J355" s="7"/>
      <c r="K355" s="7"/>
      <c r="L355" s="7"/>
      <c r="M355" s="7"/>
      <c r="N355" s="7"/>
      <c r="O355" s="7"/>
      <c r="P355" s="29"/>
      <c r="Q355" s="29"/>
      <c r="R355" s="7"/>
      <c r="S355" s="7"/>
      <c r="T355" s="7" t="str">
        <f ca="1">IFERROR(__xludf.DUMMYFUNCTION("SPARKLINE({
IF(D355="""",0,D355),
IF(F355="""",0,F355),
IF(H355="""",0,H355),
IF(J355="""",0,J355),
IF(L355="""",0,L355),
IF(N355="""",0,N355),
IF(P355="""",0,P355)
})"),"")</f>
        <v/>
      </c>
      <c r="U355" s="7" t="str">
        <f ca="1">IFERROR(__xludf.DUMMYFUNCTION("SPARKLINE({
IF(E355="""",0,E355),
IF(G355="""",0,G355),
IF(I355="""",0,I355),
IF(K355="""",0,K355),
IF(M355="""",0,M355),
IF(O355="""",0,O355),
IF(Q355="""",0,Q355)
})"),"")</f>
        <v/>
      </c>
      <c r="V355" s="8" t="e">
        <f t="array" aca="1" ref="V355" ca="1">IF($C$4="Giao",_xludf.Xlookup(C355,#REF!,#REF!,),_xludf.Xlookup(C355,#REF!,#REF!,))</f>
        <v>#NAME?</v>
      </c>
      <c r="W355" s="8" t="e">
        <f t="array" aca="1" ref="W355" ca="1">IF($C$4="Giao", _xludf.Xlookup(C355,#REF!,#REF!,),)</f>
        <v>#NAME?</v>
      </c>
      <c r="X355" s="9" t="e">
        <f t="shared" ca="1" si="6"/>
        <v>#NAME?</v>
      </c>
      <c r="Y355" s="7"/>
      <c r="Z355" s="7"/>
    </row>
    <row r="356" spans="1:26" ht="13" x14ac:dyDescent="0.6">
      <c r="A356" s="28" t="str">
        <f t="shared" si="5"/>
        <v/>
      </c>
      <c r="B356" s="7"/>
      <c r="C356" s="7"/>
      <c r="D356" s="9"/>
      <c r="E356" s="9"/>
      <c r="F356" s="7"/>
      <c r="G356" s="7"/>
      <c r="H356" s="7"/>
      <c r="I356" s="7"/>
      <c r="J356" s="7"/>
      <c r="K356" s="7"/>
      <c r="L356" s="7"/>
      <c r="M356" s="7"/>
      <c r="N356" s="7"/>
      <c r="O356" s="7"/>
      <c r="P356" s="29"/>
      <c r="Q356" s="29"/>
      <c r="R356" s="7"/>
      <c r="S356" s="7"/>
      <c r="T356" s="7" t="str">
        <f ca="1">IFERROR(__xludf.DUMMYFUNCTION("SPARKLINE({
IF(D356="""",0,D356),
IF(F356="""",0,F356),
IF(H356="""",0,H356),
IF(J356="""",0,J356),
IF(L356="""",0,L356),
IF(N356="""",0,N356),
IF(P356="""",0,P356)
})"),"")</f>
        <v/>
      </c>
      <c r="U356" s="7" t="str">
        <f ca="1">IFERROR(__xludf.DUMMYFUNCTION("SPARKLINE({
IF(E356="""",0,E356),
IF(G356="""",0,G356),
IF(I356="""",0,I356),
IF(K356="""",0,K356),
IF(M356="""",0,M356),
IF(O356="""",0,O356),
IF(Q356="""",0,Q356)
})"),"")</f>
        <v/>
      </c>
      <c r="V356" s="8" t="e">
        <f t="array" aca="1" ref="V356" ca="1">IF($C$4="Giao",_xludf.Xlookup(C356,#REF!,#REF!,),_xludf.Xlookup(C356,#REF!,#REF!,))</f>
        <v>#NAME?</v>
      </c>
      <c r="W356" s="8" t="e">
        <f t="array" aca="1" ref="W356" ca="1">IF($C$4="Giao", _xludf.Xlookup(C356,#REF!,#REF!,),)</f>
        <v>#NAME?</v>
      </c>
      <c r="X356" s="9" t="e">
        <f t="shared" ca="1" si="6"/>
        <v>#NAME?</v>
      </c>
      <c r="Y356" s="7"/>
      <c r="Z356" s="7"/>
    </row>
    <row r="357" spans="1:26" ht="13" x14ac:dyDescent="0.6">
      <c r="A357" s="28" t="str">
        <f t="shared" si="5"/>
        <v/>
      </c>
      <c r="B357" s="7"/>
      <c r="C357" s="7"/>
      <c r="D357" s="9"/>
      <c r="E357" s="9"/>
      <c r="F357" s="7"/>
      <c r="G357" s="7"/>
      <c r="H357" s="7"/>
      <c r="I357" s="7"/>
      <c r="J357" s="7"/>
      <c r="K357" s="7"/>
      <c r="L357" s="7"/>
      <c r="M357" s="7"/>
      <c r="N357" s="7"/>
      <c r="O357" s="7"/>
      <c r="P357" s="29"/>
      <c r="Q357" s="29"/>
      <c r="R357" s="7"/>
      <c r="S357" s="7"/>
      <c r="T357" s="7" t="str">
        <f ca="1">IFERROR(__xludf.DUMMYFUNCTION("SPARKLINE({
IF(D357="""",0,D357),
IF(F357="""",0,F357),
IF(H357="""",0,H357),
IF(J357="""",0,J357),
IF(L357="""",0,L357),
IF(N357="""",0,N357),
IF(P357="""",0,P357)
})"),"")</f>
        <v/>
      </c>
      <c r="U357" s="7" t="str">
        <f ca="1">IFERROR(__xludf.DUMMYFUNCTION("SPARKLINE({
IF(E357="""",0,E357),
IF(G357="""",0,G357),
IF(I357="""",0,I357),
IF(K357="""",0,K357),
IF(M357="""",0,M357),
IF(O357="""",0,O357),
IF(Q357="""",0,Q357)
})"),"")</f>
        <v/>
      </c>
      <c r="V357" s="8" t="e">
        <f t="array" aca="1" ref="V357" ca="1">IF($C$4="Giao",_xludf.Xlookup(C357,#REF!,#REF!,),_xludf.Xlookup(C357,#REF!,#REF!,))</f>
        <v>#NAME?</v>
      </c>
      <c r="W357" s="8" t="e">
        <f t="array" aca="1" ref="W357" ca="1">IF($C$4="Giao", _xludf.Xlookup(C357,#REF!,#REF!,),)</f>
        <v>#NAME?</v>
      </c>
      <c r="X357" s="9" t="e">
        <f t="shared" ca="1" si="6"/>
        <v>#NAME?</v>
      </c>
      <c r="Y357" s="7"/>
      <c r="Z357" s="7"/>
    </row>
    <row r="358" spans="1:26" ht="13" x14ac:dyDescent="0.6">
      <c r="A358" s="28" t="str">
        <f t="shared" si="5"/>
        <v/>
      </c>
      <c r="B358" s="7"/>
      <c r="C358" s="7"/>
      <c r="D358" s="9"/>
      <c r="E358" s="9"/>
      <c r="F358" s="7"/>
      <c r="G358" s="7"/>
      <c r="H358" s="7"/>
      <c r="I358" s="7"/>
      <c r="J358" s="7"/>
      <c r="K358" s="7"/>
      <c r="L358" s="7"/>
      <c r="M358" s="7"/>
      <c r="N358" s="7"/>
      <c r="O358" s="7"/>
      <c r="P358" s="29"/>
      <c r="Q358" s="29"/>
      <c r="R358" s="7"/>
      <c r="S358" s="7"/>
      <c r="T358" s="7" t="str">
        <f ca="1">IFERROR(__xludf.DUMMYFUNCTION("SPARKLINE({
IF(D358="""",0,D358),
IF(F358="""",0,F358),
IF(H358="""",0,H358),
IF(J358="""",0,J358),
IF(L358="""",0,L358),
IF(N358="""",0,N358),
IF(P358="""",0,P358)
})"),"")</f>
        <v/>
      </c>
      <c r="U358" s="7" t="str">
        <f ca="1">IFERROR(__xludf.DUMMYFUNCTION("SPARKLINE({
IF(E358="""",0,E358),
IF(G358="""",0,G358),
IF(I358="""",0,I358),
IF(K358="""",0,K358),
IF(M358="""",0,M358),
IF(O358="""",0,O358),
IF(Q358="""",0,Q358)
})"),"")</f>
        <v/>
      </c>
      <c r="V358" s="8" t="e">
        <f t="array" aca="1" ref="V358" ca="1">IF($C$4="Giao",_xludf.Xlookup(C358,#REF!,#REF!,),_xludf.Xlookup(C358,#REF!,#REF!,))</f>
        <v>#NAME?</v>
      </c>
      <c r="W358" s="8" t="e">
        <f t="array" aca="1" ref="W358" ca="1">IF($C$4="Giao", _xludf.Xlookup(C358,#REF!,#REF!,),)</f>
        <v>#NAME?</v>
      </c>
      <c r="X358" s="9" t="e">
        <f t="shared" ca="1" si="6"/>
        <v>#NAME?</v>
      </c>
      <c r="Y358" s="7"/>
      <c r="Z358" s="7"/>
    </row>
    <row r="359" spans="1:26" ht="13" x14ac:dyDescent="0.6">
      <c r="A359" s="28" t="str">
        <f t="shared" si="5"/>
        <v/>
      </c>
      <c r="B359" s="7"/>
      <c r="C359" s="7"/>
      <c r="D359" s="9"/>
      <c r="E359" s="9"/>
      <c r="F359" s="7"/>
      <c r="G359" s="7"/>
      <c r="H359" s="7"/>
      <c r="I359" s="7"/>
      <c r="J359" s="7"/>
      <c r="K359" s="7"/>
      <c r="L359" s="7"/>
      <c r="M359" s="7"/>
      <c r="N359" s="7"/>
      <c r="O359" s="7"/>
      <c r="P359" s="29"/>
      <c r="Q359" s="29"/>
      <c r="R359" s="7"/>
      <c r="S359" s="7"/>
      <c r="T359" s="7" t="str">
        <f ca="1">IFERROR(__xludf.DUMMYFUNCTION("SPARKLINE({
IF(D359="""",0,D359),
IF(F359="""",0,F359),
IF(H359="""",0,H359),
IF(J359="""",0,J359),
IF(L359="""",0,L359),
IF(N359="""",0,N359),
IF(P359="""",0,P359)
})"),"")</f>
        <v/>
      </c>
      <c r="U359" s="7" t="str">
        <f ca="1">IFERROR(__xludf.DUMMYFUNCTION("SPARKLINE({
IF(E359="""",0,E359),
IF(G359="""",0,G359),
IF(I359="""",0,I359),
IF(K359="""",0,K359),
IF(M359="""",0,M359),
IF(O359="""",0,O359),
IF(Q359="""",0,Q359)
})"),"")</f>
        <v/>
      </c>
      <c r="V359" s="8" t="e">
        <f t="array" aca="1" ref="V359" ca="1">IF($C$4="Giao",_xludf.Xlookup(C359,#REF!,#REF!,),_xludf.Xlookup(C359,#REF!,#REF!,))</f>
        <v>#NAME?</v>
      </c>
      <c r="W359" s="8" t="e">
        <f t="array" aca="1" ref="W359" ca="1">IF($C$4="Giao", _xludf.Xlookup(C359,#REF!,#REF!,),)</f>
        <v>#NAME?</v>
      </c>
      <c r="X359" s="9" t="e">
        <f t="shared" ca="1" si="6"/>
        <v>#NAME?</v>
      </c>
      <c r="Y359" s="7"/>
      <c r="Z359" s="7"/>
    </row>
    <row r="360" spans="1:26" ht="13" x14ac:dyDescent="0.6">
      <c r="A360" s="28" t="str">
        <f t="shared" si="5"/>
        <v/>
      </c>
      <c r="B360" s="7"/>
      <c r="C360" s="7"/>
      <c r="D360" s="9"/>
      <c r="E360" s="9"/>
      <c r="F360" s="7"/>
      <c r="G360" s="7"/>
      <c r="H360" s="7"/>
      <c r="I360" s="7"/>
      <c r="J360" s="7"/>
      <c r="K360" s="7"/>
      <c r="L360" s="7"/>
      <c r="M360" s="7"/>
      <c r="N360" s="7"/>
      <c r="O360" s="7"/>
      <c r="P360" s="29"/>
      <c r="Q360" s="29"/>
      <c r="R360" s="7"/>
      <c r="S360" s="7"/>
      <c r="T360" s="7" t="str">
        <f ca="1">IFERROR(__xludf.DUMMYFUNCTION("SPARKLINE({
IF(D360="""",0,D360),
IF(F360="""",0,F360),
IF(H360="""",0,H360),
IF(J360="""",0,J360),
IF(L360="""",0,L360),
IF(N360="""",0,N360),
IF(P360="""",0,P360)
})"),"")</f>
        <v/>
      </c>
      <c r="U360" s="7" t="str">
        <f ca="1">IFERROR(__xludf.DUMMYFUNCTION("SPARKLINE({
IF(E360="""",0,E360),
IF(G360="""",0,G360),
IF(I360="""",0,I360),
IF(K360="""",0,K360),
IF(M360="""",0,M360),
IF(O360="""",0,O360),
IF(Q360="""",0,Q360)
})"),"")</f>
        <v/>
      </c>
      <c r="V360" s="8" t="e">
        <f t="array" aca="1" ref="V360" ca="1">IF($C$4="Giao",_xludf.Xlookup(C360,#REF!,#REF!,),_xludf.Xlookup(C360,#REF!,#REF!,))</f>
        <v>#NAME?</v>
      </c>
      <c r="W360" s="8" t="e">
        <f t="array" aca="1" ref="W360" ca="1">IF($C$4="Giao", _xludf.Xlookup(C360,#REF!,#REF!,),)</f>
        <v>#NAME?</v>
      </c>
      <c r="X360" s="9" t="e">
        <f t="shared" ca="1" si="6"/>
        <v>#NAME?</v>
      </c>
      <c r="Y360" s="7"/>
      <c r="Z360" s="7"/>
    </row>
    <row r="361" spans="1:26" ht="13" x14ac:dyDescent="0.6">
      <c r="A361" s="28" t="str">
        <f t="shared" si="5"/>
        <v/>
      </c>
      <c r="B361" s="7"/>
      <c r="C361" s="7"/>
      <c r="D361" s="9"/>
      <c r="E361" s="9"/>
      <c r="F361" s="7"/>
      <c r="G361" s="7"/>
      <c r="H361" s="7"/>
      <c r="I361" s="7"/>
      <c r="J361" s="7"/>
      <c r="K361" s="7"/>
      <c r="L361" s="7"/>
      <c r="M361" s="7"/>
      <c r="N361" s="7"/>
      <c r="O361" s="7"/>
      <c r="P361" s="29"/>
      <c r="Q361" s="29"/>
      <c r="R361" s="7"/>
      <c r="S361" s="7"/>
      <c r="T361" s="7" t="str">
        <f ca="1">IFERROR(__xludf.DUMMYFUNCTION("SPARKLINE({
IF(D361="""",0,D361),
IF(F361="""",0,F361),
IF(H361="""",0,H361),
IF(J361="""",0,J361),
IF(L361="""",0,L361),
IF(N361="""",0,N361),
IF(P361="""",0,P361)
})"),"")</f>
        <v/>
      </c>
      <c r="U361" s="7" t="str">
        <f ca="1">IFERROR(__xludf.DUMMYFUNCTION("SPARKLINE({
IF(E361="""",0,E361),
IF(G361="""",0,G361),
IF(I361="""",0,I361),
IF(K361="""",0,K361),
IF(M361="""",0,M361),
IF(O361="""",0,O361),
IF(Q361="""",0,Q361)
})"),"")</f>
        <v/>
      </c>
      <c r="V361" s="8" t="e">
        <f t="array" aca="1" ref="V361" ca="1">IF($C$4="Giao",_xludf.Xlookup(C361,#REF!,#REF!,),_xludf.Xlookup(C361,#REF!,#REF!,))</f>
        <v>#NAME?</v>
      </c>
      <c r="W361" s="8" t="e">
        <f t="array" aca="1" ref="W361" ca="1">IF($C$4="Giao", _xludf.Xlookup(C361,#REF!,#REF!,),)</f>
        <v>#NAME?</v>
      </c>
      <c r="X361" s="9" t="e">
        <f t="shared" ca="1" si="6"/>
        <v>#NAME?</v>
      </c>
      <c r="Y361" s="7"/>
      <c r="Z361" s="7"/>
    </row>
    <row r="362" spans="1:26" ht="13" x14ac:dyDescent="0.6">
      <c r="A362" s="28" t="str">
        <f t="shared" si="5"/>
        <v/>
      </c>
      <c r="B362" s="7"/>
      <c r="C362" s="7"/>
      <c r="D362" s="9"/>
      <c r="E362" s="9"/>
      <c r="F362" s="7"/>
      <c r="G362" s="7"/>
      <c r="H362" s="7"/>
      <c r="I362" s="7"/>
      <c r="J362" s="7"/>
      <c r="K362" s="7"/>
      <c r="L362" s="7"/>
      <c r="M362" s="7"/>
      <c r="N362" s="7"/>
      <c r="O362" s="7"/>
      <c r="P362" s="29"/>
      <c r="Q362" s="29"/>
      <c r="R362" s="7"/>
      <c r="S362" s="7"/>
      <c r="T362" s="7" t="str">
        <f ca="1">IFERROR(__xludf.DUMMYFUNCTION("SPARKLINE({
IF(D362="""",0,D362),
IF(F362="""",0,F362),
IF(H362="""",0,H362),
IF(J362="""",0,J362),
IF(L362="""",0,L362),
IF(N362="""",0,N362),
IF(P362="""",0,P362)
})"),"")</f>
        <v/>
      </c>
      <c r="U362" s="7" t="str">
        <f ca="1">IFERROR(__xludf.DUMMYFUNCTION("SPARKLINE({
IF(E362="""",0,E362),
IF(G362="""",0,G362),
IF(I362="""",0,I362),
IF(K362="""",0,K362),
IF(M362="""",0,M362),
IF(O362="""",0,O362),
IF(Q362="""",0,Q362)
})"),"")</f>
        <v/>
      </c>
      <c r="V362" s="8" t="e">
        <f t="array" aca="1" ref="V362" ca="1">IF($C$4="Giao",_xludf.Xlookup(C362,#REF!,#REF!,),_xludf.Xlookup(C362,#REF!,#REF!,))</f>
        <v>#NAME?</v>
      </c>
      <c r="W362" s="8" t="e">
        <f t="array" aca="1" ref="W362" ca="1">IF($C$4="Giao", _xludf.Xlookup(C362,#REF!,#REF!,),)</f>
        <v>#NAME?</v>
      </c>
      <c r="X362" s="9" t="e">
        <f t="shared" ca="1" si="6"/>
        <v>#NAME?</v>
      </c>
      <c r="Y362" s="7"/>
      <c r="Z362" s="7"/>
    </row>
    <row r="363" spans="1:26" ht="13" x14ac:dyDescent="0.6">
      <c r="A363" s="28" t="str">
        <f t="shared" si="5"/>
        <v/>
      </c>
      <c r="B363" s="7"/>
      <c r="C363" s="7"/>
      <c r="D363" s="9"/>
      <c r="E363" s="9"/>
      <c r="F363" s="7"/>
      <c r="G363" s="7"/>
      <c r="H363" s="7"/>
      <c r="I363" s="7"/>
      <c r="J363" s="7"/>
      <c r="K363" s="7"/>
      <c r="L363" s="7"/>
      <c r="M363" s="7"/>
      <c r="N363" s="7"/>
      <c r="O363" s="7"/>
      <c r="P363" s="29"/>
      <c r="Q363" s="29"/>
      <c r="R363" s="7"/>
      <c r="S363" s="7"/>
      <c r="T363" s="7" t="str">
        <f ca="1">IFERROR(__xludf.DUMMYFUNCTION("SPARKLINE({
IF(D363="""",0,D363),
IF(F363="""",0,F363),
IF(H363="""",0,H363),
IF(J363="""",0,J363),
IF(L363="""",0,L363),
IF(N363="""",0,N363),
IF(P363="""",0,P363)
})"),"")</f>
        <v/>
      </c>
      <c r="U363" s="7" t="str">
        <f ca="1">IFERROR(__xludf.DUMMYFUNCTION("SPARKLINE({
IF(E363="""",0,E363),
IF(G363="""",0,G363),
IF(I363="""",0,I363),
IF(K363="""",0,K363),
IF(M363="""",0,M363),
IF(O363="""",0,O363),
IF(Q363="""",0,Q363)
})"),"")</f>
        <v/>
      </c>
      <c r="V363" s="8" t="e">
        <f t="array" aca="1" ref="V363" ca="1">IF($C$4="Giao",_xludf.Xlookup(C363,#REF!,#REF!,),_xludf.Xlookup(C363,#REF!,#REF!,))</f>
        <v>#NAME?</v>
      </c>
      <c r="W363" s="8" t="e">
        <f t="array" aca="1" ref="W363" ca="1">IF($C$4="Giao", _xludf.Xlookup(C363,#REF!,#REF!,),)</f>
        <v>#NAME?</v>
      </c>
      <c r="X363" s="9" t="e">
        <f t="shared" ca="1" si="6"/>
        <v>#NAME?</v>
      </c>
      <c r="Y363" s="7"/>
      <c r="Z363" s="7"/>
    </row>
    <row r="364" spans="1:26" ht="13" x14ac:dyDescent="0.6">
      <c r="A364" s="28" t="str">
        <f t="shared" si="5"/>
        <v/>
      </c>
      <c r="B364" s="7"/>
      <c r="C364" s="7"/>
      <c r="D364" s="9"/>
      <c r="E364" s="9"/>
      <c r="F364" s="7"/>
      <c r="G364" s="7"/>
      <c r="H364" s="7"/>
      <c r="I364" s="7"/>
      <c r="J364" s="7"/>
      <c r="K364" s="7"/>
      <c r="L364" s="7"/>
      <c r="M364" s="7"/>
      <c r="N364" s="7"/>
      <c r="O364" s="7"/>
      <c r="P364" s="29"/>
      <c r="Q364" s="29"/>
      <c r="R364" s="7"/>
      <c r="S364" s="7"/>
      <c r="T364" s="7" t="str">
        <f ca="1">IFERROR(__xludf.DUMMYFUNCTION("SPARKLINE({
IF(D364="""",0,D364),
IF(F364="""",0,F364),
IF(H364="""",0,H364),
IF(J364="""",0,J364),
IF(L364="""",0,L364),
IF(N364="""",0,N364),
IF(P364="""",0,P364)
})"),"")</f>
        <v/>
      </c>
      <c r="U364" s="7" t="str">
        <f ca="1">IFERROR(__xludf.DUMMYFUNCTION("SPARKLINE({
IF(E364="""",0,E364),
IF(G364="""",0,G364),
IF(I364="""",0,I364),
IF(K364="""",0,K364),
IF(M364="""",0,M364),
IF(O364="""",0,O364),
IF(Q364="""",0,Q364)
})"),"")</f>
        <v/>
      </c>
      <c r="V364" s="8" t="e">
        <f t="array" aca="1" ref="V364" ca="1">IF($C$4="Giao",_xludf.Xlookup(C364,#REF!,#REF!,),_xludf.Xlookup(C364,#REF!,#REF!,))</f>
        <v>#NAME?</v>
      </c>
      <c r="W364" s="8" t="e">
        <f t="array" aca="1" ref="W364" ca="1">IF($C$4="Giao", _xludf.Xlookup(C364,#REF!,#REF!,),)</f>
        <v>#NAME?</v>
      </c>
      <c r="X364" s="9" t="e">
        <f t="shared" ca="1" si="6"/>
        <v>#NAME?</v>
      </c>
      <c r="Y364" s="7"/>
      <c r="Z364" s="7"/>
    </row>
    <row r="365" spans="1:26" ht="13" x14ac:dyDescent="0.6">
      <c r="A365" s="28" t="str">
        <f t="shared" si="5"/>
        <v/>
      </c>
      <c r="B365" s="7"/>
      <c r="C365" s="7"/>
      <c r="D365" s="9"/>
      <c r="E365" s="9"/>
      <c r="F365" s="7"/>
      <c r="G365" s="7"/>
      <c r="H365" s="7"/>
      <c r="I365" s="7"/>
      <c r="J365" s="7"/>
      <c r="K365" s="7"/>
      <c r="L365" s="7"/>
      <c r="M365" s="7"/>
      <c r="N365" s="7"/>
      <c r="O365" s="7"/>
      <c r="P365" s="29"/>
      <c r="Q365" s="29"/>
      <c r="R365" s="7"/>
      <c r="S365" s="7"/>
      <c r="T365" s="7" t="str">
        <f ca="1">IFERROR(__xludf.DUMMYFUNCTION("SPARKLINE({
IF(D365="""",0,D365),
IF(F365="""",0,F365),
IF(H365="""",0,H365),
IF(J365="""",0,J365),
IF(L365="""",0,L365),
IF(N365="""",0,N365),
IF(P365="""",0,P365)
})"),"")</f>
        <v/>
      </c>
      <c r="U365" s="7" t="str">
        <f ca="1">IFERROR(__xludf.DUMMYFUNCTION("SPARKLINE({
IF(E365="""",0,E365),
IF(G365="""",0,G365),
IF(I365="""",0,I365),
IF(K365="""",0,K365),
IF(M365="""",0,M365),
IF(O365="""",0,O365),
IF(Q365="""",0,Q365)
})"),"")</f>
        <v/>
      </c>
      <c r="V365" s="8" t="e">
        <f t="array" aca="1" ref="V365" ca="1">IF($C$4="Giao",_xludf.Xlookup(C365,#REF!,#REF!,),_xludf.Xlookup(C365,#REF!,#REF!,))</f>
        <v>#NAME?</v>
      </c>
      <c r="W365" s="8" t="e">
        <f t="array" aca="1" ref="W365" ca="1">IF($C$4="Giao", _xludf.Xlookup(C365,#REF!,#REF!,),)</f>
        <v>#NAME?</v>
      </c>
      <c r="X365" s="9" t="e">
        <f t="shared" ca="1" si="6"/>
        <v>#NAME?</v>
      </c>
      <c r="Y365" s="7"/>
      <c r="Z365" s="7"/>
    </row>
    <row r="366" spans="1:26" ht="13" x14ac:dyDescent="0.6">
      <c r="A366" s="28" t="str">
        <f t="shared" si="5"/>
        <v/>
      </c>
      <c r="B366" s="7"/>
      <c r="C366" s="7"/>
      <c r="D366" s="9"/>
      <c r="E366" s="9"/>
      <c r="F366" s="7"/>
      <c r="G366" s="7"/>
      <c r="H366" s="7"/>
      <c r="I366" s="7"/>
      <c r="J366" s="7"/>
      <c r="K366" s="7"/>
      <c r="L366" s="7"/>
      <c r="M366" s="7"/>
      <c r="N366" s="7"/>
      <c r="O366" s="7"/>
      <c r="P366" s="29"/>
      <c r="Q366" s="29"/>
      <c r="R366" s="7"/>
      <c r="S366" s="7"/>
      <c r="T366" s="7" t="str">
        <f ca="1">IFERROR(__xludf.DUMMYFUNCTION("SPARKLINE({
IF(D366="""",0,D366),
IF(F366="""",0,F366),
IF(H366="""",0,H366),
IF(J366="""",0,J366),
IF(L366="""",0,L366),
IF(N366="""",0,N366),
IF(P366="""",0,P366)
})"),"")</f>
        <v/>
      </c>
      <c r="U366" s="7" t="str">
        <f ca="1">IFERROR(__xludf.DUMMYFUNCTION("SPARKLINE({
IF(E366="""",0,E366),
IF(G366="""",0,G366),
IF(I366="""",0,I366),
IF(K366="""",0,K366),
IF(M366="""",0,M366),
IF(O366="""",0,O366),
IF(Q366="""",0,Q366)
})"),"")</f>
        <v/>
      </c>
      <c r="V366" s="8" t="e">
        <f t="array" aca="1" ref="V366" ca="1">IF($C$4="Giao",_xludf.Xlookup(C366,#REF!,#REF!,),_xludf.Xlookup(C366,#REF!,#REF!,))</f>
        <v>#NAME?</v>
      </c>
      <c r="W366" s="8" t="e">
        <f t="array" aca="1" ref="W366" ca="1">IF($C$4="Giao", _xludf.Xlookup(C366,#REF!,#REF!,),)</f>
        <v>#NAME?</v>
      </c>
      <c r="X366" s="9" t="e">
        <f t="shared" ca="1" si="6"/>
        <v>#NAME?</v>
      </c>
      <c r="Y366" s="7"/>
      <c r="Z366" s="7"/>
    </row>
    <row r="367" spans="1:26" ht="13" x14ac:dyDescent="0.6">
      <c r="A367" s="28" t="str">
        <f t="shared" si="5"/>
        <v/>
      </c>
      <c r="B367" s="7"/>
      <c r="C367" s="7"/>
      <c r="D367" s="9"/>
      <c r="E367" s="9"/>
      <c r="F367" s="7"/>
      <c r="G367" s="7"/>
      <c r="H367" s="7"/>
      <c r="I367" s="7"/>
      <c r="J367" s="7"/>
      <c r="K367" s="7"/>
      <c r="L367" s="7"/>
      <c r="M367" s="7"/>
      <c r="N367" s="7"/>
      <c r="O367" s="7"/>
      <c r="P367" s="29"/>
      <c r="Q367" s="29"/>
      <c r="R367" s="7"/>
      <c r="S367" s="7"/>
      <c r="T367" s="7" t="str">
        <f ca="1">IFERROR(__xludf.DUMMYFUNCTION("SPARKLINE({
IF(D367="""",0,D367),
IF(F367="""",0,F367),
IF(H367="""",0,H367),
IF(J367="""",0,J367),
IF(L367="""",0,L367),
IF(N367="""",0,N367),
IF(P367="""",0,P367)
})"),"")</f>
        <v/>
      </c>
      <c r="U367" s="7" t="str">
        <f ca="1">IFERROR(__xludf.DUMMYFUNCTION("SPARKLINE({
IF(E367="""",0,E367),
IF(G367="""",0,G367),
IF(I367="""",0,I367),
IF(K367="""",0,K367),
IF(M367="""",0,M367),
IF(O367="""",0,O367),
IF(Q367="""",0,Q367)
})"),"")</f>
        <v/>
      </c>
      <c r="V367" s="8" t="e">
        <f t="array" aca="1" ref="V367" ca="1">IF($C$4="Giao",_xludf.Xlookup(C367,#REF!,#REF!,),_xludf.Xlookup(C367,#REF!,#REF!,))</f>
        <v>#NAME?</v>
      </c>
      <c r="W367" s="8" t="e">
        <f t="array" aca="1" ref="W367" ca="1">IF($C$4="Giao", _xludf.Xlookup(C367,#REF!,#REF!,),)</f>
        <v>#NAME?</v>
      </c>
      <c r="X367" s="9" t="e">
        <f t="shared" ca="1" si="6"/>
        <v>#NAME?</v>
      </c>
      <c r="Y367" s="7"/>
      <c r="Z367" s="7"/>
    </row>
    <row r="368" spans="1:26" ht="13" x14ac:dyDescent="0.6">
      <c r="A368" s="28" t="str">
        <f t="shared" si="5"/>
        <v/>
      </c>
      <c r="B368" s="7"/>
      <c r="C368" s="7"/>
      <c r="D368" s="9"/>
      <c r="E368" s="9"/>
      <c r="F368" s="7"/>
      <c r="G368" s="7"/>
      <c r="H368" s="7"/>
      <c r="I368" s="7"/>
      <c r="J368" s="7"/>
      <c r="K368" s="7"/>
      <c r="L368" s="7"/>
      <c r="M368" s="7"/>
      <c r="N368" s="7"/>
      <c r="O368" s="7"/>
      <c r="P368" s="29"/>
      <c r="Q368" s="29"/>
      <c r="R368" s="7"/>
      <c r="S368" s="7"/>
      <c r="T368" s="7" t="str">
        <f ca="1">IFERROR(__xludf.DUMMYFUNCTION("SPARKLINE({
IF(D368="""",0,D368),
IF(F368="""",0,F368),
IF(H368="""",0,H368),
IF(J368="""",0,J368),
IF(L368="""",0,L368),
IF(N368="""",0,N368),
IF(P368="""",0,P368)
})"),"")</f>
        <v/>
      </c>
      <c r="U368" s="7" t="str">
        <f ca="1">IFERROR(__xludf.DUMMYFUNCTION("SPARKLINE({
IF(E368="""",0,E368),
IF(G368="""",0,G368),
IF(I368="""",0,I368),
IF(K368="""",0,K368),
IF(M368="""",0,M368),
IF(O368="""",0,O368),
IF(Q368="""",0,Q368)
})"),"")</f>
        <v/>
      </c>
      <c r="V368" s="8" t="e">
        <f t="array" aca="1" ref="V368" ca="1">IF($C$4="Giao",_xludf.Xlookup(C368,#REF!,#REF!,),_xludf.Xlookup(C368,#REF!,#REF!,))</f>
        <v>#NAME?</v>
      </c>
      <c r="W368" s="8" t="e">
        <f t="array" aca="1" ref="W368" ca="1">IF($C$4="Giao", _xludf.Xlookup(C368,#REF!,#REF!,),)</f>
        <v>#NAME?</v>
      </c>
      <c r="X368" s="9" t="e">
        <f t="shared" ca="1" si="6"/>
        <v>#NAME?</v>
      </c>
      <c r="Y368" s="7"/>
      <c r="Z368" s="7"/>
    </row>
    <row r="369" spans="1:26" ht="13" x14ac:dyDescent="0.6">
      <c r="A369" s="28" t="str">
        <f t="shared" si="5"/>
        <v/>
      </c>
      <c r="B369" s="7"/>
      <c r="C369" s="7"/>
      <c r="D369" s="9"/>
      <c r="E369" s="9"/>
      <c r="F369" s="7"/>
      <c r="G369" s="7"/>
      <c r="H369" s="7"/>
      <c r="I369" s="7"/>
      <c r="J369" s="7"/>
      <c r="K369" s="7"/>
      <c r="L369" s="7"/>
      <c r="M369" s="7"/>
      <c r="N369" s="7"/>
      <c r="O369" s="7"/>
      <c r="P369" s="29"/>
      <c r="Q369" s="29"/>
      <c r="R369" s="7"/>
      <c r="S369" s="7"/>
      <c r="T369" s="7" t="str">
        <f ca="1">IFERROR(__xludf.DUMMYFUNCTION("SPARKLINE({
IF(D369="""",0,D369),
IF(F369="""",0,F369),
IF(H369="""",0,H369),
IF(J369="""",0,J369),
IF(L369="""",0,L369),
IF(N369="""",0,N369),
IF(P369="""",0,P369)
})"),"")</f>
        <v/>
      </c>
      <c r="U369" s="7" t="str">
        <f ca="1">IFERROR(__xludf.DUMMYFUNCTION("SPARKLINE({
IF(E369="""",0,E369),
IF(G369="""",0,G369),
IF(I369="""",0,I369),
IF(K369="""",0,K369),
IF(M369="""",0,M369),
IF(O369="""",0,O369),
IF(Q369="""",0,Q369)
})"),"")</f>
        <v/>
      </c>
      <c r="V369" s="8" t="e">
        <f t="array" aca="1" ref="V369" ca="1">IF($C$4="Giao",_xludf.Xlookup(C369,#REF!,#REF!,),_xludf.Xlookup(C369,#REF!,#REF!,))</f>
        <v>#NAME?</v>
      </c>
      <c r="W369" s="8" t="e">
        <f t="array" aca="1" ref="W369" ca="1">IF($C$4="Giao", _xludf.Xlookup(C369,#REF!,#REF!,),)</f>
        <v>#NAME?</v>
      </c>
      <c r="X369" s="9" t="e">
        <f t="shared" ca="1" si="6"/>
        <v>#NAME?</v>
      </c>
      <c r="Y369" s="7"/>
      <c r="Z369" s="7"/>
    </row>
    <row r="370" spans="1:26" ht="13" x14ac:dyDescent="0.6">
      <c r="A370" s="28" t="str">
        <f t="shared" si="5"/>
        <v/>
      </c>
      <c r="B370" s="7"/>
      <c r="C370" s="7"/>
      <c r="D370" s="9"/>
      <c r="E370" s="9"/>
      <c r="F370" s="7"/>
      <c r="G370" s="7"/>
      <c r="H370" s="7"/>
      <c r="I370" s="7"/>
      <c r="J370" s="7"/>
      <c r="K370" s="7"/>
      <c r="L370" s="7"/>
      <c r="M370" s="7"/>
      <c r="N370" s="7"/>
      <c r="O370" s="7"/>
      <c r="P370" s="29"/>
      <c r="Q370" s="29"/>
      <c r="R370" s="7"/>
      <c r="S370" s="7"/>
      <c r="T370" s="7" t="str">
        <f ca="1">IFERROR(__xludf.DUMMYFUNCTION("SPARKLINE({
IF(D370="""",0,D370),
IF(F370="""",0,F370),
IF(H370="""",0,H370),
IF(J370="""",0,J370),
IF(L370="""",0,L370),
IF(N370="""",0,N370),
IF(P370="""",0,P370)
})"),"")</f>
        <v/>
      </c>
      <c r="U370" s="7" t="str">
        <f ca="1">IFERROR(__xludf.DUMMYFUNCTION("SPARKLINE({
IF(E370="""",0,E370),
IF(G370="""",0,G370),
IF(I370="""",0,I370),
IF(K370="""",0,K370),
IF(M370="""",0,M370),
IF(O370="""",0,O370),
IF(Q370="""",0,Q370)
})"),"")</f>
        <v/>
      </c>
      <c r="V370" s="8" t="e">
        <f t="array" aca="1" ref="V370" ca="1">IF($C$4="Giao",_xludf.Xlookup(C370,#REF!,#REF!,),_xludf.Xlookup(C370,#REF!,#REF!,))</f>
        <v>#NAME?</v>
      </c>
      <c r="W370" s="8" t="e">
        <f t="array" aca="1" ref="W370" ca="1">IF($C$4="Giao", _xludf.Xlookup(C370,#REF!,#REF!,),)</f>
        <v>#NAME?</v>
      </c>
      <c r="X370" s="9" t="e">
        <f t="shared" ca="1" si="6"/>
        <v>#NAME?</v>
      </c>
      <c r="Y370" s="7"/>
      <c r="Z370" s="7"/>
    </row>
    <row r="371" spans="1:26" ht="13" x14ac:dyDescent="0.6">
      <c r="A371" s="28" t="str">
        <f t="shared" si="5"/>
        <v/>
      </c>
      <c r="B371" s="7"/>
      <c r="C371" s="7"/>
      <c r="D371" s="9"/>
      <c r="E371" s="9"/>
      <c r="F371" s="7"/>
      <c r="G371" s="7"/>
      <c r="H371" s="7"/>
      <c r="I371" s="7"/>
      <c r="J371" s="7"/>
      <c r="K371" s="7"/>
      <c r="L371" s="7"/>
      <c r="M371" s="7"/>
      <c r="N371" s="7"/>
      <c r="O371" s="7"/>
      <c r="P371" s="29"/>
      <c r="Q371" s="29"/>
      <c r="R371" s="7"/>
      <c r="S371" s="7"/>
      <c r="T371" s="7" t="str">
        <f ca="1">IFERROR(__xludf.DUMMYFUNCTION("SPARKLINE({
IF(D371="""",0,D371),
IF(F371="""",0,F371),
IF(H371="""",0,H371),
IF(J371="""",0,J371),
IF(L371="""",0,L371),
IF(N371="""",0,N371),
IF(P371="""",0,P371)
})"),"")</f>
        <v/>
      </c>
      <c r="U371" s="7" t="str">
        <f ca="1">IFERROR(__xludf.DUMMYFUNCTION("SPARKLINE({
IF(E371="""",0,E371),
IF(G371="""",0,G371),
IF(I371="""",0,I371),
IF(K371="""",0,K371),
IF(M371="""",0,M371),
IF(O371="""",0,O371),
IF(Q371="""",0,Q371)
})"),"")</f>
        <v/>
      </c>
      <c r="V371" s="8" t="e">
        <f t="array" aca="1" ref="V371" ca="1">IF($C$4="Giao",_xludf.Xlookup(C371,#REF!,#REF!,),_xludf.Xlookup(C371,#REF!,#REF!,))</f>
        <v>#NAME?</v>
      </c>
      <c r="W371" s="8" t="e">
        <f t="array" aca="1" ref="W371" ca="1">IF($C$4="Giao", _xludf.Xlookup(C371,#REF!,#REF!,),)</f>
        <v>#NAME?</v>
      </c>
      <c r="X371" s="9" t="e">
        <f t="shared" ca="1" si="6"/>
        <v>#NAME?</v>
      </c>
      <c r="Y371" s="7"/>
      <c r="Z371" s="7"/>
    </row>
    <row r="372" spans="1:26" ht="13" x14ac:dyDescent="0.6">
      <c r="A372" s="28" t="str">
        <f t="shared" si="5"/>
        <v/>
      </c>
      <c r="B372" s="7"/>
      <c r="C372" s="7"/>
      <c r="D372" s="9"/>
      <c r="E372" s="9"/>
      <c r="F372" s="7"/>
      <c r="G372" s="7"/>
      <c r="H372" s="7"/>
      <c r="I372" s="7"/>
      <c r="J372" s="7"/>
      <c r="K372" s="7"/>
      <c r="L372" s="7"/>
      <c r="M372" s="7"/>
      <c r="N372" s="7"/>
      <c r="O372" s="7"/>
      <c r="P372" s="29"/>
      <c r="Q372" s="29"/>
      <c r="R372" s="7"/>
      <c r="S372" s="7"/>
      <c r="T372" s="7" t="str">
        <f ca="1">IFERROR(__xludf.DUMMYFUNCTION("SPARKLINE({
IF(D372="""",0,D372),
IF(F372="""",0,F372),
IF(H372="""",0,H372),
IF(J372="""",0,J372),
IF(L372="""",0,L372),
IF(N372="""",0,N372),
IF(P372="""",0,P372)
})"),"")</f>
        <v/>
      </c>
      <c r="U372" s="7" t="str">
        <f ca="1">IFERROR(__xludf.DUMMYFUNCTION("SPARKLINE({
IF(E372="""",0,E372),
IF(G372="""",0,G372),
IF(I372="""",0,I372),
IF(K372="""",0,K372),
IF(M372="""",0,M372),
IF(O372="""",0,O372),
IF(Q372="""",0,Q372)
})"),"")</f>
        <v/>
      </c>
      <c r="V372" s="8" t="e">
        <f t="array" aca="1" ref="V372" ca="1">IF($C$4="Giao",_xludf.Xlookup(C372,#REF!,#REF!,),_xludf.Xlookup(C372,#REF!,#REF!,))</f>
        <v>#NAME?</v>
      </c>
      <c r="W372" s="8" t="e">
        <f t="array" aca="1" ref="W372" ca="1">IF($C$4="Giao", _xludf.Xlookup(C372,#REF!,#REF!,),)</f>
        <v>#NAME?</v>
      </c>
      <c r="X372" s="9" t="e">
        <f t="shared" ca="1" si="6"/>
        <v>#NAME?</v>
      </c>
      <c r="Y372" s="7"/>
      <c r="Z372" s="7"/>
    </row>
    <row r="373" spans="1:26" ht="13" x14ac:dyDescent="0.6">
      <c r="A373" s="28" t="str">
        <f t="shared" si="5"/>
        <v/>
      </c>
      <c r="B373" s="7"/>
      <c r="C373" s="7"/>
      <c r="D373" s="9"/>
      <c r="E373" s="9"/>
      <c r="F373" s="7"/>
      <c r="G373" s="7"/>
      <c r="H373" s="7"/>
      <c r="I373" s="7"/>
      <c r="J373" s="7"/>
      <c r="K373" s="7"/>
      <c r="L373" s="7"/>
      <c r="M373" s="7"/>
      <c r="N373" s="7"/>
      <c r="O373" s="7"/>
      <c r="P373" s="29"/>
      <c r="Q373" s="29"/>
      <c r="R373" s="7"/>
      <c r="S373" s="7"/>
      <c r="T373" s="7" t="str">
        <f ca="1">IFERROR(__xludf.DUMMYFUNCTION("SPARKLINE({
IF(D373="""",0,D373),
IF(F373="""",0,F373),
IF(H373="""",0,H373),
IF(J373="""",0,J373),
IF(L373="""",0,L373),
IF(N373="""",0,N373),
IF(P373="""",0,P373)
})"),"")</f>
        <v/>
      </c>
      <c r="U373" s="7" t="str">
        <f ca="1">IFERROR(__xludf.DUMMYFUNCTION("SPARKLINE({
IF(E373="""",0,E373),
IF(G373="""",0,G373),
IF(I373="""",0,I373),
IF(K373="""",0,K373),
IF(M373="""",0,M373),
IF(O373="""",0,O373),
IF(Q373="""",0,Q373)
})"),"")</f>
        <v/>
      </c>
      <c r="V373" s="8" t="e">
        <f t="array" aca="1" ref="V373" ca="1">IF($C$4="Giao",_xludf.Xlookup(C373,#REF!,#REF!,),_xludf.Xlookup(C373,#REF!,#REF!,))</f>
        <v>#NAME?</v>
      </c>
      <c r="W373" s="8" t="e">
        <f t="array" aca="1" ref="W373" ca="1">IF($C$4="Giao", _xludf.Xlookup(C373,#REF!,#REF!,),)</f>
        <v>#NAME?</v>
      </c>
      <c r="X373" s="9" t="e">
        <f t="shared" ca="1" si="6"/>
        <v>#NAME?</v>
      </c>
      <c r="Y373" s="7"/>
      <c r="Z373" s="7"/>
    </row>
    <row r="374" spans="1:26" ht="13" x14ac:dyDescent="0.6">
      <c r="A374" s="28" t="str">
        <f t="shared" si="5"/>
        <v/>
      </c>
      <c r="B374" s="7"/>
      <c r="C374" s="7"/>
      <c r="D374" s="9"/>
      <c r="E374" s="9"/>
      <c r="F374" s="7"/>
      <c r="G374" s="7"/>
      <c r="H374" s="7"/>
      <c r="I374" s="7"/>
      <c r="J374" s="7"/>
      <c r="K374" s="7"/>
      <c r="L374" s="7"/>
      <c r="M374" s="7"/>
      <c r="N374" s="7"/>
      <c r="O374" s="7"/>
      <c r="P374" s="29"/>
      <c r="Q374" s="29"/>
      <c r="R374" s="7"/>
      <c r="S374" s="7"/>
      <c r="T374" s="7" t="str">
        <f ca="1">IFERROR(__xludf.DUMMYFUNCTION("SPARKLINE({
IF(D374="""",0,D374),
IF(F374="""",0,F374),
IF(H374="""",0,H374),
IF(J374="""",0,J374),
IF(L374="""",0,L374),
IF(N374="""",0,N374),
IF(P374="""",0,P374)
})"),"")</f>
        <v/>
      </c>
      <c r="U374" s="7" t="str">
        <f ca="1">IFERROR(__xludf.DUMMYFUNCTION("SPARKLINE({
IF(E374="""",0,E374),
IF(G374="""",0,G374),
IF(I374="""",0,I374),
IF(K374="""",0,K374),
IF(M374="""",0,M374),
IF(O374="""",0,O374),
IF(Q374="""",0,Q374)
})"),"")</f>
        <v/>
      </c>
      <c r="V374" s="8" t="e">
        <f t="array" aca="1" ref="V374" ca="1">IF($C$4="Giao",_xludf.Xlookup(C374,#REF!,#REF!,),_xludf.Xlookup(C374,#REF!,#REF!,))</f>
        <v>#NAME?</v>
      </c>
      <c r="W374" s="8" t="e">
        <f t="array" aca="1" ref="W374" ca="1">IF($C$4="Giao", _xludf.Xlookup(C374,#REF!,#REF!,),)</f>
        <v>#NAME?</v>
      </c>
      <c r="X374" s="9" t="e">
        <f t="shared" ca="1" si="6"/>
        <v>#NAME?</v>
      </c>
      <c r="Y374" s="7"/>
      <c r="Z374" s="7"/>
    </row>
    <row r="375" spans="1:26" ht="13" x14ac:dyDescent="0.6">
      <c r="A375" s="28" t="str">
        <f t="shared" si="5"/>
        <v/>
      </c>
      <c r="B375" s="7"/>
      <c r="C375" s="7"/>
      <c r="D375" s="9"/>
      <c r="E375" s="9"/>
      <c r="F375" s="7"/>
      <c r="G375" s="7"/>
      <c r="H375" s="7"/>
      <c r="I375" s="7"/>
      <c r="J375" s="7"/>
      <c r="K375" s="7"/>
      <c r="L375" s="7"/>
      <c r="M375" s="7"/>
      <c r="N375" s="7"/>
      <c r="O375" s="7"/>
      <c r="P375" s="29"/>
      <c r="Q375" s="29"/>
      <c r="R375" s="7"/>
      <c r="S375" s="7"/>
      <c r="T375" s="7" t="str">
        <f ca="1">IFERROR(__xludf.DUMMYFUNCTION("SPARKLINE({
IF(D375="""",0,D375),
IF(F375="""",0,F375),
IF(H375="""",0,H375),
IF(J375="""",0,J375),
IF(L375="""",0,L375),
IF(N375="""",0,N375),
IF(P375="""",0,P375)
})"),"")</f>
        <v/>
      </c>
      <c r="U375" s="7" t="str">
        <f ca="1">IFERROR(__xludf.DUMMYFUNCTION("SPARKLINE({
IF(E375="""",0,E375),
IF(G375="""",0,G375),
IF(I375="""",0,I375),
IF(K375="""",0,K375),
IF(M375="""",0,M375),
IF(O375="""",0,O375),
IF(Q375="""",0,Q375)
})"),"")</f>
        <v/>
      </c>
      <c r="V375" s="8" t="e">
        <f t="array" aca="1" ref="V375" ca="1">IF($C$4="Giao",_xludf.Xlookup(C375,#REF!,#REF!,),_xludf.Xlookup(C375,#REF!,#REF!,))</f>
        <v>#NAME?</v>
      </c>
      <c r="W375" s="8" t="e">
        <f t="array" aca="1" ref="W375" ca="1">IF($C$4="Giao", _xludf.Xlookup(C375,#REF!,#REF!,),)</f>
        <v>#NAME?</v>
      </c>
      <c r="X375" s="9" t="e">
        <f t="shared" ca="1" si="6"/>
        <v>#NAME?</v>
      </c>
      <c r="Y375" s="7"/>
      <c r="Z375" s="7"/>
    </row>
    <row r="376" spans="1:26" ht="13" x14ac:dyDescent="0.6">
      <c r="A376" s="28" t="str">
        <f t="shared" si="5"/>
        <v/>
      </c>
      <c r="B376" s="7"/>
      <c r="C376" s="7"/>
      <c r="D376" s="9"/>
      <c r="E376" s="9"/>
      <c r="F376" s="7"/>
      <c r="G376" s="7"/>
      <c r="H376" s="7"/>
      <c r="I376" s="7"/>
      <c r="J376" s="7"/>
      <c r="K376" s="7"/>
      <c r="L376" s="7"/>
      <c r="M376" s="7"/>
      <c r="N376" s="7"/>
      <c r="O376" s="7"/>
      <c r="P376" s="29"/>
      <c r="Q376" s="29"/>
      <c r="R376" s="7"/>
      <c r="S376" s="7"/>
      <c r="T376" s="7" t="str">
        <f ca="1">IFERROR(__xludf.DUMMYFUNCTION("SPARKLINE({
IF(D376="""",0,D376),
IF(F376="""",0,F376),
IF(H376="""",0,H376),
IF(J376="""",0,J376),
IF(L376="""",0,L376),
IF(N376="""",0,N376),
IF(P376="""",0,P376)
})"),"")</f>
        <v/>
      </c>
      <c r="U376" s="7" t="str">
        <f ca="1">IFERROR(__xludf.DUMMYFUNCTION("SPARKLINE({
IF(E376="""",0,E376),
IF(G376="""",0,G376),
IF(I376="""",0,I376),
IF(K376="""",0,K376),
IF(M376="""",0,M376),
IF(O376="""",0,O376),
IF(Q376="""",0,Q376)
})"),"")</f>
        <v/>
      </c>
      <c r="V376" s="8" t="e">
        <f t="array" aca="1" ref="V376" ca="1">IF($C$4="Giao",_xludf.Xlookup(C376,#REF!,#REF!,),_xludf.Xlookup(C376,#REF!,#REF!,))</f>
        <v>#NAME?</v>
      </c>
      <c r="W376" s="8" t="e">
        <f t="array" aca="1" ref="W376" ca="1">IF($C$4="Giao", _xludf.Xlookup(C376,#REF!,#REF!,),)</f>
        <v>#NAME?</v>
      </c>
      <c r="X376" s="9" t="e">
        <f t="shared" ca="1" si="6"/>
        <v>#NAME?</v>
      </c>
      <c r="Y376" s="7"/>
      <c r="Z376" s="7"/>
    </row>
    <row r="377" spans="1:26" ht="13" x14ac:dyDescent="0.6">
      <c r="A377" s="28" t="str">
        <f t="shared" si="5"/>
        <v/>
      </c>
      <c r="B377" s="7"/>
      <c r="C377" s="7"/>
      <c r="D377" s="9"/>
      <c r="E377" s="9"/>
      <c r="F377" s="7"/>
      <c r="G377" s="7"/>
      <c r="H377" s="7"/>
      <c r="I377" s="7"/>
      <c r="J377" s="7"/>
      <c r="K377" s="7"/>
      <c r="L377" s="7"/>
      <c r="M377" s="7"/>
      <c r="N377" s="7"/>
      <c r="O377" s="7"/>
      <c r="P377" s="29"/>
      <c r="Q377" s="29"/>
      <c r="R377" s="7"/>
      <c r="S377" s="7"/>
      <c r="T377" s="7" t="str">
        <f ca="1">IFERROR(__xludf.DUMMYFUNCTION("SPARKLINE({
IF(D377="""",0,D377),
IF(F377="""",0,F377),
IF(H377="""",0,H377),
IF(J377="""",0,J377),
IF(L377="""",0,L377),
IF(N377="""",0,N377),
IF(P377="""",0,P377)
})"),"")</f>
        <v/>
      </c>
      <c r="U377" s="7" t="str">
        <f ca="1">IFERROR(__xludf.DUMMYFUNCTION("SPARKLINE({
IF(E377="""",0,E377),
IF(G377="""",0,G377),
IF(I377="""",0,I377),
IF(K377="""",0,K377),
IF(M377="""",0,M377),
IF(O377="""",0,O377),
IF(Q377="""",0,Q377)
})"),"")</f>
        <v/>
      </c>
      <c r="V377" s="8" t="e">
        <f t="array" aca="1" ref="V377" ca="1">IF($C$4="Giao",_xludf.Xlookup(C377,#REF!,#REF!,),_xludf.Xlookup(C377,#REF!,#REF!,))</f>
        <v>#NAME?</v>
      </c>
      <c r="W377" s="8" t="e">
        <f t="array" aca="1" ref="W377" ca="1">IF($C$4="Giao", _xludf.Xlookup(C377,#REF!,#REF!,),)</f>
        <v>#NAME?</v>
      </c>
      <c r="X377" s="9" t="e">
        <f t="shared" ca="1" si="6"/>
        <v>#NAME?</v>
      </c>
      <c r="Y377" s="7"/>
      <c r="Z377" s="7"/>
    </row>
    <row r="378" spans="1:26" ht="13" x14ac:dyDescent="0.6">
      <c r="A378" s="28" t="str">
        <f t="shared" si="5"/>
        <v/>
      </c>
      <c r="B378" s="7"/>
      <c r="C378" s="7"/>
      <c r="D378" s="9"/>
      <c r="E378" s="9"/>
      <c r="F378" s="7"/>
      <c r="G378" s="7"/>
      <c r="H378" s="7"/>
      <c r="I378" s="7"/>
      <c r="J378" s="7"/>
      <c r="K378" s="7"/>
      <c r="L378" s="7"/>
      <c r="M378" s="7"/>
      <c r="N378" s="7"/>
      <c r="O378" s="7"/>
      <c r="P378" s="29"/>
      <c r="Q378" s="29"/>
      <c r="R378" s="7"/>
      <c r="S378" s="7"/>
      <c r="T378" s="7" t="str">
        <f ca="1">IFERROR(__xludf.DUMMYFUNCTION("SPARKLINE({
IF(D378="""",0,D378),
IF(F378="""",0,F378),
IF(H378="""",0,H378),
IF(J378="""",0,J378),
IF(L378="""",0,L378),
IF(N378="""",0,N378),
IF(P378="""",0,P378)
})"),"")</f>
        <v/>
      </c>
      <c r="U378" s="7" t="str">
        <f ca="1">IFERROR(__xludf.DUMMYFUNCTION("SPARKLINE({
IF(E378="""",0,E378),
IF(G378="""",0,G378),
IF(I378="""",0,I378),
IF(K378="""",0,K378),
IF(M378="""",0,M378),
IF(O378="""",0,O378),
IF(Q378="""",0,Q378)
})"),"")</f>
        <v/>
      </c>
      <c r="V378" s="8" t="e">
        <f t="array" aca="1" ref="V378" ca="1">IF($C$4="Giao",_xludf.Xlookup(C378,#REF!,#REF!,),_xludf.Xlookup(C378,#REF!,#REF!,))</f>
        <v>#NAME?</v>
      </c>
      <c r="W378" s="8" t="e">
        <f t="array" aca="1" ref="W378" ca="1">IF($C$4="Giao", _xludf.Xlookup(C378,#REF!,#REF!,),)</f>
        <v>#NAME?</v>
      </c>
      <c r="X378" s="9" t="e">
        <f t="shared" ca="1" si="6"/>
        <v>#NAME?</v>
      </c>
      <c r="Y378" s="7"/>
      <c r="Z378" s="7"/>
    </row>
    <row r="379" spans="1:26" ht="13" x14ac:dyDescent="0.6">
      <c r="A379" s="28" t="str">
        <f t="shared" si="5"/>
        <v/>
      </c>
      <c r="B379" s="7"/>
      <c r="C379" s="7"/>
      <c r="D379" s="9"/>
      <c r="E379" s="9"/>
      <c r="F379" s="7"/>
      <c r="G379" s="7"/>
      <c r="H379" s="7"/>
      <c r="I379" s="7"/>
      <c r="J379" s="7"/>
      <c r="K379" s="7"/>
      <c r="L379" s="7"/>
      <c r="M379" s="7"/>
      <c r="N379" s="7"/>
      <c r="O379" s="7"/>
      <c r="P379" s="29"/>
      <c r="Q379" s="29"/>
      <c r="R379" s="7"/>
      <c r="S379" s="7"/>
      <c r="T379" s="7" t="str">
        <f ca="1">IFERROR(__xludf.DUMMYFUNCTION("SPARKLINE({
IF(D379="""",0,D379),
IF(F379="""",0,F379),
IF(H379="""",0,H379),
IF(J379="""",0,J379),
IF(L379="""",0,L379),
IF(N379="""",0,N379),
IF(P379="""",0,P379)
})"),"")</f>
        <v/>
      </c>
      <c r="U379" s="7" t="str">
        <f ca="1">IFERROR(__xludf.DUMMYFUNCTION("SPARKLINE({
IF(E379="""",0,E379),
IF(G379="""",0,G379),
IF(I379="""",0,I379),
IF(K379="""",0,K379),
IF(M379="""",0,M379),
IF(O379="""",0,O379),
IF(Q379="""",0,Q379)
})"),"")</f>
        <v/>
      </c>
      <c r="V379" s="8" t="e">
        <f t="array" aca="1" ref="V379" ca="1">IF($C$4="Giao",_xludf.Xlookup(C379,#REF!,#REF!,),_xludf.Xlookup(C379,#REF!,#REF!,))</f>
        <v>#NAME?</v>
      </c>
      <c r="W379" s="8" t="e">
        <f t="array" aca="1" ref="W379" ca="1">IF($C$4="Giao", _xludf.Xlookup(C379,#REF!,#REF!,),)</f>
        <v>#NAME?</v>
      </c>
      <c r="X379" s="9" t="e">
        <f t="shared" ca="1" si="6"/>
        <v>#NAME?</v>
      </c>
      <c r="Y379" s="7"/>
      <c r="Z379" s="7"/>
    </row>
    <row r="380" spans="1:26" ht="13" x14ac:dyDescent="0.6">
      <c r="A380" s="28" t="str">
        <f t="shared" si="5"/>
        <v/>
      </c>
      <c r="B380" s="7"/>
      <c r="C380" s="7"/>
      <c r="D380" s="9"/>
      <c r="E380" s="9"/>
      <c r="F380" s="7"/>
      <c r="G380" s="7"/>
      <c r="H380" s="7"/>
      <c r="I380" s="7"/>
      <c r="J380" s="7"/>
      <c r="K380" s="7"/>
      <c r="L380" s="7"/>
      <c r="M380" s="7"/>
      <c r="N380" s="7"/>
      <c r="O380" s="7"/>
      <c r="P380" s="29"/>
      <c r="Q380" s="29"/>
      <c r="R380" s="7"/>
      <c r="S380" s="7"/>
      <c r="T380" s="7" t="str">
        <f ca="1">IFERROR(__xludf.DUMMYFUNCTION("SPARKLINE({
IF(D380="""",0,D380),
IF(F380="""",0,F380),
IF(H380="""",0,H380),
IF(J380="""",0,J380),
IF(L380="""",0,L380),
IF(N380="""",0,N380),
IF(P380="""",0,P380)
})"),"")</f>
        <v/>
      </c>
      <c r="U380" s="7" t="str">
        <f ca="1">IFERROR(__xludf.DUMMYFUNCTION("SPARKLINE({
IF(E380="""",0,E380),
IF(G380="""",0,G380),
IF(I380="""",0,I380),
IF(K380="""",0,K380),
IF(M380="""",0,M380),
IF(O380="""",0,O380),
IF(Q380="""",0,Q380)
})"),"")</f>
        <v/>
      </c>
      <c r="V380" s="8" t="e">
        <f t="array" aca="1" ref="V380" ca="1">IF($C$4="Giao",_xludf.Xlookup(C380,#REF!,#REF!,),_xludf.Xlookup(C380,#REF!,#REF!,))</f>
        <v>#NAME?</v>
      </c>
      <c r="W380" s="8" t="e">
        <f t="array" aca="1" ref="W380" ca="1">IF($C$4="Giao", _xludf.Xlookup(C380,#REF!,#REF!,),)</f>
        <v>#NAME?</v>
      </c>
      <c r="X380" s="9" t="e">
        <f t="shared" ca="1" si="6"/>
        <v>#NAME?</v>
      </c>
      <c r="Y380" s="7"/>
      <c r="Z380" s="7"/>
    </row>
    <row r="381" spans="1:26" ht="13" x14ac:dyDescent="0.6">
      <c r="A381" s="28" t="str">
        <f t="shared" si="5"/>
        <v/>
      </c>
      <c r="B381" s="7"/>
      <c r="C381" s="7"/>
      <c r="D381" s="9"/>
      <c r="E381" s="9"/>
      <c r="F381" s="7"/>
      <c r="G381" s="7"/>
      <c r="H381" s="7"/>
      <c r="I381" s="7"/>
      <c r="J381" s="7"/>
      <c r="K381" s="7"/>
      <c r="L381" s="7"/>
      <c r="M381" s="7"/>
      <c r="N381" s="7"/>
      <c r="O381" s="7"/>
      <c r="P381" s="29"/>
      <c r="Q381" s="29"/>
      <c r="R381" s="7"/>
      <c r="S381" s="7"/>
      <c r="T381" s="7" t="str">
        <f ca="1">IFERROR(__xludf.DUMMYFUNCTION("SPARKLINE({
IF(D381="""",0,D381),
IF(F381="""",0,F381),
IF(H381="""",0,H381),
IF(J381="""",0,J381),
IF(L381="""",0,L381),
IF(N381="""",0,N381),
IF(P381="""",0,P381)
})"),"")</f>
        <v/>
      </c>
      <c r="U381" s="7" t="str">
        <f ca="1">IFERROR(__xludf.DUMMYFUNCTION("SPARKLINE({
IF(E381="""",0,E381),
IF(G381="""",0,G381),
IF(I381="""",0,I381),
IF(K381="""",0,K381),
IF(M381="""",0,M381),
IF(O381="""",0,O381),
IF(Q381="""",0,Q381)
})"),"")</f>
        <v/>
      </c>
      <c r="V381" s="8" t="e">
        <f t="array" aca="1" ref="V381" ca="1">IF($C$4="Giao",_xludf.Xlookup(C381,#REF!,#REF!,),_xludf.Xlookup(C381,#REF!,#REF!,))</f>
        <v>#NAME?</v>
      </c>
      <c r="W381" s="8" t="e">
        <f t="array" aca="1" ref="W381" ca="1">IF($C$4="Giao", _xludf.Xlookup(C381,#REF!,#REF!,),)</f>
        <v>#NAME?</v>
      </c>
      <c r="X381" s="9" t="e">
        <f t="shared" ca="1" si="6"/>
        <v>#NAME?</v>
      </c>
      <c r="Y381" s="7"/>
      <c r="Z381" s="7"/>
    </row>
    <row r="382" spans="1:26" ht="13" x14ac:dyDescent="0.6">
      <c r="A382" s="28" t="str">
        <f t="shared" si="5"/>
        <v/>
      </c>
      <c r="B382" s="7"/>
      <c r="C382" s="7"/>
      <c r="D382" s="9"/>
      <c r="E382" s="9"/>
      <c r="F382" s="7"/>
      <c r="G382" s="7"/>
      <c r="H382" s="7"/>
      <c r="I382" s="7"/>
      <c r="J382" s="7"/>
      <c r="K382" s="7"/>
      <c r="L382" s="7"/>
      <c r="M382" s="7"/>
      <c r="N382" s="7"/>
      <c r="O382" s="7"/>
      <c r="P382" s="29"/>
      <c r="Q382" s="29"/>
      <c r="R382" s="7"/>
      <c r="S382" s="7"/>
      <c r="T382" s="7" t="str">
        <f ca="1">IFERROR(__xludf.DUMMYFUNCTION("SPARKLINE({
IF(D382="""",0,D382),
IF(F382="""",0,F382),
IF(H382="""",0,H382),
IF(J382="""",0,J382),
IF(L382="""",0,L382),
IF(N382="""",0,N382),
IF(P382="""",0,P382)
})"),"")</f>
        <v/>
      </c>
      <c r="U382" s="7" t="str">
        <f ca="1">IFERROR(__xludf.DUMMYFUNCTION("SPARKLINE({
IF(E382="""",0,E382),
IF(G382="""",0,G382),
IF(I382="""",0,I382),
IF(K382="""",0,K382),
IF(M382="""",0,M382),
IF(O382="""",0,O382),
IF(Q382="""",0,Q382)
})"),"")</f>
        <v/>
      </c>
      <c r="V382" s="8" t="e">
        <f t="array" aca="1" ref="V382" ca="1">IF($C$4="Giao",_xludf.Xlookup(C382,#REF!,#REF!,),_xludf.Xlookup(C382,#REF!,#REF!,))</f>
        <v>#NAME?</v>
      </c>
      <c r="W382" s="8" t="e">
        <f t="array" aca="1" ref="W382" ca="1">IF($C$4="Giao", _xludf.Xlookup(C382,#REF!,#REF!,),)</f>
        <v>#NAME?</v>
      </c>
      <c r="X382" s="9" t="e">
        <f t="shared" ca="1" si="6"/>
        <v>#NAME?</v>
      </c>
      <c r="Y382" s="7"/>
      <c r="Z382" s="7"/>
    </row>
    <row r="383" spans="1:26" ht="13" x14ac:dyDescent="0.6">
      <c r="A383" s="28" t="str">
        <f t="shared" si="5"/>
        <v/>
      </c>
      <c r="B383" s="7"/>
      <c r="C383" s="7"/>
      <c r="D383" s="9"/>
      <c r="E383" s="9"/>
      <c r="F383" s="7"/>
      <c r="G383" s="7"/>
      <c r="H383" s="7"/>
      <c r="I383" s="7"/>
      <c r="J383" s="7"/>
      <c r="K383" s="7"/>
      <c r="L383" s="7"/>
      <c r="M383" s="7"/>
      <c r="N383" s="7"/>
      <c r="O383" s="7"/>
      <c r="P383" s="29"/>
      <c r="Q383" s="29"/>
      <c r="R383" s="7"/>
      <c r="S383" s="7"/>
      <c r="T383" s="7" t="str">
        <f ca="1">IFERROR(__xludf.DUMMYFUNCTION("SPARKLINE({
IF(D383="""",0,D383),
IF(F383="""",0,F383),
IF(H383="""",0,H383),
IF(J383="""",0,J383),
IF(L383="""",0,L383),
IF(N383="""",0,N383),
IF(P383="""",0,P383)
})"),"")</f>
        <v/>
      </c>
      <c r="U383" s="7" t="str">
        <f ca="1">IFERROR(__xludf.DUMMYFUNCTION("SPARKLINE({
IF(E383="""",0,E383),
IF(G383="""",0,G383),
IF(I383="""",0,I383),
IF(K383="""",0,K383),
IF(M383="""",0,M383),
IF(O383="""",0,O383),
IF(Q383="""",0,Q383)
})"),"")</f>
        <v/>
      </c>
      <c r="V383" s="8" t="e">
        <f t="array" aca="1" ref="V383" ca="1">IF($C$4="Giao",_xludf.Xlookup(C383,#REF!,#REF!,),_xludf.Xlookup(C383,#REF!,#REF!,))</f>
        <v>#NAME?</v>
      </c>
      <c r="W383" s="8" t="e">
        <f t="array" aca="1" ref="W383" ca="1">IF($C$4="Giao", _xludf.Xlookup(C383,#REF!,#REF!,),)</f>
        <v>#NAME?</v>
      </c>
      <c r="X383" s="9" t="e">
        <f t="shared" ca="1" si="6"/>
        <v>#NAME?</v>
      </c>
      <c r="Y383" s="7"/>
      <c r="Z383" s="7"/>
    </row>
    <row r="384" spans="1:26" ht="13" x14ac:dyDescent="0.6">
      <c r="A384" s="28" t="str">
        <f t="shared" si="5"/>
        <v/>
      </c>
      <c r="B384" s="7"/>
      <c r="C384" s="7"/>
      <c r="D384" s="9"/>
      <c r="E384" s="9"/>
      <c r="F384" s="7"/>
      <c r="G384" s="7"/>
      <c r="H384" s="7"/>
      <c r="I384" s="7"/>
      <c r="J384" s="7"/>
      <c r="K384" s="7"/>
      <c r="L384" s="7"/>
      <c r="M384" s="7"/>
      <c r="N384" s="7"/>
      <c r="O384" s="7"/>
      <c r="P384" s="29"/>
      <c r="Q384" s="29"/>
      <c r="R384" s="7"/>
      <c r="S384" s="7"/>
      <c r="T384" s="7" t="str">
        <f ca="1">IFERROR(__xludf.DUMMYFUNCTION("SPARKLINE({
IF(D384="""",0,D384),
IF(F384="""",0,F384),
IF(H384="""",0,H384),
IF(J384="""",0,J384),
IF(L384="""",0,L384),
IF(N384="""",0,N384),
IF(P384="""",0,P384)
})"),"")</f>
        <v/>
      </c>
      <c r="U384" s="7" t="str">
        <f ca="1">IFERROR(__xludf.DUMMYFUNCTION("SPARKLINE({
IF(E384="""",0,E384),
IF(G384="""",0,G384),
IF(I384="""",0,I384),
IF(K384="""",0,K384),
IF(M384="""",0,M384),
IF(O384="""",0,O384),
IF(Q384="""",0,Q384)
})"),"")</f>
        <v/>
      </c>
      <c r="V384" s="8" t="e">
        <f t="array" aca="1" ref="V384" ca="1">IF($C$4="Giao",_xludf.Xlookup(C384,#REF!,#REF!,),_xludf.Xlookup(C384,#REF!,#REF!,))</f>
        <v>#NAME?</v>
      </c>
      <c r="W384" s="8" t="e">
        <f t="array" aca="1" ref="W384" ca="1">IF($C$4="Giao", _xludf.Xlookup(C384,#REF!,#REF!,),)</f>
        <v>#NAME?</v>
      </c>
      <c r="X384" s="9" t="e">
        <f t="shared" ca="1" si="6"/>
        <v>#NAME?</v>
      </c>
      <c r="Y384" s="7"/>
      <c r="Z384" s="7"/>
    </row>
    <row r="385" spans="1:26" ht="13" x14ac:dyDescent="0.6">
      <c r="A385" s="28" t="str">
        <f t="shared" si="5"/>
        <v/>
      </c>
      <c r="B385" s="7"/>
      <c r="C385" s="7"/>
      <c r="D385" s="9"/>
      <c r="E385" s="9"/>
      <c r="F385" s="7"/>
      <c r="G385" s="7"/>
      <c r="H385" s="7"/>
      <c r="I385" s="7"/>
      <c r="J385" s="7"/>
      <c r="K385" s="7"/>
      <c r="L385" s="7"/>
      <c r="M385" s="7"/>
      <c r="N385" s="7"/>
      <c r="O385" s="7"/>
      <c r="P385" s="29"/>
      <c r="Q385" s="29"/>
      <c r="R385" s="7"/>
      <c r="S385" s="7"/>
      <c r="T385" s="7" t="str">
        <f ca="1">IFERROR(__xludf.DUMMYFUNCTION("SPARKLINE({
IF(D385="""",0,D385),
IF(F385="""",0,F385),
IF(H385="""",0,H385),
IF(J385="""",0,J385),
IF(L385="""",0,L385),
IF(N385="""",0,N385),
IF(P385="""",0,P385)
})"),"")</f>
        <v/>
      </c>
      <c r="U385" s="7" t="str">
        <f ca="1">IFERROR(__xludf.DUMMYFUNCTION("SPARKLINE({
IF(E385="""",0,E385),
IF(G385="""",0,G385),
IF(I385="""",0,I385),
IF(K385="""",0,K385),
IF(M385="""",0,M385),
IF(O385="""",0,O385),
IF(Q385="""",0,Q385)
})"),"")</f>
        <v/>
      </c>
      <c r="V385" s="8" t="e">
        <f t="array" aca="1" ref="V385" ca="1">IF($C$4="Giao",_xludf.Xlookup(C385,#REF!,#REF!,),_xludf.Xlookup(C385,#REF!,#REF!,))</f>
        <v>#NAME?</v>
      </c>
      <c r="W385" s="8" t="e">
        <f t="array" aca="1" ref="W385" ca="1">IF($C$4="Giao", _xludf.Xlookup(C385,#REF!,#REF!,),)</f>
        <v>#NAME?</v>
      </c>
      <c r="X385" s="9" t="e">
        <f t="shared" ca="1" si="6"/>
        <v>#NAME?</v>
      </c>
      <c r="Y385" s="7"/>
      <c r="Z385" s="7"/>
    </row>
    <row r="386" spans="1:26" ht="13" x14ac:dyDescent="0.6">
      <c r="A386" s="28" t="str">
        <f t="shared" si="5"/>
        <v/>
      </c>
      <c r="B386" s="7"/>
      <c r="C386" s="7"/>
      <c r="D386" s="9"/>
      <c r="E386" s="9"/>
      <c r="F386" s="7"/>
      <c r="G386" s="7"/>
      <c r="H386" s="7"/>
      <c r="I386" s="7"/>
      <c r="J386" s="7"/>
      <c r="K386" s="7"/>
      <c r="L386" s="7"/>
      <c r="M386" s="7"/>
      <c r="N386" s="7"/>
      <c r="O386" s="7"/>
      <c r="P386" s="29"/>
      <c r="Q386" s="29"/>
      <c r="R386" s="7"/>
      <c r="S386" s="7"/>
      <c r="T386" s="7" t="str">
        <f ca="1">IFERROR(__xludf.DUMMYFUNCTION("SPARKLINE({
IF(D386="""",0,D386),
IF(F386="""",0,F386),
IF(H386="""",0,H386),
IF(J386="""",0,J386),
IF(L386="""",0,L386),
IF(N386="""",0,N386),
IF(P386="""",0,P386)
})"),"")</f>
        <v/>
      </c>
      <c r="U386" s="7" t="str">
        <f ca="1">IFERROR(__xludf.DUMMYFUNCTION("SPARKLINE({
IF(E386="""",0,E386),
IF(G386="""",0,G386),
IF(I386="""",0,I386),
IF(K386="""",0,K386),
IF(M386="""",0,M386),
IF(O386="""",0,O386),
IF(Q386="""",0,Q386)
})"),"")</f>
        <v/>
      </c>
      <c r="V386" s="8" t="e">
        <f t="array" aca="1" ref="V386" ca="1">IF($C$4="Giao",_xludf.Xlookup(C386,#REF!,#REF!,),_xludf.Xlookup(C386,#REF!,#REF!,))</f>
        <v>#NAME?</v>
      </c>
      <c r="W386" s="8" t="e">
        <f t="array" aca="1" ref="W386" ca="1">IF($C$4="Giao", _xludf.Xlookup(C386,#REF!,#REF!,),)</f>
        <v>#NAME?</v>
      </c>
      <c r="X386" s="9" t="e">
        <f t="shared" ca="1" si="6"/>
        <v>#NAME?</v>
      </c>
      <c r="Y386" s="7"/>
      <c r="Z386" s="7"/>
    </row>
    <row r="387" spans="1:26" ht="13" x14ac:dyDescent="0.6">
      <c r="A387" s="28" t="str">
        <f t="shared" si="5"/>
        <v/>
      </c>
      <c r="B387" s="7"/>
      <c r="C387" s="7"/>
      <c r="D387" s="9"/>
      <c r="E387" s="9"/>
      <c r="F387" s="7"/>
      <c r="G387" s="7"/>
      <c r="H387" s="7"/>
      <c r="I387" s="7"/>
      <c r="J387" s="7"/>
      <c r="K387" s="7"/>
      <c r="L387" s="7"/>
      <c r="M387" s="7"/>
      <c r="N387" s="7"/>
      <c r="O387" s="7"/>
      <c r="P387" s="29"/>
      <c r="Q387" s="29"/>
      <c r="R387" s="7"/>
      <c r="S387" s="7"/>
      <c r="T387" s="7" t="str">
        <f ca="1">IFERROR(__xludf.DUMMYFUNCTION("SPARKLINE({
IF(D387="""",0,D387),
IF(F387="""",0,F387),
IF(H387="""",0,H387),
IF(J387="""",0,J387),
IF(L387="""",0,L387),
IF(N387="""",0,N387),
IF(P387="""",0,P387)
})"),"")</f>
        <v/>
      </c>
      <c r="U387" s="7" t="str">
        <f ca="1">IFERROR(__xludf.DUMMYFUNCTION("SPARKLINE({
IF(E387="""",0,E387),
IF(G387="""",0,G387),
IF(I387="""",0,I387),
IF(K387="""",0,K387),
IF(M387="""",0,M387),
IF(O387="""",0,O387),
IF(Q387="""",0,Q387)
})"),"")</f>
        <v/>
      </c>
      <c r="V387" s="8" t="e">
        <f t="array" aca="1" ref="V387" ca="1">IF($C$4="Giao",_xludf.Xlookup(C387,#REF!,#REF!,),_xludf.Xlookup(C387,#REF!,#REF!,))</f>
        <v>#NAME?</v>
      </c>
      <c r="W387" s="8" t="e">
        <f t="array" aca="1" ref="W387" ca="1">IF($C$4="Giao", _xludf.Xlookup(C387,#REF!,#REF!,),)</f>
        <v>#NAME?</v>
      </c>
      <c r="X387" s="9" t="e">
        <f t="shared" ca="1" si="6"/>
        <v>#NAME?</v>
      </c>
      <c r="Y387" s="7"/>
      <c r="Z387" s="7"/>
    </row>
    <row r="388" spans="1:26" ht="13" x14ac:dyDescent="0.6">
      <c r="A388" s="28" t="str">
        <f t="shared" si="5"/>
        <v/>
      </c>
      <c r="B388" s="7"/>
      <c r="C388" s="7"/>
      <c r="D388" s="9"/>
      <c r="E388" s="9"/>
      <c r="F388" s="7"/>
      <c r="G388" s="7"/>
      <c r="H388" s="7"/>
      <c r="I388" s="7"/>
      <c r="J388" s="7"/>
      <c r="K388" s="7"/>
      <c r="L388" s="7"/>
      <c r="M388" s="7"/>
      <c r="N388" s="7"/>
      <c r="O388" s="7"/>
      <c r="P388" s="29"/>
      <c r="Q388" s="29"/>
      <c r="R388" s="7"/>
      <c r="S388" s="7"/>
      <c r="T388" s="7" t="str">
        <f ca="1">IFERROR(__xludf.DUMMYFUNCTION("SPARKLINE({
IF(D388="""",0,D388),
IF(F388="""",0,F388),
IF(H388="""",0,H388),
IF(J388="""",0,J388),
IF(L388="""",0,L388),
IF(N388="""",0,N388),
IF(P388="""",0,P388)
})"),"")</f>
        <v/>
      </c>
      <c r="U388" s="7" t="str">
        <f ca="1">IFERROR(__xludf.DUMMYFUNCTION("SPARKLINE({
IF(E388="""",0,E388),
IF(G388="""",0,G388),
IF(I388="""",0,I388),
IF(K388="""",0,K388),
IF(M388="""",0,M388),
IF(O388="""",0,O388),
IF(Q388="""",0,Q388)
})"),"")</f>
        <v/>
      </c>
      <c r="V388" s="8" t="e">
        <f t="array" aca="1" ref="V388" ca="1">IF($C$4="Giao",_xludf.Xlookup(C388,#REF!,#REF!,),_xludf.Xlookup(C388,#REF!,#REF!,))</f>
        <v>#NAME?</v>
      </c>
      <c r="W388" s="8" t="e">
        <f t="array" aca="1" ref="W388" ca="1">IF($C$4="Giao", _xludf.Xlookup(C388,#REF!,#REF!,),)</f>
        <v>#NAME?</v>
      </c>
      <c r="X388" s="9" t="e">
        <f t="shared" ca="1" si="6"/>
        <v>#NAME?</v>
      </c>
      <c r="Y388" s="7"/>
      <c r="Z388" s="7"/>
    </row>
    <row r="389" spans="1:26" ht="13" x14ac:dyDescent="0.6">
      <c r="A389" s="28" t="str">
        <f t="shared" si="5"/>
        <v/>
      </c>
      <c r="B389" s="7"/>
      <c r="C389" s="7"/>
      <c r="D389" s="9"/>
      <c r="E389" s="9"/>
      <c r="F389" s="7"/>
      <c r="G389" s="7"/>
      <c r="H389" s="7"/>
      <c r="I389" s="7"/>
      <c r="J389" s="7"/>
      <c r="K389" s="7"/>
      <c r="L389" s="7"/>
      <c r="M389" s="7"/>
      <c r="N389" s="7"/>
      <c r="O389" s="7"/>
      <c r="P389" s="29"/>
      <c r="Q389" s="29"/>
      <c r="R389" s="7"/>
      <c r="S389" s="7"/>
      <c r="T389" s="7" t="str">
        <f ca="1">IFERROR(__xludf.DUMMYFUNCTION("SPARKLINE({
IF(D389="""",0,D389),
IF(F389="""",0,F389),
IF(H389="""",0,H389),
IF(J389="""",0,J389),
IF(L389="""",0,L389),
IF(N389="""",0,N389),
IF(P389="""",0,P389)
})"),"")</f>
        <v/>
      </c>
      <c r="U389" s="7" t="str">
        <f ca="1">IFERROR(__xludf.DUMMYFUNCTION("SPARKLINE({
IF(E389="""",0,E389),
IF(G389="""",0,G389),
IF(I389="""",0,I389),
IF(K389="""",0,K389),
IF(M389="""",0,M389),
IF(O389="""",0,O389),
IF(Q389="""",0,Q389)
})"),"")</f>
        <v/>
      </c>
      <c r="V389" s="8" t="e">
        <f t="array" aca="1" ref="V389" ca="1">IF($C$4="Giao",_xludf.Xlookup(C389,#REF!,#REF!,),_xludf.Xlookup(C389,#REF!,#REF!,))</f>
        <v>#NAME?</v>
      </c>
      <c r="W389" s="8" t="e">
        <f t="array" aca="1" ref="W389" ca="1">IF($C$4="Giao", _xludf.Xlookup(C389,#REF!,#REF!,),)</f>
        <v>#NAME?</v>
      </c>
      <c r="X389" s="9" t="e">
        <f t="shared" ca="1" si="6"/>
        <v>#NAME?</v>
      </c>
      <c r="Y389" s="7"/>
      <c r="Z389" s="7"/>
    </row>
    <row r="390" spans="1:26" ht="13" x14ac:dyDescent="0.6">
      <c r="A390" s="28" t="str">
        <f t="shared" si="5"/>
        <v/>
      </c>
      <c r="B390" s="7"/>
      <c r="C390" s="7"/>
      <c r="D390" s="9"/>
      <c r="E390" s="9"/>
      <c r="F390" s="7"/>
      <c r="G390" s="7"/>
      <c r="H390" s="7"/>
      <c r="I390" s="7"/>
      <c r="J390" s="7"/>
      <c r="K390" s="7"/>
      <c r="L390" s="7"/>
      <c r="M390" s="7"/>
      <c r="N390" s="7"/>
      <c r="O390" s="7"/>
      <c r="P390" s="29"/>
      <c r="Q390" s="29"/>
      <c r="R390" s="7"/>
      <c r="S390" s="7"/>
      <c r="T390" s="7" t="str">
        <f ca="1">IFERROR(__xludf.DUMMYFUNCTION("SPARKLINE({
IF(D390="""",0,D390),
IF(F390="""",0,F390),
IF(H390="""",0,H390),
IF(J390="""",0,J390),
IF(L390="""",0,L390),
IF(N390="""",0,N390),
IF(P390="""",0,P390)
})"),"")</f>
        <v/>
      </c>
      <c r="U390" s="7" t="str">
        <f ca="1">IFERROR(__xludf.DUMMYFUNCTION("SPARKLINE({
IF(E390="""",0,E390),
IF(G390="""",0,G390),
IF(I390="""",0,I390),
IF(K390="""",0,K390),
IF(M390="""",0,M390),
IF(O390="""",0,O390),
IF(Q390="""",0,Q390)
})"),"")</f>
        <v/>
      </c>
      <c r="V390" s="8" t="e">
        <f t="array" aca="1" ref="V390" ca="1">IF($C$4="Giao",_xludf.Xlookup(C390,#REF!,#REF!,),_xludf.Xlookup(C390,#REF!,#REF!,))</f>
        <v>#NAME?</v>
      </c>
      <c r="W390" s="8" t="e">
        <f t="array" aca="1" ref="W390" ca="1">IF($C$4="Giao", _xludf.Xlookup(C390,#REF!,#REF!,),)</f>
        <v>#NAME?</v>
      </c>
      <c r="X390" s="9" t="e">
        <f t="shared" ca="1" si="6"/>
        <v>#NAME?</v>
      </c>
      <c r="Y390" s="7"/>
      <c r="Z390" s="7"/>
    </row>
    <row r="391" spans="1:26" ht="13" x14ac:dyDescent="0.6">
      <c r="A391" s="28" t="str">
        <f t="shared" si="5"/>
        <v/>
      </c>
      <c r="B391" s="7"/>
      <c r="C391" s="7"/>
      <c r="D391" s="9"/>
      <c r="E391" s="9"/>
      <c r="F391" s="7"/>
      <c r="G391" s="7"/>
      <c r="H391" s="7"/>
      <c r="I391" s="7"/>
      <c r="J391" s="7"/>
      <c r="K391" s="7"/>
      <c r="L391" s="7"/>
      <c r="M391" s="7"/>
      <c r="N391" s="7"/>
      <c r="O391" s="7"/>
      <c r="P391" s="29"/>
      <c r="Q391" s="29"/>
      <c r="R391" s="7"/>
      <c r="S391" s="7"/>
      <c r="T391" s="7" t="str">
        <f ca="1">IFERROR(__xludf.DUMMYFUNCTION("SPARKLINE({
IF(D391="""",0,D391),
IF(F391="""",0,F391),
IF(H391="""",0,H391),
IF(J391="""",0,J391),
IF(L391="""",0,L391),
IF(N391="""",0,N391),
IF(P391="""",0,P391)
})"),"")</f>
        <v/>
      </c>
      <c r="U391" s="7" t="str">
        <f ca="1">IFERROR(__xludf.DUMMYFUNCTION("SPARKLINE({
IF(E391="""",0,E391),
IF(G391="""",0,G391),
IF(I391="""",0,I391),
IF(K391="""",0,K391),
IF(M391="""",0,M391),
IF(O391="""",0,O391),
IF(Q391="""",0,Q391)
})"),"")</f>
        <v/>
      </c>
      <c r="V391" s="8" t="e">
        <f t="array" aca="1" ref="V391" ca="1">IF($C$4="Giao",_xludf.Xlookup(C391,#REF!,#REF!,),_xludf.Xlookup(C391,#REF!,#REF!,))</f>
        <v>#NAME?</v>
      </c>
      <c r="W391" s="8" t="e">
        <f t="array" aca="1" ref="W391" ca="1">IF($C$4="Giao", _xludf.Xlookup(C391,#REF!,#REF!,),)</f>
        <v>#NAME?</v>
      </c>
      <c r="X391" s="9" t="e">
        <f t="shared" ca="1" si="6"/>
        <v>#NAME?</v>
      </c>
      <c r="Y391" s="7"/>
      <c r="Z391" s="7"/>
    </row>
    <row r="392" spans="1:26" ht="13" x14ac:dyDescent="0.6">
      <c r="A392" s="28" t="str">
        <f t="shared" si="5"/>
        <v/>
      </c>
      <c r="B392" s="7"/>
      <c r="C392" s="7"/>
      <c r="D392" s="9"/>
      <c r="E392" s="9"/>
      <c r="F392" s="7"/>
      <c r="G392" s="7"/>
      <c r="H392" s="7"/>
      <c r="I392" s="7"/>
      <c r="J392" s="7"/>
      <c r="K392" s="7"/>
      <c r="L392" s="7"/>
      <c r="M392" s="7"/>
      <c r="N392" s="7"/>
      <c r="O392" s="7"/>
      <c r="P392" s="29"/>
      <c r="Q392" s="29"/>
      <c r="R392" s="7"/>
      <c r="S392" s="7"/>
      <c r="T392" s="7" t="str">
        <f ca="1">IFERROR(__xludf.DUMMYFUNCTION("SPARKLINE({
IF(D392="""",0,D392),
IF(F392="""",0,F392),
IF(H392="""",0,H392),
IF(J392="""",0,J392),
IF(L392="""",0,L392),
IF(N392="""",0,N392),
IF(P392="""",0,P392)
})"),"")</f>
        <v/>
      </c>
      <c r="U392" s="7" t="str">
        <f ca="1">IFERROR(__xludf.DUMMYFUNCTION("SPARKLINE({
IF(E392="""",0,E392),
IF(G392="""",0,G392),
IF(I392="""",0,I392),
IF(K392="""",0,K392),
IF(M392="""",0,M392),
IF(O392="""",0,O392),
IF(Q392="""",0,Q392)
})"),"")</f>
        <v/>
      </c>
      <c r="V392" s="8" t="e">
        <f t="array" aca="1" ref="V392" ca="1">IF($C$4="Giao",_xludf.Xlookup(C392,#REF!,#REF!,),_xludf.Xlookup(C392,#REF!,#REF!,))</f>
        <v>#NAME?</v>
      </c>
      <c r="W392" s="8" t="e">
        <f t="array" aca="1" ref="W392" ca="1">IF($C$4="Giao", _xludf.Xlookup(C392,#REF!,#REF!,),)</f>
        <v>#NAME?</v>
      </c>
      <c r="X392" s="9" t="e">
        <f t="shared" ca="1" si="6"/>
        <v>#NAME?</v>
      </c>
      <c r="Y392" s="7"/>
      <c r="Z392" s="7"/>
    </row>
    <row r="393" spans="1:26" ht="13" x14ac:dyDescent="0.6">
      <c r="A393" s="28" t="str">
        <f t="shared" si="5"/>
        <v/>
      </c>
      <c r="B393" s="7"/>
      <c r="C393" s="7"/>
      <c r="D393" s="9"/>
      <c r="E393" s="9"/>
      <c r="F393" s="7"/>
      <c r="G393" s="7"/>
      <c r="H393" s="7"/>
      <c r="I393" s="7"/>
      <c r="J393" s="7"/>
      <c r="K393" s="7"/>
      <c r="L393" s="7"/>
      <c r="M393" s="7"/>
      <c r="N393" s="7"/>
      <c r="O393" s="7"/>
      <c r="P393" s="29"/>
      <c r="Q393" s="29"/>
      <c r="R393" s="7"/>
      <c r="S393" s="7"/>
      <c r="T393" s="7" t="str">
        <f ca="1">IFERROR(__xludf.DUMMYFUNCTION("SPARKLINE({
IF(D393="""",0,D393),
IF(F393="""",0,F393),
IF(H393="""",0,H393),
IF(J393="""",0,J393),
IF(L393="""",0,L393),
IF(N393="""",0,N393),
IF(P393="""",0,P393)
})"),"")</f>
        <v/>
      </c>
      <c r="U393" s="7" t="str">
        <f ca="1">IFERROR(__xludf.DUMMYFUNCTION("SPARKLINE({
IF(E393="""",0,E393),
IF(G393="""",0,G393),
IF(I393="""",0,I393),
IF(K393="""",0,K393),
IF(M393="""",0,M393),
IF(O393="""",0,O393),
IF(Q393="""",0,Q393)
})"),"")</f>
        <v/>
      </c>
      <c r="V393" s="8" t="e">
        <f t="array" aca="1" ref="V393" ca="1">IF($C$4="Giao",_xludf.Xlookup(C393,#REF!,#REF!,),_xludf.Xlookup(C393,#REF!,#REF!,))</f>
        <v>#NAME?</v>
      </c>
      <c r="W393" s="8" t="e">
        <f t="array" aca="1" ref="W393" ca="1">IF($C$4="Giao", _xludf.Xlookup(C393,#REF!,#REF!,),)</f>
        <v>#NAME?</v>
      </c>
      <c r="X393" s="9" t="e">
        <f t="shared" ca="1" si="6"/>
        <v>#NAME?</v>
      </c>
      <c r="Y393" s="7"/>
      <c r="Z393" s="7"/>
    </row>
    <row r="394" spans="1:26" ht="13" x14ac:dyDescent="0.6">
      <c r="A394" s="28" t="str">
        <f t="shared" si="5"/>
        <v/>
      </c>
      <c r="B394" s="7"/>
      <c r="C394" s="7"/>
      <c r="D394" s="9"/>
      <c r="E394" s="9"/>
      <c r="F394" s="7"/>
      <c r="G394" s="7"/>
      <c r="H394" s="7"/>
      <c r="I394" s="7"/>
      <c r="J394" s="7"/>
      <c r="K394" s="7"/>
      <c r="L394" s="7"/>
      <c r="M394" s="7"/>
      <c r="N394" s="7"/>
      <c r="O394" s="7"/>
      <c r="P394" s="29"/>
      <c r="Q394" s="29"/>
      <c r="R394" s="7"/>
      <c r="S394" s="7"/>
      <c r="T394" s="7" t="str">
        <f ca="1">IFERROR(__xludf.DUMMYFUNCTION("SPARKLINE({
IF(D394="""",0,D394),
IF(F394="""",0,F394),
IF(H394="""",0,H394),
IF(J394="""",0,J394),
IF(L394="""",0,L394),
IF(N394="""",0,N394),
IF(P394="""",0,P394)
})"),"")</f>
        <v/>
      </c>
      <c r="U394" s="7" t="str">
        <f ca="1">IFERROR(__xludf.DUMMYFUNCTION("SPARKLINE({
IF(E394="""",0,E394),
IF(G394="""",0,G394),
IF(I394="""",0,I394),
IF(K394="""",0,K394),
IF(M394="""",0,M394),
IF(O394="""",0,O394),
IF(Q394="""",0,Q394)
})"),"")</f>
        <v/>
      </c>
      <c r="V394" s="8" t="e">
        <f t="array" aca="1" ref="V394" ca="1">IF($C$4="Giao",_xludf.Xlookup(C394,#REF!,#REF!,),_xludf.Xlookup(C394,#REF!,#REF!,))</f>
        <v>#NAME?</v>
      </c>
      <c r="W394" s="8" t="e">
        <f t="array" aca="1" ref="W394" ca="1">IF($C$4="Giao", _xludf.Xlookup(C394,#REF!,#REF!,),)</f>
        <v>#NAME?</v>
      </c>
      <c r="X394" s="9" t="e">
        <f t="shared" ca="1" si="6"/>
        <v>#NAME?</v>
      </c>
      <c r="Y394" s="7"/>
      <c r="Z394" s="7"/>
    </row>
    <row r="395" spans="1:26" ht="13" x14ac:dyDescent="0.6">
      <c r="A395" s="28" t="str">
        <f t="shared" si="5"/>
        <v/>
      </c>
      <c r="B395" s="7"/>
      <c r="C395" s="7"/>
      <c r="D395" s="9"/>
      <c r="E395" s="9"/>
      <c r="F395" s="7"/>
      <c r="G395" s="7"/>
      <c r="H395" s="7"/>
      <c r="I395" s="7"/>
      <c r="J395" s="7"/>
      <c r="K395" s="7"/>
      <c r="L395" s="7"/>
      <c r="M395" s="7"/>
      <c r="N395" s="7"/>
      <c r="O395" s="7"/>
      <c r="P395" s="29"/>
      <c r="Q395" s="29"/>
      <c r="R395" s="7"/>
      <c r="S395" s="7"/>
      <c r="T395" s="7" t="str">
        <f ca="1">IFERROR(__xludf.DUMMYFUNCTION("SPARKLINE({
IF(D395="""",0,D395),
IF(F395="""",0,F395),
IF(H395="""",0,H395),
IF(J395="""",0,J395),
IF(L395="""",0,L395),
IF(N395="""",0,N395),
IF(P395="""",0,P395)
})"),"")</f>
        <v/>
      </c>
      <c r="U395" s="7" t="str">
        <f ca="1">IFERROR(__xludf.DUMMYFUNCTION("SPARKLINE({
IF(E395="""",0,E395),
IF(G395="""",0,G395),
IF(I395="""",0,I395),
IF(K395="""",0,K395),
IF(M395="""",0,M395),
IF(O395="""",0,O395),
IF(Q395="""",0,Q395)
})"),"")</f>
        <v/>
      </c>
      <c r="V395" s="8" t="e">
        <f t="array" aca="1" ref="V395" ca="1">IF($C$4="Giao",_xludf.Xlookup(C395,#REF!,#REF!,),_xludf.Xlookup(C395,#REF!,#REF!,))</f>
        <v>#NAME?</v>
      </c>
      <c r="W395" s="8" t="e">
        <f t="array" aca="1" ref="W395" ca="1">IF($C$4="Giao", _xludf.Xlookup(C395,#REF!,#REF!,),)</f>
        <v>#NAME?</v>
      </c>
      <c r="X395" s="9" t="e">
        <f t="shared" ca="1" si="6"/>
        <v>#NAME?</v>
      </c>
      <c r="Y395" s="7"/>
      <c r="Z395" s="7"/>
    </row>
    <row r="396" spans="1:26" ht="13" x14ac:dyDescent="0.6">
      <c r="A396" s="28" t="str">
        <f t="shared" si="5"/>
        <v/>
      </c>
      <c r="B396" s="7"/>
      <c r="C396" s="7"/>
      <c r="D396" s="9"/>
      <c r="E396" s="9"/>
      <c r="F396" s="7"/>
      <c r="G396" s="7"/>
      <c r="H396" s="7"/>
      <c r="I396" s="7"/>
      <c r="J396" s="7"/>
      <c r="K396" s="7"/>
      <c r="L396" s="7"/>
      <c r="M396" s="7"/>
      <c r="N396" s="7"/>
      <c r="O396" s="7"/>
      <c r="P396" s="29"/>
      <c r="Q396" s="29"/>
      <c r="R396" s="7"/>
      <c r="S396" s="7"/>
      <c r="T396" s="7" t="str">
        <f ca="1">IFERROR(__xludf.DUMMYFUNCTION("SPARKLINE({
IF(D396="""",0,D396),
IF(F396="""",0,F396),
IF(H396="""",0,H396),
IF(J396="""",0,J396),
IF(L396="""",0,L396),
IF(N396="""",0,N396),
IF(P396="""",0,P396)
})"),"")</f>
        <v/>
      </c>
      <c r="U396" s="7" t="str">
        <f ca="1">IFERROR(__xludf.DUMMYFUNCTION("SPARKLINE({
IF(E396="""",0,E396),
IF(G396="""",0,G396),
IF(I396="""",0,I396),
IF(K396="""",0,K396),
IF(M396="""",0,M396),
IF(O396="""",0,O396),
IF(Q396="""",0,Q396)
})"),"")</f>
        <v/>
      </c>
      <c r="V396" s="8" t="e">
        <f t="array" aca="1" ref="V396" ca="1">IF($C$4="Giao",_xludf.Xlookup(C396,#REF!,#REF!,),_xludf.Xlookup(C396,#REF!,#REF!,))</f>
        <v>#NAME?</v>
      </c>
      <c r="W396" s="8" t="e">
        <f t="array" aca="1" ref="W396" ca="1">IF($C$4="Giao", _xludf.Xlookup(C396,#REF!,#REF!,),)</f>
        <v>#NAME?</v>
      </c>
      <c r="X396" s="9" t="e">
        <f t="shared" ca="1" si="6"/>
        <v>#NAME?</v>
      </c>
      <c r="Y396" s="7"/>
      <c r="Z396" s="7"/>
    </row>
    <row r="397" spans="1:26" ht="13" x14ac:dyDescent="0.6">
      <c r="A397" s="28" t="str">
        <f t="shared" si="5"/>
        <v/>
      </c>
      <c r="B397" s="7"/>
      <c r="C397" s="7"/>
      <c r="D397" s="9"/>
      <c r="E397" s="9"/>
      <c r="F397" s="7"/>
      <c r="G397" s="7"/>
      <c r="H397" s="7"/>
      <c r="I397" s="7"/>
      <c r="J397" s="7"/>
      <c r="K397" s="7"/>
      <c r="L397" s="7"/>
      <c r="M397" s="7"/>
      <c r="N397" s="7"/>
      <c r="O397" s="7"/>
      <c r="P397" s="29"/>
      <c r="Q397" s="29"/>
      <c r="R397" s="7"/>
      <c r="S397" s="7"/>
      <c r="T397" s="7" t="str">
        <f ca="1">IFERROR(__xludf.DUMMYFUNCTION("SPARKLINE({
IF(D397="""",0,D397),
IF(F397="""",0,F397),
IF(H397="""",0,H397),
IF(J397="""",0,J397),
IF(L397="""",0,L397),
IF(N397="""",0,N397),
IF(P397="""",0,P397)
})"),"")</f>
        <v/>
      </c>
      <c r="U397" s="7" t="str">
        <f ca="1">IFERROR(__xludf.DUMMYFUNCTION("SPARKLINE({
IF(E397="""",0,E397),
IF(G397="""",0,G397),
IF(I397="""",0,I397),
IF(K397="""",0,K397),
IF(M397="""",0,M397),
IF(O397="""",0,O397),
IF(Q397="""",0,Q397)
})"),"")</f>
        <v/>
      </c>
      <c r="V397" s="8" t="e">
        <f t="array" aca="1" ref="V397" ca="1">IF($C$4="Giao",_xludf.Xlookup(C397,#REF!,#REF!,),_xludf.Xlookup(C397,#REF!,#REF!,))</f>
        <v>#NAME?</v>
      </c>
      <c r="W397" s="8" t="e">
        <f t="array" aca="1" ref="W397" ca="1">IF($C$4="Giao", _xludf.Xlookup(C397,#REF!,#REF!,),)</f>
        <v>#NAME?</v>
      </c>
      <c r="X397" s="9" t="e">
        <f t="shared" ca="1" si="6"/>
        <v>#NAME?</v>
      </c>
      <c r="Y397" s="7"/>
      <c r="Z397" s="7"/>
    </row>
    <row r="398" spans="1:26" ht="13" x14ac:dyDescent="0.6">
      <c r="A398" s="28" t="str">
        <f t="shared" si="5"/>
        <v/>
      </c>
      <c r="B398" s="7"/>
      <c r="C398" s="7"/>
      <c r="D398" s="9"/>
      <c r="E398" s="9"/>
      <c r="F398" s="7"/>
      <c r="G398" s="7"/>
      <c r="H398" s="7"/>
      <c r="I398" s="7"/>
      <c r="J398" s="7"/>
      <c r="K398" s="7"/>
      <c r="L398" s="7"/>
      <c r="M398" s="7"/>
      <c r="N398" s="7"/>
      <c r="O398" s="7"/>
      <c r="P398" s="29"/>
      <c r="Q398" s="29"/>
      <c r="R398" s="7"/>
      <c r="S398" s="7"/>
      <c r="T398" s="7" t="str">
        <f ca="1">IFERROR(__xludf.DUMMYFUNCTION("SPARKLINE({
IF(D398="""",0,D398),
IF(F398="""",0,F398),
IF(H398="""",0,H398),
IF(J398="""",0,J398),
IF(L398="""",0,L398),
IF(N398="""",0,N398),
IF(P398="""",0,P398)
})"),"")</f>
        <v/>
      </c>
      <c r="U398" s="7" t="str">
        <f ca="1">IFERROR(__xludf.DUMMYFUNCTION("SPARKLINE({
IF(E398="""",0,E398),
IF(G398="""",0,G398),
IF(I398="""",0,I398),
IF(K398="""",0,K398),
IF(M398="""",0,M398),
IF(O398="""",0,O398),
IF(Q398="""",0,Q398)
})"),"")</f>
        <v/>
      </c>
      <c r="V398" s="8" t="e">
        <f t="array" aca="1" ref="V398" ca="1">IF($C$4="Giao",_xludf.Xlookup(C398,#REF!,#REF!,),_xludf.Xlookup(C398,#REF!,#REF!,))</f>
        <v>#NAME?</v>
      </c>
      <c r="W398" s="8" t="e">
        <f t="array" aca="1" ref="W398" ca="1">IF($C$4="Giao", _xludf.Xlookup(C398,#REF!,#REF!,),)</f>
        <v>#NAME?</v>
      </c>
      <c r="X398" s="9" t="e">
        <f t="shared" ca="1" si="6"/>
        <v>#NAME?</v>
      </c>
      <c r="Y398" s="7"/>
      <c r="Z398" s="7"/>
    </row>
    <row r="399" spans="1:26" ht="13" x14ac:dyDescent="0.6">
      <c r="A399" s="28" t="str">
        <f t="shared" si="5"/>
        <v/>
      </c>
      <c r="B399" s="7"/>
      <c r="C399" s="7"/>
      <c r="D399" s="9"/>
      <c r="E399" s="9"/>
      <c r="F399" s="7"/>
      <c r="G399" s="7"/>
      <c r="H399" s="7"/>
      <c r="I399" s="7"/>
      <c r="J399" s="7"/>
      <c r="K399" s="7"/>
      <c r="L399" s="7"/>
      <c r="M399" s="7"/>
      <c r="N399" s="7"/>
      <c r="O399" s="7"/>
      <c r="P399" s="29"/>
      <c r="Q399" s="29"/>
      <c r="R399" s="7"/>
      <c r="S399" s="7"/>
      <c r="T399" s="7" t="str">
        <f ca="1">IFERROR(__xludf.DUMMYFUNCTION("SPARKLINE({
IF(D399="""",0,D399),
IF(F399="""",0,F399),
IF(H399="""",0,H399),
IF(J399="""",0,J399),
IF(L399="""",0,L399),
IF(N399="""",0,N399),
IF(P399="""",0,P399)
})"),"")</f>
        <v/>
      </c>
      <c r="U399" s="7" t="str">
        <f ca="1">IFERROR(__xludf.DUMMYFUNCTION("SPARKLINE({
IF(E399="""",0,E399),
IF(G399="""",0,G399),
IF(I399="""",0,I399),
IF(K399="""",0,K399),
IF(M399="""",0,M399),
IF(O399="""",0,O399),
IF(Q399="""",0,Q399)
})"),"")</f>
        <v/>
      </c>
      <c r="V399" s="8" t="e">
        <f t="array" aca="1" ref="V399" ca="1">IF($C$4="Giao",_xludf.Xlookup(C399,#REF!,#REF!,),_xludf.Xlookup(C399,#REF!,#REF!,))</f>
        <v>#NAME?</v>
      </c>
      <c r="W399" s="8" t="e">
        <f t="array" aca="1" ref="W399" ca="1">IF($C$4="Giao", _xludf.Xlookup(C399,#REF!,#REF!,),)</f>
        <v>#NAME?</v>
      </c>
      <c r="X399" s="9" t="e">
        <f t="shared" ca="1" si="6"/>
        <v>#NAME?</v>
      </c>
      <c r="Y399" s="7"/>
      <c r="Z399" s="7"/>
    </row>
    <row r="400" spans="1:26" ht="13" x14ac:dyDescent="0.6">
      <c r="A400" s="28" t="str">
        <f t="shared" si="5"/>
        <v/>
      </c>
      <c r="B400" s="7"/>
      <c r="C400" s="7"/>
      <c r="D400" s="9"/>
      <c r="E400" s="9"/>
      <c r="F400" s="7"/>
      <c r="G400" s="7"/>
      <c r="H400" s="7"/>
      <c r="I400" s="7"/>
      <c r="J400" s="7"/>
      <c r="K400" s="7"/>
      <c r="L400" s="7"/>
      <c r="M400" s="7"/>
      <c r="N400" s="7"/>
      <c r="O400" s="7"/>
      <c r="P400" s="29"/>
      <c r="Q400" s="29"/>
      <c r="R400" s="7"/>
      <c r="S400" s="7"/>
      <c r="T400" s="7" t="str">
        <f ca="1">IFERROR(__xludf.DUMMYFUNCTION("SPARKLINE({
IF(D400="""",0,D400),
IF(F400="""",0,F400),
IF(H400="""",0,H400),
IF(J400="""",0,J400),
IF(L400="""",0,L400),
IF(N400="""",0,N400),
IF(P400="""",0,P400)
})"),"")</f>
        <v/>
      </c>
      <c r="U400" s="7" t="str">
        <f ca="1">IFERROR(__xludf.DUMMYFUNCTION("SPARKLINE({
IF(E400="""",0,E400),
IF(G400="""",0,G400),
IF(I400="""",0,I400),
IF(K400="""",0,K400),
IF(M400="""",0,M400),
IF(O400="""",0,O400),
IF(Q400="""",0,Q400)
})"),"")</f>
        <v/>
      </c>
      <c r="V400" s="8" t="e">
        <f t="array" aca="1" ref="V400" ca="1">IF($C$4="Giao",_xludf.Xlookup(C400,#REF!,#REF!,),_xludf.Xlookup(C400,#REF!,#REF!,))</f>
        <v>#NAME?</v>
      </c>
      <c r="W400" s="8" t="e">
        <f t="array" aca="1" ref="W400" ca="1">IF($C$4="Giao", _xludf.Xlookup(C400,#REF!,#REF!,),)</f>
        <v>#NAME?</v>
      </c>
      <c r="X400" s="9" t="e">
        <f t="shared" ca="1" si="6"/>
        <v>#NAME?</v>
      </c>
      <c r="Y400" s="7"/>
      <c r="Z400" s="7"/>
    </row>
    <row r="401" spans="1:26" ht="13" x14ac:dyDescent="0.6">
      <c r="A401" s="28" t="str">
        <f t="shared" si="5"/>
        <v/>
      </c>
      <c r="B401" s="7"/>
      <c r="C401" s="7"/>
      <c r="D401" s="9"/>
      <c r="E401" s="9"/>
      <c r="F401" s="7"/>
      <c r="G401" s="7"/>
      <c r="H401" s="7"/>
      <c r="I401" s="7"/>
      <c r="J401" s="7"/>
      <c r="K401" s="7"/>
      <c r="L401" s="7"/>
      <c r="M401" s="7"/>
      <c r="N401" s="7"/>
      <c r="O401" s="7"/>
      <c r="P401" s="29"/>
      <c r="Q401" s="29"/>
      <c r="R401" s="7"/>
      <c r="S401" s="7"/>
      <c r="T401" s="7" t="str">
        <f ca="1">IFERROR(__xludf.DUMMYFUNCTION("SPARKLINE({
IF(D401="""",0,D401),
IF(F401="""",0,F401),
IF(H401="""",0,H401),
IF(J401="""",0,J401),
IF(L401="""",0,L401),
IF(N401="""",0,N401),
IF(P401="""",0,P401)
})"),"")</f>
        <v/>
      </c>
      <c r="U401" s="7" t="str">
        <f ca="1">IFERROR(__xludf.DUMMYFUNCTION("SPARKLINE({
IF(E401="""",0,E401),
IF(G401="""",0,G401),
IF(I401="""",0,I401),
IF(K401="""",0,K401),
IF(M401="""",0,M401),
IF(O401="""",0,O401),
IF(Q401="""",0,Q401)
})"),"")</f>
        <v/>
      </c>
      <c r="V401" s="8" t="e">
        <f t="array" aca="1" ref="V401" ca="1">IF($C$4="Giao",_xludf.Xlookup(C401,#REF!,#REF!,),_xludf.Xlookup(C401,#REF!,#REF!,))</f>
        <v>#NAME?</v>
      </c>
      <c r="W401" s="8" t="e">
        <f t="array" aca="1" ref="W401" ca="1">IF($C$4="Giao", _xludf.Xlookup(C401,#REF!,#REF!,),)</f>
        <v>#NAME?</v>
      </c>
      <c r="X401" s="9" t="e">
        <f t="shared" ca="1" si="6"/>
        <v>#NAME?</v>
      </c>
      <c r="Y401" s="7"/>
      <c r="Z401" s="7"/>
    </row>
    <row r="402" spans="1:26" ht="13" x14ac:dyDescent="0.6">
      <c r="A402" s="28" t="str">
        <f t="shared" si="5"/>
        <v/>
      </c>
      <c r="B402" s="7"/>
      <c r="C402" s="7"/>
      <c r="D402" s="9"/>
      <c r="E402" s="9"/>
      <c r="F402" s="7"/>
      <c r="G402" s="7"/>
      <c r="H402" s="7"/>
      <c r="I402" s="7"/>
      <c r="J402" s="7"/>
      <c r="K402" s="7"/>
      <c r="L402" s="7"/>
      <c r="M402" s="7"/>
      <c r="N402" s="7"/>
      <c r="O402" s="7"/>
      <c r="P402" s="29"/>
      <c r="Q402" s="29"/>
      <c r="R402" s="7"/>
      <c r="S402" s="7"/>
      <c r="T402" s="7" t="str">
        <f ca="1">IFERROR(__xludf.DUMMYFUNCTION("SPARKLINE({
IF(D402="""",0,D402),
IF(F402="""",0,F402),
IF(H402="""",0,H402),
IF(J402="""",0,J402),
IF(L402="""",0,L402),
IF(N402="""",0,N402),
IF(P402="""",0,P402)
})"),"")</f>
        <v/>
      </c>
      <c r="U402" s="7" t="str">
        <f ca="1">IFERROR(__xludf.DUMMYFUNCTION("SPARKLINE({
IF(E402="""",0,E402),
IF(G402="""",0,G402),
IF(I402="""",0,I402),
IF(K402="""",0,K402),
IF(M402="""",0,M402),
IF(O402="""",0,O402),
IF(Q402="""",0,Q402)
})"),"")</f>
        <v/>
      </c>
      <c r="V402" s="8" t="e">
        <f t="array" aca="1" ref="V402" ca="1">IF($C$4="Giao",_xludf.Xlookup(C402,#REF!,#REF!,),_xludf.Xlookup(C402,#REF!,#REF!,))</f>
        <v>#NAME?</v>
      </c>
      <c r="W402" s="8" t="e">
        <f t="array" aca="1" ref="W402" ca="1">IF($C$4="Giao", _xludf.Xlookup(C402,#REF!,#REF!,),)</f>
        <v>#NAME?</v>
      </c>
      <c r="X402" s="9" t="e">
        <f t="shared" ca="1" si="6"/>
        <v>#NAME?</v>
      </c>
      <c r="Y402" s="7"/>
      <c r="Z402" s="7"/>
    </row>
    <row r="403" spans="1:26" ht="13" x14ac:dyDescent="0.6">
      <c r="A403" s="28" t="str">
        <f t="shared" si="5"/>
        <v/>
      </c>
      <c r="B403" s="7"/>
      <c r="C403" s="7"/>
      <c r="D403" s="9"/>
      <c r="E403" s="9"/>
      <c r="F403" s="7"/>
      <c r="G403" s="7"/>
      <c r="H403" s="7"/>
      <c r="I403" s="7"/>
      <c r="J403" s="7"/>
      <c r="K403" s="7"/>
      <c r="L403" s="7"/>
      <c r="M403" s="7"/>
      <c r="N403" s="7"/>
      <c r="O403" s="7"/>
      <c r="P403" s="29"/>
      <c r="Q403" s="29"/>
      <c r="R403" s="7"/>
      <c r="S403" s="7"/>
      <c r="T403" s="7" t="str">
        <f ca="1">IFERROR(__xludf.DUMMYFUNCTION("SPARKLINE({
IF(D403="""",0,D403),
IF(F403="""",0,F403),
IF(H403="""",0,H403),
IF(J403="""",0,J403),
IF(L403="""",0,L403),
IF(N403="""",0,N403),
IF(P403="""",0,P403)
})"),"")</f>
        <v/>
      </c>
      <c r="U403" s="7" t="str">
        <f ca="1">IFERROR(__xludf.DUMMYFUNCTION("SPARKLINE({
IF(E403="""",0,E403),
IF(G403="""",0,G403),
IF(I403="""",0,I403),
IF(K403="""",0,K403),
IF(M403="""",0,M403),
IF(O403="""",0,O403),
IF(Q403="""",0,Q403)
})"),"")</f>
        <v/>
      </c>
      <c r="V403" s="8" t="e">
        <f t="array" aca="1" ref="V403" ca="1">IF($C$4="Giao",_xludf.Xlookup(C403,#REF!,#REF!,),_xludf.Xlookup(C403,#REF!,#REF!,))</f>
        <v>#NAME?</v>
      </c>
      <c r="W403" s="8" t="e">
        <f t="array" aca="1" ref="W403" ca="1">IF($C$4="Giao", _xludf.Xlookup(C403,#REF!,#REF!,),)</f>
        <v>#NAME?</v>
      </c>
      <c r="X403" s="9" t="e">
        <f t="shared" ca="1" si="6"/>
        <v>#NAME?</v>
      </c>
      <c r="Y403" s="7"/>
      <c r="Z403" s="7"/>
    </row>
    <row r="404" spans="1:26" ht="13" x14ac:dyDescent="0.6">
      <c r="A404" s="28" t="str">
        <f t="shared" si="5"/>
        <v/>
      </c>
      <c r="B404" s="7"/>
      <c r="C404" s="7"/>
      <c r="D404" s="9"/>
      <c r="E404" s="9"/>
      <c r="F404" s="7"/>
      <c r="G404" s="7"/>
      <c r="H404" s="7"/>
      <c r="I404" s="7"/>
      <c r="J404" s="7"/>
      <c r="K404" s="7"/>
      <c r="L404" s="7"/>
      <c r="M404" s="7"/>
      <c r="N404" s="7"/>
      <c r="O404" s="7"/>
      <c r="P404" s="29"/>
      <c r="Q404" s="29"/>
      <c r="R404" s="7"/>
      <c r="S404" s="7"/>
      <c r="T404" s="7" t="str">
        <f ca="1">IFERROR(__xludf.DUMMYFUNCTION("SPARKLINE({
IF(D404="""",0,D404),
IF(F404="""",0,F404),
IF(H404="""",0,H404),
IF(J404="""",0,J404),
IF(L404="""",0,L404),
IF(N404="""",0,N404),
IF(P404="""",0,P404)
})"),"")</f>
        <v/>
      </c>
      <c r="U404" s="7" t="str">
        <f ca="1">IFERROR(__xludf.DUMMYFUNCTION("SPARKLINE({
IF(E404="""",0,E404),
IF(G404="""",0,G404),
IF(I404="""",0,I404),
IF(K404="""",0,K404),
IF(M404="""",0,M404),
IF(O404="""",0,O404),
IF(Q404="""",0,Q404)
})"),"")</f>
        <v/>
      </c>
      <c r="V404" s="8" t="e">
        <f t="array" aca="1" ref="V404" ca="1">IF($C$4="Giao",_xludf.Xlookup(C404,#REF!,#REF!,),_xludf.Xlookup(C404,#REF!,#REF!,))</f>
        <v>#NAME?</v>
      </c>
      <c r="W404" s="8" t="e">
        <f t="array" aca="1" ref="W404" ca="1">IF($C$4="Giao", _xludf.Xlookup(C404,#REF!,#REF!,),)</f>
        <v>#NAME?</v>
      </c>
      <c r="X404" s="9" t="e">
        <f t="shared" ca="1" si="6"/>
        <v>#NAME?</v>
      </c>
      <c r="Y404" s="7"/>
      <c r="Z404" s="7"/>
    </row>
    <row r="405" spans="1:26" ht="13" x14ac:dyDescent="0.6">
      <c r="A405" s="28" t="str">
        <f t="shared" si="5"/>
        <v/>
      </c>
      <c r="B405" s="7"/>
      <c r="C405" s="7"/>
      <c r="D405" s="9"/>
      <c r="E405" s="9"/>
      <c r="F405" s="7"/>
      <c r="G405" s="7"/>
      <c r="H405" s="7"/>
      <c r="I405" s="7"/>
      <c r="J405" s="7"/>
      <c r="K405" s="7"/>
      <c r="L405" s="7"/>
      <c r="M405" s="7"/>
      <c r="N405" s="7"/>
      <c r="O405" s="7"/>
      <c r="P405" s="29"/>
      <c r="Q405" s="29"/>
      <c r="R405" s="7"/>
      <c r="S405" s="7"/>
      <c r="T405" s="7" t="str">
        <f ca="1">IFERROR(__xludf.DUMMYFUNCTION("SPARKLINE({
IF(D405="""",0,D405),
IF(F405="""",0,F405),
IF(H405="""",0,H405),
IF(J405="""",0,J405),
IF(L405="""",0,L405),
IF(N405="""",0,N405),
IF(P405="""",0,P405)
})"),"")</f>
        <v/>
      </c>
      <c r="U405" s="7" t="str">
        <f ca="1">IFERROR(__xludf.DUMMYFUNCTION("SPARKLINE({
IF(E405="""",0,E405),
IF(G405="""",0,G405),
IF(I405="""",0,I405),
IF(K405="""",0,K405),
IF(M405="""",0,M405),
IF(O405="""",0,O405),
IF(Q405="""",0,Q405)
})"),"")</f>
        <v/>
      </c>
      <c r="V405" s="8" t="e">
        <f t="array" aca="1" ref="V405" ca="1">IF($C$4="Giao",_xludf.Xlookup(C405,#REF!,#REF!,),_xludf.Xlookup(C405,#REF!,#REF!,))</f>
        <v>#NAME?</v>
      </c>
      <c r="W405" s="8" t="e">
        <f t="array" aca="1" ref="W405" ca="1">IF($C$4="Giao", _xludf.Xlookup(C405,#REF!,#REF!,),)</f>
        <v>#NAME?</v>
      </c>
      <c r="X405" s="9" t="e">
        <f t="shared" ca="1" si="6"/>
        <v>#NAME?</v>
      </c>
      <c r="Y405" s="7"/>
      <c r="Z405" s="7"/>
    </row>
    <row r="406" spans="1:26" ht="13" x14ac:dyDescent="0.6">
      <c r="A406" s="28" t="str">
        <f t="shared" si="5"/>
        <v/>
      </c>
      <c r="B406" s="7"/>
      <c r="C406" s="7"/>
      <c r="D406" s="9"/>
      <c r="E406" s="9"/>
      <c r="F406" s="7"/>
      <c r="G406" s="7"/>
      <c r="H406" s="7"/>
      <c r="I406" s="7"/>
      <c r="J406" s="7"/>
      <c r="K406" s="7"/>
      <c r="L406" s="7"/>
      <c r="M406" s="7"/>
      <c r="N406" s="7"/>
      <c r="O406" s="7"/>
      <c r="P406" s="29"/>
      <c r="Q406" s="29"/>
      <c r="R406" s="7"/>
      <c r="S406" s="7"/>
      <c r="T406" s="7" t="str">
        <f ca="1">IFERROR(__xludf.DUMMYFUNCTION("SPARKLINE({
IF(D406="""",0,D406),
IF(F406="""",0,F406),
IF(H406="""",0,H406),
IF(J406="""",0,J406),
IF(L406="""",0,L406),
IF(N406="""",0,N406),
IF(P406="""",0,P406)
})"),"")</f>
        <v/>
      </c>
      <c r="U406" s="7" t="str">
        <f ca="1">IFERROR(__xludf.DUMMYFUNCTION("SPARKLINE({
IF(E406="""",0,E406),
IF(G406="""",0,G406),
IF(I406="""",0,I406),
IF(K406="""",0,K406),
IF(M406="""",0,M406),
IF(O406="""",0,O406),
IF(Q406="""",0,Q406)
})"),"")</f>
        <v/>
      </c>
      <c r="V406" s="8" t="e">
        <f t="array" aca="1" ref="V406" ca="1">IF($C$4="Giao",_xludf.Xlookup(C406,#REF!,#REF!,),_xludf.Xlookup(C406,#REF!,#REF!,))</f>
        <v>#NAME?</v>
      </c>
      <c r="W406" s="8" t="e">
        <f t="array" aca="1" ref="W406" ca="1">IF($C$4="Giao", _xludf.Xlookup(C406,#REF!,#REF!,),)</f>
        <v>#NAME?</v>
      </c>
      <c r="X406" s="9" t="e">
        <f t="shared" ca="1" si="6"/>
        <v>#NAME?</v>
      </c>
      <c r="Y406" s="7"/>
      <c r="Z406" s="7"/>
    </row>
    <row r="407" spans="1:26" ht="13" x14ac:dyDescent="0.6">
      <c r="A407" s="28" t="str">
        <f t="shared" si="5"/>
        <v/>
      </c>
      <c r="B407" s="7"/>
      <c r="C407" s="7"/>
      <c r="D407" s="9"/>
      <c r="E407" s="9"/>
      <c r="F407" s="7"/>
      <c r="G407" s="7"/>
      <c r="H407" s="7"/>
      <c r="I407" s="7"/>
      <c r="J407" s="7"/>
      <c r="K407" s="7"/>
      <c r="L407" s="7"/>
      <c r="M407" s="7"/>
      <c r="N407" s="7"/>
      <c r="O407" s="7"/>
      <c r="P407" s="29"/>
      <c r="Q407" s="29"/>
      <c r="R407" s="7"/>
      <c r="S407" s="7"/>
      <c r="T407" s="7" t="str">
        <f ca="1">IFERROR(__xludf.DUMMYFUNCTION("SPARKLINE({
IF(D407="""",0,D407),
IF(F407="""",0,F407),
IF(H407="""",0,H407),
IF(J407="""",0,J407),
IF(L407="""",0,L407),
IF(N407="""",0,N407),
IF(P407="""",0,P407)
})"),"")</f>
        <v/>
      </c>
      <c r="U407" s="7" t="str">
        <f ca="1">IFERROR(__xludf.DUMMYFUNCTION("SPARKLINE({
IF(E407="""",0,E407),
IF(G407="""",0,G407),
IF(I407="""",0,I407),
IF(K407="""",0,K407),
IF(M407="""",0,M407),
IF(O407="""",0,O407),
IF(Q407="""",0,Q407)
})"),"")</f>
        <v/>
      </c>
      <c r="V407" s="8" t="e">
        <f t="array" aca="1" ref="V407" ca="1">IF($C$4="Giao",_xludf.Xlookup(C407,#REF!,#REF!,),_xludf.Xlookup(C407,#REF!,#REF!,))</f>
        <v>#NAME?</v>
      </c>
      <c r="W407" s="8" t="e">
        <f t="array" aca="1" ref="W407" ca="1">IF($C$4="Giao", _xludf.Xlookup(C407,#REF!,#REF!,),)</f>
        <v>#NAME?</v>
      </c>
      <c r="X407" s="9" t="e">
        <f t="shared" ca="1" si="6"/>
        <v>#NAME?</v>
      </c>
      <c r="Y407" s="7"/>
      <c r="Z407" s="7"/>
    </row>
    <row r="408" spans="1:26" ht="13" x14ac:dyDescent="0.6">
      <c r="A408" s="28" t="str">
        <f t="shared" si="5"/>
        <v/>
      </c>
      <c r="B408" s="7"/>
      <c r="C408" s="7"/>
      <c r="D408" s="9"/>
      <c r="E408" s="9"/>
      <c r="F408" s="7"/>
      <c r="G408" s="7"/>
      <c r="H408" s="7"/>
      <c r="I408" s="7"/>
      <c r="J408" s="7"/>
      <c r="K408" s="7"/>
      <c r="L408" s="7"/>
      <c r="M408" s="7"/>
      <c r="N408" s="7"/>
      <c r="O408" s="7"/>
      <c r="P408" s="29"/>
      <c r="Q408" s="29"/>
      <c r="R408" s="7"/>
      <c r="S408" s="7"/>
      <c r="T408" s="7" t="str">
        <f ca="1">IFERROR(__xludf.DUMMYFUNCTION("SPARKLINE({
IF(D408="""",0,D408),
IF(F408="""",0,F408),
IF(H408="""",0,H408),
IF(J408="""",0,J408),
IF(L408="""",0,L408),
IF(N408="""",0,N408),
IF(P408="""",0,P408)
})"),"")</f>
        <v/>
      </c>
      <c r="U408" s="7" t="str">
        <f ca="1">IFERROR(__xludf.DUMMYFUNCTION("SPARKLINE({
IF(E408="""",0,E408),
IF(G408="""",0,G408),
IF(I408="""",0,I408),
IF(K408="""",0,K408),
IF(M408="""",0,M408),
IF(O408="""",0,O408),
IF(Q408="""",0,Q408)
})"),"")</f>
        <v/>
      </c>
      <c r="V408" s="8" t="e">
        <f t="array" aca="1" ref="V408" ca="1">IF($C$4="Giao",_xludf.Xlookup(C408,#REF!,#REF!,),_xludf.Xlookup(C408,#REF!,#REF!,))</f>
        <v>#NAME?</v>
      </c>
      <c r="W408" s="8" t="e">
        <f t="array" aca="1" ref="W408" ca="1">IF($C$4="Giao", _xludf.Xlookup(C408,#REF!,#REF!,),)</f>
        <v>#NAME?</v>
      </c>
      <c r="X408" s="9" t="e">
        <f t="shared" ca="1" si="6"/>
        <v>#NAME?</v>
      </c>
      <c r="Y408" s="7"/>
      <c r="Z408" s="7"/>
    </row>
    <row r="409" spans="1:26" ht="13" x14ac:dyDescent="0.6">
      <c r="A409" s="28" t="str">
        <f t="shared" si="5"/>
        <v/>
      </c>
      <c r="B409" s="7"/>
      <c r="C409" s="7"/>
      <c r="D409" s="9"/>
      <c r="E409" s="9"/>
      <c r="F409" s="7"/>
      <c r="G409" s="7"/>
      <c r="H409" s="7"/>
      <c r="I409" s="7"/>
      <c r="J409" s="7"/>
      <c r="K409" s="7"/>
      <c r="L409" s="7"/>
      <c r="M409" s="7"/>
      <c r="N409" s="7"/>
      <c r="O409" s="7"/>
      <c r="P409" s="29"/>
      <c r="Q409" s="29"/>
      <c r="R409" s="7"/>
      <c r="S409" s="7"/>
      <c r="T409" s="7" t="str">
        <f ca="1">IFERROR(__xludf.DUMMYFUNCTION("SPARKLINE({
IF(D409="""",0,D409),
IF(F409="""",0,F409),
IF(H409="""",0,H409),
IF(J409="""",0,J409),
IF(L409="""",0,L409),
IF(N409="""",0,N409),
IF(P409="""",0,P409)
})"),"")</f>
        <v/>
      </c>
      <c r="U409" s="7" t="str">
        <f ca="1">IFERROR(__xludf.DUMMYFUNCTION("SPARKLINE({
IF(E409="""",0,E409),
IF(G409="""",0,G409),
IF(I409="""",0,I409),
IF(K409="""",0,K409),
IF(M409="""",0,M409),
IF(O409="""",0,O409),
IF(Q409="""",0,Q409)
})"),"")</f>
        <v/>
      </c>
      <c r="V409" s="8" t="e">
        <f t="array" aca="1" ref="V409" ca="1">IF($C$4="Giao",_xludf.Xlookup(C409,#REF!,#REF!,),_xludf.Xlookup(C409,#REF!,#REF!,))</f>
        <v>#NAME?</v>
      </c>
      <c r="W409" s="8" t="e">
        <f t="array" aca="1" ref="W409" ca="1">IF($C$4="Giao", _xludf.Xlookup(C409,#REF!,#REF!,),)</f>
        <v>#NAME?</v>
      </c>
      <c r="X409" s="9" t="e">
        <f t="shared" ca="1" si="6"/>
        <v>#NAME?</v>
      </c>
      <c r="Y409" s="7"/>
      <c r="Z409" s="7"/>
    </row>
    <row r="410" spans="1:26" ht="13" x14ac:dyDescent="0.6">
      <c r="A410" s="28" t="str">
        <f t="shared" si="5"/>
        <v/>
      </c>
      <c r="B410" s="7"/>
      <c r="C410" s="7"/>
      <c r="D410" s="9"/>
      <c r="E410" s="9"/>
      <c r="F410" s="7"/>
      <c r="G410" s="7"/>
      <c r="H410" s="7"/>
      <c r="I410" s="7"/>
      <c r="J410" s="7"/>
      <c r="K410" s="7"/>
      <c r="L410" s="7"/>
      <c r="M410" s="7"/>
      <c r="N410" s="7"/>
      <c r="O410" s="7"/>
      <c r="P410" s="29"/>
      <c r="Q410" s="29"/>
      <c r="R410" s="7"/>
      <c r="S410" s="7"/>
      <c r="T410" s="7" t="str">
        <f ca="1">IFERROR(__xludf.DUMMYFUNCTION("SPARKLINE({
IF(D410="""",0,D410),
IF(F410="""",0,F410),
IF(H410="""",0,H410),
IF(J410="""",0,J410),
IF(L410="""",0,L410),
IF(N410="""",0,N410),
IF(P410="""",0,P410)
})"),"")</f>
        <v/>
      </c>
      <c r="U410" s="7" t="str">
        <f ca="1">IFERROR(__xludf.DUMMYFUNCTION("SPARKLINE({
IF(E410="""",0,E410),
IF(G410="""",0,G410),
IF(I410="""",0,I410),
IF(K410="""",0,K410),
IF(M410="""",0,M410),
IF(O410="""",0,O410),
IF(Q410="""",0,Q410)
})"),"")</f>
        <v/>
      </c>
      <c r="V410" s="8" t="e">
        <f t="array" aca="1" ref="V410" ca="1">IF($C$4="Giao",_xludf.Xlookup(C410,#REF!,#REF!,),_xludf.Xlookup(C410,#REF!,#REF!,))</f>
        <v>#NAME?</v>
      </c>
      <c r="W410" s="8" t="e">
        <f t="array" aca="1" ref="W410" ca="1">IF($C$4="Giao", _xludf.Xlookup(C410,#REF!,#REF!,),)</f>
        <v>#NAME?</v>
      </c>
      <c r="X410" s="9" t="e">
        <f t="shared" ca="1" si="6"/>
        <v>#NAME?</v>
      </c>
      <c r="Y410" s="7"/>
      <c r="Z410" s="7"/>
    </row>
    <row r="411" spans="1:26" ht="13" x14ac:dyDescent="0.6">
      <c r="A411" s="28" t="str">
        <f t="shared" si="5"/>
        <v/>
      </c>
      <c r="B411" s="7"/>
      <c r="C411" s="7"/>
      <c r="D411" s="9"/>
      <c r="E411" s="9"/>
      <c r="F411" s="7"/>
      <c r="G411" s="7"/>
      <c r="H411" s="7"/>
      <c r="I411" s="7"/>
      <c r="J411" s="7"/>
      <c r="K411" s="7"/>
      <c r="L411" s="7"/>
      <c r="M411" s="7"/>
      <c r="N411" s="7"/>
      <c r="O411" s="7"/>
      <c r="P411" s="29"/>
      <c r="Q411" s="29"/>
      <c r="R411" s="7"/>
      <c r="S411" s="7"/>
      <c r="T411" s="7" t="str">
        <f ca="1">IFERROR(__xludf.DUMMYFUNCTION("SPARKLINE({
IF(D411="""",0,D411),
IF(F411="""",0,F411),
IF(H411="""",0,H411),
IF(J411="""",0,J411),
IF(L411="""",0,L411),
IF(N411="""",0,N411),
IF(P411="""",0,P411)
})"),"")</f>
        <v/>
      </c>
      <c r="U411" s="7" t="str">
        <f ca="1">IFERROR(__xludf.DUMMYFUNCTION("SPARKLINE({
IF(E411="""",0,E411),
IF(G411="""",0,G411),
IF(I411="""",0,I411),
IF(K411="""",0,K411),
IF(M411="""",0,M411),
IF(O411="""",0,O411),
IF(Q411="""",0,Q411)
})"),"")</f>
        <v/>
      </c>
      <c r="V411" s="8" t="e">
        <f t="array" aca="1" ref="V411" ca="1">IF($C$4="Giao",_xludf.Xlookup(C411,#REF!,#REF!,),_xludf.Xlookup(C411,#REF!,#REF!,))</f>
        <v>#NAME?</v>
      </c>
      <c r="W411" s="8" t="e">
        <f t="array" aca="1" ref="W411" ca="1">IF($C$4="Giao", _xludf.Xlookup(C411,#REF!,#REF!,),)</f>
        <v>#NAME?</v>
      </c>
      <c r="X411" s="9" t="e">
        <f t="shared" ca="1" si="6"/>
        <v>#NAME?</v>
      </c>
      <c r="Y411" s="7"/>
      <c r="Z411" s="7"/>
    </row>
    <row r="412" spans="1:26" ht="13" x14ac:dyDescent="0.6">
      <c r="A412" s="28" t="str">
        <f t="shared" si="5"/>
        <v/>
      </c>
      <c r="B412" s="7"/>
      <c r="C412" s="7"/>
      <c r="D412" s="9"/>
      <c r="E412" s="9"/>
      <c r="F412" s="7"/>
      <c r="G412" s="7"/>
      <c r="H412" s="7"/>
      <c r="I412" s="7"/>
      <c r="J412" s="7"/>
      <c r="K412" s="7"/>
      <c r="L412" s="7"/>
      <c r="M412" s="7"/>
      <c r="N412" s="7"/>
      <c r="O412" s="7"/>
      <c r="P412" s="29"/>
      <c r="Q412" s="29"/>
      <c r="R412" s="7"/>
      <c r="S412" s="7"/>
      <c r="T412" s="7" t="str">
        <f ca="1">IFERROR(__xludf.DUMMYFUNCTION("SPARKLINE({
IF(D412="""",0,D412),
IF(F412="""",0,F412),
IF(H412="""",0,H412),
IF(J412="""",0,J412),
IF(L412="""",0,L412),
IF(N412="""",0,N412),
IF(P412="""",0,P412)
})"),"")</f>
        <v/>
      </c>
      <c r="U412" s="7" t="str">
        <f ca="1">IFERROR(__xludf.DUMMYFUNCTION("SPARKLINE({
IF(E412="""",0,E412),
IF(G412="""",0,G412),
IF(I412="""",0,I412),
IF(K412="""",0,K412),
IF(M412="""",0,M412),
IF(O412="""",0,O412),
IF(Q412="""",0,Q412)
})"),"")</f>
        <v/>
      </c>
      <c r="V412" s="8" t="e">
        <f t="array" aca="1" ref="V412" ca="1">IF($C$4="Giao",_xludf.Xlookup(C412,#REF!,#REF!,),_xludf.Xlookup(C412,#REF!,#REF!,))</f>
        <v>#NAME?</v>
      </c>
      <c r="W412" s="8" t="e">
        <f t="array" aca="1" ref="W412" ca="1">IF($C$4="Giao", _xludf.Xlookup(C412,#REF!,#REF!,),)</f>
        <v>#NAME?</v>
      </c>
      <c r="X412" s="9" t="e">
        <f t="shared" ca="1" si="6"/>
        <v>#NAME?</v>
      </c>
      <c r="Y412" s="7"/>
      <c r="Z412" s="7"/>
    </row>
    <row r="413" spans="1:26" ht="13" x14ac:dyDescent="0.6">
      <c r="A413" s="28" t="str">
        <f t="shared" si="5"/>
        <v/>
      </c>
      <c r="B413" s="7"/>
      <c r="C413" s="7"/>
      <c r="D413" s="9"/>
      <c r="E413" s="9"/>
      <c r="F413" s="7"/>
      <c r="G413" s="7"/>
      <c r="H413" s="7"/>
      <c r="I413" s="7"/>
      <c r="J413" s="7"/>
      <c r="K413" s="7"/>
      <c r="L413" s="7"/>
      <c r="M413" s="7"/>
      <c r="N413" s="7"/>
      <c r="O413" s="7"/>
      <c r="P413" s="29"/>
      <c r="Q413" s="29"/>
      <c r="R413" s="7"/>
      <c r="S413" s="7"/>
      <c r="T413" s="7" t="str">
        <f ca="1">IFERROR(__xludf.DUMMYFUNCTION("SPARKLINE({
IF(D413="""",0,D413),
IF(F413="""",0,F413),
IF(H413="""",0,H413),
IF(J413="""",0,J413),
IF(L413="""",0,L413),
IF(N413="""",0,N413),
IF(P413="""",0,P413)
})"),"")</f>
        <v/>
      </c>
      <c r="U413" s="7" t="str">
        <f ca="1">IFERROR(__xludf.DUMMYFUNCTION("SPARKLINE({
IF(E413="""",0,E413),
IF(G413="""",0,G413),
IF(I413="""",0,I413),
IF(K413="""",0,K413),
IF(M413="""",0,M413),
IF(O413="""",0,O413),
IF(Q413="""",0,Q413)
})"),"")</f>
        <v/>
      </c>
      <c r="V413" s="8" t="e">
        <f t="array" aca="1" ref="V413" ca="1">IF($C$4="Giao",_xludf.Xlookup(C413,#REF!,#REF!,),_xludf.Xlookup(C413,#REF!,#REF!,))</f>
        <v>#NAME?</v>
      </c>
      <c r="W413" s="8" t="e">
        <f t="array" aca="1" ref="W413" ca="1">IF($C$4="Giao", _xludf.Xlookup(C413,#REF!,#REF!,),)</f>
        <v>#NAME?</v>
      </c>
      <c r="X413" s="9" t="e">
        <f t="shared" ca="1" si="6"/>
        <v>#NAME?</v>
      </c>
      <c r="Y413" s="7"/>
      <c r="Z413" s="7"/>
    </row>
    <row r="414" spans="1:26" ht="13" x14ac:dyDescent="0.6">
      <c r="A414" s="28" t="str">
        <f t="shared" si="5"/>
        <v/>
      </c>
      <c r="B414" s="7"/>
      <c r="C414" s="7"/>
      <c r="D414" s="9"/>
      <c r="E414" s="9"/>
      <c r="F414" s="7"/>
      <c r="G414" s="7"/>
      <c r="H414" s="7"/>
      <c r="I414" s="7"/>
      <c r="J414" s="7"/>
      <c r="K414" s="7"/>
      <c r="L414" s="7"/>
      <c r="M414" s="7"/>
      <c r="N414" s="7"/>
      <c r="O414" s="7"/>
      <c r="P414" s="29"/>
      <c r="Q414" s="29"/>
      <c r="R414" s="7"/>
      <c r="S414" s="7"/>
      <c r="T414" s="7" t="str">
        <f ca="1">IFERROR(__xludf.DUMMYFUNCTION("SPARKLINE({
IF(D414="""",0,D414),
IF(F414="""",0,F414),
IF(H414="""",0,H414),
IF(J414="""",0,J414),
IF(L414="""",0,L414),
IF(N414="""",0,N414),
IF(P414="""",0,P414)
})"),"")</f>
        <v/>
      </c>
      <c r="U414" s="7" t="str">
        <f ca="1">IFERROR(__xludf.DUMMYFUNCTION("SPARKLINE({
IF(E414="""",0,E414),
IF(G414="""",0,G414),
IF(I414="""",0,I414),
IF(K414="""",0,K414),
IF(M414="""",0,M414),
IF(O414="""",0,O414),
IF(Q414="""",0,Q414)
})"),"")</f>
        <v/>
      </c>
      <c r="V414" s="8" t="e">
        <f t="array" aca="1" ref="V414" ca="1">IF($C$4="Giao",_xludf.Xlookup(C414,#REF!,#REF!,),_xludf.Xlookup(C414,#REF!,#REF!,))</f>
        <v>#NAME?</v>
      </c>
      <c r="W414" s="8" t="e">
        <f t="array" aca="1" ref="W414" ca="1">IF($C$4="Giao", _xludf.Xlookup(C414,#REF!,#REF!,),)</f>
        <v>#NAME?</v>
      </c>
      <c r="X414" s="9" t="e">
        <f t="shared" ca="1" si="6"/>
        <v>#NAME?</v>
      </c>
      <c r="Y414" s="7"/>
      <c r="Z414" s="7"/>
    </row>
    <row r="415" spans="1:26" ht="13" x14ac:dyDescent="0.6">
      <c r="A415" s="28" t="str">
        <f t="shared" si="5"/>
        <v/>
      </c>
      <c r="B415" s="7"/>
      <c r="C415" s="7"/>
      <c r="D415" s="9"/>
      <c r="E415" s="9"/>
      <c r="F415" s="7"/>
      <c r="G415" s="7"/>
      <c r="H415" s="7"/>
      <c r="I415" s="7"/>
      <c r="J415" s="7"/>
      <c r="K415" s="7"/>
      <c r="L415" s="7"/>
      <c r="M415" s="7"/>
      <c r="N415" s="7"/>
      <c r="O415" s="7"/>
      <c r="P415" s="29"/>
      <c r="Q415" s="29"/>
      <c r="R415" s="7"/>
      <c r="S415" s="7"/>
      <c r="T415" s="7" t="str">
        <f ca="1">IFERROR(__xludf.DUMMYFUNCTION("SPARKLINE({
IF(D415="""",0,D415),
IF(F415="""",0,F415),
IF(H415="""",0,H415),
IF(J415="""",0,J415),
IF(L415="""",0,L415),
IF(N415="""",0,N415),
IF(P415="""",0,P415)
})"),"")</f>
        <v/>
      </c>
      <c r="U415" s="7" t="str">
        <f ca="1">IFERROR(__xludf.DUMMYFUNCTION("SPARKLINE({
IF(E415="""",0,E415),
IF(G415="""",0,G415),
IF(I415="""",0,I415),
IF(K415="""",0,K415),
IF(M415="""",0,M415),
IF(O415="""",0,O415),
IF(Q415="""",0,Q415)
})"),"")</f>
        <v/>
      </c>
      <c r="V415" s="8" t="e">
        <f t="array" aca="1" ref="V415" ca="1">IF($C$4="Giao",_xludf.Xlookup(C415,#REF!,#REF!,),_xludf.Xlookup(C415,#REF!,#REF!,))</f>
        <v>#NAME?</v>
      </c>
      <c r="W415" s="8" t="e">
        <f t="array" aca="1" ref="W415" ca="1">IF($C$4="Giao", _xludf.Xlookup(C415,#REF!,#REF!,),)</f>
        <v>#NAME?</v>
      </c>
      <c r="X415" s="9" t="e">
        <f t="shared" ca="1" si="6"/>
        <v>#NAME?</v>
      </c>
      <c r="Y415" s="7"/>
      <c r="Z415" s="7"/>
    </row>
    <row r="416" spans="1:26" ht="13" x14ac:dyDescent="0.6">
      <c r="A416" s="28" t="str">
        <f t="shared" si="5"/>
        <v/>
      </c>
      <c r="B416" s="7"/>
      <c r="C416" s="7"/>
      <c r="D416" s="9"/>
      <c r="E416" s="9"/>
      <c r="F416" s="7"/>
      <c r="G416" s="7"/>
      <c r="H416" s="7"/>
      <c r="I416" s="7"/>
      <c r="J416" s="7"/>
      <c r="K416" s="7"/>
      <c r="L416" s="7"/>
      <c r="M416" s="7"/>
      <c r="N416" s="7"/>
      <c r="O416" s="7"/>
      <c r="P416" s="29"/>
      <c r="Q416" s="29"/>
      <c r="R416" s="7"/>
      <c r="S416" s="7"/>
      <c r="T416" s="7" t="str">
        <f ca="1">IFERROR(__xludf.DUMMYFUNCTION("SPARKLINE({
IF(D416="""",0,D416),
IF(F416="""",0,F416),
IF(H416="""",0,H416),
IF(J416="""",0,J416),
IF(L416="""",0,L416),
IF(N416="""",0,N416),
IF(P416="""",0,P416)
})"),"")</f>
        <v/>
      </c>
      <c r="U416" s="7" t="str">
        <f ca="1">IFERROR(__xludf.DUMMYFUNCTION("SPARKLINE({
IF(E416="""",0,E416),
IF(G416="""",0,G416),
IF(I416="""",0,I416),
IF(K416="""",0,K416),
IF(M416="""",0,M416),
IF(O416="""",0,O416),
IF(Q416="""",0,Q416)
})"),"")</f>
        <v/>
      </c>
      <c r="V416" s="8" t="e">
        <f t="array" aca="1" ref="V416" ca="1">IF($C$4="Giao",_xludf.Xlookup(C416,#REF!,#REF!,),_xludf.Xlookup(C416,#REF!,#REF!,))</f>
        <v>#NAME?</v>
      </c>
      <c r="W416" s="8" t="e">
        <f t="array" aca="1" ref="W416" ca="1">IF($C$4="Giao", _xludf.Xlookup(C416,#REF!,#REF!,),)</f>
        <v>#NAME?</v>
      </c>
      <c r="X416" s="9" t="e">
        <f t="shared" ca="1" si="6"/>
        <v>#NAME?</v>
      </c>
      <c r="Y416" s="7"/>
      <c r="Z416" s="7"/>
    </row>
    <row r="417" spans="1:26" ht="13" x14ac:dyDescent="0.6">
      <c r="A417" s="28" t="str">
        <f t="shared" si="5"/>
        <v/>
      </c>
      <c r="B417" s="7"/>
      <c r="C417" s="7"/>
      <c r="D417" s="9"/>
      <c r="E417" s="9"/>
      <c r="F417" s="7"/>
      <c r="G417" s="7"/>
      <c r="H417" s="7"/>
      <c r="I417" s="7"/>
      <c r="J417" s="7"/>
      <c r="K417" s="7"/>
      <c r="L417" s="7"/>
      <c r="M417" s="7"/>
      <c r="N417" s="7"/>
      <c r="O417" s="7"/>
      <c r="P417" s="29"/>
      <c r="Q417" s="29"/>
      <c r="R417" s="7"/>
      <c r="S417" s="7"/>
      <c r="T417" s="7" t="str">
        <f ca="1">IFERROR(__xludf.DUMMYFUNCTION("SPARKLINE({
IF(D417="""",0,D417),
IF(F417="""",0,F417),
IF(H417="""",0,H417),
IF(J417="""",0,J417),
IF(L417="""",0,L417),
IF(N417="""",0,N417),
IF(P417="""",0,P417)
})"),"")</f>
        <v/>
      </c>
      <c r="U417" s="7" t="str">
        <f ca="1">IFERROR(__xludf.DUMMYFUNCTION("SPARKLINE({
IF(E417="""",0,E417),
IF(G417="""",0,G417),
IF(I417="""",0,I417),
IF(K417="""",0,K417),
IF(M417="""",0,M417),
IF(O417="""",0,O417),
IF(Q417="""",0,Q417)
})"),"")</f>
        <v/>
      </c>
      <c r="V417" s="8" t="e">
        <f t="array" aca="1" ref="V417" ca="1">IF($C$4="Giao",_xludf.Xlookup(C417,#REF!,#REF!,),_xludf.Xlookup(C417,#REF!,#REF!,))</f>
        <v>#NAME?</v>
      </c>
      <c r="W417" s="8" t="e">
        <f t="array" aca="1" ref="W417" ca="1">IF($C$4="Giao", _xludf.Xlookup(C417,#REF!,#REF!,),)</f>
        <v>#NAME?</v>
      </c>
      <c r="X417" s="9" t="e">
        <f t="shared" ca="1" si="6"/>
        <v>#NAME?</v>
      </c>
      <c r="Y417" s="7"/>
      <c r="Z417" s="7"/>
    </row>
    <row r="418" spans="1:26" ht="13" x14ac:dyDescent="0.6">
      <c r="A418" s="28" t="str">
        <f t="shared" si="5"/>
        <v/>
      </c>
      <c r="B418" s="7"/>
      <c r="C418" s="7"/>
      <c r="D418" s="9"/>
      <c r="E418" s="9"/>
      <c r="F418" s="7"/>
      <c r="G418" s="7"/>
      <c r="H418" s="7"/>
      <c r="I418" s="7"/>
      <c r="J418" s="7"/>
      <c r="K418" s="7"/>
      <c r="L418" s="7"/>
      <c r="M418" s="7"/>
      <c r="N418" s="7"/>
      <c r="O418" s="7"/>
      <c r="P418" s="29"/>
      <c r="Q418" s="29"/>
      <c r="R418" s="7"/>
      <c r="S418" s="7"/>
      <c r="T418" s="7" t="str">
        <f ca="1">IFERROR(__xludf.DUMMYFUNCTION("SPARKLINE({
IF(D418="""",0,D418),
IF(F418="""",0,F418),
IF(H418="""",0,H418),
IF(J418="""",0,J418),
IF(L418="""",0,L418),
IF(N418="""",0,N418),
IF(P418="""",0,P418)
})"),"")</f>
        <v/>
      </c>
      <c r="U418" s="7" t="str">
        <f ca="1">IFERROR(__xludf.DUMMYFUNCTION("SPARKLINE({
IF(E418="""",0,E418),
IF(G418="""",0,G418),
IF(I418="""",0,I418),
IF(K418="""",0,K418),
IF(M418="""",0,M418),
IF(O418="""",0,O418),
IF(Q418="""",0,Q418)
})"),"")</f>
        <v/>
      </c>
      <c r="V418" s="8" t="e">
        <f t="array" aca="1" ref="V418" ca="1">IF($C$4="Giao",_xludf.Xlookup(C418,#REF!,#REF!,),_xludf.Xlookup(C418,#REF!,#REF!,))</f>
        <v>#NAME?</v>
      </c>
      <c r="W418" s="8" t="e">
        <f t="array" aca="1" ref="W418" ca="1">IF($C$4="Giao", _xludf.Xlookup(C418,#REF!,#REF!,),)</f>
        <v>#NAME?</v>
      </c>
      <c r="X418" s="9" t="e">
        <f t="shared" ca="1" si="6"/>
        <v>#NAME?</v>
      </c>
      <c r="Y418" s="7"/>
      <c r="Z418" s="7"/>
    </row>
    <row r="419" spans="1:26" ht="13" x14ac:dyDescent="0.6">
      <c r="A419" s="28" t="str">
        <f t="shared" si="5"/>
        <v/>
      </c>
      <c r="B419" s="7"/>
      <c r="C419" s="7"/>
      <c r="D419" s="9"/>
      <c r="E419" s="9"/>
      <c r="F419" s="7"/>
      <c r="G419" s="7"/>
      <c r="H419" s="7"/>
      <c r="I419" s="7"/>
      <c r="J419" s="7"/>
      <c r="K419" s="7"/>
      <c r="L419" s="7"/>
      <c r="M419" s="7"/>
      <c r="N419" s="7"/>
      <c r="O419" s="7"/>
      <c r="P419" s="29"/>
      <c r="Q419" s="29"/>
      <c r="R419" s="7"/>
      <c r="S419" s="7"/>
      <c r="T419" s="7" t="str">
        <f ca="1">IFERROR(__xludf.DUMMYFUNCTION("SPARKLINE({
IF(D419="""",0,D419),
IF(F419="""",0,F419),
IF(H419="""",0,H419),
IF(J419="""",0,J419),
IF(L419="""",0,L419),
IF(N419="""",0,N419),
IF(P419="""",0,P419)
})"),"")</f>
        <v/>
      </c>
      <c r="U419" s="7" t="str">
        <f ca="1">IFERROR(__xludf.DUMMYFUNCTION("SPARKLINE({
IF(E419="""",0,E419),
IF(G419="""",0,G419),
IF(I419="""",0,I419),
IF(K419="""",0,K419),
IF(M419="""",0,M419),
IF(O419="""",0,O419),
IF(Q419="""",0,Q419)
})"),"")</f>
        <v/>
      </c>
      <c r="V419" s="8" t="e">
        <f t="array" aca="1" ref="V419" ca="1">IF($C$4="Giao",_xludf.Xlookup(C419,#REF!,#REF!,),_xludf.Xlookup(C419,#REF!,#REF!,))</f>
        <v>#NAME?</v>
      </c>
      <c r="W419" s="8" t="e">
        <f t="array" aca="1" ref="W419" ca="1">IF($C$4="Giao", _xludf.Xlookup(C419,#REF!,#REF!,),)</f>
        <v>#NAME?</v>
      </c>
      <c r="X419" s="9" t="e">
        <f t="shared" ca="1" si="6"/>
        <v>#NAME?</v>
      </c>
      <c r="Y419" s="7"/>
      <c r="Z419" s="7"/>
    </row>
    <row r="420" spans="1:26" ht="13" x14ac:dyDescent="0.6">
      <c r="A420" s="28" t="str">
        <f t="shared" si="5"/>
        <v/>
      </c>
      <c r="B420" s="7"/>
      <c r="C420" s="7"/>
      <c r="D420" s="9"/>
      <c r="E420" s="9"/>
      <c r="F420" s="7"/>
      <c r="G420" s="7"/>
      <c r="H420" s="7"/>
      <c r="I420" s="7"/>
      <c r="J420" s="7"/>
      <c r="K420" s="7"/>
      <c r="L420" s="7"/>
      <c r="M420" s="7"/>
      <c r="N420" s="7"/>
      <c r="O420" s="7"/>
      <c r="P420" s="29"/>
      <c r="Q420" s="29"/>
      <c r="R420" s="7"/>
      <c r="S420" s="7"/>
      <c r="T420" s="7" t="str">
        <f ca="1">IFERROR(__xludf.DUMMYFUNCTION("SPARKLINE({
IF(D420="""",0,D420),
IF(F420="""",0,F420),
IF(H420="""",0,H420),
IF(J420="""",0,J420),
IF(L420="""",0,L420),
IF(N420="""",0,N420),
IF(P420="""",0,P420)
})"),"")</f>
        <v/>
      </c>
      <c r="U420" s="7" t="str">
        <f ca="1">IFERROR(__xludf.DUMMYFUNCTION("SPARKLINE({
IF(E420="""",0,E420),
IF(G420="""",0,G420),
IF(I420="""",0,I420),
IF(K420="""",0,K420),
IF(M420="""",0,M420),
IF(O420="""",0,O420),
IF(Q420="""",0,Q420)
})"),"")</f>
        <v/>
      </c>
      <c r="V420" s="8" t="e">
        <f t="array" aca="1" ref="V420" ca="1">IF($C$4="Giao",_xludf.Xlookup(C420,#REF!,#REF!,),_xludf.Xlookup(C420,#REF!,#REF!,))</f>
        <v>#NAME?</v>
      </c>
      <c r="W420" s="8" t="e">
        <f t="array" aca="1" ref="W420" ca="1">IF($C$4="Giao", _xludf.Xlookup(C420,#REF!,#REF!,),)</f>
        <v>#NAME?</v>
      </c>
      <c r="X420" s="9" t="e">
        <f t="shared" ca="1" si="6"/>
        <v>#NAME?</v>
      </c>
      <c r="Y420" s="7"/>
      <c r="Z420" s="7"/>
    </row>
    <row r="421" spans="1:26" ht="13" x14ac:dyDescent="0.6">
      <c r="A421" s="28" t="str">
        <f t="shared" si="5"/>
        <v/>
      </c>
      <c r="B421" s="7"/>
      <c r="C421" s="7"/>
      <c r="D421" s="9"/>
      <c r="E421" s="9"/>
      <c r="F421" s="7"/>
      <c r="G421" s="7"/>
      <c r="H421" s="7"/>
      <c r="I421" s="7"/>
      <c r="J421" s="7"/>
      <c r="K421" s="7"/>
      <c r="L421" s="7"/>
      <c r="M421" s="7"/>
      <c r="N421" s="7"/>
      <c r="O421" s="7"/>
      <c r="P421" s="29"/>
      <c r="Q421" s="29"/>
      <c r="R421" s="7"/>
      <c r="S421" s="7"/>
      <c r="T421" s="7" t="str">
        <f ca="1">IFERROR(__xludf.DUMMYFUNCTION("SPARKLINE({
IF(D421="""",0,D421),
IF(F421="""",0,F421),
IF(H421="""",0,H421),
IF(J421="""",0,J421),
IF(L421="""",0,L421),
IF(N421="""",0,N421),
IF(P421="""",0,P421)
})"),"")</f>
        <v/>
      </c>
      <c r="U421" s="7" t="str">
        <f ca="1">IFERROR(__xludf.DUMMYFUNCTION("SPARKLINE({
IF(E421="""",0,E421),
IF(G421="""",0,G421),
IF(I421="""",0,I421),
IF(K421="""",0,K421),
IF(M421="""",0,M421),
IF(O421="""",0,O421),
IF(Q421="""",0,Q421)
})"),"")</f>
        <v/>
      </c>
      <c r="V421" s="8" t="e">
        <f t="array" aca="1" ref="V421" ca="1">IF($C$4="Giao",_xludf.Xlookup(C421,#REF!,#REF!,),_xludf.Xlookup(C421,#REF!,#REF!,))</f>
        <v>#NAME?</v>
      </c>
      <c r="W421" s="8" t="e">
        <f t="array" aca="1" ref="W421" ca="1">IF($C$4="Giao", _xludf.Xlookup(C421,#REF!,#REF!,),)</f>
        <v>#NAME?</v>
      </c>
      <c r="X421" s="9" t="e">
        <f t="shared" ca="1" si="6"/>
        <v>#NAME?</v>
      </c>
      <c r="Y421" s="7"/>
      <c r="Z421" s="7"/>
    </row>
    <row r="422" spans="1:26" ht="13" x14ac:dyDescent="0.6">
      <c r="A422" s="28" t="str">
        <f t="shared" si="5"/>
        <v/>
      </c>
      <c r="B422" s="7"/>
      <c r="C422" s="7"/>
      <c r="D422" s="9"/>
      <c r="E422" s="9"/>
      <c r="F422" s="7"/>
      <c r="G422" s="7"/>
      <c r="H422" s="7"/>
      <c r="I422" s="7"/>
      <c r="J422" s="7"/>
      <c r="K422" s="7"/>
      <c r="L422" s="7"/>
      <c r="M422" s="7"/>
      <c r="N422" s="7"/>
      <c r="O422" s="7"/>
      <c r="P422" s="29"/>
      <c r="Q422" s="29"/>
      <c r="R422" s="7"/>
      <c r="S422" s="7"/>
      <c r="T422" s="7" t="str">
        <f ca="1">IFERROR(__xludf.DUMMYFUNCTION("SPARKLINE({
IF(D422="""",0,D422),
IF(F422="""",0,F422),
IF(H422="""",0,H422),
IF(J422="""",0,J422),
IF(L422="""",0,L422),
IF(N422="""",0,N422),
IF(P422="""",0,P422)
})"),"")</f>
        <v/>
      </c>
      <c r="U422" s="7" t="str">
        <f ca="1">IFERROR(__xludf.DUMMYFUNCTION("SPARKLINE({
IF(E422="""",0,E422),
IF(G422="""",0,G422),
IF(I422="""",0,I422),
IF(K422="""",0,K422),
IF(M422="""",0,M422),
IF(O422="""",0,O422),
IF(Q422="""",0,Q422)
})"),"")</f>
        <v/>
      </c>
      <c r="V422" s="8" t="e">
        <f t="array" aca="1" ref="V422" ca="1">IF($C$4="Giao",_xludf.Xlookup(C422,#REF!,#REF!,),_xludf.Xlookup(C422,#REF!,#REF!,))</f>
        <v>#NAME?</v>
      </c>
      <c r="W422" s="8" t="e">
        <f t="array" aca="1" ref="W422" ca="1">IF($C$4="Giao", _xludf.Xlookup(C422,#REF!,#REF!,),)</f>
        <v>#NAME?</v>
      </c>
      <c r="X422" s="9" t="e">
        <f t="shared" ca="1" si="6"/>
        <v>#NAME?</v>
      </c>
      <c r="Y422" s="7"/>
      <c r="Z422" s="7"/>
    </row>
    <row r="423" spans="1:26" ht="13" x14ac:dyDescent="0.6">
      <c r="A423" s="28" t="str">
        <f t="shared" si="5"/>
        <v/>
      </c>
      <c r="B423" s="7"/>
      <c r="C423" s="7"/>
      <c r="D423" s="9"/>
      <c r="E423" s="9"/>
      <c r="F423" s="7"/>
      <c r="G423" s="7"/>
      <c r="H423" s="7"/>
      <c r="I423" s="7"/>
      <c r="J423" s="7"/>
      <c r="K423" s="7"/>
      <c r="L423" s="7"/>
      <c r="M423" s="7"/>
      <c r="N423" s="7"/>
      <c r="O423" s="7"/>
      <c r="P423" s="29"/>
      <c r="Q423" s="29"/>
      <c r="R423" s="7"/>
      <c r="S423" s="7"/>
      <c r="T423" s="7" t="str">
        <f ca="1">IFERROR(__xludf.DUMMYFUNCTION("SPARKLINE({
IF(D423="""",0,D423),
IF(F423="""",0,F423),
IF(H423="""",0,H423),
IF(J423="""",0,J423),
IF(L423="""",0,L423),
IF(N423="""",0,N423),
IF(P423="""",0,P423)
})"),"")</f>
        <v/>
      </c>
      <c r="U423" s="7" t="str">
        <f ca="1">IFERROR(__xludf.DUMMYFUNCTION("SPARKLINE({
IF(E423="""",0,E423),
IF(G423="""",0,G423),
IF(I423="""",0,I423),
IF(K423="""",0,K423),
IF(M423="""",0,M423),
IF(O423="""",0,O423),
IF(Q423="""",0,Q423)
})"),"")</f>
        <v/>
      </c>
      <c r="V423" s="8" t="e">
        <f t="array" aca="1" ref="V423" ca="1">IF($C$4="Giao",_xludf.Xlookup(C423,#REF!,#REF!,),_xludf.Xlookup(C423,#REF!,#REF!,))</f>
        <v>#NAME?</v>
      </c>
      <c r="W423" s="8" t="e">
        <f t="array" aca="1" ref="W423" ca="1">IF($C$4="Giao", _xludf.Xlookup(C423,#REF!,#REF!,),)</f>
        <v>#NAME?</v>
      </c>
      <c r="X423" s="9" t="e">
        <f t="shared" ca="1" si="6"/>
        <v>#NAME?</v>
      </c>
      <c r="Y423" s="7"/>
      <c r="Z423" s="7"/>
    </row>
    <row r="424" spans="1:26" ht="13" x14ac:dyDescent="0.6">
      <c r="A424" s="28" t="str">
        <f t="shared" si="5"/>
        <v/>
      </c>
      <c r="B424" s="7"/>
      <c r="C424" s="7"/>
      <c r="D424" s="9"/>
      <c r="E424" s="9"/>
      <c r="F424" s="7"/>
      <c r="G424" s="7"/>
      <c r="H424" s="7"/>
      <c r="I424" s="7"/>
      <c r="J424" s="7"/>
      <c r="K424" s="7"/>
      <c r="L424" s="7"/>
      <c r="M424" s="7"/>
      <c r="N424" s="7"/>
      <c r="O424" s="7"/>
      <c r="P424" s="29"/>
      <c r="Q424" s="29"/>
      <c r="R424" s="7"/>
      <c r="S424" s="7"/>
      <c r="T424" s="7" t="str">
        <f ca="1">IFERROR(__xludf.DUMMYFUNCTION("SPARKLINE({
IF(D424="""",0,D424),
IF(F424="""",0,F424),
IF(H424="""",0,H424),
IF(J424="""",0,J424),
IF(L424="""",0,L424),
IF(N424="""",0,N424),
IF(P424="""",0,P424)
})"),"")</f>
        <v/>
      </c>
      <c r="U424" s="7" t="str">
        <f ca="1">IFERROR(__xludf.DUMMYFUNCTION("SPARKLINE({
IF(E424="""",0,E424),
IF(G424="""",0,G424),
IF(I424="""",0,I424),
IF(K424="""",0,K424),
IF(M424="""",0,M424),
IF(O424="""",0,O424),
IF(Q424="""",0,Q424)
})"),"")</f>
        <v/>
      </c>
      <c r="V424" s="8" t="e">
        <f t="array" aca="1" ref="V424" ca="1">IF($C$4="Giao",_xludf.Xlookup(C424,#REF!,#REF!,),_xludf.Xlookup(C424,#REF!,#REF!,))</f>
        <v>#NAME?</v>
      </c>
      <c r="W424" s="8" t="e">
        <f t="array" aca="1" ref="W424" ca="1">IF($C$4="Giao", _xludf.Xlookup(C424,#REF!,#REF!,),)</f>
        <v>#NAME?</v>
      </c>
      <c r="X424" s="9" t="e">
        <f t="shared" ca="1" si="6"/>
        <v>#NAME?</v>
      </c>
      <c r="Y424" s="7"/>
      <c r="Z424" s="7"/>
    </row>
    <row r="425" spans="1:26" ht="13" x14ac:dyDescent="0.6">
      <c r="A425" s="28" t="str">
        <f t="shared" si="5"/>
        <v/>
      </c>
      <c r="B425" s="7"/>
      <c r="C425" s="7"/>
      <c r="D425" s="9"/>
      <c r="E425" s="9"/>
      <c r="F425" s="7"/>
      <c r="G425" s="7"/>
      <c r="H425" s="7"/>
      <c r="I425" s="7"/>
      <c r="J425" s="7"/>
      <c r="K425" s="7"/>
      <c r="L425" s="7"/>
      <c r="M425" s="7"/>
      <c r="N425" s="7"/>
      <c r="O425" s="7"/>
      <c r="P425" s="29"/>
      <c r="Q425" s="29"/>
      <c r="R425" s="7"/>
      <c r="S425" s="7"/>
      <c r="T425" s="7" t="str">
        <f ca="1">IFERROR(__xludf.DUMMYFUNCTION("SPARKLINE({
IF(D425="""",0,D425),
IF(F425="""",0,F425),
IF(H425="""",0,H425),
IF(J425="""",0,J425),
IF(L425="""",0,L425),
IF(N425="""",0,N425),
IF(P425="""",0,P425)
})"),"")</f>
        <v/>
      </c>
      <c r="U425" s="7" t="str">
        <f ca="1">IFERROR(__xludf.DUMMYFUNCTION("SPARKLINE({
IF(E425="""",0,E425),
IF(G425="""",0,G425),
IF(I425="""",0,I425),
IF(K425="""",0,K425),
IF(M425="""",0,M425),
IF(O425="""",0,O425),
IF(Q425="""",0,Q425)
})"),"")</f>
        <v/>
      </c>
      <c r="V425" s="8" t="e">
        <f t="array" aca="1" ref="V425" ca="1">IF($C$4="Giao",_xludf.Xlookup(C425,#REF!,#REF!,),_xludf.Xlookup(C425,#REF!,#REF!,))</f>
        <v>#NAME?</v>
      </c>
      <c r="W425" s="8" t="e">
        <f t="array" aca="1" ref="W425" ca="1">IF($C$4="Giao", _xludf.Xlookup(C425,#REF!,#REF!,),)</f>
        <v>#NAME?</v>
      </c>
      <c r="X425" s="9" t="e">
        <f t="shared" ca="1" si="6"/>
        <v>#NAME?</v>
      </c>
      <c r="Y425" s="7"/>
      <c r="Z425" s="7"/>
    </row>
    <row r="426" spans="1:26" ht="13" x14ac:dyDescent="0.6">
      <c r="A426" s="28" t="str">
        <f t="shared" si="5"/>
        <v/>
      </c>
      <c r="B426" s="7"/>
      <c r="C426" s="7"/>
      <c r="D426" s="9"/>
      <c r="E426" s="9"/>
      <c r="F426" s="7"/>
      <c r="G426" s="7"/>
      <c r="H426" s="7"/>
      <c r="I426" s="7"/>
      <c r="J426" s="7"/>
      <c r="K426" s="7"/>
      <c r="L426" s="7"/>
      <c r="M426" s="7"/>
      <c r="N426" s="7"/>
      <c r="O426" s="7"/>
      <c r="P426" s="29"/>
      <c r="Q426" s="29"/>
      <c r="R426" s="7"/>
      <c r="S426" s="7"/>
      <c r="T426" s="7" t="str">
        <f ca="1">IFERROR(__xludf.DUMMYFUNCTION("SPARKLINE({
IF(D426="""",0,D426),
IF(F426="""",0,F426),
IF(H426="""",0,H426),
IF(J426="""",0,J426),
IF(L426="""",0,L426),
IF(N426="""",0,N426),
IF(P426="""",0,P426)
})"),"")</f>
        <v/>
      </c>
      <c r="U426" s="7" t="str">
        <f ca="1">IFERROR(__xludf.DUMMYFUNCTION("SPARKLINE({
IF(E426="""",0,E426),
IF(G426="""",0,G426),
IF(I426="""",0,I426),
IF(K426="""",0,K426),
IF(M426="""",0,M426),
IF(O426="""",0,O426),
IF(Q426="""",0,Q426)
})"),"")</f>
        <v/>
      </c>
      <c r="V426" s="8" t="e">
        <f t="array" aca="1" ref="V426" ca="1">IF($C$4="Giao",_xludf.Xlookup(C426,#REF!,#REF!,),_xludf.Xlookup(C426,#REF!,#REF!,))</f>
        <v>#NAME?</v>
      </c>
      <c r="W426" s="8" t="e">
        <f t="array" aca="1" ref="W426" ca="1">IF($C$4="Giao", _xludf.Xlookup(C426,#REF!,#REF!,),)</f>
        <v>#NAME?</v>
      </c>
      <c r="X426" s="9" t="e">
        <f t="shared" ca="1" si="6"/>
        <v>#NAME?</v>
      </c>
      <c r="Y426" s="7"/>
      <c r="Z426" s="7"/>
    </row>
    <row r="427" spans="1:26" ht="13" x14ac:dyDescent="0.6">
      <c r="A427" s="28" t="str">
        <f t="shared" si="5"/>
        <v/>
      </c>
      <c r="B427" s="7"/>
      <c r="C427" s="7"/>
      <c r="D427" s="9"/>
      <c r="E427" s="9"/>
      <c r="F427" s="7"/>
      <c r="G427" s="7"/>
      <c r="H427" s="7"/>
      <c r="I427" s="7"/>
      <c r="J427" s="7"/>
      <c r="K427" s="7"/>
      <c r="L427" s="7"/>
      <c r="M427" s="7"/>
      <c r="N427" s="7"/>
      <c r="O427" s="7"/>
      <c r="P427" s="29"/>
      <c r="Q427" s="29"/>
      <c r="R427" s="7"/>
      <c r="S427" s="7"/>
      <c r="T427" s="7" t="str">
        <f ca="1">IFERROR(__xludf.DUMMYFUNCTION("SPARKLINE({
IF(D427="""",0,D427),
IF(F427="""",0,F427),
IF(H427="""",0,H427),
IF(J427="""",0,J427),
IF(L427="""",0,L427),
IF(N427="""",0,N427),
IF(P427="""",0,P427)
})"),"")</f>
        <v/>
      </c>
      <c r="U427" s="7" t="str">
        <f ca="1">IFERROR(__xludf.DUMMYFUNCTION("SPARKLINE({
IF(E427="""",0,E427),
IF(G427="""",0,G427),
IF(I427="""",0,I427),
IF(K427="""",0,K427),
IF(M427="""",0,M427),
IF(O427="""",0,O427),
IF(Q427="""",0,Q427)
})"),"")</f>
        <v/>
      </c>
      <c r="V427" s="8" t="e">
        <f t="array" aca="1" ref="V427" ca="1">IF($C$4="Giao",_xludf.Xlookup(C427,#REF!,#REF!,),_xludf.Xlookup(C427,#REF!,#REF!,))</f>
        <v>#NAME?</v>
      </c>
      <c r="W427" s="8" t="e">
        <f t="array" aca="1" ref="W427" ca="1">IF($C$4="Giao", _xludf.Xlookup(C427,#REF!,#REF!,),)</f>
        <v>#NAME?</v>
      </c>
      <c r="X427" s="9" t="e">
        <f t="shared" ca="1" si="6"/>
        <v>#NAME?</v>
      </c>
      <c r="Y427" s="7"/>
      <c r="Z427" s="7"/>
    </row>
    <row r="428" spans="1:26" ht="13" x14ac:dyDescent="0.6">
      <c r="A428" s="28" t="str">
        <f t="shared" si="5"/>
        <v/>
      </c>
      <c r="B428" s="7"/>
      <c r="C428" s="7"/>
      <c r="D428" s="9"/>
      <c r="E428" s="9"/>
      <c r="F428" s="7"/>
      <c r="G428" s="7"/>
      <c r="H428" s="7"/>
      <c r="I428" s="7"/>
      <c r="J428" s="7"/>
      <c r="K428" s="7"/>
      <c r="L428" s="7"/>
      <c r="M428" s="7"/>
      <c r="N428" s="7"/>
      <c r="O428" s="7"/>
      <c r="P428" s="29"/>
      <c r="Q428" s="29"/>
      <c r="R428" s="7"/>
      <c r="S428" s="7"/>
      <c r="T428" s="7" t="str">
        <f ca="1">IFERROR(__xludf.DUMMYFUNCTION("SPARKLINE({
IF(D428="""",0,D428),
IF(F428="""",0,F428),
IF(H428="""",0,H428),
IF(J428="""",0,J428),
IF(L428="""",0,L428),
IF(N428="""",0,N428),
IF(P428="""",0,P428)
})"),"")</f>
        <v/>
      </c>
      <c r="U428" s="7" t="str">
        <f ca="1">IFERROR(__xludf.DUMMYFUNCTION("SPARKLINE({
IF(E428="""",0,E428),
IF(G428="""",0,G428),
IF(I428="""",0,I428),
IF(K428="""",0,K428),
IF(M428="""",0,M428),
IF(O428="""",0,O428),
IF(Q428="""",0,Q428)
})"),"")</f>
        <v/>
      </c>
      <c r="V428" s="8" t="e">
        <f t="array" aca="1" ref="V428" ca="1">IF($C$4="Giao",_xludf.Xlookup(C428,#REF!,#REF!,),_xludf.Xlookup(C428,#REF!,#REF!,))</f>
        <v>#NAME?</v>
      </c>
      <c r="W428" s="8" t="e">
        <f t="array" aca="1" ref="W428" ca="1">IF($C$4="Giao", _xludf.Xlookup(C428,#REF!,#REF!,),)</f>
        <v>#NAME?</v>
      </c>
      <c r="X428" s="9" t="e">
        <f t="shared" ca="1" si="6"/>
        <v>#NAME?</v>
      </c>
      <c r="Y428" s="7"/>
      <c r="Z428" s="7"/>
    </row>
    <row r="429" spans="1:26" ht="13" x14ac:dyDescent="0.6">
      <c r="A429" s="28" t="str">
        <f t="shared" si="5"/>
        <v/>
      </c>
      <c r="B429" s="7"/>
      <c r="C429" s="7"/>
      <c r="D429" s="9"/>
      <c r="E429" s="9"/>
      <c r="F429" s="7"/>
      <c r="G429" s="7"/>
      <c r="H429" s="7"/>
      <c r="I429" s="7"/>
      <c r="J429" s="7"/>
      <c r="K429" s="7"/>
      <c r="L429" s="7"/>
      <c r="M429" s="7"/>
      <c r="N429" s="7"/>
      <c r="O429" s="7"/>
      <c r="P429" s="29"/>
      <c r="Q429" s="29"/>
      <c r="R429" s="7"/>
      <c r="S429" s="7"/>
      <c r="T429" s="7" t="str">
        <f ca="1">IFERROR(__xludf.DUMMYFUNCTION("SPARKLINE({
IF(D429="""",0,D429),
IF(F429="""",0,F429),
IF(H429="""",0,H429),
IF(J429="""",0,J429),
IF(L429="""",0,L429),
IF(N429="""",0,N429),
IF(P429="""",0,P429)
})"),"")</f>
        <v/>
      </c>
      <c r="U429" s="7" t="str">
        <f ca="1">IFERROR(__xludf.DUMMYFUNCTION("SPARKLINE({
IF(E429="""",0,E429),
IF(G429="""",0,G429),
IF(I429="""",0,I429),
IF(K429="""",0,K429),
IF(M429="""",0,M429),
IF(O429="""",0,O429),
IF(Q429="""",0,Q429)
})"),"")</f>
        <v/>
      </c>
      <c r="V429" s="8" t="e">
        <f t="array" aca="1" ref="V429" ca="1">IF($C$4="Giao",_xludf.Xlookup(C429,#REF!,#REF!,),_xludf.Xlookup(C429,#REF!,#REF!,))</f>
        <v>#NAME?</v>
      </c>
      <c r="W429" s="8" t="e">
        <f t="array" aca="1" ref="W429" ca="1">IF($C$4="Giao", _xludf.Xlookup(C429,#REF!,#REF!,),)</f>
        <v>#NAME?</v>
      </c>
      <c r="X429" s="9" t="e">
        <f t="shared" ca="1" si="6"/>
        <v>#NAME?</v>
      </c>
      <c r="Y429" s="7"/>
      <c r="Z429" s="7"/>
    </row>
    <row r="430" spans="1:26" ht="13" x14ac:dyDescent="0.6">
      <c r="A430" s="28" t="str">
        <f t="shared" si="5"/>
        <v/>
      </c>
      <c r="B430" s="7"/>
      <c r="C430" s="7"/>
      <c r="D430" s="9"/>
      <c r="E430" s="9"/>
      <c r="F430" s="7"/>
      <c r="G430" s="7"/>
      <c r="H430" s="7"/>
      <c r="I430" s="7"/>
      <c r="J430" s="7"/>
      <c r="K430" s="7"/>
      <c r="L430" s="7"/>
      <c r="M430" s="7"/>
      <c r="N430" s="7"/>
      <c r="O430" s="7"/>
      <c r="P430" s="29"/>
      <c r="Q430" s="29"/>
      <c r="R430" s="7"/>
      <c r="S430" s="7"/>
      <c r="T430" s="7" t="str">
        <f ca="1">IFERROR(__xludf.DUMMYFUNCTION("SPARKLINE({
IF(D430="""",0,D430),
IF(F430="""",0,F430),
IF(H430="""",0,H430),
IF(J430="""",0,J430),
IF(L430="""",0,L430),
IF(N430="""",0,N430),
IF(P430="""",0,P430)
})"),"")</f>
        <v/>
      </c>
      <c r="U430" s="7" t="str">
        <f ca="1">IFERROR(__xludf.DUMMYFUNCTION("SPARKLINE({
IF(E430="""",0,E430),
IF(G430="""",0,G430),
IF(I430="""",0,I430),
IF(K430="""",0,K430),
IF(M430="""",0,M430),
IF(O430="""",0,O430),
IF(Q430="""",0,Q430)
})"),"")</f>
        <v/>
      </c>
      <c r="V430" s="8" t="e">
        <f t="array" aca="1" ref="V430" ca="1">IF($C$4="Giao",_xludf.Xlookup(C430,#REF!,#REF!,),_xludf.Xlookup(C430,#REF!,#REF!,))</f>
        <v>#NAME?</v>
      </c>
      <c r="W430" s="8" t="e">
        <f t="array" aca="1" ref="W430" ca="1">IF($C$4="Giao", _xludf.Xlookup(C430,#REF!,#REF!,),)</f>
        <v>#NAME?</v>
      </c>
      <c r="X430" s="9" t="e">
        <f t="shared" ca="1" si="6"/>
        <v>#NAME?</v>
      </c>
      <c r="Y430" s="7"/>
      <c r="Z430" s="7"/>
    </row>
    <row r="431" spans="1:26" ht="13" x14ac:dyDescent="0.6">
      <c r="A431" s="28" t="str">
        <f t="shared" si="5"/>
        <v/>
      </c>
      <c r="B431" s="7"/>
      <c r="C431" s="7"/>
      <c r="D431" s="9"/>
      <c r="E431" s="9"/>
      <c r="F431" s="7"/>
      <c r="G431" s="7"/>
      <c r="H431" s="7"/>
      <c r="I431" s="7"/>
      <c r="J431" s="7"/>
      <c r="K431" s="7"/>
      <c r="L431" s="7"/>
      <c r="M431" s="7"/>
      <c r="N431" s="7"/>
      <c r="O431" s="7"/>
      <c r="P431" s="29"/>
      <c r="Q431" s="29"/>
      <c r="R431" s="7"/>
      <c r="S431" s="7"/>
      <c r="T431" s="7" t="str">
        <f ca="1">IFERROR(__xludf.DUMMYFUNCTION("SPARKLINE({
IF(D431="""",0,D431),
IF(F431="""",0,F431),
IF(H431="""",0,H431),
IF(J431="""",0,J431),
IF(L431="""",0,L431),
IF(N431="""",0,N431),
IF(P431="""",0,P431)
})"),"")</f>
        <v/>
      </c>
      <c r="U431" s="7" t="str">
        <f ca="1">IFERROR(__xludf.DUMMYFUNCTION("SPARKLINE({
IF(E431="""",0,E431),
IF(G431="""",0,G431),
IF(I431="""",0,I431),
IF(K431="""",0,K431),
IF(M431="""",0,M431),
IF(O431="""",0,O431),
IF(Q431="""",0,Q431)
})"),"")</f>
        <v/>
      </c>
      <c r="V431" s="8" t="e">
        <f t="array" aca="1" ref="V431" ca="1">IF($C$4="Giao",_xludf.Xlookup(C431,#REF!,#REF!,),_xludf.Xlookup(C431,#REF!,#REF!,))</f>
        <v>#NAME?</v>
      </c>
      <c r="W431" s="8" t="e">
        <f t="array" aca="1" ref="W431" ca="1">IF($C$4="Giao", _xludf.Xlookup(C431,#REF!,#REF!,),)</f>
        <v>#NAME?</v>
      </c>
      <c r="X431" s="9" t="e">
        <f t="shared" ca="1" si="6"/>
        <v>#NAME?</v>
      </c>
      <c r="Y431" s="7"/>
      <c r="Z431" s="7"/>
    </row>
    <row r="432" spans="1:26" ht="13" x14ac:dyDescent="0.6">
      <c r="A432" s="28" t="str">
        <f t="shared" si="5"/>
        <v/>
      </c>
      <c r="B432" s="7"/>
      <c r="C432" s="7"/>
      <c r="D432" s="9"/>
      <c r="E432" s="9"/>
      <c r="F432" s="7"/>
      <c r="G432" s="7"/>
      <c r="H432" s="7"/>
      <c r="I432" s="7"/>
      <c r="J432" s="7"/>
      <c r="K432" s="7"/>
      <c r="L432" s="7"/>
      <c r="M432" s="7"/>
      <c r="N432" s="7"/>
      <c r="O432" s="7"/>
      <c r="P432" s="29"/>
      <c r="Q432" s="29"/>
      <c r="R432" s="7"/>
      <c r="S432" s="7"/>
      <c r="T432" s="7" t="str">
        <f ca="1">IFERROR(__xludf.DUMMYFUNCTION("SPARKLINE({
IF(D432="""",0,D432),
IF(F432="""",0,F432),
IF(H432="""",0,H432),
IF(J432="""",0,J432),
IF(L432="""",0,L432),
IF(N432="""",0,N432),
IF(P432="""",0,P432)
})"),"")</f>
        <v/>
      </c>
      <c r="U432" s="7" t="str">
        <f ca="1">IFERROR(__xludf.DUMMYFUNCTION("SPARKLINE({
IF(E432="""",0,E432),
IF(G432="""",0,G432),
IF(I432="""",0,I432),
IF(K432="""",0,K432),
IF(M432="""",0,M432),
IF(O432="""",0,O432),
IF(Q432="""",0,Q432)
})"),"")</f>
        <v/>
      </c>
      <c r="V432" s="8" t="e">
        <f t="array" aca="1" ref="V432" ca="1">IF($C$4="Giao",_xludf.Xlookup(C432,#REF!,#REF!,),_xludf.Xlookup(C432,#REF!,#REF!,))</f>
        <v>#NAME?</v>
      </c>
      <c r="W432" s="8" t="e">
        <f t="array" aca="1" ref="W432" ca="1">IF($C$4="Giao", _xludf.Xlookup(C432,#REF!,#REF!,),)</f>
        <v>#NAME?</v>
      </c>
      <c r="X432" s="9" t="e">
        <f t="shared" ca="1" si="6"/>
        <v>#NAME?</v>
      </c>
      <c r="Y432" s="7"/>
      <c r="Z432" s="7"/>
    </row>
    <row r="433" spans="1:26" ht="13" x14ac:dyDescent="0.6">
      <c r="A433" s="28" t="str">
        <f t="shared" si="5"/>
        <v/>
      </c>
      <c r="B433" s="7"/>
      <c r="C433" s="7"/>
      <c r="D433" s="9"/>
      <c r="E433" s="9"/>
      <c r="F433" s="7"/>
      <c r="G433" s="7"/>
      <c r="H433" s="7"/>
      <c r="I433" s="7"/>
      <c r="J433" s="7"/>
      <c r="K433" s="7"/>
      <c r="L433" s="7"/>
      <c r="M433" s="7"/>
      <c r="N433" s="7"/>
      <c r="O433" s="7"/>
      <c r="P433" s="29"/>
      <c r="Q433" s="29"/>
      <c r="R433" s="7"/>
      <c r="S433" s="7"/>
      <c r="T433" s="7" t="str">
        <f ca="1">IFERROR(__xludf.DUMMYFUNCTION("SPARKLINE({
IF(D433="""",0,D433),
IF(F433="""",0,F433),
IF(H433="""",0,H433),
IF(J433="""",0,J433),
IF(L433="""",0,L433),
IF(N433="""",0,N433),
IF(P433="""",0,P433)
})"),"")</f>
        <v/>
      </c>
      <c r="U433" s="7" t="str">
        <f ca="1">IFERROR(__xludf.DUMMYFUNCTION("SPARKLINE({
IF(E433="""",0,E433),
IF(G433="""",0,G433),
IF(I433="""",0,I433),
IF(K433="""",0,K433),
IF(M433="""",0,M433),
IF(O433="""",0,O433),
IF(Q433="""",0,Q433)
})"),"")</f>
        <v/>
      </c>
      <c r="V433" s="8" t="e">
        <f t="array" aca="1" ref="V433" ca="1">IF($C$4="Giao",_xludf.Xlookup(C433,#REF!,#REF!,),_xludf.Xlookup(C433,#REF!,#REF!,))</f>
        <v>#NAME?</v>
      </c>
      <c r="W433" s="8" t="e">
        <f t="array" aca="1" ref="W433" ca="1">IF($C$4="Giao", _xludf.Xlookup(C433,#REF!,#REF!,),)</f>
        <v>#NAME?</v>
      </c>
      <c r="X433" s="9" t="e">
        <f t="shared" ca="1" si="6"/>
        <v>#NAME?</v>
      </c>
      <c r="Y433" s="7"/>
      <c r="Z433" s="7"/>
    </row>
    <row r="434" spans="1:26" ht="13" x14ac:dyDescent="0.6">
      <c r="A434" s="28" t="str">
        <f t="shared" si="5"/>
        <v/>
      </c>
      <c r="B434" s="7"/>
      <c r="C434" s="7"/>
      <c r="D434" s="9"/>
      <c r="E434" s="9"/>
      <c r="F434" s="7"/>
      <c r="G434" s="7"/>
      <c r="H434" s="7"/>
      <c r="I434" s="7"/>
      <c r="J434" s="7"/>
      <c r="K434" s="7"/>
      <c r="L434" s="7"/>
      <c r="M434" s="7"/>
      <c r="N434" s="7"/>
      <c r="O434" s="7"/>
      <c r="P434" s="29"/>
      <c r="Q434" s="29"/>
      <c r="R434" s="7"/>
      <c r="S434" s="7"/>
      <c r="T434" s="7" t="str">
        <f ca="1">IFERROR(__xludf.DUMMYFUNCTION("SPARKLINE({
IF(D434="""",0,D434),
IF(F434="""",0,F434),
IF(H434="""",0,H434),
IF(J434="""",0,J434),
IF(L434="""",0,L434),
IF(N434="""",0,N434),
IF(P434="""",0,P434)
})"),"")</f>
        <v/>
      </c>
      <c r="U434" s="7" t="str">
        <f ca="1">IFERROR(__xludf.DUMMYFUNCTION("SPARKLINE({
IF(E434="""",0,E434),
IF(G434="""",0,G434),
IF(I434="""",0,I434),
IF(K434="""",0,K434),
IF(M434="""",0,M434),
IF(O434="""",0,O434),
IF(Q434="""",0,Q434)
})"),"")</f>
        <v/>
      </c>
      <c r="V434" s="8" t="e">
        <f t="array" aca="1" ref="V434" ca="1">IF($C$4="Giao",_xludf.Xlookup(C434,#REF!,#REF!,),_xludf.Xlookup(C434,#REF!,#REF!,))</f>
        <v>#NAME?</v>
      </c>
      <c r="W434" s="8" t="e">
        <f t="array" aca="1" ref="W434" ca="1">IF($C$4="Giao", _xludf.Xlookup(C434,#REF!,#REF!,),)</f>
        <v>#NAME?</v>
      </c>
      <c r="X434" s="9" t="e">
        <f t="shared" ca="1" si="6"/>
        <v>#NAME?</v>
      </c>
      <c r="Y434" s="7"/>
      <c r="Z434" s="7"/>
    </row>
    <row r="435" spans="1:26" ht="13" x14ac:dyDescent="0.6">
      <c r="A435" s="28" t="str">
        <f t="shared" si="5"/>
        <v/>
      </c>
      <c r="B435" s="7"/>
      <c r="C435" s="7"/>
      <c r="D435" s="9"/>
      <c r="E435" s="9"/>
      <c r="F435" s="7"/>
      <c r="G435" s="7"/>
      <c r="H435" s="7"/>
      <c r="I435" s="7"/>
      <c r="J435" s="7"/>
      <c r="K435" s="7"/>
      <c r="L435" s="7"/>
      <c r="M435" s="7"/>
      <c r="N435" s="7"/>
      <c r="O435" s="7"/>
      <c r="P435" s="29"/>
      <c r="Q435" s="29"/>
      <c r="R435" s="7"/>
      <c r="S435" s="7"/>
      <c r="T435" s="7" t="str">
        <f ca="1">IFERROR(__xludf.DUMMYFUNCTION("SPARKLINE({
IF(D435="""",0,D435),
IF(F435="""",0,F435),
IF(H435="""",0,H435),
IF(J435="""",0,J435),
IF(L435="""",0,L435),
IF(N435="""",0,N435),
IF(P435="""",0,P435)
})"),"")</f>
        <v/>
      </c>
      <c r="U435" s="7" t="str">
        <f ca="1">IFERROR(__xludf.DUMMYFUNCTION("SPARKLINE({
IF(E435="""",0,E435),
IF(G435="""",0,G435),
IF(I435="""",0,I435),
IF(K435="""",0,K435),
IF(M435="""",0,M435),
IF(O435="""",0,O435),
IF(Q435="""",0,Q435)
})"),"")</f>
        <v/>
      </c>
      <c r="V435" s="8" t="e">
        <f t="array" aca="1" ref="V435" ca="1">IF($C$4="Giao",_xludf.Xlookup(C435,#REF!,#REF!,),_xludf.Xlookup(C435,#REF!,#REF!,))</f>
        <v>#NAME?</v>
      </c>
      <c r="W435" s="8" t="e">
        <f t="array" aca="1" ref="W435" ca="1">IF($C$4="Giao", _xludf.Xlookup(C435,#REF!,#REF!,),)</f>
        <v>#NAME?</v>
      </c>
      <c r="X435" s="9" t="e">
        <f t="shared" ca="1" si="6"/>
        <v>#NAME?</v>
      </c>
      <c r="Y435" s="7"/>
      <c r="Z435" s="7"/>
    </row>
    <row r="436" spans="1:26" ht="13" x14ac:dyDescent="0.6">
      <c r="A436" s="28" t="str">
        <f t="shared" si="5"/>
        <v/>
      </c>
      <c r="B436" s="7"/>
      <c r="C436" s="7"/>
      <c r="D436" s="9"/>
      <c r="E436" s="9"/>
      <c r="F436" s="7"/>
      <c r="G436" s="7"/>
      <c r="H436" s="7"/>
      <c r="I436" s="7"/>
      <c r="J436" s="7"/>
      <c r="K436" s="7"/>
      <c r="L436" s="7"/>
      <c r="M436" s="7"/>
      <c r="N436" s="7"/>
      <c r="O436" s="7"/>
      <c r="P436" s="29"/>
      <c r="Q436" s="29"/>
      <c r="R436" s="7"/>
      <c r="S436" s="7"/>
      <c r="T436" s="7" t="str">
        <f ca="1">IFERROR(__xludf.DUMMYFUNCTION("SPARKLINE({
IF(D436="""",0,D436),
IF(F436="""",0,F436),
IF(H436="""",0,H436),
IF(J436="""",0,J436),
IF(L436="""",0,L436),
IF(N436="""",0,N436),
IF(P436="""",0,P436)
})"),"")</f>
        <v/>
      </c>
      <c r="U436" s="7" t="str">
        <f ca="1">IFERROR(__xludf.DUMMYFUNCTION("SPARKLINE({
IF(E436="""",0,E436),
IF(G436="""",0,G436),
IF(I436="""",0,I436),
IF(K436="""",0,K436),
IF(M436="""",0,M436),
IF(O436="""",0,O436),
IF(Q436="""",0,Q436)
})"),"")</f>
        <v/>
      </c>
      <c r="V436" s="8" t="e">
        <f t="array" aca="1" ref="V436" ca="1">IF($C$4="Giao",_xludf.Xlookup(C436,#REF!,#REF!,),_xludf.Xlookup(C436,#REF!,#REF!,))</f>
        <v>#NAME?</v>
      </c>
      <c r="W436" s="8" t="e">
        <f t="array" aca="1" ref="W436" ca="1">IF($C$4="Giao", _xludf.Xlookup(C436,#REF!,#REF!,),)</f>
        <v>#NAME?</v>
      </c>
      <c r="X436" s="9" t="e">
        <f t="shared" ca="1" si="6"/>
        <v>#NAME?</v>
      </c>
      <c r="Y436" s="7"/>
      <c r="Z436" s="7"/>
    </row>
    <row r="437" spans="1:26" ht="13" x14ac:dyDescent="0.6">
      <c r="A437" s="28" t="str">
        <f t="shared" si="5"/>
        <v/>
      </c>
      <c r="B437" s="7"/>
      <c r="C437" s="7"/>
      <c r="D437" s="9"/>
      <c r="E437" s="9"/>
      <c r="F437" s="7"/>
      <c r="G437" s="7"/>
      <c r="H437" s="7"/>
      <c r="I437" s="7"/>
      <c r="J437" s="7"/>
      <c r="K437" s="7"/>
      <c r="L437" s="7"/>
      <c r="M437" s="7"/>
      <c r="N437" s="7"/>
      <c r="O437" s="7"/>
      <c r="P437" s="29"/>
      <c r="Q437" s="29"/>
      <c r="R437" s="7"/>
      <c r="S437" s="7"/>
      <c r="T437" s="7" t="str">
        <f ca="1">IFERROR(__xludf.DUMMYFUNCTION("SPARKLINE({
IF(D437="""",0,D437),
IF(F437="""",0,F437),
IF(H437="""",0,H437),
IF(J437="""",0,J437),
IF(L437="""",0,L437),
IF(N437="""",0,N437),
IF(P437="""",0,P437)
})"),"")</f>
        <v/>
      </c>
      <c r="U437" s="7" t="str">
        <f ca="1">IFERROR(__xludf.DUMMYFUNCTION("SPARKLINE({
IF(E437="""",0,E437),
IF(G437="""",0,G437),
IF(I437="""",0,I437),
IF(K437="""",0,K437),
IF(M437="""",0,M437),
IF(O437="""",0,O437),
IF(Q437="""",0,Q437)
})"),"")</f>
        <v/>
      </c>
      <c r="V437" s="8" t="e">
        <f t="array" aca="1" ref="V437" ca="1">IF($C$4="Giao",_xludf.Xlookup(C437,#REF!,#REF!,),_xludf.Xlookup(C437,#REF!,#REF!,))</f>
        <v>#NAME?</v>
      </c>
      <c r="W437" s="8" t="e">
        <f t="array" aca="1" ref="W437" ca="1">IF($C$4="Giao", _xludf.Xlookup(C437,#REF!,#REF!,),)</f>
        <v>#NAME?</v>
      </c>
      <c r="X437" s="9" t="e">
        <f t="shared" ca="1" si="6"/>
        <v>#NAME?</v>
      </c>
      <c r="Y437" s="7"/>
      <c r="Z437" s="7"/>
    </row>
    <row r="438" spans="1:26" ht="13" x14ac:dyDescent="0.6">
      <c r="A438" s="28" t="str">
        <f t="shared" si="5"/>
        <v/>
      </c>
      <c r="B438" s="7"/>
      <c r="C438" s="7"/>
      <c r="D438" s="9"/>
      <c r="E438" s="9"/>
      <c r="F438" s="7"/>
      <c r="G438" s="7"/>
      <c r="H438" s="7"/>
      <c r="I438" s="7"/>
      <c r="J438" s="7"/>
      <c r="K438" s="7"/>
      <c r="L438" s="7"/>
      <c r="M438" s="7"/>
      <c r="N438" s="7"/>
      <c r="O438" s="7"/>
      <c r="P438" s="29"/>
      <c r="Q438" s="29"/>
      <c r="R438" s="7"/>
      <c r="S438" s="7"/>
      <c r="T438" s="7" t="str">
        <f ca="1">IFERROR(__xludf.DUMMYFUNCTION("SPARKLINE({
IF(D438="""",0,D438),
IF(F438="""",0,F438),
IF(H438="""",0,H438),
IF(J438="""",0,J438),
IF(L438="""",0,L438),
IF(N438="""",0,N438),
IF(P438="""",0,P438)
})"),"")</f>
        <v/>
      </c>
      <c r="U438" s="7" t="str">
        <f ca="1">IFERROR(__xludf.DUMMYFUNCTION("SPARKLINE({
IF(E438="""",0,E438),
IF(G438="""",0,G438),
IF(I438="""",0,I438),
IF(K438="""",0,K438),
IF(M438="""",0,M438),
IF(O438="""",0,O438),
IF(Q438="""",0,Q438)
})"),"")</f>
        <v/>
      </c>
      <c r="V438" s="8" t="e">
        <f t="array" aca="1" ref="V438" ca="1">IF($C$4="Giao",_xludf.Xlookup(C438,#REF!,#REF!,),_xludf.Xlookup(C438,#REF!,#REF!,))</f>
        <v>#NAME?</v>
      </c>
      <c r="W438" s="8" t="e">
        <f t="array" aca="1" ref="W438" ca="1">IF($C$4="Giao", _xludf.Xlookup(C438,#REF!,#REF!,),)</f>
        <v>#NAME?</v>
      </c>
      <c r="X438" s="9" t="e">
        <f t="shared" ca="1" si="6"/>
        <v>#NAME?</v>
      </c>
      <c r="Y438" s="7"/>
      <c r="Z438" s="7"/>
    </row>
    <row r="439" spans="1:26" ht="13" x14ac:dyDescent="0.6">
      <c r="A439" s="28" t="str">
        <f t="shared" si="5"/>
        <v/>
      </c>
      <c r="B439" s="7"/>
      <c r="C439" s="7"/>
      <c r="D439" s="9"/>
      <c r="E439" s="9"/>
      <c r="F439" s="7"/>
      <c r="G439" s="7"/>
      <c r="H439" s="7"/>
      <c r="I439" s="7"/>
      <c r="J439" s="7"/>
      <c r="K439" s="7"/>
      <c r="L439" s="7"/>
      <c r="M439" s="7"/>
      <c r="N439" s="7"/>
      <c r="O439" s="7"/>
      <c r="P439" s="29"/>
      <c r="Q439" s="29"/>
      <c r="R439" s="7"/>
      <c r="S439" s="7"/>
      <c r="T439" s="7" t="str">
        <f ca="1">IFERROR(__xludf.DUMMYFUNCTION("SPARKLINE({
IF(D439="""",0,D439),
IF(F439="""",0,F439),
IF(H439="""",0,H439),
IF(J439="""",0,J439),
IF(L439="""",0,L439),
IF(N439="""",0,N439),
IF(P439="""",0,P439)
})"),"")</f>
        <v/>
      </c>
      <c r="U439" s="7" t="str">
        <f ca="1">IFERROR(__xludf.DUMMYFUNCTION("SPARKLINE({
IF(E439="""",0,E439),
IF(G439="""",0,G439),
IF(I439="""",0,I439),
IF(K439="""",0,K439),
IF(M439="""",0,M439),
IF(O439="""",0,O439),
IF(Q439="""",0,Q439)
})"),"")</f>
        <v/>
      </c>
      <c r="V439" s="8" t="e">
        <f t="array" aca="1" ref="V439" ca="1">IF($C$4="Giao",_xludf.Xlookup(C439,#REF!,#REF!,),_xludf.Xlookup(C439,#REF!,#REF!,))</f>
        <v>#NAME?</v>
      </c>
      <c r="W439" s="8" t="e">
        <f t="array" aca="1" ref="W439" ca="1">IF($C$4="Giao", _xludf.Xlookup(C439,#REF!,#REF!,),)</f>
        <v>#NAME?</v>
      </c>
      <c r="X439" s="9" t="e">
        <f t="shared" ca="1" si="6"/>
        <v>#NAME?</v>
      </c>
      <c r="Y439" s="7"/>
      <c r="Z439" s="7"/>
    </row>
    <row r="440" spans="1:26" ht="13" x14ac:dyDescent="0.6">
      <c r="A440" s="28" t="str">
        <f t="shared" si="5"/>
        <v/>
      </c>
      <c r="B440" s="7"/>
      <c r="C440" s="7"/>
      <c r="D440" s="9"/>
      <c r="E440" s="9"/>
      <c r="F440" s="7"/>
      <c r="G440" s="7"/>
      <c r="H440" s="7"/>
      <c r="I440" s="7"/>
      <c r="J440" s="7"/>
      <c r="K440" s="7"/>
      <c r="L440" s="7"/>
      <c r="M440" s="7"/>
      <c r="N440" s="7"/>
      <c r="O440" s="7"/>
      <c r="P440" s="29"/>
      <c r="Q440" s="29"/>
      <c r="R440" s="7"/>
      <c r="S440" s="7"/>
      <c r="T440" s="7" t="str">
        <f ca="1">IFERROR(__xludf.DUMMYFUNCTION("SPARKLINE({
IF(D440="""",0,D440),
IF(F440="""",0,F440),
IF(H440="""",0,H440),
IF(J440="""",0,J440),
IF(L440="""",0,L440),
IF(N440="""",0,N440),
IF(P440="""",0,P440)
})"),"")</f>
        <v/>
      </c>
      <c r="U440" s="7" t="str">
        <f ca="1">IFERROR(__xludf.DUMMYFUNCTION("SPARKLINE({
IF(E440="""",0,E440),
IF(G440="""",0,G440),
IF(I440="""",0,I440),
IF(K440="""",0,K440),
IF(M440="""",0,M440),
IF(O440="""",0,O440),
IF(Q440="""",0,Q440)
})"),"")</f>
        <v/>
      </c>
      <c r="V440" s="8" t="e">
        <f t="array" aca="1" ref="V440" ca="1">IF($C$4="Giao",_xludf.Xlookup(C440,#REF!,#REF!,),_xludf.Xlookup(C440,#REF!,#REF!,))</f>
        <v>#NAME?</v>
      </c>
      <c r="W440" s="8" t="e">
        <f t="array" aca="1" ref="W440" ca="1">IF($C$4="Giao", _xludf.Xlookup(C440,#REF!,#REF!,),)</f>
        <v>#NAME?</v>
      </c>
      <c r="X440" s="9" t="e">
        <f t="shared" ca="1" si="6"/>
        <v>#NAME?</v>
      </c>
      <c r="Y440" s="7"/>
      <c r="Z440" s="7"/>
    </row>
    <row r="441" spans="1:26" ht="13" x14ac:dyDescent="0.6">
      <c r="A441" s="28" t="str">
        <f t="shared" si="5"/>
        <v/>
      </c>
      <c r="B441" s="7"/>
      <c r="C441" s="7"/>
      <c r="D441" s="9"/>
      <c r="E441" s="9"/>
      <c r="F441" s="7"/>
      <c r="G441" s="7"/>
      <c r="H441" s="7"/>
      <c r="I441" s="7"/>
      <c r="J441" s="7"/>
      <c r="K441" s="7"/>
      <c r="L441" s="7"/>
      <c r="M441" s="7"/>
      <c r="N441" s="7"/>
      <c r="O441" s="7"/>
      <c r="P441" s="29"/>
      <c r="Q441" s="29"/>
      <c r="R441" s="7"/>
      <c r="S441" s="7"/>
      <c r="T441" s="7" t="str">
        <f ca="1">IFERROR(__xludf.DUMMYFUNCTION("SPARKLINE({
IF(D441="""",0,D441),
IF(F441="""",0,F441),
IF(H441="""",0,H441),
IF(J441="""",0,J441),
IF(L441="""",0,L441),
IF(N441="""",0,N441),
IF(P441="""",0,P441)
})"),"")</f>
        <v/>
      </c>
      <c r="U441" s="7" t="str">
        <f ca="1">IFERROR(__xludf.DUMMYFUNCTION("SPARKLINE({
IF(E441="""",0,E441),
IF(G441="""",0,G441),
IF(I441="""",0,I441),
IF(K441="""",0,K441),
IF(M441="""",0,M441),
IF(O441="""",0,O441),
IF(Q441="""",0,Q441)
})"),"")</f>
        <v/>
      </c>
      <c r="V441" s="8" t="e">
        <f t="array" aca="1" ref="V441" ca="1">IF($C$4="Giao",_xludf.Xlookup(C441,#REF!,#REF!,),_xludf.Xlookup(C441,#REF!,#REF!,))</f>
        <v>#NAME?</v>
      </c>
      <c r="W441" s="8" t="e">
        <f t="array" aca="1" ref="W441" ca="1">IF($C$4="Giao", _xludf.Xlookup(C441,#REF!,#REF!,),)</f>
        <v>#NAME?</v>
      </c>
      <c r="X441" s="9" t="e">
        <f t="shared" ca="1" si="6"/>
        <v>#NAME?</v>
      </c>
      <c r="Y441" s="7"/>
      <c r="Z441" s="7"/>
    </row>
    <row r="442" spans="1:26" ht="13" x14ac:dyDescent="0.6">
      <c r="A442" s="28" t="str">
        <f t="shared" si="5"/>
        <v/>
      </c>
      <c r="B442" s="7"/>
      <c r="C442" s="7"/>
      <c r="D442" s="9"/>
      <c r="E442" s="9"/>
      <c r="F442" s="7"/>
      <c r="G442" s="7"/>
      <c r="H442" s="7"/>
      <c r="I442" s="7"/>
      <c r="J442" s="7"/>
      <c r="K442" s="7"/>
      <c r="L442" s="7"/>
      <c r="M442" s="7"/>
      <c r="N442" s="7"/>
      <c r="O442" s="7"/>
      <c r="P442" s="29"/>
      <c r="Q442" s="29"/>
      <c r="R442" s="7"/>
      <c r="S442" s="7"/>
      <c r="T442" s="7" t="str">
        <f ca="1">IFERROR(__xludf.DUMMYFUNCTION("SPARKLINE({
IF(D442="""",0,D442),
IF(F442="""",0,F442),
IF(H442="""",0,H442),
IF(J442="""",0,J442),
IF(L442="""",0,L442),
IF(N442="""",0,N442),
IF(P442="""",0,P442)
})"),"")</f>
        <v/>
      </c>
      <c r="U442" s="7" t="str">
        <f ca="1">IFERROR(__xludf.DUMMYFUNCTION("SPARKLINE({
IF(E442="""",0,E442),
IF(G442="""",0,G442),
IF(I442="""",0,I442),
IF(K442="""",0,K442),
IF(M442="""",0,M442),
IF(O442="""",0,O442),
IF(Q442="""",0,Q442)
})"),"")</f>
        <v/>
      </c>
      <c r="V442" s="8" t="e">
        <f t="array" aca="1" ref="V442" ca="1">IF($C$4="Giao",_xludf.Xlookup(C442,#REF!,#REF!,),_xludf.Xlookup(C442,#REF!,#REF!,))</f>
        <v>#NAME?</v>
      </c>
      <c r="W442" s="8" t="e">
        <f t="array" aca="1" ref="W442" ca="1">IF($C$4="Giao", _xludf.Xlookup(C442,#REF!,#REF!,),)</f>
        <v>#NAME?</v>
      </c>
      <c r="X442" s="9" t="e">
        <f t="shared" ca="1" si="6"/>
        <v>#NAME?</v>
      </c>
      <c r="Y442" s="7"/>
      <c r="Z442" s="7"/>
    </row>
    <row r="443" spans="1:26" ht="13" x14ac:dyDescent="0.6">
      <c r="A443" s="28" t="str">
        <f t="shared" si="5"/>
        <v/>
      </c>
      <c r="B443" s="7"/>
      <c r="C443" s="7"/>
      <c r="D443" s="9"/>
      <c r="E443" s="9"/>
      <c r="F443" s="7"/>
      <c r="G443" s="7"/>
      <c r="H443" s="7"/>
      <c r="I443" s="7"/>
      <c r="J443" s="7"/>
      <c r="K443" s="7"/>
      <c r="L443" s="7"/>
      <c r="M443" s="7"/>
      <c r="N443" s="7"/>
      <c r="O443" s="7"/>
      <c r="P443" s="29"/>
      <c r="Q443" s="29"/>
      <c r="R443" s="7"/>
      <c r="S443" s="7"/>
      <c r="T443" s="7" t="str">
        <f ca="1">IFERROR(__xludf.DUMMYFUNCTION("SPARKLINE({
IF(D443="""",0,D443),
IF(F443="""",0,F443),
IF(H443="""",0,H443),
IF(J443="""",0,J443),
IF(L443="""",0,L443),
IF(N443="""",0,N443),
IF(P443="""",0,P443)
})"),"")</f>
        <v/>
      </c>
      <c r="U443" s="7" t="str">
        <f ca="1">IFERROR(__xludf.DUMMYFUNCTION("SPARKLINE({
IF(E443="""",0,E443),
IF(G443="""",0,G443),
IF(I443="""",0,I443),
IF(K443="""",0,K443),
IF(M443="""",0,M443),
IF(O443="""",0,O443),
IF(Q443="""",0,Q443)
})"),"")</f>
        <v/>
      </c>
      <c r="V443" s="8" t="e">
        <f t="array" aca="1" ref="V443" ca="1">IF($C$4="Giao",_xludf.Xlookup(C443,#REF!,#REF!,),_xludf.Xlookup(C443,#REF!,#REF!,))</f>
        <v>#NAME?</v>
      </c>
      <c r="W443" s="8" t="e">
        <f t="array" aca="1" ref="W443" ca="1">IF($C$4="Giao", _xludf.Xlookup(C443,#REF!,#REF!,),)</f>
        <v>#NAME?</v>
      </c>
      <c r="X443" s="9" t="e">
        <f t="shared" ca="1" si="6"/>
        <v>#NAME?</v>
      </c>
      <c r="Y443" s="7"/>
      <c r="Z443" s="7"/>
    </row>
    <row r="444" spans="1:26" ht="13" x14ac:dyDescent="0.6">
      <c r="A444" s="28" t="str">
        <f t="shared" si="5"/>
        <v/>
      </c>
      <c r="B444" s="7"/>
      <c r="C444" s="7"/>
      <c r="D444" s="9"/>
      <c r="E444" s="9"/>
      <c r="F444" s="7"/>
      <c r="G444" s="7"/>
      <c r="H444" s="7"/>
      <c r="I444" s="7"/>
      <c r="J444" s="7"/>
      <c r="K444" s="7"/>
      <c r="L444" s="7"/>
      <c r="M444" s="7"/>
      <c r="N444" s="7"/>
      <c r="O444" s="7"/>
      <c r="P444" s="29"/>
      <c r="Q444" s="29"/>
      <c r="R444" s="7"/>
      <c r="S444" s="7"/>
      <c r="T444" s="7" t="str">
        <f ca="1">IFERROR(__xludf.DUMMYFUNCTION("SPARKLINE({
IF(D444="""",0,D444),
IF(F444="""",0,F444),
IF(H444="""",0,H444),
IF(J444="""",0,J444),
IF(L444="""",0,L444),
IF(N444="""",0,N444),
IF(P444="""",0,P444)
})"),"")</f>
        <v/>
      </c>
      <c r="U444" s="7" t="str">
        <f ca="1">IFERROR(__xludf.DUMMYFUNCTION("SPARKLINE({
IF(E444="""",0,E444),
IF(G444="""",0,G444),
IF(I444="""",0,I444),
IF(K444="""",0,K444),
IF(M444="""",0,M444),
IF(O444="""",0,O444),
IF(Q444="""",0,Q444)
})"),"")</f>
        <v/>
      </c>
      <c r="V444" s="8" t="e">
        <f t="array" aca="1" ref="V444" ca="1">IF($C$4="Giao",_xludf.Xlookup(C444,#REF!,#REF!,),_xludf.Xlookup(C444,#REF!,#REF!,))</f>
        <v>#NAME?</v>
      </c>
      <c r="W444" s="8" t="e">
        <f t="array" aca="1" ref="W444" ca="1">IF($C$4="Giao", _xludf.Xlookup(C444,#REF!,#REF!,),)</f>
        <v>#NAME?</v>
      </c>
      <c r="X444" s="9" t="e">
        <f t="shared" ca="1" si="6"/>
        <v>#NAME?</v>
      </c>
      <c r="Y444" s="7"/>
      <c r="Z444" s="7"/>
    </row>
    <row r="445" spans="1:26" ht="13" x14ac:dyDescent="0.6">
      <c r="A445" s="28" t="str">
        <f t="shared" si="5"/>
        <v/>
      </c>
      <c r="B445" s="7"/>
      <c r="C445" s="7"/>
      <c r="D445" s="9"/>
      <c r="E445" s="9"/>
      <c r="F445" s="7"/>
      <c r="G445" s="7"/>
      <c r="H445" s="7"/>
      <c r="I445" s="7"/>
      <c r="J445" s="7"/>
      <c r="K445" s="7"/>
      <c r="L445" s="7"/>
      <c r="M445" s="7"/>
      <c r="N445" s="7"/>
      <c r="O445" s="7"/>
      <c r="P445" s="29"/>
      <c r="Q445" s="29"/>
      <c r="R445" s="7"/>
      <c r="S445" s="7"/>
      <c r="T445" s="7" t="str">
        <f ca="1">IFERROR(__xludf.DUMMYFUNCTION("SPARKLINE({
IF(D445="""",0,D445),
IF(F445="""",0,F445),
IF(H445="""",0,H445),
IF(J445="""",0,J445),
IF(L445="""",0,L445),
IF(N445="""",0,N445),
IF(P445="""",0,P445)
})"),"")</f>
        <v/>
      </c>
      <c r="U445" s="7" t="str">
        <f ca="1">IFERROR(__xludf.DUMMYFUNCTION("SPARKLINE({
IF(E445="""",0,E445),
IF(G445="""",0,G445),
IF(I445="""",0,I445),
IF(K445="""",0,K445),
IF(M445="""",0,M445),
IF(O445="""",0,O445),
IF(Q445="""",0,Q445)
})"),"")</f>
        <v/>
      </c>
      <c r="V445" s="8" t="e">
        <f t="array" aca="1" ref="V445" ca="1">IF($C$4="Giao",_xludf.Xlookup(C445,#REF!,#REF!,),_xludf.Xlookup(C445,#REF!,#REF!,))</f>
        <v>#NAME?</v>
      </c>
      <c r="W445" s="8" t="e">
        <f t="array" aca="1" ref="W445" ca="1">IF($C$4="Giao", _xludf.Xlookup(C445,#REF!,#REF!,),)</f>
        <v>#NAME?</v>
      </c>
      <c r="X445" s="9" t="e">
        <f t="shared" ca="1" si="6"/>
        <v>#NAME?</v>
      </c>
      <c r="Y445" s="7"/>
      <c r="Z445" s="7"/>
    </row>
    <row r="446" spans="1:26" ht="13" x14ac:dyDescent="0.6">
      <c r="A446" s="28" t="str">
        <f t="shared" si="5"/>
        <v/>
      </c>
      <c r="B446" s="7"/>
      <c r="C446" s="7"/>
      <c r="D446" s="9"/>
      <c r="E446" s="9"/>
      <c r="F446" s="7"/>
      <c r="G446" s="7"/>
      <c r="H446" s="7"/>
      <c r="I446" s="7"/>
      <c r="J446" s="7"/>
      <c r="K446" s="7"/>
      <c r="L446" s="7"/>
      <c r="M446" s="7"/>
      <c r="N446" s="7"/>
      <c r="O446" s="7"/>
      <c r="P446" s="29"/>
      <c r="Q446" s="29"/>
      <c r="R446" s="7"/>
      <c r="S446" s="7"/>
      <c r="T446" s="7" t="str">
        <f ca="1">IFERROR(__xludf.DUMMYFUNCTION("SPARKLINE({
IF(D446="""",0,D446),
IF(F446="""",0,F446),
IF(H446="""",0,H446),
IF(J446="""",0,J446),
IF(L446="""",0,L446),
IF(N446="""",0,N446),
IF(P446="""",0,P446)
})"),"")</f>
        <v/>
      </c>
      <c r="U446" s="7" t="str">
        <f ca="1">IFERROR(__xludf.DUMMYFUNCTION("SPARKLINE({
IF(E446="""",0,E446),
IF(G446="""",0,G446),
IF(I446="""",0,I446),
IF(K446="""",0,K446),
IF(M446="""",0,M446),
IF(O446="""",0,O446),
IF(Q446="""",0,Q446)
})"),"")</f>
        <v/>
      </c>
      <c r="V446" s="8" t="e">
        <f t="array" aca="1" ref="V446" ca="1">IF($C$4="Giao",_xludf.Xlookup(C446,#REF!,#REF!,),_xludf.Xlookup(C446,#REF!,#REF!,))</f>
        <v>#NAME?</v>
      </c>
      <c r="W446" s="8" t="e">
        <f t="array" aca="1" ref="W446" ca="1">IF($C$4="Giao", _xludf.Xlookup(C446,#REF!,#REF!,),)</f>
        <v>#NAME?</v>
      </c>
      <c r="X446" s="9" t="e">
        <f t="shared" ca="1" si="6"/>
        <v>#NAME?</v>
      </c>
      <c r="Y446" s="7"/>
      <c r="Z446" s="7"/>
    </row>
    <row r="447" spans="1:26" ht="13" x14ac:dyDescent="0.6">
      <c r="A447" s="28" t="str">
        <f t="shared" si="5"/>
        <v/>
      </c>
      <c r="B447" s="7"/>
      <c r="C447" s="7"/>
      <c r="D447" s="9"/>
      <c r="E447" s="9"/>
      <c r="F447" s="7"/>
      <c r="G447" s="7"/>
      <c r="H447" s="7"/>
      <c r="I447" s="7"/>
      <c r="J447" s="7"/>
      <c r="K447" s="7"/>
      <c r="L447" s="7"/>
      <c r="M447" s="7"/>
      <c r="N447" s="7"/>
      <c r="O447" s="7"/>
      <c r="P447" s="29"/>
      <c r="Q447" s="29"/>
      <c r="R447" s="7"/>
      <c r="S447" s="7"/>
      <c r="T447" s="7" t="str">
        <f ca="1">IFERROR(__xludf.DUMMYFUNCTION("SPARKLINE({
IF(D447="""",0,D447),
IF(F447="""",0,F447),
IF(H447="""",0,H447),
IF(J447="""",0,J447),
IF(L447="""",0,L447),
IF(N447="""",0,N447),
IF(P447="""",0,P447)
})"),"")</f>
        <v/>
      </c>
      <c r="U447" s="7" t="str">
        <f ca="1">IFERROR(__xludf.DUMMYFUNCTION("SPARKLINE({
IF(E447="""",0,E447),
IF(G447="""",0,G447),
IF(I447="""",0,I447),
IF(K447="""",0,K447),
IF(M447="""",0,M447),
IF(O447="""",0,O447),
IF(Q447="""",0,Q447)
})"),"")</f>
        <v/>
      </c>
      <c r="V447" s="8" t="e">
        <f t="array" aca="1" ref="V447" ca="1">IF($C$4="Giao",_xludf.Xlookup(C447,#REF!,#REF!,),_xludf.Xlookup(C447,#REF!,#REF!,))</f>
        <v>#NAME?</v>
      </c>
      <c r="W447" s="8" t="e">
        <f t="array" aca="1" ref="W447" ca="1">IF($C$4="Giao", _xludf.Xlookup(C447,#REF!,#REF!,),)</f>
        <v>#NAME?</v>
      </c>
      <c r="X447" s="9" t="e">
        <f t="shared" ca="1" si="6"/>
        <v>#NAME?</v>
      </c>
      <c r="Y447" s="7"/>
      <c r="Z447" s="7"/>
    </row>
    <row r="448" spans="1:26" ht="13" x14ac:dyDescent="0.6">
      <c r="A448" s="28" t="str">
        <f t="shared" si="5"/>
        <v/>
      </c>
      <c r="B448" s="7"/>
      <c r="C448" s="7"/>
      <c r="D448" s="9"/>
      <c r="E448" s="9"/>
      <c r="F448" s="7"/>
      <c r="G448" s="7"/>
      <c r="H448" s="7"/>
      <c r="I448" s="7"/>
      <c r="J448" s="7"/>
      <c r="K448" s="7"/>
      <c r="L448" s="7"/>
      <c r="M448" s="7"/>
      <c r="N448" s="7"/>
      <c r="O448" s="7"/>
      <c r="P448" s="29"/>
      <c r="Q448" s="29"/>
      <c r="R448" s="7"/>
      <c r="S448" s="7"/>
      <c r="T448" s="7" t="str">
        <f ca="1">IFERROR(__xludf.DUMMYFUNCTION("SPARKLINE({
IF(D448="""",0,D448),
IF(F448="""",0,F448),
IF(H448="""",0,H448),
IF(J448="""",0,J448),
IF(L448="""",0,L448),
IF(N448="""",0,N448),
IF(P448="""",0,P448)
})"),"")</f>
        <v/>
      </c>
      <c r="U448" s="7" t="str">
        <f ca="1">IFERROR(__xludf.DUMMYFUNCTION("SPARKLINE({
IF(E448="""",0,E448),
IF(G448="""",0,G448),
IF(I448="""",0,I448),
IF(K448="""",0,K448),
IF(M448="""",0,M448),
IF(O448="""",0,O448),
IF(Q448="""",0,Q448)
})"),"")</f>
        <v/>
      </c>
      <c r="V448" s="8" t="e">
        <f t="array" aca="1" ref="V448" ca="1">IF($C$4="Giao",_xludf.Xlookup(C448,#REF!,#REF!,),_xludf.Xlookup(C448,#REF!,#REF!,))</f>
        <v>#NAME?</v>
      </c>
      <c r="W448" s="8" t="e">
        <f t="array" aca="1" ref="W448" ca="1">IF($C$4="Giao", _xludf.Xlookup(C448,#REF!,#REF!,),)</f>
        <v>#NAME?</v>
      </c>
      <c r="X448" s="9" t="e">
        <f t="shared" ca="1" si="6"/>
        <v>#NAME?</v>
      </c>
      <c r="Y448" s="7"/>
      <c r="Z448" s="7"/>
    </row>
    <row r="449" spans="1:26" ht="13" x14ac:dyDescent="0.6">
      <c r="A449" s="28" t="str">
        <f t="shared" si="5"/>
        <v/>
      </c>
      <c r="B449" s="7"/>
      <c r="C449" s="7"/>
      <c r="D449" s="9"/>
      <c r="E449" s="9"/>
      <c r="F449" s="7"/>
      <c r="G449" s="7"/>
      <c r="H449" s="7"/>
      <c r="I449" s="7"/>
      <c r="J449" s="7"/>
      <c r="K449" s="7"/>
      <c r="L449" s="7"/>
      <c r="M449" s="7"/>
      <c r="N449" s="7"/>
      <c r="O449" s="7"/>
      <c r="P449" s="29"/>
      <c r="Q449" s="29"/>
      <c r="R449" s="7"/>
      <c r="S449" s="7"/>
      <c r="T449" s="7" t="str">
        <f ca="1">IFERROR(__xludf.DUMMYFUNCTION("SPARKLINE({
IF(D449="""",0,D449),
IF(F449="""",0,F449),
IF(H449="""",0,H449),
IF(J449="""",0,J449),
IF(L449="""",0,L449),
IF(N449="""",0,N449),
IF(P449="""",0,P449)
})"),"")</f>
        <v/>
      </c>
      <c r="U449" s="7" t="str">
        <f ca="1">IFERROR(__xludf.DUMMYFUNCTION("SPARKLINE({
IF(E449="""",0,E449),
IF(G449="""",0,G449),
IF(I449="""",0,I449),
IF(K449="""",0,K449),
IF(M449="""",0,M449),
IF(O449="""",0,O449),
IF(Q449="""",0,Q449)
})"),"")</f>
        <v/>
      </c>
      <c r="V449" s="8" t="e">
        <f t="array" aca="1" ref="V449" ca="1">IF($C$4="Giao",_xludf.Xlookup(C449,#REF!,#REF!,),_xludf.Xlookup(C449,#REF!,#REF!,))</f>
        <v>#NAME?</v>
      </c>
      <c r="W449" s="8" t="e">
        <f t="array" aca="1" ref="W449" ca="1">IF($C$4="Giao", _xludf.Xlookup(C449,#REF!,#REF!,),)</f>
        <v>#NAME?</v>
      </c>
      <c r="X449" s="9" t="e">
        <f t="shared" ca="1" si="6"/>
        <v>#NAME?</v>
      </c>
      <c r="Y449" s="7"/>
      <c r="Z449" s="7"/>
    </row>
    <row r="450" spans="1:26" ht="13" x14ac:dyDescent="0.6">
      <c r="A450" s="28" t="str">
        <f t="shared" si="5"/>
        <v/>
      </c>
      <c r="B450" s="7"/>
      <c r="C450" s="7"/>
      <c r="D450" s="9"/>
      <c r="E450" s="9"/>
      <c r="F450" s="7"/>
      <c r="G450" s="7"/>
      <c r="H450" s="7"/>
      <c r="I450" s="7"/>
      <c r="J450" s="7"/>
      <c r="K450" s="7"/>
      <c r="L450" s="7"/>
      <c r="M450" s="7"/>
      <c r="N450" s="7"/>
      <c r="O450" s="7"/>
      <c r="P450" s="29"/>
      <c r="Q450" s="29"/>
      <c r="R450" s="7"/>
      <c r="S450" s="7"/>
      <c r="T450" s="7" t="str">
        <f ca="1">IFERROR(__xludf.DUMMYFUNCTION("SPARKLINE({
IF(D450="""",0,D450),
IF(F450="""",0,F450),
IF(H450="""",0,H450),
IF(J450="""",0,J450),
IF(L450="""",0,L450),
IF(N450="""",0,N450),
IF(P450="""",0,P450)
})"),"")</f>
        <v/>
      </c>
      <c r="U450" s="7" t="str">
        <f ca="1">IFERROR(__xludf.DUMMYFUNCTION("SPARKLINE({
IF(E450="""",0,E450),
IF(G450="""",0,G450),
IF(I450="""",0,I450),
IF(K450="""",0,K450),
IF(M450="""",0,M450),
IF(O450="""",0,O450),
IF(Q450="""",0,Q450)
})"),"")</f>
        <v/>
      </c>
      <c r="V450" s="8" t="e">
        <f t="array" aca="1" ref="V450" ca="1">IF($C$4="Giao",_xludf.Xlookup(C450,#REF!,#REF!,),_xludf.Xlookup(C450,#REF!,#REF!,))</f>
        <v>#NAME?</v>
      </c>
      <c r="W450" s="8" t="e">
        <f t="array" aca="1" ref="W450" ca="1">IF($C$4="Giao", _xludf.Xlookup(C450,#REF!,#REF!,),)</f>
        <v>#NAME?</v>
      </c>
      <c r="X450" s="9" t="e">
        <f t="shared" ca="1" si="6"/>
        <v>#NAME?</v>
      </c>
      <c r="Y450" s="7"/>
      <c r="Z450" s="7"/>
    </row>
    <row r="451" spans="1:26" ht="13" x14ac:dyDescent="0.6">
      <c r="A451" s="28" t="str">
        <f t="shared" si="5"/>
        <v/>
      </c>
      <c r="B451" s="7"/>
      <c r="C451" s="7"/>
      <c r="D451" s="9"/>
      <c r="E451" s="9"/>
      <c r="F451" s="7"/>
      <c r="G451" s="7"/>
      <c r="H451" s="7"/>
      <c r="I451" s="7"/>
      <c r="J451" s="7"/>
      <c r="K451" s="7"/>
      <c r="L451" s="7"/>
      <c r="M451" s="7"/>
      <c r="N451" s="7"/>
      <c r="O451" s="7"/>
      <c r="P451" s="29"/>
      <c r="Q451" s="29"/>
      <c r="R451" s="7"/>
      <c r="S451" s="7"/>
      <c r="T451" s="7" t="str">
        <f ca="1">IFERROR(__xludf.DUMMYFUNCTION("SPARKLINE({
IF(D451="""",0,D451),
IF(F451="""",0,F451),
IF(H451="""",0,H451),
IF(J451="""",0,J451),
IF(L451="""",0,L451),
IF(N451="""",0,N451),
IF(P451="""",0,P451)
})"),"")</f>
        <v/>
      </c>
      <c r="U451" s="7" t="str">
        <f ca="1">IFERROR(__xludf.DUMMYFUNCTION("SPARKLINE({
IF(E451="""",0,E451),
IF(G451="""",0,G451),
IF(I451="""",0,I451),
IF(K451="""",0,K451),
IF(M451="""",0,M451),
IF(O451="""",0,O451),
IF(Q451="""",0,Q451)
})"),"")</f>
        <v/>
      </c>
      <c r="V451" s="8" t="e">
        <f t="array" aca="1" ref="V451" ca="1">IF($C$4="Giao",_xludf.Xlookup(C451,#REF!,#REF!,),_xludf.Xlookup(C451,#REF!,#REF!,))</f>
        <v>#NAME?</v>
      </c>
      <c r="W451" s="8" t="e">
        <f t="array" aca="1" ref="W451" ca="1">IF($C$4="Giao", _xludf.Xlookup(C451,#REF!,#REF!,),)</f>
        <v>#NAME?</v>
      </c>
      <c r="X451" s="9" t="e">
        <f t="shared" ca="1" si="6"/>
        <v>#NAME?</v>
      </c>
      <c r="Y451" s="7"/>
      <c r="Z451" s="7"/>
    </row>
    <row r="452" spans="1:26" ht="13" x14ac:dyDescent="0.6">
      <c r="A452" s="28" t="str">
        <f t="shared" si="5"/>
        <v/>
      </c>
      <c r="B452" s="7"/>
      <c r="C452" s="7"/>
      <c r="D452" s="9"/>
      <c r="E452" s="9"/>
      <c r="F452" s="7"/>
      <c r="G452" s="7"/>
      <c r="H452" s="7"/>
      <c r="I452" s="7"/>
      <c r="J452" s="7"/>
      <c r="K452" s="7"/>
      <c r="L452" s="7"/>
      <c r="M452" s="7"/>
      <c r="N452" s="7"/>
      <c r="O452" s="7"/>
      <c r="P452" s="29"/>
      <c r="Q452" s="29"/>
      <c r="R452" s="7"/>
      <c r="S452" s="7"/>
      <c r="T452" s="7" t="str">
        <f ca="1">IFERROR(__xludf.DUMMYFUNCTION("SPARKLINE({
IF(D452="""",0,D452),
IF(F452="""",0,F452),
IF(H452="""",0,H452),
IF(J452="""",0,J452),
IF(L452="""",0,L452),
IF(N452="""",0,N452),
IF(P452="""",0,P452)
})"),"")</f>
        <v/>
      </c>
      <c r="U452" s="7" t="str">
        <f ca="1">IFERROR(__xludf.DUMMYFUNCTION("SPARKLINE({
IF(E452="""",0,E452),
IF(G452="""",0,G452),
IF(I452="""",0,I452),
IF(K452="""",0,K452),
IF(M452="""",0,M452),
IF(O452="""",0,O452),
IF(Q452="""",0,Q452)
})"),"")</f>
        <v/>
      </c>
      <c r="V452" s="8" t="e">
        <f t="array" aca="1" ref="V452" ca="1">IF($C$4="Giao",_xludf.Xlookup(C452,#REF!,#REF!,),_xludf.Xlookup(C452,#REF!,#REF!,))</f>
        <v>#NAME?</v>
      </c>
      <c r="W452" s="8" t="e">
        <f t="array" aca="1" ref="W452" ca="1">IF($C$4="Giao", _xludf.Xlookup(C452,#REF!,#REF!,),)</f>
        <v>#NAME?</v>
      </c>
      <c r="X452" s="9" t="e">
        <f t="shared" ca="1" si="6"/>
        <v>#NAME?</v>
      </c>
      <c r="Y452" s="7"/>
      <c r="Z452" s="7"/>
    </row>
    <row r="453" spans="1:26" ht="13" x14ac:dyDescent="0.6">
      <c r="A453" s="28" t="str">
        <f t="shared" si="5"/>
        <v/>
      </c>
      <c r="B453" s="7"/>
      <c r="C453" s="7"/>
      <c r="D453" s="9"/>
      <c r="E453" s="9"/>
      <c r="F453" s="7"/>
      <c r="G453" s="7"/>
      <c r="H453" s="7"/>
      <c r="I453" s="7"/>
      <c r="J453" s="7"/>
      <c r="K453" s="7"/>
      <c r="L453" s="7"/>
      <c r="M453" s="7"/>
      <c r="N453" s="7"/>
      <c r="O453" s="7"/>
      <c r="P453" s="29"/>
      <c r="Q453" s="29"/>
      <c r="R453" s="7"/>
      <c r="S453" s="7"/>
      <c r="T453" s="7" t="str">
        <f ca="1">IFERROR(__xludf.DUMMYFUNCTION("SPARKLINE({
IF(D453="""",0,D453),
IF(F453="""",0,F453),
IF(H453="""",0,H453),
IF(J453="""",0,J453),
IF(L453="""",0,L453),
IF(N453="""",0,N453),
IF(P453="""",0,P453)
})"),"")</f>
        <v/>
      </c>
      <c r="U453" s="7" t="str">
        <f ca="1">IFERROR(__xludf.DUMMYFUNCTION("SPARKLINE({
IF(E453="""",0,E453),
IF(G453="""",0,G453),
IF(I453="""",0,I453),
IF(K453="""",0,K453),
IF(M453="""",0,M453),
IF(O453="""",0,O453),
IF(Q453="""",0,Q453)
})"),"")</f>
        <v/>
      </c>
      <c r="V453" s="8" t="e">
        <f t="array" aca="1" ref="V453" ca="1">IF($C$4="Giao",_xludf.Xlookup(C453,#REF!,#REF!,),_xludf.Xlookup(C453,#REF!,#REF!,))</f>
        <v>#NAME?</v>
      </c>
      <c r="W453" s="8" t="e">
        <f t="array" aca="1" ref="W453" ca="1">IF($C$4="Giao", _xludf.Xlookup(C453,#REF!,#REF!,),)</f>
        <v>#NAME?</v>
      </c>
      <c r="X453" s="9" t="e">
        <f t="shared" ca="1" si="6"/>
        <v>#NAME?</v>
      </c>
      <c r="Y453" s="7"/>
      <c r="Z453" s="7"/>
    </row>
    <row r="454" spans="1:26" ht="13" x14ac:dyDescent="0.6">
      <c r="A454" s="28" t="str">
        <f t="shared" si="5"/>
        <v/>
      </c>
      <c r="B454" s="7"/>
      <c r="C454" s="7"/>
      <c r="D454" s="9"/>
      <c r="E454" s="9"/>
      <c r="F454" s="7"/>
      <c r="G454" s="7"/>
      <c r="H454" s="7"/>
      <c r="I454" s="7"/>
      <c r="J454" s="7"/>
      <c r="K454" s="7"/>
      <c r="L454" s="7"/>
      <c r="M454" s="7"/>
      <c r="N454" s="7"/>
      <c r="O454" s="7"/>
      <c r="P454" s="29"/>
      <c r="Q454" s="29"/>
      <c r="R454" s="7"/>
      <c r="S454" s="7"/>
      <c r="T454" s="7" t="str">
        <f ca="1">IFERROR(__xludf.DUMMYFUNCTION("SPARKLINE({
IF(D454="""",0,D454),
IF(F454="""",0,F454),
IF(H454="""",0,H454),
IF(J454="""",0,J454),
IF(L454="""",0,L454),
IF(N454="""",0,N454),
IF(P454="""",0,P454)
})"),"")</f>
        <v/>
      </c>
      <c r="U454" s="7" t="str">
        <f ca="1">IFERROR(__xludf.DUMMYFUNCTION("SPARKLINE({
IF(E454="""",0,E454),
IF(G454="""",0,G454),
IF(I454="""",0,I454),
IF(K454="""",0,K454),
IF(M454="""",0,M454),
IF(O454="""",0,O454),
IF(Q454="""",0,Q454)
})"),"")</f>
        <v/>
      </c>
      <c r="V454" s="8" t="e">
        <f t="array" aca="1" ref="V454" ca="1">IF($C$4="Giao",_xludf.Xlookup(C454,#REF!,#REF!,),_xludf.Xlookup(C454,#REF!,#REF!,))</f>
        <v>#NAME?</v>
      </c>
      <c r="W454" s="8" t="e">
        <f t="array" aca="1" ref="W454" ca="1">IF($C$4="Giao", _xludf.Xlookup(C454,#REF!,#REF!,),)</f>
        <v>#NAME?</v>
      </c>
      <c r="X454" s="9" t="e">
        <f t="shared" ca="1" si="6"/>
        <v>#NAME?</v>
      </c>
      <c r="Y454" s="7"/>
      <c r="Z454" s="7"/>
    </row>
    <row r="455" spans="1:26" ht="13" x14ac:dyDescent="0.6">
      <c r="A455" s="28" t="str">
        <f t="shared" si="5"/>
        <v/>
      </c>
      <c r="B455" s="7"/>
      <c r="C455" s="7"/>
      <c r="D455" s="9"/>
      <c r="E455" s="9"/>
      <c r="F455" s="7"/>
      <c r="G455" s="7"/>
      <c r="H455" s="7"/>
      <c r="I455" s="7"/>
      <c r="J455" s="7"/>
      <c r="K455" s="7"/>
      <c r="L455" s="7"/>
      <c r="M455" s="7"/>
      <c r="N455" s="7"/>
      <c r="O455" s="7"/>
      <c r="P455" s="29"/>
      <c r="Q455" s="29"/>
      <c r="R455" s="7"/>
      <c r="S455" s="7"/>
      <c r="T455" s="7" t="str">
        <f ca="1">IFERROR(__xludf.DUMMYFUNCTION("SPARKLINE({
IF(D455="""",0,D455),
IF(F455="""",0,F455),
IF(H455="""",0,H455),
IF(J455="""",0,J455),
IF(L455="""",0,L455),
IF(N455="""",0,N455),
IF(P455="""",0,P455)
})"),"")</f>
        <v/>
      </c>
      <c r="U455" s="7" t="str">
        <f ca="1">IFERROR(__xludf.DUMMYFUNCTION("SPARKLINE({
IF(E455="""",0,E455),
IF(G455="""",0,G455),
IF(I455="""",0,I455),
IF(K455="""",0,K455),
IF(M455="""",0,M455),
IF(O455="""",0,O455),
IF(Q455="""",0,Q455)
})"),"")</f>
        <v/>
      </c>
      <c r="V455" s="8" t="e">
        <f t="array" aca="1" ref="V455" ca="1">IF($C$4="Giao",_xludf.Xlookup(C455,#REF!,#REF!,),_xludf.Xlookup(C455,#REF!,#REF!,))</f>
        <v>#NAME?</v>
      </c>
      <c r="W455" s="8" t="e">
        <f t="array" aca="1" ref="W455" ca="1">IF($C$4="Giao", _xludf.Xlookup(C455,#REF!,#REF!,),)</f>
        <v>#NAME?</v>
      </c>
      <c r="X455" s="9" t="e">
        <f t="shared" ca="1" si="6"/>
        <v>#NAME?</v>
      </c>
      <c r="Y455" s="7"/>
      <c r="Z455" s="7"/>
    </row>
    <row r="456" spans="1:26" ht="13" x14ac:dyDescent="0.6">
      <c r="A456" s="28" t="str">
        <f t="shared" si="5"/>
        <v/>
      </c>
      <c r="B456" s="7"/>
      <c r="C456" s="7"/>
      <c r="D456" s="9"/>
      <c r="E456" s="9"/>
      <c r="F456" s="7"/>
      <c r="G456" s="7"/>
      <c r="H456" s="7"/>
      <c r="I456" s="7"/>
      <c r="J456" s="7"/>
      <c r="K456" s="7"/>
      <c r="L456" s="7"/>
      <c r="M456" s="7"/>
      <c r="N456" s="7"/>
      <c r="O456" s="7"/>
      <c r="P456" s="29"/>
      <c r="Q456" s="29"/>
      <c r="R456" s="7"/>
      <c r="S456" s="7"/>
      <c r="T456" s="7" t="str">
        <f ca="1">IFERROR(__xludf.DUMMYFUNCTION("SPARKLINE({
IF(D456="""",0,D456),
IF(F456="""",0,F456),
IF(H456="""",0,H456),
IF(J456="""",0,J456),
IF(L456="""",0,L456),
IF(N456="""",0,N456),
IF(P456="""",0,P456)
})"),"")</f>
        <v/>
      </c>
      <c r="U456" s="7" t="str">
        <f ca="1">IFERROR(__xludf.DUMMYFUNCTION("SPARKLINE({
IF(E456="""",0,E456),
IF(G456="""",0,G456),
IF(I456="""",0,I456),
IF(K456="""",0,K456),
IF(M456="""",0,M456),
IF(O456="""",0,O456),
IF(Q456="""",0,Q456)
})"),"")</f>
        <v/>
      </c>
      <c r="V456" s="8" t="e">
        <f t="array" aca="1" ref="V456" ca="1">IF($C$4="Giao",_xludf.Xlookup(C456,#REF!,#REF!,),_xludf.Xlookup(C456,#REF!,#REF!,))</f>
        <v>#NAME?</v>
      </c>
      <c r="W456" s="8" t="e">
        <f t="array" aca="1" ref="W456" ca="1">IF($C$4="Giao", _xludf.Xlookup(C456,#REF!,#REF!,),)</f>
        <v>#NAME?</v>
      </c>
      <c r="X456" s="9" t="e">
        <f t="shared" ca="1" si="6"/>
        <v>#NAME?</v>
      </c>
      <c r="Y456" s="7"/>
      <c r="Z456" s="7"/>
    </row>
    <row r="457" spans="1:26" ht="13" x14ac:dyDescent="0.6">
      <c r="A457" s="28" t="str">
        <f t="shared" si="5"/>
        <v/>
      </c>
      <c r="B457" s="7"/>
      <c r="C457" s="7"/>
      <c r="D457" s="9"/>
      <c r="E457" s="9"/>
      <c r="F457" s="7"/>
      <c r="G457" s="7"/>
      <c r="H457" s="7"/>
      <c r="I457" s="7"/>
      <c r="J457" s="7"/>
      <c r="K457" s="7"/>
      <c r="L457" s="7"/>
      <c r="M457" s="7"/>
      <c r="N457" s="7"/>
      <c r="O457" s="7"/>
      <c r="P457" s="29"/>
      <c r="Q457" s="29"/>
      <c r="R457" s="7"/>
      <c r="S457" s="7"/>
      <c r="T457" s="7" t="str">
        <f ca="1">IFERROR(__xludf.DUMMYFUNCTION("SPARKLINE({
IF(D457="""",0,D457),
IF(F457="""",0,F457),
IF(H457="""",0,H457),
IF(J457="""",0,J457),
IF(L457="""",0,L457),
IF(N457="""",0,N457),
IF(P457="""",0,P457)
})"),"")</f>
        <v/>
      </c>
      <c r="U457" s="7" t="str">
        <f ca="1">IFERROR(__xludf.DUMMYFUNCTION("SPARKLINE({
IF(E457="""",0,E457),
IF(G457="""",0,G457),
IF(I457="""",0,I457),
IF(K457="""",0,K457),
IF(M457="""",0,M457),
IF(O457="""",0,O457),
IF(Q457="""",0,Q457)
})"),"")</f>
        <v/>
      </c>
      <c r="V457" s="8" t="e">
        <f t="array" aca="1" ref="V457" ca="1">IF($C$4="Giao",_xludf.Xlookup(C457,#REF!,#REF!,),_xludf.Xlookup(C457,#REF!,#REF!,))</f>
        <v>#NAME?</v>
      </c>
      <c r="W457" s="8" t="e">
        <f t="array" aca="1" ref="W457" ca="1">IF($C$4="Giao", _xludf.Xlookup(C457,#REF!,#REF!,),)</f>
        <v>#NAME?</v>
      </c>
      <c r="X457" s="9" t="e">
        <f t="shared" ca="1" si="6"/>
        <v>#NAME?</v>
      </c>
      <c r="Y457" s="7"/>
      <c r="Z457" s="7"/>
    </row>
    <row r="458" spans="1:26" ht="13" x14ac:dyDescent="0.6">
      <c r="A458" s="28" t="str">
        <f t="shared" si="5"/>
        <v/>
      </c>
      <c r="B458" s="7"/>
      <c r="C458" s="7"/>
      <c r="D458" s="9"/>
      <c r="E458" s="9"/>
      <c r="F458" s="7"/>
      <c r="G458" s="7"/>
      <c r="H458" s="7"/>
      <c r="I458" s="7"/>
      <c r="J458" s="7"/>
      <c r="K458" s="7"/>
      <c r="L458" s="7"/>
      <c r="M458" s="7"/>
      <c r="N458" s="7"/>
      <c r="O458" s="7"/>
      <c r="P458" s="29"/>
      <c r="Q458" s="29"/>
      <c r="R458" s="7"/>
      <c r="S458" s="7"/>
      <c r="T458" s="7" t="str">
        <f ca="1">IFERROR(__xludf.DUMMYFUNCTION("SPARKLINE({
IF(D458="""",0,D458),
IF(F458="""",0,F458),
IF(H458="""",0,H458),
IF(J458="""",0,J458),
IF(L458="""",0,L458),
IF(N458="""",0,N458),
IF(P458="""",0,P458)
})"),"")</f>
        <v/>
      </c>
      <c r="U458" s="7" t="str">
        <f ca="1">IFERROR(__xludf.DUMMYFUNCTION("SPARKLINE({
IF(E458="""",0,E458),
IF(G458="""",0,G458),
IF(I458="""",0,I458),
IF(K458="""",0,K458),
IF(M458="""",0,M458),
IF(O458="""",0,O458),
IF(Q458="""",0,Q458)
})"),"")</f>
        <v/>
      </c>
      <c r="V458" s="8" t="e">
        <f t="array" aca="1" ref="V458" ca="1">IF($C$4="Giao",_xludf.Xlookup(C458,#REF!,#REF!,),_xludf.Xlookup(C458,#REF!,#REF!,))</f>
        <v>#NAME?</v>
      </c>
      <c r="W458" s="8" t="e">
        <f t="array" aca="1" ref="W458" ca="1">IF($C$4="Giao", _xludf.Xlookup(C458,#REF!,#REF!,),)</f>
        <v>#NAME?</v>
      </c>
      <c r="X458" s="9" t="e">
        <f t="shared" ca="1" si="6"/>
        <v>#NAME?</v>
      </c>
      <c r="Y458" s="7"/>
      <c r="Z458" s="7"/>
    </row>
    <row r="459" spans="1:26" ht="13" x14ac:dyDescent="0.6">
      <c r="A459" s="28" t="str">
        <f t="shared" si="5"/>
        <v/>
      </c>
      <c r="B459" s="7"/>
      <c r="C459" s="7"/>
      <c r="D459" s="9"/>
      <c r="E459" s="9"/>
      <c r="F459" s="7"/>
      <c r="G459" s="7"/>
      <c r="H459" s="7"/>
      <c r="I459" s="7"/>
      <c r="J459" s="7"/>
      <c r="K459" s="7"/>
      <c r="L459" s="7"/>
      <c r="M459" s="7"/>
      <c r="N459" s="7"/>
      <c r="O459" s="7"/>
      <c r="P459" s="29"/>
      <c r="Q459" s="29"/>
      <c r="R459" s="7"/>
      <c r="S459" s="7"/>
      <c r="T459" s="7" t="str">
        <f ca="1">IFERROR(__xludf.DUMMYFUNCTION("SPARKLINE({
IF(D459="""",0,D459),
IF(F459="""",0,F459),
IF(H459="""",0,H459),
IF(J459="""",0,J459),
IF(L459="""",0,L459),
IF(N459="""",0,N459),
IF(P459="""",0,P459)
})"),"")</f>
        <v/>
      </c>
      <c r="U459" s="7" t="str">
        <f ca="1">IFERROR(__xludf.DUMMYFUNCTION("SPARKLINE({
IF(E459="""",0,E459),
IF(G459="""",0,G459),
IF(I459="""",0,I459),
IF(K459="""",0,K459),
IF(M459="""",0,M459),
IF(O459="""",0,O459),
IF(Q459="""",0,Q459)
})"),"")</f>
        <v/>
      </c>
      <c r="V459" s="8" t="e">
        <f t="array" aca="1" ref="V459" ca="1">IF($C$4="Giao",_xludf.Xlookup(C459,#REF!,#REF!,),_xludf.Xlookup(C459,#REF!,#REF!,))</f>
        <v>#NAME?</v>
      </c>
      <c r="W459" s="8" t="e">
        <f t="array" aca="1" ref="W459" ca="1">IF($C$4="Giao", _xludf.Xlookup(C459,#REF!,#REF!,),)</f>
        <v>#NAME?</v>
      </c>
      <c r="X459" s="9" t="e">
        <f t="shared" ca="1" si="6"/>
        <v>#NAME?</v>
      </c>
      <c r="Y459" s="7"/>
      <c r="Z459" s="7"/>
    </row>
    <row r="460" spans="1:26" ht="13" x14ac:dyDescent="0.6">
      <c r="A460" s="28" t="str">
        <f t="shared" si="5"/>
        <v/>
      </c>
      <c r="B460" s="7"/>
      <c r="C460" s="7"/>
      <c r="D460" s="9"/>
      <c r="E460" s="9"/>
      <c r="F460" s="7"/>
      <c r="G460" s="7"/>
      <c r="H460" s="7"/>
      <c r="I460" s="7"/>
      <c r="J460" s="7"/>
      <c r="K460" s="7"/>
      <c r="L460" s="7"/>
      <c r="M460" s="7"/>
      <c r="N460" s="7"/>
      <c r="O460" s="7"/>
      <c r="P460" s="29"/>
      <c r="Q460" s="29"/>
      <c r="R460" s="7"/>
      <c r="S460" s="7"/>
      <c r="T460" s="7" t="str">
        <f ca="1">IFERROR(__xludf.DUMMYFUNCTION("SPARKLINE({
IF(D460="""",0,D460),
IF(F460="""",0,F460),
IF(H460="""",0,H460),
IF(J460="""",0,J460),
IF(L460="""",0,L460),
IF(N460="""",0,N460),
IF(P460="""",0,P460)
})"),"")</f>
        <v/>
      </c>
      <c r="U460" s="7" t="str">
        <f ca="1">IFERROR(__xludf.DUMMYFUNCTION("SPARKLINE({
IF(E460="""",0,E460),
IF(G460="""",0,G460),
IF(I460="""",0,I460),
IF(K460="""",0,K460),
IF(M460="""",0,M460),
IF(O460="""",0,O460),
IF(Q460="""",0,Q460)
})"),"")</f>
        <v/>
      </c>
      <c r="V460" s="8" t="e">
        <f t="array" aca="1" ref="V460" ca="1">IF($C$4="Giao",_xludf.Xlookup(C460,#REF!,#REF!,),_xludf.Xlookup(C460,#REF!,#REF!,))</f>
        <v>#NAME?</v>
      </c>
      <c r="W460" s="8" t="e">
        <f t="array" aca="1" ref="W460" ca="1">IF($C$4="Giao", _xludf.Xlookup(C460,#REF!,#REF!,),)</f>
        <v>#NAME?</v>
      </c>
      <c r="X460" s="9" t="e">
        <f t="shared" ca="1" si="6"/>
        <v>#NAME?</v>
      </c>
      <c r="Y460" s="7"/>
      <c r="Z460" s="7"/>
    </row>
    <row r="461" spans="1:26" ht="13" x14ac:dyDescent="0.6">
      <c r="A461" s="28" t="str">
        <f t="shared" si="5"/>
        <v/>
      </c>
      <c r="B461" s="7"/>
      <c r="C461" s="7"/>
      <c r="D461" s="9"/>
      <c r="E461" s="9"/>
      <c r="F461" s="7"/>
      <c r="G461" s="7"/>
      <c r="H461" s="7"/>
      <c r="I461" s="7"/>
      <c r="J461" s="7"/>
      <c r="K461" s="7"/>
      <c r="L461" s="7"/>
      <c r="M461" s="7"/>
      <c r="N461" s="7"/>
      <c r="O461" s="7"/>
      <c r="P461" s="29"/>
      <c r="Q461" s="29"/>
      <c r="R461" s="7"/>
      <c r="S461" s="7"/>
      <c r="T461" s="7" t="str">
        <f ca="1">IFERROR(__xludf.DUMMYFUNCTION("SPARKLINE({
IF(D461="""",0,D461),
IF(F461="""",0,F461),
IF(H461="""",0,H461),
IF(J461="""",0,J461),
IF(L461="""",0,L461),
IF(N461="""",0,N461),
IF(P461="""",0,P461)
})"),"")</f>
        <v/>
      </c>
      <c r="U461" s="7" t="str">
        <f ca="1">IFERROR(__xludf.DUMMYFUNCTION("SPARKLINE({
IF(E461="""",0,E461),
IF(G461="""",0,G461),
IF(I461="""",0,I461),
IF(K461="""",0,K461),
IF(M461="""",0,M461),
IF(O461="""",0,O461),
IF(Q461="""",0,Q461)
})"),"")</f>
        <v/>
      </c>
      <c r="V461" s="8" t="e">
        <f t="array" aca="1" ref="V461" ca="1">IF($C$4="Giao",_xludf.Xlookup(C461,#REF!,#REF!,),_xludf.Xlookup(C461,#REF!,#REF!,))</f>
        <v>#NAME?</v>
      </c>
      <c r="W461" s="8" t="e">
        <f t="array" aca="1" ref="W461" ca="1">IF($C$4="Giao", _xludf.Xlookup(C461,#REF!,#REF!,),)</f>
        <v>#NAME?</v>
      </c>
      <c r="X461" s="9" t="e">
        <f t="shared" ca="1" si="6"/>
        <v>#NAME?</v>
      </c>
      <c r="Y461" s="7"/>
      <c r="Z461" s="7"/>
    </row>
    <row r="462" spans="1:26" ht="13" x14ac:dyDescent="0.6">
      <c r="A462" s="28" t="str">
        <f t="shared" si="5"/>
        <v/>
      </c>
      <c r="B462" s="7"/>
      <c r="C462" s="7"/>
      <c r="D462" s="9"/>
      <c r="E462" s="9"/>
      <c r="F462" s="7"/>
      <c r="G462" s="7"/>
      <c r="H462" s="7"/>
      <c r="I462" s="7"/>
      <c r="J462" s="7"/>
      <c r="K462" s="7"/>
      <c r="L462" s="7"/>
      <c r="M462" s="7"/>
      <c r="N462" s="7"/>
      <c r="O462" s="7"/>
      <c r="P462" s="29"/>
      <c r="Q462" s="29"/>
      <c r="R462" s="7"/>
      <c r="S462" s="7"/>
      <c r="T462" s="7" t="str">
        <f ca="1">IFERROR(__xludf.DUMMYFUNCTION("SPARKLINE({
IF(D462="""",0,D462),
IF(F462="""",0,F462),
IF(H462="""",0,H462),
IF(J462="""",0,J462),
IF(L462="""",0,L462),
IF(N462="""",0,N462),
IF(P462="""",0,P462)
})"),"")</f>
        <v/>
      </c>
      <c r="U462" s="7" t="str">
        <f ca="1">IFERROR(__xludf.DUMMYFUNCTION("SPARKLINE({
IF(E462="""",0,E462),
IF(G462="""",0,G462),
IF(I462="""",0,I462),
IF(K462="""",0,K462),
IF(M462="""",0,M462),
IF(O462="""",0,O462),
IF(Q462="""",0,Q462)
})"),"")</f>
        <v/>
      </c>
      <c r="V462" s="8" t="e">
        <f t="array" aca="1" ref="V462" ca="1">IF($C$4="Giao",_xludf.Xlookup(C462,#REF!,#REF!,),_xludf.Xlookup(C462,#REF!,#REF!,))</f>
        <v>#NAME?</v>
      </c>
      <c r="W462" s="8" t="e">
        <f t="array" aca="1" ref="W462" ca="1">IF($C$4="Giao", _xludf.Xlookup(C462,#REF!,#REF!,),)</f>
        <v>#NAME?</v>
      </c>
      <c r="X462" s="9" t="e">
        <f t="shared" ca="1" si="6"/>
        <v>#NAME?</v>
      </c>
      <c r="Y462" s="7"/>
      <c r="Z462" s="7"/>
    </row>
    <row r="463" spans="1:26" ht="13" x14ac:dyDescent="0.6">
      <c r="A463" s="28" t="str">
        <f t="shared" si="5"/>
        <v/>
      </c>
      <c r="B463" s="7"/>
      <c r="C463" s="7"/>
      <c r="D463" s="9"/>
      <c r="E463" s="9"/>
      <c r="F463" s="7"/>
      <c r="G463" s="7"/>
      <c r="H463" s="7"/>
      <c r="I463" s="7"/>
      <c r="J463" s="7"/>
      <c r="K463" s="7"/>
      <c r="L463" s="7"/>
      <c r="M463" s="7"/>
      <c r="N463" s="7"/>
      <c r="O463" s="7"/>
      <c r="P463" s="29"/>
      <c r="Q463" s="29"/>
      <c r="R463" s="7"/>
      <c r="S463" s="7"/>
      <c r="T463" s="7" t="str">
        <f ca="1">IFERROR(__xludf.DUMMYFUNCTION("SPARKLINE({
IF(D463="""",0,D463),
IF(F463="""",0,F463),
IF(H463="""",0,H463),
IF(J463="""",0,J463),
IF(L463="""",0,L463),
IF(N463="""",0,N463),
IF(P463="""",0,P463)
})"),"")</f>
        <v/>
      </c>
      <c r="U463" s="7" t="str">
        <f ca="1">IFERROR(__xludf.DUMMYFUNCTION("SPARKLINE({
IF(E463="""",0,E463),
IF(G463="""",0,G463),
IF(I463="""",0,I463),
IF(K463="""",0,K463),
IF(M463="""",0,M463),
IF(O463="""",0,O463),
IF(Q463="""",0,Q463)
})"),"")</f>
        <v/>
      </c>
      <c r="V463" s="8" t="e">
        <f t="array" aca="1" ref="V463" ca="1">IF($C$4="Giao",_xludf.Xlookup(C463,#REF!,#REF!,),_xludf.Xlookup(C463,#REF!,#REF!,))</f>
        <v>#NAME?</v>
      </c>
      <c r="W463" s="8" t="e">
        <f t="array" aca="1" ref="W463" ca="1">IF($C$4="Giao", _xludf.Xlookup(C463,#REF!,#REF!,),)</f>
        <v>#NAME?</v>
      </c>
      <c r="X463" s="9" t="e">
        <f t="shared" ca="1" si="6"/>
        <v>#NAME?</v>
      </c>
      <c r="Y463" s="7"/>
      <c r="Z463" s="7"/>
    </row>
    <row r="464" spans="1:26" ht="13" x14ac:dyDescent="0.6">
      <c r="A464" s="28" t="str">
        <f t="shared" si="5"/>
        <v/>
      </c>
      <c r="B464" s="7"/>
      <c r="C464" s="7"/>
      <c r="D464" s="9"/>
      <c r="E464" s="9"/>
      <c r="F464" s="7"/>
      <c r="G464" s="7"/>
      <c r="H464" s="7"/>
      <c r="I464" s="7"/>
      <c r="J464" s="7"/>
      <c r="K464" s="7"/>
      <c r="L464" s="7"/>
      <c r="M464" s="7"/>
      <c r="N464" s="7"/>
      <c r="O464" s="7"/>
      <c r="P464" s="29"/>
      <c r="Q464" s="29"/>
      <c r="R464" s="7"/>
      <c r="S464" s="7"/>
      <c r="T464" s="7" t="str">
        <f ca="1">IFERROR(__xludf.DUMMYFUNCTION("SPARKLINE({
IF(D464="""",0,D464),
IF(F464="""",0,F464),
IF(H464="""",0,H464),
IF(J464="""",0,J464),
IF(L464="""",0,L464),
IF(N464="""",0,N464),
IF(P464="""",0,P464)
})"),"")</f>
        <v/>
      </c>
      <c r="U464" s="7" t="str">
        <f ca="1">IFERROR(__xludf.DUMMYFUNCTION("SPARKLINE({
IF(E464="""",0,E464),
IF(G464="""",0,G464),
IF(I464="""",0,I464),
IF(K464="""",0,K464),
IF(M464="""",0,M464),
IF(O464="""",0,O464),
IF(Q464="""",0,Q464)
})"),"")</f>
        <v/>
      </c>
      <c r="V464" s="8" t="e">
        <f t="array" aca="1" ref="V464" ca="1">IF($C$4="Giao",_xludf.Xlookup(C464,#REF!,#REF!,),_xludf.Xlookup(C464,#REF!,#REF!,))</f>
        <v>#NAME?</v>
      </c>
      <c r="W464" s="8" t="e">
        <f t="array" aca="1" ref="W464" ca="1">IF($C$4="Giao", _xludf.Xlookup(C464,#REF!,#REF!,),)</f>
        <v>#NAME?</v>
      </c>
      <c r="X464" s="9" t="e">
        <f t="shared" ca="1" si="6"/>
        <v>#NAME?</v>
      </c>
      <c r="Y464" s="7"/>
      <c r="Z464" s="7"/>
    </row>
    <row r="465" spans="1:26" ht="13" x14ac:dyDescent="0.6">
      <c r="A465" s="28" t="str">
        <f t="shared" si="5"/>
        <v/>
      </c>
      <c r="B465" s="7"/>
      <c r="C465" s="7"/>
      <c r="D465" s="9"/>
      <c r="E465" s="9"/>
      <c r="F465" s="7"/>
      <c r="G465" s="7"/>
      <c r="H465" s="7"/>
      <c r="I465" s="7"/>
      <c r="J465" s="7"/>
      <c r="K465" s="7"/>
      <c r="L465" s="7"/>
      <c r="M465" s="7"/>
      <c r="N465" s="7"/>
      <c r="O465" s="7"/>
      <c r="P465" s="29"/>
      <c r="Q465" s="29"/>
      <c r="R465" s="7"/>
      <c r="S465" s="7"/>
      <c r="T465" s="7" t="str">
        <f ca="1">IFERROR(__xludf.DUMMYFUNCTION("SPARKLINE({
IF(D465="""",0,D465),
IF(F465="""",0,F465),
IF(H465="""",0,H465),
IF(J465="""",0,J465),
IF(L465="""",0,L465),
IF(N465="""",0,N465),
IF(P465="""",0,P465)
})"),"")</f>
        <v/>
      </c>
      <c r="U465" s="7" t="str">
        <f ca="1">IFERROR(__xludf.DUMMYFUNCTION("SPARKLINE({
IF(E465="""",0,E465),
IF(G465="""",0,G465),
IF(I465="""",0,I465),
IF(K465="""",0,K465),
IF(M465="""",0,M465),
IF(O465="""",0,O465),
IF(Q465="""",0,Q465)
})"),"")</f>
        <v/>
      </c>
      <c r="V465" s="8" t="e">
        <f t="array" aca="1" ref="V465" ca="1">IF($C$4="Giao",_xludf.Xlookup(C465,#REF!,#REF!,),_xludf.Xlookup(C465,#REF!,#REF!,))</f>
        <v>#NAME?</v>
      </c>
      <c r="W465" s="8" t="e">
        <f t="array" aca="1" ref="W465" ca="1">IF($C$4="Giao", _xludf.Xlookup(C465,#REF!,#REF!,),)</f>
        <v>#NAME?</v>
      </c>
      <c r="X465" s="9" t="e">
        <f t="shared" ca="1" si="6"/>
        <v>#NAME?</v>
      </c>
      <c r="Y465" s="7"/>
      <c r="Z465" s="7"/>
    </row>
    <row r="466" spans="1:26" ht="13" x14ac:dyDescent="0.6">
      <c r="A466" s="28" t="str">
        <f t="shared" si="5"/>
        <v/>
      </c>
      <c r="B466" s="7"/>
      <c r="C466" s="7"/>
      <c r="D466" s="9"/>
      <c r="E466" s="9"/>
      <c r="F466" s="7"/>
      <c r="G466" s="7"/>
      <c r="H466" s="7"/>
      <c r="I466" s="7"/>
      <c r="J466" s="7"/>
      <c r="K466" s="7"/>
      <c r="L466" s="7"/>
      <c r="M466" s="7"/>
      <c r="N466" s="7"/>
      <c r="O466" s="7"/>
      <c r="P466" s="29"/>
      <c r="Q466" s="29"/>
      <c r="R466" s="7"/>
      <c r="S466" s="7"/>
      <c r="T466" s="7" t="str">
        <f ca="1">IFERROR(__xludf.DUMMYFUNCTION("SPARKLINE({
IF(D466="""",0,D466),
IF(F466="""",0,F466),
IF(H466="""",0,H466),
IF(J466="""",0,J466),
IF(L466="""",0,L466),
IF(N466="""",0,N466),
IF(P466="""",0,P466)
})"),"")</f>
        <v/>
      </c>
      <c r="U466" s="7" t="str">
        <f ca="1">IFERROR(__xludf.DUMMYFUNCTION("SPARKLINE({
IF(E466="""",0,E466),
IF(G466="""",0,G466),
IF(I466="""",0,I466),
IF(K466="""",0,K466),
IF(M466="""",0,M466),
IF(O466="""",0,O466),
IF(Q466="""",0,Q466)
})"),"")</f>
        <v/>
      </c>
      <c r="V466" s="8" t="e">
        <f t="array" aca="1" ref="V466" ca="1">IF($C$4="Giao",_xludf.Xlookup(C466,#REF!,#REF!,),_xludf.Xlookup(C466,#REF!,#REF!,))</f>
        <v>#NAME?</v>
      </c>
      <c r="W466" s="8" t="e">
        <f t="array" aca="1" ref="W466" ca="1">IF($C$4="Giao", _xludf.Xlookup(C466,#REF!,#REF!,),)</f>
        <v>#NAME?</v>
      </c>
      <c r="X466" s="9" t="e">
        <f t="shared" ca="1" si="6"/>
        <v>#NAME?</v>
      </c>
      <c r="Y466" s="7"/>
      <c r="Z466" s="7"/>
    </row>
    <row r="467" spans="1:26" ht="13" x14ac:dyDescent="0.6">
      <c r="A467" s="28" t="str">
        <f t="shared" si="5"/>
        <v/>
      </c>
      <c r="B467" s="7"/>
      <c r="C467" s="7"/>
      <c r="D467" s="9"/>
      <c r="E467" s="9"/>
      <c r="F467" s="7"/>
      <c r="G467" s="7"/>
      <c r="H467" s="7"/>
      <c r="I467" s="7"/>
      <c r="J467" s="7"/>
      <c r="K467" s="7"/>
      <c r="L467" s="7"/>
      <c r="M467" s="7"/>
      <c r="N467" s="7"/>
      <c r="O467" s="7"/>
      <c r="P467" s="29"/>
      <c r="Q467" s="29"/>
      <c r="R467" s="7"/>
      <c r="S467" s="7"/>
      <c r="T467" s="7" t="str">
        <f ca="1">IFERROR(__xludf.DUMMYFUNCTION("SPARKLINE({
IF(D467="""",0,D467),
IF(F467="""",0,F467),
IF(H467="""",0,H467),
IF(J467="""",0,J467),
IF(L467="""",0,L467),
IF(N467="""",0,N467),
IF(P467="""",0,P467)
})"),"")</f>
        <v/>
      </c>
      <c r="U467" s="7" t="str">
        <f ca="1">IFERROR(__xludf.DUMMYFUNCTION("SPARKLINE({
IF(E467="""",0,E467),
IF(G467="""",0,G467),
IF(I467="""",0,I467),
IF(K467="""",0,K467),
IF(M467="""",0,M467),
IF(O467="""",0,O467),
IF(Q467="""",0,Q467)
})"),"")</f>
        <v/>
      </c>
      <c r="V467" s="8" t="e">
        <f t="array" aca="1" ref="V467" ca="1">IF($C$4="Giao",_xludf.Xlookup(C467,#REF!,#REF!,),_xludf.Xlookup(C467,#REF!,#REF!,))</f>
        <v>#NAME?</v>
      </c>
      <c r="W467" s="8" t="e">
        <f t="array" aca="1" ref="W467" ca="1">IF($C$4="Giao", _xludf.Xlookup(C467,#REF!,#REF!,),)</f>
        <v>#NAME?</v>
      </c>
      <c r="X467" s="9" t="e">
        <f t="shared" ca="1" si="6"/>
        <v>#NAME?</v>
      </c>
      <c r="Y467" s="7"/>
      <c r="Z467" s="7"/>
    </row>
    <row r="468" spans="1:26" ht="13" x14ac:dyDescent="0.6">
      <c r="A468" s="28" t="str">
        <f t="shared" si="5"/>
        <v/>
      </c>
      <c r="B468" s="7"/>
      <c r="C468" s="7"/>
      <c r="D468" s="9"/>
      <c r="E468" s="9"/>
      <c r="F468" s="7"/>
      <c r="G468" s="7"/>
      <c r="H468" s="7"/>
      <c r="I468" s="7"/>
      <c r="J468" s="7"/>
      <c r="K468" s="7"/>
      <c r="L468" s="7"/>
      <c r="M468" s="7"/>
      <c r="N468" s="7"/>
      <c r="O468" s="7"/>
      <c r="P468" s="29"/>
      <c r="Q468" s="29"/>
      <c r="R468" s="7"/>
      <c r="S468" s="7"/>
      <c r="T468" s="7" t="str">
        <f ca="1">IFERROR(__xludf.DUMMYFUNCTION("SPARKLINE({
IF(D468="""",0,D468),
IF(F468="""",0,F468),
IF(H468="""",0,H468),
IF(J468="""",0,J468),
IF(L468="""",0,L468),
IF(N468="""",0,N468),
IF(P468="""",0,P468)
})"),"")</f>
        <v/>
      </c>
      <c r="U468" s="7" t="str">
        <f ca="1">IFERROR(__xludf.DUMMYFUNCTION("SPARKLINE({
IF(E468="""",0,E468),
IF(G468="""",0,G468),
IF(I468="""",0,I468),
IF(K468="""",0,K468),
IF(M468="""",0,M468),
IF(O468="""",0,O468),
IF(Q468="""",0,Q468)
})"),"")</f>
        <v/>
      </c>
      <c r="V468" s="8" t="e">
        <f t="array" aca="1" ref="V468" ca="1">IF($C$4="Giao",_xludf.Xlookup(C468,#REF!,#REF!,),_xludf.Xlookup(C468,#REF!,#REF!,))</f>
        <v>#NAME?</v>
      </c>
      <c r="W468" s="8" t="e">
        <f t="array" aca="1" ref="W468" ca="1">IF($C$4="Giao", _xludf.Xlookup(C468,#REF!,#REF!,),)</f>
        <v>#NAME?</v>
      </c>
      <c r="X468" s="9" t="e">
        <f t="shared" ca="1" si="6"/>
        <v>#NAME?</v>
      </c>
      <c r="Y468" s="7"/>
      <c r="Z468" s="7"/>
    </row>
    <row r="469" spans="1:26" ht="13" x14ac:dyDescent="0.6">
      <c r="A469" s="28" t="str">
        <f t="shared" si="5"/>
        <v/>
      </c>
      <c r="B469" s="7"/>
      <c r="C469" s="7"/>
      <c r="D469" s="9"/>
      <c r="E469" s="9"/>
      <c r="F469" s="7"/>
      <c r="G469" s="7"/>
      <c r="H469" s="7"/>
      <c r="I469" s="7"/>
      <c r="J469" s="7"/>
      <c r="K469" s="7"/>
      <c r="L469" s="7"/>
      <c r="M469" s="7"/>
      <c r="N469" s="7"/>
      <c r="O469" s="7"/>
      <c r="P469" s="29"/>
      <c r="Q469" s="29"/>
      <c r="R469" s="7"/>
      <c r="S469" s="7"/>
      <c r="T469" s="7" t="str">
        <f ca="1">IFERROR(__xludf.DUMMYFUNCTION("SPARKLINE({
IF(D469="""",0,D469),
IF(F469="""",0,F469),
IF(H469="""",0,H469),
IF(J469="""",0,J469),
IF(L469="""",0,L469),
IF(N469="""",0,N469),
IF(P469="""",0,P469)
})"),"")</f>
        <v/>
      </c>
      <c r="U469" s="7" t="str">
        <f ca="1">IFERROR(__xludf.DUMMYFUNCTION("SPARKLINE({
IF(E469="""",0,E469),
IF(G469="""",0,G469),
IF(I469="""",0,I469),
IF(K469="""",0,K469),
IF(M469="""",0,M469),
IF(O469="""",0,O469),
IF(Q469="""",0,Q469)
})"),"")</f>
        <v/>
      </c>
      <c r="V469" s="8" t="e">
        <f t="array" aca="1" ref="V469" ca="1">IF($C$4="Giao",_xludf.Xlookup(C469,#REF!,#REF!,),_xludf.Xlookup(C469,#REF!,#REF!,))</f>
        <v>#NAME?</v>
      </c>
      <c r="W469" s="8" t="e">
        <f t="array" aca="1" ref="W469" ca="1">IF($C$4="Giao", _xludf.Xlookup(C469,#REF!,#REF!,),)</f>
        <v>#NAME?</v>
      </c>
      <c r="X469" s="9" t="e">
        <f t="shared" ca="1" si="6"/>
        <v>#NAME?</v>
      </c>
      <c r="Y469" s="7"/>
      <c r="Z469" s="7"/>
    </row>
    <row r="470" spans="1:26" ht="13" x14ac:dyDescent="0.6">
      <c r="A470" s="28" t="str">
        <f t="shared" si="5"/>
        <v/>
      </c>
      <c r="B470" s="7"/>
      <c r="C470" s="7"/>
      <c r="D470" s="9"/>
      <c r="E470" s="9"/>
      <c r="F470" s="7"/>
      <c r="G470" s="7"/>
      <c r="H470" s="7"/>
      <c r="I470" s="7"/>
      <c r="J470" s="7"/>
      <c r="K470" s="7"/>
      <c r="L470" s="7"/>
      <c r="M470" s="7"/>
      <c r="N470" s="7"/>
      <c r="O470" s="7"/>
      <c r="P470" s="29"/>
      <c r="Q470" s="29"/>
      <c r="R470" s="7"/>
      <c r="S470" s="7"/>
      <c r="T470" s="7" t="str">
        <f ca="1">IFERROR(__xludf.DUMMYFUNCTION("SPARKLINE({
IF(D470="""",0,D470),
IF(F470="""",0,F470),
IF(H470="""",0,H470),
IF(J470="""",0,J470),
IF(L470="""",0,L470),
IF(N470="""",0,N470),
IF(P470="""",0,P470)
})"),"")</f>
        <v/>
      </c>
      <c r="U470" s="7" t="str">
        <f ca="1">IFERROR(__xludf.DUMMYFUNCTION("SPARKLINE({
IF(E470="""",0,E470),
IF(G470="""",0,G470),
IF(I470="""",0,I470),
IF(K470="""",0,K470),
IF(M470="""",0,M470),
IF(O470="""",0,O470),
IF(Q470="""",0,Q470)
})"),"")</f>
        <v/>
      </c>
      <c r="V470" s="8" t="e">
        <f t="array" aca="1" ref="V470" ca="1">IF($C$4="Giao",_xludf.Xlookup(C470,#REF!,#REF!,),_xludf.Xlookup(C470,#REF!,#REF!,))</f>
        <v>#NAME?</v>
      </c>
      <c r="W470" s="8" t="e">
        <f t="array" aca="1" ref="W470" ca="1">IF($C$4="Giao", _xludf.Xlookup(C470,#REF!,#REF!,),)</f>
        <v>#NAME?</v>
      </c>
      <c r="X470" s="9" t="e">
        <f t="shared" ca="1" si="6"/>
        <v>#NAME?</v>
      </c>
      <c r="Y470" s="7"/>
      <c r="Z470" s="7"/>
    </row>
    <row r="471" spans="1:26" ht="13" x14ac:dyDescent="0.6">
      <c r="A471" s="28" t="str">
        <f t="shared" si="5"/>
        <v/>
      </c>
      <c r="B471" s="7"/>
      <c r="C471" s="7"/>
      <c r="D471" s="9"/>
      <c r="E471" s="9"/>
      <c r="F471" s="7"/>
      <c r="G471" s="7"/>
      <c r="H471" s="7"/>
      <c r="I471" s="7"/>
      <c r="J471" s="7"/>
      <c r="K471" s="7"/>
      <c r="L471" s="7"/>
      <c r="M471" s="7"/>
      <c r="N471" s="7"/>
      <c r="O471" s="7"/>
      <c r="P471" s="29"/>
      <c r="Q471" s="29"/>
      <c r="R471" s="7"/>
      <c r="S471" s="7"/>
      <c r="T471" s="7" t="str">
        <f ca="1">IFERROR(__xludf.DUMMYFUNCTION("SPARKLINE({
IF(D471="""",0,D471),
IF(F471="""",0,F471),
IF(H471="""",0,H471),
IF(J471="""",0,J471),
IF(L471="""",0,L471),
IF(N471="""",0,N471),
IF(P471="""",0,P471)
})"),"")</f>
        <v/>
      </c>
      <c r="U471" s="7" t="str">
        <f ca="1">IFERROR(__xludf.DUMMYFUNCTION("SPARKLINE({
IF(E471="""",0,E471),
IF(G471="""",0,G471),
IF(I471="""",0,I471),
IF(K471="""",0,K471),
IF(M471="""",0,M471),
IF(O471="""",0,O471),
IF(Q471="""",0,Q471)
})"),"")</f>
        <v/>
      </c>
      <c r="V471" s="8" t="e">
        <f t="array" aca="1" ref="V471" ca="1">IF($C$4="Giao",_xludf.Xlookup(C471,#REF!,#REF!,),_xludf.Xlookup(C471,#REF!,#REF!,))</f>
        <v>#NAME?</v>
      </c>
      <c r="W471" s="8" t="e">
        <f t="array" aca="1" ref="W471" ca="1">IF($C$4="Giao", _xludf.Xlookup(C471,#REF!,#REF!,),)</f>
        <v>#NAME?</v>
      </c>
      <c r="X471" s="9" t="e">
        <f t="shared" ca="1" si="6"/>
        <v>#NAME?</v>
      </c>
      <c r="Y471" s="7"/>
      <c r="Z471" s="7"/>
    </row>
    <row r="472" spans="1:26" ht="13" x14ac:dyDescent="0.6">
      <c r="A472" s="28" t="str">
        <f t="shared" si="5"/>
        <v/>
      </c>
      <c r="B472" s="7"/>
      <c r="C472" s="7"/>
      <c r="D472" s="9"/>
      <c r="E472" s="9"/>
      <c r="F472" s="7"/>
      <c r="G472" s="7"/>
      <c r="H472" s="7"/>
      <c r="I472" s="7"/>
      <c r="J472" s="7"/>
      <c r="K472" s="7"/>
      <c r="L472" s="7"/>
      <c r="M472" s="7"/>
      <c r="N472" s="7"/>
      <c r="O472" s="7"/>
      <c r="P472" s="29"/>
      <c r="Q472" s="29"/>
      <c r="R472" s="7"/>
      <c r="S472" s="7"/>
      <c r="T472" s="7" t="str">
        <f ca="1">IFERROR(__xludf.DUMMYFUNCTION("SPARKLINE({
IF(D472="""",0,D472),
IF(F472="""",0,F472),
IF(H472="""",0,H472),
IF(J472="""",0,J472),
IF(L472="""",0,L472),
IF(N472="""",0,N472),
IF(P472="""",0,P472)
})"),"")</f>
        <v/>
      </c>
      <c r="U472" s="7" t="str">
        <f ca="1">IFERROR(__xludf.DUMMYFUNCTION("SPARKLINE({
IF(E472="""",0,E472),
IF(G472="""",0,G472),
IF(I472="""",0,I472),
IF(K472="""",0,K472),
IF(M472="""",0,M472),
IF(O472="""",0,O472),
IF(Q472="""",0,Q472)
})"),"")</f>
        <v/>
      </c>
      <c r="V472" s="8" t="e">
        <f t="array" aca="1" ref="V472" ca="1">IF($C$4="Giao",_xludf.Xlookup(C472,#REF!,#REF!,),_xludf.Xlookup(C472,#REF!,#REF!,))</f>
        <v>#NAME?</v>
      </c>
      <c r="W472" s="8" t="e">
        <f t="array" aca="1" ref="W472" ca="1">IF($C$4="Giao", _xludf.Xlookup(C472,#REF!,#REF!,),)</f>
        <v>#NAME?</v>
      </c>
      <c r="X472" s="9" t="e">
        <f t="shared" ca="1" si="6"/>
        <v>#NAME?</v>
      </c>
      <c r="Y472" s="7"/>
      <c r="Z472" s="7"/>
    </row>
    <row r="473" spans="1:26" ht="13" x14ac:dyDescent="0.6">
      <c r="A473" s="28" t="str">
        <f t="shared" si="5"/>
        <v/>
      </c>
      <c r="B473" s="7"/>
      <c r="C473" s="7"/>
      <c r="D473" s="9"/>
      <c r="E473" s="9"/>
      <c r="F473" s="7"/>
      <c r="G473" s="7"/>
      <c r="H473" s="7"/>
      <c r="I473" s="7"/>
      <c r="J473" s="7"/>
      <c r="K473" s="7"/>
      <c r="L473" s="7"/>
      <c r="M473" s="7"/>
      <c r="N473" s="7"/>
      <c r="O473" s="7"/>
      <c r="P473" s="29"/>
      <c r="Q473" s="29"/>
      <c r="R473" s="7"/>
      <c r="S473" s="7"/>
      <c r="T473" s="7" t="str">
        <f ca="1">IFERROR(__xludf.DUMMYFUNCTION("SPARKLINE({
IF(D473="""",0,D473),
IF(F473="""",0,F473),
IF(H473="""",0,H473),
IF(J473="""",0,J473),
IF(L473="""",0,L473),
IF(N473="""",0,N473),
IF(P473="""",0,P473)
})"),"")</f>
        <v/>
      </c>
      <c r="U473" s="7" t="str">
        <f ca="1">IFERROR(__xludf.DUMMYFUNCTION("SPARKLINE({
IF(E473="""",0,E473),
IF(G473="""",0,G473),
IF(I473="""",0,I473),
IF(K473="""",0,K473),
IF(M473="""",0,M473),
IF(O473="""",0,O473),
IF(Q473="""",0,Q473)
})"),"")</f>
        <v/>
      </c>
      <c r="V473" s="8" t="e">
        <f t="array" aca="1" ref="V473" ca="1">IF($C$4="Giao",_xludf.Xlookup(C473,#REF!,#REF!,),_xludf.Xlookup(C473,#REF!,#REF!,))</f>
        <v>#NAME?</v>
      </c>
      <c r="W473" s="8" t="e">
        <f t="array" aca="1" ref="W473" ca="1">IF($C$4="Giao", _xludf.Xlookup(C473,#REF!,#REF!,),)</f>
        <v>#NAME?</v>
      </c>
      <c r="X473" s="9" t="e">
        <f t="shared" ca="1" si="6"/>
        <v>#NAME?</v>
      </c>
      <c r="Y473" s="7"/>
      <c r="Z473" s="7"/>
    </row>
    <row r="474" spans="1:26" ht="13" x14ac:dyDescent="0.6">
      <c r="A474" s="28" t="str">
        <f t="shared" si="5"/>
        <v/>
      </c>
      <c r="B474" s="7"/>
      <c r="C474" s="7"/>
      <c r="D474" s="9"/>
      <c r="E474" s="9"/>
      <c r="F474" s="7"/>
      <c r="G474" s="7"/>
      <c r="H474" s="7"/>
      <c r="I474" s="7"/>
      <c r="J474" s="7"/>
      <c r="K474" s="7"/>
      <c r="L474" s="7"/>
      <c r="M474" s="7"/>
      <c r="N474" s="7"/>
      <c r="O474" s="7"/>
      <c r="P474" s="29"/>
      <c r="Q474" s="29"/>
      <c r="R474" s="7"/>
      <c r="S474" s="7"/>
      <c r="T474" s="7" t="str">
        <f ca="1">IFERROR(__xludf.DUMMYFUNCTION("SPARKLINE({
IF(D474="""",0,D474),
IF(F474="""",0,F474),
IF(H474="""",0,H474),
IF(J474="""",0,J474),
IF(L474="""",0,L474),
IF(N474="""",0,N474),
IF(P474="""",0,P474)
})"),"")</f>
        <v/>
      </c>
      <c r="U474" s="7" t="str">
        <f ca="1">IFERROR(__xludf.DUMMYFUNCTION("SPARKLINE({
IF(E474="""",0,E474),
IF(G474="""",0,G474),
IF(I474="""",0,I474),
IF(K474="""",0,K474),
IF(M474="""",0,M474),
IF(O474="""",0,O474),
IF(Q474="""",0,Q474)
})"),"")</f>
        <v/>
      </c>
      <c r="V474" s="8" t="e">
        <f t="array" aca="1" ref="V474" ca="1">IF($C$4="Giao",_xludf.Xlookup(C474,#REF!,#REF!,),_xludf.Xlookup(C474,#REF!,#REF!,))</f>
        <v>#NAME?</v>
      </c>
      <c r="W474" s="8" t="e">
        <f t="array" aca="1" ref="W474" ca="1">IF($C$4="Giao", _xludf.Xlookup(C474,#REF!,#REF!,),)</f>
        <v>#NAME?</v>
      </c>
      <c r="X474" s="9" t="e">
        <f t="shared" ca="1" si="6"/>
        <v>#NAME?</v>
      </c>
      <c r="Y474" s="7"/>
      <c r="Z474" s="7"/>
    </row>
    <row r="475" spans="1:26" ht="13" x14ac:dyDescent="0.6">
      <c r="A475" s="28" t="str">
        <f t="shared" si="5"/>
        <v/>
      </c>
      <c r="B475" s="7"/>
      <c r="C475" s="7"/>
      <c r="D475" s="9"/>
      <c r="E475" s="9"/>
      <c r="F475" s="7"/>
      <c r="G475" s="7"/>
      <c r="H475" s="7"/>
      <c r="I475" s="7"/>
      <c r="J475" s="7"/>
      <c r="K475" s="7"/>
      <c r="L475" s="7"/>
      <c r="M475" s="7"/>
      <c r="N475" s="7"/>
      <c r="O475" s="7"/>
      <c r="P475" s="29"/>
      <c r="Q475" s="29"/>
      <c r="R475" s="7"/>
      <c r="S475" s="7"/>
      <c r="T475" s="7" t="str">
        <f ca="1">IFERROR(__xludf.DUMMYFUNCTION("SPARKLINE({
IF(D475="""",0,D475),
IF(F475="""",0,F475),
IF(H475="""",0,H475),
IF(J475="""",0,J475),
IF(L475="""",0,L475),
IF(N475="""",0,N475),
IF(P475="""",0,P475)
})"),"")</f>
        <v/>
      </c>
      <c r="U475" s="7" t="str">
        <f ca="1">IFERROR(__xludf.DUMMYFUNCTION("SPARKLINE({
IF(E475="""",0,E475),
IF(G475="""",0,G475),
IF(I475="""",0,I475),
IF(K475="""",0,K475),
IF(M475="""",0,M475),
IF(O475="""",0,O475),
IF(Q475="""",0,Q475)
})"),"")</f>
        <v/>
      </c>
      <c r="V475" s="8" t="e">
        <f t="array" aca="1" ref="V475" ca="1">IF($C$4="Giao",_xludf.Xlookup(C475,#REF!,#REF!,),_xludf.Xlookup(C475,#REF!,#REF!,))</f>
        <v>#NAME?</v>
      </c>
      <c r="W475" s="8" t="e">
        <f t="array" aca="1" ref="W475" ca="1">IF($C$4="Giao", _xludf.Xlookup(C475,#REF!,#REF!,),)</f>
        <v>#NAME?</v>
      </c>
      <c r="X475" s="9" t="e">
        <f t="shared" ca="1" si="6"/>
        <v>#NAME?</v>
      </c>
      <c r="Y475" s="7"/>
      <c r="Z475" s="7"/>
    </row>
    <row r="476" spans="1:26" ht="13" x14ac:dyDescent="0.6">
      <c r="A476" s="28" t="str">
        <f t="shared" si="5"/>
        <v/>
      </c>
      <c r="B476" s="7"/>
      <c r="C476" s="7"/>
      <c r="D476" s="9"/>
      <c r="E476" s="9"/>
      <c r="F476" s="7"/>
      <c r="G476" s="7"/>
      <c r="H476" s="7"/>
      <c r="I476" s="7"/>
      <c r="J476" s="7"/>
      <c r="K476" s="7"/>
      <c r="L476" s="7"/>
      <c r="M476" s="7"/>
      <c r="N476" s="7"/>
      <c r="O476" s="7"/>
      <c r="P476" s="29"/>
      <c r="Q476" s="29"/>
      <c r="R476" s="7"/>
      <c r="S476" s="7"/>
      <c r="T476" s="7" t="str">
        <f ca="1">IFERROR(__xludf.DUMMYFUNCTION("SPARKLINE({
IF(D476="""",0,D476),
IF(F476="""",0,F476),
IF(H476="""",0,H476),
IF(J476="""",0,J476),
IF(L476="""",0,L476),
IF(N476="""",0,N476),
IF(P476="""",0,P476)
})"),"")</f>
        <v/>
      </c>
      <c r="U476" s="7" t="str">
        <f ca="1">IFERROR(__xludf.DUMMYFUNCTION("SPARKLINE({
IF(E476="""",0,E476),
IF(G476="""",0,G476),
IF(I476="""",0,I476),
IF(K476="""",0,K476),
IF(M476="""",0,M476),
IF(O476="""",0,O476),
IF(Q476="""",0,Q476)
})"),"")</f>
        <v/>
      </c>
      <c r="V476" s="8" t="e">
        <f t="array" aca="1" ref="V476" ca="1">IF($C$4="Giao",_xludf.Xlookup(C476,#REF!,#REF!,),_xludf.Xlookup(C476,#REF!,#REF!,))</f>
        <v>#NAME?</v>
      </c>
      <c r="W476" s="8" t="e">
        <f t="array" aca="1" ref="W476" ca="1">IF($C$4="Giao", _xludf.Xlookup(C476,#REF!,#REF!,),)</f>
        <v>#NAME?</v>
      </c>
      <c r="X476" s="9" t="e">
        <f t="shared" ca="1" si="6"/>
        <v>#NAME?</v>
      </c>
      <c r="Y476" s="7"/>
      <c r="Z476" s="7"/>
    </row>
    <row r="477" spans="1:26" ht="13" x14ac:dyDescent="0.6">
      <c r="A477" s="28" t="str">
        <f t="shared" si="5"/>
        <v/>
      </c>
      <c r="B477" s="7"/>
      <c r="C477" s="7"/>
      <c r="D477" s="9"/>
      <c r="E477" s="9"/>
      <c r="F477" s="7"/>
      <c r="G477" s="7"/>
      <c r="H477" s="7"/>
      <c r="I477" s="7"/>
      <c r="J477" s="7"/>
      <c r="K477" s="7"/>
      <c r="L477" s="7"/>
      <c r="M477" s="7"/>
      <c r="N477" s="7"/>
      <c r="O477" s="7"/>
      <c r="P477" s="29"/>
      <c r="Q477" s="29"/>
      <c r="R477" s="7"/>
      <c r="S477" s="7"/>
      <c r="T477" s="7" t="str">
        <f ca="1">IFERROR(__xludf.DUMMYFUNCTION("SPARKLINE({
IF(D477="""",0,D477),
IF(F477="""",0,F477),
IF(H477="""",0,H477),
IF(J477="""",0,J477),
IF(L477="""",0,L477),
IF(N477="""",0,N477),
IF(P477="""",0,P477)
})"),"")</f>
        <v/>
      </c>
      <c r="U477" s="7" t="str">
        <f ca="1">IFERROR(__xludf.DUMMYFUNCTION("SPARKLINE({
IF(E477="""",0,E477),
IF(G477="""",0,G477),
IF(I477="""",0,I477),
IF(K477="""",0,K477),
IF(M477="""",0,M477),
IF(O477="""",0,O477),
IF(Q477="""",0,Q477)
})"),"")</f>
        <v/>
      </c>
      <c r="V477" s="8" t="e">
        <f t="array" aca="1" ref="V477" ca="1">IF($C$4="Giao",_xludf.Xlookup(C477,#REF!,#REF!,),_xludf.Xlookup(C477,#REF!,#REF!,))</f>
        <v>#NAME?</v>
      </c>
      <c r="W477" s="8" t="e">
        <f t="array" aca="1" ref="W477" ca="1">IF($C$4="Giao", _xludf.Xlookup(C477,#REF!,#REF!,),)</f>
        <v>#NAME?</v>
      </c>
      <c r="X477" s="9" t="e">
        <f t="shared" ca="1" si="6"/>
        <v>#NAME?</v>
      </c>
      <c r="Y477" s="7"/>
      <c r="Z477" s="7"/>
    </row>
    <row r="478" spans="1:26" ht="13" x14ac:dyDescent="0.6">
      <c r="A478" s="28" t="str">
        <f t="shared" si="5"/>
        <v/>
      </c>
      <c r="B478" s="7"/>
      <c r="C478" s="7"/>
      <c r="D478" s="9"/>
      <c r="E478" s="9"/>
      <c r="F478" s="7"/>
      <c r="G478" s="7"/>
      <c r="H478" s="7"/>
      <c r="I478" s="7"/>
      <c r="J478" s="7"/>
      <c r="K478" s="7"/>
      <c r="L478" s="7"/>
      <c r="M478" s="7"/>
      <c r="N478" s="7"/>
      <c r="O478" s="7"/>
      <c r="P478" s="29"/>
      <c r="Q478" s="29"/>
      <c r="R478" s="7"/>
      <c r="S478" s="7"/>
      <c r="T478" s="7" t="str">
        <f ca="1">IFERROR(__xludf.DUMMYFUNCTION("SPARKLINE({
IF(D478="""",0,D478),
IF(F478="""",0,F478),
IF(H478="""",0,H478),
IF(J478="""",0,J478),
IF(L478="""",0,L478),
IF(N478="""",0,N478),
IF(P478="""",0,P478)
})"),"")</f>
        <v/>
      </c>
      <c r="U478" s="7" t="str">
        <f ca="1">IFERROR(__xludf.DUMMYFUNCTION("SPARKLINE({
IF(E478="""",0,E478),
IF(G478="""",0,G478),
IF(I478="""",0,I478),
IF(K478="""",0,K478),
IF(M478="""",0,M478),
IF(O478="""",0,O478),
IF(Q478="""",0,Q478)
})"),"")</f>
        <v/>
      </c>
      <c r="V478" s="8" t="e">
        <f t="array" aca="1" ref="V478" ca="1">IF($C$4="Giao",_xludf.Xlookup(C478,#REF!,#REF!,),_xludf.Xlookup(C478,#REF!,#REF!,))</f>
        <v>#NAME?</v>
      </c>
      <c r="W478" s="8" t="e">
        <f t="array" aca="1" ref="W478" ca="1">IF($C$4="Giao", _xludf.Xlookup(C478,#REF!,#REF!,),)</f>
        <v>#NAME?</v>
      </c>
      <c r="X478" s="9" t="e">
        <f t="shared" ca="1" si="6"/>
        <v>#NAME?</v>
      </c>
      <c r="Y478" s="7"/>
      <c r="Z478" s="7"/>
    </row>
    <row r="479" spans="1:26" ht="13" x14ac:dyDescent="0.6">
      <c r="A479" s="28" t="str">
        <f t="shared" si="5"/>
        <v/>
      </c>
      <c r="B479" s="7"/>
      <c r="C479" s="7"/>
      <c r="D479" s="9"/>
      <c r="E479" s="9"/>
      <c r="F479" s="7"/>
      <c r="G479" s="7"/>
      <c r="H479" s="7"/>
      <c r="I479" s="7"/>
      <c r="J479" s="7"/>
      <c r="K479" s="7"/>
      <c r="L479" s="7"/>
      <c r="M479" s="7"/>
      <c r="N479" s="7"/>
      <c r="O479" s="7"/>
      <c r="P479" s="29"/>
      <c r="Q479" s="29"/>
      <c r="R479" s="7"/>
      <c r="S479" s="7"/>
      <c r="T479" s="7" t="str">
        <f ca="1">IFERROR(__xludf.DUMMYFUNCTION("SPARKLINE({
IF(D479="""",0,D479),
IF(F479="""",0,F479),
IF(H479="""",0,H479),
IF(J479="""",0,J479),
IF(L479="""",0,L479),
IF(N479="""",0,N479),
IF(P479="""",0,P479)
})"),"")</f>
        <v/>
      </c>
      <c r="U479" s="7" t="str">
        <f ca="1">IFERROR(__xludf.DUMMYFUNCTION("SPARKLINE({
IF(E479="""",0,E479),
IF(G479="""",0,G479),
IF(I479="""",0,I479),
IF(K479="""",0,K479),
IF(M479="""",0,M479),
IF(O479="""",0,O479),
IF(Q479="""",0,Q479)
})"),"")</f>
        <v/>
      </c>
      <c r="V479" s="8" t="e">
        <f t="array" aca="1" ref="V479" ca="1">IF($C$4="Giao",_xludf.Xlookup(C479,#REF!,#REF!,),_xludf.Xlookup(C479,#REF!,#REF!,))</f>
        <v>#NAME?</v>
      </c>
      <c r="W479" s="8" t="e">
        <f t="array" aca="1" ref="W479" ca="1">IF($C$4="Giao", _xludf.Xlookup(C479,#REF!,#REF!,),)</f>
        <v>#NAME?</v>
      </c>
      <c r="X479" s="9" t="e">
        <f t="shared" ca="1" si="6"/>
        <v>#NAME?</v>
      </c>
      <c r="Y479" s="7"/>
      <c r="Z479" s="7"/>
    </row>
    <row r="480" spans="1:26" ht="13" x14ac:dyDescent="0.6">
      <c r="A480" s="28" t="str">
        <f t="shared" si="5"/>
        <v/>
      </c>
      <c r="B480" s="7"/>
      <c r="C480" s="7"/>
      <c r="D480" s="9"/>
      <c r="E480" s="9"/>
      <c r="F480" s="7"/>
      <c r="G480" s="7"/>
      <c r="H480" s="7"/>
      <c r="I480" s="7"/>
      <c r="J480" s="7"/>
      <c r="K480" s="7"/>
      <c r="L480" s="7"/>
      <c r="M480" s="7"/>
      <c r="N480" s="7"/>
      <c r="O480" s="7"/>
      <c r="P480" s="29"/>
      <c r="Q480" s="29"/>
      <c r="R480" s="7"/>
      <c r="S480" s="7"/>
      <c r="T480" s="7" t="str">
        <f ca="1">IFERROR(__xludf.DUMMYFUNCTION("SPARKLINE({
IF(D480="""",0,D480),
IF(F480="""",0,F480),
IF(H480="""",0,H480),
IF(J480="""",0,J480),
IF(L480="""",0,L480),
IF(N480="""",0,N480),
IF(P480="""",0,P480)
})"),"")</f>
        <v/>
      </c>
      <c r="U480" s="7" t="str">
        <f ca="1">IFERROR(__xludf.DUMMYFUNCTION("SPARKLINE({
IF(E480="""",0,E480),
IF(G480="""",0,G480),
IF(I480="""",0,I480),
IF(K480="""",0,K480),
IF(M480="""",0,M480),
IF(O480="""",0,O480),
IF(Q480="""",0,Q480)
})"),"")</f>
        <v/>
      </c>
      <c r="V480" s="8" t="e">
        <f t="array" aca="1" ref="V480" ca="1">IF($C$4="Giao",_xludf.Xlookup(C480,#REF!,#REF!,),_xludf.Xlookup(C480,#REF!,#REF!,))</f>
        <v>#NAME?</v>
      </c>
      <c r="W480" s="8" t="e">
        <f t="array" aca="1" ref="W480" ca="1">IF($C$4="Giao", _xludf.Xlookup(C480,#REF!,#REF!,),)</f>
        <v>#NAME?</v>
      </c>
      <c r="X480" s="9" t="e">
        <f t="shared" ca="1" si="6"/>
        <v>#NAME?</v>
      </c>
      <c r="Y480" s="7"/>
      <c r="Z480" s="7"/>
    </row>
    <row r="481" spans="1:26" ht="13" x14ac:dyDescent="0.6">
      <c r="A481" s="28" t="str">
        <f t="shared" si="5"/>
        <v/>
      </c>
      <c r="B481" s="7"/>
      <c r="C481" s="7"/>
      <c r="D481" s="9"/>
      <c r="E481" s="9"/>
      <c r="F481" s="7"/>
      <c r="G481" s="7"/>
      <c r="H481" s="7"/>
      <c r="I481" s="7"/>
      <c r="J481" s="7"/>
      <c r="K481" s="7"/>
      <c r="L481" s="7"/>
      <c r="M481" s="7"/>
      <c r="N481" s="7"/>
      <c r="O481" s="7"/>
      <c r="P481" s="29"/>
      <c r="Q481" s="29"/>
      <c r="R481" s="7"/>
      <c r="S481" s="7"/>
      <c r="T481" s="7" t="str">
        <f ca="1">IFERROR(__xludf.DUMMYFUNCTION("SPARKLINE({
IF(D481="""",0,D481),
IF(F481="""",0,F481),
IF(H481="""",0,H481),
IF(J481="""",0,J481),
IF(L481="""",0,L481),
IF(N481="""",0,N481),
IF(P481="""",0,P481)
})"),"")</f>
        <v/>
      </c>
      <c r="U481" s="7" t="str">
        <f ca="1">IFERROR(__xludf.DUMMYFUNCTION("SPARKLINE({
IF(E481="""",0,E481),
IF(G481="""",0,G481),
IF(I481="""",0,I481),
IF(K481="""",0,K481),
IF(M481="""",0,M481),
IF(O481="""",0,O481),
IF(Q481="""",0,Q481)
})"),"")</f>
        <v/>
      </c>
      <c r="V481" s="8" t="e">
        <f t="array" aca="1" ref="V481" ca="1">IF($C$4="Giao",_xludf.Xlookup(C481,#REF!,#REF!,),_xludf.Xlookup(C481,#REF!,#REF!,))</f>
        <v>#NAME?</v>
      </c>
      <c r="W481" s="8" t="e">
        <f t="array" aca="1" ref="W481" ca="1">IF($C$4="Giao", _xludf.Xlookup(C481,#REF!,#REF!,),)</f>
        <v>#NAME?</v>
      </c>
      <c r="X481" s="9" t="e">
        <f t="shared" ca="1" si="6"/>
        <v>#NAME?</v>
      </c>
      <c r="Y481" s="7"/>
      <c r="Z481" s="7"/>
    </row>
    <row r="482" spans="1:26" ht="13" x14ac:dyDescent="0.6">
      <c r="A482" s="28" t="str">
        <f t="shared" si="5"/>
        <v/>
      </c>
      <c r="B482" s="7"/>
      <c r="C482" s="7"/>
      <c r="D482" s="9"/>
      <c r="E482" s="9"/>
      <c r="F482" s="7"/>
      <c r="G482" s="7"/>
      <c r="H482" s="7"/>
      <c r="I482" s="7"/>
      <c r="J482" s="7"/>
      <c r="K482" s="7"/>
      <c r="L482" s="7"/>
      <c r="M482" s="7"/>
      <c r="N482" s="7"/>
      <c r="O482" s="7"/>
      <c r="P482" s="29"/>
      <c r="Q482" s="29"/>
      <c r="R482" s="7"/>
      <c r="S482" s="7"/>
      <c r="T482" s="7" t="str">
        <f ca="1">IFERROR(__xludf.DUMMYFUNCTION("SPARKLINE({
IF(D482="""",0,D482),
IF(F482="""",0,F482),
IF(H482="""",0,H482),
IF(J482="""",0,J482),
IF(L482="""",0,L482),
IF(N482="""",0,N482),
IF(P482="""",0,P482)
})"),"")</f>
        <v/>
      </c>
      <c r="U482" s="7" t="str">
        <f ca="1">IFERROR(__xludf.DUMMYFUNCTION("SPARKLINE({
IF(E482="""",0,E482),
IF(G482="""",0,G482),
IF(I482="""",0,I482),
IF(K482="""",0,K482),
IF(M482="""",0,M482),
IF(O482="""",0,O482),
IF(Q482="""",0,Q482)
})"),"")</f>
        <v/>
      </c>
      <c r="V482" s="8" t="e">
        <f t="array" aca="1" ref="V482" ca="1">IF($C$4="Giao",_xludf.Xlookup(C482,#REF!,#REF!,),_xludf.Xlookup(C482,#REF!,#REF!,))</f>
        <v>#NAME?</v>
      </c>
      <c r="W482" s="8" t="e">
        <f t="array" aca="1" ref="W482" ca="1">IF($C$4="Giao", _xludf.Xlookup(C482,#REF!,#REF!,),)</f>
        <v>#NAME?</v>
      </c>
      <c r="X482" s="9" t="e">
        <f t="shared" ca="1" si="6"/>
        <v>#NAME?</v>
      </c>
      <c r="Y482" s="7"/>
      <c r="Z482" s="7"/>
    </row>
    <row r="483" spans="1:26" ht="13" x14ac:dyDescent="0.6">
      <c r="A483" s="28" t="str">
        <f t="shared" si="5"/>
        <v/>
      </c>
      <c r="B483" s="7"/>
      <c r="C483" s="7"/>
      <c r="D483" s="9"/>
      <c r="E483" s="9"/>
      <c r="F483" s="7"/>
      <c r="G483" s="7"/>
      <c r="H483" s="7"/>
      <c r="I483" s="7"/>
      <c r="J483" s="7"/>
      <c r="K483" s="7"/>
      <c r="L483" s="7"/>
      <c r="M483" s="7"/>
      <c r="N483" s="7"/>
      <c r="O483" s="7"/>
      <c r="P483" s="29"/>
      <c r="Q483" s="29"/>
      <c r="R483" s="7"/>
      <c r="S483" s="7"/>
      <c r="T483" s="7" t="str">
        <f ca="1">IFERROR(__xludf.DUMMYFUNCTION("SPARKLINE({
IF(D483="""",0,D483),
IF(F483="""",0,F483),
IF(H483="""",0,H483),
IF(J483="""",0,J483),
IF(L483="""",0,L483),
IF(N483="""",0,N483),
IF(P483="""",0,P483)
})"),"")</f>
        <v/>
      </c>
      <c r="U483" s="7" t="str">
        <f ca="1">IFERROR(__xludf.DUMMYFUNCTION("SPARKLINE({
IF(E483="""",0,E483),
IF(G483="""",0,G483),
IF(I483="""",0,I483),
IF(K483="""",0,K483),
IF(M483="""",0,M483),
IF(O483="""",0,O483),
IF(Q483="""",0,Q483)
})"),"")</f>
        <v/>
      </c>
      <c r="V483" s="8" t="e">
        <f t="array" aca="1" ref="V483" ca="1">IF($C$4="Giao",_xludf.Xlookup(C483,#REF!,#REF!,),_xludf.Xlookup(C483,#REF!,#REF!,))</f>
        <v>#NAME?</v>
      </c>
      <c r="W483" s="8" t="e">
        <f t="array" aca="1" ref="W483" ca="1">IF($C$4="Giao", _xludf.Xlookup(C483,#REF!,#REF!,),)</f>
        <v>#NAME?</v>
      </c>
      <c r="X483" s="9" t="e">
        <f t="shared" ca="1" si="6"/>
        <v>#NAME?</v>
      </c>
      <c r="Y483" s="7"/>
      <c r="Z483" s="7"/>
    </row>
    <row r="484" spans="1:26" ht="13" x14ac:dyDescent="0.6">
      <c r="A484" s="28" t="str">
        <f t="shared" si="5"/>
        <v/>
      </c>
      <c r="B484" s="7"/>
      <c r="C484" s="7"/>
      <c r="D484" s="9"/>
      <c r="E484" s="9"/>
      <c r="F484" s="7"/>
      <c r="G484" s="7"/>
      <c r="H484" s="7"/>
      <c r="I484" s="7"/>
      <c r="J484" s="7"/>
      <c r="K484" s="7"/>
      <c r="L484" s="7"/>
      <c r="M484" s="7"/>
      <c r="N484" s="7"/>
      <c r="O484" s="7"/>
      <c r="P484" s="29"/>
      <c r="Q484" s="29"/>
      <c r="R484" s="7"/>
      <c r="S484" s="7"/>
      <c r="T484" s="7" t="str">
        <f ca="1">IFERROR(__xludf.DUMMYFUNCTION("SPARKLINE({
IF(D484="""",0,D484),
IF(F484="""",0,F484),
IF(H484="""",0,H484),
IF(J484="""",0,J484),
IF(L484="""",0,L484),
IF(N484="""",0,N484),
IF(P484="""",0,P484)
})"),"")</f>
        <v/>
      </c>
      <c r="U484" s="7" t="str">
        <f ca="1">IFERROR(__xludf.DUMMYFUNCTION("SPARKLINE({
IF(E484="""",0,E484),
IF(G484="""",0,G484),
IF(I484="""",0,I484),
IF(K484="""",0,K484),
IF(M484="""",0,M484),
IF(O484="""",0,O484),
IF(Q484="""",0,Q484)
})"),"")</f>
        <v/>
      </c>
      <c r="V484" s="8" t="e">
        <f t="array" aca="1" ref="V484" ca="1">IF($C$4="Giao",_xludf.Xlookup(C484,#REF!,#REF!,),_xludf.Xlookup(C484,#REF!,#REF!,))</f>
        <v>#NAME?</v>
      </c>
      <c r="W484" s="8" t="e">
        <f t="array" aca="1" ref="W484" ca="1">IF($C$4="Giao", _xludf.Xlookup(C484,#REF!,#REF!,),)</f>
        <v>#NAME?</v>
      </c>
      <c r="X484" s="9" t="e">
        <f t="shared" ca="1" si="6"/>
        <v>#NAME?</v>
      </c>
      <c r="Y484" s="7"/>
      <c r="Z484" s="7"/>
    </row>
    <row r="485" spans="1:26" ht="13" x14ac:dyDescent="0.6">
      <c r="A485" s="28" t="str">
        <f t="shared" si="5"/>
        <v/>
      </c>
      <c r="B485" s="7"/>
      <c r="C485" s="7"/>
      <c r="D485" s="9"/>
      <c r="E485" s="9"/>
      <c r="F485" s="7"/>
      <c r="G485" s="7"/>
      <c r="H485" s="7"/>
      <c r="I485" s="7"/>
      <c r="J485" s="7"/>
      <c r="K485" s="7"/>
      <c r="L485" s="7"/>
      <c r="M485" s="7"/>
      <c r="N485" s="7"/>
      <c r="O485" s="7"/>
      <c r="P485" s="29"/>
      <c r="Q485" s="29"/>
      <c r="R485" s="7"/>
      <c r="S485" s="7"/>
      <c r="T485" s="7" t="str">
        <f ca="1">IFERROR(__xludf.DUMMYFUNCTION("SPARKLINE({
IF(D485="""",0,D485),
IF(F485="""",0,F485),
IF(H485="""",0,H485),
IF(J485="""",0,J485),
IF(L485="""",0,L485),
IF(N485="""",0,N485),
IF(P485="""",0,P485)
})"),"")</f>
        <v/>
      </c>
      <c r="U485" s="7" t="str">
        <f ca="1">IFERROR(__xludf.DUMMYFUNCTION("SPARKLINE({
IF(E485="""",0,E485),
IF(G485="""",0,G485),
IF(I485="""",0,I485),
IF(K485="""",0,K485),
IF(M485="""",0,M485),
IF(O485="""",0,O485),
IF(Q485="""",0,Q485)
})"),"")</f>
        <v/>
      </c>
      <c r="V485" s="8" t="e">
        <f t="array" aca="1" ref="V485" ca="1">IF($C$4="Giao",_xludf.Xlookup(C485,#REF!,#REF!,),_xludf.Xlookup(C485,#REF!,#REF!,))</f>
        <v>#NAME?</v>
      </c>
      <c r="W485" s="8" t="e">
        <f t="array" aca="1" ref="W485" ca="1">IF($C$4="Giao", _xludf.Xlookup(C485,#REF!,#REF!,),)</f>
        <v>#NAME?</v>
      </c>
      <c r="X485" s="9" t="e">
        <f t="shared" ca="1" si="6"/>
        <v>#NAME?</v>
      </c>
      <c r="Y485" s="7"/>
      <c r="Z485" s="7"/>
    </row>
    <row r="486" spans="1:26" ht="13" x14ac:dyDescent="0.6">
      <c r="A486" s="28" t="str">
        <f t="shared" si="5"/>
        <v/>
      </c>
      <c r="B486" s="7"/>
      <c r="C486" s="7"/>
      <c r="D486" s="9"/>
      <c r="E486" s="9"/>
      <c r="F486" s="7"/>
      <c r="G486" s="7"/>
      <c r="H486" s="7"/>
      <c r="I486" s="7"/>
      <c r="J486" s="7"/>
      <c r="K486" s="7"/>
      <c r="L486" s="7"/>
      <c r="M486" s="7"/>
      <c r="N486" s="7"/>
      <c r="O486" s="7"/>
      <c r="P486" s="29"/>
      <c r="Q486" s="29"/>
      <c r="R486" s="7"/>
      <c r="S486" s="7"/>
      <c r="T486" s="7" t="str">
        <f ca="1">IFERROR(__xludf.DUMMYFUNCTION("SPARKLINE({
IF(D486="""",0,D486),
IF(F486="""",0,F486),
IF(H486="""",0,H486),
IF(J486="""",0,J486),
IF(L486="""",0,L486),
IF(N486="""",0,N486),
IF(P486="""",0,P486)
})"),"")</f>
        <v/>
      </c>
      <c r="U486" s="7" t="str">
        <f ca="1">IFERROR(__xludf.DUMMYFUNCTION("SPARKLINE({
IF(E486="""",0,E486),
IF(G486="""",0,G486),
IF(I486="""",0,I486),
IF(K486="""",0,K486),
IF(M486="""",0,M486),
IF(O486="""",0,O486),
IF(Q486="""",0,Q486)
})"),"")</f>
        <v/>
      </c>
      <c r="V486" s="8" t="e">
        <f t="array" aca="1" ref="V486" ca="1">IF($C$4="Giao",_xludf.Xlookup(C486,#REF!,#REF!,),_xludf.Xlookup(C486,#REF!,#REF!,))</f>
        <v>#NAME?</v>
      </c>
      <c r="W486" s="8" t="e">
        <f t="array" aca="1" ref="W486" ca="1">IF($C$4="Giao", _xludf.Xlookup(C486,#REF!,#REF!,),)</f>
        <v>#NAME?</v>
      </c>
      <c r="X486" s="9" t="e">
        <f t="shared" ca="1" si="6"/>
        <v>#NAME?</v>
      </c>
      <c r="Y486" s="7"/>
      <c r="Z486" s="7"/>
    </row>
    <row r="487" spans="1:26" ht="13" x14ac:dyDescent="0.6">
      <c r="A487" s="28" t="str">
        <f t="shared" si="5"/>
        <v/>
      </c>
      <c r="B487" s="7"/>
      <c r="C487" s="7"/>
      <c r="D487" s="9"/>
      <c r="E487" s="9"/>
      <c r="F487" s="7"/>
      <c r="G487" s="7"/>
      <c r="H487" s="7"/>
      <c r="I487" s="7"/>
      <c r="J487" s="7"/>
      <c r="K487" s="7"/>
      <c r="L487" s="7"/>
      <c r="M487" s="7"/>
      <c r="N487" s="7"/>
      <c r="O487" s="7"/>
      <c r="P487" s="29"/>
      <c r="Q487" s="29"/>
      <c r="R487" s="7"/>
      <c r="S487" s="7"/>
      <c r="T487" s="7" t="str">
        <f ca="1">IFERROR(__xludf.DUMMYFUNCTION("SPARKLINE({
IF(D487="""",0,D487),
IF(F487="""",0,F487),
IF(H487="""",0,H487),
IF(J487="""",0,J487),
IF(L487="""",0,L487),
IF(N487="""",0,N487),
IF(P487="""",0,P487)
})"),"")</f>
        <v/>
      </c>
      <c r="U487" s="7" t="str">
        <f ca="1">IFERROR(__xludf.DUMMYFUNCTION("SPARKLINE({
IF(E487="""",0,E487),
IF(G487="""",0,G487),
IF(I487="""",0,I487),
IF(K487="""",0,K487),
IF(M487="""",0,M487),
IF(O487="""",0,O487),
IF(Q487="""",0,Q487)
})"),"")</f>
        <v/>
      </c>
      <c r="V487" s="8" t="e">
        <f t="array" aca="1" ref="V487" ca="1">IF($C$4="Giao",_xludf.Xlookup(C487,#REF!,#REF!,),_xludf.Xlookup(C487,#REF!,#REF!,))</f>
        <v>#NAME?</v>
      </c>
      <c r="W487" s="8" t="e">
        <f t="array" aca="1" ref="W487" ca="1">IF($C$4="Giao", _xludf.Xlookup(C487,#REF!,#REF!,),)</f>
        <v>#NAME?</v>
      </c>
      <c r="X487" s="9" t="e">
        <f t="shared" ca="1" si="6"/>
        <v>#NAME?</v>
      </c>
      <c r="Y487" s="7"/>
      <c r="Z487" s="7"/>
    </row>
    <row r="488" spans="1:26" ht="13" x14ac:dyDescent="0.6">
      <c r="A488" s="28" t="str">
        <f t="shared" si="5"/>
        <v/>
      </c>
      <c r="B488" s="7"/>
      <c r="C488" s="7"/>
      <c r="D488" s="9"/>
      <c r="E488" s="9"/>
      <c r="F488" s="7"/>
      <c r="G488" s="7"/>
      <c r="H488" s="7"/>
      <c r="I488" s="7"/>
      <c r="J488" s="7"/>
      <c r="K488" s="7"/>
      <c r="L488" s="7"/>
      <c r="M488" s="7"/>
      <c r="N488" s="7"/>
      <c r="O488" s="7"/>
      <c r="P488" s="29"/>
      <c r="Q488" s="29"/>
      <c r="R488" s="7"/>
      <c r="S488" s="7"/>
      <c r="T488" s="7" t="str">
        <f ca="1">IFERROR(__xludf.DUMMYFUNCTION("SPARKLINE({
IF(D488="""",0,D488),
IF(F488="""",0,F488),
IF(H488="""",0,H488),
IF(J488="""",0,J488),
IF(L488="""",0,L488),
IF(N488="""",0,N488),
IF(P488="""",0,P488)
})"),"")</f>
        <v/>
      </c>
      <c r="U488" s="7" t="str">
        <f ca="1">IFERROR(__xludf.DUMMYFUNCTION("SPARKLINE({
IF(E488="""",0,E488),
IF(G488="""",0,G488),
IF(I488="""",0,I488),
IF(K488="""",0,K488),
IF(M488="""",0,M488),
IF(O488="""",0,O488),
IF(Q488="""",0,Q488)
})"),"")</f>
        <v/>
      </c>
      <c r="V488" s="8" t="e">
        <f t="array" aca="1" ref="V488" ca="1">IF($C$4="Giao",_xludf.Xlookup(C488,#REF!,#REF!,),_xludf.Xlookup(C488,#REF!,#REF!,))</f>
        <v>#NAME?</v>
      </c>
      <c r="W488" s="8" t="e">
        <f t="array" aca="1" ref="W488" ca="1">IF($C$4="Giao", _xludf.Xlookup(C488,#REF!,#REF!,),)</f>
        <v>#NAME?</v>
      </c>
      <c r="X488" s="9" t="e">
        <f t="shared" ca="1" si="6"/>
        <v>#NAME?</v>
      </c>
      <c r="Y488" s="7"/>
      <c r="Z488" s="7"/>
    </row>
    <row r="489" spans="1:26" ht="13" x14ac:dyDescent="0.6">
      <c r="A489" s="28" t="str">
        <f t="shared" si="5"/>
        <v/>
      </c>
      <c r="B489" s="7"/>
      <c r="C489" s="7"/>
      <c r="D489" s="9"/>
      <c r="E489" s="9"/>
      <c r="F489" s="7"/>
      <c r="G489" s="7"/>
      <c r="H489" s="7"/>
      <c r="I489" s="7"/>
      <c r="J489" s="7"/>
      <c r="K489" s="7"/>
      <c r="L489" s="7"/>
      <c r="M489" s="7"/>
      <c r="N489" s="7"/>
      <c r="O489" s="7"/>
      <c r="P489" s="29"/>
      <c r="Q489" s="29"/>
      <c r="R489" s="7"/>
      <c r="S489" s="7"/>
      <c r="T489" s="7" t="str">
        <f ca="1">IFERROR(__xludf.DUMMYFUNCTION("SPARKLINE({
IF(D489="""",0,D489),
IF(F489="""",0,F489),
IF(H489="""",0,H489),
IF(J489="""",0,J489),
IF(L489="""",0,L489),
IF(N489="""",0,N489),
IF(P489="""",0,P489)
})"),"")</f>
        <v/>
      </c>
      <c r="U489" s="7" t="str">
        <f ca="1">IFERROR(__xludf.DUMMYFUNCTION("SPARKLINE({
IF(E489="""",0,E489),
IF(G489="""",0,G489),
IF(I489="""",0,I489),
IF(K489="""",0,K489),
IF(M489="""",0,M489),
IF(O489="""",0,O489),
IF(Q489="""",0,Q489)
})"),"")</f>
        <v/>
      </c>
      <c r="V489" s="8" t="e">
        <f t="array" aca="1" ref="V489" ca="1">IF($C$4="Giao",_xludf.Xlookup(C489,#REF!,#REF!,),_xludf.Xlookup(C489,#REF!,#REF!,))</f>
        <v>#NAME?</v>
      </c>
      <c r="W489" s="8" t="e">
        <f t="array" aca="1" ref="W489" ca="1">IF($C$4="Giao", _xludf.Xlookup(C489,#REF!,#REF!,),)</f>
        <v>#NAME?</v>
      </c>
      <c r="X489" s="9" t="e">
        <f t="shared" ca="1" si="6"/>
        <v>#NAME?</v>
      </c>
      <c r="Y489" s="7"/>
      <c r="Z489" s="7"/>
    </row>
    <row r="490" spans="1:26" ht="13" x14ac:dyDescent="0.6">
      <c r="A490" s="28" t="str">
        <f t="shared" si="5"/>
        <v/>
      </c>
      <c r="B490" s="7"/>
      <c r="C490" s="7"/>
      <c r="D490" s="9"/>
      <c r="E490" s="9"/>
      <c r="F490" s="7"/>
      <c r="G490" s="7"/>
      <c r="H490" s="7"/>
      <c r="I490" s="7"/>
      <c r="J490" s="7"/>
      <c r="K490" s="7"/>
      <c r="L490" s="7"/>
      <c r="M490" s="7"/>
      <c r="N490" s="7"/>
      <c r="O490" s="7"/>
      <c r="P490" s="29"/>
      <c r="Q490" s="29"/>
      <c r="R490" s="7"/>
      <c r="S490" s="7"/>
      <c r="T490" s="7" t="str">
        <f ca="1">IFERROR(__xludf.DUMMYFUNCTION("SPARKLINE({
IF(D490="""",0,D490),
IF(F490="""",0,F490),
IF(H490="""",0,H490),
IF(J490="""",0,J490),
IF(L490="""",0,L490),
IF(N490="""",0,N490),
IF(P490="""",0,P490)
})"),"")</f>
        <v/>
      </c>
      <c r="U490" s="7" t="str">
        <f ca="1">IFERROR(__xludf.DUMMYFUNCTION("SPARKLINE({
IF(E490="""",0,E490),
IF(G490="""",0,G490),
IF(I490="""",0,I490),
IF(K490="""",0,K490),
IF(M490="""",0,M490),
IF(O490="""",0,O490),
IF(Q490="""",0,Q490)
})"),"")</f>
        <v/>
      </c>
      <c r="V490" s="8" t="e">
        <f t="array" aca="1" ref="V490" ca="1">IF($C$4="Giao",_xludf.Xlookup(C490,#REF!,#REF!,),_xludf.Xlookup(C490,#REF!,#REF!,))</f>
        <v>#NAME?</v>
      </c>
      <c r="W490" s="8" t="e">
        <f t="array" aca="1" ref="W490" ca="1">IF($C$4="Giao", _xludf.Xlookup(C490,#REF!,#REF!,),)</f>
        <v>#NAME?</v>
      </c>
      <c r="X490" s="9" t="e">
        <f t="shared" ca="1" si="6"/>
        <v>#NAME?</v>
      </c>
      <c r="Y490" s="7"/>
      <c r="Z490" s="7"/>
    </row>
    <row r="491" spans="1:26" ht="13" x14ac:dyDescent="0.6">
      <c r="A491" s="28" t="str">
        <f t="shared" si="5"/>
        <v/>
      </c>
      <c r="B491" s="7"/>
      <c r="C491" s="7"/>
      <c r="D491" s="9"/>
      <c r="E491" s="9"/>
      <c r="F491" s="7"/>
      <c r="G491" s="7"/>
      <c r="H491" s="7"/>
      <c r="I491" s="7"/>
      <c r="J491" s="7"/>
      <c r="K491" s="7"/>
      <c r="L491" s="7"/>
      <c r="M491" s="7"/>
      <c r="N491" s="7"/>
      <c r="O491" s="7"/>
      <c r="P491" s="29"/>
      <c r="Q491" s="29"/>
      <c r="R491" s="7"/>
      <c r="S491" s="7"/>
      <c r="T491" s="7" t="str">
        <f ca="1">IFERROR(__xludf.DUMMYFUNCTION("SPARKLINE({
IF(D491="""",0,D491),
IF(F491="""",0,F491),
IF(H491="""",0,H491),
IF(J491="""",0,J491),
IF(L491="""",0,L491),
IF(N491="""",0,N491),
IF(P491="""",0,P491)
})"),"")</f>
        <v/>
      </c>
      <c r="U491" s="7" t="str">
        <f ca="1">IFERROR(__xludf.DUMMYFUNCTION("SPARKLINE({
IF(E491="""",0,E491),
IF(G491="""",0,G491),
IF(I491="""",0,I491),
IF(K491="""",0,K491),
IF(M491="""",0,M491),
IF(O491="""",0,O491),
IF(Q491="""",0,Q491)
})"),"")</f>
        <v/>
      </c>
      <c r="V491" s="8" t="e">
        <f t="array" aca="1" ref="V491" ca="1">IF($C$4="Giao",_xludf.Xlookup(C491,#REF!,#REF!,),_xludf.Xlookup(C491,#REF!,#REF!,))</f>
        <v>#NAME?</v>
      </c>
      <c r="W491" s="8" t="e">
        <f t="array" aca="1" ref="W491" ca="1">IF($C$4="Giao", _xludf.Xlookup(C491,#REF!,#REF!,),)</f>
        <v>#NAME?</v>
      </c>
      <c r="X491" s="9" t="e">
        <f t="shared" ca="1" si="6"/>
        <v>#NAME?</v>
      </c>
      <c r="Y491" s="7"/>
      <c r="Z491" s="7"/>
    </row>
    <row r="492" spans="1:26" ht="13" x14ac:dyDescent="0.6">
      <c r="A492" s="28" t="str">
        <f t="shared" si="5"/>
        <v/>
      </c>
      <c r="B492" s="7"/>
      <c r="C492" s="7"/>
      <c r="D492" s="9"/>
      <c r="E492" s="9"/>
      <c r="F492" s="7"/>
      <c r="G492" s="7"/>
      <c r="H492" s="7"/>
      <c r="I492" s="7"/>
      <c r="J492" s="7"/>
      <c r="K492" s="7"/>
      <c r="L492" s="7"/>
      <c r="M492" s="7"/>
      <c r="N492" s="7"/>
      <c r="O492" s="7"/>
      <c r="P492" s="29"/>
      <c r="Q492" s="29"/>
      <c r="R492" s="7"/>
      <c r="S492" s="7"/>
      <c r="T492" s="7" t="str">
        <f ca="1">IFERROR(__xludf.DUMMYFUNCTION("SPARKLINE({
IF(D492="""",0,D492),
IF(F492="""",0,F492),
IF(H492="""",0,H492),
IF(J492="""",0,J492),
IF(L492="""",0,L492),
IF(N492="""",0,N492),
IF(P492="""",0,P492)
})"),"")</f>
        <v/>
      </c>
      <c r="U492" s="7" t="str">
        <f ca="1">IFERROR(__xludf.DUMMYFUNCTION("SPARKLINE({
IF(E492="""",0,E492),
IF(G492="""",0,G492),
IF(I492="""",0,I492),
IF(K492="""",0,K492),
IF(M492="""",0,M492),
IF(O492="""",0,O492),
IF(Q492="""",0,Q492)
})"),"")</f>
        <v/>
      </c>
      <c r="V492" s="8" t="e">
        <f t="array" aca="1" ref="V492" ca="1">IF($C$4="Giao",_xludf.Xlookup(C492,#REF!,#REF!,),_xludf.Xlookup(C492,#REF!,#REF!,))</f>
        <v>#NAME?</v>
      </c>
      <c r="W492" s="8" t="e">
        <f t="array" aca="1" ref="W492" ca="1">IF($C$4="Giao", _xludf.Xlookup(C492,#REF!,#REF!,),)</f>
        <v>#NAME?</v>
      </c>
      <c r="X492" s="9" t="e">
        <f t="shared" ca="1" si="6"/>
        <v>#NAME?</v>
      </c>
      <c r="Y492" s="7"/>
      <c r="Z492" s="7"/>
    </row>
    <row r="493" spans="1:26" ht="13" x14ac:dyDescent="0.6">
      <c r="A493" s="28" t="str">
        <f t="shared" si="5"/>
        <v/>
      </c>
      <c r="B493" s="7"/>
      <c r="C493" s="7"/>
      <c r="D493" s="9"/>
      <c r="E493" s="9"/>
      <c r="F493" s="7"/>
      <c r="G493" s="7"/>
      <c r="H493" s="7"/>
      <c r="I493" s="7"/>
      <c r="J493" s="7"/>
      <c r="K493" s="7"/>
      <c r="L493" s="7"/>
      <c r="M493" s="7"/>
      <c r="N493" s="7"/>
      <c r="O493" s="7"/>
      <c r="P493" s="29"/>
      <c r="Q493" s="29"/>
      <c r="R493" s="7"/>
      <c r="S493" s="7"/>
      <c r="T493" s="7" t="str">
        <f ca="1">IFERROR(__xludf.DUMMYFUNCTION("SPARKLINE({
IF(D493="""",0,D493),
IF(F493="""",0,F493),
IF(H493="""",0,H493),
IF(J493="""",0,J493),
IF(L493="""",0,L493),
IF(N493="""",0,N493),
IF(P493="""",0,P493)
})"),"")</f>
        <v/>
      </c>
      <c r="U493" s="7" t="str">
        <f ca="1">IFERROR(__xludf.DUMMYFUNCTION("SPARKLINE({
IF(E493="""",0,E493),
IF(G493="""",0,G493),
IF(I493="""",0,I493),
IF(K493="""",0,K493),
IF(M493="""",0,M493),
IF(O493="""",0,O493),
IF(Q493="""",0,Q493)
})"),"")</f>
        <v/>
      </c>
      <c r="V493" s="8" t="e">
        <f t="array" aca="1" ref="V493" ca="1">IF($C$4="Giao",_xludf.Xlookup(C493,#REF!,#REF!,),_xludf.Xlookup(C493,#REF!,#REF!,))</f>
        <v>#NAME?</v>
      </c>
      <c r="W493" s="8" t="e">
        <f t="array" aca="1" ref="W493" ca="1">IF($C$4="Giao", _xludf.Xlookup(C493,#REF!,#REF!,),)</f>
        <v>#NAME?</v>
      </c>
      <c r="X493" s="9" t="e">
        <f t="shared" ca="1" si="6"/>
        <v>#NAME?</v>
      </c>
      <c r="Y493" s="7"/>
      <c r="Z493" s="7"/>
    </row>
    <row r="494" spans="1:26" ht="13" x14ac:dyDescent="0.6">
      <c r="A494" s="28" t="str">
        <f t="shared" si="5"/>
        <v/>
      </c>
      <c r="B494" s="7"/>
      <c r="C494" s="7"/>
      <c r="D494" s="9"/>
      <c r="E494" s="9"/>
      <c r="F494" s="7"/>
      <c r="G494" s="7"/>
      <c r="H494" s="7"/>
      <c r="I494" s="7"/>
      <c r="J494" s="7"/>
      <c r="K494" s="7"/>
      <c r="L494" s="7"/>
      <c r="M494" s="7"/>
      <c r="N494" s="7"/>
      <c r="O494" s="7"/>
      <c r="P494" s="29"/>
      <c r="Q494" s="29"/>
      <c r="R494" s="7"/>
      <c r="S494" s="7"/>
      <c r="T494" s="7" t="str">
        <f ca="1">IFERROR(__xludf.DUMMYFUNCTION("SPARKLINE({
IF(D494="""",0,D494),
IF(F494="""",0,F494),
IF(H494="""",0,H494),
IF(J494="""",0,J494),
IF(L494="""",0,L494),
IF(N494="""",0,N494),
IF(P494="""",0,P494)
})"),"")</f>
        <v/>
      </c>
      <c r="U494" s="7" t="str">
        <f ca="1">IFERROR(__xludf.DUMMYFUNCTION("SPARKLINE({
IF(E494="""",0,E494),
IF(G494="""",0,G494),
IF(I494="""",0,I494),
IF(K494="""",0,K494),
IF(M494="""",0,M494),
IF(O494="""",0,O494),
IF(Q494="""",0,Q494)
})"),"")</f>
        <v/>
      </c>
      <c r="V494" s="8" t="e">
        <f t="array" aca="1" ref="V494" ca="1">IF($C$4="Giao",_xludf.Xlookup(C494,#REF!,#REF!,),_xludf.Xlookup(C494,#REF!,#REF!,))</f>
        <v>#NAME?</v>
      </c>
      <c r="W494" s="8" t="e">
        <f t="array" aca="1" ref="W494" ca="1">IF($C$4="Giao", _xludf.Xlookup(C494,#REF!,#REF!,),)</f>
        <v>#NAME?</v>
      </c>
      <c r="X494" s="9" t="e">
        <f t="shared" ca="1" si="6"/>
        <v>#NAME?</v>
      </c>
      <c r="Y494" s="7"/>
      <c r="Z494" s="7"/>
    </row>
    <row r="495" spans="1:26" ht="13" x14ac:dyDescent="0.6">
      <c r="A495" s="28" t="str">
        <f t="shared" si="5"/>
        <v/>
      </c>
      <c r="B495" s="7"/>
      <c r="C495" s="7"/>
      <c r="D495" s="9"/>
      <c r="E495" s="9"/>
      <c r="F495" s="7"/>
      <c r="G495" s="7"/>
      <c r="H495" s="7"/>
      <c r="I495" s="7"/>
      <c r="J495" s="7"/>
      <c r="K495" s="7"/>
      <c r="L495" s="7"/>
      <c r="M495" s="7"/>
      <c r="N495" s="7"/>
      <c r="O495" s="7"/>
      <c r="P495" s="29"/>
      <c r="Q495" s="29"/>
      <c r="R495" s="7"/>
      <c r="S495" s="7"/>
      <c r="T495" s="7" t="str">
        <f ca="1">IFERROR(__xludf.DUMMYFUNCTION("SPARKLINE({
IF(D495="""",0,D495),
IF(F495="""",0,F495),
IF(H495="""",0,H495),
IF(J495="""",0,J495),
IF(L495="""",0,L495),
IF(N495="""",0,N495),
IF(P495="""",0,P495)
})"),"")</f>
        <v/>
      </c>
      <c r="U495" s="7" t="str">
        <f ca="1">IFERROR(__xludf.DUMMYFUNCTION("SPARKLINE({
IF(E495="""",0,E495),
IF(G495="""",0,G495),
IF(I495="""",0,I495),
IF(K495="""",0,K495),
IF(M495="""",0,M495),
IF(O495="""",0,O495),
IF(Q495="""",0,Q495)
})"),"")</f>
        <v/>
      </c>
      <c r="V495" s="8" t="e">
        <f t="array" aca="1" ref="V495" ca="1">IF($C$4="Giao",_xludf.Xlookup(C495,#REF!,#REF!,),_xludf.Xlookup(C495,#REF!,#REF!,))</f>
        <v>#NAME?</v>
      </c>
      <c r="W495" s="8" t="e">
        <f t="array" aca="1" ref="W495" ca="1">IF($C$4="Giao", _xludf.Xlookup(C495,#REF!,#REF!,),)</f>
        <v>#NAME?</v>
      </c>
      <c r="X495" s="9" t="e">
        <f t="shared" ca="1" si="6"/>
        <v>#NAME?</v>
      </c>
      <c r="Y495" s="7"/>
      <c r="Z495" s="7"/>
    </row>
    <row r="496" spans="1:26" ht="13" x14ac:dyDescent="0.6">
      <c r="A496" s="28" t="str">
        <f t="shared" si="5"/>
        <v/>
      </c>
      <c r="B496" s="7"/>
      <c r="C496" s="7"/>
      <c r="D496" s="9"/>
      <c r="E496" s="9"/>
      <c r="F496" s="7"/>
      <c r="G496" s="7"/>
      <c r="H496" s="7"/>
      <c r="I496" s="7"/>
      <c r="J496" s="7"/>
      <c r="K496" s="7"/>
      <c r="L496" s="7"/>
      <c r="M496" s="7"/>
      <c r="N496" s="7"/>
      <c r="O496" s="7"/>
      <c r="P496" s="29"/>
      <c r="Q496" s="29"/>
      <c r="R496" s="7"/>
      <c r="S496" s="7"/>
      <c r="T496" s="7" t="str">
        <f ca="1">IFERROR(__xludf.DUMMYFUNCTION("SPARKLINE({
IF(D496="""",0,D496),
IF(F496="""",0,F496),
IF(H496="""",0,H496),
IF(J496="""",0,J496),
IF(L496="""",0,L496),
IF(N496="""",0,N496),
IF(P496="""",0,P496)
})"),"")</f>
        <v/>
      </c>
      <c r="U496" s="7" t="str">
        <f ca="1">IFERROR(__xludf.DUMMYFUNCTION("SPARKLINE({
IF(E496="""",0,E496),
IF(G496="""",0,G496),
IF(I496="""",0,I496),
IF(K496="""",0,K496),
IF(M496="""",0,M496),
IF(O496="""",0,O496),
IF(Q496="""",0,Q496)
})"),"")</f>
        <v/>
      </c>
      <c r="V496" s="8" t="e">
        <f t="array" aca="1" ref="V496" ca="1">IF($C$4="Giao",_xludf.Xlookup(C496,#REF!,#REF!,),_xludf.Xlookup(C496,#REF!,#REF!,))</f>
        <v>#NAME?</v>
      </c>
      <c r="W496" s="8" t="e">
        <f t="array" aca="1" ref="W496" ca="1">IF($C$4="Giao", _xludf.Xlookup(C496,#REF!,#REF!,),)</f>
        <v>#NAME?</v>
      </c>
      <c r="X496" s="9" t="e">
        <f t="shared" ca="1" si="6"/>
        <v>#NAME?</v>
      </c>
      <c r="Y496" s="7"/>
      <c r="Z496" s="7"/>
    </row>
    <row r="497" spans="1:26" ht="13" x14ac:dyDescent="0.6">
      <c r="A497" s="28" t="str">
        <f t="shared" si="5"/>
        <v/>
      </c>
      <c r="B497" s="7"/>
      <c r="C497" s="7"/>
      <c r="D497" s="9"/>
      <c r="E497" s="9"/>
      <c r="F497" s="7"/>
      <c r="G497" s="7"/>
      <c r="H497" s="7"/>
      <c r="I497" s="7"/>
      <c r="J497" s="7"/>
      <c r="K497" s="7"/>
      <c r="L497" s="7"/>
      <c r="M497" s="7"/>
      <c r="N497" s="7"/>
      <c r="O497" s="7"/>
      <c r="P497" s="29"/>
      <c r="Q497" s="29"/>
      <c r="R497" s="7"/>
      <c r="S497" s="7"/>
      <c r="T497" s="7" t="str">
        <f ca="1">IFERROR(__xludf.DUMMYFUNCTION("SPARKLINE({
IF(D497="""",0,D497),
IF(F497="""",0,F497),
IF(H497="""",0,H497),
IF(J497="""",0,J497),
IF(L497="""",0,L497),
IF(N497="""",0,N497),
IF(P497="""",0,P497)
})"),"")</f>
        <v/>
      </c>
      <c r="U497" s="7" t="str">
        <f ca="1">IFERROR(__xludf.DUMMYFUNCTION("SPARKLINE({
IF(E497="""",0,E497),
IF(G497="""",0,G497),
IF(I497="""",0,I497),
IF(K497="""",0,K497),
IF(M497="""",0,M497),
IF(O497="""",0,O497),
IF(Q497="""",0,Q497)
})"),"")</f>
        <v/>
      </c>
      <c r="V497" s="8" t="e">
        <f t="array" aca="1" ref="V497" ca="1">IF($C$4="Giao",_xludf.Xlookup(C497,#REF!,#REF!,),_xludf.Xlookup(C497,#REF!,#REF!,))</f>
        <v>#NAME?</v>
      </c>
      <c r="W497" s="8" t="e">
        <f t="array" aca="1" ref="W497" ca="1">IF($C$4="Giao", _xludf.Xlookup(C497,#REF!,#REF!,),)</f>
        <v>#NAME?</v>
      </c>
      <c r="X497" s="9" t="e">
        <f t="shared" ca="1" si="6"/>
        <v>#NAME?</v>
      </c>
      <c r="Y497" s="7"/>
      <c r="Z497" s="7"/>
    </row>
    <row r="498" spans="1:26" ht="13" x14ac:dyDescent="0.6">
      <c r="A498" s="28" t="str">
        <f t="shared" si="5"/>
        <v/>
      </c>
      <c r="B498" s="7"/>
      <c r="C498" s="7"/>
      <c r="D498" s="9"/>
      <c r="E498" s="9"/>
      <c r="F498" s="7"/>
      <c r="G498" s="7"/>
      <c r="H498" s="7"/>
      <c r="I498" s="7"/>
      <c r="J498" s="7"/>
      <c r="K498" s="7"/>
      <c r="L498" s="7"/>
      <c r="M498" s="7"/>
      <c r="N498" s="7"/>
      <c r="O498" s="7"/>
      <c r="P498" s="29"/>
      <c r="Q498" s="29"/>
      <c r="R498" s="7"/>
      <c r="S498" s="7"/>
      <c r="T498" s="7" t="str">
        <f ca="1">IFERROR(__xludf.DUMMYFUNCTION("SPARKLINE({
IF(D498="""",0,D498),
IF(F498="""",0,F498),
IF(H498="""",0,H498),
IF(J498="""",0,J498),
IF(L498="""",0,L498),
IF(N498="""",0,N498),
IF(P498="""",0,P498)
})"),"")</f>
        <v/>
      </c>
      <c r="U498" s="7" t="str">
        <f ca="1">IFERROR(__xludf.DUMMYFUNCTION("SPARKLINE({
IF(E498="""",0,E498),
IF(G498="""",0,G498),
IF(I498="""",0,I498),
IF(K498="""",0,K498),
IF(M498="""",0,M498),
IF(O498="""",0,O498),
IF(Q498="""",0,Q498)
})"),"")</f>
        <v/>
      </c>
      <c r="V498" s="8" t="e">
        <f t="array" aca="1" ref="V498" ca="1">IF($C$4="Giao",_xludf.Xlookup(C498,#REF!,#REF!,),_xludf.Xlookup(C498,#REF!,#REF!,))</f>
        <v>#NAME?</v>
      </c>
      <c r="W498" s="8" t="e">
        <f t="array" aca="1" ref="W498" ca="1">IF($C$4="Giao", _xludf.Xlookup(C498,#REF!,#REF!,),)</f>
        <v>#NAME?</v>
      </c>
      <c r="X498" s="9" t="e">
        <f t="shared" ca="1" si="6"/>
        <v>#NAME?</v>
      </c>
      <c r="Y498" s="7"/>
      <c r="Z498" s="7"/>
    </row>
    <row r="499" spans="1:26" ht="13" x14ac:dyDescent="0.6">
      <c r="A499" s="28" t="str">
        <f t="shared" si="5"/>
        <v/>
      </c>
      <c r="B499" s="7"/>
      <c r="C499" s="7"/>
      <c r="D499" s="9"/>
      <c r="E499" s="9"/>
      <c r="F499" s="7"/>
      <c r="G499" s="7"/>
      <c r="H499" s="7"/>
      <c r="I499" s="7"/>
      <c r="J499" s="7"/>
      <c r="K499" s="7"/>
      <c r="L499" s="7"/>
      <c r="M499" s="7"/>
      <c r="N499" s="7"/>
      <c r="O499" s="7"/>
      <c r="P499" s="29"/>
      <c r="Q499" s="29"/>
      <c r="R499" s="7"/>
      <c r="S499" s="7"/>
      <c r="T499" s="7" t="str">
        <f ca="1">IFERROR(__xludf.DUMMYFUNCTION("SPARKLINE({
IF(D499="""",0,D499),
IF(F499="""",0,F499),
IF(H499="""",0,H499),
IF(J499="""",0,J499),
IF(L499="""",0,L499),
IF(N499="""",0,N499),
IF(P499="""",0,P499)
})"),"")</f>
        <v/>
      </c>
      <c r="U499" s="7" t="str">
        <f ca="1">IFERROR(__xludf.DUMMYFUNCTION("SPARKLINE({
IF(E499="""",0,E499),
IF(G499="""",0,G499),
IF(I499="""",0,I499),
IF(K499="""",0,K499),
IF(M499="""",0,M499),
IF(O499="""",0,O499),
IF(Q499="""",0,Q499)
})"),"")</f>
        <v/>
      </c>
      <c r="V499" s="8" t="e">
        <f t="array" aca="1" ref="V499" ca="1">IF($C$4="Giao",_xludf.Xlookup(C499,#REF!,#REF!,),_xludf.Xlookup(C499,#REF!,#REF!,))</f>
        <v>#NAME?</v>
      </c>
      <c r="W499" s="8" t="e">
        <f t="array" aca="1" ref="W499" ca="1">IF($C$4="Giao", _xludf.Xlookup(C499,#REF!,#REF!,),)</f>
        <v>#NAME?</v>
      </c>
      <c r="X499" s="9" t="e">
        <f t="shared" ca="1" si="6"/>
        <v>#NAME?</v>
      </c>
      <c r="Y499" s="7"/>
      <c r="Z499" s="7"/>
    </row>
    <row r="500" spans="1:26" ht="13" x14ac:dyDescent="0.6">
      <c r="A500" s="28" t="str">
        <f t="shared" si="5"/>
        <v/>
      </c>
      <c r="B500" s="7"/>
      <c r="C500" s="7"/>
      <c r="D500" s="9"/>
      <c r="E500" s="9"/>
      <c r="F500" s="7"/>
      <c r="G500" s="7"/>
      <c r="H500" s="7"/>
      <c r="I500" s="7"/>
      <c r="J500" s="7"/>
      <c r="K500" s="7"/>
      <c r="L500" s="7"/>
      <c r="M500" s="7"/>
      <c r="N500" s="7"/>
      <c r="O500" s="7"/>
      <c r="P500" s="29"/>
      <c r="Q500" s="29"/>
      <c r="R500" s="7"/>
      <c r="S500" s="7"/>
      <c r="T500" s="7" t="str">
        <f ca="1">IFERROR(__xludf.DUMMYFUNCTION("SPARKLINE({
IF(D500="""",0,D500),
IF(F500="""",0,F500),
IF(H500="""",0,H500),
IF(J500="""",0,J500),
IF(L500="""",0,L500),
IF(N500="""",0,N500),
IF(P500="""",0,P500)
})"),"")</f>
        <v/>
      </c>
      <c r="U500" s="7" t="str">
        <f ca="1">IFERROR(__xludf.DUMMYFUNCTION("SPARKLINE({
IF(E500="""",0,E500),
IF(G500="""",0,G500),
IF(I500="""",0,I500),
IF(K500="""",0,K500),
IF(M500="""",0,M500),
IF(O500="""",0,O500),
IF(Q500="""",0,Q500)
})"),"")</f>
        <v/>
      </c>
      <c r="V500" s="8" t="e">
        <f t="array" aca="1" ref="V500" ca="1">IF($C$4="Giao",_xludf.Xlookup(C500,#REF!,#REF!,),_xludf.Xlookup(C500,#REF!,#REF!,))</f>
        <v>#NAME?</v>
      </c>
      <c r="W500" s="8" t="e">
        <f t="array" aca="1" ref="W500" ca="1">IF($C$4="Giao", _xludf.Xlookup(C500,#REF!,#REF!,),)</f>
        <v>#NAME?</v>
      </c>
      <c r="X500" s="9" t="e">
        <f t="shared" ca="1" si="6"/>
        <v>#NAME?</v>
      </c>
      <c r="Y500" s="7"/>
      <c r="Z500" s="7"/>
    </row>
    <row r="501" spans="1:26" ht="13" x14ac:dyDescent="0.6">
      <c r="A501" s="28" t="str">
        <f t="shared" si="5"/>
        <v/>
      </c>
      <c r="B501" s="7"/>
      <c r="C501" s="7"/>
      <c r="D501" s="9"/>
      <c r="E501" s="9"/>
      <c r="F501" s="7"/>
      <c r="G501" s="7"/>
      <c r="H501" s="7"/>
      <c r="I501" s="7"/>
      <c r="J501" s="7"/>
      <c r="K501" s="7"/>
      <c r="L501" s="7"/>
      <c r="M501" s="7"/>
      <c r="N501" s="7"/>
      <c r="O501" s="7"/>
      <c r="P501" s="29"/>
      <c r="Q501" s="29"/>
      <c r="R501" s="7"/>
      <c r="S501" s="7"/>
      <c r="T501" s="7" t="str">
        <f ca="1">IFERROR(__xludf.DUMMYFUNCTION("SPARKLINE({
IF(D501="""",0,D501),
IF(F501="""",0,F501),
IF(H501="""",0,H501),
IF(J501="""",0,J501),
IF(L501="""",0,L501),
IF(N501="""",0,N501),
IF(P501="""",0,P501)
})"),"")</f>
        <v/>
      </c>
      <c r="U501" s="7" t="str">
        <f ca="1">IFERROR(__xludf.DUMMYFUNCTION("SPARKLINE({
IF(E501="""",0,E501),
IF(G501="""",0,G501),
IF(I501="""",0,I501),
IF(K501="""",0,K501),
IF(M501="""",0,M501),
IF(O501="""",0,O501),
IF(Q501="""",0,Q501)
})"),"")</f>
        <v/>
      </c>
      <c r="V501" s="8" t="e">
        <f t="array" aca="1" ref="V501" ca="1">IF($C$4="Giao",_xludf.Xlookup(C501,#REF!,#REF!,),_xludf.Xlookup(C501,#REF!,#REF!,))</f>
        <v>#NAME?</v>
      </c>
      <c r="W501" s="8" t="e">
        <f t="array" aca="1" ref="W501" ca="1">IF($C$4="Giao", _xludf.Xlookup(C501,#REF!,#REF!,),)</f>
        <v>#NAME?</v>
      </c>
      <c r="X501" s="9" t="e">
        <f t="shared" ca="1" si="6"/>
        <v>#NAME?</v>
      </c>
      <c r="Y501" s="7"/>
      <c r="Z501" s="7"/>
    </row>
    <row r="502" spans="1:26" ht="13" x14ac:dyDescent="0.6">
      <c r="A502" s="28" t="str">
        <f t="shared" si="5"/>
        <v/>
      </c>
      <c r="B502" s="7"/>
      <c r="C502" s="7"/>
      <c r="D502" s="9"/>
      <c r="E502" s="9"/>
      <c r="F502" s="7"/>
      <c r="G502" s="7"/>
      <c r="H502" s="7"/>
      <c r="I502" s="7"/>
      <c r="J502" s="7"/>
      <c r="K502" s="7"/>
      <c r="L502" s="7"/>
      <c r="M502" s="7"/>
      <c r="N502" s="7"/>
      <c r="O502" s="7"/>
      <c r="P502" s="29"/>
      <c r="Q502" s="29"/>
      <c r="R502" s="7"/>
      <c r="S502" s="7"/>
      <c r="T502" s="7" t="str">
        <f ca="1">IFERROR(__xludf.DUMMYFUNCTION("SPARKLINE({
IF(D502="""",0,D502),
IF(F502="""",0,F502),
IF(H502="""",0,H502),
IF(J502="""",0,J502),
IF(L502="""",0,L502),
IF(N502="""",0,N502),
IF(P502="""",0,P502)
})"),"")</f>
        <v/>
      </c>
      <c r="U502" s="7" t="str">
        <f ca="1">IFERROR(__xludf.DUMMYFUNCTION("SPARKLINE({
IF(E502="""",0,E502),
IF(G502="""",0,G502),
IF(I502="""",0,I502),
IF(K502="""",0,K502),
IF(M502="""",0,M502),
IF(O502="""",0,O502),
IF(Q502="""",0,Q502)
})"),"")</f>
        <v/>
      </c>
      <c r="V502" s="8" t="e">
        <f t="array" aca="1" ref="V502" ca="1">IF($C$4="Giao",_xludf.Xlookup(C502,#REF!,#REF!,),_xludf.Xlookup(C502,#REF!,#REF!,))</f>
        <v>#NAME?</v>
      </c>
      <c r="W502" s="8" t="e">
        <f t="array" aca="1" ref="W502" ca="1">IF($C$4="Giao", _xludf.Xlookup(C502,#REF!,#REF!,),)</f>
        <v>#NAME?</v>
      </c>
      <c r="X502" s="9" t="e">
        <f t="shared" ca="1" si="6"/>
        <v>#NAME?</v>
      </c>
      <c r="Y502" s="7"/>
      <c r="Z502" s="7"/>
    </row>
    <row r="503" spans="1:26" ht="13" x14ac:dyDescent="0.6">
      <c r="A503" s="28" t="str">
        <f t="shared" si="5"/>
        <v/>
      </c>
      <c r="B503" s="7"/>
      <c r="C503" s="7"/>
      <c r="D503" s="9"/>
      <c r="E503" s="9"/>
      <c r="F503" s="7"/>
      <c r="G503" s="7"/>
      <c r="H503" s="7"/>
      <c r="I503" s="7"/>
      <c r="J503" s="7"/>
      <c r="K503" s="7"/>
      <c r="L503" s="7"/>
      <c r="M503" s="7"/>
      <c r="N503" s="7"/>
      <c r="O503" s="7"/>
      <c r="P503" s="29"/>
      <c r="Q503" s="29"/>
      <c r="R503" s="7"/>
      <c r="S503" s="7"/>
      <c r="T503" s="7" t="str">
        <f ca="1">IFERROR(__xludf.DUMMYFUNCTION("SPARKLINE({
IF(D503="""",0,D503),
IF(F503="""",0,F503),
IF(H503="""",0,H503),
IF(J503="""",0,J503),
IF(L503="""",0,L503),
IF(N503="""",0,N503),
IF(P503="""",0,P503)
})"),"")</f>
        <v/>
      </c>
      <c r="U503" s="7" t="str">
        <f ca="1">IFERROR(__xludf.DUMMYFUNCTION("SPARKLINE({
IF(E503="""",0,E503),
IF(G503="""",0,G503),
IF(I503="""",0,I503),
IF(K503="""",0,K503),
IF(M503="""",0,M503),
IF(O503="""",0,O503),
IF(Q503="""",0,Q503)
})"),"")</f>
        <v/>
      </c>
      <c r="V503" s="8" t="e">
        <f t="array" aca="1" ref="V503" ca="1">IF($C$4="Giao",_xludf.Xlookup(C503,#REF!,#REF!,),_xludf.Xlookup(C503,#REF!,#REF!,))</f>
        <v>#NAME?</v>
      </c>
      <c r="W503" s="8" t="e">
        <f t="array" aca="1" ref="W503" ca="1">IF($C$4="Giao", _xludf.Xlookup(C503,#REF!,#REF!,),)</f>
        <v>#NAME?</v>
      </c>
      <c r="X503" s="9" t="e">
        <f t="shared" ca="1" si="6"/>
        <v>#NAME?</v>
      </c>
      <c r="Y503" s="7"/>
      <c r="Z503" s="7"/>
    </row>
    <row r="504" spans="1:26" ht="13" x14ac:dyDescent="0.6">
      <c r="A504" s="28" t="str">
        <f t="shared" si="5"/>
        <v/>
      </c>
      <c r="B504" s="7"/>
      <c r="C504" s="7"/>
      <c r="D504" s="9"/>
      <c r="E504" s="9"/>
      <c r="F504" s="7"/>
      <c r="G504" s="7"/>
      <c r="H504" s="7"/>
      <c r="I504" s="7"/>
      <c r="J504" s="7"/>
      <c r="K504" s="7"/>
      <c r="L504" s="7"/>
      <c r="M504" s="7"/>
      <c r="N504" s="7"/>
      <c r="O504" s="7"/>
      <c r="P504" s="29"/>
      <c r="Q504" s="29"/>
      <c r="R504" s="7"/>
      <c r="S504" s="7"/>
      <c r="T504" s="7" t="str">
        <f ca="1">IFERROR(__xludf.DUMMYFUNCTION("SPARKLINE({
IF(D504="""",0,D504),
IF(F504="""",0,F504),
IF(H504="""",0,H504),
IF(J504="""",0,J504),
IF(L504="""",0,L504),
IF(N504="""",0,N504),
IF(P504="""",0,P504)
})"),"")</f>
        <v/>
      </c>
      <c r="U504" s="7" t="str">
        <f ca="1">IFERROR(__xludf.DUMMYFUNCTION("SPARKLINE({
IF(E504="""",0,E504),
IF(G504="""",0,G504),
IF(I504="""",0,I504),
IF(K504="""",0,K504),
IF(M504="""",0,M504),
IF(O504="""",0,O504),
IF(Q504="""",0,Q504)
})"),"")</f>
        <v/>
      </c>
      <c r="V504" s="8" t="e">
        <f t="array" aca="1" ref="V504" ca="1">IF($C$4="Giao",_xludf.Xlookup(C504,#REF!,#REF!,),_xludf.Xlookup(C504,#REF!,#REF!,))</f>
        <v>#NAME?</v>
      </c>
      <c r="W504" s="8" t="e">
        <f t="array" aca="1" ref="W504" ca="1">IF($C$4="Giao", _xludf.Xlookup(C504,#REF!,#REF!,),)</f>
        <v>#NAME?</v>
      </c>
      <c r="X504" s="9" t="e">
        <f t="shared" ca="1" si="6"/>
        <v>#NAME?</v>
      </c>
      <c r="Y504" s="7"/>
      <c r="Z504" s="7"/>
    </row>
    <row r="505" spans="1:26" ht="13" x14ac:dyDescent="0.6">
      <c r="A505" s="28" t="str">
        <f t="shared" si="5"/>
        <v/>
      </c>
      <c r="B505" s="7"/>
      <c r="C505" s="7"/>
      <c r="D505" s="9"/>
      <c r="E505" s="9"/>
      <c r="F505" s="7"/>
      <c r="G505" s="7"/>
      <c r="H505" s="7"/>
      <c r="I505" s="7"/>
      <c r="J505" s="7"/>
      <c r="K505" s="7"/>
      <c r="L505" s="7"/>
      <c r="M505" s="7"/>
      <c r="N505" s="7"/>
      <c r="O505" s="7"/>
      <c r="P505" s="29"/>
      <c r="Q505" s="29"/>
      <c r="R505" s="7"/>
      <c r="S505" s="7"/>
      <c r="T505" s="7" t="str">
        <f ca="1">IFERROR(__xludf.DUMMYFUNCTION("SPARKLINE({
IF(D505="""",0,D505),
IF(F505="""",0,F505),
IF(H505="""",0,H505),
IF(J505="""",0,J505),
IF(L505="""",0,L505),
IF(N505="""",0,N505),
IF(P505="""",0,P505)
})"),"")</f>
        <v/>
      </c>
      <c r="U505" s="7" t="str">
        <f ca="1">IFERROR(__xludf.DUMMYFUNCTION("SPARKLINE({
IF(E505="""",0,E505),
IF(G505="""",0,G505),
IF(I505="""",0,I505),
IF(K505="""",0,K505),
IF(M505="""",0,M505),
IF(O505="""",0,O505),
IF(Q505="""",0,Q505)
})"),"")</f>
        <v/>
      </c>
      <c r="V505" s="8" t="e">
        <f t="array" aca="1" ref="V505" ca="1">IF($C$4="Giao",_xludf.Xlookup(C505,#REF!,#REF!,),_xludf.Xlookup(C505,#REF!,#REF!,))</f>
        <v>#NAME?</v>
      </c>
      <c r="W505" s="8" t="e">
        <f t="array" aca="1" ref="W505" ca="1">IF($C$4="Giao", _xludf.Xlookup(C505,#REF!,#REF!,),)</f>
        <v>#NAME?</v>
      </c>
      <c r="X505" s="9" t="e">
        <f t="shared" ca="1" si="6"/>
        <v>#NAME?</v>
      </c>
      <c r="Y505" s="7"/>
      <c r="Z505" s="7"/>
    </row>
    <row r="506" spans="1:26" ht="13" x14ac:dyDescent="0.6">
      <c r="A506" s="28" t="str">
        <f t="shared" si="5"/>
        <v/>
      </c>
      <c r="B506" s="7"/>
      <c r="C506" s="7"/>
      <c r="D506" s="9"/>
      <c r="E506" s="9"/>
      <c r="F506" s="7"/>
      <c r="G506" s="7"/>
      <c r="H506" s="7"/>
      <c r="I506" s="7"/>
      <c r="J506" s="7"/>
      <c r="K506" s="7"/>
      <c r="L506" s="7"/>
      <c r="M506" s="7"/>
      <c r="N506" s="7"/>
      <c r="O506" s="7"/>
      <c r="P506" s="29"/>
      <c r="Q506" s="29"/>
      <c r="R506" s="7"/>
      <c r="S506" s="7"/>
      <c r="T506" s="7" t="str">
        <f ca="1">IFERROR(__xludf.DUMMYFUNCTION("SPARKLINE({
IF(D506="""",0,D506),
IF(F506="""",0,F506),
IF(H506="""",0,H506),
IF(J506="""",0,J506),
IF(L506="""",0,L506),
IF(N506="""",0,N506),
IF(P506="""",0,P506)
})"),"")</f>
        <v/>
      </c>
      <c r="U506" s="7" t="str">
        <f ca="1">IFERROR(__xludf.DUMMYFUNCTION("SPARKLINE({
IF(E506="""",0,E506),
IF(G506="""",0,G506),
IF(I506="""",0,I506),
IF(K506="""",0,K506),
IF(M506="""",0,M506),
IF(O506="""",0,O506),
IF(Q506="""",0,Q506)
})"),"")</f>
        <v/>
      </c>
      <c r="V506" s="8" t="e">
        <f t="array" aca="1" ref="V506" ca="1">IF($C$4="Giao",_xludf.Xlookup(C506,#REF!,#REF!,),_xludf.Xlookup(C506,#REF!,#REF!,))</f>
        <v>#NAME?</v>
      </c>
      <c r="W506" s="8" t="e">
        <f t="array" aca="1" ref="W506" ca="1">IF($C$4="Giao", _xludf.Xlookup(C506,#REF!,#REF!,),)</f>
        <v>#NAME?</v>
      </c>
      <c r="X506" s="9" t="e">
        <f t="shared" ca="1" si="6"/>
        <v>#NAME?</v>
      </c>
      <c r="Y506" s="7"/>
      <c r="Z506" s="7"/>
    </row>
    <row r="507" spans="1:26" ht="13" x14ac:dyDescent="0.6">
      <c r="A507" s="28" t="str">
        <f t="shared" si="5"/>
        <v/>
      </c>
      <c r="B507" s="7"/>
      <c r="C507" s="7"/>
      <c r="D507" s="9"/>
      <c r="E507" s="9"/>
      <c r="F507" s="7"/>
      <c r="G507" s="7"/>
      <c r="H507" s="7"/>
      <c r="I507" s="7"/>
      <c r="J507" s="7"/>
      <c r="K507" s="7"/>
      <c r="L507" s="7"/>
      <c r="M507" s="7"/>
      <c r="N507" s="7"/>
      <c r="O507" s="7"/>
      <c r="P507" s="29"/>
      <c r="Q507" s="29"/>
      <c r="R507" s="7"/>
      <c r="S507" s="7"/>
      <c r="T507" s="7" t="str">
        <f ca="1">IFERROR(__xludf.DUMMYFUNCTION("SPARKLINE({
IF(D507="""",0,D507),
IF(F507="""",0,F507),
IF(H507="""",0,H507),
IF(J507="""",0,J507),
IF(L507="""",0,L507),
IF(N507="""",0,N507),
IF(P507="""",0,P507)
})"),"")</f>
        <v/>
      </c>
      <c r="U507" s="7" t="str">
        <f ca="1">IFERROR(__xludf.DUMMYFUNCTION("SPARKLINE({
IF(E507="""",0,E507),
IF(G507="""",0,G507),
IF(I507="""",0,I507),
IF(K507="""",0,K507),
IF(M507="""",0,M507),
IF(O507="""",0,O507),
IF(Q507="""",0,Q507)
})"),"")</f>
        <v/>
      </c>
      <c r="V507" s="8" t="e">
        <f t="array" aca="1" ref="V507" ca="1">IF($C$4="Giao",_xludf.Xlookup(C507,#REF!,#REF!,),_xludf.Xlookup(C507,#REF!,#REF!,))</f>
        <v>#NAME?</v>
      </c>
      <c r="W507" s="8" t="e">
        <f t="array" aca="1" ref="W507" ca="1">IF($C$4="Giao", _xludf.Xlookup(C507,#REF!,#REF!,),)</f>
        <v>#NAME?</v>
      </c>
      <c r="X507" s="9" t="e">
        <f t="shared" ca="1" si="6"/>
        <v>#NAME?</v>
      </c>
      <c r="Y507" s="7"/>
      <c r="Z507" s="7"/>
    </row>
    <row r="508" spans="1:26" ht="13" x14ac:dyDescent="0.6">
      <c r="A508" s="28" t="str">
        <f t="shared" si="5"/>
        <v/>
      </c>
      <c r="B508" s="7"/>
      <c r="C508" s="7"/>
      <c r="D508" s="9"/>
      <c r="E508" s="9"/>
      <c r="F508" s="7"/>
      <c r="G508" s="7"/>
      <c r="H508" s="7"/>
      <c r="I508" s="7"/>
      <c r="J508" s="7"/>
      <c r="K508" s="7"/>
      <c r="L508" s="7"/>
      <c r="M508" s="7"/>
      <c r="N508" s="7"/>
      <c r="O508" s="7"/>
      <c r="P508" s="29"/>
      <c r="Q508" s="29"/>
      <c r="R508" s="7"/>
      <c r="S508" s="7"/>
      <c r="T508" s="7" t="str">
        <f ca="1">IFERROR(__xludf.DUMMYFUNCTION("SPARKLINE({
IF(D508="""",0,D508),
IF(F508="""",0,F508),
IF(H508="""",0,H508),
IF(J508="""",0,J508),
IF(L508="""",0,L508),
IF(N508="""",0,N508),
IF(P508="""",0,P508)
})"),"")</f>
        <v/>
      </c>
      <c r="U508" s="7" t="str">
        <f ca="1">IFERROR(__xludf.DUMMYFUNCTION("SPARKLINE({
IF(E508="""",0,E508),
IF(G508="""",0,G508),
IF(I508="""",0,I508),
IF(K508="""",0,K508),
IF(M508="""",0,M508),
IF(O508="""",0,O508),
IF(Q508="""",0,Q508)
})"),"")</f>
        <v/>
      </c>
      <c r="V508" s="8" t="e">
        <f t="array" aca="1" ref="V508" ca="1">IF($C$4="Giao",_xludf.Xlookup(C508,#REF!,#REF!,),_xludf.Xlookup(C508,#REF!,#REF!,))</f>
        <v>#NAME?</v>
      </c>
      <c r="W508" s="8" t="e">
        <f t="array" aca="1" ref="W508" ca="1">IF($C$4="Giao", _xludf.Xlookup(C508,#REF!,#REF!,),)</f>
        <v>#NAME?</v>
      </c>
      <c r="X508" s="9" t="e">
        <f t="shared" ca="1" si="6"/>
        <v>#NAME?</v>
      </c>
      <c r="Y508" s="7"/>
      <c r="Z508" s="7"/>
    </row>
    <row r="509" spans="1:26" ht="13" x14ac:dyDescent="0.6">
      <c r="A509" s="28" t="str">
        <f t="shared" si="5"/>
        <v/>
      </c>
      <c r="B509" s="7"/>
      <c r="C509" s="7"/>
      <c r="D509" s="9"/>
      <c r="E509" s="9"/>
      <c r="F509" s="7"/>
      <c r="G509" s="7"/>
      <c r="H509" s="7"/>
      <c r="I509" s="7"/>
      <c r="J509" s="7"/>
      <c r="K509" s="7"/>
      <c r="L509" s="7"/>
      <c r="M509" s="7"/>
      <c r="N509" s="7"/>
      <c r="O509" s="7"/>
      <c r="P509" s="29"/>
      <c r="Q509" s="29"/>
      <c r="R509" s="7"/>
      <c r="S509" s="7"/>
      <c r="T509" s="7" t="str">
        <f ca="1">IFERROR(__xludf.DUMMYFUNCTION("SPARKLINE({
IF(D509="""",0,D509),
IF(F509="""",0,F509),
IF(H509="""",0,H509),
IF(J509="""",0,J509),
IF(L509="""",0,L509),
IF(N509="""",0,N509),
IF(P509="""",0,P509)
})"),"")</f>
        <v/>
      </c>
      <c r="U509" s="7" t="str">
        <f ca="1">IFERROR(__xludf.DUMMYFUNCTION("SPARKLINE({
IF(E509="""",0,E509),
IF(G509="""",0,G509),
IF(I509="""",0,I509),
IF(K509="""",0,K509),
IF(M509="""",0,M509),
IF(O509="""",0,O509),
IF(Q509="""",0,Q509)
})"),"")</f>
        <v/>
      </c>
      <c r="V509" s="8" t="e">
        <f t="array" aca="1" ref="V509" ca="1">IF($C$4="Giao",_xludf.Xlookup(C509,#REF!,#REF!,),_xludf.Xlookup(C509,#REF!,#REF!,))</f>
        <v>#NAME?</v>
      </c>
      <c r="W509" s="8" t="e">
        <f t="array" aca="1" ref="W509" ca="1">IF($C$4="Giao", _xludf.Xlookup(C509,#REF!,#REF!,),)</f>
        <v>#NAME?</v>
      </c>
      <c r="X509" s="9" t="e">
        <f t="shared" ca="1" si="6"/>
        <v>#NAME?</v>
      </c>
      <c r="Y509" s="7"/>
      <c r="Z509" s="7"/>
    </row>
    <row r="510" spans="1:26" ht="13" x14ac:dyDescent="0.6">
      <c r="A510" s="28" t="str">
        <f t="shared" si="5"/>
        <v/>
      </c>
      <c r="B510" s="7"/>
      <c r="C510" s="7"/>
      <c r="D510" s="9"/>
      <c r="E510" s="9"/>
      <c r="F510" s="7"/>
      <c r="G510" s="7"/>
      <c r="H510" s="7"/>
      <c r="I510" s="7"/>
      <c r="J510" s="7"/>
      <c r="K510" s="7"/>
      <c r="L510" s="7"/>
      <c r="M510" s="7"/>
      <c r="N510" s="7"/>
      <c r="O510" s="7"/>
      <c r="P510" s="29"/>
      <c r="Q510" s="29"/>
      <c r="R510" s="7"/>
      <c r="S510" s="7"/>
      <c r="T510" s="7" t="str">
        <f ca="1">IFERROR(__xludf.DUMMYFUNCTION("SPARKLINE({
IF(D510="""",0,D510),
IF(F510="""",0,F510),
IF(H510="""",0,H510),
IF(J510="""",0,J510),
IF(L510="""",0,L510),
IF(N510="""",0,N510),
IF(P510="""",0,P510)
})"),"")</f>
        <v/>
      </c>
      <c r="U510" s="7" t="str">
        <f ca="1">IFERROR(__xludf.DUMMYFUNCTION("SPARKLINE({
IF(E510="""",0,E510),
IF(G510="""",0,G510),
IF(I510="""",0,I510),
IF(K510="""",0,K510),
IF(M510="""",0,M510),
IF(O510="""",0,O510),
IF(Q510="""",0,Q510)
})"),"")</f>
        <v/>
      </c>
      <c r="V510" s="8" t="e">
        <f t="array" aca="1" ref="V510" ca="1">IF($C$4="Giao",_xludf.Xlookup(C510,#REF!,#REF!,),_xludf.Xlookup(C510,#REF!,#REF!,))</f>
        <v>#NAME?</v>
      </c>
      <c r="W510" s="8" t="e">
        <f t="array" aca="1" ref="W510" ca="1">IF($C$4="Giao", _xludf.Xlookup(C510,#REF!,#REF!,),)</f>
        <v>#NAME?</v>
      </c>
      <c r="X510" s="9" t="e">
        <f t="shared" ca="1" si="6"/>
        <v>#NAME?</v>
      </c>
      <c r="Y510" s="7"/>
      <c r="Z510" s="7"/>
    </row>
    <row r="511" spans="1:26" ht="13" x14ac:dyDescent="0.6">
      <c r="A511" s="28" t="str">
        <f t="shared" si="5"/>
        <v/>
      </c>
      <c r="B511" s="7"/>
      <c r="C511" s="7"/>
      <c r="D511" s="9"/>
      <c r="E511" s="9"/>
      <c r="F511" s="7"/>
      <c r="G511" s="7"/>
      <c r="H511" s="7"/>
      <c r="I511" s="7"/>
      <c r="J511" s="7"/>
      <c r="K511" s="7"/>
      <c r="L511" s="7"/>
      <c r="M511" s="7"/>
      <c r="N511" s="7"/>
      <c r="O511" s="7"/>
      <c r="P511" s="29"/>
      <c r="Q511" s="29"/>
      <c r="R511" s="7"/>
      <c r="S511" s="7"/>
      <c r="T511" s="7" t="str">
        <f ca="1">IFERROR(__xludf.DUMMYFUNCTION("SPARKLINE({
IF(D511="""",0,D511),
IF(F511="""",0,F511),
IF(H511="""",0,H511),
IF(J511="""",0,J511),
IF(L511="""",0,L511),
IF(N511="""",0,N511),
IF(P511="""",0,P511)
})"),"")</f>
        <v/>
      </c>
      <c r="U511" s="7" t="str">
        <f ca="1">IFERROR(__xludf.DUMMYFUNCTION("SPARKLINE({
IF(E511="""",0,E511),
IF(G511="""",0,G511),
IF(I511="""",0,I511),
IF(K511="""",0,K511),
IF(M511="""",0,M511),
IF(O511="""",0,O511),
IF(Q511="""",0,Q511)
})"),"")</f>
        <v/>
      </c>
      <c r="V511" s="8" t="e">
        <f t="array" aca="1" ref="V511" ca="1">IF($C$4="Giao",_xludf.Xlookup(C511,#REF!,#REF!,),_xludf.Xlookup(C511,#REF!,#REF!,))</f>
        <v>#NAME?</v>
      </c>
      <c r="W511" s="8" t="e">
        <f t="array" aca="1" ref="W511" ca="1">IF($C$4="Giao", _xludf.Xlookup(C511,#REF!,#REF!,),)</f>
        <v>#NAME?</v>
      </c>
      <c r="X511" s="9" t="e">
        <f t="shared" ca="1" si="6"/>
        <v>#NAME?</v>
      </c>
      <c r="Y511" s="7"/>
      <c r="Z511" s="7"/>
    </row>
    <row r="512" spans="1:26" ht="13" x14ac:dyDescent="0.6">
      <c r="A512" s="28" t="str">
        <f t="shared" si="5"/>
        <v/>
      </c>
      <c r="B512" s="7"/>
      <c r="C512" s="7"/>
      <c r="D512" s="9"/>
      <c r="E512" s="9"/>
      <c r="F512" s="7"/>
      <c r="G512" s="7"/>
      <c r="H512" s="7"/>
      <c r="I512" s="7"/>
      <c r="J512" s="7"/>
      <c r="K512" s="7"/>
      <c r="L512" s="7"/>
      <c r="M512" s="7"/>
      <c r="N512" s="7"/>
      <c r="O512" s="7"/>
      <c r="P512" s="29"/>
      <c r="Q512" s="29"/>
      <c r="R512" s="7"/>
      <c r="S512" s="7"/>
      <c r="T512" s="7" t="str">
        <f ca="1">IFERROR(__xludf.DUMMYFUNCTION("SPARKLINE({
IF(D512="""",0,D512),
IF(F512="""",0,F512),
IF(H512="""",0,H512),
IF(J512="""",0,J512),
IF(L512="""",0,L512),
IF(N512="""",0,N512),
IF(P512="""",0,P512)
})"),"")</f>
        <v/>
      </c>
      <c r="U512" s="7" t="str">
        <f ca="1">IFERROR(__xludf.DUMMYFUNCTION("SPARKLINE({
IF(E512="""",0,E512),
IF(G512="""",0,G512),
IF(I512="""",0,I512),
IF(K512="""",0,K512),
IF(M512="""",0,M512),
IF(O512="""",0,O512),
IF(Q512="""",0,Q512)
})"),"")</f>
        <v/>
      </c>
      <c r="V512" s="8" t="e">
        <f t="array" aca="1" ref="V512" ca="1">IF($C$4="Giao",_xludf.Xlookup(C512,#REF!,#REF!,),_xludf.Xlookup(C512,#REF!,#REF!,))</f>
        <v>#NAME?</v>
      </c>
      <c r="W512" s="8" t="e">
        <f t="array" aca="1" ref="W512" ca="1">IF($C$4="Giao", _xludf.Xlookup(C512,#REF!,#REF!,),)</f>
        <v>#NAME?</v>
      </c>
      <c r="X512" s="9" t="e">
        <f t="shared" ca="1" si="6"/>
        <v>#NAME?</v>
      </c>
      <c r="Y512" s="7"/>
      <c r="Z512" s="7"/>
    </row>
    <row r="513" spans="1:26" ht="13" x14ac:dyDescent="0.6">
      <c r="A513" s="28" t="str">
        <f t="shared" si="5"/>
        <v/>
      </c>
      <c r="B513" s="7"/>
      <c r="C513" s="7"/>
      <c r="D513" s="9"/>
      <c r="E513" s="9"/>
      <c r="F513" s="7"/>
      <c r="G513" s="7"/>
      <c r="H513" s="7"/>
      <c r="I513" s="7"/>
      <c r="J513" s="7"/>
      <c r="K513" s="7"/>
      <c r="L513" s="7"/>
      <c r="M513" s="7"/>
      <c r="N513" s="7"/>
      <c r="O513" s="7"/>
      <c r="P513" s="29"/>
      <c r="Q513" s="29"/>
      <c r="R513" s="7"/>
      <c r="S513" s="7"/>
      <c r="T513" s="7" t="str">
        <f ca="1">IFERROR(__xludf.DUMMYFUNCTION("SPARKLINE({
IF(D513="""",0,D513),
IF(F513="""",0,F513),
IF(H513="""",0,H513),
IF(J513="""",0,J513),
IF(L513="""",0,L513),
IF(N513="""",0,N513),
IF(P513="""",0,P513)
})"),"")</f>
        <v/>
      </c>
      <c r="U513" s="7" t="str">
        <f ca="1">IFERROR(__xludf.DUMMYFUNCTION("SPARKLINE({
IF(E513="""",0,E513),
IF(G513="""",0,G513),
IF(I513="""",0,I513),
IF(K513="""",0,K513),
IF(M513="""",0,M513),
IF(O513="""",0,O513),
IF(Q513="""",0,Q513)
})"),"")</f>
        <v/>
      </c>
      <c r="V513" s="8" t="e">
        <f t="array" aca="1" ref="V513" ca="1">IF($C$4="Giao",_xludf.Xlookup(C513,#REF!,#REF!,),_xludf.Xlookup(C513,#REF!,#REF!,))</f>
        <v>#NAME?</v>
      </c>
      <c r="W513" s="8" t="e">
        <f t="array" aca="1" ref="W513" ca="1">IF($C$4="Giao", _xludf.Xlookup(C513,#REF!,#REF!,),)</f>
        <v>#NAME?</v>
      </c>
      <c r="X513" s="9" t="e">
        <f t="shared" ca="1" si="6"/>
        <v>#NAME?</v>
      </c>
      <c r="Y513" s="7"/>
      <c r="Z513" s="7"/>
    </row>
    <row r="514" spans="1:26" ht="13" x14ac:dyDescent="0.6">
      <c r="A514" s="28" t="str">
        <f t="shared" si="5"/>
        <v/>
      </c>
      <c r="B514" s="7"/>
      <c r="C514" s="7"/>
      <c r="D514" s="9"/>
      <c r="E514" s="9"/>
      <c r="F514" s="7"/>
      <c r="G514" s="7"/>
      <c r="H514" s="7"/>
      <c r="I514" s="7"/>
      <c r="J514" s="7"/>
      <c r="K514" s="7"/>
      <c r="L514" s="7"/>
      <c r="M514" s="7"/>
      <c r="N514" s="7"/>
      <c r="O514" s="7"/>
      <c r="P514" s="29"/>
      <c r="Q514" s="29"/>
      <c r="R514" s="7"/>
      <c r="S514" s="7"/>
      <c r="T514" s="7" t="str">
        <f ca="1">IFERROR(__xludf.DUMMYFUNCTION("SPARKLINE({
IF(D514="""",0,D514),
IF(F514="""",0,F514),
IF(H514="""",0,H514),
IF(J514="""",0,J514),
IF(L514="""",0,L514),
IF(N514="""",0,N514),
IF(P514="""",0,P514)
})"),"")</f>
        <v/>
      </c>
      <c r="U514" s="7" t="str">
        <f ca="1">IFERROR(__xludf.DUMMYFUNCTION("SPARKLINE({
IF(E514="""",0,E514),
IF(G514="""",0,G514),
IF(I514="""",0,I514),
IF(K514="""",0,K514),
IF(M514="""",0,M514),
IF(O514="""",0,O514),
IF(Q514="""",0,Q514)
})"),"")</f>
        <v/>
      </c>
      <c r="V514" s="8" t="e">
        <f t="array" aca="1" ref="V514" ca="1">IF($C$4="Giao",_xludf.Xlookup(C514,#REF!,#REF!,),_xludf.Xlookup(C514,#REF!,#REF!,))</f>
        <v>#NAME?</v>
      </c>
      <c r="W514" s="8" t="e">
        <f t="array" aca="1" ref="W514" ca="1">IF($C$4="Giao", _xludf.Xlookup(C514,#REF!,#REF!,),)</f>
        <v>#NAME?</v>
      </c>
      <c r="X514" s="9" t="e">
        <f t="shared" ca="1" si="6"/>
        <v>#NAME?</v>
      </c>
      <c r="Y514" s="7"/>
      <c r="Z514" s="7"/>
    </row>
    <row r="515" spans="1:26" ht="13" x14ac:dyDescent="0.6">
      <c r="A515" s="28" t="str">
        <f t="shared" si="5"/>
        <v/>
      </c>
      <c r="B515" s="7"/>
      <c r="C515" s="7"/>
      <c r="D515" s="9"/>
      <c r="E515" s="9"/>
      <c r="F515" s="7"/>
      <c r="G515" s="7"/>
      <c r="H515" s="7"/>
      <c r="I515" s="7"/>
      <c r="J515" s="7"/>
      <c r="K515" s="7"/>
      <c r="L515" s="7"/>
      <c r="M515" s="7"/>
      <c r="N515" s="7"/>
      <c r="O515" s="7"/>
      <c r="P515" s="29"/>
      <c r="Q515" s="29"/>
      <c r="R515" s="7"/>
      <c r="S515" s="7"/>
      <c r="T515" s="7" t="str">
        <f ca="1">IFERROR(__xludf.DUMMYFUNCTION("SPARKLINE({
IF(D515="""",0,D515),
IF(F515="""",0,F515),
IF(H515="""",0,H515),
IF(J515="""",0,J515),
IF(L515="""",0,L515),
IF(N515="""",0,N515),
IF(P515="""",0,P515)
})"),"")</f>
        <v/>
      </c>
      <c r="U515" s="7" t="str">
        <f ca="1">IFERROR(__xludf.DUMMYFUNCTION("SPARKLINE({
IF(E515="""",0,E515),
IF(G515="""",0,G515),
IF(I515="""",0,I515),
IF(K515="""",0,K515),
IF(M515="""",0,M515),
IF(O515="""",0,O515),
IF(Q515="""",0,Q515)
})"),"")</f>
        <v/>
      </c>
      <c r="V515" s="8" t="e">
        <f t="array" aca="1" ref="V515" ca="1">IF($C$4="Giao",_xludf.Xlookup(C515,#REF!,#REF!,),_xludf.Xlookup(C515,#REF!,#REF!,))</f>
        <v>#NAME?</v>
      </c>
      <c r="W515" s="8" t="e">
        <f t="array" aca="1" ref="W515" ca="1">IF($C$4="Giao", _xludf.Xlookup(C515,#REF!,#REF!,),)</f>
        <v>#NAME?</v>
      </c>
      <c r="X515" s="9" t="e">
        <f t="shared" ca="1" si="6"/>
        <v>#NAME?</v>
      </c>
      <c r="Y515" s="7"/>
      <c r="Z515" s="7"/>
    </row>
    <row r="516" spans="1:26" ht="13" x14ac:dyDescent="0.6">
      <c r="A516" s="28" t="str">
        <f t="shared" si="5"/>
        <v/>
      </c>
      <c r="B516" s="7"/>
      <c r="C516" s="7"/>
      <c r="D516" s="9"/>
      <c r="E516" s="9"/>
      <c r="F516" s="7"/>
      <c r="G516" s="7"/>
      <c r="H516" s="7"/>
      <c r="I516" s="7"/>
      <c r="J516" s="7"/>
      <c r="K516" s="7"/>
      <c r="L516" s="7"/>
      <c r="M516" s="7"/>
      <c r="N516" s="7"/>
      <c r="O516" s="7"/>
      <c r="P516" s="29"/>
      <c r="Q516" s="29"/>
      <c r="R516" s="7"/>
      <c r="S516" s="7"/>
      <c r="T516" s="7" t="str">
        <f ca="1">IFERROR(__xludf.DUMMYFUNCTION("SPARKLINE({
IF(D516="""",0,D516),
IF(F516="""",0,F516),
IF(H516="""",0,H516),
IF(J516="""",0,J516),
IF(L516="""",0,L516),
IF(N516="""",0,N516),
IF(P516="""",0,P516)
})"),"")</f>
        <v/>
      </c>
      <c r="U516" s="7" t="str">
        <f ca="1">IFERROR(__xludf.DUMMYFUNCTION("SPARKLINE({
IF(E516="""",0,E516),
IF(G516="""",0,G516),
IF(I516="""",0,I516),
IF(K516="""",0,K516),
IF(M516="""",0,M516),
IF(O516="""",0,O516),
IF(Q516="""",0,Q516)
})"),"")</f>
        <v/>
      </c>
      <c r="V516" s="8" t="e">
        <f t="array" aca="1" ref="V516" ca="1">IF($C$4="Giao",_xludf.Xlookup(C516,#REF!,#REF!,),_xludf.Xlookup(C516,#REF!,#REF!,))</f>
        <v>#NAME?</v>
      </c>
      <c r="W516" s="8" t="e">
        <f t="array" aca="1" ref="W516" ca="1">IF($C$4="Giao", _xludf.Xlookup(C516,#REF!,#REF!,),)</f>
        <v>#NAME?</v>
      </c>
      <c r="X516" s="9" t="e">
        <f t="shared" ca="1" si="6"/>
        <v>#NAME?</v>
      </c>
      <c r="Y516" s="7"/>
      <c r="Z516" s="7"/>
    </row>
    <row r="517" spans="1:26" ht="13" x14ac:dyDescent="0.6">
      <c r="A517" s="28" t="str">
        <f t="shared" si="5"/>
        <v/>
      </c>
      <c r="B517" s="7"/>
      <c r="C517" s="7"/>
      <c r="D517" s="9"/>
      <c r="E517" s="9"/>
      <c r="F517" s="7"/>
      <c r="G517" s="7"/>
      <c r="H517" s="7"/>
      <c r="I517" s="7"/>
      <c r="J517" s="7"/>
      <c r="K517" s="7"/>
      <c r="L517" s="7"/>
      <c r="M517" s="7"/>
      <c r="N517" s="7"/>
      <c r="O517" s="7"/>
      <c r="P517" s="29"/>
      <c r="Q517" s="29"/>
      <c r="R517" s="7"/>
      <c r="S517" s="7"/>
      <c r="T517" s="7" t="str">
        <f ca="1">IFERROR(__xludf.DUMMYFUNCTION("SPARKLINE({
IF(D517="""",0,D517),
IF(F517="""",0,F517),
IF(H517="""",0,H517),
IF(J517="""",0,J517),
IF(L517="""",0,L517),
IF(N517="""",0,N517),
IF(P517="""",0,P517)
})"),"")</f>
        <v/>
      </c>
      <c r="U517" s="7" t="str">
        <f ca="1">IFERROR(__xludf.DUMMYFUNCTION("SPARKLINE({
IF(E517="""",0,E517),
IF(G517="""",0,G517),
IF(I517="""",0,I517),
IF(K517="""",0,K517),
IF(M517="""",0,M517),
IF(O517="""",0,O517),
IF(Q517="""",0,Q517)
})"),"")</f>
        <v/>
      </c>
      <c r="V517" s="8" t="e">
        <f t="array" aca="1" ref="V517" ca="1">IF($C$4="Giao",_xludf.Xlookup(C517,#REF!,#REF!,),_xludf.Xlookup(C517,#REF!,#REF!,))</f>
        <v>#NAME?</v>
      </c>
      <c r="W517" s="8" t="e">
        <f t="array" aca="1" ref="W517" ca="1">IF($C$4="Giao", _xludf.Xlookup(C517,#REF!,#REF!,),)</f>
        <v>#NAME?</v>
      </c>
      <c r="X517" s="9" t="e">
        <f t="shared" ca="1" si="6"/>
        <v>#NAME?</v>
      </c>
      <c r="Y517" s="7"/>
      <c r="Z517" s="7"/>
    </row>
    <row r="518" spans="1:26" ht="13" x14ac:dyDescent="0.6">
      <c r="A518" s="28" t="str">
        <f t="shared" ref="A518:A772" si="7">IF(B518="","",COUNTA($B$8:B518))</f>
        <v/>
      </c>
      <c r="B518" s="7"/>
      <c r="C518" s="7"/>
      <c r="D518" s="9"/>
      <c r="E518" s="9"/>
      <c r="F518" s="7"/>
      <c r="G518" s="7"/>
      <c r="H518" s="7"/>
      <c r="I518" s="7"/>
      <c r="J518" s="7"/>
      <c r="K518" s="7"/>
      <c r="L518" s="7"/>
      <c r="M518" s="7"/>
      <c r="N518" s="7"/>
      <c r="O518" s="7"/>
      <c r="P518" s="29"/>
      <c r="Q518" s="29"/>
      <c r="R518" s="7"/>
      <c r="S518" s="7"/>
      <c r="T518" s="7" t="str">
        <f ca="1">IFERROR(__xludf.DUMMYFUNCTION("SPARKLINE({
IF(D518="""",0,D518),
IF(F518="""",0,F518),
IF(H518="""",0,H518),
IF(J518="""",0,J518),
IF(L518="""",0,L518),
IF(N518="""",0,N518),
IF(P518="""",0,P518)
})"),"")</f>
        <v/>
      </c>
      <c r="U518" s="7" t="str">
        <f ca="1">IFERROR(__xludf.DUMMYFUNCTION("SPARKLINE({
IF(E518="""",0,E518),
IF(G518="""",0,G518),
IF(I518="""",0,I518),
IF(K518="""",0,K518),
IF(M518="""",0,M518),
IF(O518="""",0,O518),
IF(Q518="""",0,Q518)
})"),"")</f>
        <v/>
      </c>
      <c r="V518" s="8" t="e">
        <f t="array" aca="1" ref="V518" ca="1">IF($C$4="Giao",_xludf.Xlookup(C518,#REF!,#REF!,),_xludf.Xlookup(C518,#REF!,#REF!,))</f>
        <v>#NAME?</v>
      </c>
      <c r="W518" s="8" t="e">
        <f t="array" aca="1" ref="W518" ca="1">IF($C$4="Giao", _xludf.Xlookup(C518,#REF!,#REF!,),)</f>
        <v>#NAME?</v>
      </c>
      <c r="X518" s="9" t="e">
        <f t="shared" ref="X518:X772" ca="1" si="8">W518*1.08</f>
        <v>#NAME?</v>
      </c>
      <c r="Y518" s="7"/>
      <c r="Z518" s="7"/>
    </row>
    <row r="519" spans="1:26" ht="13" x14ac:dyDescent="0.6">
      <c r="A519" s="28" t="str">
        <f t="shared" si="7"/>
        <v/>
      </c>
      <c r="B519" s="7"/>
      <c r="C519" s="7"/>
      <c r="D519" s="9"/>
      <c r="E519" s="9"/>
      <c r="F519" s="7"/>
      <c r="G519" s="7"/>
      <c r="H519" s="7"/>
      <c r="I519" s="7"/>
      <c r="J519" s="7"/>
      <c r="K519" s="7"/>
      <c r="L519" s="7"/>
      <c r="M519" s="7"/>
      <c r="N519" s="7"/>
      <c r="O519" s="7"/>
      <c r="P519" s="29"/>
      <c r="Q519" s="29"/>
      <c r="R519" s="7"/>
      <c r="S519" s="7"/>
      <c r="T519" s="7" t="str">
        <f ca="1">IFERROR(__xludf.DUMMYFUNCTION("SPARKLINE({
IF(D519="""",0,D519),
IF(F519="""",0,F519),
IF(H519="""",0,H519),
IF(J519="""",0,J519),
IF(L519="""",0,L519),
IF(N519="""",0,N519),
IF(P519="""",0,P519)
})"),"")</f>
        <v/>
      </c>
      <c r="U519" s="7" t="str">
        <f ca="1">IFERROR(__xludf.DUMMYFUNCTION("SPARKLINE({
IF(E519="""",0,E519),
IF(G519="""",0,G519),
IF(I519="""",0,I519),
IF(K519="""",0,K519),
IF(M519="""",0,M519),
IF(O519="""",0,O519),
IF(Q519="""",0,Q519)
})"),"")</f>
        <v/>
      </c>
      <c r="V519" s="8" t="e">
        <f t="array" aca="1" ref="V519" ca="1">IF($C$4="Giao",_xludf.Xlookup(C519,#REF!,#REF!,),_xludf.Xlookup(C519,#REF!,#REF!,))</f>
        <v>#NAME?</v>
      </c>
      <c r="W519" s="8" t="e">
        <f t="array" aca="1" ref="W519" ca="1">IF($C$4="Giao", _xludf.Xlookup(C519,#REF!,#REF!,),)</f>
        <v>#NAME?</v>
      </c>
      <c r="X519" s="9" t="e">
        <f t="shared" ca="1" si="8"/>
        <v>#NAME?</v>
      </c>
      <c r="Y519" s="7"/>
      <c r="Z519" s="7"/>
    </row>
    <row r="520" spans="1:26" ht="13" x14ac:dyDescent="0.6">
      <c r="A520" s="28" t="str">
        <f t="shared" si="7"/>
        <v/>
      </c>
      <c r="B520" s="7"/>
      <c r="C520" s="7"/>
      <c r="D520" s="9"/>
      <c r="E520" s="9"/>
      <c r="F520" s="7"/>
      <c r="G520" s="7"/>
      <c r="H520" s="7"/>
      <c r="I520" s="7"/>
      <c r="J520" s="7"/>
      <c r="K520" s="7"/>
      <c r="L520" s="7"/>
      <c r="M520" s="7"/>
      <c r="N520" s="7"/>
      <c r="O520" s="7"/>
      <c r="P520" s="29"/>
      <c r="Q520" s="29"/>
      <c r="R520" s="7"/>
      <c r="S520" s="7"/>
      <c r="T520" s="7" t="str">
        <f ca="1">IFERROR(__xludf.DUMMYFUNCTION("SPARKLINE({
IF(D520="""",0,D520),
IF(F520="""",0,F520),
IF(H520="""",0,H520),
IF(J520="""",0,J520),
IF(L520="""",0,L520),
IF(N520="""",0,N520),
IF(P520="""",0,P520)
})"),"")</f>
        <v/>
      </c>
      <c r="U520" s="7" t="str">
        <f ca="1">IFERROR(__xludf.DUMMYFUNCTION("SPARKLINE({
IF(E520="""",0,E520),
IF(G520="""",0,G520),
IF(I520="""",0,I520),
IF(K520="""",0,K520),
IF(M520="""",0,M520),
IF(O520="""",0,O520),
IF(Q520="""",0,Q520)
})"),"")</f>
        <v/>
      </c>
      <c r="V520" s="8" t="e">
        <f t="array" aca="1" ref="V520" ca="1">IF($C$4="Giao",_xludf.Xlookup(C520,#REF!,#REF!,),_xludf.Xlookup(C520,#REF!,#REF!,))</f>
        <v>#NAME?</v>
      </c>
      <c r="W520" s="8" t="e">
        <f t="array" aca="1" ref="W520" ca="1">IF($C$4="Giao", _xludf.Xlookup(C520,#REF!,#REF!,),)</f>
        <v>#NAME?</v>
      </c>
      <c r="X520" s="9" t="e">
        <f t="shared" ca="1" si="8"/>
        <v>#NAME?</v>
      </c>
      <c r="Y520" s="7"/>
      <c r="Z520" s="7"/>
    </row>
    <row r="521" spans="1:26" ht="13" x14ac:dyDescent="0.6">
      <c r="A521" s="28" t="str">
        <f t="shared" si="7"/>
        <v/>
      </c>
      <c r="B521" s="7"/>
      <c r="C521" s="7"/>
      <c r="D521" s="9"/>
      <c r="E521" s="9"/>
      <c r="F521" s="7"/>
      <c r="G521" s="7"/>
      <c r="H521" s="7"/>
      <c r="I521" s="7"/>
      <c r="J521" s="7"/>
      <c r="K521" s="7"/>
      <c r="L521" s="7"/>
      <c r="M521" s="7"/>
      <c r="N521" s="7"/>
      <c r="O521" s="7"/>
      <c r="P521" s="29"/>
      <c r="Q521" s="29"/>
      <c r="R521" s="7"/>
      <c r="S521" s="7"/>
      <c r="T521" s="7" t="str">
        <f ca="1">IFERROR(__xludf.DUMMYFUNCTION("SPARKLINE({
IF(D521="""",0,D521),
IF(F521="""",0,F521),
IF(H521="""",0,H521),
IF(J521="""",0,J521),
IF(L521="""",0,L521),
IF(N521="""",0,N521),
IF(P521="""",0,P521)
})"),"")</f>
        <v/>
      </c>
      <c r="U521" s="7" t="str">
        <f ca="1">IFERROR(__xludf.DUMMYFUNCTION("SPARKLINE({
IF(E521="""",0,E521),
IF(G521="""",0,G521),
IF(I521="""",0,I521),
IF(K521="""",0,K521),
IF(M521="""",0,M521),
IF(O521="""",0,O521),
IF(Q521="""",0,Q521)
})"),"")</f>
        <v/>
      </c>
      <c r="V521" s="8" t="e">
        <f t="array" aca="1" ref="V521" ca="1">IF($C$4="Giao",_xludf.Xlookup(C521,#REF!,#REF!,),_xludf.Xlookup(C521,#REF!,#REF!,))</f>
        <v>#NAME?</v>
      </c>
      <c r="W521" s="8" t="e">
        <f t="array" aca="1" ref="W521" ca="1">IF($C$4="Giao", _xludf.Xlookup(C521,#REF!,#REF!,),)</f>
        <v>#NAME?</v>
      </c>
      <c r="X521" s="9" t="e">
        <f t="shared" ca="1" si="8"/>
        <v>#NAME?</v>
      </c>
      <c r="Y521" s="7"/>
      <c r="Z521" s="7"/>
    </row>
    <row r="522" spans="1:26" ht="13" x14ac:dyDescent="0.6">
      <c r="A522" s="28" t="str">
        <f t="shared" si="7"/>
        <v/>
      </c>
      <c r="B522" s="7"/>
      <c r="C522" s="7"/>
      <c r="D522" s="9"/>
      <c r="E522" s="9"/>
      <c r="F522" s="7"/>
      <c r="G522" s="7"/>
      <c r="H522" s="7"/>
      <c r="I522" s="7"/>
      <c r="J522" s="7"/>
      <c r="K522" s="7"/>
      <c r="L522" s="7"/>
      <c r="M522" s="7"/>
      <c r="N522" s="7"/>
      <c r="O522" s="7"/>
      <c r="P522" s="29"/>
      <c r="Q522" s="29"/>
      <c r="R522" s="7"/>
      <c r="S522" s="7"/>
      <c r="T522" s="7" t="str">
        <f ca="1">IFERROR(__xludf.DUMMYFUNCTION("SPARKLINE({
IF(D522="""",0,D522),
IF(F522="""",0,F522),
IF(H522="""",0,H522),
IF(J522="""",0,J522),
IF(L522="""",0,L522),
IF(N522="""",0,N522),
IF(P522="""",0,P522)
})"),"")</f>
        <v/>
      </c>
      <c r="U522" s="7" t="str">
        <f ca="1">IFERROR(__xludf.DUMMYFUNCTION("SPARKLINE({
IF(E522="""",0,E522),
IF(G522="""",0,G522),
IF(I522="""",0,I522),
IF(K522="""",0,K522),
IF(M522="""",0,M522),
IF(O522="""",0,O522),
IF(Q522="""",0,Q522)
})"),"")</f>
        <v/>
      </c>
      <c r="V522" s="8" t="e">
        <f t="array" aca="1" ref="V522" ca="1">IF($C$4="Giao",_xludf.Xlookup(C522,#REF!,#REF!,),_xludf.Xlookup(C522,#REF!,#REF!,))</f>
        <v>#NAME?</v>
      </c>
      <c r="W522" s="8" t="e">
        <f t="array" aca="1" ref="W522" ca="1">IF($C$4="Giao", _xludf.Xlookup(C522,#REF!,#REF!,),)</f>
        <v>#NAME?</v>
      </c>
      <c r="X522" s="9" t="e">
        <f t="shared" ca="1" si="8"/>
        <v>#NAME?</v>
      </c>
      <c r="Y522" s="7"/>
      <c r="Z522" s="7"/>
    </row>
    <row r="523" spans="1:26" ht="13" x14ac:dyDescent="0.6">
      <c r="A523" s="28" t="str">
        <f t="shared" si="7"/>
        <v/>
      </c>
      <c r="B523" s="7"/>
      <c r="C523" s="7"/>
      <c r="D523" s="9"/>
      <c r="E523" s="9"/>
      <c r="F523" s="7"/>
      <c r="G523" s="7"/>
      <c r="H523" s="7"/>
      <c r="I523" s="7"/>
      <c r="J523" s="7"/>
      <c r="K523" s="7"/>
      <c r="L523" s="7"/>
      <c r="M523" s="7"/>
      <c r="N523" s="7"/>
      <c r="O523" s="7"/>
      <c r="P523" s="29"/>
      <c r="Q523" s="29"/>
      <c r="R523" s="7"/>
      <c r="S523" s="7"/>
      <c r="T523" s="7" t="str">
        <f ca="1">IFERROR(__xludf.DUMMYFUNCTION("SPARKLINE({
IF(D523="""",0,D523),
IF(F523="""",0,F523),
IF(H523="""",0,H523),
IF(J523="""",0,J523),
IF(L523="""",0,L523),
IF(N523="""",0,N523),
IF(P523="""",0,P523)
})"),"")</f>
        <v/>
      </c>
      <c r="U523" s="7" t="str">
        <f ca="1">IFERROR(__xludf.DUMMYFUNCTION("SPARKLINE({
IF(E523="""",0,E523),
IF(G523="""",0,G523),
IF(I523="""",0,I523),
IF(K523="""",0,K523),
IF(M523="""",0,M523),
IF(O523="""",0,O523),
IF(Q523="""",0,Q523)
})"),"")</f>
        <v/>
      </c>
      <c r="V523" s="8" t="e">
        <f t="array" aca="1" ref="V523" ca="1">IF($C$4="Giao",_xludf.Xlookup(C523,#REF!,#REF!,),_xludf.Xlookup(C523,#REF!,#REF!,))</f>
        <v>#NAME?</v>
      </c>
      <c r="W523" s="8" t="e">
        <f t="array" aca="1" ref="W523" ca="1">IF($C$4="Giao", _xludf.Xlookup(C523,#REF!,#REF!,),)</f>
        <v>#NAME?</v>
      </c>
      <c r="X523" s="9" t="e">
        <f t="shared" ca="1" si="8"/>
        <v>#NAME?</v>
      </c>
      <c r="Y523" s="7"/>
      <c r="Z523" s="7"/>
    </row>
    <row r="524" spans="1:26" ht="13" x14ac:dyDescent="0.6">
      <c r="A524" s="28" t="str">
        <f t="shared" si="7"/>
        <v/>
      </c>
      <c r="B524" s="7"/>
      <c r="C524" s="7"/>
      <c r="D524" s="9"/>
      <c r="E524" s="9"/>
      <c r="F524" s="7"/>
      <c r="G524" s="7"/>
      <c r="H524" s="7"/>
      <c r="I524" s="7"/>
      <c r="J524" s="7"/>
      <c r="K524" s="7"/>
      <c r="L524" s="7"/>
      <c r="M524" s="7"/>
      <c r="N524" s="7"/>
      <c r="O524" s="7"/>
      <c r="P524" s="29"/>
      <c r="Q524" s="29"/>
      <c r="R524" s="7"/>
      <c r="S524" s="7"/>
      <c r="T524" s="7" t="str">
        <f ca="1">IFERROR(__xludf.DUMMYFUNCTION("SPARKLINE({
IF(D524="""",0,D524),
IF(F524="""",0,F524),
IF(H524="""",0,H524),
IF(J524="""",0,J524),
IF(L524="""",0,L524),
IF(N524="""",0,N524),
IF(P524="""",0,P524)
})"),"")</f>
        <v/>
      </c>
      <c r="U524" s="7" t="str">
        <f ca="1">IFERROR(__xludf.DUMMYFUNCTION("SPARKLINE({
IF(E524="""",0,E524),
IF(G524="""",0,G524),
IF(I524="""",0,I524),
IF(K524="""",0,K524),
IF(M524="""",0,M524),
IF(O524="""",0,O524),
IF(Q524="""",0,Q524)
})"),"")</f>
        <v/>
      </c>
      <c r="V524" s="8" t="e">
        <f t="array" aca="1" ref="V524" ca="1">IF($C$4="Giao",_xludf.Xlookup(C524,#REF!,#REF!,),_xludf.Xlookup(C524,#REF!,#REF!,))</f>
        <v>#NAME?</v>
      </c>
      <c r="W524" s="8" t="e">
        <f t="array" aca="1" ref="W524" ca="1">IF($C$4="Giao", _xludf.Xlookup(C524,#REF!,#REF!,),)</f>
        <v>#NAME?</v>
      </c>
      <c r="X524" s="9" t="e">
        <f t="shared" ca="1" si="8"/>
        <v>#NAME?</v>
      </c>
      <c r="Y524" s="7"/>
      <c r="Z524" s="7"/>
    </row>
    <row r="525" spans="1:26" ht="13" x14ac:dyDescent="0.6">
      <c r="A525" s="28" t="str">
        <f t="shared" si="7"/>
        <v/>
      </c>
      <c r="B525" s="7"/>
      <c r="C525" s="7"/>
      <c r="D525" s="9"/>
      <c r="E525" s="9"/>
      <c r="F525" s="7"/>
      <c r="G525" s="7"/>
      <c r="H525" s="7"/>
      <c r="I525" s="7"/>
      <c r="J525" s="7"/>
      <c r="K525" s="7"/>
      <c r="L525" s="7"/>
      <c r="M525" s="7"/>
      <c r="N525" s="7"/>
      <c r="O525" s="7"/>
      <c r="P525" s="29"/>
      <c r="Q525" s="29"/>
      <c r="R525" s="7"/>
      <c r="S525" s="7"/>
      <c r="T525" s="7" t="str">
        <f ca="1">IFERROR(__xludf.DUMMYFUNCTION("SPARKLINE({
IF(D525="""",0,D525),
IF(F525="""",0,F525),
IF(H525="""",0,H525),
IF(J525="""",0,J525),
IF(L525="""",0,L525),
IF(N525="""",0,N525),
IF(P525="""",0,P525)
})"),"")</f>
        <v/>
      </c>
      <c r="U525" s="7" t="str">
        <f ca="1">IFERROR(__xludf.DUMMYFUNCTION("SPARKLINE({
IF(E525="""",0,E525),
IF(G525="""",0,G525),
IF(I525="""",0,I525),
IF(K525="""",0,K525),
IF(M525="""",0,M525),
IF(O525="""",0,O525),
IF(Q525="""",0,Q525)
})"),"")</f>
        <v/>
      </c>
      <c r="V525" s="8" t="e">
        <f t="array" aca="1" ref="V525" ca="1">IF($C$4="Giao",_xludf.Xlookup(C525,#REF!,#REF!,),_xludf.Xlookup(C525,#REF!,#REF!,))</f>
        <v>#NAME?</v>
      </c>
      <c r="W525" s="8" t="e">
        <f t="array" aca="1" ref="W525" ca="1">IF($C$4="Giao", _xludf.Xlookup(C525,#REF!,#REF!,),)</f>
        <v>#NAME?</v>
      </c>
      <c r="X525" s="9" t="e">
        <f t="shared" ca="1" si="8"/>
        <v>#NAME?</v>
      </c>
      <c r="Y525" s="7"/>
      <c r="Z525" s="7"/>
    </row>
    <row r="526" spans="1:26" ht="13" x14ac:dyDescent="0.6">
      <c r="A526" s="28" t="str">
        <f t="shared" si="7"/>
        <v/>
      </c>
      <c r="B526" s="7"/>
      <c r="C526" s="7"/>
      <c r="D526" s="9"/>
      <c r="E526" s="9"/>
      <c r="F526" s="7"/>
      <c r="G526" s="7"/>
      <c r="H526" s="7"/>
      <c r="I526" s="7"/>
      <c r="J526" s="7"/>
      <c r="K526" s="7"/>
      <c r="L526" s="7"/>
      <c r="M526" s="7"/>
      <c r="N526" s="7"/>
      <c r="O526" s="7"/>
      <c r="P526" s="29"/>
      <c r="Q526" s="29"/>
      <c r="R526" s="7"/>
      <c r="S526" s="7"/>
      <c r="T526" s="7" t="str">
        <f ca="1">IFERROR(__xludf.DUMMYFUNCTION("SPARKLINE({
IF(D526="""",0,D526),
IF(F526="""",0,F526),
IF(H526="""",0,H526),
IF(J526="""",0,J526),
IF(L526="""",0,L526),
IF(N526="""",0,N526),
IF(P526="""",0,P526)
})"),"")</f>
        <v/>
      </c>
      <c r="U526" s="7" t="str">
        <f ca="1">IFERROR(__xludf.DUMMYFUNCTION("SPARKLINE({
IF(E526="""",0,E526),
IF(G526="""",0,G526),
IF(I526="""",0,I526),
IF(K526="""",0,K526),
IF(M526="""",0,M526),
IF(O526="""",0,O526),
IF(Q526="""",0,Q526)
})"),"")</f>
        <v/>
      </c>
      <c r="V526" s="8" t="e">
        <f t="array" aca="1" ref="V526" ca="1">IF($C$4="Giao",_xludf.Xlookup(C526,#REF!,#REF!,),_xludf.Xlookup(C526,#REF!,#REF!,))</f>
        <v>#NAME?</v>
      </c>
      <c r="W526" s="8" t="e">
        <f t="array" aca="1" ref="W526" ca="1">IF($C$4="Giao", _xludf.Xlookup(C526,#REF!,#REF!,),)</f>
        <v>#NAME?</v>
      </c>
      <c r="X526" s="9" t="e">
        <f t="shared" ca="1" si="8"/>
        <v>#NAME?</v>
      </c>
      <c r="Y526" s="7"/>
      <c r="Z526" s="7"/>
    </row>
    <row r="527" spans="1:26" ht="13" x14ac:dyDescent="0.6">
      <c r="A527" s="28" t="str">
        <f t="shared" si="7"/>
        <v/>
      </c>
      <c r="B527" s="7"/>
      <c r="C527" s="7"/>
      <c r="D527" s="9"/>
      <c r="E527" s="9"/>
      <c r="F527" s="7"/>
      <c r="G527" s="7"/>
      <c r="H527" s="7"/>
      <c r="I527" s="7"/>
      <c r="J527" s="7"/>
      <c r="K527" s="7"/>
      <c r="L527" s="7"/>
      <c r="M527" s="7"/>
      <c r="N527" s="7"/>
      <c r="O527" s="7"/>
      <c r="P527" s="29"/>
      <c r="Q527" s="29"/>
      <c r="R527" s="7"/>
      <c r="S527" s="7"/>
      <c r="T527" s="7" t="str">
        <f ca="1">IFERROR(__xludf.DUMMYFUNCTION("SPARKLINE({
IF(D527="""",0,D527),
IF(F527="""",0,F527),
IF(H527="""",0,H527),
IF(J527="""",0,J527),
IF(L527="""",0,L527),
IF(N527="""",0,N527),
IF(P527="""",0,P527)
})"),"")</f>
        <v/>
      </c>
      <c r="U527" s="7" t="str">
        <f ca="1">IFERROR(__xludf.DUMMYFUNCTION("SPARKLINE({
IF(E527="""",0,E527),
IF(G527="""",0,G527),
IF(I527="""",0,I527),
IF(K527="""",0,K527),
IF(M527="""",0,M527),
IF(O527="""",0,O527),
IF(Q527="""",0,Q527)
})"),"")</f>
        <v/>
      </c>
      <c r="V527" s="8" t="e">
        <f t="array" aca="1" ref="V527" ca="1">IF($C$4="Giao",_xludf.Xlookup(C527,#REF!,#REF!,),_xludf.Xlookup(C527,#REF!,#REF!,))</f>
        <v>#NAME?</v>
      </c>
      <c r="W527" s="8" t="e">
        <f t="array" aca="1" ref="W527" ca="1">IF($C$4="Giao", _xludf.Xlookup(C527,#REF!,#REF!,),)</f>
        <v>#NAME?</v>
      </c>
      <c r="X527" s="9" t="e">
        <f t="shared" ca="1" si="8"/>
        <v>#NAME?</v>
      </c>
      <c r="Y527" s="7"/>
      <c r="Z527" s="7"/>
    </row>
    <row r="528" spans="1:26" ht="13" x14ac:dyDescent="0.6">
      <c r="A528" s="28" t="str">
        <f t="shared" si="7"/>
        <v/>
      </c>
      <c r="B528" s="7"/>
      <c r="C528" s="7"/>
      <c r="D528" s="9"/>
      <c r="E528" s="9"/>
      <c r="F528" s="7"/>
      <c r="G528" s="7"/>
      <c r="H528" s="7"/>
      <c r="I528" s="7"/>
      <c r="J528" s="7"/>
      <c r="K528" s="7"/>
      <c r="L528" s="7"/>
      <c r="M528" s="7"/>
      <c r="N528" s="7"/>
      <c r="O528" s="7"/>
      <c r="P528" s="29"/>
      <c r="Q528" s="29"/>
      <c r="R528" s="7"/>
      <c r="S528" s="7"/>
      <c r="T528" s="7" t="str">
        <f ca="1">IFERROR(__xludf.DUMMYFUNCTION("SPARKLINE({
IF(D528="""",0,D528),
IF(F528="""",0,F528),
IF(H528="""",0,H528),
IF(J528="""",0,J528),
IF(L528="""",0,L528),
IF(N528="""",0,N528),
IF(P528="""",0,P528)
})"),"")</f>
        <v/>
      </c>
      <c r="U528" s="7" t="str">
        <f ca="1">IFERROR(__xludf.DUMMYFUNCTION("SPARKLINE({
IF(E528="""",0,E528),
IF(G528="""",0,G528),
IF(I528="""",0,I528),
IF(K528="""",0,K528),
IF(M528="""",0,M528),
IF(O528="""",0,O528),
IF(Q528="""",0,Q528)
})"),"")</f>
        <v/>
      </c>
      <c r="V528" s="8" t="e">
        <f t="array" aca="1" ref="V528" ca="1">IF($C$4="Giao",_xludf.Xlookup(C528,#REF!,#REF!,),_xludf.Xlookup(C528,#REF!,#REF!,))</f>
        <v>#NAME?</v>
      </c>
      <c r="W528" s="8" t="e">
        <f t="array" aca="1" ref="W528" ca="1">IF($C$4="Giao", _xludf.Xlookup(C528,#REF!,#REF!,),)</f>
        <v>#NAME?</v>
      </c>
      <c r="X528" s="9" t="e">
        <f t="shared" ca="1" si="8"/>
        <v>#NAME?</v>
      </c>
      <c r="Y528" s="7"/>
      <c r="Z528" s="7"/>
    </row>
    <row r="529" spans="1:26" ht="13" x14ac:dyDescent="0.6">
      <c r="A529" s="28" t="str">
        <f t="shared" si="7"/>
        <v/>
      </c>
      <c r="B529" s="7"/>
      <c r="C529" s="7"/>
      <c r="D529" s="9"/>
      <c r="E529" s="9"/>
      <c r="F529" s="7"/>
      <c r="G529" s="7"/>
      <c r="H529" s="7"/>
      <c r="I529" s="7"/>
      <c r="J529" s="7"/>
      <c r="K529" s="7"/>
      <c r="L529" s="7"/>
      <c r="M529" s="7"/>
      <c r="N529" s="7"/>
      <c r="O529" s="7"/>
      <c r="P529" s="29"/>
      <c r="Q529" s="29"/>
      <c r="R529" s="7"/>
      <c r="S529" s="7"/>
      <c r="T529" s="7" t="str">
        <f ca="1">IFERROR(__xludf.DUMMYFUNCTION("SPARKLINE({
IF(D529="""",0,D529),
IF(F529="""",0,F529),
IF(H529="""",0,H529),
IF(J529="""",0,J529),
IF(L529="""",0,L529),
IF(N529="""",0,N529),
IF(P529="""",0,P529)
})"),"")</f>
        <v/>
      </c>
      <c r="U529" s="7" t="str">
        <f ca="1">IFERROR(__xludf.DUMMYFUNCTION("SPARKLINE({
IF(E529="""",0,E529),
IF(G529="""",0,G529),
IF(I529="""",0,I529),
IF(K529="""",0,K529),
IF(M529="""",0,M529),
IF(O529="""",0,O529),
IF(Q529="""",0,Q529)
})"),"")</f>
        <v/>
      </c>
      <c r="V529" s="8" t="e">
        <f t="array" aca="1" ref="V529" ca="1">IF($C$4="Giao",_xludf.Xlookup(C529,#REF!,#REF!,),_xludf.Xlookup(C529,#REF!,#REF!,))</f>
        <v>#NAME?</v>
      </c>
      <c r="W529" s="8" t="e">
        <f t="array" aca="1" ref="W529" ca="1">IF($C$4="Giao", _xludf.Xlookup(C529,#REF!,#REF!,),)</f>
        <v>#NAME?</v>
      </c>
      <c r="X529" s="9" t="e">
        <f t="shared" ca="1" si="8"/>
        <v>#NAME?</v>
      </c>
      <c r="Y529" s="7"/>
      <c r="Z529" s="7"/>
    </row>
    <row r="530" spans="1:26" ht="13" x14ac:dyDescent="0.6">
      <c r="A530" s="28" t="str">
        <f t="shared" si="7"/>
        <v/>
      </c>
      <c r="B530" s="7"/>
      <c r="C530" s="7"/>
      <c r="D530" s="9"/>
      <c r="E530" s="9"/>
      <c r="F530" s="7"/>
      <c r="G530" s="7"/>
      <c r="H530" s="7"/>
      <c r="I530" s="7"/>
      <c r="J530" s="7"/>
      <c r="K530" s="7"/>
      <c r="L530" s="7"/>
      <c r="M530" s="7"/>
      <c r="N530" s="7"/>
      <c r="O530" s="7"/>
      <c r="P530" s="29"/>
      <c r="Q530" s="29"/>
      <c r="R530" s="7"/>
      <c r="S530" s="7"/>
      <c r="T530" s="7" t="str">
        <f ca="1">IFERROR(__xludf.DUMMYFUNCTION("SPARKLINE({
IF(D530="""",0,D530),
IF(F530="""",0,F530),
IF(H530="""",0,H530),
IF(J530="""",0,J530),
IF(L530="""",0,L530),
IF(N530="""",0,N530),
IF(P530="""",0,P530)
})"),"")</f>
        <v/>
      </c>
      <c r="U530" s="7" t="str">
        <f ca="1">IFERROR(__xludf.DUMMYFUNCTION("SPARKLINE({
IF(E530="""",0,E530),
IF(G530="""",0,G530),
IF(I530="""",0,I530),
IF(K530="""",0,K530),
IF(M530="""",0,M530),
IF(O530="""",0,O530),
IF(Q530="""",0,Q530)
})"),"")</f>
        <v/>
      </c>
      <c r="V530" s="8" t="e">
        <f t="array" aca="1" ref="V530" ca="1">IF($C$4="Giao",_xludf.Xlookup(C530,#REF!,#REF!,),_xludf.Xlookup(C530,#REF!,#REF!,))</f>
        <v>#NAME?</v>
      </c>
      <c r="W530" s="8" t="e">
        <f t="array" aca="1" ref="W530" ca="1">IF($C$4="Giao", _xludf.Xlookup(C530,#REF!,#REF!,),)</f>
        <v>#NAME?</v>
      </c>
      <c r="X530" s="9" t="e">
        <f t="shared" ca="1" si="8"/>
        <v>#NAME?</v>
      </c>
      <c r="Y530" s="7"/>
      <c r="Z530" s="7"/>
    </row>
    <row r="531" spans="1:26" ht="13" x14ac:dyDescent="0.6">
      <c r="A531" s="28" t="str">
        <f t="shared" si="7"/>
        <v/>
      </c>
      <c r="B531" s="7"/>
      <c r="C531" s="7"/>
      <c r="D531" s="9"/>
      <c r="E531" s="9"/>
      <c r="F531" s="7"/>
      <c r="G531" s="7"/>
      <c r="H531" s="7"/>
      <c r="I531" s="7"/>
      <c r="J531" s="7"/>
      <c r="K531" s="7"/>
      <c r="L531" s="7"/>
      <c r="M531" s="7"/>
      <c r="N531" s="7"/>
      <c r="O531" s="7"/>
      <c r="P531" s="29"/>
      <c r="Q531" s="29"/>
      <c r="R531" s="7"/>
      <c r="S531" s="7"/>
      <c r="T531" s="7" t="str">
        <f ca="1">IFERROR(__xludf.DUMMYFUNCTION("SPARKLINE({
IF(D531="""",0,D531),
IF(F531="""",0,F531),
IF(H531="""",0,H531),
IF(J531="""",0,J531),
IF(L531="""",0,L531),
IF(N531="""",0,N531),
IF(P531="""",0,P531)
})"),"")</f>
        <v/>
      </c>
      <c r="U531" s="7" t="str">
        <f ca="1">IFERROR(__xludf.DUMMYFUNCTION("SPARKLINE({
IF(E531="""",0,E531),
IF(G531="""",0,G531),
IF(I531="""",0,I531),
IF(K531="""",0,K531),
IF(M531="""",0,M531),
IF(O531="""",0,O531),
IF(Q531="""",0,Q531)
})"),"")</f>
        <v/>
      </c>
      <c r="V531" s="8" t="e">
        <f t="array" aca="1" ref="V531" ca="1">IF($C$4="Giao",_xludf.Xlookup(C531,#REF!,#REF!,),_xludf.Xlookup(C531,#REF!,#REF!,))</f>
        <v>#NAME?</v>
      </c>
      <c r="W531" s="8" t="e">
        <f t="array" aca="1" ref="W531" ca="1">IF($C$4="Giao", _xludf.Xlookup(C531,#REF!,#REF!,),)</f>
        <v>#NAME?</v>
      </c>
      <c r="X531" s="9" t="e">
        <f t="shared" ca="1" si="8"/>
        <v>#NAME?</v>
      </c>
      <c r="Y531" s="7"/>
      <c r="Z531" s="7"/>
    </row>
    <row r="532" spans="1:26" ht="13" x14ac:dyDescent="0.6">
      <c r="A532" s="28" t="str">
        <f t="shared" si="7"/>
        <v/>
      </c>
      <c r="B532" s="7"/>
      <c r="C532" s="7"/>
      <c r="D532" s="9"/>
      <c r="E532" s="9"/>
      <c r="F532" s="7"/>
      <c r="G532" s="7"/>
      <c r="H532" s="7"/>
      <c r="I532" s="7"/>
      <c r="J532" s="7"/>
      <c r="K532" s="7"/>
      <c r="L532" s="7"/>
      <c r="M532" s="7"/>
      <c r="N532" s="7"/>
      <c r="O532" s="7"/>
      <c r="P532" s="29"/>
      <c r="Q532" s="29"/>
      <c r="R532" s="7"/>
      <c r="S532" s="7"/>
      <c r="T532" s="7" t="str">
        <f ca="1">IFERROR(__xludf.DUMMYFUNCTION("SPARKLINE({
IF(D532="""",0,D532),
IF(F532="""",0,F532),
IF(H532="""",0,H532),
IF(J532="""",0,J532),
IF(L532="""",0,L532),
IF(N532="""",0,N532),
IF(P532="""",0,P532)
})"),"")</f>
        <v/>
      </c>
      <c r="U532" s="7" t="str">
        <f ca="1">IFERROR(__xludf.DUMMYFUNCTION("SPARKLINE({
IF(E532="""",0,E532),
IF(G532="""",0,G532),
IF(I532="""",0,I532),
IF(K532="""",0,K532),
IF(M532="""",0,M532),
IF(O532="""",0,O532),
IF(Q532="""",0,Q532)
})"),"")</f>
        <v/>
      </c>
      <c r="V532" s="8" t="e">
        <f t="array" aca="1" ref="V532" ca="1">IF($C$4="Giao",_xludf.Xlookup(C532,#REF!,#REF!,),_xludf.Xlookup(C532,#REF!,#REF!,))</f>
        <v>#NAME?</v>
      </c>
      <c r="W532" s="8" t="e">
        <f t="array" aca="1" ref="W532" ca="1">IF($C$4="Giao", _xludf.Xlookup(C532,#REF!,#REF!,),)</f>
        <v>#NAME?</v>
      </c>
      <c r="X532" s="9" t="e">
        <f t="shared" ca="1" si="8"/>
        <v>#NAME?</v>
      </c>
      <c r="Y532" s="7"/>
      <c r="Z532" s="7"/>
    </row>
    <row r="533" spans="1:26" ht="13" x14ac:dyDescent="0.6">
      <c r="A533" s="28" t="str">
        <f t="shared" si="7"/>
        <v/>
      </c>
      <c r="B533" s="7"/>
      <c r="C533" s="7"/>
      <c r="D533" s="9"/>
      <c r="E533" s="9"/>
      <c r="F533" s="7"/>
      <c r="G533" s="7"/>
      <c r="H533" s="7"/>
      <c r="I533" s="7"/>
      <c r="J533" s="7"/>
      <c r="K533" s="7"/>
      <c r="L533" s="7"/>
      <c r="M533" s="7"/>
      <c r="N533" s="7"/>
      <c r="O533" s="7"/>
      <c r="P533" s="29"/>
      <c r="Q533" s="29"/>
      <c r="R533" s="7"/>
      <c r="S533" s="7"/>
      <c r="T533" s="7" t="str">
        <f ca="1">IFERROR(__xludf.DUMMYFUNCTION("SPARKLINE({
IF(D533="""",0,D533),
IF(F533="""",0,F533),
IF(H533="""",0,H533),
IF(J533="""",0,J533),
IF(L533="""",0,L533),
IF(N533="""",0,N533),
IF(P533="""",0,P533)
})"),"")</f>
        <v/>
      </c>
      <c r="U533" s="7" t="str">
        <f ca="1">IFERROR(__xludf.DUMMYFUNCTION("SPARKLINE({
IF(E533="""",0,E533),
IF(G533="""",0,G533),
IF(I533="""",0,I533),
IF(K533="""",0,K533),
IF(M533="""",0,M533),
IF(O533="""",0,O533),
IF(Q533="""",0,Q533)
})"),"")</f>
        <v/>
      </c>
      <c r="V533" s="8" t="e">
        <f t="array" aca="1" ref="V533" ca="1">IF($C$4="Giao",_xludf.Xlookup(C533,#REF!,#REF!,),_xludf.Xlookup(C533,#REF!,#REF!,))</f>
        <v>#NAME?</v>
      </c>
      <c r="W533" s="8" t="e">
        <f t="array" aca="1" ref="W533" ca="1">IF($C$4="Giao", _xludf.Xlookup(C533,#REF!,#REF!,),)</f>
        <v>#NAME?</v>
      </c>
      <c r="X533" s="9" t="e">
        <f t="shared" ca="1" si="8"/>
        <v>#NAME?</v>
      </c>
      <c r="Y533" s="7"/>
      <c r="Z533" s="7"/>
    </row>
    <row r="534" spans="1:26" ht="13" x14ac:dyDescent="0.6">
      <c r="A534" s="28" t="str">
        <f t="shared" si="7"/>
        <v/>
      </c>
      <c r="B534" s="7"/>
      <c r="C534" s="7"/>
      <c r="D534" s="9"/>
      <c r="E534" s="9"/>
      <c r="F534" s="7"/>
      <c r="G534" s="7"/>
      <c r="H534" s="7"/>
      <c r="I534" s="7"/>
      <c r="J534" s="7"/>
      <c r="K534" s="7"/>
      <c r="L534" s="7"/>
      <c r="M534" s="7"/>
      <c r="N534" s="7"/>
      <c r="O534" s="7"/>
      <c r="P534" s="29"/>
      <c r="Q534" s="29"/>
      <c r="R534" s="7"/>
      <c r="S534" s="7"/>
      <c r="T534" s="7" t="str">
        <f ca="1">IFERROR(__xludf.DUMMYFUNCTION("SPARKLINE({
IF(D534="""",0,D534),
IF(F534="""",0,F534),
IF(H534="""",0,H534),
IF(J534="""",0,J534),
IF(L534="""",0,L534),
IF(N534="""",0,N534),
IF(P534="""",0,P534)
})"),"")</f>
        <v/>
      </c>
      <c r="U534" s="7" t="str">
        <f ca="1">IFERROR(__xludf.DUMMYFUNCTION("SPARKLINE({
IF(E534="""",0,E534),
IF(G534="""",0,G534),
IF(I534="""",0,I534),
IF(K534="""",0,K534),
IF(M534="""",0,M534),
IF(O534="""",0,O534),
IF(Q534="""",0,Q534)
})"),"")</f>
        <v/>
      </c>
      <c r="V534" s="8" t="e">
        <f t="array" aca="1" ref="V534" ca="1">IF($C$4="Giao",_xludf.Xlookup(C534,#REF!,#REF!,),_xludf.Xlookup(C534,#REF!,#REF!,))</f>
        <v>#NAME?</v>
      </c>
      <c r="W534" s="8" t="e">
        <f t="array" aca="1" ref="W534" ca="1">IF($C$4="Giao", _xludf.Xlookup(C534,#REF!,#REF!,),)</f>
        <v>#NAME?</v>
      </c>
      <c r="X534" s="9" t="e">
        <f t="shared" ca="1" si="8"/>
        <v>#NAME?</v>
      </c>
      <c r="Y534" s="7"/>
      <c r="Z534" s="7"/>
    </row>
    <row r="535" spans="1:26" ht="13" x14ac:dyDescent="0.6">
      <c r="A535" s="28" t="str">
        <f t="shared" si="7"/>
        <v/>
      </c>
      <c r="B535" s="7"/>
      <c r="C535" s="7"/>
      <c r="D535" s="9"/>
      <c r="E535" s="9"/>
      <c r="F535" s="7"/>
      <c r="G535" s="7"/>
      <c r="H535" s="7"/>
      <c r="I535" s="7"/>
      <c r="J535" s="7"/>
      <c r="K535" s="7"/>
      <c r="L535" s="7"/>
      <c r="M535" s="7"/>
      <c r="N535" s="7"/>
      <c r="O535" s="7"/>
      <c r="P535" s="29"/>
      <c r="Q535" s="29"/>
      <c r="R535" s="7"/>
      <c r="S535" s="7"/>
      <c r="T535" s="7" t="str">
        <f ca="1">IFERROR(__xludf.DUMMYFUNCTION("SPARKLINE({
IF(D535="""",0,D535),
IF(F535="""",0,F535),
IF(H535="""",0,H535),
IF(J535="""",0,J535),
IF(L535="""",0,L535),
IF(N535="""",0,N535),
IF(P535="""",0,P535)
})"),"")</f>
        <v/>
      </c>
      <c r="U535" s="7" t="str">
        <f ca="1">IFERROR(__xludf.DUMMYFUNCTION("SPARKLINE({
IF(E535="""",0,E535),
IF(G535="""",0,G535),
IF(I535="""",0,I535),
IF(K535="""",0,K535),
IF(M535="""",0,M535),
IF(O535="""",0,O535),
IF(Q535="""",0,Q535)
})"),"")</f>
        <v/>
      </c>
      <c r="V535" s="8" t="e">
        <f t="array" aca="1" ref="V535" ca="1">IF($C$4="Giao",_xludf.Xlookup(C535,#REF!,#REF!,),_xludf.Xlookup(C535,#REF!,#REF!,))</f>
        <v>#NAME?</v>
      </c>
      <c r="W535" s="8" t="e">
        <f t="array" aca="1" ref="W535" ca="1">IF($C$4="Giao", _xludf.Xlookup(C535,#REF!,#REF!,),)</f>
        <v>#NAME?</v>
      </c>
      <c r="X535" s="9" t="e">
        <f t="shared" ca="1" si="8"/>
        <v>#NAME?</v>
      </c>
      <c r="Y535" s="7"/>
      <c r="Z535" s="7"/>
    </row>
    <row r="536" spans="1:26" ht="13" x14ac:dyDescent="0.6">
      <c r="A536" s="28" t="str">
        <f t="shared" si="7"/>
        <v/>
      </c>
      <c r="B536" s="7"/>
      <c r="C536" s="7"/>
      <c r="D536" s="9"/>
      <c r="E536" s="9"/>
      <c r="F536" s="7"/>
      <c r="G536" s="7"/>
      <c r="H536" s="7"/>
      <c r="I536" s="7"/>
      <c r="J536" s="7"/>
      <c r="K536" s="7"/>
      <c r="L536" s="7"/>
      <c r="M536" s="7"/>
      <c r="N536" s="7"/>
      <c r="O536" s="7"/>
      <c r="P536" s="29"/>
      <c r="Q536" s="29"/>
      <c r="R536" s="7"/>
      <c r="S536" s="7"/>
      <c r="T536" s="7" t="str">
        <f ca="1">IFERROR(__xludf.DUMMYFUNCTION("SPARKLINE({
IF(D536="""",0,D536),
IF(F536="""",0,F536),
IF(H536="""",0,H536),
IF(J536="""",0,J536),
IF(L536="""",0,L536),
IF(N536="""",0,N536),
IF(P536="""",0,P536)
})"),"")</f>
        <v/>
      </c>
      <c r="U536" s="7" t="str">
        <f ca="1">IFERROR(__xludf.DUMMYFUNCTION("SPARKLINE({
IF(E536="""",0,E536),
IF(G536="""",0,G536),
IF(I536="""",0,I536),
IF(K536="""",0,K536),
IF(M536="""",0,M536),
IF(O536="""",0,O536),
IF(Q536="""",0,Q536)
})"),"")</f>
        <v/>
      </c>
      <c r="V536" s="8" t="e">
        <f t="array" aca="1" ref="V536" ca="1">IF($C$4="Giao",_xludf.Xlookup(C536,#REF!,#REF!,),_xludf.Xlookup(C536,#REF!,#REF!,))</f>
        <v>#NAME?</v>
      </c>
      <c r="W536" s="8" t="e">
        <f t="array" aca="1" ref="W536" ca="1">IF($C$4="Giao", _xludf.Xlookup(C536,#REF!,#REF!,),)</f>
        <v>#NAME?</v>
      </c>
      <c r="X536" s="9" t="e">
        <f t="shared" ca="1" si="8"/>
        <v>#NAME?</v>
      </c>
      <c r="Y536" s="7"/>
      <c r="Z536" s="7"/>
    </row>
    <row r="537" spans="1:26" ht="13" x14ac:dyDescent="0.6">
      <c r="A537" s="28" t="str">
        <f t="shared" si="7"/>
        <v/>
      </c>
      <c r="B537" s="7"/>
      <c r="C537" s="7"/>
      <c r="D537" s="9"/>
      <c r="E537" s="9"/>
      <c r="F537" s="7"/>
      <c r="G537" s="7"/>
      <c r="H537" s="7"/>
      <c r="I537" s="7"/>
      <c r="J537" s="7"/>
      <c r="K537" s="7"/>
      <c r="L537" s="7"/>
      <c r="M537" s="7"/>
      <c r="N537" s="7"/>
      <c r="O537" s="7"/>
      <c r="P537" s="29"/>
      <c r="Q537" s="29"/>
      <c r="R537" s="7"/>
      <c r="S537" s="7"/>
      <c r="T537" s="7" t="str">
        <f ca="1">IFERROR(__xludf.DUMMYFUNCTION("SPARKLINE({
IF(D537="""",0,D537),
IF(F537="""",0,F537),
IF(H537="""",0,H537),
IF(J537="""",0,J537),
IF(L537="""",0,L537),
IF(N537="""",0,N537),
IF(P537="""",0,P537)
})"),"")</f>
        <v/>
      </c>
      <c r="U537" s="7" t="str">
        <f ca="1">IFERROR(__xludf.DUMMYFUNCTION("SPARKLINE({
IF(E537="""",0,E537),
IF(G537="""",0,G537),
IF(I537="""",0,I537),
IF(K537="""",0,K537),
IF(M537="""",0,M537),
IF(O537="""",0,O537),
IF(Q537="""",0,Q537)
})"),"")</f>
        <v/>
      </c>
      <c r="V537" s="8" t="e">
        <f t="array" aca="1" ref="V537" ca="1">IF($C$4="Giao",_xludf.Xlookup(C537,#REF!,#REF!,),_xludf.Xlookup(C537,#REF!,#REF!,))</f>
        <v>#NAME?</v>
      </c>
      <c r="W537" s="8" t="e">
        <f t="array" aca="1" ref="W537" ca="1">IF($C$4="Giao", _xludf.Xlookup(C537,#REF!,#REF!,),)</f>
        <v>#NAME?</v>
      </c>
      <c r="X537" s="9" t="e">
        <f t="shared" ca="1" si="8"/>
        <v>#NAME?</v>
      </c>
      <c r="Y537" s="7"/>
      <c r="Z537" s="7"/>
    </row>
    <row r="538" spans="1:26" ht="13" x14ac:dyDescent="0.6">
      <c r="A538" s="28" t="str">
        <f t="shared" si="7"/>
        <v/>
      </c>
      <c r="B538" s="7"/>
      <c r="C538" s="7"/>
      <c r="D538" s="9"/>
      <c r="E538" s="9"/>
      <c r="F538" s="7"/>
      <c r="G538" s="7"/>
      <c r="H538" s="7"/>
      <c r="I538" s="7"/>
      <c r="J538" s="7"/>
      <c r="K538" s="7"/>
      <c r="L538" s="7"/>
      <c r="M538" s="7"/>
      <c r="N538" s="7"/>
      <c r="O538" s="7"/>
      <c r="P538" s="29"/>
      <c r="Q538" s="29"/>
      <c r="R538" s="7"/>
      <c r="S538" s="7"/>
      <c r="T538" s="7" t="str">
        <f ca="1">IFERROR(__xludf.DUMMYFUNCTION("SPARKLINE({
IF(D538="""",0,D538),
IF(F538="""",0,F538),
IF(H538="""",0,H538),
IF(J538="""",0,J538),
IF(L538="""",0,L538),
IF(N538="""",0,N538),
IF(P538="""",0,P538)
})"),"")</f>
        <v/>
      </c>
      <c r="U538" s="7" t="str">
        <f ca="1">IFERROR(__xludf.DUMMYFUNCTION("SPARKLINE({
IF(E538="""",0,E538),
IF(G538="""",0,G538),
IF(I538="""",0,I538),
IF(K538="""",0,K538),
IF(M538="""",0,M538),
IF(O538="""",0,O538),
IF(Q538="""",0,Q538)
})"),"")</f>
        <v/>
      </c>
      <c r="V538" s="8" t="e">
        <f t="array" aca="1" ref="V538" ca="1">IF($C$4="Giao",_xludf.Xlookup(C538,#REF!,#REF!,),_xludf.Xlookup(C538,#REF!,#REF!,))</f>
        <v>#NAME?</v>
      </c>
      <c r="W538" s="8" t="e">
        <f t="array" aca="1" ref="W538" ca="1">IF($C$4="Giao", _xludf.Xlookup(C538,#REF!,#REF!,),)</f>
        <v>#NAME?</v>
      </c>
      <c r="X538" s="9" t="e">
        <f t="shared" ca="1" si="8"/>
        <v>#NAME?</v>
      </c>
      <c r="Y538" s="7"/>
      <c r="Z538" s="7"/>
    </row>
    <row r="539" spans="1:26" ht="13" x14ac:dyDescent="0.6">
      <c r="A539" s="28" t="str">
        <f t="shared" si="7"/>
        <v/>
      </c>
      <c r="B539" s="7"/>
      <c r="C539" s="7"/>
      <c r="D539" s="9"/>
      <c r="E539" s="9"/>
      <c r="F539" s="7"/>
      <c r="G539" s="7"/>
      <c r="H539" s="7"/>
      <c r="I539" s="7"/>
      <c r="J539" s="7"/>
      <c r="K539" s="7"/>
      <c r="L539" s="7"/>
      <c r="M539" s="7"/>
      <c r="N539" s="7"/>
      <c r="O539" s="7"/>
      <c r="P539" s="29"/>
      <c r="Q539" s="29"/>
      <c r="R539" s="7"/>
      <c r="S539" s="7"/>
      <c r="T539" s="7" t="str">
        <f ca="1">IFERROR(__xludf.DUMMYFUNCTION("SPARKLINE({
IF(D539="""",0,D539),
IF(F539="""",0,F539),
IF(H539="""",0,H539),
IF(J539="""",0,J539),
IF(L539="""",0,L539),
IF(N539="""",0,N539),
IF(P539="""",0,P539)
})"),"")</f>
        <v/>
      </c>
      <c r="U539" s="7" t="str">
        <f ca="1">IFERROR(__xludf.DUMMYFUNCTION("SPARKLINE({
IF(E539="""",0,E539),
IF(G539="""",0,G539),
IF(I539="""",0,I539),
IF(K539="""",0,K539),
IF(M539="""",0,M539),
IF(O539="""",0,O539),
IF(Q539="""",0,Q539)
})"),"")</f>
        <v/>
      </c>
      <c r="V539" s="8" t="e">
        <f t="array" aca="1" ref="V539" ca="1">IF($C$4="Giao",_xludf.Xlookup(C539,#REF!,#REF!,),_xludf.Xlookup(C539,#REF!,#REF!,))</f>
        <v>#NAME?</v>
      </c>
      <c r="W539" s="8" t="e">
        <f t="array" aca="1" ref="W539" ca="1">IF($C$4="Giao", _xludf.Xlookup(C539,#REF!,#REF!,),)</f>
        <v>#NAME?</v>
      </c>
      <c r="X539" s="9" t="e">
        <f t="shared" ca="1" si="8"/>
        <v>#NAME?</v>
      </c>
      <c r="Y539" s="7"/>
      <c r="Z539" s="7"/>
    </row>
    <row r="540" spans="1:26" ht="13" x14ac:dyDescent="0.6">
      <c r="A540" s="28" t="str">
        <f t="shared" si="7"/>
        <v/>
      </c>
      <c r="B540" s="7"/>
      <c r="C540" s="7"/>
      <c r="D540" s="9"/>
      <c r="E540" s="9"/>
      <c r="F540" s="7"/>
      <c r="G540" s="7"/>
      <c r="H540" s="7"/>
      <c r="I540" s="7"/>
      <c r="J540" s="7"/>
      <c r="K540" s="7"/>
      <c r="L540" s="7"/>
      <c r="M540" s="7"/>
      <c r="N540" s="7"/>
      <c r="O540" s="7"/>
      <c r="P540" s="29"/>
      <c r="Q540" s="29"/>
      <c r="R540" s="7"/>
      <c r="S540" s="7"/>
      <c r="T540" s="7" t="str">
        <f ca="1">IFERROR(__xludf.DUMMYFUNCTION("SPARKLINE({
IF(D540="""",0,D540),
IF(F540="""",0,F540),
IF(H540="""",0,H540),
IF(J540="""",0,J540),
IF(L540="""",0,L540),
IF(N540="""",0,N540),
IF(P540="""",0,P540)
})"),"")</f>
        <v/>
      </c>
      <c r="U540" s="7" t="str">
        <f ca="1">IFERROR(__xludf.DUMMYFUNCTION("SPARKLINE({
IF(E540="""",0,E540),
IF(G540="""",0,G540),
IF(I540="""",0,I540),
IF(K540="""",0,K540),
IF(M540="""",0,M540),
IF(O540="""",0,O540),
IF(Q540="""",0,Q540)
})"),"")</f>
        <v/>
      </c>
      <c r="V540" s="8" t="e">
        <f t="array" aca="1" ref="V540" ca="1">IF($C$4="Giao",_xludf.Xlookup(C540,#REF!,#REF!,),_xludf.Xlookup(C540,#REF!,#REF!,))</f>
        <v>#NAME?</v>
      </c>
      <c r="W540" s="8" t="e">
        <f t="array" aca="1" ref="W540" ca="1">IF($C$4="Giao", _xludf.Xlookup(C540,#REF!,#REF!,),)</f>
        <v>#NAME?</v>
      </c>
      <c r="X540" s="9" t="e">
        <f t="shared" ca="1" si="8"/>
        <v>#NAME?</v>
      </c>
      <c r="Y540" s="7"/>
      <c r="Z540" s="7"/>
    </row>
    <row r="541" spans="1:26" ht="13" x14ac:dyDescent="0.6">
      <c r="A541" s="28" t="str">
        <f t="shared" si="7"/>
        <v/>
      </c>
      <c r="B541" s="7"/>
      <c r="C541" s="7"/>
      <c r="D541" s="9"/>
      <c r="E541" s="9"/>
      <c r="F541" s="7"/>
      <c r="G541" s="7"/>
      <c r="H541" s="7"/>
      <c r="I541" s="7"/>
      <c r="J541" s="7"/>
      <c r="K541" s="7"/>
      <c r="L541" s="7"/>
      <c r="M541" s="7"/>
      <c r="N541" s="7"/>
      <c r="O541" s="7"/>
      <c r="P541" s="29"/>
      <c r="Q541" s="29"/>
      <c r="R541" s="7"/>
      <c r="S541" s="7"/>
      <c r="T541" s="7" t="str">
        <f ca="1">IFERROR(__xludf.DUMMYFUNCTION("SPARKLINE({
IF(D541="""",0,D541),
IF(F541="""",0,F541),
IF(H541="""",0,H541),
IF(J541="""",0,J541),
IF(L541="""",0,L541),
IF(N541="""",0,N541),
IF(P541="""",0,P541)
})"),"")</f>
        <v/>
      </c>
      <c r="U541" s="7" t="str">
        <f ca="1">IFERROR(__xludf.DUMMYFUNCTION("SPARKLINE({
IF(E541="""",0,E541),
IF(G541="""",0,G541),
IF(I541="""",0,I541),
IF(K541="""",0,K541),
IF(M541="""",0,M541),
IF(O541="""",0,O541),
IF(Q541="""",0,Q541)
})"),"")</f>
        <v/>
      </c>
      <c r="V541" s="8" t="e">
        <f t="array" aca="1" ref="V541" ca="1">IF($C$4="Giao",_xludf.Xlookup(C541,#REF!,#REF!,),_xludf.Xlookup(C541,#REF!,#REF!,))</f>
        <v>#NAME?</v>
      </c>
      <c r="W541" s="8" t="e">
        <f t="array" aca="1" ref="W541" ca="1">IF($C$4="Giao", _xludf.Xlookup(C541,#REF!,#REF!,),)</f>
        <v>#NAME?</v>
      </c>
      <c r="X541" s="9" t="e">
        <f t="shared" ca="1" si="8"/>
        <v>#NAME?</v>
      </c>
      <c r="Y541" s="7"/>
      <c r="Z541" s="7"/>
    </row>
    <row r="542" spans="1:26" ht="13" x14ac:dyDescent="0.6">
      <c r="A542" s="28" t="str">
        <f t="shared" si="7"/>
        <v/>
      </c>
      <c r="B542" s="7"/>
      <c r="C542" s="7"/>
      <c r="D542" s="9"/>
      <c r="E542" s="9"/>
      <c r="F542" s="7"/>
      <c r="G542" s="7"/>
      <c r="H542" s="7"/>
      <c r="I542" s="7"/>
      <c r="J542" s="7"/>
      <c r="K542" s="7"/>
      <c r="L542" s="7"/>
      <c r="M542" s="7"/>
      <c r="N542" s="7"/>
      <c r="O542" s="7"/>
      <c r="P542" s="29"/>
      <c r="Q542" s="29"/>
      <c r="R542" s="7"/>
      <c r="S542" s="7"/>
      <c r="T542" s="7" t="str">
        <f ca="1">IFERROR(__xludf.DUMMYFUNCTION("SPARKLINE({
IF(D542="""",0,D542),
IF(F542="""",0,F542),
IF(H542="""",0,H542),
IF(J542="""",0,J542),
IF(L542="""",0,L542),
IF(N542="""",0,N542),
IF(P542="""",0,P542)
})"),"")</f>
        <v/>
      </c>
      <c r="U542" s="7" t="str">
        <f ca="1">IFERROR(__xludf.DUMMYFUNCTION("SPARKLINE({
IF(E542="""",0,E542),
IF(G542="""",0,G542),
IF(I542="""",0,I542),
IF(K542="""",0,K542),
IF(M542="""",0,M542),
IF(O542="""",0,O542),
IF(Q542="""",0,Q542)
})"),"")</f>
        <v/>
      </c>
      <c r="V542" s="8" t="e">
        <f t="array" aca="1" ref="V542" ca="1">IF($C$4="Giao",_xludf.Xlookup(C542,#REF!,#REF!,),_xludf.Xlookup(C542,#REF!,#REF!,))</f>
        <v>#NAME?</v>
      </c>
      <c r="W542" s="8" t="e">
        <f t="array" aca="1" ref="W542" ca="1">IF($C$4="Giao", _xludf.Xlookup(C542,#REF!,#REF!,),)</f>
        <v>#NAME?</v>
      </c>
      <c r="X542" s="9" t="e">
        <f t="shared" ca="1" si="8"/>
        <v>#NAME?</v>
      </c>
      <c r="Y542" s="7"/>
      <c r="Z542" s="7"/>
    </row>
    <row r="543" spans="1:26" ht="13" x14ac:dyDescent="0.6">
      <c r="A543" s="28" t="str">
        <f t="shared" si="7"/>
        <v/>
      </c>
      <c r="B543" s="7"/>
      <c r="C543" s="7"/>
      <c r="D543" s="9"/>
      <c r="E543" s="9"/>
      <c r="F543" s="7"/>
      <c r="G543" s="7"/>
      <c r="H543" s="7"/>
      <c r="I543" s="7"/>
      <c r="J543" s="7"/>
      <c r="K543" s="7"/>
      <c r="L543" s="7"/>
      <c r="M543" s="7"/>
      <c r="N543" s="7"/>
      <c r="O543" s="7"/>
      <c r="P543" s="29"/>
      <c r="Q543" s="29"/>
      <c r="R543" s="7"/>
      <c r="S543" s="7"/>
      <c r="T543" s="7" t="str">
        <f ca="1">IFERROR(__xludf.DUMMYFUNCTION("SPARKLINE({
IF(D543="""",0,D543),
IF(F543="""",0,F543),
IF(H543="""",0,H543),
IF(J543="""",0,J543),
IF(L543="""",0,L543),
IF(N543="""",0,N543),
IF(P543="""",0,P543)
})"),"")</f>
        <v/>
      </c>
      <c r="U543" s="7" t="str">
        <f ca="1">IFERROR(__xludf.DUMMYFUNCTION("SPARKLINE({
IF(E543="""",0,E543),
IF(G543="""",0,G543),
IF(I543="""",0,I543),
IF(K543="""",0,K543),
IF(M543="""",0,M543),
IF(O543="""",0,O543),
IF(Q543="""",0,Q543)
})"),"")</f>
        <v/>
      </c>
      <c r="V543" s="8" t="e">
        <f t="array" aca="1" ref="V543" ca="1">IF($C$4="Giao",_xludf.Xlookup(C543,#REF!,#REF!,),_xludf.Xlookup(C543,#REF!,#REF!,))</f>
        <v>#NAME?</v>
      </c>
      <c r="W543" s="8" t="e">
        <f t="array" aca="1" ref="W543" ca="1">IF($C$4="Giao", _xludf.Xlookup(C543,#REF!,#REF!,),)</f>
        <v>#NAME?</v>
      </c>
      <c r="X543" s="9" t="e">
        <f t="shared" ca="1" si="8"/>
        <v>#NAME?</v>
      </c>
      <c r="Y543" s="7"/>
      <c r="Z543" s="7"/>
    </row>
    <row r="544" spans="1:26" ht="13" x14ac:dyDescent="0.6">
      <c r="A544" s="28" t="str">
        <f t="shared" si="7"/>
        <v/>
      </c>
      <c r="B544" s="7"/>
      <c r="C544" s="7"/>
      <c r="D544" s="9"/>
      <c r="E544" s="9"/>
      <c r="F544" s="7"/>
      <c r="G544" s="7"/>
      <c r="H544" s="7"/>
      <c r="I544" s="7"/>
      <c r="J544" s="7"/>
      <c r="K544" s="7"/>
      <c r="L544" s="7"/>
      <c r="M544" s="7"/>
      <c r="N544" s="7"/>
      <c r="O544" s="7"/>
      <c r="P544" s="29"/>
      <c r="Q544" s="29"/>
      <c r="R544" s="7"/>
      <c r="S544" s="7"/>
      <c r="T544" s="7" t="str">
        <f ca="1">IFERROR(__xludf.DUMMYFUNCTION("SPARKLINE({
IF(D544="""",0,D544),
IF(F544="""",0,F544),
IF(H544="""",0,H544),
IF(J544="""",0,J544),
IF(L544="""",0,L544),
IF(N544="""",0,N544),
IF(P544="""",0,P544)
})"),"")</f>
        <v/>
      </c>
      <c r="U544" s="7" t="str">
        <f ca="1">IFERROR(__xludf.DUMMYFUNCTION("SPARKLINE({
IF(E544="""",0,E544),
IF(G544="""",0,G544),
IF(I544="""",0,I544),
IF(K544="""",0,K544),
IF(M544="""",0,M544),
IF(O544="""",0,O544),
IF(Q544="""",0,Q544)
})"),"")</f>
        <v/>
      </c>
      <c r="V544" s="8" t="e">
        <f t="array" aca="1" ref="V544" ca="1">IF($C$4="Giao",_xludf.Xlookup(C544,#REF!,#REF!,),_xludf.Xlookup(C544,#REF!,#REF!,))</f>
        <v>#NAME?</v>
      </c>
      <c r="W544" s="8" t="e">
        <f t="array" aca="1" ref="W544" ca="1">IF($C$4="Giao", _xludf.Xlookup(C544,#REF!,#REF!,),)</f>
        <v>#NAME?</v>
      </c>
      <c r="X544" s="9" t="e">
        <f t="shared" ca="1" si="8"/>
        <v>#NAME?</v>
      </c>
      <c r="Y544" s="7"/>
      <c r="Z544" s="7"/>
    </row>
    <row r="545" spans="1:26" ht="13" x14ac:dyDescent="0.6">
      <c r="A545" s="28" t="str">
        <f t="shared" si="7"/>
        <v/>
      </c>
      <c r="B545" s="7"/>
      <c r="C545" s="7"/>
      <c r="D545" s="9"/>
      <c r="E545" s="9"/>
      <c r="F545" s="7"/>
      <c r="G545" s="7"/>
      <c r="H545" s="7"/>
      <c r="I545" s="7"/>
      <c r="J545" s="7"/>
      <c r="K545" s="7"/>
      <c r="L545" s="7"/>
      <c r="M545" s="7"/>
      <c r="N545" s="7"/>
      <c r="O545" s="7"/>
      <c r="P545" s="29"/>
      <c r="Q545" s="29"/>
      <c r="R545" s="7"/>
      <c r="S545" s="7"/>
      <c r="T545" s="7" t="str">
        <f ca="1">IFERROR(__xludf.DUMMYFUNCTION("SPARKLINE({
IF(D545="""",0,D545),
IF(F545="""",0,F545),
IF(H545="""",0,H545),
IF(J545="""",0,J545),
IF(L545="""",0,L545),
IF(N545="""",0,N545),
IF(P545="""",0,P545)
})"),"")</f>
        <v/>
      </c>
      <c r="U545" s="7" t="str">
        <f ca="1">IFERROR(__xludf.DUMMYFUNCTION("SPARKLINE({
IF(E545="""",0,E545),
IF(G545="""",0,G545),
IF(I545="""",0,I545),
IF(K545="""",0,K545),
IF(M545="""",0,M545),
IF(O545="""",0,O545),
IF(Q545="""",0,Q545)
})"),"")</f>
        <v/>
      </c>
      <c r="V545" s="8" t="e">
        <f t="array" aca="1" ref="V545" ca="1">IF($C$4="Giao",_xludf.Xlookup(C545,#REF!,#REF!,),_xludf.Xlookup(C545,#REF!,#REF!,))</f>
        <v>#NAME?</v>
      </c>
      <c r="W545" s="8" t="e">
        <f t="array" aca="1" ref="W545" ca="1">IF($C$4="Giao", _xludf.Xlookup(C545,#REF!,#REF!,),)</f>
        <v>#NAME?</v>
      </c>
      <c r="X545" s="9" t="e">
        <f t="shared" ca="1" si="8"/>
        <v>#NAME?</v>
      </c>
      <c r="Y545" s="7"/>
      <c r="Z545" s="7"/>
    </row>
    <row r="546" spans="1:26" ht="13" x14ac:dyDescent="0.6">
      <c r="A546" s="28" t="str">
        <f t="shared" si="7"/>
        <v/>
      </c>
      <c r="B546" s="7"/>
      <c r="C546" s="7"/>
      <c r="D546" s="9"/>
      <c r="E546" s="9"/>
      <c r="F546" s="7"/>
      <c r="G546" s="7"/>
      <c r="H546" s="7"/>
      <c r="I546" s="7"/>
      <c r="J546" s="7"/>
      <c r="K546" s="7"/>
      <c r="L546" s="7"/>
      <c r="M546" s="7"/>
      <c r="N546" s="7"/>
      <c r="O546" s="7"/>
      <c r="P546" s="29"/>
      <c r="Q546" s="29"/>
      <c r="R546" s="7"/>
      <c r="S546" s="7"/>
      <c r="T546" s="7" t="str">
        <f ca="1">IFERROR(__xludf.DUMMYFUNCTION("SPARKLINE({
IF(D546="""",0,D546),
IF(F546="""",0,F546),
IF(H546="""",0,H546),
IF(J546="""",0,J546),
IF(L546="""",0,L546),
IF(N546="""",0,N546),
IF(P546="""",0,P546)
})"),"")</f>
        <v/>
      </c>
      <c r="U546" s="7" t="str">
        <f ca="1">IFERROR(__xludf.DUMMYFUNCTION("SPARKLINE({
IF(E546="""",0,E546),
IF(G546="""",0,G546),
IF(I546="""",0,I546),
IF(K546="""",0,K546),
IF(M546="""",0,M546),
IF(O546="""",0,O546),
IF(Q546="""",0,Q546)
})"),"")</f>
        <v/>
      </c>
      <c r="V546" s="8" t="e">
        <f t="array" aca="1" ref="V546" ca="1">IF($C$4="Giao",_xludf.Xlookup(C546,#REF!,#REF!,),_xludf.Xlookup(C546,#REF!,#REF!,))</f>
        <v>#NAME?</v>
      </c>
      <c r="W546" s="8" t="e">
        <f t="array" aca="1" ref="W546" ca="1">IF($C$4="Giao", _xludf.Xlookup(C546,#REF!,#REF!,),)</f>
        <v>#NAME?</v>
      </c>
      <c r="X546" s="9" t="e">
        <f t="shared" ca="1" si="8"/>
        <v>#NAME?</v>
      </c>
      <c r="Y546" s="7"/>
      <c r="Z546" s="7"/>
    </row>
    <row r="547" spans="1:26" ht="13" x14ac:dyDescent="0.6">
      <c r="A547" s="28" t="str">
        <f t="shared" si="7"/>
        <v/>
      </c>
      <c r="B547" s="7"/>
      <c r="C547" s="7"/>
      <c r="D547" s="9"/>
      <c r="E547" s="9"/>
      <c r="F547" s="7"/>
      <c r="G547" s="7"/>
      <c r="H547" s="7"/>
      <c r="I547" s="7"/>
      <c r="J547" s="7"/>
      <c r="K547" s="7"/>
      <c r="L547" s="7"/>
      <c r="M547" s="7"/>
      <c r="N547" s="7"/>
      <c r="O547" s="7"/>
      <c r="P547" s="29"/>
      <c r="Q547" s="29"/>
      <c r="R547" s="7"/>
      <c r="S547" s="7"/>
      <c r="T547" s="7" t="str">
        <f ca="1">IFERROR(__xludf.DUMMYFUNCTION("SPARKLINE({
IF(D547="""",0,D547),
IF(F547="""",0,F547),
IF(H547="""",0,H547),
IF(J547="""",0,J547),
IF(L547="""",0,L547),
IF(N547="""",0,N547),
IF(P547="""",0,P547)
})"),"")</f>
        <v/>
      </c>
      <c r="U547" s="7" t="str">
        <f ca="1">IFERROR(__xludf.DUMMYFUNCTION("SPARKLINE({
IF(E547="""",0,E547),
IF(G547="""",0,G547),
IF(I547="""",0,I547),
IF(K547="""",0,K547),
IF(M547="""",0,M547),
IF(O547="""",0,O547),
IF(Q547="""",0,Q547)
})"),"")</f>
        <v/>
      </c>
      <c r="V547" s="8" t="e">
        <f t="array" aca="1" ref="V547" ca="1">IF($C$4="Giao",_xludf.Xlookup(C547,#REF!,#REF!,),_xludf.Xlookup(C547,#REF!,#REF!,))</f>
        <v>#NAME?</v>
      </c>
      <c r="W547" s="8" t="e">
        <f t="array" aca="1" ref="W547" ca="1">IF($C$4="Giao", _xludf.Xlookup(C547,#REF!,#REF!,),)</f>
        <v>#NAME?</v>
      </c>
      <c r="X547" s="9" t="e">
        <f t="shared" ca="1" si="8"/>
        <v>#NAME?</v>
      </c>
      <c r="Y547" s="7"/>
      <c r="Z547" s="7"/>
    </row>
    <row r="548" spans="1:26" ht="13" x14ac:dyDescent="0.6">
      <c r="A548" s="28" t="str">
        <f t="shared" si="7"/>
        <v/>
      </c>
      <c r="B548" s="7"/>
      <c r="C548" s="7"/>
      <c r="D548" s="9"/>
      <c r="E548" s="9"/>
      <c r="F548" s="7"/>
      <c r="G548" s="7"/>
      <c r="H548" s="7"/>
      <c r="I548" s="7"/>
      <c r="J548" s="7"/>
      <c r="K548" s="7"/>
      <c r="L548" s="7"/>
      <c r="M548" s="7"/>
      <c r="N548" s="7"/>
      <c r="O548" s="7"/>
      <c r="P548" s="29"/>
      <c r="Q548" s="29"/>
      <c r="R548" s="7"/>
      <c r="S548" s="7"/>
      <c r="T548" s="7" t="str">
        <f ca="1">IFERROR(__xludf.DUMMYFUNCTION("SPARKLINE({
IF(D548="""",0,D548),
IF(F548="""",0,F548),
IF(H548="""",0,H548),
IF(J548="""",0,J548),
IF(L548="""",0,L548),
IF(N548="""",0,N548),
IF(P548="""",0,P548)
})"),"")</f>
        <v/>
      </c>
      <c r="U548" s="7" t="str">
        <f ca="1">IFERROR(__xludf.DUMMYFUNCTION("SPARKLINE({
IF(E548="""",0,E548),
IF(G548="""",0,G548),
IF(I548="""",0,I548),
IF(K548="""",0,K548),
IF(M548="""",0,M548),
IF(O548="""",0,O548),
IF(Q548="""",0,Q548)
})"),"")</f>
        <v/>
      </c>
      <c r="V548" s="8" t="e">
        <f t="array" aca="1" ref="V548" ca="1">IF($C$4="Giao",_xludf.Xlookup(C548,#REF!,#REF!,),_xludf.Xlookup(C548,#REF!,#REF!,))</f>
        <v>#NAME?</v>
      </c>
      <c r="W548" s="8" t="e">
        <f t="array" aca="1" ref="W548" ca="1">IF($C$4="Giao", _xludf.Xlookup(C548,#REF!,#REF!,),)</f>
        <v>#NAME?</v>
      </c>
      <c r="X548" s="9" t="e">
        <f t="shared" ca="1" si="8"/>
        <v>#NAME?</v>
      </c>
      <c r="Y548" s="7"/>
      <c r="Z548" s="7"/>
    </row>
    <row r="549" spans="1:26" ht="13" x14ac:dyDescent="0.6">
      <c r="A549" s="28" t="str">
        <f t="shared" si="7"/>
        <v/>
      </c>
      <c r="B549" s="7"/>
      <c r="C549" s="7"/>
      <c r="D549" s="9"/>
      <c r="E549" s="9"/>
      <c r="F549" s="7"/>
      <c r="G549" s="7"/>
      <c r="H549" s="7"/>
      <c r="I549" s="7"/>
      <c r="J549" s="7"/>
      <c r="K549" s="7"/>
      <c r="L549" s="7"/>
      <c r="M549" s="7"/>
      <c r="N549" s="7"/>
      <c r="O549" s="7"/>
      <c r="P549" s="29"/>
      <c r="Q549" s="29"/>
      <c r="R549" s="7"/>
      <c r="S549" s="7"/>
      <c r="T549" s="7" t="str">
        <f ca="1">IFERROR(__xludf.DUMMYFUNCTION("SPARKLINE({
IF(D549="""",0,D549),
IF(F549="""",0,F549),
IF(H549="""",0,H549),
IF(J549="""",0,J549),
IF(L549="""",0,L549),
IF(N549="""",0,N549),
IF(P549="""",0,P549)
})"),"")</f>
        <v/>
      </c>
      <c r="U549" s="7" t="str">
        <f ca="1">IFERROR(__xludf.DUMMYFUNCTION("SPARKLINE({
IF(E549="""",0,E549),
IF(G549="""",0,G549),
IF(I549="""",0,I549),
IF(K549="""",0,K549),
IF(M549="""",0,M549),
IF(O549="""",0,O549),
IF(Q549="""",0,Q549)
})"),"")</f>
        <v/>
      </c>
      <c r="V549" s="8" t="e">
        <f t="array" aca="1" ref="V549" ca="1">IF($C$4="Giao",_xludf.Xlookup(C549,#REF!,#REF!,),_xludf.Xlookup(C549,#REF!,#REF!,))</f>
        <v>#NAME?</v>
      </c>
      <c r="W549" s="8" t="e">
        <f t="array" aca="1" ref="W549" ca="1">IF($C$4="Giao", _xludf.Xlookup(C549,#REF!,#REF!,),)</f>
        <v>#NAME?</v>
      </c>
      <c r="X549" s="9" t="e">
        <f t="shared" ca="1" si="8"/>
        <v>#NAME?</v>
      </c>
      <c r="Y549" s="7"/>
      <c r="Z549" s="7"/>
    </row>
    <row r="550" spans="1:26" ht="13" x14ac:dyDescent="0.6">
      <c r="A550" s="28" t="str">
        <f t="shared" si="7"/>
        <v/>
      </c>
      <c r="B550" s="7"/>
      <c r="C550" s="7"/>
      <c r="D550" s="9"/>
      <c r="E550" s="9"/>
      <c r="F550" s="7"/>
      <c r="G550" s="7"/>
      <c r="H550" s="7"/>
      <c r="I550" s="7"/>
      <c r="J550" s="7"/>
      <c r="K550" s="7"/>
      <c r="L550" s="7"/>
      <c r="M550" s="7"/>
      <c r="N550" s="7"/>
      <c r="O550" s="7"/>
      <c r="P550" s="29"/>
      <c r="Q550" s="29"/>
      <c r="R550" s="7"/>
      <c r="S550" s="7"/>
      <c r="T550" s="7" t="str">
        <f ca="1">IFERROR(__xludf.DUMMYFUNCTION("SPARKLINE({
IF(D550="""",0,D550),
IF(F550="""",0,F550),
IF(H550="""",0,H550),
IF(J550="""",0,J550),
IF(L550="""",0,L550),
IF(N550="""",0,N550),
IF(P550="""",0,P550)
})"),"")</f>
        <v/>
      </c>
      <c r="U550" s="7" t="str">
        <f ca="1">IFERROR(__xludf.DUMMYFUNCTION("SPARKLINE({
IF(E550="""",0,E550),
IF(G550="""",0,G550),
IF(I550="""",0,I550),
IF(K550="""",0,K550),
IF(M550="""",0,M550),
IF(O550="""",0,O550),
IF(Q550="""",0,Q550)
})"),"")</f>
        <v/>
      </c>
      <c r="V550" s="8" t="e">
        <f t="array" aca="1" ref="V550" ca="1">IF($C$4="Giao",_xludf.Xlookup(C550,#REF!,#REF!,),_xludf.Xlookup(C550,#REF!,#REF!,))</f>
        <v>#NAME?</v>
      </c>
      <c r="W550" s="8" t="e">
        <f t="array" aca="1" ref="W550" ca="1">IF($C$4="Giao", _xludf.Xlookup(C550,#REF!,#REF!,),)</f>
        <v>#NAME?</v>
      </c>
      <c r="X550" s="9" t="e">
        <f t="shared" ca="1" si="8"/>
        <v>#NAME?</v>
      </c>
      <c r="Y550" s="7"/>
      <c r="Z550" s="7"/>
    </row>
    <row r="551" spans="1:26" ht="13" x14ac:dyDescent="0.6">
      <c r="A551" s="28" t="str">
        <f t="shared" si="7"/>
        <v/>
      </c>
      <c r="B551" s="7"/>
      <c r="C551" s="7"/>
      <c r="D551" s="9"/>
      <c r="E551" s="9"/>
      <c r="F551" s="7"/>
      <c r="G551" s="7"/>
      <c r="H551" s="7"/>
      <c r="I551" s="7"/>
      <c r="J551" s="7"/>
      <c r="K551" s="7"/>
      <c r="L551" s="7"/>
      <c r="M551" s="7"/>
      <c r="N551" s="7"/>
      <c r="O551" s="7"/>
      <c r="P551" s="29"/>
      <c r="Q551" s="29"/>
      <c r="R551" s="7"/>
      <c r="S551" s="7"/>
      <c r="T551" s="7" t="str">
        <f ca="1">IFERROR(__xludf.DUMMYFUNCTION("SPARKLINE({
IF(D551="""",0,D551),
IF(F551="""",0,F551),
IF(H551="""",0,H551),
IF(J551="""",0,J551),
IF(L551="""",0,L551),
IF(N551="""",0,N551),
IF(P551="""",0,P551)
})"),"")</f>
        <v/>
      </c>
      <c r="U551" s="7" t="str">
        <f ca="1">IFERROR(__xludf.DUMMYFUNCTION("SPARKLINE({
IF(E551="""",0,E551),
IF(G551="""",0,G551),
IF(I551="""",0,I551),
IF(K551="""",0,K551),
IF(M551="""",0,M551),
IF(O551="""",0,O551),
IF(Q551="""",0,Q551)
})"),"")</f>
        <v/>
      </c>
      <c r="V551" s="8" t="e">
        <f t="array" aca="1" ref="V551" ca="1">IF($C$4="Giao",_xludf.Xlookup(C551,#REF!,#REF!,),_xludf.Xlookup(C551,#REF!,#REF!,))</f>
        <v>#NAME?</v>
      </c>
      <c r="W551" s="8" t="e">
        <f t="array" aca="1" ref="W551" ca="1">IF($C$4="Giao", _xludf.Xlookup(C551,#REF!,#REF!,),)</f>
        <v>#NAME?</v>
      </c>
      <c r="X551" s="9" t="e">
        <f t="shared" ca="1" si="8"/>
        <v>#NAME?</v>
      </c>
      <c r="Y551" s="7"/>
      <c r="Z551" s="7"/>
    </row>
    <row r="552" spans="1:26" ht="13" x14ac:dyDescent="0.6">
      <c r="A552" s="28" t="str">
        <f t="shared" si="7"/>
        <v/>
      </c>
      <c r="B552" s="7"/>
      <c r="C552" s="7"/>
      <c r="D552" s="9"/>
      <c r="E552" s="9"/>
      <c r="F552" s="7"/>
      <c r="G552" s="7"/>
      <c r="H552" s="7"/>
      <c r="I552" s="7"/>
      <c r="J552" s="7"/>
      <c r="K552" s="7"/>
      <c r="L552" s="7"/>
      <c r="M552" s="7"/>
      <c r="N552" s="7"/>
      <c r="O552" s="7"/>
      <c r="P552" s="29"/>
      <c r="Q552" s="29"/>
      <c r="R552" s="7"/>
      <c r="S552" s="7"/>
      <c r="T552" s="7" t="str">
        <f ca="1">IFERROR(__xludf.DUMMYFUNCTION("SPARKLINE({
IF(D552="""",0,D552),
IF(F552="""",0,F552),
IF(H552="""",0,H552),
IF(J552="""",0,J552),
IF(L552="""",0,L552),
IF(N552="""",0,N552),
IF(P552="""",0,P552)
})"),"")</f>
        <v/>
      </c>
      <c r="U552" s="7" t="str">
        <f ca="1">IFERROR(__xludf.DUMMYFUNCTION("SPARKLINE({
IF(E552="""",0,E552),
IF(G552="""",0,G552),
IF(I552="""",0,I552),
IF(K552="""",0,K552),
IF(M552="""",0,M552),
IF(O552="""",0,O552),
IF(Q552="""",0,Q552)
})"),"")</f>
        <v/>
      </c>
      <c r="V552" s="8" t="e">
        <f t="array" aca="1" ref="V552" ca="1">IF($C$4="Giao",_xludf.Xlookup(C552,#REF!,#REF!,),_xludf.Xlookup(C552,#REF!,#REF!,))</f>
        <v>#NAME?</v>
      </c>
      <c r="W552" s="8" t="e">
        <f t="array" aca="1" ref="W552" ca="1">IF($C$4="Giao", _xludf.Xlookup(C552,#REF!,#REF!,),)</f>
        <v>#NAME?</v>
      </c>
      <c r="X552" s="9" t="e">
        <f t="shared" ca="1" si="8"/>
        <v>#NAME?</v>
      </c>
      <c r="Y552" s="7"/>
      <c r="Z552" s="7"/>
    </row>
    <row r="553" spans="1:26" ht="13" x14ac:dyDescent="0.6">
      <c r="A553" s="28" t="str">
        <f t="shared" si="7"/>
        <v/>
      </c>
      <c r="B553" s="7"/>
      <c r="C553" s="7"/>
      <c r="D553" s="9"/>
      <c r="E553" s="9"/>
      <c r="F553" s="7"/>
      <c r="G553" s="7"/>
      <c r="H553" s="7"/>
      <c r="I553" s="7"/>
      <c r="J553" s="7"/>
      <c r="K553" s="7"/>
      <c r="L553" s="7"/>
      <c r="M553" s="7"/>
      <c r="N553" s="7"/>
      <c r="O553" s="7"/>
      <c r="P553" s="29"/>
      <c r="Q553" s="29"/>
      <c r="R553" s="7"/>
      <c r="S553" s="7"/>
      <c r="T553" s="7" t="str">
        <f ca="1">IFERROR(__xludf.DUMMYFUNCTION("SPARKLINE({
IF(D553="""",0,D553),
IF(F553="""",0,F553),
IF(H553="""",0,H553),
IF(J553="""",0,J553),
IF(L553="""",0,L553),
IF(N553="""",0,N553),
IF(P553="""",0,P553)
})"),"")</f>
        <v/>
      </c>
      <c r="U553" s="7" t="str">
        <f ca="1">IFERROR(__xludf.DUMMYFUNCTION("SPARKLINE({
IF(E553="""",0,E553),
IF(G553="""",0,G553),
IF(I553="""",0,I553),
IF(K553="""",0,K553),
IF(M553="""",0,M553),
IF(O553="""",0,O553),
IF(Q553="""",0,Q553)
})"),"")</f>
        <v/>
      </c>
      <c r="V553" s="8" t="e">
        <f t="array" aca="1" ref="V553" ca="1">IF($C$4="Giao",_xludf.Xlookup(C553,#REF!,#REF!,),_xludf.Xlookup(C553,#REF!,#REF!,))</f>
        <v>#NAME?</v>
      </c>
      <c r="W553" s="8" t="e">
        <f t="array" aca="1" ref="W553" ca="1">IF($C$4="Giao", _xludf.Xlookup(C553,#REF!,#REF!,),)</f>
        <v>#NAME?</v>
      </c>
      <c r="X553" s="9" t="e">
        <f t="shared" ca="1" si="8"/>
        <v>#NAME?</v>
      </c>
      <c r="Y553" s="7"/>
      <c r="Z553" s="7"/>
    </row>
    <row r="554" spans="1:26" ht="13" x14ac:dyDescent="0.6">
      <c r="A554" s="28" t="str">
        <f t="shared" si="7"/>
        <v/>
      </c>
      <c r="B554" s="7"/>
      <c r="C554" s="7"/>
      <c r="D554" s="9"/>
      <c r="E554" s="9"/>
      <c r="F554" s="7"/>
      <c r="G554" s="7"/>
      <c r="H554" s="7"/>
      <c r="I554" s="7"/>
      <c r="J554" s="7"/>
      <c r="K554" s="7"/>
      <c r="L554" s="7"/>
      <c r="M554" s="7"/>
      <c r="N554" s="7"/>
      <c r="O554" s="7"/>
      <c r="P554" s="29"/>
      <c r="Q554" s="29"/>
      <c r="R554" s="7"/>
      <c r="S554" s="7"/>
      <c r="T554" s="7" t="str">
        <f ca="1">IFERROR(__xludf.DUMMYFUNCTION("SPARKLINE({
IF(D554="""",0,D554),
IF(F554="""",0,F554),
IF(H554="""",0,H554),
IF(J554="""",0,J554),
IF(L554="""",0,L554),
IF(N554="""",0,N554),
IF(P554="""",0,P554)
})"),"")</f>
        <v/>
      </c>
      <c r="U554" s="7" t="str">
        <f ca="1">IFERROR(__xludf.DUMMYFUNCTION("SPARKLINE({
IF(E554="""",0,E554),
IF(G554="""",0,G554),
IF(I554="""",0,I554),
IF(K554="""",0,K554),
IF(M554="""",0,M554),
IF(O554="""",0,O554),
IF(Q554="""",0,Q554)
})"),"")</f>
        <v/>
      </c>
      <c r="V554" s="8" t="e">
        <f t="array" aca="1" ref="V554" ca="1">IF($C$4="Giao",_xludf.Xlookup(C554,#REF!,#REF!,),_xludf.Xlookup(C554,#REF!,#REF!,))</f>
        <v>#NAME?</v>
      </c>
      <c r="W554" s="8" t="e">
        <f t="array" aca="1" ref="W554" ca="1">IF($C$4="Giao", _xludf.Xlookup(C554,#REF!,#REF!,),)</f>
        <v>#NAME?</v>
      </c>
      <c r="X554" s="9" t="e">
        <f t="shared" ca="1" si="8"/>
        <v>#NAME?</v>
      </c>
      <c r="Y554" s="7"/>
      <c r="Z554" s="7"/>
    </row>
    <row r="555" spans="1:26" ht="13" x14ac:dyDescent="0.6">
      <c r="A555" s="28" t="str">
        <f t="shared" si="7"/>
        <v/>
      </c>
      <c r="B555" s="7"/>
      <c r="C555" s="7"/>
      <c r="D555" s="9"/>
      <c r="E555" s="9"/>
      <c r="F555" s="7"/>
      <c r="G555" s="7"/>
      <c r="H555" s="7"/>
      <c r="I555" s="7"/>
      <c r="J555" s="7"/>
      <c r="K555" s="7"/>
      <c r="L555" s="7"/>
      <c r="M555" s="7"/>
      <c r="N555" s="7"/>
      <c r="O555" s="7"/>
      <c r="P555" s="29"/>
      <c r="Q555" s="29"/>
      <c r="R555" s="7"/>
      <c r="S555" s="7"/>
      <c r="T555" s="7" t="str">
        <f ca="1">IFERROR(__xludf.DUMMYFUNCTION("SPARKLINE({
IF(D555="""",0,D555),
IF(F555="""",0,F555),
IF(H555="""",0,H555),
IF(J555="""",0,J555),
IF(L555="""",0,L555),
IF(N555="""",0,N555),
IF(P555="""",0,P555)
})"),"")</f>
        <v/>
      </c>
      <c r="U555" s="7" t="str">
        <f ca="1">IFERROR(__xludf.DUMMYFUNCTION("SPARKLINE({
IF(E555="""",0,E555),
IF(G555="""",0,G555),
IF(I555="""",0,I555),
IF(K555="""",0,K555),
IF(M555="""",0,M555),
IF(O555="""",0,O555),
IF(Q555="""",0,Q555)
})"),"")</f>
        <v/>
      </c>
      <c r="V555" s="8" t="e">
        <f t="array" aca="1" ref="V555" ca="1">IF($C$4="Giao",_xludf.Xlookup(C555,#REF!,#REF!,),_xludf.Xlookup(C555,#REF!,#REF!,))</f>
        <v>#NAME?</v>
      </c>
      <c r="W555" s="8" t="e">
        <f t="array" aca="1" ref="W555" ca="1">IF($C$4="Giao", _xludf.Xlookup(C555,#REF!,#REF!,),)</f>
        <v>#NAME?</v>
      </c>
      <c r="X555" s="9" t="e">
        <f t="shared" ca="1" si="8"/>
        <v>#NAME?</v>
      </c>
      <c r="Y555" s="7"/>
      <c r="Z555" s="7"/>
    </row>
    <row r="556" spans="1:26" ht="13" x14ac:dyDescent="0.6">
      <c r="A556" s="28" t="str">
        <f t="shared" si="7"/>
        <v/>
      </c>
      <c r="B556" s="7"/>
      <c r="C556" s="7"/>
      <c r="D556" s="9"/>
      <c r="E556" s="9"/>
      <c r="F556" s="7"/>
      <c r="G556" s="7"/>
      <c r="H556" s="7"/>
      <c r="I556" s="7"/>
      <c r="J556" s="7"/>
      <c r="K556" s="7"/>
      <c r="L556" s="7"/>
      <c r="M556" s="7"/>
      <c r="N556" s="7"/>
      <c r="O556" s="7"/>
      <c r="P556" s="29"/>
      <c r="Q556" s="29"/>
      <c r="R556" s="7"/>
      <c r="S556" s="7"/>
      <c r="T556" s="7" t="str">
        <f ca="1">IFERROR(__xludf.DUMMYFUNCTION("SPARKLINE({
IF(D556="""",0,D556),
IF(F556="""",0,F556),
IF(H556="""",0,H556),
IF(J556="""",0,J556),
IF(L556="""",0,L556),
IF(N556="""",0,N556),
IF(P556="""",0,P556)
})"),"")</f>
        <v/>
      </c>
      <c r="U556" s="7" t="str">
        <f ca="1">IFERROR(__xludf.DUMMYFUNCTION("SPARKLINE({
IF(E556="""",0,E556),
IF(G556="""",0,G556),
IF(I556="""",0,I556),
IF(K556="""",0,K556),
IF(M556="""",0,M556),
IF(O556="""",0,O556),
IF(Q556="""",0,Q556)
})"),"")</f>
        <v/>
      </c>
      <c r="V556" s="8" t="e">
        <f t="array" aca="1" ref="V556" ca="1">IF($C$4="Giao",_xludf.Xlookup(C556,#REF!,#REF!,),_xludf.Xlookup(C556,#REF!,#REF!,))</f>
        <v>#NAME?</v>
      </c>
      <c r="W556" s="8" t="e">
        <f t="array" aca="1" ref="W556" ca="1">IF($C$4="Giao", _xludf.Xlookup(C556,#REF!,#REF!,),)</f>
        <v>#NAME?</v>
      </c>
      <c r="X556" s="9" t="e">
        <f t="shared" ca="1" si="8"/>
        <v>#NAME?</v>
      </c>
      <c r="Y556" s="7"/>
      <c r="Z556" s="7"/>
    </row>
    <row r="557" spans="1:26" ht="13" x14ac:dyDescent="0.6">
      <c r="A557" s="28" t="str">
        <f t="shared" si="7"/>
        <v/>
      </c>
      <c r="B557" s="7"/>
      <c r="C557" s="7"/>
      <c r="D557" s="9"/>
      <c r="E557" s="9"/>
      <c r="F557" s="7"/>
      <c r="G557" s="7"/>
      <c r="H557" s="7"/>
      <c r="I557" s="7"/>
      <c r="J557" s="7"/>
      <c r="K557" s="7"/>
      <c r="L557" s="7"/>
      <c r="M557" s="7"/>
      <c r="N557" s="7"/>
      <c r="O557" s="7"/>
      <c r="P557" s="29"/>
      <c r="Q557" s="29"/>
      <c r="R557" s="7"/>
      <c r="S557" s="7"/>
      <c r="T557" s="7" t="str">
        <f ca="1">IFERROR(__xludf.DUMMYFUNCTION("SPARKLINE({
IF(D557="""",0,D557),
IF(F557="""",0,F557),
IF(H557="""",0,H557),
IF(J557="""",0,J557),
IF(L557="""",0,L557),
IF(N557="""",0,N557),
IF(P557="""",0,P557)
})"),"")</f>
        <v/>
      </c>
      <c r="U557" s="7" t="str">
        <f ca="1">IFERROR(__xludf.DUMMYFUNCTION("SPARKLINE({
IF(E557="""",0,E557),
IF(G557="""",0,G557),
IF(I557="""",0,I557),
IF(K557="""",0,K557),
IF(M557="""",0,M557),
IF(O557="""",0,O557),
IF(Q557="""",0,Q557)
})"),"")</f>
        <v/>
      </c>
      <c r="V557" s="8" t="e">
        <f t="array" aca="1" ref="V557" ca="1">IF($C$4="Giao",_xludf.Xlookup(C557,#REF!,#REF!,),_xludf.Xlookup(C557,#REF!,#REF!,))</f>
        <v>#NAME?</v>
      </c>
      <c r="W557" s="8" t="e">
        <f t="array" aca="1" ref="W557" ca="1">IF($C$4="Giao", _xludf.Xlookup(C557,#REF!,#REF!,),)</f>
        <v>#NAME?</v>
      </c>
      <c r="X557" s="9" t="e">
        <f t="shared" ca="1" si="8"/>
        <v>#NAME?</v>
      </c>
      <c r="Y557" s="7"/>
      <c r="Z557" s="7"/>
    </row>
    <row r="558" spans="1:26" ht="13" x14ac:dyDescent="0.6">
      <c r="A558" s="28" t="str">
        <f t="shared" si="7"/>
        <v/>
      </c>
      <c r="B558" s="7"/>
      <c r="C558" s="7"/>
      <c r="D558" s="9"/>
      <c r="E558" s="9"/>
      <c r="F558" s="7"/>
      <c r="G558" s="7"/>
      <c r="H558" s="7"/>
      <c r="I558" s="7"/>
      <c r="J558" s="7"/>
      <c r="K558" s="7"/>
      <c r="L558" s="7"/>
      <c r="M558" s="7"/>
      <c r="N558" s="7"/>
      <c r="O558" s="7"/>
      <c r="P558" s="29"/>
      <c r="Q558" s="29"/>
      <c r="R558" s="7"/>
      <c r="S558" s="7"/>
      <c r="T558" s="7" t="str">
        <f ca="1">IFERROR(__xludf.DUMMYFUNCTION("SPARKLINE({
IF(D558="""",0,D558),
IF(F558="""",0,F558),
IF(H558="""",0,H558),
IF(J558="""",0,J558),
IF(L558="""",0,L558),
IF(N558="""",0,N558),
IF(P558="""",0,P558)
})"),"")</f>
        <v/>
      </c>
      <c r="U558" s="7" t="str">
        <f ca="1">IFERROR(__xludf.DUMMYFUNCTION("SPARKLINE({
IF(E558="""",0,E558),
IF(G558="""",0,G558),
IF(I558="""",0,I558),
IF(K558="""",0,K558),
IF(M558="""",0,M558),
IF(O558="""",0,O558),
IF(Q558="""",0,Q558)
})"),"")</f>
        <v/>
      </c>
      <c r="V558" s="8" t="e">
        <f t="array" aca="1" ref="V558" ca="1">IF($C$4="Giao",_xludf.Xlookup(C558,#REF!,#REF!,),_xludf.Xlookup(C558,#REF!,#REF!,))</f>
        <v>#NAME?</v>
      </c>
      <c r="W558" s="8" t="e">
        <f t="array" aca="1" ref="W558" ca="1">IF($C$4="Giao", _xludf.Xlookup(C558,#REF!,#REF!,),)</f>
        <v>#NAME?</v>
      </c>
      <c r="X558" s="9" t="e">
        <f t="shared" ca="1" si="8"/>
        <v>#NAME?</v>
      </c>
      <c r="Y558" s="7"/>
      <c r="Z558" s="7"/>
    </row>
    <row r="559" spans="1:26" ht="13" x14ac:dyDescent="0.6">
      <c r="A559" s="28" t="str">
        <f t="shared" si="7"/>
        <v/>
      </c>
      <c r="B559" s="7"/>
      <c r="C559" s="7"/>
      <c r="D559" s="9"/>
      <c r="E559" s="9"/>
      <c r="F559" s="7"/>
      <c r="G559" s="7"/>
      <c r="H559" s="7"/>
      <c r="I559" s="7"/>
      <c r="J559" s="7"/>
      <c r="K559" s="7"/>
      <c r="L559" s="7"/>
      <c r="M559" s="7"/>
      <c r="N559" s="7"/>
      <c r="O559" s="7"/>
      <c r="P559" s="29"/>
      <c r="Q559" s="29"/>
      <c r="R559" s="7"/>
      <c r="S559" s="7"/>
      <c r="T559" s="7" t="str">
        <f ca="1">IFERROR(__xludf.DUMMYFUNCTION("SPARKLINE({
IF(D559="""",0,D559),
IF(F559="""",0,F559),
IF(H559="""",0,H559),
IF(J559="""",0,J559),
IF(L559="""",0,L559),
IF(N559="""",0,N559),
IF(P559="""",0,P559)
})"),"")</f>
        <v/>
      </c>
      <c r="U559" s="7" t="str">
        <f ca="1">IFERROR(__xludf.DUMMYFUNCTION("SPARKLINE({
IF(E559="""",0,E559),
IF(G559="""",0,G559),
IF(I559="""",0,I559),
IF(K559="""",0,K559),
IF(M559="""",0,M559),
IF(O559="""",0,O559),
IF(Q559="""",0,Q559)
})"),"")</f>
        <v/>
      </c>
      <c r="V559" s="8" t="e">
        <f t="array" aca="1" ref="V559" ca="1">IF($C$4="Giao",_xludf.Xlookup(C559,#REF!,#REF!,),_xludf.Xlookup(C559,#REF!,#REF!,))</f>
        <v>#NAME?</v>
      </c>
      <c r="W559" s="8" t="e">
        <f t="array" aca="1" ref="W559" ca="1">IF($C$4="Giao", _xludf.Xlookup(C559,#REF!,#REF!,),)</f>
        <v>#NAME?</v>
      </c>
      <c r="X559" s="9" t="e">
        <f t="shared" ca="1" si="8"/>
        <v>#NAME?</v>
      </c>
      <c r="Y559" s="7"/>
      <c r="Z559" s="7"/>
    </row>
    <row r="560" spans="1:26" ht="13" x14ac:dyDescent="0.6">
      <c r="A560" s="28" t="str">
        <f t="shared" si="7"/>
        <v/>
      </c>
      <c r="B560" s="7"/>
      <c r="C560" s="7"/>
      <c r="D560" s="9"/>
      <c r="E560" s="9"/>
      <c r="F560" s="7"/>
      <c r="G560" s="7"/>
      <c r="H560" s="7"/>
      <c r="I560" s="7"/>
      <c r="J560" s="7"/>
      <c r="K560" s="7"/>
      <c r="L560" s="7"/>
      <c r="M560" s="7"/>
      <c r="N560" s="7"/>
      <c r="O560" s="7"/>
      <c r="P560" s="29"/>
      <c r="Q560" s="29"/>
      <c r="R560" s="7"/>
      <c r="S560" s="7"/>
      <c r="T560" s="7" t="str">
        <f ca="1">IFERROR(__xludf.DUMMYFUNCTION("SPARKLINE({
IF(D560="""",0,D560),
IF(F560="""",0,F560),
IF(H560="""",0,H560),
IF(J560="""",0,J560),
IF(L560="""",0,L560),
IF(N560="""",0,N560),
IF(P560="""",0,P560)
})"),"")</f>
        <v/>
      </c>
      <c r="U560" s="7" t="str">
        <f ca="1">IFERROR(__xludf.DUMMYFUNCTION("SPARKLINE({
IF(E560="""",0,E560),
IF(G560="""",0,G560),
IF(I560="""",0,I560),
IF(K560="""",0,K560),
IF(M560="""",0,M560),
IF(O560="""",0,O560),
IF(Q560="""",0,Q560)
})"),"")</f>
        <v/>
      </c>
      <c r="V560" s="8" t="e">
        <f t="array" aca="1" ref="V560" ca="1">IF($C$4="Giao",_xludf.Xlookup(C560,#REF!,#REF!,),_xludf.Xlookup(C560,#REF!,#REF!,))</f>
        <v>#NAME?</v>
      </c>
      <c r="W560" s="8" t="e">
        <f t="array" aca="1" ref="W560" ca="1">IF($C$4="Giao", _xludf.Xlookup(C560,#REF!,#REF!,),)</f>
        <v>#NAME?</v>
      </c>
      <c r="X560" s="9" t="e">
        <f t="shared" ca="1" si="8"/>
        <v>#NAME?</v>
      </c>
      <c r="Y560" s="7"/>
      <c r="Z560" s="7"/>
    </row>
    <row r="561" spans="1:26" ht="13" x14ac:dyDescent="0.6">
      <c r="A561" s="28" t="str">
        <f t="shared" si="7"/>
        <v/>
      </c>
      <c r="B561" s="7"/>
      <c r="C561" s="7"/>
      <c r="D561" s="9"/>
      <c r="E561" s="9"/>
      <c r="F561" s="7"/>
      <c r="G561" s="7"/>
      <c r="H561" s="7"/>
      <c r="I561" s="7"/>
      <c r="J561" s="7"/>
      <c r="K561" s="7"/>
      <c r="L561" s="7"/>
      <c r="M561" s="7"/>
      <c r="N561" s="7"/>
      <c r="O561" s="7"/>
      <c r="P561" s="29"/>
      <c r="Q561" s="29"/>
      <c r="R561" s="7"/>
      <c r="S561" s="7"/>
      <c r="T561" s="7" t="str">
        <f ca="1">IFERROR(__xludf.DUMMYFUNCTION("SPARKLINE({
IF(D561="""",0,D561),
IF(F561="""",0,F561),
IF(H561="""",0,H561),
IF(J561="""",0,J561),
IF(L561="""",0,L561),
IF(N561="""",0,N561),
IF(P561="""",0,P561)
})"),"")</f>
        <v/>
      </c>
      <c r="U561" s="7" t="str">
        <f ca="1">IFERROR(__xludf.DUMMYFUNCTION("SPARKLINE({
IF(E561="""",0,E561),
IF(G561="""",0,G561),
IF(I561="""",0,I561),
IF(K561="""",0,K561),
IF(M561="""",0,M561),
IF(O561="""",0,O561),
IF(Q561="""",0,Q561)
})"),"")</f>
        <v/>
      </c>
      <c r="V561" s="8" t="e">
        <f t="array" aca="1" ref="V561" ca="1">IF($C$4="Giao",_xludf.Xlookup(C561,#REF!,#REF!,),_xludf.Xlookup(C561,#REF!,#REF!,))</f>
        <v>#NAME?</v>
      </c>
      <c r="W561" s="8" t="e">
        <f t="array" aca="1" ref="W561" ca="1">IF($C$4="Giao", _xludf.Xlookup(C561,#REF!,#REF!,),)</f>
        <v>#NAME?</v>
      </c>
      <c r="X561" s="9" t="e">
        <f t="shared" ca="1" si="8"/>
        <v>#NAME?</v>
      </c>
      <c r="Y561" s="7"/>
      <c r="Z561" s="7"/>
    </row>
    <row r="562" spans="1:26" ht="13" x14ac:dyDescent="0.6">
      <c r="A562" s="28" t="str">
        <f t="shared" si="7"/>
        <v/>
      </c>
      <c r="B562" s="7"/>
      <c r="C562" s="7"/>
      <c r="D562" s="9"/>
      <c r="E562" s="9"/>
      <c r="F562" s="7"/>
      <c r="G562" s="7"/>
      <c r="H562" s="7"/>
      <c r="I562" s="7"/>
      <c r="J562" s="7"/>
      <c r="K562" s="7"/>
      <c r="L562" s="7"/>
      <c r="M562" s="7"/>
      <c r="N562" s="7"/>
      <c r="O562" s="7"/>
      <c r="P562" s="29"/>
      <c r="Q562" s="29"/>
      <c r="R562" s="7"/>
      <c r="S562" s="7"/>
      <c r="T562" s="7" t="str">
        <f ca="1">IFERROR(__xludf.DUMMYFUNCTION("SPARKLINE({
IF(D562="""",0,D562),
IF(F562="""",0,F562),
IF(H562="""",0,H562),
IF(J562="""",0,J562),
IF(L562="""",0,L562),
IF(N562="""",0,N562),
IF(P562="""",0,P562)
})"),"")</f>
        <v/>
      </c>
      <c r="U562" s="7" t="str">
        <f ca="1">IFERROR(__xludf.DUMMYFUNCTION("SPARKLINE({
IF(E562="""",0,E562),
IF(G562="""",0,G562),
IF(I562="""",0,I562),
IF(K562="""",0,K562),
IF(M562="""",0,M562),
IF(O562="""",0,O562),
IF(Q562="""",0,Q562)
})"),"")</f>
        <v/>
      </c>
      <c r="V562" s="8" t="e">
        <f t="array" aca="1" ref="V562" ca="1">IF($C$4="Giao",_xludf.Xlookup(C562,#REF!,#REF!,),_xludf.Xlookup(C562,#REF!,#REF!,))</f>
        <v>#NAME?</v>
      </c>
      <c r="W562" s="8" t="e">
        <f t="array" aca="1" ref="W562" ca="1">IF($C$4="Giao", _xludf.Xlookup(C562,#REF!,#REF!,),)</f>
        <v>#NAME?</v>
      </c>
      <c r="X562" s="9" t="e">
        <f t="shared" ca="1" si="8"/>
        <v>#NAME?</v>
      </c>
      <c r="Y562" s="7"/>
      <c r="Z562" s="7"/>
    </row>
    <row r="563" spans="1:26" ht="13" x14ac:dyDescent="0.6">
      <c r="A563" s="28" t="str">
        <f t="shared" si="7"/>
        <v/>
      </c>
      <c r="B563" s="7"/>
      <c r="C563" s="7"/>
      <c r="D563" s="9"/>
      <c r="E563" s="9"/>
      <c r="F563" s="7"/>
      <c r="G563" s="7"/>
      <c r="H563" s="7"/>
      <c r="I563" s="7"/>
      <c r="J563" s="7"/>
      <c r="K563" s="7"/>
      <c r="L563" s="7"/>
      <c r="M563" s="7"/>
      <c r="N563" s="7"/>
      <c r="O563" s="7"/>
      <c r="P563" s="29"/>
      <c r="Q563" s="29"/>
      <c r="R563" s="7"/>
      <c r="S563" s="7"/>
      <c r="T563" s="7" t="str">
        <f ca="1">IFERROR(__xludf.DUMMYFUNCTION("SPARKLINE({
IF(D563="""",0,D563),
IF(F563="""",0,F563),
IF(H563="""",0,H563),
IF(J563="""",0,J563),
IF(L563="""",0,L563),
IF(N563="""",0,N563),
IF(P563="""",0,P563)
})"),"")</f>
        <v/>
      </c>
      <c r="U563" s="7" t="str">
        <f ca="1">IFERROR(__xludf.DUMMYFUNCTION("SPARKLINE({
IF(E563="""",0,E563),
IF(G563="""",0,G563),
IF(I563="""",0,I563),
IF(K563="""",0,K563),
IF(M563="""",0,M563),
IF(O563="""",0,O563),
IF(Q563="""",0,Q563)
})"),"")</f>
        <v/>
      </c>
      <c r="V563" s="8" t="e">
        <f t="array" aca="1" ref="V563" ca="1">IF($C$4="Giao",_xludf.Xlookup(C563,#REF!,#REF!,),_xludf.Xlookup(C563,#REF!,#REF!,))</f>
        <v>#NAME?</v>
      </c>
      <c r="W563" s="8" t="e">
        <f t="array" aca="1" ref="W563" ca="1">IF($C$4="Giao", _xludf.Xlookup(C563,#REF!,#REF!,),)</f>
        <v>#NAME?</v>
      </c>
      <c r="X563" s="9" t="e">
        <f t="shared" ca="1" si="8"/>
        <v>#NAME?</v>
      </c>
      <c r="Y563" s="7"/>
      <c r="Z563" s="7"/>
    </row>
    <row r="564" spans="1:26" ht="13" x14ac:dyDescent="0.6">
      <c r="A564" s="28" t="str">
        <f t="shared" si="7"/>
        <v/>
      </c>
      <c r="B564" s="7"/>
      <c r="C564" s="7"/>
      <c r="D564" s="9"/>
      <c r="E564" s="9"/>
      <c r="F564" s="7"/>
      <c r="G564" s="7"/>
      <c r="H564" s="7"/>
      <c r="I564" s="7"/>
      <c r="J564" s="7"/>
      <c r="K564" s="7"/>
      <c r="L564" s="7"/>
      <c r="M564" s="7"/>
      <c r="N564" s="7"/>
      <c r="O564" s="7"/>
      <c r="P564" s="29"/>
      <c r="Q564" s="29"/>
      <c r="R564" s="7"/>
      <c r="S564" s="7"/>
      <c r="T564" s="7" t="str">
        <f ca="1">IFERROR(__xludf.DUMMYFUNCTION("SPARKLINE({
IF(D564="""",0,D564),
IF(F564="""",0,F564),
IF(H564="""",0,H564),
IF(J564="""",0,J564),
IF(L564="""",0,L564),
IF(N564="""",0,N564),
IF(P564="""",0,P564)
})"),"")</f>
        <v/>
      </c>
      <c r="U564" s="7" t="str">
        <f ca="1">IFERROR(__xludf.DUMMYFUNCTION("SPARKLINE({
IF(E564="""",0,E564),
IF(G564="""",0,G564),
IF(I564="""",0,I564),
IF(K564="""",0,K564),
IF(M564="""",0,M564),
IF(O564="""",0,O564),
IF(Q564="""",0,Q564)
})"),"")</f>
        <v/>
      </c>
      <c r="V564" s="8" t="e">
        <f t="array" aca="1" ref="V564" ca="1">IF($C$4="Giao",_xludf.Xlookup(C564,#REF!,#REF!,),_xludf.Xlookup(C564,#REF!,#REF!,))</f>
        <v>#NAME?</v>
      </c>
      <c r="W564" s="8" t="e">
        <f t="array" aca="1" ref="W564" ca="1">IF($C$4="Giao", _xludf.Xlookup(C564,#REF!,#REF!,),)</f>
        <v>#NAME?</v>
      </c>
      <c r="X564" s="9" t="e">
        <f t="shared" ca="1" si="8"/>
        <v>#NAME?</v>
      </c>
      <c r="Y564" s="7"/>
      <c r="Z564" s="7"/>
    </row>
    <row r="565" spans="1:26" ht="13" x14ac:dyDescent="0.6">
      <c r="A565" s="28" t="str">
        <f t="shared" si="7"/>
        <v/>
      </c>
      <c r="B565" s="7"/>
      <c r="C565" s="7"/>
      <c r="D565" s="9"/>
      <c r="E565" s="9"/>
      <c r="F565" s="7"/>
      <c r="G565" s="7"/>
      <c r="H565" s="7"/>
      <c r="I565" s="7"/>
      <c r="J565" s="7"/>
      <c r="K565" s="7"/>
      <c r="L565" s="7"/>
      <c r="M565" s="7"/>
      <c r="N565" s="7"/>
      <c r="O565" s="7"/>
      <c r="P565" s="29"/>
      <c r="Q565" s="29"/>
      <c r="R565" s="7"/>
      <c r="S565" s="7"/>
      <c r="T565" s="7" t="str">
        <f ca="1">IFERROR(__xludf.DUMMYFUNCTION("SPARKLINE({
IF(D565="""",0,D565),
IF(F565="""",0,F565),
IF(H565="""",0,H565),
IF(J565="""",0,J565),
IF(L565="""",0,L565),
IF(N565="""",0,N565),
IF(P565="""",0,P565)
})"),"")</f>
        <v/>
      </c>
      <c r="U565" s="7" t="str">
        <f ca="1">IFERROR(__xludf.DUMMYFUNCTION("SPARKLINE({
IF(E565="""",0,E565),
IF(G565="""",0,G565),
IF(I565="""",0,I565),
IF(K565="""",0,K565),
IF(M565="""",0,M565),
IF(O565="""",0,O565),
IF(Q565="""",0,Q565)
})"),"")</f>
        <v/>
      </c>
      <c r="V565" s="8" t="e">
        <f t="array" aca="1" ref="V565" ca="1">IF($C$4="Giao",_xludf.Xlookup(C565,#REF!,#REF!,),_xludf.Xlookup(C565,#REF!,#REF!,))</f>
        <v>#NAME?</v>
      </c>
      <c r="W565" s="8" t="e">
        <f t="array" aca="1" ref="W565" ca="1">IF($C$4="Giao", _xludf.Xlookup(C565,#REF!,#REF!,),)</f>
        <v>#NAME?</v>
      </c>
      <c r="X565" s="9" t="e">
        <f t="shared" ca="1" si="8"/>
        <v>#NAME?</v>
      </c>
      <c r="Y565" s="7"/>
      <c r="Z565" s="7"/>
    </row>
    <row r="566" spans="1:26" ht="13" x14ac:dyDescent="0.6">
      <c r="A566" s="28" t="str">
        <f t="shared" si="7"/>
        <v/>
      </c>
      <c r="B566" s="7"/>
      <c r="C566" s="7"/>
      <c r="D566" s="9"/>
      <c r="E566" s="9"/>
      <c r="F566" s="7"/>
      <c r="G566" s="7"/>
      <c r="H566" s="7"/>
      <c r="I566" s="7"/>
      <c r="J566" s="7"/>
      <c r="K566" s="7"/>
      <c r="L566" s="7"/>
      <c r="M566" s="7"/>
      <c r="N566" s="7"/>
      <c r="O566" s="7"/>
      <c r="P566" s="29"/>
      <c r="Q566" s="29"/>
      <c r="R566" s="7"/>
      <c r="S566" s="7"/>
      <c r="T566" s="7" t="str">
        <f ca="1">IFERROR(__xludf.DUMMYFUNCTION("SPARKLINE({
IF(D566="""",0,D566),
IF(F566="""",0,F566),
IF(H566="""",0,H566),
IF(J566="""",0,J566),
IF(L566="""",0,L566),
IF(N566="""",0,N566),
IF(P566="""",0,P566)
})"),"")</f>
        <v/>
      </c>
      <c r="U566" s="7" t="str">
        <f ca="1">IFERROR(__xludf.DUMMYFUNCTION("SPARKLINE({
IF(E566="""",0,E566),
IF(G566="""",0,G566),
IF(I566="""",0,I566),
IF(K566="""",0,K566),
IF(M566="""",0,M566),
IF(O566="""",0,O566),
IF(Q566="""",0,Q566)
})"),"")</f>
        <v/>
      </c>
      <c r="V566" s="8" t="e">
        <f t="array" aca="1" ref="V566" ca="1">IF($C$4="Giao",_xludf.Xlookup(C566,#REF!,#REF!,),_xludf.Xlookup(C566,#REF!,#REF!,))</f>
        <v>#NAME?</v>
      </c>
      <c r="W566" s="8" t="e">
        <f t="array" aca="1" ref="W566" ca="1">IF($C$4="Giao", _xludf.Xlookup(C566,#REF!,#REF!,),)</f>
        <v>#NAME?</v>
      </c>
      <c r="X566" s="9" t="e">
        <f t="shared" ca="1" si="8"/>
        <v>#NAME?</v>
      </c>
      <c r="Y566" s="7"/>
      <c r="Z566" s="7"/>
    </row>
    <row r="567" spans="1:26" ht="13" x14ac:dyDescent="0.6">
      <c r="A567" s="28" t="str">
        <f t="shared" si="7"/>
        <v/>
      </c>
      <c r="B567" s="7"/>
      <c r="C567" s="7"/>
      <c r="D567" s="9"/>
      <c r="E567" s="9"/>
      <c r="F567" s="7"/>
      <c r="G567" s="7"/>
      <c r="H567" s="7"/>
      <c r="I567" s="7"/>
      <c r="J567" s="7"/>
      <c r="K567" s="7"/>
      <c r="L567" s="7"/>
      <c r="M567" s="7"/>
      <c r="N567" s="7"/>
      <c r="O567" s="7"/>
      <c r="P567" s="29"/>
      <c r="Q567" s="29"/>
      <c r="R567" s="7"/>
      <c r="S567" s="7"/>
      <c r="T567" s="7" t="str">
        <f ca="1">IFERROR(__xludf.DUMMYFUNCTION("SPARKLINE({
IF(D567="""",0,D567),
IF(F567="""",0,F567),
IF(H567="""",0,H567),
IF(J567="""",0,J567),
IF(L567="""",0,L567),
IF(N567="""",0,N567),
IF(P567="""",0,P567)
})"),"")</f>
        <v/>
      </c>
      <c r="U567" s="7" t="str">
        <f ca="1">IFERROR(__xludf.DUMMYFUNCTION("SPARKLINE({
IF(E567="""",0,E567),
IF(G567="""",0,G567),
IF(I567="""",0,I567),
IF(K567="""",0,K567),
IF(M567="""",0,M567),
IF(O567="""",0,O567),
IF(Q567="""",0,Q567)
})"),"")</f>
        <v/>
      </c>
      <c r="V567" s="8" t="e">
        <f t="array" aca="1" ref="V567" ca="1">IF($C$4="Giao",_xludf.Xlookup(C567,#REF!,#REF!,),_xludf.Xlookup(C567,#REF!,#REF!,))</f>
        <v>#NAME?</v>
      </c>
      <c r="W567" s="8" t="e">
        <f t="array" aca="1" ref="W567" ca="1">IF($C$4="Giao", _xludf.Xlookup(C567,#REF!,#REF!,),)</f>
        <v>#NAME?</v>
      </c>
      <c r="X567" s="9" t="e">
        <f t="shared" ca="1" si="8"/>
        <v>#NAME?</v>
      </c>
      <c r="Y567" s="7"/>
      <c r="Z567" s="7"/>
    </row>
    <row r="568" spans="1:26" ht="13" x14ac:dyDescent="0.6">
      <c r="A568" s="28" t="str">
        <f t="shared" si="7"/>
        <v/>
      </c>
      <c r="B568" s="7"/>
      <c r="C568" s="7"/>
      <c r="D568" s="9"/>
      <c r="E568" s="9"/>
      <c r="F568" s="7"/>
      <c r="G568" s="7"/>
      <c r="H568" s="7"/>
      <c r="I568" s="7"/>
      <c r="J568" s="7"/>
      <c r="K568" s="7"/>
      <c r="L568" s="7"/>
      <c r="M568" s="7"/>
      <c r="N568" s="7"/>
      <c r="O568" s="7"/>
      <c r="P568" s="29"/>
      <c r="Q568" s="29"/>
      <c r="R568" s="7"/>
      <c r="S568" s="7"/>
      <c r="T568" s="7" t="str">
        <f ca="1">IFERROR(__xludf.DUMMYFUNCTION("SPARKLINE({
IF(D568="""",0,D568),
IF(F568="""",0,F568),
IF(H568="""",0,H568),
IF(J568="""",0,J568),
IF(L568="""",0,L568),
IF(N568="""",0,N568),
IF(P568="""",0,P568)
})"),"")</f>
        <v/>
      </c>
      <c r="U568" s="7" t="str">
        <f ca="1">IFERROR(__xludf.DUMMYFUNCTION("SPARKLINE({
IF(E568="""",0,E568),
IF(G568="""",0,G568),
IF(I568="""",0,I568),
IF(K568="""",0,K568),
IF(M568="""",0,M568),
IF(O568="""",0,O568),
IF(Q568="""",0,Q568)
})"),"")</f>
        <v/>
      </c>
      <c r="V568" s="8" t="e">
        <f t="array" aca="1" ref="V568" ca="1">IF($C$4="Giao",_xludf.Xlookup(C568,#REF!,#REF!,),_xludf.Xlookup(C568,#REF!,#REF!,))</f>
        <v>#NAME?</v>
      </c>
      <c r="W568" s="8" t="e">
        <f t="array" aca="1" ref="W568" ca="1">IF($C$4="Giao", _xludf.Xlookup(C568,#REF!,#REF!,),)</f>
        <v>#NAME?</v>
      </c>
      <c r="X568" s="9" t="e">
        <f t="shared" ca="1" si="8"/>
        <v>#NAME?</v>
      </c>
      <c r="Y568" s="7"/>
      <c r="Z568" s="7"/>
    </row>
    <row r="569" spans="1:26" ht="13" x14ac:dyDescent="0.6">
      <c r="A569" s="28" t="str">
        <f t="shared" si="7"/>
        <v/>
      </c>
      <c r="B569" s="7"/>
      <c r="C569" s="7"/>
      <c r="D569" s="9"/>
      <c r="E569" s="9"/>
      <c r="F569" s="7"/>
      <c r="G569" s="7"/>
      <c r="H569" s="7"/>
      <c r="I569" s="7"/>
      <c r="J569" s="7"/>
      <c r="K569" s="7"/>
      <c r="L569" s="7"/>
      <c r="M569" s="7"/>
      <c r="N569" s="7"/>
      <c r="O569" s="7"/>
      <c r="P569" s="29"/>
      <c r="Q569" s="29"/>
      <c r="R569" s="7"/>
      <c r="S569" s="7"/>
      <c r="T569" s="7" t="str">
        <f ca="1">IFERROR(__xludf.DUMMYFUNCTION("SPARKLINE({
IF(D569="""",0,D569),
IF(F569="""",0,F569),
IF(H569="""",0,H569),
IF(J569="""",0,J569),
IF(L569="""",0,L569),
IF(N569="""",0,N569),
IF(P569="""",0,P569)
})"),"")</f>
        <v/>
      </c>
      <c r="U569" s="7" t="str">
        <f ca="1">IFERROR(__xludf.DUMMYFUNCTION("SPARKLINE({
IF(E569="""",0,E569),
IF(G569="""",0,G569),
IF(I569="""",0,I569),
IF(K569="""",0,K569),
IF(M569="""",0,M569),
IF(O569="""",0,O569),
IF(Q569="""",0,Q569)
})"),"")</f>
        <v/>
      </c>
      <c r="V569" s="8" t="e">
        <f t="array" aca="1" ref="V569" ca="1">IF($C$4="Giao",_xludf.Xlookup(C569,#REF!,#REF!,),_xludf.Xlookup(C569,#REF!,#REF!,))</f>
        <v>#NAME?</v>
      </c>
      <c r="W569" s="8" t="e">
        <f t="array" aca="1" ref="W569" ca="1">IF($C$4="Giao", _xludf.Xlookup(C569,#REF!,#REF!,),)</f>
        <v>#NAME?</v>
      </c>
      <c r="X569" s="9" t="e">
        <f t="shared" ca="1" si="8"/>
        <v>#NAME?</v>
      </c>
      <c r="Y569" s="7"/>
      <c r="Z569" s="7"/>
    </row>
    <row r="570" spans="1:26" ht="13" x14ac:dyDescent="0.6">
      <c r="A570" s="28" t="str">
        <f t="shared" si="7"/>
        <v/>
      </c>
      <c r="B570" s="7"/>
      <c r="C570" s="7"/>
      <c r="D570" s="9"/>
      <c r="E570" s="9"/>
      <c r="F570" s="7"/>
      <c r="G570" s="7"/>
      <c r="H570" s="7"/>
      <c r="I570" s="7"/>
      <c r="J570" s="7"/>
      <c r="K570" s="7"/>
      <c r="L570" s="7"/>
      <c r="M570" s="7"/>
      <c r="N570" s="7"/>
      <c r="O570" s="7"/>
      <c r="P570" s="29"/>
      <c r="Q570" s="29"/>
      <c r="R570" s="7"/>
      <c r="S570" s="7"/>
      <c r="T570" s="7" t="str">
        <f ca="1">IFERROR(__xludf.DUMMYFUNCTION("SPARKLINE({
IF(D570="""",0,D570),
IF(F570="""",0,F570),
IF(H570="""",0,H570),
IF(J570="""",0,J570),
IF(L570="""",0,L570),
IF(N570="""",0,N570),
IF(P570="""",0,P570)
})"),"")</f>
        <v/>
      </c>
      <c r="U570" s="7" t="str">
        <f ca="1">IFERROR(__xludf.DUMMYFUNCTION("SPARKLINE({
IF(E570="""",0,E570),
IF(G570="""",0,G570),
IF(I570="""",0,I570),
IF(K570="""",0,K570),
IF(M570="""",0,M570),
IF(O570="""",0,O570),
IF(Q570="""",0,Q570)
})"),"")</f>
        <v/>
      </c>
      <c r="V570" s="8" t="e">
        <f t="array" aca="1" ref="V570" ca="1">IF($C$4="Giao",_xludf.Xlookup(C570,#REF!,#REF!,),_xludf.Xlookup(C570,#REF!,#REF!,))</f>
        <v>#NAME?</v>
      </c>
      <c r="W570" s="8" t="e">
        <f t="array" aca="1" ref="W570" ca="1">IF($C$4="Giao", _xludf.Xlookup(C570,#REF!,#REF!,),)</f>
        <v>#NAME?</v>
      </c>
      <c r="X570" s="9" t="e">
        <f t="shared" ca="1" si="8"/>
        <v>#NAME?</v>
      </c>
      <c r="Y570" s="7"/>
      <c r="Z570" s="7"/>
    </row>
    <row r="571" spans="1:26" ht="13" x14ac:dyDescent="0.6">
      <c r="A571" s="28" t="str">
        <f t="shared" si="7"/>
        <v/>
      </c>
      <c r="B571" s="7"/>
      <c r="C571" s="7"/>
      <c r="D571" s="9"/>
      <c r="E571" s="9"/>
      <c r="F571" s="7"/>
      <c r="G571" s="7"/>
      <c r="H571" s="7"/>
      <c r="I571" s="7"/>
      <c r="J571" s="7"/>
      <c r="K571" s="7"/>
      <c r="L571" s="7"/>
      <c r="M571" s="7"/>
      <c r="N571" s="7"/>
      <c r="O571" s="7"/>
      <c r="P571" s="29"/>
      <c r="Q571" s="29"/>
      <c r="R571" s="7"/>
      <c r="S571" s="7"/>
      <c r="T571" s="7" t="str">
        <f ca="1">IFERROR(__xludf.DUMMYFUNCTION("SPARKLINE({
IF(D571="""",0,D571),
IF(F571="""",0,F571),
IF(H571="""",0,H571),
IF(J571="""",0,J571),
IF(L571="""",0,L571),
IF(N571="""",0,N571),
IF(P571="""",0,P571)
})"),"")</f>
        <v/>
      </c>
      <c r="U571" s="7" t="str">
        <f ca="1">IFERROR(__xludf.DUMMYFUNCTION("SPARKLINE({
IF(E571="""",0,E571),
IF(G571="""",0,G571),
IF(I571="""",0,I571),
IF(K571="""",0,K571),
IF(M571="""",0,M571),
IF(O571="""",0,O571),
IF(Q571="""",0,Q571)
})"),"")</f>
        <v/>
      </c>
      <c r="V571" s="8" t="e">
        <f t="array" aca="1" ref="V571" ca="1">IF($C$4="Giao",_xludf.Xlookup(C571,#REF!,#REF!,),_xludf.Xlookup(C571,#REF!,#REF!,))</f>
        <v>#NAME?</v>
      </c>
      <c r="W571" s="8" t="e">
        <f t="array" aca="1" ref="W571" ca="1">IF($C$4="Giao", _xludf.Xlookup(C571,#REF!,#REF!,),)</f>
        <v>#NAME?</v>
      </c>
      <c r="X571" s="9" t="e">
        <f t="shared" ca="1" si="8"/>
        <v>#NAME?</v>
      </c>
      <c r="Y571" s="7"/>
      <c r="Z571" s="7"/>
    </row>
    <row r="572" spans="1:26" ht="13" x14ac:dyDescent="0.6">
      <c r="A572" s="28" t="str">
        <f t="shared" si="7"/>
        <v/>
      </c>
      <c r="B572" s="7"/>
      <c r="C572" s="7"/>
      <c r="D572" s="9"/>
      <c r="E572" s="9"/>
      <c r="F572" s="7"/>
      <c r="G572" s="7"/>
      <c r="H572" s="7"/>
      <c r="I572" s="7"/>
      <c r="J572" s="7"/>
      <c r="K572" s="7"/>
      <c r="L572" s="7"/>
      <c r="M572" s="7"/>
      <c r="N572" s="7"/>
      <c r="O572" s="7"/>
      <c r="P572" s="29"/>
      <c r="Q572" s="29"/>
      <c r="R572" s="7"/>
      <c r="S572" s="7"/>
      <c r="T572" s="7" t="str">
        <f ca="1">IFERROR(__xludf.DUMMYFUNCTION("SPARKLINE({
IF(D572="""",0,D572),
IF(F572="""",0,F572),
IF(H572="""",0,H572),
IF(J572="""",0,J572),
IF(L572="""",0,L572),
IF(N572="""",0,N572),
IF(P572="""",0,P572)
})"),"")</f>
        <v/>
      </c>
      <c r="U572" s="7" t="str">
        <f ca="1">IFERROR(__xludf.DUMMYFUNCTION("SPARKLINE({
IF(E572="""",0,E572),
IF(G572="""",0,G572),
IF(I572="""",0,I572),
IF(K572="""",0,K572),
IF(M572="""",0,M572),
IF(O572="""",0,O572),
IF(Q572="""",0,Q572)
})"),"")</f>
        <v/>
      </c>
      <c r="V572" s="8" t="e">
        <f t="array" aca="1" ref="V572" ca="1">IF($C$4="Giao",_xludf.Xlookup(C572,#REF!,#REF!,),_xludf.Xlookup(C572,#REF!,#REF!,))</f>
        <v>#NAME?</v>
      </c>
      <c r="W572" s="8" t="e">
        <f t="array" aca="1" ref="W572" ca="1">IF($C$4="Giao", _xludf.Xlookup(C572,#REF!,#REF!,),)</f>
        <v>#NAME?</v>
      </c>
      <c r="X572" s="9" t="e">
        <f t="shared" ca="1" si="8"/>
        <v>#NAME?</v>
      </c>
      <c r="Y572" s="7"/>
      <c r="Z572" s="7"/>
    </row>
    <row r="573" spans="1:26" ht="13" x14ac:dyDescent="0.6">
      <c r="A573" s="28" t="str">
        <f t="shared" si="7"/>
        <v/>
      </c>
      <c r="B573" s="7"/>
      <c r="C573" s="7"/>
      <c r="D573" s="9"/>
      <c r="E573" s="9"/>
      <c r="F573" s="7"/>
      <c r="G573" s="7"/>
      <c r="H573" s="7"/>
      <c r="I573" s="7"/>
      <c r="J573" s="7"/>
      <c r="K573" s="7"/>
      <c r="L573" s="7"/>
      <c r="M573" s="7"/>
      <c r="N573" s="7"/>
      <c r="O573" s="7"/>
      <c r="P573" s="29"/>
      <c r="Q573" s="29"/>
      <c r="R573" s="7"/>
      <c r="S573" s="7"/>
      <c r="T573" s="7" t="str">
        <f ca="1">IFERROR(__xludf.DUMMYFUNCTION("SPARKLINE({
IF(D573="""",0,D573),
IF(F573="""",0,F573),
IF(H573="""",0,H573),
IF(J573="""",0,J573),
IF(L573="""",0,L573),
IF(N573="""",0,N573),
IF(P573="""",0,P573)
})"),"")</f>
        <v/>
      </c>
      <c r="U573" s="7" t="str">
        <f ca="1">IFERROR(__xludf.DUMMYFUNCTION("SPARKLINE({
IF(E573="""",0,E573),
IF(G573="""",0,G573),
IF(I573="""",0,I573),
IF(K573="""",0,K573),
IF(M573="""",0,M573),
IF(O573="""",0,O573),
IF(Q573="""",0,Q573)
})"),"")</f>
        <v/>
      </c>
      <c r="V573" s="8" t="e">
        <f t="array" aca="1" ref="V573" ca="1">IF($C$4="Giao",_xludf.Xlookup(C573,#REF!,#REF!,),_xludf.Xlookup(C573,#REF!,#REF!,))</f>
        <v>#NAME?</v>
      </c>
      <c r="W573" s="8" t="e">
        <f t="array" aca="1" ref="W573" ca="1">IF($C$4="Giao", _xludf.Xlookup(C573,#REF!,#REF!,),)</f>
        <v>#NAME?</v>
      </c>
      <c r="X573" s="9" t="e">
        <f t="shared" ca="1" si="8"/>
        <v>#NAME?</v>
      </c>
      <c r="Y573" s="7"/>
      <c r="Z573" s="7"/>
    </row>
    <row r="574" spans="1:26" ht="13" x14ac:dyDescent="0.6">
      <c r="A574" s="28" t="str">
        <f t="shared" si="7"/>
        <v/>
      </c>
      <c r="B574" s="7"/>
      <c r="C574" s="7"/>
      <c r="D574" s="9"/>
      <c r="E574" s="9"/>
      <c r="F574" s="7"/>
      <c r="G574" s="7"/>
      <c r="H574" s="7"/>
      <c r="I574" s="7"/>
      <c r="J574" s="7"/>
      <c r="K574" s="7"/>
      <c r="L574" s="7"/>
      <c r="M574" s="7"/>
      <c r="N574" s="7"/>
      <c r="O574" s="7"/>
      <c r="P574" s="29"/>
      <c r="Q574" s="29"/>
      <c r="R574" s="7"/>
      <c r="S574" s="7"/>
      <c r="T574" s="7" t="str">
        <f ca="1">IFERROR(__xludf.DUMMYFUNCTION("SPARKLINE({
IF(D574="""",0,D574),
IF(F574="""",0,F574),
IF(H574="""",0,H574),
IF(J574="""",0,J574),
IF(L574="""",0,L574),
IF(N574="""",0,N574),
IF(P574="""",0,P574)
})"),"")</f>
        <v/>
      </c>
      <c r="U574" s="7" t="str">
        <f ca="1">IFERROR(__xludf.DUMMYFUNCTION("SPARKLINE({
IF(E574="""",0,E574),
IF(G574="""",0,G574),
IF(I574="""",0,I574),
IF(K574="""",0,K574),
IF(M574="""",0,M574),
IF(O574="""",0,O574),
IF(Q574="""",0,Q574)
})"),"")</f>
        <v/>
      </c>
      <c r="V574" s="8" t="e">
        <f t="array" aca="1" ref="V574" ca="1">IF($C$4="Giao",_xludf.Xlookup(C574,#REF!,#REF!,),_xludf.Xlookup(C574,#REF!,#REF!,))</f>
        <v>#NAME?</v>
      </c>
      <c r="W574" s="8" t="e">
        <f t="array" aca="1" ref="W574" ca="1">IF($C$4="Giao", _xludf.Xlookup(C574,#REF!,#REF!,),)</f>
        <v>#NAME?</v>
      </c>
      <c r="X574" s="9" t="e">
        <f t="shared" ca="1" si="8"/>
        <v>#NAME?</v>
      </c>
      <c r="Y574" s="7"/>
      <c r="Z574" s="7"/>
    </row>
    <row r="575" spans="1:26" ht="13" x14ac:dyDescent="0.6">
      <c r="A575" s="28" t="str">
        <f t="shared" si="7"/>
        <v/>
      </c>
      <c r="B575" s="7"/>
      <c r="C575" s="7"/>
      <c r="D575" s="9"/>
      <c r="E575" s="9"/>
      <c r="F575" s="7"/>
      <c r="G575" s="7"/>
      <c r="H575" s="7"/>
      <c r="I575" s="7"/>
      <c r="J575" s="7"/>
      <c r="K575" s="7"/>
      <c r="L575" s="7"/>
      <c r="M575" s="7"/>
      <c r="N575" s="7"/>
      <c r="O575" s="7"/>
      <c r="P575" s="29"/>
      <c r="Q575" s="29"/>
      <c r="R575" s="7"/>
      <c r="S575" s="7"/>
      <c r="T575" s="7" t="str">
        <f ca="1">IFERROR(__xludf.DUMMYFUNCTION("SPARKLINE({
IF(D575="""",0,D575),
IF(F575="""",0,F575),
IF(H575="""",0,H575),
IF(J575="""",0,J575),
IF(L575="""",0,L575),
IF(N575="""",0,N575),
IF(P575="""",0,P575)
})"),"")</f>
        <v/>
      </c>
      <c r="U575" s="7" t="str">
        <f ca="1">IFERROR(__xludf.DUMMYFUNCTION("SPARKLINE({
IF(E575="""",0,E575),
IF(G575="""",0,G575),
IF(I575="""",0,I575),
IF(K575="""",0,K575),
IF(M575="""",0,M575),
IF(O575="""",0,O575),
IF(Q575="""",0,Q575)
})"),"")</f>
        <v/>
      </c>
      <c r="V575" s="8" t="e">
        <f t="array" aca="1" ref="V575" ca="1">IF($C$4="Giao",_xludf.Xlookup(C575,#REF!,#REF!,),_xludf.Xlookup(C575,#REF!,#REF!,))</f>
        <v>#NAME?</v>
      </c>
      <c r="W575" s="8" t="e">
        <f t="array" aca="1" ref="W575" ca="1">IF($C$4="Giao", _xludf.Xlookup(C575,#REF!,#REF!,),)</f>
        <v>#NAME?</v>
      </c>
      <c r="X575" s="9" t="e">
        <f t="shared" ca="1" si="8"/>
        <v>#NAME?</v>
      </c>
      <c r="Y575" s="7"/>
      <c r="Z575" s="7"/>
    </row>
    <row r="576" spans="1:26" ht="13" x14ac:dyDescent="0.6">
      <c r="A576" s="28" t="str">
        <f t="shared" si="7"/>
        <v/>
      </c>
      <c r="B576" s="7"/>
      <c r="C576" s="7"/>
      <c r="D576" s="9"/>
      <c r="E576" s="9"/>
      <c r="F576" s="7"/>
      <c r="G576" s="7"/>
      <c r="H576" s="7"/>
      <c r="I576" s="7"/>
      <c r="J576" s="7"/>
      <c r="K576" s="7"/>
      <c r="L576" s="7"/>
      <c r="M576" s="7"/>
      <c r="N576" s="7"/>
      <c r="O576" s="7"/>
      <c r="P576" s="29"/>
      <c r="Q576" s="29"/>
      <c r="R576" s="7"/>
      <c r="S576" s="7"/>
      <c r="T576" s="7" t="str">
        <f ca="1">IFERROR(__xludf.DUMMYFUNCTION("SPARKLINE({
IF(D576="""",0,D576),
IF(F576="""",0,F576),
IF(H576="""",0,H576),
IF(J576="""",0,J576),
IF(L576="""",0,L576),
IF(N576="""",0,N576),
IF(P576="""",0,P576)
})"),"")</f>
        <v/>
      </c>
      <c r="U576" s="7" t="str">
        <f ca="1">IFERROR(__xludf.DUMMYFUNCTION("SPARKLINE({
IF(E576="""",0,E576),
IF(G576="""",0,G576),
IF(I576="""",0,I576),
IF(K576="""",0,K576),
IF(M576="""",0,M576),
IF(O576="""",0,O576),
IF(Q576="""",0,Q576)
})"),"")</f>
        <v/>
      </c>
      <c r="V576" s="8" t="e">
        <f t="array" aca="1" ref="V576" ca="1">IF($C$4="Giao",_xludf.Xlookup(C576,#REF!,#REF!,),_xludf.Xlookup(C576,#REF!,#REF!,))</f>
        <v>#NAME?</v>
      </c>
      <c r="W576" s="8" t="e">
        <f t="array" aca="1" ref="W576" ca="1">IF($C$4="Giao", _xludf.Xlookup(C576,#REF!,#REF!,),)</f>
        <v>#NAME?</v>
      </c>
      <c r="X576" s="9" t="e">
        <f t="shared" ca="1" si="8"/>
        <v>#NAME?</v>
      </c>
      <c r="Y576" s="7"/>
      <c r="Z576" s="7"/>
    </row>
    <row r="577" spans="1:26" ht="13" x14ac:dyDescent="0.6">
      <c r="A577" s="28" t="str">
        <f t="shared" si="7"/>
        <v/>
      </c>
      <c r="B577" s="7"/>
      <c r="C577" s="7"/>
      <c r="D577" s="9"/>
      <c r="E577" s="9"/>
      <c r="F577" s="7"/>
      <c r="G577" s="7"/>
      <c r="H577" s="7"/>
      <c r="I577" s="7"/>
      <c r="J577" s="7"/>
      <c r="K577" s="7"/>
      <c r="L577" s="7"/>
      <c r="M577" s="7"/>
      <c r="N577" s="7"/>
      <c r="O577" s="7"/>
      <c r="P577" s="29"/>
      <c r="Q577" s="29"/>
      <c r="R577" s="7"/>
      <c r="S577" s="7"/>
      <c r="T577" s="7" t="str">
        <f ca="1">IFERROR(__xludf.DUMMYFUNCTION("SPARKLINE({
IF(D577="""",0,D577),
IF(F577="""",0,F577),
IF(H577="""",0,H577),
IF(J577="""",0,J577),
IF(L577="""",0,L577),
IF(N577="""",0,N577),
IF(P577="""",0,P577)
})"),"")</f>
        <v/>
      </c>
      <c r="U577" s="7" t="str">
        <f ca="1">IFERROR(__xludf.DUMMYFUNCTION("SPARKLINE({
IF(E577="""",0,E577),
IF(G577="""",0,G577),
IF(I577="""",0,I577),
IF(K577="""",0,K577),
IF(M577="""",0,M577),
IF(O577="""",0,O577),
IF(Q577="""",0,Q577)
})"),"")</f>
        <v/>
      </c>
      <c r="V577" s="8" t="e">
        <f t="array" aca="1" ref="V577" ca="1">IF($C$4="Giao",_xludf.Xlookup(C577,#REF!,#REF!,),_xludf.Xlookup(C577,#REF!,#REF!,))</f>
        <v>#NAME?</v>
      </c>
      <c r="W577" s="8" t="e">
        <f t="array" aca="1" ref="W577" ca="1">IF($C$4="Giao", _xludf.Xlookup(C577,#REF!,#REF!,),)</f>
        <v>#NAME?</v>
      </c>
      <c r="X577" s="9" t="e">
        <f t="shared" ca="1" si="8"/>
        <v>#NAME?</v>
      </c>
      <c r="Y577" s="7"/>
      <c r="Z577" s="7"/>
    </row>
    <row r="578" spans="1:26" ht="13" x14ac:dyDescent="0.6">
      <c r="A578" s="28" t="str">
        <f t="shared" si="7"/>
        <v/>
      </c>
      <c r="B578" s="7"/>
      <c r="C578" s="7"/>
      <c r="D578" s="9"/>
      <c r="E578" s="9"/>
      <c r="F578" s="7"/>
      <c r="G578" s="7"/>
      <c r="H578" s="7"/>
      <c r="I578" s="7"/>
      <c r="J578" s="7"/>
      <c r="K578" s="7"/>
      <c r="L578" s="7"/>
      <c r="M578" s="7"/>
      <c r="N578" s="7"/>
      <c r="O578" s="7"/>
      <c r="P578" s="29"/>
      <c r="Q578" s="29"/>
      <c r="R578" s="7"/>
      <c r="S578" s="7"/>
      <c r="T578" s="7" t="str">
        <f ca="1">IFERROR(__xludf.DUMMYFUNCTION("SPARKLINE({
IF(D578="""",0,D578),
IF(F578="""",0,F578),
IF(H578="""",0,H578),
IF(J578="""",0,J578),
IF(L578="""",0,L578),
IF(N578="""",0,N578),
IF(P578="""",0,P578)
})"),"")</f>
        <v/>
      </c>
      <c r="U578" s="7" t="str">
        <f ca="1">IFERROR(__xludf.DUMMYFUNCTION("SPARKLINE({
IF(E578="""",0,E578),
IF(G578="""",0,G578),
IF(I578="""",0,I578),
IF(K578="""",0,K578),
IF(M578="""",0,M578),
IF(O578="""",0,O578),
IF(Q578="""",0,Q578)
})"),"")</f>
        <v/>
      </c>
      <c r="V578" s="8" t="e">
        <f t="array" aca="1" ref="V578" ca="1">IF($C$4="Giao",_xludf.Xlookup(C578,#REF!,#REF!,),_xludf.Xlookup(C578,#REF!,#REF!,))</f>
        <v>#NAME?</v>
      </c>
      <c r="W578" s="8" t="e">
        <f t="array" aca="1" ref="W578" ca="1">IF($C$4="Giao", _xludf.Xlookup(C578,#REF!,#REF!,),)</f>
        <v>#NAME?</v>
      </c>
      <c r="X578" s="9" t="e">
        <f t="shared" ca="1" si="8"/>
        <v>#NAME?</v>
      </c>
      <c r="Y578" s="7"/>
      <c r="Z578" s="7"/>
    </row>
    <row r="579" spans="1:26" ht="13" x14ac:dyDescent="0.6">
      <c r="A579" s="28" t="str">
        <f t="shared" si="7"/>
        <v/>
      </c>
      <c r="B579" s="7"/>
      <c r="C579" s="7"/>
      <c r="D579" s="9"/>
      <c r="E579" s="9"/>
      <c r="F579" s="7"/>
      <c r="G579" s="7"/>
      <c r="H579" s="7"/>
      <c r="I579" s="7"/>
      <c r="J579" s="7"/>
      <c r="K579" s="7"/>
      <c r="L579" s="7"/>
      <c r="M579" s="7"/>
      <c r="N579" s="7"/>
      <c r="O579" s="7"/>
      <c r="P579" s="29"/>
      <c r="Q579" s="29"/>
      <c r="R579" s="7"/>
      <c r="S579" s="7"/>
      <c r="T579" s="7" t="str">
        <f ca="1">IFERROR(__xludf.DUMMYFUNCTION("SPARKLINE({
IF(D579="""",0,D579),
IF(F579="""",0,F579),
IF(H579="""",0,H579),
IF(J579="""",0,J579),
IF(L579="""",0,L579),
IF(N579="""",0,N579),
IF(P579="""",0,P579)
})"),"")</f>
        <v/>
      </c>
      <c r="U579" s="7" t="str">
        <f ca="1">IFERROR(__xludf.DUMMYFUNCTION("SPARKLINE({
IF(E579="""",0,E579),
IF(G579="""",0,G579),
IF(I579="""",0,I579),
IF(K579="""",0,K579),
IF(M579="""",0,M579),
IF(O579="""",0,O579),
IF(Q579="""",0,Q579)
})"),"")</f>
        <v/>
      </c>
      <c r="V579" s="8" t="e">
        <f t="array" aca="1" ref="V579" ca="1">IF($C$4="Giao",_xludf.Xlookup(C579,#REF!,#REF!,),_xludf.Xlookup(C579,#REF!,#REF!,))</f>
        <v>#NAME?</v>
      </c>
      <c r="W579" s="8" t="e">
        <f t="array" aca="1" ref="W579" ca="1">IF($C$4="Giao", _xludf.Xlookup(C579,#REF!,#REF!,),)</f>
        <v>#NAME?</v>
      </c>
      <c r="X579" s="9" t="e">
        <f t="shared" ca="1" si="8"/>
        <v>#NAME?</v>
      </c>
      <c r="Y579" s="7"/>
      <c r="Z579" s="7"/>
    </row>
    <row r="580" spans="1:26" ht="13" x14ac:dyDescent="0.6">
      <c r="A580" s="28" t="str">
        <f t="shared" si="7"/>
        <v/>
      </c>
      <c r="B580" s="7"/>
      <c r="C580" s="7"/>
      <c r="D580" s="9"/>
      <c r="E580" s="9"/>
      <c r="F580" s="7"/>
      <c r="G580" s="7"/>
      <c r="H580" s="7"/>
      <c r="I580" s="7"/>
      <c r="J580" s="7"/>
      <c r="K580" s="7"/>
      <c r="L580" s="7"/>
      <c r="M580" s="7"/>
      <c r="N580" s="7"/>
      <c r="O580" s="7"/>
      <c r="P580" s="29"/>
      <c r="Q580" s="29"/>
      <c r="R580" s="7"/>
      <c r="S580" s="7"/>
      <c r="T580" s="7" t="str">
        <f ca="1">IFERROR(__xludf.DUMMYFUNCTION("SPARKLINE({
IF(D580="""",0,D580),
IF(F580="""",0,F580),
IF(H580="""",0,H580),
IF(J580="""",0,J580),
IF(L580="""",0,L580),
IF(N580="""",0,N580),
IF(P580="""",0,P580)
})"),"")</f>
        <v/>
      </c>
      <c r="U580" s="7" t="str">
        <f ca="1">IFERROR(__xludf.DUMMYFUNCTION("SPARKLINE({
IF(E580="""",0,E580),
IF(G580="""",0,G580),
IF(I580="""",0,I580),
IF(K580="""",0,K580),
IF(M580="""",0,M580),
IF(O580="""",0,O580),
IF(Q580="""",0,Q580)
})"),"")</f>
        <v/>
      </c>
      <c r="V580" s="8" t="e">
        <f t="array" aca="1" ref="V580" ca="1">IF($C$4="Giao",_xludf.Xlookup(C580,#REF!,#REF!,),_xludf.Xlookup(C580,#REF!,#REF!,))</f>
        <v>#NAME?</v>
      </c>
      <c r="W580" s="8" t="e">
        <f t="array" aca="1" ref="W580" ca="1">IF($C$4="Giao", _xludf.Xlookup(C580,#REF!,#REF!,),)</f>
        <v>#NAME?</v>
      </c>
      <c r="X580" s="9" t="e">
        <f t="shared" ca="1" si="8"/>
        <v>#NAME?</v>
      </c>
      <c r="Y580" s="7"/>
      <c r="Z580" s="7"/>
    </row>
    <row r="581" spans="1:26" ht="13" x14ac:dyDescent="0.6">
      <c r="A581" s="28" t="str">
        <f t="shared" si="7"/>
        <v/>
      </c>
      <c r="B581" s="7"/>
      <c r="C581" s="7"/>
      <c r="D581" s="9"/>
      <c r="E581" s="9"/>
      <c r="F581" s="7"/>
      <c r="G581" s="7"/>
      <c r="H581" s="7"/>
      <c r="I581" s="7"/>
      <c r="J581" s="7"/>
      <c r="K581" s="7"/>
      <c r="L581" s="7"/>
      <c r="M581" s="7"/>
      <c r="N581" s="7"/>
      <c r="O581" s="7"/>
      <c r="P581" s="29"/>
      <c r="Q581" s="29"/>
      <c r="R581" s="7"/>
      <c r="S581" s="7"/>
      <c r="T581" s="7" t="str">
        <f ca="1">IFERROR(__xludf.DUMMYFUNCTION("SPARKLINE({
IF(D581="""",0,D581),
IF(F581="""",0,F581),
IF(H581="""",0,H581),
IF(J581="""",0,J581),
IF(L581="""",0,L581),
IF(N581="""",0,N581),
IF(P581="""",0,P581)
})"),"")</f>
        <v/>
      </c>
      <c r="U581" s="7" t="str">
        <f ca="1">IFERROR(__xludf.DUMMYFUNCTION("SPARKLINE({
IF(E581="""",0,E581),
IF(G581="""",0,G581),
IF(I581="""",0,I581),
IF(K581="""",0,K581),
IF(M581="""",0,M581),
IF(O581="""",0,O581),
IF(Q581="""",0,Q581)
})"),"")</f>
        <v/>
      </c>
      <c r="V581" s="8" t="e">
        <f t="array" aca="1" ref="V581" ca="1">IF($C$4="Giao",_xludf.Xlookup(C581,#REF!,#REF!,),_xludf.Xlookup(C581,#REF!,#REF!,))</f>
        <v>#NAME?</v>
      </c>
      <c r="W581" s="8" t="e">
        <f t="array" aca="1" ref="W581" ca="1">IF($C$4="Giao", _xludf.Xlookup(C581,#REF!,#REF!,),)</f>
        <v>#NAME?</v>
      </c>
      <c r="X581" s="9" t="e">
        <f t="shared" ca="1" si="8"/>
        <v>#NAME?</v>
      </c>
      <c r="Y581" s="7"/>
      <c r="Z581" s="7"/>
    </row>
    <row r="582" spans="1:26" ht="13" x14ac:dyDescent="0.6">
      <c r="A582" s="28" t="str">
        <f t="shared" si="7"/>
        <v/>
      </c>
      <c r="B582" s="7"/>
      <c r="C582" s="7"/>
      <c r="D582" s="9"/>
      <c r="E582" s="9"/>
      <c r="F582" s="7"/>
      <c r="G582" s="7"/>
      <c r="H582" s="7"/>
      <c r="I582" s="7"/>
      <c r="J582" s="7"/>
      <c r="K582" s="7"/>
      <c r="L582" s="7"/>
      <c r="M582" s="7"/>
      <c r="N582" s="7"/>
      <c r="O582" s="7"/>
      <c r="P582" s="29"/>
      <c r="Q582" s="29"/>
      <c r="R582" s="7"/>
      <c r="S582" s="7"/>
      <c r="T582" s="7" t="str">
        <f ca="1">IFERROR(__xludf.DUMMYFUNCTION("SPARKLINE({
IF(D582="""",0,D582),
IF(F582="""",0,F582),
IF(H582="""",0,H582),
IF(J582="""",0,J582),
IF(L582="""",0,L582),
IF(N582="""",0,N582),
IF(P582="""",0,P582)
})"),"")</f>
        <v/>
      </c>
      <c r="U582" s="7" t="str">
        <f ca="1">IFERROR(__xludf.DUMMYFUNCTION("SPARKLINE({
IF(E582="""",0,E582),
IF(G582="""",0,G582),
IF(I582="""",0,I582),
IF(K582="""",0,K582),
IF(M582="""",0,M582),
IF(O582="""",0,O582),
IF(Q582="""",0,Q582)
})"),"")</f>
        <v/>
      </c>
      <c r="V582" s="8" t="e">
        <f t="array" aca="1" ref="V582" ca="1">IF($C$4="Giao",_xludf.Xlookup(C582,#REF!,#REF!,),_xludf.Xlookup(C582,#REF!,#REF!,))</f>
        <v>#NAME?</v>
      </c>
      <c r="W582" s="8" t="e">
        <f t="array" aca="1" ref="W582" ca="1">IF($C$4="Giao", _xludf.Xlookup(C582,#REF!,#REF!,),)</f>
        <v>#NAME?</v>
      </c>
      <c r="X582" s="9" t="e">
        <f t="shared" ca="1" si="8"/>
        <v>#NAME?</v>
      </c>
      <c r="Y582" s="7"/>
      <c r="Z582" s="7"/>
    </row>
    <row r="583" spans="1:26" ht="13" x14ac:dyDescent="0.6">
      <c r="A583" s="28" t="str">
        <f t="shared" si="7"/>
        <v/>
      </c>
      <c r="B583" s="7"/>
      <c r="C583" s="7"/>
      <c r="D583" s="9"/>
      <c r="E583" s="9"/>
      <c r="F583" s="7"/>
      <c r="G583" s="7"/>
      <c r="H583" s="7"/>
      <c r="I583" s="7"/>
      <c r="J583" s="7"/>
      <c r="K583" s="7"/>
      <c r="L583" s="7"/>
      <c r="M583" s="7"/>
      <c r="N583" s="7"/>
      <c r="O583" s="7"/>
      <c r="P583" s="29"/>
      <c r="Q583" s="29"/>
      <c r="R583" s="7"/>
      <c r="S583" s="7"/>
      <c r="T583" s="7" t="str">
        <f ca="1">IFERROR(__xludf.DUMMYFUNCTION("SPARKLINE({
IF(D583="""",0,D583),
IF(F583="""",0,F583),
IF(H583="""",0,H583),
IF(J583="""",0,J583),
IF(L583="""",0,L583),
IF(N583="""",0,N583),
IF(P583="""",0,P583)
})"),"")</f>
        <v/>
      </c>
      <c r="U583" s="7" t="str">
        <f ca="1">IFERROR(__xludf.DUMMYFUNCTION("SPARKLINE({
IF(E583="""",0,E583),
IF(G583="""",0,G583),
IF(I583="""",0,I583),
IF(K583="""",0,K583),
IF(M583="""",0,M583),
IF(O583="""",0,O583),
IF(Q583="""",0,Q583)
})"),"")</f>
        <v/>
      </c>
      <c r="V583" s="8" t="e">
        <f t="array" aca="1" ref="V583" ca="1">IF($C$4="Giao",_xludf.Xlookup(C583,#REF!,#REF!,),_xludf.Xlookup(C583,#REF!,#REF!,))</f>
        <v>#NAME?</v>
      </c>
      <c r="W583" s="8" t="e">
        <f t="array" aca="1" ref="W583" ca="1">IF($C$4="Giao", _xludf.Xlookup(C583,#REF!,#REF!,),)</f>
        <v>#NAME?</v>
      </c>
      <c r="X583" s="9" t="e">
        <f t="shared" ca="1" si="8"/>
        <v>#NAME?</v>
      </c>
      <c r="Y583" s="7"/>
      <c r="Z583" s="7"/>
    </row>
    <row r="584" spans="1:26" ht="13" x14ac:dyDescent="0.6">
      <c r="A584" s="28" t="str">
        <f t="shared" si="7"/>
        <v/>
      </c>
      <c r="B584" s="7"/>
      <c r="C584" s="7"/>
      <c r="D584" s="9"/>
      <c r="E584" s="9"/>
      <c r="F584" s="7"/>
      <c r="G584" s="7"/>
      <c r="H584" s="7"/>
      <c r="I584" s="7"/>
      <c r="J584" s="7"/>
      <c r="K584" s="7"/>
      <c r="L584" s="7"/>
      <c r="M584" s="7"/>
      <c r="N584" s="7"/>
      <c r="O584" s="7"/>
      <c r="P584" s="29"/>
      <c r="Q584" s="29"/>
      <c r="R584" s="7"/>
      <c r="S584" s="7"/>
      <c r="T584" s="7" t="str">
        <f ca="1">IFERROR(__xludf.DUMMYFUNCTION("SPARKLINE({
IF(D584="""",0,D584),
IF(F584="""",0,F584),
IF(H584="""",0,H584),
IF(J584="""",0,J584),
IF(L584="""",0,L584),
IF(N584="""",0,N584),
IF(P584="""",0,P584)
})"),"")</f>
        <v/>
      </c>
      <c r="U584" s="7" t="str">
        <f ca="1">IFERROR(__xludf.DUMMYFUNCTION("SPARKLINE({
IF(E584="""",0,E584),
IF(G584="""",0,G584),
IF(I584="""",0,I584),
IF(K584="""",0,K584),
IF(M584="""",0,M584),
IF(O584="""",0,O584),
IF(Q584="""",0,Q584)
})"),"")</f>
        <v/>
      </c>
      <c r="V584" s="8" t="e">
        <f t="array" aca="1" ref="V584" ca="1">IF($C$4="Giao",_xludf.Xlookup(C584,#REF!,#REF!,),_xludf.Xlookup(C584,#REF!,#REF!,))</f>
        <v>#NAME?</v>
      </c>
      <c r="W584" s="8" t="e">
        <f t="array" aca="1" ref="W584" ca="1">IF($C$4="Giao", _xludf.Xlookup(C584,#REF!,#REF!,),)</f>
        <v>#NAME?</v>
      </c>
      <c r="X584" s="9" t="e">
        <f t="shared" ca="1" si="8"/>
        <v>#NAME?</v>
      </c>
      <c r="Y584" s="7"/>
      <c r="Z584" s="7"/>
    </row>
    <row r="585" spans="1:26" ht="13" x14ac:dyDescent="0.6">
      <c r="A585" s="28" t="str">
        <f t="shared" si="7"/>
        <v/>
      </c>
      <c r="B585" s="7"/>
      <c r="C585" s="7"/>
      <c r="D585" s="9"/>
      <c r="E585" s="9"/>
      <c r="F585" s="7"/>
      <c r="G585" s="7"/>
      <c r="H585" s="7"/>
      <c r="I585" s="7"/>
      <c r="J585" s="7"/>
      <c r="K585" s="7"/>
      <c r="L585" s="7"/>
      <c r="M585" s="7"/>
      <c r="N585" s="7"/>
      <c r="O585" s="7"/>
      <c r="P585" s="29"/>
      <c r="Q585" s="29"/>
      <c r="R585" s="7"/>
      <c r="S585" s="7"/>
      <c r="T585" s="7" t="str">
        <f ca="1">IFERROR(__xludf.DUMMYFUNCTION("SPARKLINE({
IF(D585="""",0,D585),
IF(F585="""",0,F585),
IF(H585="""",0,H585),
IF(J585="""",0,J585),
IF(L585="""",0,L585),
IF(N585="""",0,N585),
IF(P585="""",0,P585)
})"),"")</f>
        <v/>
      </c>
      <c r="U585" s="7" t="str">
        <f ca="1">IFERROR(__xludf.DUMMYFUNCTION("SPARKLINE({
IF(E585="""",0,E585),
IF(G585="""",0,G585),
IF(I585="""",0,I585),
IF(K585="""",0,K585),
IF(M585="""",0,M585),
IF(O585="""",0,O585),
IF(Q585="""",0,Q585)
})"),"")</f>
        <v/>
      </c>
      <c r="V585" s="8" t="e">
        <f t="array" aca="1" ref="V585" ca="1">IF($C$4="Giao",_xludf.Xlookup(C585,#REF!,#REF!,),_xludf.Xlookup(C585,#REF!,#REF!,))</f>
        <v>#NAME?</v>
      </c>
      <c r="W585" s="8" t="e">
        <f t="array" aca="1" ref="W585" ca="1">IF($C$4="Giao", _xludf.Xlookup(C585,#REF!,#REF!,),)</f>
        <v>#NAME?</v>
      </c>
      <c r="X585" s="9" t="e">
        <f t="shared" ca="1" si="8"/>
        <v>#NAME?</v>
      </c>
      <c r="Y585" s="7"/>
      <c r="Z585" s="7"/>
    </row>
    <row r="586" spans="1:26" ht="13" x14ac:dyDescent="0.6">
      <c r="A586" s="28" t="str">
        <f t="shared" si="7"/>
        <v/>
      </c>
      <c r="B586" s="7"/>
      <c r="C586" s="7"/>
      <c r="D586" s="9"/>
      <c r="E586" s="9"/>
      <c r="F586" s="7"/>
      <c r="G586" s="7"/>
      <c r="H586" s="7"/>
      <c r="I586" s="7"/>
      <c r="J586" s="7"/>
      <c r="K586" s="7"/>
      <c r="L586" s="7"/>
      <c r="M586" s="7"/>
      <c r="N586" s="7"/>
      <c r="O586" s="7"/>
      <c r="P586" s="29"/>
      <c r="Q586" s="29"/>
      <c r="R586" s="7"/>
      <c r="S586" s="7"/>
      <c r="T586" s="7" t="str">
        <f ca="1">IFERROR(__xludf.DUMMYFUNCTION("SPARKLINE({
IF(D586="""",0,D586),
IF(F586="""",0,F586),
IF(H586="""",0,H586),
IF(J586="""",0,J586),
IF(L586="""",0,L586),
IF(N586="""",0,N586),
IF(P586="""",0,P586)
})"),"")</f>
        <v/>
      </c>
      <c r="U586" s="7" t="str">
        <f ca="1">IFERROR(__xludf.DUMMYFUNCTION("SPARKLINE({
IF(E586="""",0,E586),
IF(G586="""",0,G586),
IF(I586="""",0,I586),
IF(K586="""",0,K586),
IF(M586="""",0,M586),
IF(O586="""",0,O586),
IF(Q586="""",0,Q586)
})"),"")</f>
        <v/>
      </c>
      <c r="V586" s="8" t="e">
        <f t="array" aca="1" ref="V586" ca="1">IF($C$4="Giao",_xludf.Xlookup(C586,#REF!,#REF!,),_xludf.Xlookup(C586,#REF!,#REF!,))</f>
        <v>#NAME?</v>
      </c>
      <c r="W586" s="8" t="e">
        <f t="array" aca="1" ref="W586" ca="1">IF($C$4="Giao", _xludf.Xlookup(C586,#REF!,#REF!,),)</f>
        <v>#NAME?</v>
      </c>
      <c r="X586" s="9" t="e">
        <f t="shared" ca="1" si="8"/>
        <v>#NAME?</v>
      </c>
      <c r="Y586" s="7"/>
      <c r="Z586" s="7"/>
    </row>
    <row r="587" spans="1:26" ht="13" x14ac:dyDescent="0.6">
      <c r="A587" s="28" t="str">
        <f t="shared" si="7"/>
        <v/>
      </c>
      <c r="B587" s="7"/>
      <c r="C587" s="7"/>
      <c r="D587" s="9"/>
      <c r="E587" s="9"/>
      <c r="F587" s="7"/>
      <c r="G587" s="7"/>
      <c r="H587" s="7"/>
      <c r="I587" s="7"/>
      <c r="J587" s="7"/>
      <c r="K587" s="7"/>
      <c r="L587" s="7"/>
      <c r="M587" s="7"/>
      <c r="N587" s="7"/>
      <c r="O587" s="7"/>
      <c r="P587" s="29"/>
      <c r="Q587" s="29"/>
      <c r="R587" s="7"/>
      <c r="S587" s="7"/>
      <c r="T587" s="7" t="str">
        <f ca="1">IFERROR(__xludf.DUMMYFUNCTION("SPARKLINE({
IF(D587="""",0,D587),
IF(F587="""",0,F587),
IF(H587="""",0,H587),
IF(J587="""",0,J587),
IF(L587="""",0,L587),
IF(N587="""",0,N587),
IF(P587="""",0,P587)
})"),"")</f>
        <v/>
      </c>
      <c r="U587" s="7" t="str">
        <f ca="1">IFERROR(__xludf.DUMMYFUNCTION("SPARKLINE({
IF(E587="""",0,E587),
IF(G587="""",0,G587),
IF(I587="""",0,I587),
IF(K587="""",0,K587),
IF(M587="""",0,M587),
IF(O587="""",0,O587),
IF(Q587="""",0,Q587)
})"),"")</f>
        <v/>
      </c>
      <c r="V587" s="8" t="e">
        <f t="array" aca="1" ref="V587" ca="1">IF($C$4="Giao",_xludf.Xlookup(C587,#REF!,#REF!,),_xludf.Xlookup(C587,#REF!,#REF!,))</f>
        <v>#NAME?</v>
      </c>
      <c r="W587" s="8" t="e">
        <f t="array" aca="1" ref="W587" ca="1">IF($C$4="Giao", _xludf.Xlookup(C587,#REF!,#REF!,),)</f>
        <v>#NAME?</v>
      </c>
      <c r="X587" s="9" t="e">
        <f t="shared" ca="1" si="8"/>
        <v>#NAME?</v>
      </c>
      <c r="Y587" s="7"/>
      <c r="Z587" s="7"/>
    </row>
    <row r="588" spans="1:26" ht="13" x14ac:dyDescent="0.6">
      <c r="A588" s="28" t="str">
        <f t="shared" si="7"/>
        <v/>
      </c>
      <c r="B588" s="7"/>
      <c r="C588" s="7"/>
      <c r="D588" s="9"/>
      <c r="E588" s="9"/>
      <c r="F588" s="7"/>
      <c r="G588" s="7"/>
      <c r="H588" s="7"/>
      <c r="I588" s="7"/>
      <c r="J588" s="7"/>
      <c r="K588" s="7"/>
      <c r="L588" s="7"/>
      <c r="M588" s="7"/>
      <c r="N588" s="7"/>
      <c r="O588" s="7"/>
      <c r="P588" s="29"/>
      <c r="Q588" s="29"/>
      <c r="R588" s="7"/>
      <c r="S588" s="7"/>
      <c r="T588" s="7" t="str">
        <f ca="1">IFERROR(__xludf.DUMMYFUNCTION("SPARKLINE({
IF(D588="""",0,D588),
IF(F588="""",0,F588),
IF(H588="""",0,H588),
IF(J588="""",0,J588),
IF(L588="""",0,L588),
IF(N588="""",0,N588),
IF(P588="""",0,P588)
})"),"")</f>
        <v/>
      </c>
      <c r="U588" s="7" t="str">
        <f ca="1">IFERROR(__xludf.DUMMYFUNCTION("SPARKLINE({
IF(E588="""",0,E588),
IF(G588="""",0,G588),
IF(I588="""",0,I588),
IF(K588="""",0,K588),
IF(M588="""",0,M588),
IF(O588="""",0,O588),
IF(Q588="""",0,Q588)
})"),"")</f>
        <v/>
      </c>
      <c r="V588" s="8" t="e">
        <f t="array" aca="1" ref="V588" ca="1">IF($C$4="Giao",_xludf.Xlookup(C588,#REF!,#REF!,),_xludf.Xlookup(C588,#REF!,#REF!,))</f>
        <v>#NAME?</v>
      </c>
      <c r="W588" s="8" t="e">
        <f t="array" aca="1" ref="W588" ca="1">IF($C$4="Giao", _xludf.Xlookup(C588,#REF!,#REF!,),)</f>
        <v>#NAME?</v>
      </c>
      <c r="X588" s="9" t="e">
        <f t="shared" ca="1" si="8"/>
        <v>#NAME?</v>
      </c>
      <c r="Y588" s="7"/>
      <c r="Z588" s="7"/>
    </row>
    <row r="589" spans="1:26" ht="13" x14ac:dyDescent="0.6">
      <c r="A589" s="28" t="str">
        <f t="shared" si="7"/>
        <v/>
      </c>
      <c r="B589" s="7"/>
      <c r="C589" s="7"/>
      <c r="D589" s="9"/>
      <c r="E589" s="9"/>
      <c r="F589" s="7"/>
      <c r="G589" s="7"/>
      <c r="H589" s="7"/>
      <c r="I589" s="7"/>
      <c r="J589" s="7"/>
      <c r="K589" s="7"/>
      <c r="L589" s="7"/>
      <c r="M589" s="7"/>
      <c r="N589" s="7"/>
      <c r="O589" s="7"/>
      <c r="P589" s="29"/>
      <c r="Q589" s="29"/>
      <c r="R589" s="7"/>
      <c r="S589" s="7"/>
      <c r="T589" s="7" t="str">
        <f ca="1">IFERROR(__xludf.DUMMYFUNCTION("SPARKLINE({
IF(D589="""",0,D589),
IF(F589="""",0,F589),
IF(H589="""",0,H589),
IF(J589="""",0,J589),
IF(L589="""",0,L589),
IF(N589="""",0,N589),
IF(P589="""",0,P589)
})"),"")</f>
        <v/>
      </c>
      <c r="U589" s="7" t="str">
        <f ca="1">IFERROR(__xludf.DUMMYFUNCTION("SPARKLINE({
IF(E589="""",0,E589),
IF(G589="""",0,G589),
IF(I589="""",0,I589),
IF(K589="""",0,K589),
IF(M589="""",0,M589),
IF(O589="""",0,O589),
IF(Q589="""",0,Q589)
})"),"")</f>
        <v/>
      </c>
      <c r="V589" s="8" t="e">
        <f t="array" aca="1" ref="V589" ca="1">IF($C$4="Giao",_xludf.Xlookup(C589,#REF!,#REF!,),_xludf.Xlookup(C589,#REF!,#REF!,))</f>
        <v>#NAME?</v>
      </c>
      <c r="W589" s="8" t="e">
        <f t="array" aca="1" ref="W589" ca="1">IF($C$4="Giao", _xludf.Xlookup(C589,#REF!,#REF!,),)</f>
        <v>#NAME?</v>
      </c>
      <c r="X589" s="9" t="e">
        <f t="shared" ca="1" si="8"/>
        <v>#NAME?</v>
      </c>
      <c r="Y589" s="7"/>
      <c r="Z589" s="7"/>
    </row>
    <row r="590" spans="1:26" ht="13" x14ac:dyDescent="0.6">
      <c r="A590" s="28" t="str">
        <f t="shared" si="7"/>
        <v/>
      </c>
      <c r="B590" s="7"/>
      <c r="C590" s="7"/>
      <c r="D590" s="9"/>
      <c r="E590" s="9"/>
      <c r="F590" s="7"/>
      <c r="G590" s="7"/>
      <c r="H590" s="7"/>
      <c r="I590" s="7"/>
      <c r="J590" s="7"/>
      <c r="K590" s="7"/>
      <c r="L590" s="7"/>
      <c r="M590" s="7"/>
      <c r="N590" s="7"/>
      <c r="O590" s="7"/>
      <c r="P590" s="29"/>
      <c r="Q590" s="29"/>
      <c r="R590" s="7"/>
      <c r="S590" s="7"/>
      <c r="T590" s="7" t="str">
        <f ca="1">IFERROR(__xludf.DUMMYFUNCTION("SPARKLINE({
IF(D590="""",0,D590),
IF(F590="""",0,F590),
IF(H590="""",0,H590),
IF(J590="""",0,J590),
IF(L590="""",0,L590),
IF(N590="""",0,N590),
IF(P590="""",0,P590)
})"),"")</f>
        <v/>
      </c>
      <c r="U590" s="7" t="str">
        <f ca="1">IFERROR(__xludf.DUMMYFUNCTION("SPARKLINE({
IF(E590="""",0,E590),
IF(G590="""",0,G590),
IF(I590="""",0,I590),
IF(K590="""",0,K590),
IF(M590="""",0,M590),
IF(O590="""",0,O590),
IF(Q590="""",0,Q590)
})"),"")</f>
        <v/>
      </c>
      <c r="V590" s="8" t="e">
        <f t="array" aca="1" ref="V590" ca="1">IF($C$4="Giao",_xludf.Xlookup(C590,#REF!,#REF!,),_xludf.Xlookup(C590,#REF!,#REF!,))</f>
        <v>#NAME?</v>
      </c>
      <c r="W590" s="8" t="e">
        <f t="array" aca="1" ref="W590" ca="1">IF($C$4="Giao", _xludf.Xlookup(C590,#REF!,#REF!,),)</f>
        <v>#NAME?</v>
      </c>
      <c r="X590" s="9" t="e">
        <f t="shared" ca="1" si="8"/>
        <v>#NAME?</v>
      </c>
      <c r="Y590" s="7"/>
      <c r="Z590" s="7"/>
    </row>
    <row r="591" spans="1:26" ht="13" x14ac:dyDescent="0.6">
      <c r="A591" s="28" t="str">
        <f t="shared" si="7"/>
        <v/>
      </c>
      <c r="B591" s="7"/>
      <c r="C591" s="7"/>
      <c r="D591" s="9"/>
      <c r="E591" s="9"/>
      <c r="F591" s="7"/>
      <c r="G591" s="7"/>
      <c r="H591" s="7"/>
      <c r="I591" s="7"/>
      <c r="J591" s="7"/>
      <c r="K591" s="7"/>
      <c r="L591" s="7"/>
      <c r="M591" s="7"/>
      <c r="N591" s="7"/>
      <c r="O591" s="7"/>
      <c r="P591" s="29"/>
      <c r="Q591" s="29"/>
      <c r="R591" s="7"/>
      <c r="S591" s="7"/>
      <c r="T591" s="7" t="str">
        <f ca="1">IFERROR(__xludf.DUMMYFUNCTION("SPARKLINE({
IF(D591="""",0,D591),
IF(F591="""",0,F591),
IF(H591="""",0,H591),
IF(J591="""",0,J591),
IF(L591="""",0,L591),
IF(N591="""",0,N591),
IF(P591="""",0,P591)
})"),"")</f>
        <v/>
      </c>
      <c r="U591" s="7" t="str">
        <f ca="1">IFERROR(__xludf.DUMMYFUNCTION("SPARKLINE({
IF(E591="""",0,E591),
IF(G591="""",0,G591),
IF(I591="""",0,I591),
IF(K591="""",0,K591),
IF(M591="""",0,M591),
IF(O591="""",0,O591),
IF(Q591="""",0,Q591)
})"),"")</f>
        <v/>
      </c>
      <c r="V591" s="8" t="e">
        <f t="array" aca="1" ref="V591" ca="1">IF($C$4="Giao",_xludf.Xlookup(C591,#REF!,#REF!,),_xludf.Xlookup(C591,#REF!,#REF!,))</f>
        <v>#NAME?</v>
      </c>
      <c r="W591" s="8" t="e">
        <f t="array" aca="1" ref="W591" ca="1">IF($C$4="Giao", _xludf.Xlookup(C591,#REF!,#REF!,),)</f>
        <v>#NAME?</v>
      </c>
      <c r="X591" s="9" t="e">
        <f t="shared" ca="1" si="8"/>
        <v>#NAME?</v>
      </c>
      <c r="Y591" s="7"/>
      <c r="Z591" s="7"/>
    </row>
    <row r="592" spans="1:26" ht="13" x14ac:dyDescent="0.6">
      <c r="A592" s="28" t="str">
        <f t="shared" si="7"/>
        <v/>
      </c>
      <c r="B592" s="7"/>
      <c r="C592" s="7"/>
      <c r="D592" s="9"/>
      <c r="E592" s="9"/>
      <c r="F592" s="7"/>
      <c r="G592" s="7"/>
      <c r="H592" s="7"/>
      <c r="I592" s="7"/>
      <c r="J592" s="7"/>
      <c r="K592" s="7"/>
      <c r="L592" s="7"/>
      <c r="M592" s="7"/>
      <c r="N592" s="7"/>
      <c r="O592" s="7"/>
      <c r="P592" s="29"/>
      <c r="Q592" s="29"/>
      <c r="R592" s="7"/>
      <c r="S592" s="7"/>
      <c r="T592" s="7" t="str">
        <f ca="1">IFERROR(__xludf.DUMMYFUNCTION("SPARKLINE({
IF(D592="""",0,D592),
IF(F592="""",0,F592),
IF(H592="""",0,H592),
IF(J592="""",0,J592),
IF(L592="""",0,L592),
IF(N592="""",0,N592),
IF(P592="""",0,P592)
})"),"")</f>
        <v/>
      </c>
      <c r="U592" s="7" t="str">
        <f ca="1">IFERROR(__xludf.DUMMYFUNCTION("SPARKLINE({
IF(E592="""",0,E592),
IF(G592="""",0,G592),
IF(I592="""",0,I592),
IF(K592="""",0,K592),
IF(M592="""",0,M592),
IF(O592="""",0,O592),
IF(Q592="""",0,Q592)
})"),"")</f>
        <v/>
      </c>
      <c r="V592" s="8" t="e">
        <f t="array" aca="1" ref="V592" ca="1">IF($C$4="Giao",_xludf.Xlookup(C592,#REF!,#REF!,),_xludf.Xlookup(C592,#REF!,#REF!,))</f>
        <v>#NAME?</v>
      </c>
      <c r="W592" s="8" t="e">
        <f t="array" aca="1" ref="W592" ca="1">IF($C$4="Giao", _xludf.Xlookup(C592,#REF!,#REF!,),)</f>
        <v>#NAME?</v>
      </c>
      <c r="X592" s="9" t="e">
        <f t="shared" ca="1" si="8"/>
        <v>#NAME?</v>
      </c>
      <c r="Y592" s="7"/>
      <c r="Z592" s="7"/>
    </row>
    <row r="593" spans="1:26" ht="13" x14ac:dyDescent="0.6">
      <c r="A593" s="28" t="str">
        <f t="shared" si="7"/>
        <v/>
      </c>
      <c r="B593" s="7"/>
      <c r="C593" s="7"/>
      <c r="D593" s="9"/>
      <c r="E593" s="9"/>
      <c r="F593" s="7"/>
      <c r="G593" s="7"/>
      <c r="H593" s="7"/>
      <c r="I593" s="7"/>
      <c r="J593" s="7"/>
      <c r="K593" s="7"/>
      <c r="L593" s="7"/>
      <c r="M593" s="7"/>
      <c r="N593" s="7"/>
      <c r="O593" s="7"/>
      <c r="P593" s="29"/>
      <c r="Q593" s="29"/>
      <c r="R593" s="7"/>
      <c r="S593" s="7"/>
      <c r="T593" s="7" t="str">
        <f ca="1">IFERROR(__xludf.DUMMYFUNCTION("SPARKLINE({
IF(D593="""",0,D593),
IF(F593="""",0,F593),
IF(H593="""",0,H593),
IF(J593="""",0,J593),
IF(L593="""",0,L593),
IF(N593="""",0,N593),
IF(P593="""",0,P593)
})"),"")</f>
        <v/>
      </c>
      <c r="U593" s="7" t="str">
        <f ca="1">IFERROR(__xludf.DUMMYFUNCTION("SPARKLINE({
IF(E593="""",0,E593),
IF(G593="""",0,G593),
IF(I593="""",0,I593),
IF(K593="""",0,K593),
IF(M593="""",0,M593),
IF(O593="""",0,O593),
IF(Q593="""",0,Q593)
})"),"")</f>
        <v/>
      </c>
      <c r="V593" s="8" t="e">
        <f t="array" aca="1" ref="V593" ca="1">IF($C$4="Giao",_xludf.Xlookup(C593,#REF!,#REF!,),_xludf.Xlookup(C593,#REF!,#REF!,))</f>
        <v>#NAME?</v>
      </c>
      <c r="W593" s="8" t="e">
        <f t="array" aca="1" ref="W593" ca="1">IF($C$4="Giao", _xludf.Xlookup(C593,#REF!,#REF!,),)</f>
        <v>#NAME?</v>
      </c>
      <c r="X593" s="9" t="e">
        <f t="shared" ca="1" si="8"/>
        <v>#NAME?</v>
      </c>
      <c r="Y593" s="7"/>
      <c r="Z593" s="7"/>
    </row>
    <row r="594" spans="1:26" ht="13" x14ac:dyDescent="0.6">
      <c r="A594" s="28" t="str">
        <f t="shared" si="7"/>
        <v/>
      </c>
      <c r="B594" s="7"/>
      <c r="C594" s="7"/>
      <c r="D594" s="9"/>
      <c r="E594" s="9"/>
      <c r="F594" s="7"/>
      <c r="G594" s="7"/>
      <c r="H594" s="7"/>
      <c r="I594" s="7"/>
      <c r="J594" s="7"/>
      <c r="K594" s="7"/>
      <c r="L594" s="7"/>
      <c r="M594" s="7"/>
      <c r="N594" s="7"/>
      <c r="O594" s="7"/>
      <c r="P594" s="29"/>
      <c r="Q594" s="29"/>
      <c r="R594" s="7"/>
      <c r="S594" s="7"/>
      <c r="T594" s="7" t="str">
        <f ca="1">IFERROR(__xludf.DUMMYFUNCTION("SPARKLINE({
IF(D594="""",0,D594),
IF(F594="""",0,F594),
IF(H594="""",0,H594),
IF(J594="""",0,J594),
IF(L594="""",0,L594),
IF(N594="""",0,N594),
IF(P594="""",0,P594)
})"),"")</f>
        <v/>
      </c>
      <c r="U594" s="7" t="str">
        <f ca="1">IFERROR(__xludf.DUMMYFUNCTION("SPARKLINE({
IF(E594="""",0,E594),
IF(G594="""",0,G594),
IF(I594="""",0,I594),
IF(K594="""",0,K594),
IF(M594="""",0,M594),
IF(O594="""",0,O594),
IF(Q594="""",0,Q594)
})"),"")</f>
        <v/>
      </c>
      <c r="V594" s="8" t="e">
        <f t="array" aca="1" ref="V594" ca="1">IF($C$4="Giao",_xludf.Xlookup(C594,#REF!,#REF!,),_xludf.Xlookup(C594,#REF!,#REF!,))</f>
        <v>#NAME?</v>
      </c>
      <c r="W594" s="8" t="e">
        <f t="array" aca="1" ref="W594" ca="1">IF($C$4="Giao", _xludf.Xlookup(C594,#REF!,#REF!,),)</f>
        <v>#NAME?</v>
      </c>
      <c r="X594" s="9" t="e">
        <f t="shared" ca="1" si="8"/>
        <v>#NAME?</v>
      </c>
      <c r="Y594" s="7"/>
      <c r="Z594" s="7"/>
    </row>
    <row r="595" spans="1:26" ht="13" x14ac:dyDescent="0.6">
      <c r="A595" s="28" t="str">
        <f t="shared" si="7"/>
        <v/>
      </c>
      <c r="B595" s="7"/>
      <c r="C595" s="7"/>
      <c r="D595" s="9"/>
      <c r="E595" s="9"/>
      <c r="F595" s="7"/>
      <c r="G595" s="7"/>
      <c r="H595" s="7"/>
      <c r="I595" s="7"/>
      <c r="J595" s="7"/>
      <c r="K595" s="7"/>
      <c r="L595" s="7"/>
      <c r="M595" s="7"/>
      <c r="N595" s="7"/>
      <c r="O595" s="7"/>
      <c r="P595" s="29"/>
      <c r="Q595" s="29"/>
      <c r="R595" s="7"/>
      <c r="S595" s="7"/>
      <c r="T595" s="7" t="str">
        <f ca="1">IFERROR(__xludf.DUMMYFUNCTION("SPARKLINE({
IF(D595="""",0,D595),
IF(F595="""",0,F595),
IF(H595="""",0,H595),
IF(J595="""",0,J595),
IF(L595="""",0,L595),
IF(N595="""",0,N595),
IF(P595="""",0,P595)
})"),"")</f>
        <v/>
      </c>
      <c r="U595" s="7" t="str">
        <f ca="1">IFERROR(__xludf.DUMMYFUNCTION("SPARKLINE({
IF(E595="""",0,E595),
IF(G595="""",0,G595),
IF(I595="""",0,I595),
IF(K595="""",0,K595),
IF(M595="""",0,M595),
IF(O595="""",0,O595),
IF(Q595="""",0,Q595)
})"),"")</f>
        <v/>
      </c>
      <c r="V595" s="8" t="e">
        <f t="array" aca="1" ref="V595" ca="1">IF($C$4="Giao",_xludf.Xlookup(C595,#REF!,#REF!,),_xludf.Xlookup(C595,#REF!,#REF!,))</f>
        <v>#NAME?</v>
      </c>
      <c r="W595" s="8" t="e">
        <f t="array" aca="1" ref="W595" ca="1">IF($C$4="Giao", _xludf.Xlookup(C595,#REF!,#REF!,),)</f>
        <v>#NAME?</v>
      </c>
      <c r="X595" s="9" t="e">
        <f t="shared" ca="1" si="8"/>
        <v>#NAME?</v>
      </c>
      <c r="Y595" s="7"/>
      <c r="Z595" s="7"/>
    </row>
    <row r="596" spans="1:26" ht="13" x14ac:dyDescent="0.6">
      <c r="A596" s="28" t="str">
        <f t="shared" si="7"/>
        <v/>
      </c>
      <c r="B596" s="7"/>
      <c r="C596" s="7"/>
      <c r="D596" s="9"/>
      <c r="E596" s="9"/>
      <c r="F596" s="7"/>
      <c r="G596" s="7"/>
      <c r="H596" s="7"/>
      <c r="I596" s="7"/>
      <c r="J596" s="7"/>
      <c r="K596" s="7"/>
      <c r="L596" s="7"/>
      <c r="M596" s="7"/>
      <c r="N596" s="7"/>
      <c r="O596" s="7"/>
      <c r="P596" s="29"/>
      <c r="Q596" s="29"/>
      <c r="R596" s="7"/>
      <c r="S596" s="7"/>
      <c r="T596" s="7" t="str">
        <f ca="1">IFERROR(__xludf.DUMMYFUNCTION("SPARKLINE({
IF(D596="""",0,D596),
IF(F596="""",0,F596),
IF(H596="""",0,H596),
IF(J596="""",0,J596),
IF(L596="""",0,L596),
IF(N596="""",0,N596),
IF(P596="""",0,P596)
})"),"")</f>
        <v/>
      </c>
      <c r="U596" s="7" t="str">
        <f ca="1">IFERROR(__xludf.DUMMYFUNCTION("SPARKLINE({
IF(E596="""",0,E596),
IF(G596="""",0,G596),
IF(I596="""",0,I596),
IF(K596="""",0,K596),
IF(M596="""",0,M596),
IF(O596="""",0,O596),
IF(Q596="""",0,Q596)
})"),"")</f>
        <v/>
      </c>
      <c r="V596" s="8" t="e">
        <f t="array" aca="1" ref="V596" ca="1">IF($C$4="Giao",_xludf.Xlookup(C596,#REF!,#REF!,),_xludf.Xlookup(C596,#REF!,#REF!,))</f>
        <v>#NAME?</v>
      </c>
      <c r="W596" s="8" t="e">
        <f t="array" aca="1" ref="W596" ca="1">IF($C$4="Giao", _xludf.Xlookup(C596,#REF!,#REF!,),)</f>
        <v>#NAME?</v>
      </c>
      <c r="X596" s="9" t="e">
        <f t="shared" ca="1" si="8"/>
        <v>#NAME?</v>
      </c>
      <c r="Y596" s="7"/>
      <c r="Z596" s="7"/>
    </row>
    <row r="597" spans="1:26" ht="13" x14ac:dyDescent="0.6">
      <c r="A597" s="28" t="str">
        <f t="shared" si="7"/>
        <v/>
      </c>
      <c r="B597" s="7"/>
      <c r="C597" s="7"/>
      <c r="D597" s="9"/>
      <c r="E597" s="9"/>
      <c r="F597" s="7"/>
      <c r="G597" s="7"/>
      <c r="H597" s="7"/>
      <c r="I597" s="7"/>
      <c r="J597" s="7"/>
      <c r="K597" s="7"/>
      <c r="L597" s="7"/>
      <c r="M597" s="7"/>
      <c r="N597" s="7"/>
      <c r="O597" s="7"/>
      <c r="P597" s="29"/>
      <c r="Q597" s="29"/>
      <c r="R597" s="7"/>
      <c r="S597" s="7"/>
      <c r="T597" s="7" t="str">
        <f ca="1">IFERROR(__xludf.DUMMYFUNCTION("SPARKLINE({
IF(D597="""",0,D597),
IF(F597="""",0,F597),
IF(H597="""",0,H597),
IF(J597="""",0,J597),
IF(L597="""",0,L597),
IF(N597="""",0,N597),
IF(P597="""",0,P597)
})"),"")</f>
        <v/>
      </c>
      <c r="U597" s="7" t="str">
        <f ca="1">IFERROR(__xludf.DUMMYFUNCTION("SPARKLINE({
IF(E597="""",0,E597),
IF(G597="""",0,G597),
IF(I597="""",0,I597),
IF(K597="""",0,K597),
IF(M597="""",0,M597),
IF(O597="""",0,O597),
IF(Q597="""",0,Q597)
})"),"")</f>
        <v/>
      </c>
      <c r="V597" s="8" t="e">
        <f t="array" aca="1" ref="V597" ca="1">IF($C$4="Giao",_xludf.Xlookup(C597,#REF!,#REF!,),_xludf.Xlookup(C597,#REF!,#REF!,))</f>
        <v>#NAME?</v>
      </c>
      <c r="W597" s="8" t="e">
        <f t="array" aca="1" ref="W597" ca="1">IF($C$4="Giao", _xludf.Xlookup(C597,#REF!,#REF!,),)</f>
        <v>#NAME?</v>
      </c>
      <c r="X597" s="9" t="e">
        <f t="shared" ca="1" si="8"/>
        <v>#NAME?</v>
      </c>
      <c r="Y597" s="7"/>
      <c r="Z597" s="7"/>
    </row>
    <row r="598" spans="1:26" ht="13" x14ac:dyDescent="0.6">
      <c r="A598" s="28" t="str">
        <f t="shared" si="7"/>
        <v/>
      </c>
      <c r="B598" s="7"/>
      <c r="C598" s="7"/>
      <c r="D598" s="9"/>
      <c r="E598" s="9"/>
      <c r="F598" s="7"/>
      <c r="G598" s="7"/>
      <c r="H598" s="7"/>
      <c r="I598" s="7"/>
      <c r="J598" s="7"/>
      <c r="K598" s="7"/>
      <c r="L598" s="7"/>
      <c r="M598" s="7"/>
      <c r="N598" s="7"/>
      <c r="O598" s="7"/>
      <c r="P598" s="29"/>
      <c r="Q598" s="29"/>
      <c r="R598" s="7"/>
      <c r="S598" s="7"/>
      <c r="T598" s="7" t="str">
        <f ca="1">IFERROR(__xludf.DUMMYFUNCTION("SPARKLINE({
IF(D598="""",0,D598),
IF(F598="""",0,F598),
IF(H598="""",0,H598),
IF(J598="""",0,J598),
IF(L598="""",0,L598),
IF(N598="""",0,N598),
IF(P598="""",0,P598)
})"),"")</f>
        <v/>
      </c>
      <c r="U598" s="7" t="str">
        <f ca="1">IFERROR(__xludf.DUMMYFUNCTION("SPARKLINE({
IF(E598="""",0,E598),
IF(G598="""",0,G598),
IF(I598="""",0,I598),
IF(K598="""",0,K598),
IF(M598="""",0,M598),
IF(O598="""",0,O598),
IF(Q598="""",0,Q598)
})"),"")</f>
        <v/>
      </c>
      <c r="V598" s="8" t="e">
        <f t="array" aca="1" ref="V598" ca="1">IF($C$4="Giao",_xludf.Xlookup(C598,#REF!,#REF!,),_xludf.Xlookup(C598,#REF!,#REF!,))</f>
        <v>#NAME?</v>
      </c>
      <c r="W598" s="8" t="e">
        <f t="array" aca="1" ref="W598" ca="1">IF($C$4="Giao", _xludf.Xlookup(C598,#REF!,#REF!,),)</f>
        <v>#NAME?</v>
      </c>
      <c r="X598" s="9" t="e">
        <f t="shared" ca="1" si="8"/>
        <v>#NAME?</v>
      </c>
      <c r="Y598" s="7"/>
      <c r="Z598" s="7"/>
    </row>
    <row r="599" spans="1:26" ht="13" x14ac:dyDescent="0.6">
      <c r="A599" s="28" t="str">
        <f t="shared" si="7"/>
        <v/>
      </c>
      <c r="B599" s="7"/>
      <c r="C599" s="7"/>
      <c r="D599" s="9"/>
      <c r="E599" s="9"/>
      <c r="F599" s="7"/>
      <c r="G599" s="7"/>
      <c r="H599" s="7"/>
      <c r="I599" s="7"/>
      <c r="J599" s="7"/>
      <c r="K599" s="7"/>
      <c r="L599" s="7"/>
      <c r="M599" s="7"/>
      <c r="N599" s="7"/>
      <c r="O599" s="7"/>
      <c r="P599" s="29"/>
      <c r="Q599" s="29"/>
      <c r="R599" s="7"/>
      <c r="S599" s="7"/>
      <c r="T599" s="7" t="str">
        <f ca="1">IFERROR(__xludf.DUMMYFUNCTION("SPARKLINE({
IF(D599="""",0,D599),
IF(F599="""",0,F599),
IF(H599="""",0,H599),
IF(J599="""",0,J599),
IF(L599="""",0,L599),
IF(N599="""",0,N599),
IF(P599="""",0,P599)
})"),"")</f>
        <v/>
      </c>
      <c r="U599" s="7" t="str">
        <f ca="1">IFERROR(__xludf.DUMMYFUNCTION("SPARKLINE({
IF(E599="""",0,E599),
IF(G599="""",0,G599),
IF(I599="""",0,I599),
IF(K599="""",0,K599),
IF(M599="""",0,M599),
IF(O599="""",0,O599),
IF(Q599="""",0,Q599)
})"),"")</f>
        <v/>
      </c>
      <c r="V599" s="8" t="e">
        <f t="array" aca="1" ref="V599" ca="1">IF($C$4="Giao",_xludf.Xlookup(C599,#REF!,#REF!,),_xludf.Xlookup(C599,#REF!,#REF!,))</f>
        <v>#NAME?</v>
      </c>
      <c r="W599" s="8" t="e">
        <f t="array" aca="1" ref="W599" ca="1">IF($C$4="Giao", _xludf.Xlookup(C599,#REF!,#REF!,),)</f>
        <v>#NAME?</v>
      </c>
      <c r="X599" s="9" t="e">
        <f t="shared" ca="1" si="8"/>
        <v>#NAME?</v>
      </c>
      <c r="Y599" s="7"/>
      <c r="Z599" s="7"/>
    </row>
    <row r="600" spans="1:26" ht="13" x14ac:dyDescent="0.6">
      <c r="A600" s="28" t="str">
        <f t="shared" si="7"/>
        <v/>
      </c>
      <c r="B600" s="7"/>
      <c r="C600" s="7"/>
      <c r="D600" s="9"/>
      <c r="E600" s="9"/>
      <c r="F600" s="7"/>
      <c r="G600" s="7"/>
      <c r="H600" s="7"/>
      <c r="I600" s="7"/>
      <c r="J600" s="7"/>
      <c r="K600" s="7"/>
      <c r="L600" s="7"/>
      <c r="M600" s="7"/>
      <c r="N600" s="7"/>
      <c r="O600" s="7"/>
      <c r="P600" s="29"/>
      <c r="Q600" s="29"/>
      <c r="R600" s="7"/>
      <c r="S600" s="7"/>
      <c r="T600" s="7" t="str">
        <f ca="1">IFERROR(__xludf.DUMMYFUNCTION("SPARKLINE({
IF(D600="""",0,D600),
IF(F600="""",0,F600),
IF(H600="""",0,H600),
IF(J600="""",0,J600),
IF(L600="""",0,L600),
IF(N600="""",0,N600),
IF(P600="""",0,P600)
})"),"")</f>
        <v/>
      </c>
      <c r="U600" s="7" t="str">
        <f ca="1">IFERROR(__xludf.DUMMYFUNCTION("SPARKLINE({
IF(E600="""",0,E600),
IF(G600="""",0,G600),
IF(I600="""",0,I600),
IF(K600="""",0,K600),
IF(M600="""",0,M600),
IF(O600="""",0,O600),
IF(Q600="""",0,Q600)
})"),"")</f>
        <v/>
      </c>
      <c r="V600" s="8" t="e">
        <f t="array" aca="1" ref="V600" ca="1">IF($C$4="Giao",_xludf.Xlookup(C600,#REF!,#REF!,),_xludf.Xlookup(C600,#REF!,#REF!,))</f>
        <v>#NAME?</v>
      </c>
      <c r="W600" s="8" t="e">
        <f t="array" aca="1" ref="W600" ca="1">IF($C$4="Giao", _xludf.Xlookup(C600,#REF!,#REF!,),)</f>
        <v>#NAME?</v>
      </c>
      <c r="X600" s="9" t="e">
        <f t="shared" ca="1" si="8"/>
        <v>#NAME?</v>
      </c>
      <c r="Y600" s="7"/>
      <c r="Z600" s="7"/>
    </row>
    <row r="601" spans="1:26" ht="13" x14ac:dyDescent="0.6">
      <c r="A601" s="28" t="str">
        <f t="shared" si="7"/>
        <v/>
      </c>
      <c r="B601" s="7"/>
      <c r="C601" s="7"/>
      <c r="D601" s="9"/>
      <c r="E601" s="9"/>
      <c r="F601" s="7"/>
      <c r="G601" s="7"/>
      <c r="H601" s="7"/>
      <c r="I601" s="7"/>
      <c r="J601" s="7"/>
      <c r="K601" s="7"/>
      <c r="L601" s="7"/>
      <c r="M601" s="7"/>
      <c r="N601" s="7"/>
      <c r="O601" s="7"/>
      <c r="P601" s="29"/>
      <c r="Q601" s="29"/>
      <c r="R601" s="7"/>
      <c r="S601" s="7"/>
      <c r="T601" s="7" t="str">
        <f ca="1">IFERROR(__xludf.DUMMYFUNCTION("SPARKLINE({
IF(D601="""",0,D601),
IF(F601="""",0,F601),
IF(H601="""",0,H601),
IF(J601="""",0,J601),
IF(L601="""",0,L601),
IF(N601="""",0,N601),
IF(P601="""",0,P601)
})"),"")</f>
        <v/>
      </c>
      <c r="U601" s="7" t="str">
        <f ca="1">IFERROR(__xludf.DUMMYFUNCTION("SPARKLINE({
IF(E601="""",0,E601),
IF(G601="""",0,G601),
IF(I601="""",0,I601),
IF(K601="""",0,K601),
IF(M601="""",0,M601),
IF(O601="""",0,O601),
IF(Q601="""",0,Q601)
})"),"")</f>
        <v/>
      </c>
      <c r="V601" s="8" t="e">
        <f t="array" aca="1" ref="V601" ca="1">IF($C$4="Giao",_xludf.Xlookup(C601,#REF!,#REF!,),_xludf.Xlookup(C601,#REF!,#REF!,))</f>
        <v>#NAME?</v>
      </c>
      <c r="W601" s="8" t="e">
        <f t="array" aca="1" ref="W601" ca="1">IF($C$4="Giao", _xludf.Xlookup(C601,#REF!,#REF!,),)</f>
        <v>#NAME?</v>
      </c>
      <c r="X601" s="9" t="e">
        <f t="shared" ca="1" si="8"/>
        <v>#NAME?</v>
      </c>
      <c r="Y601" s="7"/>
      <c r="Z601" s="7"/>
    </row>
    <row r="602" spans="1:26" ht="13" x14ac:dyDescent="0.6">
      <c r="A602" s="28" t="str">
        <f t="shared" si="7"/>
        <v/>
      </c>
      <c r="B602" s="7"/>
      <c r="C602" s="7"/>
      <c r="D602" s="9"/>
      <c r="E602" s="9"/>
      <c r="F602" s="7"/>
      <c r="G602" s="7"/>
      <c r="H602" s="7"/>
      <c r="I602" s="7"/>
      <c r="J602" s="7"/>
      <c r="K602" s="7"/>
      <c r="L602" s="7"/>
      <c r="M602" s="7"/>
      <c r="N602" s="7"/>
      <c r="O602" s="7"/>
      <c r="P602" s="29"/>
      <c r="Q602" s="29"/>
      <c r="R602" s="7"/>
      <c r="S602" s="7"/>
      <c r="T602" s="7" t="str">
        <f ca="1">IFERROR(__xludf.DUMMYFUNCTION("SPARKLINE({
IF(D602="""",0,D602),
IF(F602="""",0,F602),
IF(H602="""",0,H602),
IF(J602="""",0,J602),
IF(L602="""",0,L602),
IF(N602="""",0,N602),
IF(P602="""",0,P602)
})"),"")</f>
        <v/>
      </c>
      <c r="U602" s="7" t="str">
        <f ca="1">IFERROR(__xludf.DUMMYFUNCTION("SPARKLINE({
IF(E602="""",0,E602),
IF(G602="""",0,G602),
IF(I602="""",0,I602),
IF(K602="""",0,K602),
IF(M602="""",0,M602),
IF(O602="""",0,O602),
IF(Q602="""",0,Q602)
})"),"")</f>
        <v/>
      </c>
      <c r="V602" s="8" t="e">
        <f t="array" aca="1" ref="V602" ca="1">IF($C$4="Giao",_xludf.Xlookup(C602,#REF!,#REF!,),_xludf.Xlookup(C602,#REF!,#REF!,))</f>
        <v>#NAME?</v>
      </c>
      <c r="W602" s="8" t="e">
        <f t="array" aca="1" ref="W602" ca="1">IF($C$4="Giao", _xludf.Xlookup(C602,#REF!,#REF!,),)</f>
        <v>#NAME?</v>
      </c>
      <c r="X602" s="9" t="e">
        <f t="shared" ca="1" si="8"/>
        <v>#NAME?</v>
      </c>
      <c r="Y602" s="7"/>
      <c r="Z602" s="7"/>
    </row>
    <row r="603" spans="1:26" ht="13" x14ac:dyDescent="0.6">
      <c r="A603" s="28" t="str">
        <f t="shared" si="7"/>
        <v/>
      </c>
      <c r="B603" s="7"/>
      <c r="C603" s="7"/>
      <c r="D603" s="9"/>
      <c r="E603" s="9"/>
      <c r="F603" s="7"/>
      <c r="G603" s="7"/>
      <c r="H603" s="7"/>
      <c r="I603" s="7"/>
      <c r="J603" s="7"/>
      <c r="K603" s="7"/>
      <c r="L603" s="7"/>
      <c r="M603" s="7"/>
      <c r="N603" s="7"/>
      <c r="O603" s="7"/>
      <c r="P603" s="29"/>
      <c r="Q603" s="29"/>
      <c r="R603" s="7"/>
      <c r="S603" s="7"/>
      <c r="T603" s="7" t="str">
        <f ca="1">IFERROR(__xludf.DUMMYFUNCTION("SPARKLINE({
IF(D603="""",0,D603),
IF(F603="""",0,F603),
IF(H603="""",0,H603),
IF(J603="""",0,J603),
IF(L603="""",0,L603),
IF(N603="""",0,N603),
IF(P603="""",0,P603)
})"),"")</f>
        <v/>
      </c>
      <c r="U603" s="7" t="str">
        <f ca="1">IFERROR(__xludf.DUMMYFUNCTION("SPARKLINE({
IF(E603="""",0,E603),
IF(G603="""",0,G603),
IF(I603="""",0,I603),
IF(K603="""",0,K603),
IF(M603="""",0,M603),
IF(O603="""",0,O603),
IF(Q603="""",0,Q603)
})"),"")</f>
        <v/>
      </c>
      <c r="V603" s="8" t="e">
        <f t="array" aca="1" ref="V603" ca="1">IF($C$4="Giao",_xludf.Xlookup(C603,#REF!,#REF!,),_xludf.Xlookup(C603,#REF!,#REF!,))</f>
        <v>#NAME?</v>
      </c>
      <c r="W603" s="8" t="e">
        <f t="array" aca="1" ref="W603" ca="1">IF($C$4="Giao", _xludf.Xlookup(C603,#REF!,#REF!,),)</f>
        <v>#NAME?</v>
      </c>
      <c r="X603" s="9" t="e">
        <f t="shared" ca="1" si="8"/>
        <v>#NAME?</v>
      </c>
      <c r="Y603" s="7"/>
      <c r="Z603" s="7"/>
    </row>
    <row r="604" spans="1:26" ht="13" x14ac:dyDescent="0.6">
      <c r="A604" s="28" t="str">
        <f t="shared" si="7"/>
        <v/>
      </c>
      <c r="B604" s="7"/>
      <c r="C604" s="7"/>
      <c r="D604" s="9"/>
      <c r="E604" s="9"/>
      <c r="F604" s="7"/>
      <c r="G604" s="7"/>
      <c r="H604" s="7"/>
      <c r="I604" s="7"/>
      <c r="J604" s="7"/>
      <c r="K604" s="7"/>
      <c r="L604" s="7"/>
      <c r="M604" s="7"/>
      <c r="N604" s="7"/>
      <c r="O604" s="7"/>
      <c r="P604" s="29"/>
      <c r="Q604" s="29"/>
      <c r="R604" s="7"/>
      <c r="S604" s="7"/>
      <c r="T604" s="7" t="str">
        <f ca="1">IFERROR(__xludf.DUMMYFUNCTION("SPARKLINE({
IF(D604="""",0,D604),
IF(F604="""",0,F604),
IF(H604="""",0,H604),
IF(J604="""",0,J604),
IF(L604="""",0,L604),
IF(N604="""",0,N604),
IF(P604="""",0,P604)
})"),"")</f>
        <v/>
      </c>
      <c r="U604" s="7" t="str">
        <f ca="1">IFERROR(__xludf.DUMMYFUNCTION("SPARKLINE({
IF(E604="""",0,E604),
IF(G604="""",0,G604),
IF(I604="""",0,I604),
IF(K604="""",0,K604),
IF(M604="""",0,M604),
IF(O604="""",0,O604),
IF(Q604="""",0,Q604)
})"),"")</f>
        <v/>
      </c>
      <c r="V604" s="8" t="e">
        <f t="array" aca="1" ref="V604" ca="1">IF($C$4="Giao",_xludf.Xlookup(C604,#REF!,#REF!,),_xludf.Xlookup(C604,#REF!,#REF!,))</f>
        <v>#NAME?</v>
      </c>
      <c r="W604" s="8" t="e">
        <f t="array" aca="1" ref="W604" ca="1">IF($C$4="Giao", _xludf.Xlookup(C604,#REF!,#REF!,),)</f>
        <v>#NAME?</v>
      </c>
      <c r="X604" s="9" t="e">
        <f t="shared" ca="1" si="8"/>
        <v>#NAME?</v>
      </c>
      <c r="Y604" s="7"/>
      <c r="Z604" s="7"/>
    </row>
    <row r="605" spans="1:26" ht="13" x14ac:dyDescent="0.6">
      <c r="A605" s="28" t="str">
        <f t="shared" si="7"/>
        <v/>
      </c>
      <c r="B605" s="7"/>
      <c r="C605" s="7"/>
      <c r="D605" s="9"/>
      <c r="E605" s="9"/>
      <c r="F605" s="7"/>
      <c r="G605" s="7"/>
      <c r="H605" s="7"/>
      <c r="I605" s="7"/>
      <c r="J605" s="7"/>
      <c r="K605" s="7"/>
      <c r="L605" s="7"/>
      <c r="M605" s="7"/>
      <c r="N605" s="7"/>
      <c r="O605" s="7"/>
      <c r="P605" s="29"/>
      <c r="Q605" s="29"/>
      <c r="R605" s="7"/>
      <c r="S605" s="7"/>
      <c r="T605" s="7" t="str">
        <f ca="1">IFERROR(__xludf.DUMMYFUNCTION("SPARKLINE({
IF(D605="""",0,D605),
IF(F605="""",0,F605),
IF(H605="""",0,H605),
IF(J605="""",0,J605),
IF(L605="""",0,L605),
IF(N605="""",0,N605),
IF(P605="""",0,P605)
})"),"")</f>
        <v/>
      </c>
      <c r="U605" s="7" t="str">
        <f ca="1">IFERROR(__xludf.DUMMYFUNCTION("SPARKLINE({
IF(E605="""",0,E605),
IF(G605="""",0,G605),
IF(I605="""",0,I605),
IF(K605="""",0,K605),
IF(M605="""",0,M605),
IF(O605="""",0,O605),
IF(Q605="""",0,Q605)
})"),"")</f>
        <v/>
      </c>
      <c r="V605" s="8" t="e">
        <f t="array" aca="1" ref="V605" ca="1">IF($C$4="Giao",_xludf.Xlookup(C605,#REF!,#REF!,),_xludf.Xlookup(C605,#REF!,#REF!,))</f>
        <v>#NAME?</v>
      </c>
      <c r="W605" s="8" t="e">
        <f t="array" aca="1" ref="W605" ca="1">IF($C$4="Giao", _xludf.Xlookup(C605,#REF!,#REF!,),)</f>
        <v>#NAME?</v>
      </c>
      <c r="X605" s="9" t="e">
        <f t="shared" ca="1" si="8"/>
        <v>#NAME?</v>
      </c>
      <c r="Y605" s="7"/>
      <c r="Z605" s="7"/>
    </row>
    <row r="606" spans="1:26" ht="13" x14ac:dyDescent="0.6">
      <c r="A606" s="28" t="str">
        <f t="shared" si="7"/>
        <v/>
      </c>
      <c r="B606" s="7"/>
      <c r="C606" s="7"/>
      <c r="D606" s="9"/>
      <c r="E606" s="9"/>
      <c r="F606" s="7"/>
      <c r="G606" s="7"/>
      <c r="H606" s="7"/>
      <c r="I606" s="7"/>
      <c r="J606" s="7"/>
      <c r="K606" s="7"/>
      <c r="L606" s="7"/>
      <c r="M606" s="7"/>
      <c r="N606" s="7"/>
      <c r="O606" s="7"/>
      <c r="P606" s="29"/>
      <c r="Q606" s="29"/>
      <c r="R606" s="7"/>
      <c r="S606" s="7"/>
      <c r="T606" s="7" t="str">
        <f ca="1">IFERROR(__xludf.DUMMYFUNCTION("SPARKLINE({
IF(D606="""",0,D606),
IF(F606="""",0,F606),
IF(H606="""",0,H606),
IF(J606="""",0,J606),
IF(L606="""",0,L606),
IF(N606="""",0,N606),
IF(P606="""",0,P606)
})"),"")</f>
        <v/>
      </c>
      <c r="U606" s="7" t="str">
        <f ca="1">IFERROR(__xludf.DUMMYFUNCTION("SPARKLINE({
IF(E606="""",0,E606),
IF(G606="""",0,G606),
IF(I606="""",0,I606),
IF(K606="""",0,K606),
IF(M606="""",0,M606),
IF(O606="""",0,O606),
IF(Q606="""",0,Q606)
})"),"")</f>
        <v/>
      </c>
      <c r="V606" s="8" t="e">
        <f t="array" aca="1" ref="V606" ca="1">IF($C$4="Giao",_xludf.Xlookup(C606,#REF!,#REF!,),_xludf.Xlookup(C606,#REF!,#REF!,))</f>
        <v>#NAME?</v>
      </c>
      <c r="W606" s="8" t="e">
        <f t="array" aca="1" ref="W606" ca="1">IF($C$4="Giao", _xludf.Xlookup(C606,#REF!,#REF!,),)</f>
        <v>#NAME?</v>
      </c>
      <c r="X606" s="9" t="e">
        <f t="shared" ca="1" si="8"/>
        <v>#NAME?</v>
      </c>
      <c r="Y606" s="7"/>
      <c r="Z606" s="7"/>
    </row>
    <row r="607" spans="1:26" ht="13" x14ac:dyDescent="0.6">
      <c r="A607" s="28" t="str">
        <f t="shared" si="7"/>
        <v/>
      </c>
      <c r="B607" s="7"/>
      <c r="C607" s="7"/>
      <c r="D607" s="9"/>
      <c r="E607" s="9"/>
      <c r="F607" s="7"/>
      <c r="G607" s="7"/>
      <c r="H607" s="7"/>
      <c r="I607" s="7"/>
      <c r="J607" s="7"/>
      <c r="K607" s="7"/>
      <c r="L607" s="7"/>
      <c r="M607" s="7"/>
      <c r="N607" s="7"/>
      <c r="O607" s="7"/>
      <c r="P607" s="29"/>
      <c r="Q607" s="29"/>
      <c r="R607" s="7"/>
      <c r="S607" s="7"/>
      <c r="T607" s="7" t="str">
        <f ca="1">IFERROR(__xludf.DUMMYFUNCTION("SPARKLINE({
IF(D607="""",0,D607),
IF(F607="""",0,F607),
IF(H607="""",0,H607),
IF(J607="""",0,J607),
IF(L607="""",0,L607),
IF(N607="""",0,N607),
IF(P607="""",0,P607)
})"),"")</f>
        <v/>
      </c>
      <c r="U607" s="7" t="str">
        <f ca="1">IFERROR(__xludf.DUMMYFUNCTION("SPARKLINE({
IF(E607="""",0,E607),
IF(G607="""",0,G607),
IF(I607="""",0,I607),
IF(K607="""",0,K607),
IF(M607="""",0,M607),
IF(O607="""",0,O607),
IF(Q607="""",0,Q607)
})"),"")</f>
        <v/>
      </c>
      <c r="V607" s="8" t="e">
        <f t="array" aca="1" ref="V607" ca="1">IF($C$4="Giao",_xludf.Xlookup(C607,#REF!,#REF!,),_xludf.Xlookup(C607,#REF!,#REF!,))</f>
        <v>#NAME?</v>
      </c>
      <c r="W607" s="8" t="e">
        <f t="array" aca="1" ref="W607" ca="1">IF($C$4="Giao", _xludf.Xlookup(C607,#REF!,#REF!,),)</f>
        <v>#NAME?</v>
      </c>
      <c r="X607" s="9" t="e">
        <f t="shared" ca="1" si="8"/>
        <v>#NAME?</v>
      </c>
      <c r="Y607" s="7"/>
      <c r="Z607" s="7"/>
    </row>
    <row r="608" spans="1:26" ht="13" x14ac:dyDescent="0.6">
      <c r="A608" s="28" t="str">
        <f t="shared" si="7"/>
        <v/>
      </c>
      <c r="B608" s="7"/>
      <c r="C608" s="7"/>
      <c r="D608" s="9"/>
      <c r="E608" s="9"/>
      <c r="F608" s="7"/>
      <c r="G608" s="7"/>
      <c r="H608" s="7"/>
      <c r="I608" s="7"/>
      <c r="J608" s="7"/>
      <c r="K608" s="7"/>
      <c r="L608" s="7"/>
      <c r="M608" s="7"/>
      <c r="N608" s="7"/>
      <c r="O608" s="7"/>
      <c r="P608" s="29"/>
      <c r="Q608" s="29"/>
      <c r="R608" s="7"/>
      <c r="S608" s="7"/>
      <c r="T608" s="7" t="str">
        <f ca="1">IFERROR(__xludf.DUMMYFUNCTION("SPARKLINE({
IF(D608="""",0,D608),
IF(F608="""",0,F608),
IF(H608="""",0,H608),
IF(J608="""",0,J608),
IF(L608="""",0,L608),
IF(N608="""",0,N608),
IF(P608="""",0,P608)
})"),"")</f>
        <v/>
      </c>
      <c r="U608" s="7" t="str">
        <f ca="1">IFERROR(__xludf.DUMMYFUNCTION("SPARKLINE({
IF(E608="""",0,E608),
IF(G608="""",0,G608),
IF(I608="""",0,I608),
IF(K608="""",0,K608),
IF(M608="""",0,M608),
IF(O608="""",0,O608),
IF(Q608="""",0,Q608)
})"),"")</f>
        <v/>
      </c>
      <c r="V608" s="8" t="e">
        <f t="array" aca="1" ref="V608" ca="1">IF($C$4="Giao",_xludf.Xlookup(C608,#REF!,#REF!,),_xludf.Xlookup(C608,#REF!,#REF!,))</f>
        <v>#NAME?</v>
      </c>
      <c r="W608" s="8" t="e">
        <f t="array" aca="1" ref="W608" ca="1">IF($C$4="Giao", _xludf.Xlookup(C608,#REF!,#REF!,),)</f>
        <v>#NAME?</v>
      </c>
      <c r="X608" s="9" t="e">
        <f t="shared" ca="1" si="8"/>
        <v>#NAME?</v>
      </c>
      <c r="Y608" s="7"/>
      <c r="Z608" s="7"/>
    </row>
    <row r="609" spans="1:26" ht="13" x14ac:dyDescent="0.6">
      <c r="A609" s="28" t="str">
        <f t="shared" si="7"/>
        <v/>
      </c>
      <c r="B609" s="7"/>
      <c r="C609" s="7"/>
      <c r="D609" s="9"/>
      <c r="E609" s="9"/>
      <c r="F609" s="7"/>
      <c r="G609" s="7"/>
      <c r="H609" s="7"/>
      <c r="I609" s="7"/>
      <c r="J609" s="7"/>
      <c r="K609" s="7"/>
      <c r="L609" s="7"/>
      <c r="M609" s="7"/>
      <c r="N609" s="7"/>
      <c r="O609" s="7"/>
      <c r="P609" s="29"/>
      <c r="Q609" s="29"/>
      <c r="R609" s="7"/>
      <c r="S609" s="7"/>
      <c r="T609" s="7" t="str">
        <f ca="1">IFERROR(__xludf.DUMMYFUNCTION("SPARKLINE({
IF(D609="""",0,D609),
IF(F609="""",0,F609),
IF(H609="""",0,H609),
IF(J609="""",0,J609),
IF(L609="""",0,L609),
IF(N609="""",0,N609),
IF(P609="""",0,P609)
})"),"")</f>
        <v/>
      </c>
      <c r="U609" s="7" t="str">
        <f ca="1">IFERROR(__xludf.DUMMYFUNCTION("SPARKLINE({
IF(E609="""",0,E609),
IF(G609="""",0,G609),
IF(I609="""",0,I609),
IF(K609="""",0,K609),
IF(M609="""",0,M609),
IF(O609="""",0,O609),
IF(Q609="""",0,Q609)
})"),"")</f>
        <v/>
      </c>
      <c r="V609" s="8" t="e">
        <f t="array" aca="1" ref="V609" ca="1">IF($C$4="Giao",_xludf.Xlookup(C609,#REF!,#REF!,),_xludf.Xlookup(C609,#REF!,#REF!,))</f>
        <v>#NAME?</v>
      </c>
      <c r="W609" s="8" t="e">
        <f t="array" aca="1" ref="W609" ca="1">IF($C$4="Giao", _xludf.Xlookup(C609,#REF!,#REF!,),)</f>
        <v>#NAME?</v>
      </c>
      <c r="X609" s="9" t="e">
        <f t="shared" ca="1" si="8"/>
        <v>#NAME?</v>
      </c>
      <c r="Y609" s="7"/>
      <c r="Z609" s="7"/>
    </row>
    <row r="610" spans="1:26" ht="13" x14ac:dyDescent="0.6">
      <c r="A610" s="28" t="str">
        <f t="shared" si="7"/>
        <v/>
      </c>
      <c r="B610" s="7"/>
      <c r="C610" s="7"/>
      <c r="D610" s="9"/>
      <c r="E610" s="9"/>
      <c r="F610" s="7"/>
      <c r="G610" s="7"/>
      <c r="H610" s="7"/>
      <c r="I610" s="7"/>
      <c r="J610" s="7"/>
      <c r="K610" s="7"/>
      <c r="L610" s="7"/>
      <c r="M610" s="7"/>
      <c r="N610" s="7"/>
      <c r="O610" s="7"/>
      <c r="P610" s="29"/>
      <c r="Q610" s="29"/>
      <c r="R610" s="7"/>
      <c r="S610" s="7"/>
      <c r="T610" s="7" t="str">
        <f ca="1">IFERROR(__xludf.DUMMYFUNCTION("SPARKLINE({
IF(D610="""",0,D610),
IF(F610="""",0,F610),
IF(H610="""",0,H610),
IF(J610="""",0,J610),
IF(L610="""",0,L610),
IF(N610="""",0,N610),
IF(P610="""",0,P610)
})"),"")</f>
        <v/>
      </c>
      <c r="U610" s="7" t="str">
        <f ca="1">IFERROR(__xludf.DUMMYFUNCTION("SPARKLINE({
IF(E610="""",0,E610),
IF(G610="""",0,G610),
IF(I610="""",0,I610),
IF(K610="""",0,K610),
IF(M610="""",0,M610),
IF(O610="""",0,O610),
IF(Q610="""",0,Q610)
})"),"")</f>
        <v/>
      </c>
      <c r="V610" s="8" t="e">
        <f t="array" aca="1" ref="V610" ca="1">IF($C$4="Giao",_xludf.Xlookup(C610,#REF!,#REF!,),_xludf.Xlookup(C610,#REF!,#REF!,))</f>
        <v>#NAME?</v>
      </c>
      <c r="W610" s="8" t="e">
        <f t="array" aca="1" ref="W610" ca="1">IF($C$4="Giao", _xludf.Xlookup(C610,#REF!,#REF!,),)</f>
        <v>#NAME?</v>
      </c>
      <c r="X610" s="9" t="e">
        <f t="shared" ca="1" si="8"/>
        <v>#NAME?</v>
      </c>
      <c r="Y610" s="7"/>
      <c r="Z610" s="7"/>
    </row>
    <row r="611" spans="1:26" ht="13" x14ac:dyDescent="0.6">
      <c r="A611" s="28" t="str">
        <f t="shared" si="7"/>
        <v/>
      </c>
      <c r="B611" s="7"/>
      <c r="C611" s="7"/>
      <c r="D611" s="9"/>
      <c r="E611" s="9"/>
      <c r="F611" s="7"/>
      <c r="G611" s="7"/>
      <c r="H611" s="7"/>
      <c r="I611" s="7"/>
      <c r="J611" s="7"/>
      <c r="K611" s="7"/>
      <c r="L611" s="7"/>
      <c r="M611" s="7"/>
      <c r="N611" s="7"/>
      <c r="O611" s="7"/>
      <c r="P611" s="29"/>
      <c r="Q611" s="29"/>
      <c r="R611" s="7"/>
      <c r="S611" s="7"/>
      <c r="T611" s="7" t="str">
        <f ca="1">IFERROR(__xludf.DUMMYFUNCTION("SPARKLINE({
IF(D611="""",0,D611),
IF(F611="""",0,F611),
IF(H611="""",0,H611),
IF(J611="""",0,J611),
IF(L611="""",0,L611),
IF(N611="""",0,N611),
IF(P611="""",0,P611)
})"),"")</f>
        <v/>
      </c>
      <c r="U611" s="7" t="str">
        <f ca="1">IFERROR(__xludf.DUMMYFUNCTION("SPARKLINE({
IF(E611="""",0,E611),
IF(G611="""",0,G611),
IF(I611="""",0,I611),
IF(K611="""",0,K611),
IF(M611="""",0,M611),
IF(O611="""",0,O611),
IF(Q611="""",0,Q611)
})"),"")</f>
        <v/>
      </c>
      <c r="V611" s="8" t="e">
        <f t="array" aca="1" ref="V611" ca="1">IF($C$4="Giao",_xludf.Xlookup(C611,#REF!,#REF!,),_xludf.Xlookup(C611,#REF!,#REF!,))</f>
        <v>#NAME?</v>
      </c>
      <c r="W611" s="8" t="e">
        <f t="array" aca="1" ref="W611" ca="1">IF($C$4="Giao", _xludf.Xlookup(C611,#REF!,#REF!,),)</f>
        <v>#NAME?</v>
      </c>
      <c r="X611" s="9" t="e">
        <f t="shared" ca="1" si="8"/>
        <v>#NAME?</v>
      </c>
      <c r="Y611" s="7"/>
      <c r="Z611" s="7"/>
    </row>
    <row r="612" spans="1:26" ht="13" x14ac:dyDescent="0.6">
      <c r="A612" s="28" t="str">
        <f t="shared" si="7"/>
        <v/>
      </c>
      <c r="B612" s="7"/>
      <c r="C612" s="7"/>
      <c r="D612" s="9"/>
      <c r="E612" s="9"/>
      <c r="F612" s="7"/>
      <c r="G612" s="7"/>
      <c r="H612" s="7"/>
      <c r="I612" s="7"/>
      <c r="J612" s="7"/>
      <c r="K612" s="7"/>
      <c r="L612" s="7"/>
      <c r="M612" s="7"/>
      <c r="N612" s="7"/>
      <c r="O612" s="7"/>
      <c r="P612" s="29"/>
      <c r="Q612" s="29"/>
      <c r="R612" s="7"/>
      <c r="S612" s="7"/>
      <c r="T612" s="7" t="str">
        <f ca="1">IFERROR(__xludf.DUMMYFUNCTION("SPARKLINE({
IF(D612="""",0,D612),
IF(F612="""",0,F612),
IF(H612="""",0,H612),
IF(J612="""",0,J612),
IF(L612="""",0,L612),
IF(N612="""",0,N612),
IF(P612="""",0,P612)
})"),"")</f>
        <v/>
      </c>
      <c r="U612" s="7" t="str">
        <f ca="1">IFERROR(__xludf.DUMMYFUNCTION("SPARKLINE({
IF(E612="""",0,E612),
IF(G612="""",0,G612),
IF(I612="""",0,I612),
IF(K612="""",0,K612),
IF(M612="""",0,M612),
IF(O612="""",0,O612),
IF(Q612="""",0,Q612)
})"),"")</f>
        <v/>
      </c>
      <c r="V612" s="8" t="e">
        <f t="array" aca="1" ref="V612" ca="1">IF($C$4="Giao",_xludf.Xlookup(C612,#REF!,#REF!,),_xludf.Xlookup(C612,#REF!,#REF!,))</f>
        <v>#NAME?</v>
      </c>
      <c r="W612" s="8" t="e">
        <f t="array" aca="1" ref="W612" ca="1">IF($C$4="Giao", _xludf.Xlookup(C612,#REF!,#REF!,),)</f>
        <v>#NAME?</v>
      </c>
      <c r="X612" s="9" t="e">
        <f t="shared" ca="1" si="8"/>
        <v>#NAME?</v>
      </c>
      <c r="Y612" s="7"/>
      <c r="Z612" s="7"/>
    </row>
    <row r="613" spans="1:26" ht="13" x14ac:dyDescent="0.6">
      <c r="A613" s="28" t="str">
        <f t="shared" si="7"/>
        <v/>
      </c>
      <c r="B613" s="7"/>
      <c r="C613" s="7"/>
      <c r="D613" s="9"/>
      <c r="E613" s="9"/>
      <c r="F613" s="7"/>
      <c r="G613" s="7"/>
      <c r="H613" s="7"/>
      <c r="I613" s="7"/>
      <c r="J613" s="7"/>
      <c r="K613" s="7"/>
      <c r="L613" s="7"/>
      <c r="M613" s="7"/>
      <c r="N613" s="7"/>
      <c r="O613" s="7"/>
      <c r="P613" s="29"/>
      <c r="Q613" s="29"/>
      <c r="R613" s="7"/>
      <c r="S613" s="7"/>
      <c r="T613" s="7" t="str">
        <f ca="1">IFERROR(__xludf.DUMMYFUNCTION("SPARKLINE({
IF(D613="""",0,D613),
IF(F613="""",0,F613),
IF(H613="""",0,H613),
IF(J613="""",0,J613),
IF(L613="""",0,L613),
IF(N613="""",0,N613),
IF(P613="""",0,P613)
})"),"")</f>
        <v/>
      </c>
      <c r="U613" s="7" t="str">
        <f ca="1">IFERROR(__xludf.DUMMYFUNCTION("SPARKLINE({
IF(E613="""",0,E613),
IF(G613="""",0,G613),
IF(I613="""",0,I613),
IF(K613="""",0,K613),
IF(M613="""",0,M613),
IF(O613="""",0,O613),
IF(Q613="""",0,Q613)
})"),"")</f>
        <v/>
      </c>
      <c r="V613" s="8" t="e">
        <f t="array" aca="1" ref="V613" ca="1">IF($C$4="Giao",_xludf.Xlookup(C613,#REF!,#REF!,),_xludf.Xlookup(C613,#REF!,#REF!,))</f>
        <v>#NAME?</v>
      </c>
      <c r="W613" s="8" t="e">
        <f t="array" aca="1" ref="W613" ca="1">IF($C$4="Giao", _xludf.Xlookup(C613,#REF!,#REF!,),)</f>
        <v>#NAME?</v>
      </c>
      <c r="X613" s="9" t="e">
        <f t="shared" ca="1" si="8"/>
        <v>#NAME?</v>
      </c>
      <c r="Y613" s="7"/>
      <c r="Z613" s="7"/>
    </row>
    <row r="614" spans="1:26" ht="13" x14ac:dyDescent="0.6">
      <c r="A614" s="28" t="str">
        <f t="shared" si="7"/>
        <v/>
      </c>
      <c r="B614" s="7"/>
      <c r="C614" s="7"/>
      <c r="D614" s="9"/>
      <c r="E614" s="9"/>
      <c r="F614" s="7"/>
      <c r="G614" s="7"/>
      <c r="H614" s="7"/>
      <c r="I614" s="7"/>
      <c r="J614" s="7"/>
      <c r="K614" s="7"/>
      <c r="L614" s="7"/>
      <c r="M614" s="7"/>
      <c r="N614" s="7"/>
      <c r="O614" s="7"/>
      <c r="P614" s="29"/>
      <c r="Q614" s="29"/>
      <c r="R614" s="7"/>
      <c r="S614" s="7"/>
      <c r="T614" s="7" t="str">
        <f ca="1">IFERROR(__xludf.DUMMYFUNCTION("SPARKLINE({
IF(D614="""",0,D614),
IF(F614="""",0,F614),
IF(H614="""",0,H614),
IF(J614="""",0,J614),
IF(L614="""",0,L614),
IF(N614="""",0,N614),
IF(P614="""",0,P614)
})"),"")</f>
        <v/>
      </c>
      <c r="U614" s="7" t="str">
        <f ca="1">IFERROR(__xludf.DUMMYFUNCTION("SPARKLINE({
IF(E614="""",0,E614),
IF(G614="""",0,G614),
IF(I614="""",0,I614),
IF(K614="""",0,K614),
IF(M614="""",0,M614),
IF(O614="""",0,O614),
IF(Q614="""",0,Q614)
})"),"")</f>
        <v/>
      </c>
      <c r="V614" s="8" t="e">
        <f t="array" aca="1" ref="V614" ca="1">IF($C$4="Giao",_xludf.Xlookup(C614,#REF!,#REF!,),_xludf.Xlookup(C614,#REF!,#REF!,))</f>
        <v>#NAME?</v>
      </c>
      <c r="W614" s="8" t="e">
        <f t="array" aca="1" ref="W614" ca="1">IF($C$4="Giao", _xludf.Xlookup(C614,#REF!,#REF!,),)</f>
        <v>#NAME?</v>
      </c>
      <c r="X614" s="9" t="e">
        <f t="shared" ca="1" si="8"/>
        <v>#NAME?</v>
      </c>
      <c r="Y614" s="7"/>
      <c r="Z614" s="7"/>
    </row>
    <row r="615" spans="1:26" ht="13" x14ac:dyDescent="0.6">
      <c r="A615" s="28" t="str">
        <f t="shared" si="7"/>
        <v/>
      </c>
      <c r="B615" s="7"/>
      <c r="C615" s="7"/>
      <c r="D615" s="9"/>
      <c r="E615" s="9"/>
      <c r="F615" s="7"/>
      <c r="G615" s="7"/>
      <c r="H615" s="7"/>
      <c r="I615" s="7"/>
      <c r="J615" s="7"/>
      <c r="K615" s="7"/>
      <c r="L615" s="7"/>
      <c r="M615" s="7"/>
      <c r="N615" s="7"/>
      <c r="O615" s="7"/>
      <c r="P615" s="29"/>
      <c r="Q615" s="29"/>
      <c r="R615" s="7"/>
      <c r="S615" s="7"/>
      <c r="T615" s="7" t="str">
        <f ca="1">IFERROR(__xludf.DUMMYFUNCTION("SPARKLINE({
IF(D615="""",0,D615),
IF(F615="""",0,F615),
IF(H615="""",0,H615),
IF(J615="""",0,J615),
IF(L615="""",0,L615),
IF(N615="""",0,N615),
IF(P615="""",0,P615)
})"),"")</f>
        <v/>
      </c>
      <c r="U615" s="7" t="str">
        <f ca="1">IFERROR(__xludf.DUMMYFUNCTION("SPARKLINE({
IF(E615="""",0,E615),
IF(G615="""",0,G615),
IF(I615="""",0,I615),
IF(K615="""",0,K615),
IF(M615="""",0,M615),
IF(O615="""",0,O615),
IF(Q615="""",0,Q615)
})"),"")</f>
        <v/>
      </c>
      <c r="V615" s="8" t="e">
        <f t="array" aca="1" ref="V615" ca="1">IF($C$4="Giao",_xludf.Xlookup(C615,#REF!,#REF!,),_xludf.Xlookup(C615,#REF!,#REF!,))</f>
        <v>#NAME?</v>
      </c>
      <c r="W615" s="8" t="e">
        <f t="array" aca="1" ref="W615" ca="1">IF($C$4="Giao", _xludf.Xlookup(C615,#REF!,#REF!,),)</f>
        <v>#NAME?</v>
      </c>
      <c r="X615" s="9" t="e">
        <f t="shared" ca="1" si="8"/>
        <v>#NAME?</v>
      </c>
      <c r="Y615" s="7"/>
      <c r="Z615" s="7"/>
    </row>
    <row r="616" spans="1:26" ht="13" x14ac:dyDescent="0.6">
      <c r="A616" s="28" t="str">
        <f t="shared" si="7"/>
        <v/>
      </c>
      <c r="B616" s="7"/>
      <c r="C616" s="7"/>
      <c r="D616" s="9"/>
      <c r="E616" s="9"/>
      <c r="F616" s="7"/>
      <c r="G616" s="7"/>
      <c r="H616" s="7"/>
      <c r="I616" s="7"/>
      <c r="J616" s="7"/>
      <c r="K616" s="7"/>
      <c r="L616" s="7"/>
      <c r="M616" s="7"/>
      <c r="N616" s="7"/>
      <c r="O616" s="7"/>
      <c r="P616" s="29"/>
      <c r="Q616" s="29"/>
      <c r="R616" s="7"/>
      <c r="S616" s="7"/>
      <c r="T616" s="7" t="str">
        <f ca="1">IFERROR(__xludf.DUMMYFUNCTION("SPARKLINE({
IF(D616="""",0,D616),
IF(F616="""",0,F616),
IF(H616="""",0,H616),
IF(J616="""",0,J616),
IF(L616="""",0,L616),
IF(N616="""",0,N616),
IF(P616="""",0,P616)
})"),"")</f>
        <v/>
      </c>
      <c r="U616" s="7" t="str">
        <f ca="1">IFERROR(__xludf.DUMMYFUNCTION("SPARKLINE({
IF(E616="""",0,E616),
IF(G616="""",0,G616),
IF(I616="""",0,I616),
IF(K616="""",0,K616),
IF(M616="""",0,M616),
IF(O616="""",0,O616),
IF(Q616="""",0,Q616)
})"),"")</f>
        <v/>
      </c>
      <c r="V616" s="8" t="e">
        <f t="array" aca="1" ref="V616" ca="1">IF($C$4="Giao",_xludf.Xlookup(C616,#REF!,#REF!,),_xludf.Xlookup(C616,#REF!,#REF!,))</f>
        <v>#NAME?</v>
      </c>
      <c r="W616" s="8" t="e">
        <f t="array" aca="1" ref="W616" ca="1">IF($C$4="Giao", _xludf.Xlookup(C616,#REF!,#REF!,),)</f>
        <v>#NAME?</v>
      </c>
      <c r="X616" s="9" t="e">
        <f t="shared" ca="1" si="8"/>
        <v>#NAME?</v>
      </c>
      <c r="Y616" s="7"/>
      <c r="Z616" s="7"/>
    </row>
    <row r="617" spans="1:26" ht="13" x14ac:dyDescent="0.6">
      <c r="A617" s="28" t="str">
        <f t="shared" si="7"/>
        <v/>
      </c>
      <c r="B617" s="7"/>
      <c r="C617" s="7"/>
      <c r="D617" s="9"/>
      <c r="E617" s="9"/>
      <c r="F617" s="7"/>
      <c r="G617" s="7"/>
      <c r="H617" s="7"/>
      <c r="I617" s="7"/>
      <c r="J617" s="7"/>
      <c r="K617" s="7"/>
      <c r="L617" s="7"/>
      <c r="M617" s="7"/>
      <c r="N617" s="7"/>
      <c r="O617" s="7"/>
      <c r="P617" s="29"/>
      <c r="Q617" s="29"/>
      <c r="R617" s="7"/>
      <c r="S617" s="7"/>
      <c r="T617" s="7" t="str">
        <f ca="1">IFERROR(__xludf.DUMMYFUNCTION("SPARKLINE({
IF(D617="""",0,D617),
IF(F617="""",0,F617),
IF(H617="""",0,H617),
IF(J617="""",0,J617),
IF(L617="""",0,L617),
IF(N617="""",0,N617),
IF(P617="""",0,P617)
})"),"")</f>
        <v/>
      </c>
      <c r="U617" s="7" t="str">
        <f ca="1">IFERROR(__xludf.DUMMYFUNCTION("SPARKLINE({
IF(E617="""",0,E617),
IF(G617="""",0,G617),
IF(I617="""",0,I617),
IF(K617="""",0,K617),
IF(M617="""",0,M617),
IF(O617="""",0,O617),
IF(Q617="""",0,Q617)
})"),"")</f>
        <v/>
      </c>
      <c r="V617" s="8" t="e">
        <f t="array" aca="1" ref="V617" ca="1">IF($C$4="Giao",_xludf.Xlookup(C617,#REF!,#REF!,),_xludf.Xlookup(C617,#REF!,#REF!,))</f>
        <v>#NAME?</v>
      </c>
      <c r="W617" s="8" t="e">
        <f t="array" aca="1" ref="W617" ca="1">IF($C$4="Giao", _xludf.Xlookup(C617,#REF!,#REF!,),)</f>
        <v>#NAME?</v>
      </c>
      <c r="X617" s="9" t="e">
        <f t="shared" ca="1" si="8"/>
        <v>#NAME?</v>
      </c>
      <c r="Y617" s="7"/>
      <c r="Z617" s="7"/>
    </row>
    <row r="618" spans="1:26" ht="13" x14ac:dyDescent="0.6">
      <c r="A618" s="28" t="str">
        <f t="shared" si="7"/>
        <v/>
      </c>
      <c r="B618" s="7"/>
      <c r="C618" s="7"/>
      <c r="D618" s="9"/>
      <c r="E618" s="9"/>
      <c r="F618" s="7"/>
      <c r="G618" s="7"/>
      <c r="H618" s="7"/>
      <c r="I618" s="7"/>
      <c r="J618" s="7"/>
      <c r="K618" s="7"/>
      <c r="L618" s="7"/>
      <c r="M618" s="7"/>
      <c r="N618" s="7"/>
      <c r="O618" s="7"/>
      <c r="P618" s="29"/>
      <c r="Q618" s="29"/>
      <c r="R618" s="7"/>
      <c r="S618" s="7"/>
      <c r="T618" s="7" t="str">
        <f ca="1">IFERROR(__xludf.DUMMYFUNCTION("SPARKLINE({
IF(D618="""",0,D618),
IF(F618="""",0,F618),
IF(H618="""",0,H618),
IF(J618="""",0,J618),
IF(L618="""",0,L618),
IF(N618="""",0,N618),
IF(P618="""",0,P618)
})"),"")</f>
        <v/>
      </c>
      <c r="U618" s="7" t="str">
        <f ca="1">IFERROR(__xludf.DUMMYFUNCTION("SPARKLINE({
IF(E618="""",0,E618),
IF(G618="""",0,G618),
IF(I618="""",0,I618),
IF(K618="""",0,K618),
IF(M618="""",0,M618),
IF(O618="""",0,O618),
IF(Q618="""",0,Q618)
})"),"")</f>
        <v/>
      </c>
      <c r="V618" s="8" t="e">
        <f t="array" aca="1" ref="V618" ca="1">IF($C$4="Giao",_xludf.Xlookup(C618,#REF!,#REF!,),_xludf.Xlookup(C618,#REF!,#REF!,))</f>
        <v>#NAME?</v>
      </c>
      <c r="W618" s="8" t="e">
        <f t="array" aca="1" ref="W618" ca="1">IF($C$4="Giao", _xludf.Xlookup(C618,#REF!,#REF!,),)</f>
        <v>#NAME?</v>
      </c>
      <c r="X618" s="9" t="e">
        <f t="shared" ca="1" si="8"/>
        <v>#NAME?</v>
      </c>
      <c r="Y618" s="7"/>
      <c r="Z618" s="7"/>
    </row>
    <row r="619" spans="1:26" ht="13" x14ac:dyDescent="0.6">
      <c r="A619" s="28" t="str">
        <f t="shared" si="7"/>
        <v/>
      </c>
      <c r="B619" s="7"/>
      <c r="C619" s="7"/>
      <c r="D619" s="9"/>
      <c r="E619" s="9"/>
      <c r="F619" s="7"/>
      <c r="G619" s="7"/>
      <c r="H619" s="7"/>
      <c r="I619" s="7"/>
      <c r="J619" s="7"/>
      <c r="K619" s="7"/>
      <c r="L619" s="7"/>
      <c r="M619" s="7"/>
      <c r="N619" s="7"/>
      <c r="O619" s="7"/>
      <c r="P619" s="29"/>
      <c r="Q619" s="29"/>
      <c r="R619" s="7"/>
      <c r="S619" s="7"/>
      <c r="T619" s="7" t="str">
        <f ca="1">IFERROR(__xludf.DUMMYFUNCTION("SPARKLINE({
IF(D619="""",0,D619),
IF(F619="""",0,F619),
IF(H619="""",0,H619),
IF(J619="""",0,J619),
IF(L619="""",0,L619),
IF(N619="""",0,N619),
IF(P619="""",0,P619)
})"),"")</f>
        <v/>
      </c>
      <c r="U619" s="7" t="str">
        <f ca="1">IFERROR(__xludf.DUMMYFUNCTION("SPARKLINE({
IF(E619="""",0,E619),
IF(G619="""",0,G619),
IF(I619="""",0,I619),
IF(K619="""",0,K619),
IF(M619="""",0,M619),
IF(O619="""",0,O619),
IF(Q619="""",0,Q619)
})"),"")</f>
        <v/>
      </c>
      <c r="V619" s="8" t="e">
        <f t="array" aca="1" ref="V619" ca="1">IF($C$4="Giao",_xludf.Xlookup(C619,#REF!,#REF!,),_xludf.Xlookup(C619,#REF!,#REF!,))</f>
        <v>#NAME?</v>
      </c>
      <c r="W619" s="8" t="e">
        <f t="array" aca="1" ref="W619" ca="1">IF($C$4="Giao", _xludf.Xlookup(C619,#REF!,#REF!,),)</f>
        <v>#NAME?</v>
      </c>
      <c r="X619" s="9" t="e">
        <f t="shared" ca="1" si="8"/>
        <v>#NAME?</v>
      </c>
      <c r="Y619" s="7"/>
      <c r="Z619" s="7"/>
    </row>
    <row r="620" spans="1:26" ht="13" x14ac:dyDescent="0.6">
      <c r="A620" s="28" t="str">
        <f t="shared" si="7"/>
        <v/>
      </c>
      <c r="B620" s="7"/>
      <c r="C620" s="7"/>
      <c r="D620" s="9"/>
      <c r="E620" s="9"/>
      <c r="F620" s="7"/>
      <c r="G620" s="7"/>
      <c r="H620" s="7"/>
      <c r="I620" s="7"/>
      <c r="J620" s="7"/>
      <c r="K620" s="7"/>
      <c r="L620" s="7"/>
      <c r="M620" s="7"/>
      <c r="N620" s="7"/>
      <c r="O620" s="7"/>
      <c r="P620" s="29"/>
      <c r="Q620" s="29"/>
      <c r="R620" s="7"/>
      <c r="S620" s="7"/>
      <c r="T620" s="7" t="str">
        <f ca="1">IFERROR(__xludf.DUMMYFUNCTION("SPARKLINE({
IF(D620="""",0,D620),
IF(F620="""",0,F620),
IF(H620="""",0,H620),
IF(J620="""",0,J620),
IF(L620="""",0,L620),
IF(N620="""",0,N620),
IF(P620="""",0,P620)
})"),"")</f>
        <v/>
      </c>
      <c r="U620" s="7" t="str">
        <f ca="1">IFERROR(__xludf.DUMMYFUNCTION("SPARKLINE({
IF(E620="""",0,E620),
IF(G620="""",0,G620),
IF(I620="""",0,I620),
IF(K620="""",0,K620),
IF(M620="""",0,M620),
IF(O620="""",0,O620),
IF(Q620="""",0,Q620)
})"),"")</f>
        <v/>
      </c>
      <c r="V620" s="8" t="e">
        <f t="array" aca="1" ref="V620" ca="1">IF($C$4="Giao",_xludf.Xlookup(C620,#REF!,#REF!,),_xludf.Xlookup(C620,#REF!,#REF!,))</f>
        <v>#NAME?</v>
      </c>
      <c r="W620" s="8" t="e">
        <f t="array" aca="1" ref="W620" ca="1">IF($C$4="Giao", _xludf.Xlookup(C620,#REF!,#REF!,),)</f>
        <v>#NAME?</v>
      </c>
      <c r="X620" s="9" t="e">
        <f t="shared" ca="1" si="8"/>
        <v>#NAME?</v>
      </c>
      <c r="Y620" s="7"/>
      <c r="Z620" s="7"/>
    </row>
    <row r="621" spans="1:26" ht="13" x14ac:dyDescent="0.6">
      <c r="A621" s="28" t="str">
        <f t="shared" si="7"/>
        <v/>
      </c>
      <c r="B621" s="7"/>
      <c r="C621" s="7"/>
      <c r="D621" s="9"/>
      <c r="E621" s="9"/>
      <c r="F621" s="7"/>
      <c r="G621" s="7"/>
      <c r="H621" s="7"/>
      <c r="I621" s="7"/>
      <c r="J621" s="7"/>
      <c r="K621" s="7"/>
      <c r="L621" s="7"/>
      <c r="M621" s="7"/>
      <c r="N621" s="7"/>
      <c r="O621" s="7"/>
      <c r="P621" s="29"/>
      <c r="Q621" s="29"/>
      <c r="R621" s="7"/>
      <c r="S621" s="7"/>
      <c r="T621" s="7" t="str">
        <f ca="1">IFERROR(__xludf.DUMMYFUNCTION("SPARKLINE({
IF(D621="""",0,D621),
IF(F621="""",0,F621),
IF(H621="""",0,H621),
IF(J621="""",0,J621),
IF(L621="""",0,L621),
IF(N621="""",0,N621),
IF(P621="""",0,P621)
})"),"")</f>
        <v/>
      </c>
      <c r="U621" s="7" t="str">
        <f ca="1">IFERROR(__xludf.DUMMYFUNCTION("SPARKLINE({
IF(E621="""",0,E621),
IF(G621="""",0,G621),
IF(I621="""",0,I621),
IF(K621="""",0,K621),
IF(M621="""",0,M621),
IF(O621="""",0,O621),
IF(Q621="""",0,Q621)
})"),"")</f>
        <v/>
      </c>
      <c r="V621" s="8" t="e">
        <f t="array" aca="1" ref="V621" ca="1">IF($C$4="Giao",_xludf.Xlookup(C621,#REF!,#REF!,),_xludf.Xlookup(C621,#REF!,#REF!,))</f>
        <v>#NAME?</v>
      </c>
      <c r="W621" s="8" t="e">
        <f t="array" aca="1" ref="W621" ca="1">IF($C$4="Giao", _xludf.Xlookup(C621,#REF!,#REF!,),)</f>
        <v>#NAME?</v>
      </c>
      <c r="X621" s="9" t="e">
        <f t="shared" ca="1" si="8"/>
        <v>#NAME?</v>
      </c>
      <c r="Y621" s="7"/>
      <c r="Z621" s="7"/>
    </row>
    <row r="622" spans="1:26" ht="13" x14ac:dyDescent="0.6">
      <c r="A622" s="28" t="str">
        <f t="shared" si="7"/>
        <v/>
      </c>
      <c r="B622" s="7"/>
      <c r="C622" s="7"/>
      <c r="D622" s="9"/>
      <c r="E622" s="9"/>
      <c r="F622" s="7"/>
      <c r="G622" s="7"/>
      <c r="H622" s="7"/>
      <c r="I622" s="7"/>
      <c r="J622" s="7"/>
      <c r="K622" s="7"/>
      <c r="L622" s="7"/>
      <c r="M622" s="7"/>
      <c r="N622" s="7"/>
      <c r="O622" s="7"/>
      <c r="P622" s="29"/>
      <c r="Q622" s="29"/>
      <c r="R622" s="7"/>
      <c r="S622" s="7"/>
      <c r="T622" s="7" t="str">
        <f ca="1">IFERROR(__xludf.DUMMYFUNCTION("SPARKLINE({
IF(D622="""",0,D622),
IF(F622="""",0,F622),
IF(H622="""",0,H622),
IF(J622="""",0,J622),
IF(L622="""",0,L622),
IF(N622="""",0,N622),
IF(P622="""",0,P622)
})"),"")</f>
        <v/>
      </c>
      <c r="U622" s="7" t="str">
        <f ca="1">IFERROR(__xludf.DUMMYFUNCTION("SPARKLINE({
IF(E622="""",0,E622),
IF(G622="""",0,G622),
IF(I622="""",0,I622),
IF(K622="""",0,K622),
IF(M622="""",0,M622),
IF(O622="""",0,O622),
IF(Q622="""",0,Q622)
})"),"")</f>
        <v/>
      </c>
      <c r="V622" s="8" t="e">
        <f t="array" aca="1" ref="V622" ca="1">IF($C$4="Giao",_xludf.Xlookup(C622,#REF!,#REF!,),_xludf.Xlookup(C622,#REF!,#REF!,))</f>
        <v>#NAME?</v>
      </c>
      <c r="W622" s="8" t="e">
        <f t="array" aca="1" ref="W622" ca="1">IF($C$4="Giao", _xludf.Xlookup(C622,#REF!,#REF!,),)</f>
        <v>#NAME?</v>
      </c>
      <c r="X622" s="9" t="e">
        <f t="shared" ca="1" si="8"/>
        <v>#NAME?</v>
      </c>
      <c r="Y622" s="7"/>
      <c r="Z622" s="7"/>
    </row>
    <row r="623" spans="1:26" ht="13" x14ac:dyDescent="0.6">
      <c r="A623" s="28" t="str">
        <f t="shared" si="7"/>
        <v/>
      </c>
      <c r="B623" s="7"/>
      <c r="C623" s="7"/>
      <c r="D623" s="9"/>
      <c r="E623" s="9"/>
      <c r="F623" s="7"/>
      <c r="G623" s="7"/>
      <c r="H623" s="7"/>
      <c r="I623" s="7"/>
      <c r="J623" s="7"/>
      <c r="K623" s="7"/>
      <c r="L623" s="7"/>
      <c r="M623" s="7"/>
      <c r="N623" s="7"/>
      <c r="O623" s="7"/>
      <c r="P623" s="29"/>
      <c r="Q623" s="29"/>
      <c r="R623" s="7"/>
      <c r="S623" s="7"/>
      <c r="T623" s="7" t="str">
        <f ca="1">IFERROR(__xludf.DUMMYFUNCTION("SPARKLINE({
IF(D623="""",0,D623),
IF(F623="""",0,F623),
IF(H623="""",0,H623),
IF(J623="""",0,J623),
IF(L623="""",0,L623),
IF(N623="""",0,N623),
IF(P623="""",0,P623)
})"),"")</f>
        <v/>
      </c>
      <c r="U623" s="7" t="str">
        <f ca="1">IFERROR(__xludf.DUMMYFUNCTION("SPARKLINE({
IF(E623="""",0,E623),
IF(G623="""",0,G623),
IF(I623="""",0,I623),
IF(K623="""",0,K623),
IF(M623="""",0,M623),
IF(O623="""",0,O623),
IF(Q623="""",0,Q623)
})"),"")</f>
        <v/>
      </c>
      <c r="V623" s="8" t="e">
        <f t="array" aca="1" ref="V623" ca="1">IF($C$4="Giao",_xludf.Xlookup(C623,#REF!,#REF!,),_xludf.Xlookup(C623,#REF!,#REF!,))</f>
        <v>#NAME?</v>
      </c>
      <c r="W623" s="8" t="e">
        <f t="array" aca="1" ref="W623" ca="1">IF($C$4="Giao", _xludf.Xlookup(C623,#REF!,#REF!,),)</f>
        <v>#NAME?</v>
      </c>
      <c r="X623" s="9" t="e">
        <f t="shared" ca="1" si="8"/>
        <v>#NAME?</v>
      </c>
      <c r="Y623" s="7"/>
      <c r="Z623" s="7"/>
    </row>
    <row r="624" spans="1:26" ht="13" x14ac:dyDescent="0.6">
      <c r="A624" s="28" t="str">
        <f t="shared" si="7"/>
        <v/>
      </c>
      <c r="B624" s="7"/>
      <c r="C624" s="7"/>
      <c r="D624" s="9"/>
      <c r="E624" s="9"/>
      <c r="F624" s="7"/>
      <c r="G624" s="7"/>
      <c r="H624" s="7"/>
      <c r="I624" s="7"/>
      <c r="J624" s="7"/>
      <c r="K624" s="7"/>
      <c r="L624" s="7"/>
      <c r="M624" s="7"/>
      <c r="N624" s="7"/>
      <c r="O624" s="7"/>
      <c r="P624" s="29"/>
      <c r="Q624" s="29"/>
      <c r="R624" s="7"/>
      <c r="S624" s="7"/>
      <c r="T624" s="7" t="str">
        <f ca="1">IFERROR(__xludf.DUMMYFUNCTION("SPARKLINE({
IF(D624="""",0,D624),
IF(F624="""",0,F624),
IF(H624="""",0,H624),
IF(J624="""",0,J624),
IF(L624="""",0,L624),
IF(N624="""",0,N624),
IF(P624="""",0,P624)
})"),"")</f>
        <v/>
      </c>
      <c r="U624" s="7" t="str">
        <f ca="1">IFERROR(__xludf.DUMMYFUNCTION("SPARKLINE({
IF(E624="""",0,E624),
IF(G624="""",0,G624),
IF(I624="""",0,I624),
IF(K624="""",0,K624),
IF(M624="""",0,M624),
IF(O624="""",0,O624),
IF(Q624="""",0,Q624)
})"),"")</f>
        <v/>
      </c>
      <c r="V624" s="8" t="e">
        <f t="array" aca="1" ref="V624" ca="1">IF($C$4="Giao",_xludf.Xlookup(C624,#REF!,#REF!,),_xludf.Xlookup(C624,#REF!,#REF!,))</f>
        <v>#NAME?</v>
      </c>
      <c r="W624" s="8" t="e">
        <f t="array" aca="1" ref="W624" ca="1">IF($C$4="Giao", _xludf.Xlookup(C624,#REF!,#REF!,),)</f>
        <v>#NAME?</v>
      </c>
      <c r="X624" s="9" t="e">
        <f t="shared" ca="1" si="8"/>
        <v>#NAME?</v>
      </c>
      <c r="Y624" s="7"/>
      <c r="Z624" s="7"/>
    </row>
    <row r="625" spans="1:26" ht="13" x14ac:dyDescent="0.6">
      <c r="A625" s="28" t="str">
        <f t="shared" si="7"/>
        <v/>
      </c>
      <c r="B625" s="7"/>
      <c r="C625" s="7"/>
      <c r="D625" s="9"/>
      <c r="E625" s="9"/>
      <c r="F625" s="7"/>
      <c r="G625" s="7"/>
      <c r="H625" s="7"/>
      <c r="I625" s="7"/>
      <c r="J625" s="7"/>
      <c r="K625" s="7"/>
      <c r="L625" s="7"/>
      <c r="M625" s="7"/>
      <c r="N625" s="7"/>
      <c r="O625" s="7"/>
      <c r="P625" s="29"/>
      <c r="Q625" s="29"/>
      <c r="R625" s="7"/>
      <c r="S625" s="7"/>
      <c r="T625" s="7" t="str">
        <f ca="1">IFERROR(__xludf.DUMMYFUNCTION("SPARKLINE({
IF(D625="""",0,D625),
IF(F625="""",0,F625),
IF(H625="""",0,H625),
IF(J625="""",0,J625),
IF(L625="""",0,L625),
IF(N625="""",0,N625),
IF(P625="""",0,P625)
})"),"")</f>
        <v/>
      </c>
      <c r="U625" s="7" t="str">
        <f ca="1">IFERROR(__xludf.DUMMYFUNCTION("SPARKLINE({
IF(E625="""",0,E625),
IF(G625="""",0,G625),
IF(I625="""",0,I625),
IF(K625="""",0,K625),
IF(M625="""",0,M625),
IF(O625="""",0,O625),
IF(Q625="""",0,Q625)
})"),"")</f>
        <v/>
      </c>
      <c r="V625" s="8" t="e">
        <f t="array" aca="1" ref="V625" ca="1">IF($C$4="Giao",_xludf.Xlookup(C625,#REF!,#REF!,),_xludf.Xlookup(C625,#REF!,#REF!,))</f>
        <v>#NAME?</v>
      </c>
      <c r="W625" s="8" t="e">
        <f t="array" aca="1" ref="W625" ca="1">IF($C$4="Giao", _xludf.Xlookup(C625,#REF!,#REF!,),)</f>
        <v>#NAME?</v>
      </c>
      <c r="X625" s="9" t="e">
        <f t="shared" ca="1" si="8"/>
        <v>#NAME?</v>
      </c>
      <c r="Y625" s="7"/>
      <c r="Z625" s="7"/>
    </row>
    <row r="626" spans="1:26" ht="13" x14ac:dyDescent="0.6">
      <c r="A626" s="28" t="str">
        <f t="shared" si="7"/>
        <v/>
      </c>
      <c r="B626" s="7"/>
      <c r="C626" s="7"/>
      <c r="D626" s="9"/>
      <c r="E626" s="9"/>
      <c r="F626" s="7"/>
      <c r="G626" s="7"/>
      <c r="H626" s="7"/>
      <c r="I626" s="7"/>
      <c r="J626" s="7"/>
      <c r="K626" s="7"/>
      <c r="L626" s="7"/>
      <c r="M626" s="7"/>
      <c r="N626" s="7"/>
      <c r="O626" s="7"/>
      <c r="P626" s="29"/>
      <c r="Q626" s="29"/>
      <c r="R626" s="7"/>
      <c r="S626" s="7"/>
      <c r="T626" s="7" t="str">
        <f ca="1">IFERROR(__xludf.DUMMYFUNCTION("SPARKLINE({
IF(D626="""",0,D626),
IF(F626="""",0,F626),
IF(H626="""",0,H626),
IF(J626="""",0,J626),
IF(L626="""",0,L626),
IF(N626="""",0,N626),
IF(P626="""",0,P626)
})"),"")</f>
        <v/>
      </c>
      <c r="U626" s="7" t="str">
        <f ca="1">IFERROR(__xludf.DUMMYFUNCTION("SPARKLINE({
IF(E626="""",0,E626),
IF(G626="""",0,G626),
IF(I626="""",0,I626),
IF(K626="""",0,K626),
IF(M626="""",0,M626),
IF(O626="""",0,O626),
IF(Q626="""",0,Q626)
})"),"")</f>
        <v/>
      </c>
      <c r="V626" s="8" t="e">
        <f t="array" aca="1" ref="V626" ca="1">IF($C$4="Giao",_xludf.Xlookup(C626,#REF!,#REF!,),_xludf.Xlookup(C626,#REF!,#REF!,))</f>
        <v>#NAME?</v>
      </c>
      <c r="W626" s="8" t="e">
        <f t="array" aca="1" ref="W626" ca="1">IF($C$4="Giao", _xludf.Xlookup(C626,#REF!,#REF!,),)</f>
        <v>#NAME?</v>
      </c>
      <c r="X626" s="9" t="e">
        <f t="shared" ca="1" si="8"/>
        <v>#NAME?</v>
      </c>
      <c r="Y626" s="7"/>
      <c r="Z626" s="7"/>
    </row>
    <row r="627" spans="1:26" ht="13" x14ac:dyDescent="0.6">
      <c r="A627" s="28" t="str">
        <f t="shared" si="7"/>
        <v/>
      </c>
      <c r="B627" s="7"/>
      <c r="C627" s="7"/>
      <c r="D627" s="9"/>
      <c r="E627" s="9"/>
      <c r="F627" s="7"/>
      <c r="G627" s="7"/>
      <c r="H627" s="7"/>
      <c r="I627" s="7"/>
      <c r="J627" s="7"/>
      <c r="K627" s="7"/>
      <c r="L627" s="7"/>
      <c r="M627" s="7"/>
      <c r="N627" s="7"/>
      <c r="O627" s="7"/>
      <c r="P627" s="29"/>
      <c r="Q627" s="29"/>
      <c r="R627" s="7"/>
      <c r="S627" s="7"/>
      <c r="T627" s="7" t="str">
        <f ca="1">IFERROR(__xludf.DUMMYFUNCTION("SPARKLINE({
IF(D627="""",0,D627),
IF(F627="""",0,F627),
IF(H627="""",0,H627),
IF(J627="""",0,J627),
IF(L627="""",0,L627),
IF(N627="""",0,N627),
IF(P627="""",0,P627)
})"),"")</f>
        <v/>
      </c>
      <c r="U627" s="7" t="str">
        <f ca="1">IFERROR(__xludf.DUMMYFUNCTION("SPARKLINE({
IF(E627="""",0,E627),
IF(G627="""",0,G627),
IF(I627="""",0,I627),
IF(K627="""",0,K627),
IF(M627="""",0,M627),
IF(O627="""",0,O627),
IF(Q627="""",0,Q627)
})"),"")</f>
        <v/>
      </c>
      <c r="V627" s="8" t="e">
        <f t="array" aca="1" ref="V627" ca="1">IF($C$4="Giao",_xludf.Xlookup(C627,#REF!,#REF!,),_xludf.Xlookup(C627,#REF!,#REF!,))</f>
        <v>#NAME?</v>
      </c>
      <c r="W627" s="8" t="e">
        <f t="array" aca="1" ref="W627" ca="1">IF($C$4="Giao", _xludf.Xlookup(C627,#REF!,#REF!,),)</f>
        <v>#NAME?</v>
      </c>
      <c r="X627" s="9" t="e">
        <f t="shared" ca="1" si="8"/>
        <v>#NAME?</v>
      </c>
      <c r="Y627" s="7"/>
      <c r="Z627" s="7"/>
    </row>
    <row r="628" spans="1:26" ht="13" x14ac:dyDescent="0.6">
      <c r="A628" s="28" t="str">
        <f t="shared" si="7"/>
        <v/>
      </c>
      <c r="B628" s="7"/>
      <c r="C628" s="7"/>
      <c r="D628" s="9"/>
      <c r="E628" s="9"/>
      <c r="F628" s="7"/>
      <c r="G628" s="7"/>
      <c r="H628" s="7"/>
      <c r="I628" s="7"/>
      <c r="J628" s="7"/>
      <c r="K628" s="7"/>
      <c r="L628" s="7"/>
      <c r="M628" s="7"/>
      <c r="N628" s="7"/>
      <c r="O628" s="7"/>
      <c r="P628" s="29"/>
      <c r="Q628" s="29"/>
      <c r="R628" s="7"/>
      <c r="S628" s="7"/>
      <c r="T628" s="7" t="str">
        <f ca="1">IFERROR(__xludf.DUMMYFUNCTION("SPARKLINE({
IF(D628="""",0,D628),
IF(F628="""",0,F628),
IF(H628="""",0,H628),
IF(J628="""",0,J628),
IF(L628="""",0,L628),
IF(N628="""",0,N628),
IF(P628="""",0,P628)
})"),"")</f>
        <v/>
      </c>
      <c r="U628" s="7" t="str">
        <f ca="1">IFERROR(__xludf.DUMMYFUNCTION("SPARKLINE({
IF(E628="""",0,E628),
IF(G628="""",0,G628),
IF(I628="""",0,I628),
IF(K628="""",0,K628),
IF(M628="""",0,M628),
IF(O628="""",0,O628),
IF(Q628="""",0,Q628)
})"),"")</f>
        <v/>
      </c>
      <c r="V628" s="8" t="e">
        <f t="array" aca="1" ref="V628" ca="1">IF($C$4="Giao",_xludf.Xlookup(C628,#REF!,#REF!,),_xludf.Xlookup(C628,#REF!,#REF!,))</f>
        <v>#NAME?</v>
      </c>
      <c r="W628" s="8" t="e">
        <f t="array" aca="1" ref="W628" ca="1">IF($C$4="Giao", _xludf.Xlookup(C628,#REF!,#REF!,),)</f>
        <v>#NAME?</v>
      </c>
      <c r="X628" s="9" t="e">
        <f t="shared" ca="1" si="8"/>
        <v>#NAME?</v>
      </c>
      <c r="Y628" s="7"/>
      <c r="Z628" s="7"/>
    </row>
    <row r="629" spans="1:26" ht="13" x14ac:dyDescent="0.6">
      <c r="A629" s="28" t="str">
        <f t="shared" si="7"/>
        <v/>
      </c>
      <c r="B629" s="7"/>
      <c r="C629" s="7"/>
      <c r="D629" s="9"/>
      <c r="E629" s="9"/>
      <c r="F629" s="7"/>
      <c r="G629" s="7"/>
      <c r="H629" s="7"/>
      <c r="I629" s="7"/>
      <c r="J629" s="7"/>
      <c r="K629" s="7"/>
      <c r="L629" s="7"/>
      <c r="M629" s="7"/>
      <c r="N629" s="7"/>
      <c r="O629" s="7"/>
      <c r="P629" s="29"/>
      <c r="Q629" s="29"/>
      <c r="R629" s="7"/>
      <c r="S629" s="7"/>
      <c r="T629" s="7" t="str">
        <f ca="1">IFERROR(__xludf.DUMMYFUNCTION("SPARKLINE({
IF(D629="""",0,D629),
IF(F629="""",0,F629),
IF(H629="""",0,H629),
IF(J629="""",0,J629),
IF(L629="""",0,L629),
IF(N629="""",0,N629),
IF(P629="""",0,P629)
})"),"")</f>
        <v/>
      </c>
      <c r="U629" s="7" t="str">
        <f ca="1">IFERROR(__xludf.DUMMYFUNCTION("SPARKLINE({
IF(E629="""",0,E629),
IF(G629="""",0,G629),
IF(I629="""",0,I629),
IF(K629="""",0,K629),
IF(M629="""",0,M629),
IF(O629="""",0,O629),
IF(Q629="""",0,Q629)
})"),"")</f>
        <v/>
      </c>
      <c r="V629" s="8" t="e">
        <f t="array" aca="1" ref="V629" ca="1">IF($C$4="Giao",_xludf.Xlookup(C629,#REF!,#REF!,),_xludf.Xlookup(C629,#REF!,#REF!,))</f>
        <v>#NAME?</v>
      </c>
      <c r="W629" s="8" t="e">
        <f t="array" aca="1" ref="W629" ca="1">IF($C$4="Giao", _xludf.Xlookup(C629,#REF!,#REF!,),)</f>
        <v>#NAME?</v>
      </c>
      <c r="X629" s="9" t="e">
        <f t="shared" ca="1" si="8"/>
        <v>#NAME?</v>
      </c>
      <c r="Y629" s="7"/>
      <c r="Z629" s="7"/>
    </row>
    <row r="630" spans="1:26" ht="13" x14ac:dyDescent="0.6">
      <c r="A630" s="28" t="str">
        <f t="shared" si="7"/>
        <v/>
      </c>
      <c r="B630" s="7"/>
      <c r="C630" s="7"/>
      <c r="D630" s="9"/>
      <c r="E630" s="9"/>
      <c r="F630" s="7"/>
      <c r="G630" s="7"/>
      <c r="H630" s="7"/>
      <c r="I630" s="7"/>
      <c r="J630" s="7"/>
      <c r="K630" s="7"/>
      <c r="L630" s="7"/>
      <c r="M630" s="7"/>
      <c r="N630" s="7"/>
      <c r="O630" s="7"/>
      <c r="P630" s="29"/>
      <c r="Q630" s="29"/>
      <c r="R630" s="7"/>
      <c r="S630" s="7"/>
      <c r="T630" s="7" t="str">
        <f ca="1">IFERROR(__xludf.DUMMYFUNCTION("SPARKLINE({
IF(D630="""",0,D630),
IF(F630="""",0,F630),
IF(H630="""",0,H630),
IF(J630="""",0,J630),
IF(L630="""",0,L630),
IF(N630="""",0,N630),
IF(P630="""",0,P630)
})"),"")</f>
        <v/>
      </c>
      <c r="U630" s="7" t="str">
        <f ca="1">IFERROR(__xludf.DUMMYFUNCTION("SPARKLINE({
IF(E630="""",0,E630),
IF(G630="""",0,G630),
IF(I630="""",0,I630),
IF(K630="""",0,K630),
IF(M630="""",0,M630),
IF(O630="""",0,O630),
IF(Q630="""",0,Q630)
})"),"")</f>
        <v/>
      </c>
      <c r="V630" s="8" t="e">
        <f t="array" aca="1" ref="V630" ca="1">IF($C$4="Giao",_xludf.Xlookup(C630,#REF!,#REF!,),_xludf.Xlookup(C630,#REF!,#REF!,))</f>
        <v>#NAME?</v>
      </c>
      <c r="W630" s="8" t="e">
        <f t="array" aca="1" ref="W630" ca="1">IF($C$4="Giao", _xludf.Xlookup(C630,#REF!,#REF!,),)</f>
        <v>#NAME?</v>
      </c>
      <c r="X630" s="9" t="e">
        <f t="shared" ca="1" si="8"/>
        <v>#NAME?</v>
      </c>
      <c r="Y630" s="7"/>
      <c r="Z630" s="7"/>
    </row>
    <row r="631" spans="1:26" ht="13" x14ac:dyDescent="0.6">
      <c r="A631" s="28" t="str">
        <f t="shared" si="7"/>
        <v/>
      </c>
      <c r="B631" s="7"/>
      <c r="C631" s="7"/>
      <c r="D631" s="9"/>
      <c r="E631" s="9"/>
      <c r="F631" s="7"/>
      <c r="G631" s="7"/>
      <c r="H631" s="7"/>
      <c r="I631" s="7"/>
      <c r="J631" s="7"/>
      <c r="K631" s="7"/>
      <c r="L631" s="7"/>
      <c r="M631" s="7"/>
      <c r="N631" s="7"/>
      <c r="O631" s="7"/>
      <c r="P631" s="29"/>
      <c r="Q631" s="29"/>
      <c r="R631" s="7"/>
      <c r="S631" s="7"/>
      <c r="T631" s="7" t="str">
        <f ca="1">IFERROR(__xludf.DUMMYFUNCTION("SPARKLINE({
IF(D631="""",0,D631),
IF(F631="""",0,F631),
IF(H631="""",0,H631),
IF(J631="""",0,J631),
IF(L631="""",0,L631),
IF(N631="""",0,N631),
IF(P631="""",0,P631)
})"),"")</f>
        <v/>
      </c>
      <c r="U631" s="7" t="str">
        <f ca="1">IFERROR(__xludf.DUMMYFUNCTION("SPARKLINE({
IF(E631="""",0,E631),
IF(G631="""",0,G631),
IF(I631="""",0,I631),
IF(K631="""",0,K631),
IF(M631="""",0,M631),
IF(O631="""",0,O631),
IF(Q631="""",0,Q631)
})"),"")</f>
        <v/>
      </c>
      <c r="V631" s="8" t="e">
        <f t="array" aca="1" ref="V631" ca="1">IF($C$4="Giao",_xludf.Xlookup(C631,#REF!,#REF!,),_xludf.Xlookup(C631,#REF!,#REF!,))</f>
        <v>#NAME?</v>
      </c>
      <c r="W631" s="8" t="e">
        <f t="array" aca="1" ref="W631" ca="1">IF($C$4="Giao", _xludf.Xlookup(C631,#REF!,#REF!,),)</f>
        <v>#NAME?</v>
      </c>
      <c r="X631" s="9" t="e">
        <f t="shared" ca="1" si="8"/>
        <v>#NAME?</v>
      </c>
      <c r="Y631" s="7"/>
      <c r="Z631" s="7"/>
    </row>
    <row r="632" spans="1:26" ht="13" x14ac:dyDescent="0.6">
      <c r="A632" s="28" t="str">
        <f t="shared" si="7"/>
        <v/>
      </c>
      <c r="B632" s="7"/>
      <c r="C632" s="7"/>
      <c r="D632" s="9"/>
      <c r="E632" s="9"/>
      <c r="F632" s="7"/>
      <c r="G632" s="7"/>
      <c r="H632" s="7"/>
      <c r="I632" s="7"/>
      <c r="J632" s="7"/>
      <c r="K632" s="7"/>
      <c r="L632" s="7"/>
      <c r="M632" s="7"/>
      <c r="N632" s="7"/>
      <c r="O632" s="7"/>
      <c r="P632" s="29"/>
      <c r="Q632" s="29"/>
      <c r="R632" s="7"/>
      <c r="S632" s="7"/>
      <c r="T632" s="7" t="str">
        <f ca="1">IFERROR(__xludf.DUMMYFUNCTION("SPARKLINE({
IF(D632="""",0,D632),
IF(F632="""",0,F632),
IF(H632="""",0,H632),
IF(J632="""",0,J632),
IF(L632="""",0,L632),
IF(N632="""",0,N632),
IF(P632="""",0,P632)
})"),"")</f>
        <v/>
      </c>
      <c r="U632" s="7" t="str">
        <f ca="1">IFERROR(__xludf.DUMMYFUNCTION("SPARKLINE({
IF(E632="""",0,E632),
IF(G632="""",0,G632),
IF(I632="""",0,I632),
IF(K632="""",0,K632),
IF(M632="""",0,M632),
IF(O632="""",0,O632),
IF(Q632="""",0,Q632)
})"),"")</f>
        <v/>
      </c>
      <c r="V632" s="8" t="e">
        <f t="array" aca="1" ref="V632" ca="1">IF($C$4="Giao",_xludf.Xlookup(C632,#REF!,#REF!,),_xludf.Xlookup(C632,#REF!,#REF!,))</f>
        <v>#NAME?</v>
      </c>
      <c r="W632" s="8" t="e">
        <f t="array" aca="1" ref="W632" ca="1">IF($C$4="Giao", _xludf.Xlookup(C632,#REF!,#REF!,),)</f>
        <v>#NAME?</v>
      </c>
      <c r="X632" s="9" t="e">
        <f t="shared" ca="1" si="8"/>
        <v>#NAME?</v>
      </c>
      <c r="Y632" s="7"/>
      <c r="Z632" s="7"/>
    </row>
    <row r="633" spans="1:26" ht="13" x14ac:dyDescent="0.6">
      <c r="A633" s="28" t="str">
        <f t="shared" si="7"/>
        <v/>
      </c>
      <c r="B633" s="7"/>
      <c r="C633" s="7"/>
      <c r="D633" s="9"/>
      <c r="E633" s="9"/>
      <c r="F633" s="7"/>
      <c r="G633" s="7"/>
      <c r="H633" s="7"/>
      <c r="I633" s="7"/>
      <c r="J633" s="7"/>
      <c r="K633" s="7"/>
      <c r="L633" s="7"/>
      <c r="M633" s="7"/>
      <c r="N633" s="7"/>
      <c r="O633" s="7"/>
      <c r="P633" s="29"/>
      <c r="Q633" s="29"/>
      <c r="R633" s="7"/>
      <c r="S633" s="7"/>
      <c r="T633" s="7" t="str">
        <f ca="1">IFERROR(__xludf.DUMMYFUNCTION("SPARKLINE({
IF(D633="""",0,D633),
IF(F633="""",0,F633),
IF(H633="""",0,H633),
IF(J633="""",0,J633),
IF(L633="""",0,L633),
IF(N633="""",0,N633),
IF(P633="""",0,P633)
})"),"")</f>
        <v/>
      </c>
      <c r="U633" s="7" t="str">
        <f ca="1">IFERROR(__xludf.DUMMYFUNCTION("SPARKLINE({
IF(E633="""",0,E633),
IF(G633="""",0,G633),
IF(I633="""",0,I633),
IF(K633="""",0,K633),
IF(M633="""",0,M633),
IF(O633="""",0,O633),
IF(Q633="""",0,Q633)
})"),"")</f>
        <v/>
      </c>
      <c r="V633" s="8" t="e">
        <f t="array" aca="1" ref="V633" ca="1">IF($C$4="Giao",_xludf.Xlookup(C633,#REF!,#REF!,),_xludf.Xlookup(C633,#REF!,#REF!,))</f>
        <v>#NAME?</v>
      </c>
      <c r="W633" s="8" t="e">
        <f t="array" aca="1" ref="W633" ca="1">IF($C$4="Giao", _xludf.Xlookup(C633,#REF!,#REF!,),)</f>
        <v>#NAME?</v>
      </c>
      <c r="X633" s="9" t="e">
        <f t="shared" ca="1" si="8"/>
        <v>#NAME?</v>
      </c>
      <c r="Y633" s="7"/>
      <c r="Z633" s="7"/>
    </row>
    <row r="634" spans="1:26" ht="13" x14ac:dyDescent="0.6">
      <c r="A634" s="28" t="str">
        <f t="shared" si="7"/>
        <v/>
      </c>
      <c r="B634" s="7"/>
      <c r="C634" s="7"/>
      <c r="D634" s="9"/>
      <c r="E634" s="9"/>
      <c r="F634" s="7"/>
      <c r="G634" s="7"/>
      <c r="H634" s="7"/>
      <c r="I634" s="7"/>
      <c r="J634" s="7"/>
      <c r="K634" s="7"/>
      <c r="L634" s="7"/>
      <c r="M634" s="7"/>
      <c r="N634" s="7"/>
      <c r="O634" s="7"/>
      <c r="P634" s="29"/>
      <c r="Q634" s="29"/>
      <c r="R634" s="7"/>
      <c r="S634" s="7"/>
      <c r="T634" s="7" t="str">
        <f ca="1">IFERROR(__xludf.DUMMYFUNCTION("SPARKLINE({
IF(D634="""",0,D634),
IF(F634="""",0,F634),
IF(H634="""",0,H634),
IF(J634="""",0,J634),
IF(L634="""",0,L634),
IF(N634="""",0,N634),
IF(P634="""",0,P634)
})"),"")</f>
        <v/>
      </c>
      <c r="U634" s="7" t="str">
        <f ca="1">IFERROR(__xludf.DUMMYFUNCTION("SPARKLINE({
IF(E634="""",0,E634),
IF(G634="""",0,G634),
IF(I634="""",0,I634),
IF(K634="""",0,K634),
IF(M634="""",0,M634),
IF(O634="""",0,O634),
IF(Q634="""",0,Q634)
})"),"")</f>
        <v/>
      </c>
      <c r="V634" s="8" t="e">
        <f t="array" aca="1" ref="V634" ca="1">IF($C$4="Giao",_xludf.Xlookup(C634,#REF!,#REF!,),_xludf.Xlookup(C634,#REF!,#REF!,))</f>
        <v>#NAME?</v>
      </c>
      <c r="W634" s="8" t="e">
        <f t="array" aca="1" ref="W634" ca="1">IF($C$4="Giao", _xludf.Xlookup(C634,#REF!,#REF!,),)</f>
        <v>#NAME?</v>
      </c>
      <c r="X634" s="9" t="e">
        <f t="shared" ca="1" si="8"/>
        <v>#NAME?</v>
      </c>
      <c r="Y634" s="7"/>
      <c r="Z634" s="7"/>
    </row>
    <row r="635" spans="1:26" ht="13" x14ac:dyDescent="0.6">
      <c r="A635" s="28" t="str">
        <f t="shared" si="7"/>
        <v/>
      </c>
      <c r="B635" s="7"/>
      <c r="C635" s="7"/>
      <c r="D635" s="9"/>
      <c r="E635" s="9"/>
      <c r="F635" s="7"/>
      <c r="G635" s="7"/>
      <c r="H635" s="7"/>
      <c r="I635" s="7"/>
      <c r="J635" s="7"/>
      <c r="K635" s="7"/>
      <c r="L635" s="7"/>
      <c r="M635" s="7"/>
      <c r="N635" s="7"/>
      <c r="O635" s="7"/>
      <c r="P635" s="29"/>
      <c r="Q635" s="29"/>
      <c r="R635" s="7"/>
      <c r="S635" s="7"/>
      <c r="T635" s="7" t="str">
        <f ca="1">IFERROR(__xludf.DUMMYFUNCTION("SPARKLINE({
IF(D635="""",0,D635),
IF(F635="""",0,F635),
IF(H635="""",0,H635),
IF(J635="""",0,J635),
IF(L635="""",0,L635),
IF(N635="""",0,N635),
IF(P635="""",0,P635)
})"),"")</f>
        <v/>
      </c>
      <c r="U635" s="7" t="str">
        <f ca="1">IFERROR(__xludf.DUMMYFUNCTION("SPARKLINE({
IF(E635="""",0,E635),
IF(G635="""",0,G635),
IF(I635="""",0,I635),
IF(K635="""",0,K635),
IF(M635="""",0,M635),
IF(O635="""",0,O635),
IF(Q635="""",0,Q635)
})"),"")</f>
        <v/>
      </c>
      <c r="V635" s="8" t="e">
        <f t="array" aca="1" ref="V635" ca="1">IF($C$4="Giao",_xludf.Xlookup(C635,#REF!,#REF!,),_xludf.Xlookup(C635,#REF!,#REF!,))</f>
        <v>#NAME?</v>
      </c>
      <c r="W635" s="8" t="e">
        <f t="array" aca="1" ref="W635" ca="1">IF($C$4="Giao", _xludf.Xlookup(C635,#REF!,#REF!,),)</f>
        <v>#NAME?</v>
      </c>
      <c r="X635" s="9" t="e">
        <f t="shared" ca="1" si="8"/>
        <v>#NAME?</v>
      </c>
      <c r="Y635" s="7"/>
      <c r="Z635" s="7"/>
    </row>
    <row r="636" spans="1:26" ht="13" x14ac:dyDescent="0.6">
      <c r="A636" s="28" t="str">
        <f t="shared" si="7"/>
        <v/>
      </c>
      <c r="B636" s="7"/>
      <c r="C636" s="7"/>
      <c r="D636" s="9"/>
      <c r="E636" s="9"/>
      <c r="F636" s="7"/>
      <c r="G636" s="7"/>
      <c r="H636" s="7"/>
      <c r="I636" s="7"/>
      <c r="J636" s="7"/>
      <c r="K636" s="7"/>
      <c r="L636" s="7"/>
      <c r="M636" s="7"/>
      <c r="N636" s="7"/>
      <c r="O636" s="7"/>
      <c r="P636" s="29"/>
      <c r="Q636" s="29"/>
      <c r="R636" s="7"/>
      <c r="S636" s="7"/>
      <c r="T636" s="7" t="str">
        <f ca="1">IFERROR(__xludf.DUMMYFUNCTION("SPARKLINE({
IF(D636="""",0,D636),
IF(F636="""",0,F636),
IF(H636="""",0,H636),
IF(J636="""",0,J636),
IF(L636="""",0,L636),
IF(N636="""",0,N636),
IF(P636="""",0,P636)
})"),"")</f>
        <v/>
      </c>
      <c r="U636" s="7" t="str">
        <f ca="1">IFERROR(__xludf.DUMMYFUNCTION("SPARKLINE({
IF(E636="""",0,E636),
IF(G636="""",0,G636),
IF(I636="""",0,I636),
IF(K636="""",0,K636),
IF(M636="""",0,M636),
IF(O636="""",0,O636),
IF(Q636="""",0,Q636)
})"),"")</f>
        <v/>
      </c>
      <c r="V636" s="8" t="e">
        <f t="array" aca="1" ref="V636" ca="1">IF($C$4="Giao",_xludf.Xlookup(C636,#REF!,#REF!,),_xludf.Xlookup(C636,#REF!,#REF!,))</f>
        <v>#NAME?</v>
      </c>
      <c r="W636" s="8" t="e">
        <f t="array" aca="1" ref="W636" ca="1">IF($C$4="Giao", _xludf.Xlookup(C636,#REF!,#REF!,),)</f>
        <v>#NAME?</v>
      </c>
      <c r="X636" s="9" t="e">
        <f t="shared" ca="1" si="8"/>
        <v>#NAME?</v>
      </c>
      <c r="Y636" s="7"/>
      <c r="Z636" s="7"/>
    </row>
    <row r="637" spans="1:26" ht="13" x14ac:dyDescent="0.6">
      <c r="A637" s="28" t="str">
        <f t="shared" si="7"/>
        <v/>
      </c>
      <c r="B637" s="7"/>
      <c r="C637" s="7"/>
      <c r="D637" s="9"/>
      <c r="E637" s="9"/>
      <c r="F637" s="7"/>
      <c r="G637" s="7"/>
      <c r="H637" s="7"/>
      <c r="I637" s="7"/>
      <c r="J637" s="7"/>
      <c r="K637" s="7"/>
      <c r="L637" s="7"/>
      <c r="M637" s="7"/>
      <c r="N637" s="7"/>
      <c r="O637" s="7"/>
      <c r="P637" s="29"/>
      <c r="Q637" s="29"/>
      <c r="R637" s="7"/>
      <c r="S637" s="7"/>
      <c r="T637" s="7" t="str">
        <f ca="1">IFERROR(__xludf.DUMMYFUNCTION("SPARKLINE({
IF(D637="""",0,D637),
IF(F637="""",0,F637),
IF(H637="""",0,H637),
IF(J637="""",0,J637),
IF(L637="""",0,L637),
IF(N637="""",0,N637),
IF(P637="""",0,P637)
})"),"")</f>
        <v/>
      </c>
      <c r="U637" s="7" t="str">
        <f ca="1">IFERROR(__xludf.DUMMYFUNCTION("SPARKLINE({
IF(E637="""",0,E637),
IF(G637="""",0,G637),
IF(I637="""",0,I637),
IF(K637="""",0,K637),
IF(M637="""",0,M637),
IF(O637="""",0,O637),
IF(Q637="""",0,Q637)
})"),"")</f>
        <v/>
      </c>
      <c r="V637" s="8" t="e">
        <f t="array" aca="1" ref="V637" ca="1">IF($C$4="Giao",_xludf.Xlookup(C637,#REF!,#REF!,),_xludf.Xlookup(C637,#REF!,#REF!,))</f>
        <v>#NAME?</v>
      </c>
      <c r="W637" s="8" t="e">
        <f t="array" aca="1" ref="W637" ca="1">IF($C$4="Giao", _xludf.Xlookup(C637,#REF!,#REF!,),)</f>
        <v>#NAME?</v>
      </c>
      <c r="X637" s="9" t="e">
        <f t="shared" ca="1" si="8"/>
        <v>#NAME?</v>
      </c>
      <c r="Y637" s="7"/>
      <c r="Z637" s="7"/>
    </row>
    <row r="638" spans="1:26" ht="13" x14ac:dyDescent="0.6">
      <c r="A638" s="28" t="str">
        <f t="shared" si="7"/>
        <v/>
      </c>
      <c r="B638" s="7"/>
      <c r="C638" s="7"/>
      <c r="D638" s="9"/>
      <c r="E638" s="9"/>
      <c r="F638" s="7"/>
      <c r="G638" s="7"/>
      <c r="H638" s="7"/>
      <c r="I638" s="7"/>
      <c r="J638" s="7"/>
      <c r="K638" s="7"/>
      <c r="L638" s="7"/>
      <c r="M638" s="7"/>
      <c r="N638" s="7"/>
      <c r="O638" s="7"/>
      <c r="P638" s="29"/>
      <c r="Q638" s="29"/>
      <c r="R638" s="7"/>
      <c r="S638" s="7"/>
      <c r="T638" s="7" t="str">
        <f ca="1">IFERROR(__xludf.DUMMYFUNCTION("SPARKLINE({
IF(D638="""",0,D638),
IF(F638="""",0,F638),
IF(H638="""",0,H638),
IF(J638="""",0,J638),
IF(L638="""",0,L638),
IF(N638="""",0,N638),
IF(P638="""",0,P638)
})"),"")</f>
        <v/>
      </c>
      <c r="U638" s="7" t="str">
        <f ca="1">IFERROR(__xludf.DUMMYFUNCTION("SPARKLINE({
IF(E638="""",0,E638),
IF(G638="""",0,G638),
IF(I638="""",0,I638),
IF(K638="""",0,K638),
IF(M638="""",0,M638),
IF(O638="""",0,O638),
IF(Q638="""",0,Q638)
})"),"")</f>
        <v/>
      </c>
      <c r="V638" s="8" t="e">
        <f t="array" aca="1" ref="V638" ca="1">IF($C$4="Giao",_xludf.Xlookup(C638,#REF!,#REF!,),_xludf.Xlookup(C638,#REF!,#REF!,))</f>
        <v>#NAME?</v>
      </c>
      <c r="W638" s="8" t="e">
        <f t="array" aca="1" ref="W638" ca="1">IF($C$4="Giao", _xludf.Xlookup(C638,#REF!,#REF!,),)</f>
        <v>#NAME?</v>
      </c>
      <c r="X638" s="9" t="e">
        <f t="shared" ca="1" si="8"/>
        <v>#NAME?</v>
      </c>
      <c r="Y638" s="7"/>
      <c r="Z638" s="7"/>
    </row>
    <row r="639" spans="1:26" ht="13" x14ac:dyDescent="0.6">
      <c r="A639" s="28" t="str">
        <f t="shared" si="7"/>
        <v/>
      </c>
      <c r="B639" s="7"/>
      <c r="C639" s="7"/>
      <c r="D639" s="9"/>
      <c r="E639" s="9"/>
      <c r="F639" s="7"/>
      <c r="G639" s="7"/>
      <c r="H639" s="7"/>
      <c r="I639" s="7"/>
      <c r="J639" s="7"/>
      <c r="K639" s="7"/>
      <c r="L639" s="7"/>
      <c r="M639" s="7"/>
      <c r="N639" s="7"/>
      <c r="O639" s="7"/>
      <c r="P639" s="29"/>
      <c r="Q639" s="29"/>
      <c r="R639" s="7"/>
      <c r="S639" s="7"/>
      <c r="T639" s="7" t="str">
        <f ca="1">IFERROR(__xludf.DUMMYFUNCTION("SPARKLINE({
IF(D639="""",0,D639),
IF(F639="""",0,F639),
IF(H639="""",0,H639),
IF(J639="""",0,J639),
IF(L639="""",0,L639),
IF(N639="""",0,N639),
IF(P639="""",0,P639)
})"),"")</f>
        <v/>
      </c>
      <c r="U639" s="7" t="str">
        <f ca="1">IFERROR(__xludf.DUMMYFUNCTION("SPARKLINE({
IF(E639="""",0,E639),
IF(G639="""",0,G639),
IF(I639="""",0,I639),
IF(K639="""",0,K639),
IF(M639="""",0,M639),
IF(O639="""",0,O639),
IF(Q639="""",0,Q639)
})"),"")</f>
        <v/>
      </c>
      <c r="V639" s="8" t="e">
        <f t="array" aca="1" ref="V639" ca="1">IF($C$4="Giao",_xludf.Xlookup(C639,#REF!,#REF!,),_xludf.Xlookup(C639,#REF!,#REF!,))</f>
        <v>#NAME?</v>
      </c>
      <c r="W639" s="8" t="e">
        <f t="array" aca="1" ref="W639" ca="1">IF($C$4="Giao", _xludf.Xlookup(C639,#REF!,#REF!,),)</f>
        <v>#NAME?</v>
      </c>
      <c r="X639" s="9" t="e">
        <f t="shared" ca="1" si="8"/>
        <v>#NAME?</v>
      </c>
      <c r="Y639" s="7"/>
      <c r="Z639" s="7"/>
    </row>
    <row r="640" spans="1:26" ht="13" x14ac:dyDescent="0.6">
      <c r="A640" s="28" t="str">
        <f t="shared" si="7"/>
        <v/>
      </c>
      <c r="B640" s="7"/>
      <c r="C640" s="7"/>
      <c r="D640" s="9"/>
      <c r="E640" s="9"/>
      <c r="F640" s="7"/>
      <c r="G640" s="7"/>
      <c r="H640" s="7"/>
      <c r="I640" s="7"/>
      <c r="J640" s="7"/>
      <c r="K640" s="7"/>
      <c r="L640" s="7"/>
      <c r="M640" s="7"/>
      <c r="N640" s="7"/>
      <c r="O640" s="7"/>
      <c r="P640" s="29"/>
      <c r="Q640" s="29"/>
      <c r="R640" s="7"/>
      <c r="S640" s="7"/>
      <c r="T640" s="7" t="str">
        <f ca="1">IFERROR(__xludf.DUMMYFUNCTION("SPARKLINE({
IF(D640="""",0,D640),
IF(F640="""",0,F640),
IF(H640="""",0,H640),
IF(J640="""",0,J640),
IF(L640="""",0,L640),
IF(N640="""",0,N640),
IF(P640="""",0,P640)
})"),"")</f>
        <v/>
      </c>
      <c r="U640" s="7" t="str">
        <f ca="1">IFERROR(__xludf.DUMMYFUNCTION("SPARKLINE({
IF(E640="""",0,E640),
IF(G640="""",0,G640),
IF(I640="""",0,I640),
IF(K640="""",0,K640),
IF(M640="""",0,M640),
IF(O640="""",0,O640),
IF(Q640="""",0,Q640)
})"),"")</f>
        <v/>
      </c>
      <c r="V640" s="8" t="e">
        <f t="array" aca="1" ref="V640" ca="1">IF($C$4="Giao",_xludf.Xlookup(C640,#REF!,#REF!,),_xludf.Xlookup(C640,#REF!,#REF!,))</f>
        <v>#NAME?</v>
      </c>
      <c r="W640" s="8" t="e">
        <f t="array" aca="1" ref="W640" ca="1">IF($C$4="Giao", _xludf.Xlookup(C640,#REF!,#REF!,),)</f>
        <v>#NAME?</v>
      </c>
      <c r="X640" s="9" t="e">
        <f t="shared" ca="1" si="8"/>
        <v>#NAME?</v>
      </c>
      <c r="Y640" s="7"/>
      <c r="Z640" s="7"/>
    </row>
    <row r="641" spans="1:26" ht="13" x14ac:dyDescent="0.6">
      <c r="A641" s="28" t="str">
        <f t="shared" si="7"/>
        <v/>
      </c>
      <c r="B641" s="7"/>
      <c r="C641" s="7"/>
      <c r="D641" s="9"/>
      <c r="E641" s="9"/>
      <c r="F641" s="7"/>
      <c r="G641" s="7"/>
      <c r="H641" s="7"/>
      <c r="I641" s="7"/>
      <c r="J641" s="7"/>
      <c r="K641" s="7"/>
      <c r="L641" s="7"/>
      <c r="M641" s="7"/>
      <c r="N641" s="7"/>
      <c r="O641" s="7"/>
      <c r="P641" s="29"/>
      <c r="Q641" s="29"/>
      <c r="R641" s="7"/>
      <c r="S641" s="7"/>
      <c r="T641" s="7" t="str">
        <f ca="1">IFERROR(__xludf.DUMMYFUNCTION("SPARKLINE({
IF(D641="""",0,D641),
IF(F641="""",0,F641),
IF(H641="""",0,H641),
IF(J641="""",0,J641),
IF(L641="""",0,L641),
IF(N641="""",0,N641),
IF(P641="""",0,P641)
})"),"")</f>
        <v/>
      </c>
      <c r="U641" s="7" t="str">
        <f ca="1">IFERROR(__xludf.DUMMYFUNCTION("SPARKLINE({
IF(E641="""",0,E641),
IF(G641="""",0,G641),
IF(I641="""",0,I641),
IF(K641="""",0,K641),
IF(M641="""",0,M641),
IF(O641="""",0,O641),
IF(Q641="""",0,Q641)
})"),"")</f>
        <v/>
      </c>
      <c r="V641" s="8" t="e">
        <f t="array" aca="1" ref="V641" ca="1">IF($C$4="Giao",_xludf.Xlookup(C641,#REF!,#REF!,),_xludf.Xlookup(C641,#REF!,#REF!,))</f>
        <v>#NAME?</v>
      </c>
      <c r="W641" s="8" t="e">
        <f t="array" aca="1" ref="W641" ca="1">IF($C$4="Giao", _xludf.Xlookup(C641,#REF!,#REF!,),)</f>
        <v>#NAME?</v>
      </c>
      <c r="X641" s="9" t="e">
        <f t="shared" ca="1" si="8"/>
        <v>#NAME?</v>
      </c>
      <c r="Y641" s="7"/>
      <c r="Z641" s="7"/>
    </row>
    <row r="642" spans="1:26" ht="13" x14ac:dyDescent="0.6">
      <c r="A642" s="28" t="str">
        <f t="shared" si="7"/>
        <v/>
      </c>
      <c r="B642" s="7"/>
      <c r="C642" s="7"/>
      <c r="D642" s="9"/>
      <c r="E642" s="9"/>
      <c r="F642" s="7"/>
      <c r="G642" s="7"/>
      <c r="H642" s="7"/>
      <c r="I642" s="7"/>
      <c r="J642" s="7"/>
      <c r="K642" s="7"/>
      <c r="L642" s="7"/>
      <c r="M642" s="7"/>
      <c r="N642" s="7"/>
      <c r="O642" s="7"/>
      <c r="P642" s="29"/>
      <c r="Q642" s="29"/>
      <c r="R642" s="7"/>
      <c r="S642" s="7"/>
      <c r="T642" s="7" t="str">
        <f ca="1">IFERROR(__xludf.DUMMYFUNCTION("SPARKLINE({
IF(D642="""",0,D642),
IF(F642="""",0,F642),
IF(H642="""",0,H642),
IF(J642="""",0,J642),
IF(L642="""",0,L642),
IF(N642="""",0,N642),
IF(P642="""",0,P642)
})"),"")</f>
        <v/>
      </c>
      <c r="U642" s="7" t="str">
        <f ca="1">IFERROR(__xludf.DUMMYFUNCTION("SPARKLINE({
IF(E642="""",0,E642),
IF(G642="""",0,G642),
IF(I642="""",0,I642),
IF(K642="""",0,K642),
IF(M642="""",0,M642),
IF(O642="""",0,O642),
IF(Q642="""",0,Q642)
})"),"")</f>
        <v/>
      </c>
      <c r="V642" s="8" t="e">
        <f t="array" aca="1" ref="V642" ca="1">IF($C$4="Giao",_xludf.Xlookup(C642,#REF!,#REF!,),_xludf.Xlookup(C642,#REF!,#REF!,))</f>
        <v>#NAME?</v>
      </c>
      <c r="W642" s="8" t="e">
        <f t="array" aca="1" ref="W642" ca="1">IF($C$4="Giao", _xludf.Xlookup(C642,#REF!,#REF!,),)</f>
        <v>#NAME?</v>
      </c>
      <c r="X642" s="9" t="e">
        <f t="shared" ca="1" si="8"/>
        <v>#NAME?</v>
      </c>
      <c r="Y642" s="7"/>
      <c r="Z642" s="7"/>
    </row>
    <row r="643" spans="1:26" ht="13" x14ac:dyDescent="0.6">
      <c r="A643" s="28" t="str">
        <f t="shared" si="7"/>
        <v/>
      </c>
      <c r="B643" s="7"/>
      <c r="C643" s="7"/>
      <c r="D643" s="9"/>
      <c r="E643" s="9"/>
      <c r="F643" s="7"/>
      <c r="G643" s="7"/>
      <c r="H643" s="7"/>
      <c r="I643" s="7"/>
      <c r="J643" s="7"/>
      <c r="K643" s="7"/>
      <c r="L643" s="7"/>
      <c r="M643" s="7"/>
      <c r="N643" s="7"/>
      <c r="O643" s="7"/>
      <c r="P643" s="29"/>
      <c r="Q643" s="29"/>
      <c r="R643" s="7"/>
      <c r="S643" s="7"/>
      <c r="T643" s="7" t="str">
        <f ca="1">IFERROR(__xludf.DUMMYFUNCTION("SPARKLINE({
IF(D643="""",0,D643),
IF(F643="""",0,F643),
IF(H643="""",0,H643),
IF(J643="""",0,J643),
IF(L643="""",0,L643),
IF(N643="""",0,N643),
IF(P643="""",0,P643)
})"),"")</f>
        <v/>
      </c>
      <c r="U643" s="7" t="str">
        <f ca="1">IFERROR(__xludf.DUMMYFUNCTION("SPARKLINE({
IF(E643="""",0,E643),
IF(G643="""",0,G643),
IF(I643="""",0,I643),
IF(K643="""",0,K643),
IF(M643="""",0,M643),
IF(O643="""",0,O643),
IF(Q643="""",0,Q643)
})"),"")</f>
        <v/>
      </c>
      <c r="V643" s="8" t="e">
        <f t="array" aca="1" ref="V643" ca="1">IF($C$4="Giao",_xludf.Xlookup(C643,#REF!,#REF!,),_xludf.Xlookup(C643,#REF!,#REF!,))</f>
        <v>#NAME?</v>
      </c>
      <c r="W643" s="8" t="e">
        <f t="array" aca="1" ref="W643" ca="1">IF($C$4="Giao", _xludf.Xlookup(C643,#REF!,#REF!,),)</f>
        <v>#NAME?</v>
      </c>
      <c r="X643" s="9" t="e">
        <f t="shared" ca="1" si="8"/>
        <v>#NAME?</v>
      </c>
      <c r="Y643" s="7"/>
      <c r="Z643" s="7"/>
    </row>
    <row r="644" spans="1:26" ht="13" x14ac:dyDescent="0.6">
      <c r="A644" s="28" t="str">
        <f t="shared" si="7"/>
        <v/>
      </c>
      <c r="B644" s="7"/>
      <c r="C644" s="7"/>
      <c r="D644" s="9"/>
      <c r="E644" s="9"/>
      <c r="F644" s="7"/>
      <c r="G644" s="7"/>
      <c r="H644" s="7"/>
      <c r="I644" s="7"/>
      <c r="J644" s="7"/>
      <c r="K644" s="7"/>
      <c r="L644" s="7"/>
      <c r="M644" s="7"/>
      <c r="N644" s="7"/>
      <c r="O644" s="7"/>
      <c r="P644" s="29"/>
      <c r="Q644" s="29"/>
      <c r="R644" s="7"/>
      <c r="S644" s="7"/>
      <c r="T644" s="7" t="str">
        <f ca="1">IFERROR(__xludf.DUMMYFUNCTION("SPARKLINE({
IF(D644="""",0,D644),
IF(F644="""",0,F644),
IF(H644="""",0,H644),
IF(J644="""",0,J644),
IF(L644="""",0,L644),
IF(N644="""",0,N644),
IF(P644="""",0,P644)
})"),"")</f>
        <v/>
      </c>
      <c r="U644" s="7" t="str">
        <f ca="1">IFERROR(__xludf.DUMMYFUNCTION("SPARKLINE({
IF(E644="""",0,E644),
IF(G644="""",0,G644),
IF(I644="""",0,I644),
IF(K644="""",0,K644),
IF(M644="""",0,M644),
IF(O644="""",0,O644),
IF(Q644="""",0,Q644)
})"),"")</f>
        <v/>
      </c>
      <c r="V644" s="8" t="e">
        <f t="array" aca="1" ref="V644" ca="1">IF($C$4="Giao",_xludf.Xlookup(C644,#REF!,#REF!,),_xludf.Xlookup(C644,#REF!,#REF!,))</f>
        <v>#NAME?</v>
      </c>
      <c r="W644" s="8" t="e">
        <f t="array" aca="1" ref="W644" ca="1">IF($C$4="Giao", _xludf.Xlookup(C644,#REF!,#REF!,),)</f>
        <v>#NAME?</v>
      </c>
      <c r="X644" s="9" t="e">
        <f t="shared" ca="1" si="8"/>
        <v>#NAME?</v>
      </c>
      <c r="Y644" s="7"/>
      <c r="Z644" s="7"/>
    </row>
    <row r="645" spans="1:26" ht="13" x14ac:dyDescent="0.6">
      <c r="A645" s="28" t="str">
        <f t="shared" si="7"/>
        <v/>
      </c>
      <c r="B645" s="7"/>
      <c r="C645" s="7"/>
      <c r="D645" s="9"/>
      <c r="E645" s="9"/>
      <c r="F645" s="7"/>
      <c r="G645" s="7"/>
      <c r="H645" s="7"/>
      <c r="I645" s="7"/>
      <c r="J645" s="7"/>
      <c r="K645" s="7"/>
      <c r="L645" s="7"/>
      <c r="M645" s="7"/>
      <c r="N645" s="7"/>
      <c r="O645" s="7"/>
      <c r="P645" s="29"/>
      <c r="Q645" s="29"/>
      <c r="R645" s="7"/>
      <c r="S645" s="7"/>
      <c r="T645" s="7" t="str">
        <f ca="1">IFERROR(__xludf.DUMMYFUNCTION("SPARKLINE({
IF(D645="""",0,D645),
IF(F645="""",0,F645),
IF(H645="""",0,H645),
IF(J645="""",0,J645),
IF(L645="""",0,L645),
IF(N645="""",0,N645),
IF(P645="""",0,P645)
})"),"")</f>
        <v/>
      </c>
      <c r="U645" s="7" t="str">
        <f ca="1">IFERROR(__xludf.DUMMYFUNCTION("SPARKLINE({
IF(E645="""",0,E645),
IF(G645="""",0,G645),
IF(I645="""",0,I645),
IF(K645="""",0,K645),
IF(M645="""",0,M645),
IF(O645="""",0,O645),
IF(Q645="""",0,Q645)
})"),"")</f>
        <v/>
      </c>
      <c r="V645" s="8" t="e">
        <f t="array" aca="1" ref="V645" ca="1">IF($C$4="Giao",_xludf.Xlookup(C645,#REF!,#REF!,),_xludf.Xlookup(C645,#REF!,#REF!,))</f>
        <v>#NAME?</v>
      </c>
      <c r="W645" s="8" t="e">
        <f t="array" aca="1" ref="W645" ca="1">IF($C$4="Giao", _xludf.Xlookup(C645,#REF!,#REF!,),)</f>
        <v>#NAME?</v>
      </c>
      <c r="X645" s="9" t="e">
        <f t="shared" ca="1" si="8"/>
        <v>#NAME?</v>
      </c>
      <c r="Y645" s="7"/>
      <c r="Z645" s="7"/>
    </row>
    <row r="646" spans="1:26" ht="13" x14ac:dyDescent="0.6">
      <c r="A646" s="28" t="str">
        <f t="shared" si="7"/>
        <v/>
      </c>
      <c r="B646" s="7"/>
      <c r="C646" s="7"/>
      <c r="D646" s="9"/>
      <c r="E646" s="9"/>
      <c r="F646" s="7"/>
      <c r="G646" s="7"/>
      <c r="H646" s="7"/>
      <c r="I646" s="7"/>
      <c r="J646" s="7"/>
      <c r="K646" s="7"/>
      <c r="L646" s="7"/>
      <c r="M646" s="7"/>
      <c r="N646" s="7"/>
      <c r="O646" s="7"/>
      <c r="P646" s="29"/>
      <c r="Q646" s="29"/>
      <c r="R646" s="7"/>
      <c r="S646" s="7"/>
      <c r="T646" s="7" t="str">
        <f ca="1">IFERROR(__xludf.DUMMYFUNCTION("SPARKLINE({
IF(D646="""",0,D646),
IF(F646="""",0,F646),
IF(H646="""",0,H646),
IF(J646="""",0,J646),
IF(L646="""",0,L646),
IF(N646="""",0,N646),
IF(P646="""",0,P646)
})"),"")</f>
        <v/>
      </c>
      <c r="U646" s="7" t="str">
        <f ca="1">IFERROR(__xludf.DUMMYFUNCTION("SPARKLINE({
IF(E646="""",0,E646),
IF(G646="""",0,G646),
IF(I646="""",0,I646),
IF(K646="""",0,K646),
IF(M646="""",0,M646),
IF(O646="""",0,O646),
IF(Q646="""",0,Q646)
})"),"")</f>
        <v/>
      </c>
      <c r="V646" s="8" t="e">
        <f t="array" aca="1" ref="V646" ca="1">IF($C$4="Giao",_xludf.Xlookup(C646,#REF!,#REF!,),_xludf.Xlookup(C646,#REF!,#REF!,))</f>
        <v>#NAME?</v>
      </c>
      <c r="W646" s="8" t="e">
        <f t="array" aca="1" ref="W646" ca="1">IF($C$4="Giao", _xludf.Xlookup(C646,#REF!,#REF!,),)</f>
        <v>#NAME?</v>
      </c>
      <c r="X646" s="9" t="e">
        <f t="shared" ca="1" si="8"/>
        <v>#NAME?</v>
      </c>
      <c r="Y646" s="7"/>
      <c r="Z646" s="7"/>
    </row>
    <row r="647" spans="1:26" ht="13" x14ac:dyDescent="0.6">
      <c r="A647" s="28" t="str">
        <f t="shared" si="7"/>
        <v/>
      </c>
      <c r="B647" s="7"/>
      <c r="C647" s="7"/>
      <c r="D647" s="9"/>
      <c r="E647" s="9"/>
      <c r="F647" s="7"/>
      <c r="G647" s="7"/>
      <c r="H647" s="7"/>
      <c r="I647" s="7"/>
      <c r="J647" s="7"/>
      <c r="K647" s="7"/>
      <c r="L647" s="7"/>
      <c r="M647" s="7"/>
      <c r="N647" s="7"/>
      <c r="O647" s="7"/>
      <c r="P647" s="29"/>
      <c r="Q647" s="29"/>
      <c r="R647" s="7"/>
      <c r="S647" s="7"/>
      <c r="T647" s="7" t="str">
        <f ca="1">IFERROR(__xludf.DUMMYFUNCTION("SPARKLINE({
IF(D647="""",0,D647),
IF(F647="""",0,F647),
IF(H647="""",0,H647),
IF(J647="""",0,J647),
IF(L647="""",0,L647),
IF(N647="""",0,N647),
IF(P647="""",0,P647)
})"),"")</f>
        <v/>
      </c>
      <c r="U647" s="7" t="str">
        <f ca="1">IFERROR(__xludf.DUMMYFUNCTION("SPARKLINE({
IF(E647="""",0,E647),
IF(G647="""",0,G647),
IF(I647="""",0,I647),
IF(K647="""",0,K647),
IF(M647="""",0,M647),
IF(O647="""",0,O647),
IF(Q647="""",0,Q647)
})"),"")</f>
        <v/>
      </c>
      <c r="V647" s="8" t="e">
        <f t="array" aca="1" ref="V647" ca="1">IF($C$4="Giao",_xludf.Xlookup(C647,#REF!,#REF!,),_xludf.Xlookup(C647,#REF!,#REF!,))</f>
        <v>#NAME?</v>
      </c>
      <c r="W647" s="8" t="e">
        <f t="array" aca="1" ref="W647" ca="1">IF($C$4="Giao", _xludf.Xlookup(C647,#REF!,#REF!,),)</f>
        <v>#NAME?</v>
      </c>
      <c r="X647" s="9" t="e">
        <f t="shared" ca="1" si="8"/>
        <v>#NAME?</v>
      </c>
      <c r="Y647" s="7"/>
      <c r="Z647" s="7"/>
    </row>
    <row r="648" spans="1:26" ht="13" x14ac:dyDescent="0.6">
      <c r="A648" s="28" t="str">
        <f t="shared" si="7"/>
        <v/>
      </c>
      <c r="B648" s="7"/>
      <c r="C648" s="7"/>
      <c r="D648" s="9"/>
      <c r="E648" s="9"/>
      <c r="F648" s="7"/>
      <c r="G648" s="7"/>
      <c r="H648" s="7"/>
      <c r="I648" s="7"/>
      <c r="J648" s="7"/>
      <c r="K648" s="7"/>
      <c r="L648" s="7"/>
      <c r="M648" s="7"/>
      <c r="N648" s="7"/>
      <c r="O648" s="7"/>
      <c r="P648" s="29"/>
      <c r="Q648" s="29"/>
      <c r="R648" s="7"/>
      <c r="S648" s="7"/>
      <c r="T648" s="7" t="str">
        <f ca="1">IFERROR(__xludf.DUMMYFUNCTION("SPARKLINE({
IF(D648="""",0,D648),
IF(F648="""",0,F648),
IF(H648="""",0,H648),
IF(J648="""",0,J648),
IF(L648="""",0,L648),
IF(N648="""",0,N648),
IF(P648="""",0,P648)
})"),"")</f>
        <v/>
      </c>
      <c r="U648" s="7" t="str">
        <f ca="1">IFERROR(__xludf.DUMMYFUNCTION("SPARKLINE({
IF(E648="""",0,E648),
IF(G648="""",0,G648),
IF(I648="""",0,I648),
IF(K648="""",0,K648),
IF(M648="""",0,M648),
IF(O648="""",0,O648),
IF(Q648="""",0,Q648)
})"),"")</f>
        <v/>
      </c>
      <c r="V648" s="8" t="e">
        <f t="array" aca="1" ref="V648" ca="1">IF($C$4="Giao",_xludf.Xlookup(C648,#REF!,#REF!,),_xludf.Xlookup(C648,#REF!,#REF!,))</f>
        <v>#NAME?</v>
      </c>
      <c r="W648" s="8" t="e">
        <f t="array" aca="1" ref="W648" ca="1">IF($C$4="Giao", _xludf.Xlookup(C648,#REF!,#REF!,),)</f>
        <v>#NAME?</v>
      </c>
      <c r="X648" s="9" t="e">
        <f t="shared" ca="1" si="8"/>
        <v>#NAME?</v>
      </c>
      <c r="Y648" s="7"/>
      <c r="Z648" s="7"/>
    </row>
    <row r="649" spans="1:26" ht="13" x14ac:dyDescent="0.6">
      <c r="A649" s="28" t="str">
        <f t="shared" si="7"/>
        <v/>
      </c>
      <c r="B649" s="7"/>
      <c r="C649" s="7"/>
      <c r="D649" s="9"/>
      <c r="E649" s="9"/>
      <c r="F649" s="7"/>
      <c r="G649" s="7"/>
      <c r="H649" s="7"/>
      <c r="I649" s="7"/>
      <c r="J649" s="7"/>
      <c r="K649" s="7"/>
      <c r="L649" s="7"/>
      <c r="M649" s="7"/>
      <c r="N649" s="7"/>
      <c r="O649" s="7"/>
      <c r="P649" s="29"/>
      <c r="Q649" s="29"/>
      <c r="R649" s="7"/>
      <c r="S649" s="7"/>
      <c r="T649" s="7" t="str">
        <f ca="1">IFERROR(__xludf.DUMMYFUNCTION("SPARKLINE({
IF(D649="""",0,D649),
IF(F649="""",0,F649),
IF(H649="""",0,H649),
IF(J649="""",0,J649),
IF(L649="""",0,L649),
IF(N649="""",0,N649),
IF(P649="""",0,P649)
})"),"")</f>
        <v/>
      </c>
      <c r="U649" s="7" t="str">
        <f ca="1">IFERROR(__xludf.DUMMYFUNCTION("SPARKLINE({
IF(E649="""",0,E649),
IF(G649="""",0,G649),
IF(I649="""",0,I649),
IF(K649="""",0,K649),
IF(M649="""",0,M649),
IF(O649="""",0,O649),
IF(Q649="""",0,Q649)
})"),"")</f>
        <v/>
      </c>
      <c r="V649" s="8" t="e">
        <f t="array" aca="1" ref="V649" ca="1">IF($C$4="Giao",_xludf.Xlookup(C649,#REF!,#REF!,),_xludf.Xlookup(C649,#REF!,#REF!,))</f>
        <v>#NAME?</v>
      </c>
      <c r="W649" s="8" t="e">
        <f t="array" aca="1" ref="W649" ca="1">IF($C$4="Giao", _xludf.Xlookup(C649,#REF!,#REF!,),)</f>
        <v>#NAME?</v>
      </c>
      <c r="X649" s="9" t="e">
        <f t="shared" ca="1" si="8"/>
        <v>#NAME?</v>
      </c>
      <c r="Y649" s="7"/>
      <c r="Z649" s="7"/>
    </row>
    <row r="650" spans="1:26" ht="13" x14ac:dyDescent="0.6">
      <c r="A650" s="28" t="str">
        <f t="shared" si="7"/>
        <v/>
      </c>
      <c r="B650" s="7"/>
      <c r="C650" s="7"/>
      <c r="D650" s="9"/>
      <c r="E650" s="9"/>
      <c r="F650" s="7"/>
      <c r="G650" s="7"/>
      <c r="H650" s="7"/>
      <c r="I650" s="7"/>
      <c r="J650" s="7"/>
      <c r="K650" s="7"/>
      <c r="L650" s="7"/>
      <c r="M650" s="7"/>
      <c r="N650" s="7"/>
      <c r="O650" s="7"/>
      <c r="P650" s="29"/>
      <c r="Q650" s="29"/>
      <c r="R650" s="7"/>
      <c r="S650" s="7"/>
      <c r="T650" s="7" t="str">
        <f ca="1">IFERROR(__xludf.DUMMYFUNCTION("SPARKLINE({
IF(D650="""",0,D650),
IF(F650="""",0,F650),
IF(H650="""",0,H650),
IF(J650="""",0,J650),
IF(L650="""",0,L650),
IF(N650="""",0,N650),
IF(P650="""",0,P650)
})"),"")</f>
        <v/>
      </c>
      <c r="U650" s="7" t="str">
        <f ca="1">IFERROR(__xludf.DUMMYFUNCTION("SPARKLINE({
IF(E650="""",0,E650),
IF(G650="""",0,G650),
IF(I650="""",0,I650),
IF(K650="""",0,K650),
IF(M650="""",0,M650),
IF(O650="""",0,O650),
IF(Q650="""",0,Q650)
})"),"")</f>
        <v/>
      </c>
      <c r="V650" s="8" t="e">
        <f t="array" aca="1" ref="V650" ca="1">IF($C$4="Giao",_xludf.Xlookup(C650,#REF!,#REF!,),_xludf.Xlookup(C650,#REF!,#REF!,))</f>
        <v>#NAME?</v>
      </c>
      <c r="W650" s="8" t="e">
        <f t="array" aca="1" ref="W650" ca="1">IF($C$4="Giao", _xludf.Xlookup(C650,#REF!,#REF!,),)</f>
        <v>#NAME?</v>
      </c>
      <c r="X650" s="9" t="e">
        <f t="shared" ca="1" si="8"/>
        <v>#NAME?</v>
      </c>
      <c r="Y650" s="7"/>
      <c r="Z650" s="7"/>
    </row>
    <row r="651" spans="1:26" ht="13" x14ac:dyDescent="0.6">
      <c r="A651" s="28" t="str">
        <f t="shared" si="7"/>
        <v/>
      </c>
      <c r="B651" s="7"/>
      <c r="C651" s="7"/>
      <c r="D651" s="9"/>
      <c r="E651" s="9"/>
      <c r="F651" s="7"/>
      <c r="G651" s="7"/>
      <c r="H651" s="7"/>
      <c r="I651" s="7"/>
      <c r="J651" s="7"/>
      <c r="K651" s="7"/>
      <c r="L651" s="7"/>
      <c r="M651" s="7"/>
      <c r="N651" s="7"/>
      <c r="O651" s="7"/>
      <c r="P651" s="29"/>
      <c r="Q651" s="29"/>
      <c r="R651" s="7"/>
      <c r="S651" s="7"/>
      <c r="T651" s="7" t="str">
        <f ca="1">IFERROR(__xludf.DUMMYFUNCTION("SPARKLINE({
IF(D651="""",0,D651),
IF(F651="""",0,F651),
IF(H651="""",0,H651),
IF(J651="""",0,J651),
IF(L651="""",0,L651),
IF(N651="""",0,N651),
IF(P651="""",0,P651)
})"),"")</f>
        <v/>
      </c>
      <c r="U651" s="7" t="str">
        <f ca="1">IFERROR(__xludf.DUMMYFUNCTION("SPARKLINE({
IF(E651="""",0,E651),
IF(G651="""",0,G651),
IF(I651="""",0,I651),
IF(K651="""",0,K651),
IF(M651="""",0,M651),
IF(O651="""",0,O651),
IF(Q651="""",0,Q651)
})"),"")</f>
        <v/>
      </c>
      <c r="V651" s="8" t="e">
        <f t="array" aca="1" ref="V651" ca="1">IF($C$4="Giao",_xludf.Xlookup(C651,#REF!,#REF!,),_xludf.Xlookup(C651,#REF!,#REF!,))</f>
        <v>#NAME?</v>
      </c>
      <c r="W651" s="8" t="e">
        <f t="array" aca="1" ref="W651" ca="1">IF($C$4="Giao", _xludf.Xlookup(C651,#REF!,#REF!,),)</f>
        <v>#NAME?</v>
      </c>
      <c r="X651" s="9" t="e">
        <f t="shared" ca="1" si="8"/>
        <v>#NAME?</v>
      </c>
      <c r="Y651" s="7"/>
      <c r="Z651" s="7"/>
    </row>
    <row r="652" spans="1:26" ht="13" x14ac:dyDescent="0.6">
      <c r="A652" s="28" t="str">
        <f t="shared" si="7"/>
        <v/>
      </c>
      <c r="B652" s="7"/>
      <c r="C652" s="7"/>
      <c r="D652" s="9"/>
      <c r="E652" s="9"/>
      <c r="F652" s="7"/>
      <c r="G652" s="7"/>
      <c r="H652" s="7"/>
      <c r="I652" s="7"/>
      <c r="J652" s="7"/>
      <c r="K652" s="7"/>
      <c r="L652" s="7"/>
      <c r="M652" s="7"/>
      <c r="N652" s="7"/>
      <c r="O652" s="7"/>
      <c r="P652" s="29"/>
      <c r="Q652" s="29"/>
      <c r="R652" s="7"/>
      <c r="S652" s="7"/>
      <c r="T652" s="7" t="str">
        <f ca="1">IFERROR(__xludf.DUMMYFUNCTION("SPARKLINE({
IF(D652="""",0,D652),
IF(F652="""",0,F652),
IF(H652="""",0,H652),
IF(J652="""",0,J652),
IF(L652="""",0,L652),
IF(N652="""",0,N652),
IF(P652="""",0,P652)
})"),"")</f>
        <v/>
      </c>
      <c r="U652" s="7" t="str">
        <f ca="1">IFERROR(__xludf.DUMMYFUNCTION("SPARKLINE({
IF(E652="""",0,E652),
IF(G652="""",0,G652),
IF(I652="""",0,I652),
IF(K652="""",0,K652),
IF(M652="""",0,M652),
IF(O652="""",0,O652),
IF(Q652="""",0,Q652)
})"),"")</f>
        <v/>
      </c>
      <c r="V652" s="8" t="e">
        <f t="array" aca="1" ref="V652" ca="1">IF($C$4="Giao",_xludf.Xlookup(C652,#REF!,#REF!,),_xludf.Xlookup(C652,#REF!,#REF!,))</f>
        <v>#NAME?</v>
      </c>
      <c r="W652" s="8" t="e">
        <f t="array" aca="1" ref="W652" ca="1">IF($C$4="Giao", _xludf.Xlookup(C652,#REF!,#REF!,),)</f>
        <v>#NAME?</v>
      </c>
      <c r="X652" s="9" t="e">
        <f t="shared" ca="1" si="8"/>
        <v>#NAME?</v>
      </c>
      <c r="Y652" s="7"/>
      <c r="Z652" s="7"/>
    </row>
    <row r="653" spans="1:26" ht="13" x14ac:dyDescent="0.6">
      <c r="A653" s="28" t="str">
        <f t="shared" si="7"/>
        <v/>
      </c>
      <c r="B653" s="7"/>
      <c r="C653" s="7"/>
      <c r="D653" s="9"/>
      <c r="E653" s="9"/>
      <c r="F653" s="7"/>
      <c r="G653" s="7"/>
      <c r="H653" s="7"/>
      <c r="I653" s="7"/>
      <c r="J653" s="7"/>
      <c r="K653" s="7"/>
      <c r="L653" s="7"/>
      <c r="M653" s="7"/>
      <c r="N653" s="7"/>
      <c r="O653" s="7"/>
      <c r="P653" s="29"/>
      <c r="Q653" s="29"/>
      <c r="R653" s="7"/>
      <c r="S653" s="7"/>
      <c r="T653" s="7" t="str">
        <f ca="1">IFERROR(__xludf.DUMMYFUNCTION("SPARKLINE({
IF(D653="""",0,D653),
IF(F653="""",0,F653),
IF(H653="""",0,H653),
IF(J653="""",0,J653),
IF(L653="""",0,L653),
IF(N653="""",0,N653),
IF(P653="""",0,P653)
})"),"")</f>
        <v/>
      </c>
      <c r="U653" s="7" t="str">
        <f ca="1">IFERROR(__xludf.DUMMYFUNCTION("SPARKLINE({
IF(E653="""",0,E653),
IF(G653="""",0,G653),
IF(I653="""",0,I653),
IF(K653="""",0,K653),
IF(M653="""",0,M653),
IF(O653="""",0,O653),
IF(Q653="""",0,Q653)
})"),"")</f>
        <v/>
      </c>
      <c r="V653" s="8" t="e">
        <f t="array" aca="1" ref="V653" ca="1">IF($C$4="Giao",_xludf.Xlookup(C653,#REF!,#REF!,),_xludf.Xlookup(C653,#REF!,#REF!,))</f>
        <v>#NAME?</v>
      </c>
      <c r="W653" s="8" t="e">
        <f t="array" aca="1" ref="W653" ca="1">IF($C$4="Giao", _xludf.Xlookup(C653,#REF!,#REF!,),)</f>
        <v>#NAME?</v>
      </c>
      <c r="X653" s="9" t="e">
        <f t="shared" ca="1" si="8"/>
        <v>#NAME?</v>
      </c>
      <c r="Y653" s="7"/>
      <c r="Z653" s="7"/>
    </row>
    <row r="654" spans="1:26" ht="13" x14ac:dyDescent="0.6">
      <c r="A654" s="28" t="str">
        <f t="shared" si="7"/>
        <v/>
      </c>
      <c r="B654" s="7"/>
      <c r="C654" s="7"/>
      <c r="D654" s="9"/>
      <c r="E654" s="9"/>
      <c r="F654" s="7"/>
      <c r="G654" s="7"/>
      <c r="H654" s="7"/>
      <c r="I654" s="7"/>
      <c r="J654" s="7"/>
      <c r="K654" s="7"/>
      <c r="L654" s="7"/>
      <c r="M654" s="7"/>
      <c r="N654" s="7"/>
      <c r="O654" s="7"/>
      <c r="P654" s="29"/>
      <c r="Q654" s="29"/>
      <c r="R654" s="7"/>
      <c r="S654" s="7"/>
      <c r="T654" s="7" t="str">
        <f ca="1">IFERROR(__xludf.DUMMYFUNCTION("SPARKLINE({
IF(D654="""",0,D654),
IF(F654="""",0,F654),
IF(H654="""",0,H654),
IF(J654="""",0,J654),
IF(L654="""",0,L654),
IF(N654="""",0,N654),
IF(P654="""",0,P654)
})"),"")</f>
        <v/>
      </c>
      <c r="U654" s="7" t="str">
        <f ca="1">IFERROR(__xludf.DUMMYFUNCTION("SPARKLINE({
IF(E654="""",0,E654),
IF(G654="""",0,G654),
IF(I654="""",0,I654),
IF(K654="""",0,K654),
IF(M654="""",0,M654),
IF(O654="""",0,O654),
IF(Q654="""",0,Q654)
})"),"")</f>
        <v/>
      </c>
      <c r="V654" s="8" t="e">
        <f t="array" aca="1" ref="V654" ca="1">IF($C$4="Giao",_xludf.Xlookup(C654,#REF!,#REF!,),_xludf.Xlookup(C654,#REF!,#REF!,))</f>
        <v>#NAME?</v>
      </c>
      <c r="W654" s="8" t="e">
        <f t="array" aca="1" ref="W654" ca="1">IF($C$4="Giao", _xludf.Xlookup(C654,#REF!,#REF!,),)</f>
        <v>#NAME?</v>
      </c>
      <c r="X654" s="9" t="e">
        <f t="shared" ca="1" si="8"/>
        <v>#NAME?</v>
      </c>
      <c r="Y654" s="7"/>
      <c r="Z654" s="7"/>
    </row>
    <row r="655" spans="1:26" ht="13" x14ac:dyDescent="0.6">
      <c r="A655" s="28" t="str">
        <f t="shared" si="7"/>
        <v/>
      </c>
      <c r="B655" s="7"/>
      <c r="C655" s="7"/>
      <c r="D655" s="9"/>
      <c r="E655" s="9"/>
      <c r="F655" s="7"/>
      <c r="G655" s="7"/>
      <c r="H655" s="7"/>
      <c r="I655" s="7"/>
      <c r="J655" s="7"/>
      <c r="K655" s="7"/>
      <c r="L655" s="7"/>
      <c r="M655" s="7"/>
      <c r="N655" s="7"/>
      <c r="O655" s="7"/>
      <c r="P655" s="29"/>
      <c r="Q655" s="29"/>
      <c r="R655" s="7"/>
      <c r="S655" s="7"/>
      <c r="T655" s="7" t="str">
        <f ca="1">IFERROR(__xludf.DUMMYFUNCTION("SPARKLINE({
IF(D655="""",0,D655),
IF(F655="""",0,F655),
IF(H655="""",0,H655),
IF(J655="""",0,J655),
IF(L655="""",0,L655),
IF(N655="""",0,N655),
IF(P655="""",0,P655)
})"),"")</f>
        <v/>
      </c>
      <c r="U655" s="7" t="str">
        <f ca="1">IFERROR(__xludf.DUMMYFUNCTION("SPARKLINE({
IF(E655="""",0,E655),
IF(G655="""",0,G655),
IF(I655="""",0,I655),
IF(K655="""",0,K655),
IF(M655="""",0,M655),
IF(O655="""",0,O655),
IF(Q655="""",0,Q655)
})"),"")</f>
        <v/>
      </c>
      <c r="V655" s="8" t="e">
        <f t="array" aca="1" ref="V655" ca="1">IF($C$4="Giao",_xludf.Xlookup(C655,#REF!,#REF!,),_xludf.Xlookup(C655,#REF!,#REF!,))</f>
        <v>#NAME?</v>
      </c>
      <c r="W655" s="8" t="e">
        <f t="array" aca="1" ref="W655" ca="1">IF($C$4="Giao", _xludf.Xlookup(C655,#REF!,#REF!,),)</f>
        <v>#NAME?</v>
      </c>
      <c r="X655" s="9" t="e">
        <f t="shared" ca="1" si="8"/>
        <v>#NAME?</v>
      </c>
      <c r="Y655" s="7"/>
      <c r="Z655" s="7"/>
    </row>
    <row r="656" spans="1:26" ht="13" x14ac:dyDescent="0.6">
      <c r="A656" s="28" t="str">
        <f t="shared" si="7"/>
        <v/>
      </c>
      <c r="B656" s="7"/>
      <c r="C656" s="7"/>
      <c r="D656" s="9"/>
      <c r="E656" s="9"/>
      <c r="F656" s="7"/>
      <c r="G656" s="7"/>
      <c r="H656" s="7"/>
      <c r="I656" s="7"/>
      <c r="J656" s="7"/>
      <c r="K656" s="7"/>
      <c r="L656" s="7"/>
      <c r="M656" s="7"/>
      <c r="N656" s="7"/>
      <c r="O656" s="7"/>
      <c r="P656" s="29"/>
      <c r="Q656" s="29"/>
      <c r="R656" s="7"/>
      <c r="S656" s="7"/>
      <c r="T656" s="7" t="str">
        <f ca="1">IFERROR(__xludf.DUMMYFUNCTION("SPARKLINE({
IF(D656="""",0,D656),
IF(F656="""",0,F656),
IF(H656="""",0,H656),
IF(J656="""",0,J656),
IF(L656="""",0,L656),
IF(N656="""",0,N656),
IF(P656="""",0,P656)
})"),"")</f>
        <v/>
      </c>
      <c r="U656" s="7" t="str">
        <f ca="1">IFERROR(__xludf.DUMMYFUNCTION("SPARKLINE({
IF(E656="""",0,E656),
IF(G656="""",0,G656),
IF(I656="""",0,I656),
IF(K656="""",0,K656),
IF(M656="""",0,M656),
IF(O656="""",0,O656),
IF(Q656="""",0,Q656)
})"),"")</f>
        <v/>
      </c>
      <c r="V656" s="8" t="e">
        <f t="array" aca="1" ref="V656" ca="1">IF($C$4="Giao",_xludf.Xlookup(C656,#REF!,#REF!,),_xludf.Xlookup(C656,#REF!,#REF!,))</f>
        <v>#NAME?</v>
      </c>
      <c r="W656" s="8" t="e">
        <f t="array" aca="1" ref="W656" ca="1">IF($C$4="Giao", _xludf.Xlookup(C656,#REF!,#REF!,),)</f>
        <v>#NAME?</v>
      </c>
      <c r="X656" s="9" t="e">
        <f t="shared" ca="1" si="8"/>
        <v>#NAME?</v>
      </c>
      <c r="Y656" s="7"/>
      <c r="Z656" s="7"/>
    </row>
    <row r="657" spans="1:26" ht="13" x14ac:dyDescent="0.6">
      <c r="A657" s="28" t="str">
        <f t="shared" si="7"/>
        <v/>
      </c>
      <c r="B657" s="7"/>
      <c r="C657" s="7"/>
      <c r="D657" s="9"/>
      <c r="E657" s="9"/>
      <c r="F657" s="7"/>
      <c r="G657" s="7"/>
      <c r="H657" s="7"/>
      <c r="I657" s="7"/>
      <c r="J657" s="7"/>
      <c r="K657" s="7"/>
      <c r="L657" s="7"/>
      <c r="M657" s="7"/>
      <c r="N657" s="7"/>
      <c r="O657" s="7"/>
      <c r="P657" s="29"/>
      <c r="Q657" s="29"/>
      <c r="R657" s="7"/>
      <c r="S657" s="7"/>
      <c r="T657" s="7" t="str">
        <f ca="1">IFERROR(__xludf.DUMMYFUNCTION("SPARKLINE({
IF(D657="""",0,D657),
IF(F657="""",0,F657),
IF(H657="""",0,H657),
IF(J657="""",0,J657),
IF(L657="""",0,L657),
IF(N657="""",0,N657),
IF(P657="""",0,P657)
})"),"")</f>
        <v/>
      </c>
      <c r="U657" s="7" t="str">
        <f ca="1">IFERROR(__xludf.DUMMYFUNCTION("SPARKLINE({
IF(E657="""",0,E657),
IF(G657="""",0,G657),
IF(I657="""",0,I657),
IF(K657="""",0,K657),
IF(M657="""",0,M657),
IF(O657="""",0,O657),
IF(Q657="""",0,Q657)
})"),"")</f>
        <v/>
      </c>
      <c r="V657" s="8" t="e">
        <f t="array" aca="1" ref="V657" ca="1">IF($C$4="Giao",_xludf.Xlookup(C657,#REF!,#REF!,),_xludf.Xlookup(C657,#REF!,#REF!,))</f>
        <v>#NAME?</v>
      </c>
      <c r="W657" s="8" t="e">
        <f t="array" aca="1" ref="W657" ca="1">IF($C$4="Giao", _xludf.Xlookup(C657,#REF!,#REF!,),)</f>
        <v>#NAME?</v>
      </c>
      <c r="X657" s="9" t="e">
        <f t="shared" ca="1" si="8"/>
        <v>#NAME?</v>
      </c>
      <c r="Y657" s="7"/>
      <c r="Z657" s="7"/>
    </row>
    <row r="658" spans="1:26" ht="13" x14ac:dyDescent="0.6">
      <c r="A658" s="28" t="str">
        <f t="shared" si="7"/>
        <v/>
      </c>
      <c r="B658" s="7"/>
      <c r="C658" s="7"/>
      <c r="D658" s="9"/>
      <c r="E658" s="9"/>
      <c r="F658" s="7"/>
      <c r="G658" s="7"/>
      <c r="H658" s="7"/>
      <c r="I658" s="7"/>
      <c r="J658" s="7"/>
      <c r="K658" s="7"/>
      <c r="L658" s="7"/>
      <c r="M658" s="7"/>
      <c r="N658" s="7"/>
      <c r="O658" s="7"/>
      <c r="P658" s="29"/>
      <c r="Q658" s="29"/>
      <c r="R658" s="7"/>
      <c r="S658" s="7"/>
      <c r="T658" s="7" t="str">
        <f ca="1">IFERROR(__xludf.DUMMYFUNCTION("SPARKLINE({
IF(D658="""",0,D658),
IF(F658="""",0,F658),
IF(H658="""",0,H658),
IF(J658="""",0,J658),
IF(L658="""",0,L658),
IF(N658="""",0,N658),
IF(P658="""",0,P658)
})"),"")</f>
        <v/>
      </c>
      <c r="U658" s="7" t="str">
        <f ca="1">IFERROR(__xludf.DUMMYFUNCTION("SPARKLINE({
IF(E658="""",0,E658),
IF(G658="""",0,G658),
IF(I658="""",0,I658),
IF(K658="""",0,K658),
IF(M658="""",0,M658),
IF(O658="""",0,O658),
IF(Q658="""",0,Q658)
})"),"")</f>
        <v/>
      </c>
      <c r="V658" s="8" t="e">
        <f t="array" aca="1" ref="V658" ca="1">IF($C$4="Giao",_xludf.Xlookup(C658,#REF!,#REF!,),_xludf.Xlookup(C658,#REF!,#REF!,))</f>
        <v>#NAME?</v>
      </c>
      <c r="W658" s="8" t="e">
        <f t="array" aca="1" ref="W658" ca="1">IF($C$4="Giao", _xludf.Xlookup(C658,#REF!,#REF!,),)</f>
        <v>#NAME?</v>
      </c>
      <c r="X658" s="9" t="e">
        <f t="shared" ca="1" si="8"/>
        <v>#NAME?</v>
      </c>
      <c r="Y658" s="7"/>
      <c r="Z658" s="7"/>
    </row>
    <row r="659" spans="1:26" ht="13" x14ac:dyDescent="0.6">
      <c r="A659" s="28" t="str">
        <f t="shared" si="7"/>
        <v/>
      </c>
      <c r="B659" s="7"/>
      <c r="C659" s="7"/>
      <c r="D659" s="9"/>
      <c r="E659" s="9"/>
      <c r="F659" s="7"/>
      <c r="G659" s="7"/>
      <c r="H659" s="7"/>
      <c r="I659" s="7"/>
      <c r="J659" s="7"/>
      <c r="K659" s="7"/>
      <c r="L659" s="7"/>
      <c r="M659" s="7"/>
      <c r="N659" s="7"/>
      <c r="O659" s="7"/>
      <c r="P659" s="29"/>
      <c r="Q659" s="29"/>
      <c r="R659" s="7"/>
      <c r="S659" s="7"/>
      <c r="T659" s="7" t="str">
        <f ca="1">IFERROR(__xludf.DUMMYFUNCTION("SPARKLINE({
IF(D659="""",0,D659),
IF(F659="""",0,F659),
IF(H659="""",0,H659),
IF(J659="""",0,J659),
IF(L659="""",0,L659),
IF(N659="""",0,N659),
IF(P659="""",0,P659)
})"),"")</f>
        <v/>
      </c>
      <c r="U659" s="7" t="str">
        <f ca="1">IFERROR(__xludf.DUMMYFUNCTION("SPARKLINE({
IF(E659="""",0,E659),
IF(G659="""",0,G659),
IF(I659="""",0,I659),
IF(K659="""",0,K659),
IF(M659="""",0,M659),
IF(O659="""",0,O659),
IF(Q659="""",0,Q659)
})"),"")</f>
        <v/>
      </c>
      <c r="V659" s="8" t="e">
        <f t="array" aca="1" ref="V659" ca="1">IF($C$4="Giao",_xludf.Xlookup(C659,#REF!,#REF!,),_xludf.Xlookup(C659,#REF!,#REF!,))</f>
        <v>#NAME?</v>
      </c>
      <c r="W659" s="8" t="e">
        <f t="array" aca="1" ref="W659" ca="1">IF($C$4="Giao", _xludf.Xlookup(C659,#REF!,#REF!,),)</f>
        <v>#NAME?</v>
      </c>
      <c r="X659" s="9" t="e">
        <f t="shared" ca="1" si="8"/>
        <v>#NAME?</v>
      </c>
      <c r="Y659" s="7"/>
      <c r="Z659" s="7"/>
    </row>
    <row r="660" spans="1:26" ht="13" x14ac:dyDescent="0.6">
      <c r="A660" s="28" t="str">
        <f t="shared" si="7"/>
        <v/>
      </c>
      <c r="B660" s="7"/>
      <c r="C660" s="7"/>
      <c r="D660" s="9"/>
      <c r="E660" s="9"/>
      <c r="F660" s="7"/>
      <c r="G660" s="7"/>
      <c r="H660" s="7"/>
      <c r="I660" s="7"/>
      <c r="J660" s="7"/>
      <c r="K660" s="7"/>
      <c r="L660" s="7"/>
      <c r="M660" s="7"/>
      <c r="N660" s="7"/>
      <c r="O660" s="7"/>
      <c r="P660" s="29"/>
      <c r="Q660" s="29"/>
      <c r="R660" s="7"/>
      <c r="S660" s="7"/>
      <c r="T660" s="7" t="str">
        <f ca="1">IFERROR(__xludf.DUMMYFUNCTION("SPARKLINE({
IF(D660="""",0,D660),
IF(F660="""",0,F660),
IF(H660="""",0,H660),
IF(J660="""",0,J660),
IF(L660="""",0,L660),
IF(N660="""",0,N660),
IF(P660="""",0,P660)
})"),"")</f>
        <v/>
      </c>
      <c r="U660" s="7" t="str">
        <f ca="1">IFERROR(__xludf.DUMMYFUNCTION("SPARKLINE({
IF(E660="""",0,E660),
IF(G660="""",0,G660),
IF(I660="""",0,I660),
IF(K660="""",0,K660),
IF(M660="""",0,M660),
IF(O660="""",0,O660),
IF(Q660="""",0,Q660)
})"),"")</f>
        <v/>
      </c>
      <c r="V660" s="8" t="e">
        <f t="array" aca="1" ref="V660" ca="1">IF($C$4="Giao",_xludf.Xlookup(C660,#REF!,#REF!,),_xludf.Xlookup(C660,#REF!,#REF!,))</f>
        <v>#NAME?</v>
      </c>
      <c r="W660" s="8" t="e">
        <f t="array" aca="1" ref="W660" ca="1">IF($C$4="Giao", _xludf.Xlookup(C660,#REF!,#REF!,),)</f>
        <v>#NAME?</v>
      </c>
      <c r="X660" s="9" t="e">
        <f t="shared" ca="1" si="8"/>
        <v>#NAME?</v>
      </c>
      <c r="Y660" s="7"/>
      <c r="Z660" s="7"/>
    </row>
    <row r="661" spans="1:26" ht="13" x14ac:dyDescent="0.6">
      <c r="A661" s="28" t="str">
        <f t="shared" si="7"/>
        <v/>
      </c>
      <c r="B661" s="7"/>
      <c r="C661" s="7"/>
      <c r="D661" s="9"/>
      <c r="E661" s="9"/>
      <c r="F661" s="7"/>
      <c r="G661" s="7"/>
      <c r="H661" s="7"/>
      <c r="I661" s="7"/>
      <c r="J661" s="7"/>
      <c r="K661" s="7"/>
      <c r="L661" s="7"/>
      <c r="M661" s="7"/>
      <c r="N661" s="7"/>
      <c r="O661" s="7"/>
      <c r="P661" s="29"/>
      <c r="Q661" s="29"/>
      <c r="R661" s="7"/>
      <c r="S661" s="7"/>
      <c r="T661" s="7" t="str">
        <f ca="1">IFERROR(__xludf.DUMMYFUNCTION("SPARKLINE({
IF(D661="""",0,D661),
IF(F661="""",0,F661),
IF(H661="""",0,H661),
IF(J661="""",0,J661),
IF(L661="""",0,L661),
IF(N661="""",0,N661),
IF(P661="""",0,P661)
})"),"")</f>
        <v/>
      </c>
      <c r="U661" s="7" t="str">
        <f ca="1">IFERROR(__xludf.DUMMYFUNCTION("SPARKLINE({
IF(E661="""",0,E661),
IF(G661="""",0,G661),
IF(I661="""",0,I661),
IF(K661="""",0,K661),
IF(M661="""",0,M661),
IF(O661="""",0,O661),
IF(Q661="""",0,Q661)
})"),"")</f>
        <v/>
      </c>
      <c r="V661" s="8" t="e">
        <f t="array" aca="1" ref="V661" ca="1">IF($C$4="Giao",_xludf.Xlookup(C661,#REF!,#REF!,),_xludf.Xlookup(C661,#REF!,#REF!,))</f>
        <v>#NAME?</v>
      </c>
      <c r="W661" s="8" t="e">
        <f t="array" aca="1" ref="W661" ca="1">IF($C$4="Giao", _xludf.Xlookup(C661,#REF!,#REF!,),)</f>
        <v>#NAME?</v>
      </c>
      <c r="X661" s="9" t="e">
        <f t="shared" ca="1" si="8"/>
        <v>#NAME?</v>
      </c>
      <c r="Y661" s="7"/>
      <c r="Z661" s="7"/>
    </row>
    <row r="662" spans="1:26" ht="13" x14ac:dyDescent="0.6">
      <c r="A662" s="28" t="str">
        <f t="shared" si="7"/>
        <v/>
      </c>
      <c r="B662" s="7"/>
      <c r="C662" s="7"/>
      <c r="D662" s="9"/>
      <c r="E662" s="9"/>
      <c r="F662" s="7"/>
      <c r="G662" s="7"/>
      <c r="H662" s="7"/>
      <c r="I662" s="7"/>
      <c r="J662" s="7"/>
      <c r="K662" s="7"/>
      <c r="L662" s="7"/>
      <c r="M662" s="7"/>
      <c r="N662" s="7"/>
      <c r="O662" s="7"/>
      <c r="P662" s="29"/>
      <c r="Q662" s="29"/>
      <c r="R662" s="7"/>
      <c r="S662" s="7"/>
      <c r="T662" s="7" t="str">
        <f ca="1">IFERROR(__xludf.DUMMYFUNCTION("SPARKLINE({
IF(D662="""",0,D662),
IF(F662="""",0,F662),
IF(H662="""",0,H662),
IF(J662="""",0,J662),
IF(L662="""",0,L662),
IF(N662="""",0,N662),
IF(P662="""",0,P662)
})"),"")</f>
        <v/>
      </c>
      <c r="U662" s="7" t="str">
        <f ca="1">IFERROR(__xludf.DUMMYFUNCTION("SPARKLINE({
IF(E662="""",0,E662),
IF(G662="""",0,G662),
IF(I662="""",0,I662),
IF(K662="""",0,K662),
IF(M662="""",0,M662),
IF(O662="""",0,O662),
IF(Q662="""",0,Q662)
})"),"")</f>
        <v/>
      </c>
      <c r="V662" s="8" t="e">
        <f t="array" aca="1" ref="V662" ca="1">IF($C$4="Giao",_xludf.Xlookup(C662,#REF!,#REF!,),_xludf.Xlookup(C662,#REF!,#REF!,))</f>
        <v>#NAME?</v>
      </c>
      <c r="W662" s="8" t="e">
        <f t="array" aca="1" ref="W662" ca="1">IF($C$4="Giao", _xludf.Xlookup(C662,#REF!,#REF!,),)</f>
        <v>#NAME?</v>
      </c>
      <c r="X662" s="9" t="e">
        <f t="shared" ca="1" si="8"/>
        <v>#NAME?</v>
      </c>
      <c r="Y662" s="7"/>
      <c r="Z662" s="7"/>
    </row>
    <row r="663" spans="1:26" ht="13" x14ac:dyDescent="0.6">
      <c r="A663" s="28" t="str">
        <f t="shared" si="7"/>
        <v/>
      </c>
      <c r="B663" s="7"/>
      <c r="C663" s="7"/>
      <c r="D663" s="9"/>
      <c r="E663" s="9"/>
      <c r="F663" s="7"/>
      <c r="G663" s="7"/>
      <c r="H663" s="7"/>
      <c r="I663" s="7"/>
      <c r="J663" s="7"/>
      <c r="K663" s="7"/>
      <c r="L663" s="7"/>
      <c r="M663" s="7"/>
      <c r="N663" s="7"/>
      <c r="O663" s="7"/>
      <c r="P663" s="29"/>
      <c r="Q663" s="29"/>
      <c r="R663" s="7"/>
      <c r="S663" s="7"/>
      <c r="T663" s="7" t="str">
        <f ca="1">IFERROR(__xludf.DUMMYFUNCTION("SPARKLINE({
IF(D663="""",0,D663),
IF(F663="""",0,F663),
IF(H663="""",0,H663),
IF(J663="""",0,J663),
IF(L663="""",0,L663),
IF(N663="""",0,N663),
IF(P663="""",0,P663)
})"),"")</f>
        <v/>
      </c>
      <c r="U663" s="7" t="str">
        <f ca="1">IFERROR(__xludf.DUMMYFUNCTION("SPARKLINE({
IF(E663="""",0,E663),
IF(G663="""",0,G663),
IF(I663="""",0,I663),
IF(K663="""",0,K663),
IF(M663="""",0,M663),
IF(O663="""",0,O663),
IF(Q663="""",0,Q663)
})"),"")</f>
        <v/>
      </c>
      <c r="V663" s="8" t="e">
        <f t="array" aca="1" ref="V663" ca="1">IF($C$4="Giao",_xludf.Xlookup(C663,#REF!,#REF!,),_xludf.Xlookup(C663,#REF!,#REF!,))</f>
        <v>#NAME?</v>
      </c>
      <c r="W663" s="8" t="e">
        <f t="array" aca="1" ref="W663" ca="1">IF($C$4="Giao", _xludf.Xlookup(C663,#REF!,#REF!,),)</f>
        <v>#NAME?</v>
      </c>
      <c r="X663" s="9" t="e">
        <f t="shared" ca="1" si="8"/>
        <v>#NAME?</v>
      </c>
      <c r="Y663" s="7"/>
      <c r="Z663" s="7"/>
    </row>
    <row r="664" spans="1:26" ht="13" x14ac:dyDescent="0.6">
      <c r="A664" s="28" t="str">
        <f t="shared" si="7"/>
        <v/>
      </c>
      <c r="B664" s="7"/>
      <c r="C664" s="7"/>
      <c r="D664" s="9"/>
      <c r="E664" s="9"/>
      <c r="F664" s="7"/>
      <c r="G664" s="7"/>
      <c r="H664" s="7"/>
      <c r="I664" s="7"/>
      <c r="J664" s="7"/>
      <c r="K664" s="7"/>
      <c r="L664" s="7"/>
      <c r="M664" s="7"/>
      <c r="N664" s="7"/>
      <c r="O664" s="7"/>
      <c r="P664" s="29"/>
      <c r="Q664" s="29"/>
      <c r="R664" s="7"/>
      <c r="S664" s="7"/>
      <c r="T664" s="7" t="str">
        <f ca="1">IFERROR(__xludf.DUMMYFUNCTION("SPARKLINE({
IF(D664="""",0,D664),
IF(F664="""",0,F664),
IF(H664="""",0,H664),
IF(J664="""",0,J664),
IF(L664="""",0,L664),
IF(N664="""",0,N664),
IF(P664="""",0,P664)
})"),"")</f>
        <v/>
      </c>
      <c r="U664" s="7" t="str">
        <f ca="1">IFERROR(__xludf.DUMMYFUNCTION("SPARKLINE({
IF(E664="""",0,E664),
IF(G664="""",0,G664),
IF(I664="""",0,I664),
IF(K664="""",0,K664),
IF(M664="""",0,M664),
IF(O664="""",0,O664),
IF(Q664="""",0,Q664)
})"),"")</f>
        <v/>
      </c>
      <c r="V664" s="8" t="e">
        <f t="array" aca="1" ref="V664" ca="1">IF($C$4="Giao",_xludf.Xlookup(C664,#REF!,#REF!,),_xludf.Xlookup(C664,#REF!,#REF!,))</f>
        <v>#NAME?</v>
      </c>
      <c r="W664" s="8" t="e">
        <f t="array" aca="1" ref="W664" ca="1">IF($C$4="Giao", _xludf.Xlookup(C664,#REF!,#REF!,),)</f>
        <v>#NAME?</v>
      </c>
      <c r="X664" s="9" t="e">
        <f t="shared" ca="1" si="8"/>
        <v>#NAME?</v>
      </c>
      <c r="Y664" s="7"/>
      <c r="Z664" s="7"/>
    </row>
    <row r="665" spans="1:26" ht="13" x14ac:dyDescent="0.6">
      <c r="A665" s="28" t="str">
        <f t="shared" si="7"/>
        <v/>
      </c>
      <c r="B665" s="7"/>
      <c r="C665" s="7"/>
      <c r="D665" s="9"/>
      <c r="E665" s="9"/>
      <c r="F665" s="7"/>
      <c r="G665" s="7"/>
      <c r="H665" s="7"/>
      <c r="I665" s="7"/>
      <c r="J665" s="7"/>
      <c r="K665" s="7"/>
      <c r="L665" s="7"/>
      <c r="M665" s="7"/>
      <c r="N665" s="7"/>
      <c r="O665" s="7"/>
      <c r="P665" s="29"/>
      <c r="Q665" s="29"/>
      <c r="R665" s="7"/>
      <c r="S665" s="7"/>
      <c r="T665" s="7" t="str">
        <f ca="1">IFERROR(__xludf.DUMMYFUNCTION("SPARKLINE({
IF(D665="""",0,D665),
IF(F665="""",0,F665),
IF(H665="""",0,H665),
IF(J665="""",0,J665),
IF(L665="""",0,L665),
IF(N665="""",0,N665),
IF(P665="""",0,P665)
})"),"")</f>
        <v/>
      </c>
      <c r="U665" s="7" t="str">
        <f ca="1">IFERROR(__xludf.DUMMYFUNCTION("SPARKLINE({
IF(E665="""",0,E665),
IF(G665="""",0,G665),
IF(I665="""",0,I665),
IF(K665="""",0,K665),
IF(M665="""",0,M665),
IF(O665="""",0,O665),
IF(Q665="""",0,Q665)
})"),"")</f>
        <v/>
      </c>
      <c r="V665" s="8" t="e">
        <f t="array" aca="1" ref="V665" ca="1">IF($C$4="Giao",_xludf.Xlookup(C665,#REF!,#REF!,),_xludf.Xlookup(C665,#REF!,#REF!,))</f>
        <v>#NAME?</v>
      </c>
      <c r="W665" s="8" t="e">
        <f t="array" aca="1" ref="W665" ca="1">IF($C$4="Giao", _xludf.Xlookup(C665,#REF!,#REF!,),)</f>
        <v>#NAME?</v>
      </c>
      <c r="X665" s="9" t="e">
        <f t="shared" ca="1" si="8"/>
        <v>#NAME?</v>
      </c>
      <c r="Y665" s="7"/>
      <c r="Z665" s="7"/>
    </row>
    <row r="666" spans="1:26" ht="13" x14ac:dyDescent="0.6">
      <c r="A666" s="28" t="str">
        <f t="shared" si="7"/>
        <v/>
      </c>
      <c r="B666" s="7"/>
      <c r="C666" s="7"/>
      <c r="D666" s="9"/>
      <c r="E666" s="9"/>
      <c r="F666" s="7"/>
      <c r="G666" s="7"/>
      <c r="H666" s="7"/>
      <c r="I666" s="7"/>
      <c r="J666" s="7"/>
      <c r="K666" s="7"/>
      <c r="L666" s="7"/>
      <c r="M666" s="7"/>
      <c r="N666" s="7"/>
      <c r="O666" s="7"/>
      <c r="P666" s="29"/>
      <c r="Q666" s="29"/>
      <c r="R666" s="7"/>
      <c r="S666" s="7"/>
      <c r="T666" s="7" t="str">
        <f ca="1">IFERROR(__xludf.DUMMYFUNCTION("SPARKLINE({
IF(D666="""",0,D666),
IF(F666="""",0,F666),
IF(H666="""",0,H666),
IF(J666="""",0,J666),
IF(L666="""",0,L666),
IF(N666="""",0,N666),
IF(P666="""",0,P666)
})"),"")</f>
        <v/>
      </c>
      <c r="U666" s="7" t="str">
        <f ca="1">IFERROR(__xludf.DUMMYFUNCTION("SPARKLINE({
IF(E666="""",0,E666),
IF(G666="""",0,G666),
IF(I666="""",0,I666),
IF(K666="""",0,K666),
IF(M666="""",0,M666),
IF(O666="""",0,O666),
IF(Q666="""",0,Q666)
})"),"")</f>
        <v/>
      </c>
      <c r="V666" s="8" t="e">
        <f t="array" aca="1" ref="V666" ca="1">IF($C$4="Giao",_xludf.Xlookup(C666,#REF!,#REF!,),_xludf.Xlookup(C666,#REF!,#REF!,))</f>
        <v>#NAME?</v>
      </c>
      <c r="W666" s="8" t="e">
        <f t="array" aca="1" ref="W666" ca="1">IF($C$4="Giao", _xludf.Xlookup(C666,#REF!,#REF!,),)</f>
        <v>#NAME?</v>
      </c>
      <c r="X666" s="9" t="e">
        <f t="shared" ca="1" si="8"/>
        <v>#NAME?</v>
      </c>
      <c r="Y666" s="7"/>
      <c r="Z666" s="7"/>
    </row>
    <row r="667" spans="1:26" ht="13" x14ac:dyDescent="0.6">
      <c r="A667" s="28" t="str">
        <f t="shared" si="7"/>
        <v/>
      </c>
      <c r="B667" s="7"/>
      <c r="C667" s="7"/>
      <c r="D667" s="9"/>
      <c r="E667" s="9"/>
      <c r="F667" s="7"/>
      <c r="G667" s="7"/>
      <c r="H667" s="7"/>
      <c r="I667" s="7"/>
      <c r="J667" s="7"/>
      <c r="K667" s="7"/>
      <c r="L667" s="7"/>
      <c r="M667" s="7"/>
      <c r="N667" s="7"/>
      <c r="O667" s="7"/>
      <c r="P667" s="29"/>
      <c r="Q667" s="29"/>
      <c r="R667" s="7"/>
      <c r="S667" s="7"/>
      <c r="T667" s="7" t="str">
        <f ca="1">IFERROR(__xludf.DUMMYFUNCTION("SPARKLINE({
IF(D667="""",0,D667),
IF(F667="""",0,F667),
IF(H667="""",0,H667),
IF(J667="""",0,J667),
IF(L667="""",0,L667),
IF(N667="""",0,N667),
IF(P667="""",0,P667)
})"),"")</f>
        <v/>
      </c>
      <c r="U667" s="7" t="str">
        <f ca="1">IFERROR(__xludf.DUMMYFUNCTION("SPARKLINE({
IF(E667="""",0,E667),
IF(G667="""",0,G667),
IF(I667="""",0,I667),
IF(K667="""",0,K667),
IF(M667="""",0,M667),
IF(O667="""",0,O667),
IF(Q667="""",0,Q667)
})"),"")</f>
        <v/>
      </c>
      <c r="V667" s="8" t="e">
        <f t="array" aca="1" ref="V667" ca="1">IF($C$4="Giao",_xludf.Xlookup(C667,#REF!,#REF!,),_xludf.Xlookup(C667,#REF!,#REF!,))</f>
        <v>#NAME?</v>
      </c>
      <c r="W667" s="8" t="e">
        <f t="array" aca="1" ref="W667" ca="1">IF($C$4="Giao", _xludf.Xlookup(C667,#REF!,#REF!,),)</f>
        <v>#NAME?</v>
      </c>
      <c r="X667" s="9" t="e">
        <f t="shared" ca="1" si="8"/>
        <v>#NAME?</v>
      </c>
      <c r="Y667" s="7"/>
      <c r="Z667" s="7"/>
    </row>
    <row r="668" spans="1:26" ht="13" x14ac:dyDescent="0.6">
      <c r="A668" s="28" t="str">
        <f t="shared" si="7"/>
        <v/>
      </c>
      <c r="B668" s="7"/>
      <c r="C668" s="7"/>
      <c r="D668" s="9"/>
      <c r="E668" s="9"/>
      <c r="F668" s="7"/>
      <c r="G668" s="7"/>
      <c r="H668" s="7"/>
      <c r="I668" s="7"/>
      <c r="J668" s="7"/>
      <c r="K668" s="7"/>
      <c r="L668" s="7"/>
      <c r="M668" s="7"/>
      <c r="N668" s="7"/>
      <c r="O668" s="7"/>
      <c r="P668" s="29"/>
      <c r="Q668" s="29"/>
      <c r="R668" s="7"/>
      <c r="S668" s="7"/>
      <c r="T668" s="7" t="str">
        <f ca="1">IFERROR(__xludf.DUMMYFUNCTION("SPARKLINE({
IF(D668="""",0,D668),
IF(F668="""",0,F668),
IF(H668="""",0,H668),
IF(J668="""",0,J668),
IF(L668="""",0,L668),
IF(N668="""",0,N668),
IF(P668="""",0,P668)
})"),"")</f>
        <v/>
      </c>
      <c r="U668" s="7" t="str">
        <f ca="1">IFERROR(__xludf.DUMMYFUNCTION("SPARKLINE({
IF(E668="""",0,E668),
IF(G668="""",0,G668),
IF(I668="""",0,I668),
IF(K668="""",0,K668),
IF(M668="""",0,M668),
IF(O668="""",0,O668),
IF(Q668="""",0,Q668)
})"),"")</f>
        <v/>
      </c>
      <c r="V668" s="8" t="e">
        <f t="array" aca="1" ref="V668" ca="1">IF($C$4="Giao",_xludf.Xlookup(C668,#REF!,#REF!,),_xludf.Xlookup(C668,#REF!,#REF!,))</f>
        <v>#NAME?</v>
      </c>
      <c r="W668" s="8" t="e">
        <f t="array" aca="1" ref="W668" ca="1">IF($C$4="Giao", _xludf.Xlookup(C668,#REF!,#REF!,),)</f>
        <v>#NAME?</v>
      </c>
      <c r="X668" s="9" t="e">
        <f t="shared" ca="1" si="8"/>
        <v>#NAME?</v>
      </c>
      <c r="Y668" s="7"/>
      <c r="Z668" s="7"/>
    </row>
    <row r="669" spans="1:26" ht="13" x14ac:dyDescent="0.6">
      <c r="A669" s="28" t="str">
        <f t="shared" si="7"/>
        <v/>
      </c>
      <c r="B669" s="7"/>
      <c r="C669" s="7"/>
      <c r="D669" s="9"/>
      <c r="E669" s="9"/>
      <c r="F669" s="7"/>
      <c r="G669" s="7"/>
      <c r="H669" s="7"/>
      <c r="I669" s="7"/>
      <c r="J669" s="7"/>
      <c r="K669" s="7"/>
      <c r="L669" s="7"/>
      <c r="M669" s="7"/>
      <c r="N669" s="7"/>
      <c r="O669" s="7"/>
      <c r="P669" s="29"/>
      <c r="Q669" s="29"/>
      <c r="R669" s="7"/>
      <c r="S669" s="7"/>
      <c r="T669" s="7" t="str">
        <f ca="1">IFERROR(__xludf.DUMMYFUNCTION("SPARKLINE({
IF(D669="""",0,D669),
IF(F669="""",0,F669),
IF(H669="""",0,H669),
IF(J669="""",0,J669),
IF(L669="""",0,L669),
IF(N669="""",0,N669),
IF(P669="""",0,P669)
})"),"")</f>
        <v/>
      </c>
      <c r="U669" s="7" t="str">
        <f ca="1">IFERROR(__xludf.DUMMYFUNCTION("SPARKLINE({
IF(E669="""",0,E669),
IF(G669="""",0,G669),
IF(I669="""",0,I669),
IF(K669="""",0,K669),
IF(M669="""",0,M669),
IF(O669="""",0,O669),
IF(Q669="""",0,Q669)
})"),"")</f>
        <v/>
      </c>
      <c r="V669" s="8" t="e">
        <f t="array" aca="1" ref="V669" ca="1">IF($C$4="Giao",_xludf.Xlookup(C669,#REF!,#REF!,),_xludf.Xlookup(C669,#REF!,#REF!,))</f>
        <v>#NAME?</v>
      </c>
      <c r="W669" s="8" t="e">
        <f t="array" aca="1" ref="W669" ca="1">IF($C$4="Giao", _xludf.Xlookup(C669,#REF!,#REF!,),)</f>
        <v>#NAME?</v>
      </c>
      <c r="X669" s="9" t="e">
        <f t="shared" ca="1" si="8"/>
        <v>#NAME?</v>
      </c>
      <c r="Y669" s="7"/>
      <c r="Z669" s="7"/>
    </row>
    <row r="670" spans="1:26" ht="13" x14ac:dyDescent="0.6">
      <c r="A670" s="28" t="str">
        <f t="shared" si="7"/>
        <v/>
      </c>
      <c r="B670" s="7"/>
      <c r="C670" s="7"/>
      <c r="D670" s="9"/>
      <c r="E670" s="9"/>
      <c r="F670" s="7"/>
      <c r="G670" s="7"/>
      <c r="H670" s="7"/>
      <c r="I670" s="7"/>
      <c r="J670" s="7"/>
      <c r="K670" s="7"/>
      <c r="L670" s="7"/>
      <c r="M670" s="7"/>
      <c r="N670" s="7"/>
      <c r="O670" s="7"/>
      <c r="P670" s="29"/>
      <c r="Q670" s="29"/>
      <c r="R670" s="7"/>
      <c r="S670" s="7"/>
      <c r="T670" s="7" t="str">
        <f ca="1">IFERROR(__xludf.DUMMYFUNCTION("SPARKLINE({
IF(D670="""",0,D670),
IF(F670="""",0,F670),
IF(H670="""",0,H670),
IF(J670="""",0,J670),
IF(L670="""",0,L670),
IF(N670="""",0,N670),
IF(P670="""",0,P670)
})"),"")</f>
        <v/>
      </c>
      <c r="U670" s="7" t="str">
        <f ca="1">IFERROR(__xludf.DUMMYFUNCTION("SPARKLINE({
IF(E670="""",0,E670),
IF(G670="""",0,G670),
IF(I670="""",0,I670),
IF(K670="""",0,K670),
IF(M670="""",0,M670),
IF(O670="""",0,O670),
IF(Q670="""",0,Q670)
})"),"")</f>
        <v/>
      </c>
      <c r="V670" s="8" t="e">
        <f t="array" aca="1" ref="V670" ca="1">IF($C$4="Giao",_xludf.Xlookup(C670,#REF!,#REF!,),_xludf.Xlookup(C670,#REF!,#REF!,))</f>
        <v>#NAME?</v>
      </c>
      <c r="W670" s="8" t="e">
        <f t="array" aca="1" ref="W670" ca="1">IF($C$4="Giao", _xludf.Xlookup(C670,#REF!,#REF!,),)</f>
        <v>#NAME?</v>
      </c>
      <c r="X670" s="9" t="e">
        <f t="shared" ca="1" si="8"/>
        <v>#NAME?</v>
      </c>
      <c r="Y670" s="7"/>
      <c r="Z670" s="7"/>
    </row>
    <row r="671" spans="1:26" ht="13" x14ac:dyDescent="0.6">
      <c r="A671" s="28" t="str">
        <f t="shared" si="7"/>
        <v/>
      </c>
      <c r="B671" s="7"/>
      <c r="C671" s="7"/>
      <c r="D671" s="9"/>
      <c r="E671" s="9"/>
      <c r="F671" s="7"/>
      <c r="G671" s="7"/>
      <c r="H671" s="7"/>
      <c r="I671" s="7"/>
      <c r="J671" s="7"/>
      <c r="K671" s="7"/>
      <c r="L671" s="7"/>
      <c r="M671" s="7"/>
      <c r="N671" s="7"/>
      <c r="O671" s="7"/>
      <c r="P671" s="29"/>
      <c r="Q671" s="29"/>
      <c r="R671" s="7"/>
      <c r="S671" s="7"/>
      <c r="T671" s="7" t="str">
        <f ca="1">IFERROR(__xludf.DUMMYFUNCTION("SPARKLINE({
IF(D671="""",0,D671),
IF(F671="""",0,F671),
IF(H671="""",0,H671),
IF(J671="""",0,J671),
IF(L671="""",0,L671),
IF(N671="""",0,N671),
IF(P671="""",0,P671)
})"),"")</f>
        <v/>
      </c>
      <c r="U671" s="7" t="str">
        <f ca="1">IFERROR(__xludf.DUMMYFUNCTION("SPARKLINE({
IF(E671="""",0,E671),
IF(G671="""",0,G671),
IF(I671="""",0,I671),
IF(K671="""",0,K671),
IF(M671="""",0,M671),
IF(O671="""",0,O671),
IF(Q671="""",0,Q671)
})"),"")</f>
        <v/>
      </c>
      <c r="V671" s="8" t="e">
        <f t="array" aca="1" ref="V671" ca="1">IF($C$4="Giao",_xludf.Xlookup(C671,#REF!,#REF!,),_xludf.Xlookup(C671,#REF!,#REF!,))</f>
        <v>#NAME?</v>
      </c>
      <c r="W671" s="8" t="e">
        <f t="array" aca="1" ref="W671" ca="1">IF($C$4="Giao", _xludf.Xlookup(C671,#REF!,#REF!,),)</f>
        <v>#NAME?</v>
      </c>
      <c r="X671" s="9" t="e">
        <f t="shared" ca="1" si="8"/>
        <v>#NAME?</v>
      </c>
      <c r="Y671" s="7"/>
      <c r="Z671" s="7"/>
    </row>
    <row r="672" spans="1:26" ht="13" x14ac:dyDescent="0.6">
      <c r="A672" s="28" t="str">
        <f t="shared" si="7"/>
        <v/>
      </c>
      <c r="B672" s="7"/>
      <c r="C672" s="7"/>
      <c r="D672" s="9"/>
      <c r="E672" s="9"/>
      <c r="F672" s="7"/>
      <c r="G672" s="7"/>
      <c r="H672" s="7"/>
      <c r="I672" s="7"/>
      <c r="J672" s="7"/>
      <c r="K672" s="7"/>
      <c r="L672" s="7"/>
      <c r="M672" s="7"/>
      <c r="N672" s="7"/>
      <c r="O672" s="7"/>
      <c r="P672" s="29"/>
      <c r="Q672" s="29"/>
      <c r="R672" s="7"/>
      <c r="S672" s="7"/>
      <c r="T672" s="7" t="str">
        <f ca="1">IFERROR(__xludf.DUMMYFUNCTION("SPARKLINE({
IF(D672="""",0,D672),
IF(F672="""",0,F672),
IF(H672="""",0,H672),
IF(J672="""",0,J672),
IF(L672="""",0,L672),
IF(N672="""",0,N672),
IF(P672="""",0,P672)
})"),"")</f>
        <v/>
      </c>
      <c r="U672" s="7" t="str">
        <f ca="1">IFERROR(__xludf.DUMMYFUNCTION("SPARKLINE({
IF(E672="""",0,E672),
IF(G672="""",0,G672),
IF(I672="""",0,I672),
IF(K672="""",0,K672),
IF(M672="""",0,M672),
IF(O672="""",0,O672),
IF(Q672="""",0,Q672)
})"),"")</f>
        <v/>
      </c>
      <c r="V672" s="8" t="e">
        <f t="array" aca="1" ref="V672" ca="1">IF($C$4="Giao",_xludf.Xlookup(C672,#REF!,#REF!,),_xludf.Xlookup(C672,#REF!,#REF!,))</f>
        <v>#NAME?</v>
      </c>
      <c r="W672" s="8" t="e">
        <f t="array" aca="1" ref="W672" ca="1">IF($C$4="Giao", _xludf.Xlookup(C672,#REF!,#REF!,),)</f>
        <v>#NAME?</v>
      </c>
      <c r="X672" s="9" t="e">
        <f t="shared" ca="1" si="8"/>
        <v>#NAME?</v>
      </c>
      <c r="Y672" s="7"/>
      <c r="Z672" s="7"/>
    </row>
    <row r="673" spans="1:26" ht="13" x14ac:dyDescent="0.6">
      <c r="A673" s="28" t="str">
        <f t="shared" si="7"/>
        <v/>
      </c>
      <c r="B673" s="7"/>
      <c r="C673" s="7"/>
      <c r="D673" s="9"/>
      <c r="E673" s="9"/>
      <c r="F673" s="7"/>
      <c r="G673" s="7"/>
      <c r="H673" s="7"/>
      <c r="I673" s="7"/>
      <c r="J673" s="7"/>
      <c r="K673" s="7"/>
      <c r="L673" s="7"/>
      <c r="M673" s="7"/>
      <c r="N673" s="7"/>
      <c r="O673" s="7"/>
      <c r="P673" s="29"/>
      <c r="Q673" s="29"/>
      <c r="R673" s="7"/>
      <c r="S673" s="7"/>
      <c r="T673" s="7" t="str">
        <f ca="1">IFERROR(__xludf.DUMMYFUNCTION("SPARKLINE({
IF(D673="""",0,D673),
IF(F673="""",0,F673),
IF(H673="""",0,H673),
IF(J673="""",0,J673),
IF(L673="""",0,L673),
IF(N673="""",0,N673),
IF(P673="""",0,P673)
})"),"")</f>
        <v/>
      </c>
      <c r="U673" s="7" t="str">
        <f ca="1">IFERROR(__xludf.DUMMYFUNCTION("SPARKLINE({
IF(E673="""",0,E673),
IF(G673="""",0,G673),
IF(I673="""",0,I673),
IF(K673="""",0,K673),
IF(M673="""",0,M673),
IF(O673="""",0,O673),
IF(Q673="""",0,Q673)
})"),"")</f>
        <v/>
      </c>
      <c r="V673" s="8" t="e">
        <f t="array" aca="1" ref="V673" ca="1">IF($C$4="Giao",_xludf.Xlookup(C673,#REF!,#REF!,),_xludf.Xlookup(C673,#REF!,#REF!,))</f>
        <v>#NAME?</v>
      </c>
      <c r="W673" s="8" t="e">
        <f t="array" aca="1" ref="W673" ca="1">IF($C$4="Giao", _xludf.Xlookup(C673,#REF!,#REF!,),)</f>
        <v>#NAME?</v>
      </c>
      <c r="X673" s="9" t="e">
        <f t="shared" ca="1" si="8"/>
        <v>#NAME?</v>
      </c>
      <c r="Y673" s="7"/>
      <c r="Z673" s="7"/>
    </row>
    <row r="674" spans="1:26" ht="13" x14ac:dyDescent="0.6">
      <c r="A674" s="28" t="str">
        <f t="shared" si="7"/>
        <v/>
      </c>
      <c r="B674" s="7"/>
      <c r="C674" s="7"/>
      <c r="D674" s="9"/>
      <c r="E674" s="9"/>
      <c r="F674" s="7"/>
      <c r="G674" s="7"/>
      <c r="H674" s="7"/>
      <c r="I674" s="7"/>
      <c r="J674" s="7"/>
      <c r="K674" s="7"/>
      <c r="L674" s="7"/>
      <c r="M674" s="7"/>
      <c r="N674" s="7"/>
      <c r="O674" s="7"/>
      <c r="P674" s="29"/>
      <c r="Q674" s="29"/>
      <c r="R674" s="7"/>
      <c r="S674" s="7"/>
      <c r="T674" s="7" t="str">
        <f ca="1">IFERROR(__xludf.DUMMYFUNCTION("SPARKLINE({
IF(D674="""",0,D674),
IF(F674="""",0,F674),
IF(H674="""",0,H674),
IF(J674="""",0,J674),
IF(L674="""",0,L674),
IF(N674="""",0,N674),
IF(P674="""",0,P674)
})"),"")</f>
        <v/>
      </c>
      <c r="U674" s="7" t="str">
        <f ca="1">IFERROR(__xludf.DUMMYFUNCTION("SPARKLINE({
IF(E674="""",0,E674),
IF(G674="""",0,G674),
IF(I674="""",0,I674),
IF(K674="""",0,K674),
IF(M674="""",0,M674),
IF(O674="""",0,O674),
IF(Q674="""",0,Q674)
})"),"")</f>
        <v/>
      </c>
      <c r="V674" s="8" t="e">
        <f t="array" aca="1" ref="V674" ca="1">IF($C$4="Giao",_xludf.Xlookup(C674,#REF!,#REF!,),_xludf.Xlookup(C674,#REF!,#REF!,))</f>
        <v>#NAME?</v>
      </c>
      <c r="W674" s="8" t="e">
        <f t="array" aca="1" ref="W674" ca="1">IF($C$4="Giao", _xludf.Xlookup(C674,#REF!,#REF!,),)</f>
        <v>#NAME?</v>
      </c>
      <c r="X674" s="9" t="e">
        <f t="shared" ca="1" si="8"/>
        <v>#NAME?</v>
      </c>
      <c r="Y674" s="7"/>
      <c r="Z674" s="7"/>
    </row>
    <row r="675" spans="1:26" ht="13" x14ac:dyDescent="0.6">
      <c r="A675" s="28" t="str">
        <f t="shared" si="7"/>
        <v/>
      </c>
      <c r="B675" s="7"/>
      <c r="C675" s="7"/>
      <c r="D675" s="9"/>
      <c r="E675" s="9"/>
      <c r="F675" s="7"/>
      <c r="G675" s="7"/>
      <c r="H675" s="7"/>
      <c r="I675" s="7"/>
      <c r="J675" s="7"/>
      <c r="K675" s="7"/>
      <c r="L675" s="7"/>
      <c r="M675" s="7"/>
      <c r="N675" s="7"/>
      <c r="O675" s="7"/>
      <c r="P675" s="29"/>
      <c r="Q675" s="29"/>
      <c r="R675" s="7"/>
      <c r="S675" s="7"/>
      <c r="T675" s="7" t="str">
        <f ca="1">IFERROR(__xludf.DUMMYFUNCTION("SPARKLINE({
IF(D675="""",0,D675),
IF(F675="""",0,F675),
IF(H675="""",0,H675),
IF(J675="""",0,J675),
IF(L675="""",0,L675),
IF(N675="""",0,N675),
IF(P675="""",0,P675)
})"),"")</f>
        <v/>
      </c>
      <c r="U675" s="7" t="str">
        <f ca="1">IFERROR(__xludf.DUMMYFUNCTION("SPARKLINE({
IF(E675="""",0,E675),
IF(G675="""",0,G675),
IF(I675="""",0,I675),
IF(K675="""",0,K675),
IF(M675="""",0,M675),
IF(O675="""",0,O675),
IF(Q675="""",0,Q675)
})"),"")</f>
        <v/>
      </c>
      <c r="V675" s="8" t="e">
        <f t="array" aca="1" ref="V675" ca="1">IF($C$4="Giao",_xludf.Xlookup(C675,#REF!,#REF!,),_xludf.Xlookup(C675,#REF!,#REF!,))</f>
        <v>#NAME?</v>
      </c>
      <c r="W675" s="8" t="e">
        <f t="array" aca="1" ref="W675" ca="1">IF($C$4="Giao", _xludf.Xlookup(C675,#REF!,#REF!,),)</f>
        <v>#NAME?</v>
      </c>
      <c r="X675" s="9" t="e">
        <f t="shared" ca="1" si="8"/>
        <v>#NAME?</v>
      </c>
      <c r="Y675" s="7"/>
      <c r="Z675" s="7"/>
    </row>
    <row r="676" spans="1:26" ht="13" x14ac:dyDescent="0.6">
      <c r="A676" s="28" t="str">
        <f t="shared" si="7"/>
        <v/>
      </c>
      <c r="B676" s="7"/>
      <c r="C676" s="7"/>
      <c r="D676" s="9"/>
      <c r="E676" s="9"/>
      <c r="F676" s="7"/>
      <c r="G676" s="7"/>
      <c r="H676" s="7"/>
      <c r="I676" s="7"/>
      <c r="J676" s="7"/>
      <c r="K676" s="7"/>
      <c r="L676" s="7"/>
      <c r="M676" s="7"/>
      <c r="N676" s="7"/>
      <c r="O676" s="7"/>
      <c r="P676" s="29"/>
      <c r="Q676" s="29"/>
      <c r="R676" s="7"/>
      <c r="S676" s="7"/>
      <c r="T676" s="7" t="str">
        <f ca="1">IFERROR(__xludf.DUMMYFUNCTION("SPARKLINE({
IF(D676="""",0,D676),
IF(F676="""",0,F676),
IF(H676="""",0,H676),
IF(J676="""",0,J676),
IF(L676="""",0,L676),
IF(N676="""",0,N676),
IF(P676="""",0,P676)
})"),"")</f>
        <v/>
      </c>
      <c r="U676" s="7" t="str">
        <f ca="1">IFERROR(__xludf.DUMMYFUNCTION("SPARKLINE({
IF(E676="""",0,E676),
IF(G676="""",0,G676),
IF(I676="""",0,I676),
IF(K676="""",0,K676),
IF(M676="""",0,M676),
IF(O676="""",0,O676),
IF(Q676="""",0,Q676)
})"),"")</f>
        <v/>
      </c>
      <c r="V676" s="8" t="e">
        <f t="array" aca="1" ref="V676" ca="1">IF($C$4="Giao",_xludf.Xlookup(C676,#REF!,#REF!,),_xludf.Xlookup(C676,#REF!,#REF!,))</f>
        <v>#NAME?</v>
      </c>
      <c r="W676" s="8" t="e">
        <f t="array" aca="1" ref="W676" ca="1">IF($C$4="Giao", _xludf.Xlookup(C676,#REF!,#REF!,),)</f>
        <v>#NAME?</v>
      </c>
      <c r="X676" s="9" t="e">
        <f t="shared" ca="1" si="8"/>
        <v>#NAME?</v>
      </c>
      <c r="Y676" s="7"/>
      <c r="Z676" s="7"/>
    </row>
    <row r="677" spans="1:26" ht="13" x14ac:dyDescent="0.6">
      <c r="A677" s="28" t="str">
        <f t="shared" si="7"/>
        <v/>
      </c>
      <c r="B677" s="7"/>
      <c r="C677" s="7"/>
      <c r="D677" s="9"/>
      <c r="E677" s="9"/>
      <c r="F677" s="7"/>
      <c r="G677" s="7"/>
      <c r="H677" s="7"/>
      <c r="I677" s="7"/>
      <c r="J677" s="7"/>
      <c r="K677" s="7"/>
      <c r="L677" s="7"/>
      <c r="M677" s="7"/>
      <c r="N677" s="7"/>
      <c r="O677" s="7"/>
      <c r="P677" s="29"/>
      <c r="Q677" s="29"/>
      <c r="R677" s="7"/>
      <c r="S677" s="7"/>
      <c r="T677" s="7" t="str">
        <f ca="1">IFERROR(__xludf.DUMMYFUNCTION("SPARKLINE({
IF(D677="""",0,D677),
IF(F677="""",0,F677),
IF(H677="""",0,H677),
IF(J677="""",0,J677),
IF(L677="""",0,L677),
IF(N677="""",0,N677),
IF(P677="""",0,P677)
})"),"")</f>
        <v/>
      </c>
      <c r="U677" s="7" t="str">
        <f ca="1">IFERROR(__xludf.DUMMYFUNCTION("SPARKLINE({
IF(E677="""",0,E677),
IF(G677="""",0,G677),
IF(I677="""",0,I677),
IF(K677="""",0,K677),
IF(M677="""",0,M677),
IF(O677="""",0,O677),
IF(Q677="""",0,Q677)
})"),"")</f>
        <v/>
      </c>
      <c r="V677" s="8" t="e">
        <f t="array" aca="1" ref="V677" ca="1">IF($C$4="Giao",_xludf.Xlookup(C677,#REF!,#REF!,),_xludf.Xlookup(C677,#REF!,#REF!,))</f>
        <v>#NAME?</v>
      </c>
      <c r="W677" s="8" t="e">
        <f t="array" aca="1" ref="W677" ca="1">IF($C$4="Giao", _xludf.Xlookup(C677,#REF!,#REF!,),)</f>
        <v>#NAME?</v>
      </c>
      <c r="X677" s="9" t="e">
        <f t="shared" ca="1" si="8"/>
        <v>#NAME?</v>
      </c>
      <c r="Y677" s="7"/>
      <c r="Z677" s="7"/>
    </row>
    <row r="678" spans="1:26" ht="13" x14ac:dyDescent="0.6">
      <c r="A678" s="28" t="str">
        <f t="shared" si="7"/>
        <v/>
      </c>
      <c r="B678" s="7"/>
      <c r="C678" s="7"/>
      <c r="D678" s="9"/>
      <c r="E678" s="9"/>
      <c r="F678" s="7"/>
      <c r="G678" s="7"/>
      <c r="H678" s="7"/>
      <c r="I678" s="7"/>
      <c r="J678" s="7"/>
      <c r="K678" s="7"/>
      <c r="L678" s="7"/>
      <c r="M678" s="7"/>
      <c r="N678" s="7"/>
      <c r="O678" s="7"/>
      <c r="P678" s="29"/>
      <c r="Q678" s="29"/>
      <c r="R678" s="7"/>
      <c r="S678" s="7"/>
      <c r="T678" s="7" t="str">
        <f ca="1">IFERROR(__xludf.DUMMYFUNCTION("SPARKLINE({
IF(D678="""",0,D678),
IF(F678="""",0,F678),
IF(H678="""",0,H678),
IF(J678="""",0,J678),
IF(L678="""",0,L678),
IF(N678="""",0,N678),
IF(P678="""",0,P678)
})"),"")</f>
        <v/>
      </c>
      <c r="U678" s="7" t="str">
        <f ca="1">IFERROR(__xludf.DUMMYFUNCTION("SPARKLINE({
IF(E678="""",0,E678),
IF(G678="""",0,G678),
IF(I678="""",0,I678),
IF(K678="""",0,K678),
IF(M678="""",0,M678),
IF(O678="""",0,O678),
IF(Q678="""",0,Q678)
})"),"")</f>
        <v/>
      </c>
      <c r="V678" s="8" t="e">
        <f t="array" aca="1" ref="V678" ca="1">IF($C$4="Giao",_xludf.Xlookup(C678,#REF!,#REF!,),_xludf.Xlookup(C678,#REF!,#REF!,))</f>
        <v>#NAME?</v>
      </c>
      <c r="W678" s="8" t="e">
        <f t="array" aca="1" ref="W678" ca="1">IF($C$4="Giao", _xludf.Xlookup(C678,#REF!,#REF!,),)</f>
        <v>#NAME?</v>
      </c>
      <c r="X678" s="9" t="e">
        <f t="shared" ca="1" si="8"/>
        <v>#NAME?</v>
      </c>
      <c r="Y678" s="7"/>
      <c r="Z678" s="7"/>
    </row>
    <row r="679" spans="1:26" ht="13" x14ac:dyDescent="0.6">
      <c r="A679" s="28" t="str">
        <f t="shared" si="7"/>
        <v/>
      </c>
      <c r="B679" s="7"/>
      <c r="C679" s="7"/>
      <c r="D679" s="9"/>
      <c r="E679" s="9"/>
      <c r="F679" s="7"/>
      <c r="G679" s="7"/>
      <c r="H679" s="7"/>
      <c r="I679" s="7"/>
      <c r="J679" s="7"/>
      <c r="K679" s="7"/>
      <c r="L679" s="7"/>
      <c r="M679" s="7"/>
      <c r="N679" s="7"/>
      <c r="O679" s="7"/>
      <c r="P679" s="29"/>
      <c r="Q679" s="29"/>
      <c r="R679" s="7"/>
      <c r="S679" s="7"/>
      <c r="T679" s="7" t="str">
        <f ca="1">IFERROR(__xludf.DUMMYFUNCTION("SPARKLINE({
IF(D679="""",0,D679),
IF(F679="""",0,F679),
IF(H679="""",0,H679),
IF(J679="""",0,J679),
IF(L679="""",0,L679),
IF(N679="""",0,N679),
IF(P679="""",0,P679)
})"),"")</f>
        <v/>
      </c>
      <c r="U679" s="7" t="str">
        <f ca="1">IFERROR(__xludf.DUMMYFUNCTION("SPARKLINE({
IF(E679="""",0,E679),
IF(G679="""",0,G679),
IF(I679="""",0,I679),
IF(K679="""",0,K679),
IF(M679="""",0,M679),
IF(O679="""",0,O679),
IF(Q679="""",0,Q679)
})"),"")</f>
        <v/>
      </c>
      <c r="V679" s="8" t="e">
        <f t="array" aca="1" ref="V679" ca="1">IF($C$4="Giao",_xludf.Xlookup(C679,#REF!,#REF!,),_xludf.Xlookup(C679,#REF!,#REF!,))</f>
        <v>#NAME?</v>
      </c>
      <c r="W679" s="8" t="e">
        <f t="array" aca="1" ref="W679" ca="1">IF($C$4="Giao", _xludf.Xlookup(C679,#REF!,#REF!,),)</f>
        <v>#NAME?</v>
      </c>
      <c r="X679" s="9" t="e">
        <f t="shared" ca="1" si="8"/>
        <v>#NAME?</v>
      </c>
      <c r="Y679" s="7"/>
      <c r="Z679" s="7"/>
    </row>
    <row r="680" spans="1:26" ht="13" x14ac:dyDescent="0.6">
      <c r="A680" s="28" t="str">
        <f t="shared" si="7"/>
        <v/>
      </c>
      <c r="B680" s="7"/>
      <c r="C680" s="7"/>
      <c r="D680" s="9"/>
      <c r="E680" s="9"/>
      <c r="F680" s="7"/>
      <c r="G680" s="7"/>
      <c r="H680" s="7"/>
      <c r="I680" s="7"/>
      <c r="J680" s="7"/>
      <c r="K680" s="7"/>
      <c r="L680" s="7"/>
      <c r="M680" s="7"/>
      <c r="N680" s="7"/>
      <c r="O680" s="7"/>
      <c r="P680" s="29"/>
      <c r="Q680" s="29"/>
      <c r="R680" s="7"/>
      <c r="S680" s="7"/>
      <c r="T680" s="7" t="str">
        <f ca="1">IFERROR(__xludf.DUMMYFUNCTION("SPARKLINE({
IF(D680="""",0,D680),
IF(F680="""",0,F680),
IF(H680="""",0,H680),
IF(J680="""",0,J680),
IF(L680="""",0,L680),
IF(N680="""",0,N680),
IF(P680="""",0,P680)
})"),"")</f>
        <v/>
      </c>
      <c r="U680" s="7" t="str">
        <f ca="1">IFERROR(__xludf.DUMMYFUNCTION("SPARKLINE({
IF(E680="""",0,E680),
IF(G680="""",0,G680),
IF(I680="""",0,I680),
IF(K680="""",0,K680),
IF(M680="""",0,M680),
IF(O680="""",0,O680),
IF(Q680="""",0,Q680)
})"),"")</f>
        <v/>
      </c>
      <c r="V680" s="8" t="e">
        <f t="array" aca="1" ref="V680" ca="1">IF($C$4="Giao",_xludf.Xlookup(C680,#REF!,#REF!,),_xludf.Xlookup(C680,#REF!,#REF!,))</f>
        <v>#NAME?</v>
      </c>
      <c r="W680" s="8" t="e">
        <f t="array" aca="1" ref="W680" ca="1">IF($C$4="Giao", _xludf.Xlookup(C680,#REF!,#REF!,),)</f>
        <v>#NAME?</v>
      </c>
      <c r="X680" s="9" t="e">
        <f t="shared" ca="1" si="8"/>
        <v>#NAME?</v>
      </c>
      <c r="Y680" s="7"/>
      <c r="Z680" s="7"/>
    </row>
    <row r="681" spans="1:26" ht="13" x14ac:dyDescent="0.6">
      <c r="A681" s="28" t="str">
        <f t="shared" si="7"/>
        <v/>
      </c>
      <c r="B681" s="7"/>
      <c r="C681" s="7"/>
      <c r="D681" s="9"/>
      <c r="E681" s="9"/>
      <c r="F681" s="7"/>
      <c r="G681" s="7"/>
      <c r="H681" s="7"/>
      <c r="I681" s="7"/>
      <c r="J681" s="7"/>
      <c r="K681" s="7"/>
      <c r="L681" s="7"/>
      <c r="M681" s="7"/>
      <c r="N681" s="7"/>
      <c r="O681" s="7"/>
      <c r="P681" s="29"/>
      <c r="Q681" s="29"/>
      <c r="R681" s="7"/>
      <c r="S681" s="7"/>
      <c r="T681" s="7" t="str">
        <f ca="1">IFERROR(__xludf.DUMMYFUNCTION("SPARKLINE({
IF(D681="""",0,D681),
IF(F681="""",0,F681),
IF(H681="""",0,H681),
IF(J681="""",0,J681),
IF(L681="""",0,L681),
IF(N681="""",0,N681),
IF(P681="""",0,P681)
})"),"")</f>
        <v/>
      </c>
      <c r="U681" s="7" t="str">
        <f ca="1">IFERROR(__xludf.DUMMYFUNCTION("SPARKLINE({
IF(E681="""",0,E681),
IF(G681="""",0,G681),
IF(I681="""",0,I681),
IF(K681="""",0,K681),
IF(M681="""",0,M681),
IF(O681="""",0,O681),
IF(Q681="""",0,Q681)
})"),"")</f>
        <v/>
      </c>
      <c r="V681" s="8" t="e">
        <f t="array" aca="1" ref="V681" ca="1">IF($C$4="Giao",_xludf.Xlookup(C681,#REF!,#REF!,),_xludf.Xlookup(C681,#REF!,#REF!,))</f>
        <v>#NAME?</v>
      </c>
      <c r="W681" s="8" t="e">
        <f t="array" aca="1" ref="W681" ca="1">IF($C$4="Giao", _xludf.Xlookup(C681,#REF!,#REF!,),)</f>
        <v>#NAME?</v>
      </c>
      <c r="X681" s="9" t="e">
        <f t="shared" ca="1" si="8"/>
        <v>#NAME?</v>
      </c>
      <c r="Y681" s="7"/>
      <c r="Z681" s="7"/>
    </row>
    <row r="682" spans="1:26" ht="13" x14ac:dyDescent="0.6">
      <c r="A682" s="28" t="str">
        <f t="shared" si="7"/>
        <v/>
      </c>
      <c r="B682" s="7"/>
      <c r="C682" s="7"/>
      <c r="D682" s="9"/>
      <c r="E682" s="9"/>
      <c r="F682" s="7"/>
      <c r="G682" s="7"/>
      <c r="H682" s="7"/>
      <c r="I682" s="7"/>
      <c r="J682" s="7"/>
      <c r="K682" s="7"/>
      <c r="L682" s="7"/>
      <c r="M682" s="7"/>
      <c r="N682" s="7"/>
      <c r="O682" s="7"/>
      <c r="P682" s="29"/>
      <c r="Q682" s="29"/>
      <c r="R682" s="7"/>
      <c r="S682" s="7"/>
      <c r="T682" s="7" t="str">
        <f ca="1">IFERROR(__xludf.DUMMYFUNCTION("SPARKLINE({
IF(D682="""",0,D682),
IF(F682="""",0,F682),
IF(H682="""",0,H682),
IF(J682="""",0,J682),
IF(L682="""",0,L682),
IF(N682="""",0,N682),
IF(P682="""",0,P682)
})"),"")</f>
        <v/>
      </c>
      <c r="U682" s="7" t="str">
        <f ca="1">IFERROR(__xludf.DUMMYFUNCTION("SPARKLINE({
IF(E682="""",0,E682),
IF(G682="""",0,G682),
IF(I682="""",0,I682),
IF(K682="""",0,K682),
IF(M682="""",0,M682),
IF(O682="""",0,O682),
IF(Q682="""",0,Q682)
})"),"")</f>
        <v/>
      </c>
      <c r="V682" s="8" t="e">
        <f t="array" aca="1" ref="V682" ca="1">IF($C$4="Giao",_xludf.Xlookup(C682,#REF!,#REF!,),_xludf.Xlookup(C682,#REF!,#REF!,))</f>
        <v>#NAME?</v>
      </c>
      <c r="W682" s="8" t="e">
        <f t="array" aca="1" ref="W682" ca="1">IF($C$4="Giao", _xludf.Xlookup(C682,#REF!,#REF!,),)</f>
        <v>#NAME?</v>
      </c>
      <c r="X682" s="9" t="e">
        <f t="shared" ca="1" si="8"/>
        <v>#NAME?</v>
      </c>
      <c r="Y682" s="7"/>
      <c r="Z682" s="7"/>
    </row>
    <row r="683" spans="1:26" ht="13" x14ac:dyDescent="0.6">
      <c r="A683" s="28" t="str">
        <f t="shared" si="7"/>
        <v/>
      </c>
      <c r="B683" s="7"/>
      <c r="C683" s="7"/>
      <c r="D683" s="9"/>
      <c r="E683" s="9"/>
      <c r="F683" s="7"/>
      <c r="G683" s="7"/>
      <c r="H683" s="7"/>
      <c r="I683" s="7"/>
      <c r="J683" s="7"/>
      <c r="K683" s="7"/>
      <c r="L683" s="7"/>
      <c r="M683" s="7"/>
      <c r="N683" s="7"/>
      <c r="O683" s="7"/>
      <c r="P683" s="29"/>
      <c r="Q683" s="29"/>
      <c r="R683" s="7"/>
      <c r="S683" s="7"/>
      <c r="T683" s="7" t="str">
        <f ca="1">IFERROR(__xludf.DUMMYFUNCTION("SPARKLINE({
IF(D683="""",0,D683),
IF(F683="""",0,F683),
IF(H683="""",0,H683),
IF(J683="""",0,J683),
IF(L683="""",0,L683),
IF(N683="""",0,N683),
IF(P683="""",0,P683)
})"),"")</f>
        <v/>
      </c>
      <c r="U683" s="7" t="str">
        <f ca="1">IFERROR(__xludf.DUMMYFUNCTION("SPARKLINE({
IF(E683="""",0,E683),
IF(G683="""",0,G683),
IF(I683="""",0,I683),
IF(K683="""",0,K683),
IF(M683="""",0,M683),
IF(O683="""",0,O683),
IF(Q683="""",0,Q683)
})"),"")</f>
        <v/>
      </c>
      <c r="V683" s="8" t="e">
        <f t="array" aca="1" ref="V683" ca="1">IF($C$4="Giao",_xludf.Xlookup(C683,#REF!,#REF!,),_xludf.Xlookup(C683,#REF!,#REF!,))</f>
        <v>#NAME?</v>
      </c>
      <c r="W683" s="8" t="e">
        <f t="array" aca="1" ref="W683" ca="1">IF($C$4="Giao", _xludf.Xlookup(C683,#REF!,#REF!,),)</f>
        <v>#NAME?</v>
      </c>
      <c r="X683" s="9" t="e">
        <f t="shared" ca="1" si="8"/>
        <v>#NAME?</v>
      </c>
      <c r="Y683" s="7"/>
      <c r="Z683" s="7"/>
    </row>
    <row r="684" spans="1:26" ht="13" x14ac:dyDescent="0.6">
      <c r="A684" s="28" t="str">
        <f t="shared" si="7"/>
        <v/>
      </c>
      <c r="B684" s="7"/>
      <c r="C684" s="7"/>
      <c r="D684" s="9"/>
      <c r="E684" s="9"/>
      <c r="F684" s="7"/>
      <c r="G684" s="7"/>
      <c r="H684" s="7"/>
      <c r="I684" s="7"/>
      <c r="J684" s="7"/>
      <c r="K684" s="7"/>
      <c r="L684" s="7"/>
      <c r="M684" s="7"/>
      <c r="N684" s="7"/>
      <c r="O684" s="7"/>
      <c r="P684" s="29"/>
      <c r="Q684" s="29"/>
      <c r="R684" s="7"/>
      <c r="S684" s="7"/>
      <c r="T684" s="7" t="str">
        <f ca="1">IFERROR(__xludf.DUMMYFUNCTION("SPARKLINE({
IF(D684="""",0,D684),
IF(F684="""",0,F684),
IF(H684="""",0,H684),
IF(J684="""",0,J684),
IF(L684="""",0,L684),
IF(N684="""",0,N684),
IF(P684="""",0,P684)
})"),"")</f>
        <v/>
      </c>
      <c r="U684" s="7" t="str">
        <f ca="1">IFERROR(__xludf.DUMMYFUNCTION("SPARKLINE({
IF(E684="""",0,E684),
IF(G684="""",0,G684),
IF(I684="""",0,I684),
IF(K684="""",0,K684),
IF(M684="""",0,M684),
IF(O684="""",0,O684),
IF(Q684="""",0,Q684)
})"),"")</f>
        <v/>
      </c>
      <c r="V684" s="8" t="e">
        <f t="array" aca="1" ref="V684" ca="1">IF($C$4="Giao",_xludf.Xlookup(C684,#REF!,#REF!,),_xludf.Xlookup(C684,#REF!,#REF!,))</f>
        <v>#NAME?</v>
      </c>
      <c r="W684" s="8" t="e">
        <f t="array" aca="1" ref="W684" ca="1">IF($C$4="Giao", _xludf.Xlookup(C684,#REF!,#REF!,),)</f>
        <v>#NAME?</v>
      </c>
      <c r="X684" s="9" t="e">
        <f t="shared" ca="1" si="8"/>
        <v>#NAME?</v>
      </c>
      <c r="Y684" s="7"/>
      <c r="Z684" s="7"/>
    </row>
    <row r="685" spans="1:26" ht="13" x14ac:dyDescent="0.6">
      <c r="A685" s="28" t="str">
        <f t="shared" si="7"/>
        <v/>
      </c>
      <c r="B685" s="7"/>
      <c r="C685" s="7"/>
      <c r="D685" s="9"/>
      <c r="E685" s="9"/>
      <c r="F685" s="7"/>
      <c r="G685" s="7"/>
      <c r="H685" s="7"/>
      <c r="I685" s="7"/>
      <c r="J685" s="7"/>
      <c r="K685" s="7"/>
      <c r="L685" s="7"/>
      <c r="M685" s="7"/>
      <c r="N685" s="7"/>
      <c r="O685" s="7"/>
      <c r="P685" s="29"/>
      <c r="Q685" s="29"/>
      <c r="R685" s="7"/>
      <c r="S685" s="7"/>
      <c r="T685" s="7" t="str">
        <f ca="1">IFERROR(__xludf.DUMMYFUNCTION("SPARKLINE({
IF(D685="""",0,D685),
IF(F685="""",0,F685),
IF(H685="""",0,H685),
IF(J685="""",0,J685),
IF(L685="""",0,L685),
IF(N685="""",0,N685),
IF(P685="""",0,P685)
})"),"")</f>
        <v/>
      </c>
      <c r="U685" s="7" t="str">
        <f ca="1">IFERROR(__xludf.DUMMYFUNCTION("SPARKLINE({
IF(E685="""",0,E685),
IF(G685="""",0,G685),
IF(I685="""",0,I685),
IF(K685="""",0,K685),
IF(M685="""",0,M685),
IF(O685="""",0,O685),
IF(Q685="""",0,Q685)
})"),"")</f>
        <v/>
      </c>
      <c r="V685" s="8" t="e">
        <f t="array" aca="1" ref="V685" ca="1">IF($C$4="Giao",_xludf.Xlookup(C685,#REF!,#REF!,),_xludf.Xlookup(C685,#REF!,#REF!,))</f>
        <v>#NAME?</v>
      </c>
      <c r="W685" s="8" t="e">
        <f t="array" aca="1" ref="W685" ca="1">IF($C$4="Giao", _xludf.Xlookup(C685,#REF!,#REF!,),)</f>
        <v>#NAME?</v>
      </c>
      <c r="X685" s="9" t="e">
        <f t="shared" ca="1" si="8"/>
        <v>#NAME?</v>
      </c>
      <c r="Y685" s="7"/>
      <c r="Z685" s="7"/>
    </row>
    <row r="686" spans="1:26" ht="13" x14ac:dyDescent="0.6">
      <c r="A686" s="28" t="str">
        <f t="shared" si="7"/>
        <v/>
      </c>
      <c r="B686" s="7"/>
      <c r="C686" s="7"/>
      <c r="D686" s="9"/>
      <c r="E686" s="9"/>
      <c r="F686" s="7"/>
      <c r="G686" s="7"/>
      <c r="H686" s="7"/>
      <c r="I686" s="7"/>
      <c r="J686" s="7"/>
      <c r="K686" s="7"/>
      <c r="L686" s="7"/>
      <c r="M686" s="7"/>
      <c r="N686" s="7"/>
      <c r="O686" s="7"/>
      <c r="P686" s="29"/>
      <c r="Q686" s="29"/>
      <c r="R686" s="7"/>
      <c r="S686" s="7"/>
      <c r="T686" s="7" t="str">
        <f ca="1">IFERROR(__xludf.DUMMYFUNCTION("SPARKLINE({
IF(D686="""",0,D686),
IF(F686="""",0,F686),
IF(H686="""",0,H686),
IF(J686="""",0,J686),
IF(L686="""",0,L686),
IF(N686="""",0,N686),
IF(P686="""",0,P686)
})"),"")</f>
        <v/>
      </c>
      <c r="U686" s="7" t="str">
        <f ca="1">IFERROR(__xludf.DUMMYFUNCTION("SPARKLINE({
IF(E686="""",0,E686),
IF(G686="""",0,G686),
IF(I686="""",0,I686),
IF(K686="""",0,K686),
IF(M686="""",0,M686),
IF(O686="""",0,O686),
IF(Q686="""",0,Q686)
})"),"")</f>
        <v/>
      </c>
      <c r="V686" s="8" t="e">
        <f t="array" aca="1" ref="V686" ca="1">IF($C$4="Giao",_xludf.Xlookup(C686,#REF!,#REF!,),_xludf.Xlookup(C686,#REF!,#REF!,))</f>
        <v>#NAME?</v>
      </c>
      <c r="W686" s="8" t="e">
        <f t="array" aca="1" ref="W686" ca="1">IF($C$4="Giao", _xludf.Xlookup(C686,#REF!,#REF!,),)</f>
        <v>#NAME?</v>
      </c>
      <c r="X686" s="9" t="e">
        <f t="shared" ca="1" si="8"/>
        <v>#NAME?</v>
      </c>
      <c r="Y686" s="7"/>
      <c r="Z686" s="7"/>
    </row>
    <row r="687" spans="1:26" ht="13" x14ac:dyDescent="0.6">
      <c r="A687" s="28" t="str">
        <f t="shared" si="7"/>
        <v/>
      </c>
      <c r="B687" s="7"/>
      <c r="C687" s="7"/>
      <c r="D687" s="9"/>
      <c r="E687" s="9"/>
      <c r="F687" s="7"/>
      <c r="G687" s="7"/>
      <c r="H687" s="7"/>
      <c r="I687" s="7"/>
      <c r="J687" s="7"/>
      <c r="K687" s="7"/>
      <c r="L687" s="7"/>
      <c r="M687" s="7"/>
      <c r="N687" s="7"/>
      <c r="O687" s="7"/>
      <c r="P687" s="29"/>
      <c r="Q687" s="29"/>
      <c r="R687" s="7"/>
      <c r="S687" s="7"/>
      <c r="T687" s="7" t="str">
        <f ca="1">IFERROR(__xludf.DUMMYFUNCTION("SPARKLINE({
IF(D687="""",0,D687),
IF(F687="""",0,F687),
IF(H687="""",0,H687),
IF(J687="""",0,J687),
IF(L687="""",0,L687),
IF(N687="""",0,N687),
IF(P687="""",0,P687)
})"),"")</f>
        <v/>
      </c>
      <c r="U687" s="7" t="str">
        <f ca="1">IFERROR(__xludf.DUMMYFUNCTION("SPARKLINE({
IF(E687="""",0,E687),
IF(G687="""",0,G687),
IF(I687="""",0,I687),
IF(K687="""",0,K687),
IF(M687="""",0,M687),
IF(O687="""",0,O687),
IF(Q687="""",0,Q687)
})"),"")</f>
        <v/>
      </c>
      <c r="V687" s="8" t="e">
        <f t="array" aca="1" ref="V687" ca="1">IF($C$4="Giao",_xludf.Xlookup(C687,#REF!,#REF!,),_xludf.Xlookup(C687,#REF!,#REF!,))</f>
        <v>#NAME?</v>
      </c>
      <c r="W687" s="8" t="e">
        <f t="array" aca="1" ref="W687" ca="1">IF($C$4="Giao", _xludf.Xlookup(C687,#REF!,#REF!,),)</f>
        <v>#NAME?</v>
      </c>
      <c r="X687" s="9" t="e">
        <f t="shared" ca="1" si="8"/>
        <v>#NAME?</v>
      </c>
      <c r="Y687" s="7"/>
      <c r="Z687" s="7"/>
    </row>
    <row r="688" spans="1:26" ht="13" x14ac:dyDescent="0.6">
      <c r="A688" s="28" t="str">
        <f t="shared" si="7"/>
        <v/>
      </c>
      <c r="B688" s="7"/>
      <c r="C688" s="7"/>
      <c r="D688" s="9"/>
      <c r="E688" s="9"/>
      <c r="F688" s="7"/>
      <c r="G688" s="7"/>
      <c r="H688" s="7"/>
      <c r="I688" s="7"/>
      <c r="J688" s="7"/>
      <c r="K688" s="7"/>
      <c r="L688" s="7"/>
      <c r="M688" s="7"/>
      <c r="N688" s="7"/>
      <c r="O688" s="7"/>
      <c r="P688" s="29"/>
      <c r="Q688" s="29"/>
      <c r="R688" s="7"/>
      <c r="S688" s="7"/>
      <c r="T688" s="7" t="str">
        <f ca="1">IFERROR(__xludf.DUMMYFUNCTION("SPARKLINE({
IF(D688="""",0,D688),
IF(F688="""",0,F688),
IF(H688="""",0,H688),
IF(J688="""",0,J688),
IF(L688="""",0,L688),
IF(N688="""",0,N688),
IF(P688="""",0,P688)
})"),"")</f>
        <v/>
      </c>
      <c r="U688" s="7" t="str">
        <f ca="1">IFERROR(__xludf.DUMMYFUNCTION("SPARKLINE({
IF(E688="""",0,E688),
IF(G688="""",0,G688),
IF(I688="""",0,I688),
IF(K688="""",0,K688),
IF(M688="""",0,M688),
IF(O688="""",0,O688),
IF(Q688="""",0,Q688)
})"),"")</f>
        <v/>
      </c>
      <c r="V688" s="8" t="e">
        <f t="array" aca="1" ref="V688" ca="1">IF($C$4="Giao",_xludf.Xlookup(C688,#REF!,#REF!,),_xludf.Xlookup(C688,#REF!,#REF!,))</f>
        <v>#NAME?</v>
      </c>
      <c r="W688" s="8" t="e">
        <f t="array" aca="1" ref="W688" ca="1">IF($C$4="Giao", _xludf.Xlookup(C688,#REF!,#REF!,),)</f>
        <v>#NAME?</v>
      </c>
      <c r="X688" s="9" t="e">
        <f t="shared" ca="1" si="8"/>
        <v>#NAME?</v>
      </c>
      <c r="Y688" s="7"/>
      <c r="Z688" s="7"/>
    </row>
    <row r="689" spans="1:26" ht="13" x14ac:dyDescent="0.6">
      <c r="A689" s="28" t="str">
        <f t="shared" si="7"/>
        <v/>
      </c>
      <c r="B689" s="7"/>
      <c r="C689" s="7"/>
      <c r="D689" s="9"/>
      <c r="E689" s="9"/>
      <c r="F689" s="7"/>
      <c r="G689" s="7"/>
      <c r="H689" s="7"/>
      <c r="I689" s="7"/>
      <c r="J689" s="7"/>
      <c r="K689" s="7"/>
      <c r="L689" s="7"/>
      <c r="M689" s="7"/>
      <c r="N689" s="7"/>
      <c r="O689" s="7"/>
      <c r="P689" s="29"/>
      <c r="Q689" s="29"/>
      <c r="R689" s="7"/>
      <c r="S689" s="7"/>
      <c r="T689" s="7" t="str">
        <f ca="1">IFERROR(__xludf.DUMMYFUNCTION("SPARKLINE({
IF(D689="""",0,D689),
IF(F689="""",0,F689),
IF(H689="""",0,H689),
IF(J689="""",0,J689),
IF(L689="""",0,L689),
IF(N689="""",0,N689),
IF(P689="""",0,P689)
})"),"")</f>
        <v/>
      </c>
      <c r="U689" s="7" t="str">
        <f ca="1">IFERROR(__xludf.DUMMYFUNCTION("SPARKLINE({
IF(E689="""",0,E689),
IF(G689="""",0,G689),
IF(I689="""",0,I689),
IF(K689="""",0,K689),
IF(M689="""",0,M689),
IF(O689="""",0,O689),
IF(Q689="""",0,Q689)
})"),"")</f>
        <v/>
      </c>
      <c r="V689" s="8" t="e">
        <f t="array" aca="1" ref="V689" ca="1">IF($C$4="Giao",_xludf.Xlookup(C689,#REF!,#REF!,),_xludf.Xlookup(C689,#REF!,#REF!,))</f>
        <v>#NAME?</v>
      </c>
      <c r="W689" s="8" t="e">
        <f t="array" aca="1" ref="W689" ca="1">IF($C$4="Giao", _xludf.Xlookup(C689,#REF!,#REF!,),)</f>
        <v>#NAME?</v>
      </c>
      <c r="X689" s="9" t="e">
        <f t="shared" ca="1" si="8"/>
        <v>#NAME?</v>
      </c>
      <c r="Y689" s="7"/>
      <c r="Z689" s="7"/>
    </row>
    <row r="690" spans="1:26" ht="13" x14ac:dyDescent="0.6">
      <c r="A690" s="28" t="str">
        <f t="shared" si="7"/>
        <v/>
      </c>
      <c r="B690" s="7"/>
      <c r="C690" s="7"/>
      <c r="D690" s="9"/>
      <c r="E690" s="9"/>
      <c r="F690" s="7"/>
      <c r="G690" s="7"/>
      <c r="H690" s="7"/>
      <c r="I690" s="7"/>
      <c r="J690" s="7"/>
      <c r="K690" s="7"/>
      <c r="L690" s="7"/>
      <c r="M690" s="7"/>
      <c r="N690" s="7"/>
      <c r="O690" s="7"/>
      <c r="P690" s="29"/>
      <c r="Q690" s="29"/>
      <c r="R690" s="7"/>
      <c r="S690" s="7"/>
      <c r="T690" s="7" t="str">
        <f ca="1">IFERROR(__xludf.DUMMYFUNCTION("SPARKLINE({
IF(D690="""",0,D690),
IF(F690="""",0,F690),
IF(H690="""",0,H690),
IF(J690="""",0,J690),
IF(L690="""",0,L690),
IF(N690="""",0,N690),
IF(P690="""",0,P690)
})"),"")</f>
        <v/>
      </c>
      <c r="U690" s="7" t="str">
        <f ca="1">IFERROR(__xludf.DUMMYFUNCTION("SPARKLINE({
IF(E690="""",0,E690),
IF(G690="""",0,G690),
IF(I690="""",0,I690),
IF(K690="""",0,K690),
IF(M690="""",0,M690),
IF(O690="""",0,O690),
IF(Q690="""",0,Q690)
})"),"")</f>
        <v/>
      </c>
      <c r="V690" s="8" t="e">
        <f t="array" aca="1" ref="V690" ca="1">IF($C$4="Giao",_xludf.Xlookup(C690,#REF!,#REF!,),_xludf.Xlookup(C690,#REF!,#REF!,))</f>
        <v>#NAME?</v>
      </c>
      <c r="W690" s="8" t="e">
        <f t="array" aca="1" ref="W690" ca="1">IF($C$4="Giao", _xludf.Xlookup(C690,#REF!,#REF!,),)</f>
        <v>#NAME?</v>
      </c>
      <c r="X690" s="9" t="e">
        <f t="shared" ca="1" si="8"/>
        <v>#NAME?</v>
      </c>
      <c r="Y690" s="7"/>
      <c r="Z690" s="7"/>
    </row>
    <row r="691" spans="1:26" ht="13" x14ac:dyDescent="0.6">
      <c r="A691" s="28" t="str">
        <f t="shared" si="7"/>
        <v/>
      </c>
      <c r="B691" s="7"/>
      <c r="C691" s="7"/>
      <c r="D691" s="9"/>
      <c r="E691" s="9"/>
      <c r="F691" s="7"/>
      <c r="G691" s="7"/>
      <c r="H691" s="7"/>
      <c r="I691" s="7"/>
      <c r="J691" s="7"/>
      <c r="K691" s="7"/>
      <c r="L691" s="7"/>
      <c r="M691" s="7"/>
      <c r="N691" s="7"/>
      <c r="O691" s="7"/>
      <c r="P691" s="29"/>
      <c r="Q691" s="29"/>
      <c r="R691" s="7"/>
      <c r="S691" s="7"/>
      <c r="T691" s="7" t="str">
        <f ca="1">IFERROR(__xludf.DUMMYFUNCTION("SPARKLINE({
IF(D691="""",0,D691),
IF(F691="""",0,F691),
IF(H691="""",0,H691),
IF(J691="""",0,J691),
IF(L691="""",0,L691),
IF(N691="""",0,N691),
IF(P691="""",0,P691)
})"),"")</f>
        <v/>
      </c>
      <c r="U691" s="7" t="str">
        <f ca="1">IFERROR(__xludf.DUMMYFUNCTION("SPARKLINE({
IF(E691="""",0,E691),
IF(G691="""",0,G691),
IF(I691="""",0,I691),
IF(K691="""",0,K691),
IF(M691="""",0,M691),
IF(O691="""",0,O691),
IF(Q691="""",0,Q691)
})"),"")</f>
        <v/>
      </c>
      <c r="V691" s="8" t="e">
        <f t="array" aca="1" ref="V691" ca="1">IF($C$4="Giao",_xludf.Xlookup(C691,#REF!,#REF!,),_xludf.Xlookup(C691,#REF!,#REF!,))</f>
        <v>#NAME?</v>
      </c>
      <c r="W691" s="8" t="e">
        <f t="array" aca="1" ref="W691" ca="1">IF($C$4="Giao", _xludf.Xlookup(C691,#REF!,#REF!,),)</f>
        <v>#NAME?</v>
      </c>
      <c r="X691" s="9" t="e">
        <f t="shared" ca="1" si="8"/>
        <v>#NAME?</v>
      </c>
      <c r="Y691" s="7"/>
      <c r="Z691" s="7"/>
    </row>
    <row r="692" spans="1:26" ht="13" x14ac:dyDescent="0.6">
      <c r="A692" s="28" t="str">
        <f t="shared" si="7"/>
        <v/>
      </c>
      <c r="B692" s="7"/>
      <c r="C692" s="7"/>
      <c r="D692" s="9"/>
      <c r="E692" s="9"/>
      <c r="F692" s="7"/>
      <c r="G692" s="7"/>
      <c r="H692" s="7"/>
      <c r="I692" s="7"/>
      <c r="J692" s="7"/>
      <c r="K692" s="7"/>
      <c r="L692" s="7"/>
      <c r="M692" s="7"/>
      <c r="N692" s="7"/>
      <c r="O692" s="7"/>
      <c r="P692" s="29"/>
      <c r="Q692" s="29"/>
      <c r="R692" s="7"/>
      <c r="S692" s="7"/>
      <c r="T692" s="7" t="str">
        <f ca="1">IFERROR(__xludf.DUMMYFUNCTION("SPARKLINE({
IF(D692="""",0,D692),
IF(F692="""",0,F692),
IF(H692="""",0,H692),
IF(J692="""",0,J692),
IF(L692="""",0,L692),
IF(N692="""",0,N692),
IF(P692="""",0,P692)
})"),"")</f>
        <v/>
      </c>
      <c r="U692" s="7" t="str">
        <f ca="1">IFERROR(__xludf.DUMMYFUNCTION("SPARKLINE({
IF(E692="""",0,E692),
IF(G692="""",0,G692),
IF(I692="""",0,I692),
IF(K692="""",0,K692),
IF(M692="""",0,M692),
IF(O692="""",0,O692),
IF(Q692="""",0,Q692)
})"),"")</f>
        <v/>
      </c>
      <c r="V692" s="8" t="e">
        <f t="array" aca="1" ref="V692" ca="1">IF($C$4="Giao",_xludf.Xlookup(C692,#REF!,#REF!,),_xludf.Xlookup(C692,#REF!,#REF!,))</f>
        <v>#NAME?</v>
      </c>
      <c r="W692" s="8" t="e">
        <f t="array" aca="1" ref="W692" ca="1">IF($C$4="Giao", _xludf.Xlookup(C692,#REF!,#REF!,),)</f>
        <v>#NAME?</v>
      </c>
      <c r="X692" s="9" t="e">
        <f t="shared" ca="1" si="8"/>
        <v>#NAME?</v>
      </c>
      <c r="Y692" s="7"/>
      <c r="Z692" s="7"/>
    </row>
    <row r="693" spans="1:26" ht="13" x14ac:dyDescent="0.6">
      <c r="A693" s="28" t="str">
        <f t="shared" si="7"/>
        <v/>
      </c>
      <c r="B693" s="7"/>
      <c r="C693" s="7"/>
      <c r="D693" s="9"/>
      <c r="E693" s="9"/>
      <c r="F693" s="7"/>
      <c r="G693" s="7"/>
      <c r="H693" s="7"/>
      <c r="I693" s="7"/>
      <c r="J693" s="7"/>
      <c r="K693" s="7"/>
      <c r="L693" s="7"/>
      <c r="M693" s="7"/>
      <c r="N693" s="7"/>
      <c r="O693" s="7"/>
      <c r="P693" s="29"/>
      <c r="Q693" s="29"/>
      <c r="R693" s="7"/>
      <c r="S693" s="7"/>
      <c r="T693" s="7" t="str">
        <f ca="1">IFERROR(__xludf.DUMMYFUNCTION("SPARKLINE({
IF(D693="""",0,D693),
IF(F693="""",0,F693),
IF(H693="""",0,H693),
IF(J693="""",0,J693),
IF(L693="""",0,L693),
IF(N693="""",0,N693),
IF(P693="""",0,P693)
})"),"")</f>
        <v/>
      </c>
      <c r="U693" s="7" t="str">
        <f ca="1">IFERROR(__xludf.DUMMYFUNCTION("SPARKLINE({
IF(E693="""",0,E693),
IF(G693="""",0,G693),
IF(I693="""",0,I693),
IF(K693="""",0,K693),
IF(M693="""",0,M693),
IF(O693="""",0,O693),
IF(Q693="""",0,Q693)
})"),"")</f>
        <v/>
      </c>
      <c r="V693" s="8" t="e">
        <f t="array" aca="1" ref="V693" ca="1">IF($C$4="Giao",_xludf.Xlookup(C693,#REF!,#REF!,),_xludf.Xlookup(C693,#REF!,#REF!,))</f>
        <v>#NAME?</v>
      </c>
      <c r="W693" s="8" t="e">
        <f t="array" aca="1" ref="W693" ca="1">IF($C$4="Giao", _xludf.Xlookup(C693,#REF!,#REF!,),)</f>
        <v>#NAME?</v>
      </c>
      <c r="X693" s="9" t="e">
        <f t="shared" ca="1" si="8"/>
        <v>#NAME?</v>
      </c>
      <c r="Y693" s="7"/>
      <c r="Z693" s="7"/>
    </row>
    <row r="694" spans="1:26" ht="13" x14ac:dyDescent="0.6">
      <c r="A694" s="28" t="str">
        <f t="shared" si="7"/>
        <v/>
      </c>
      <c r="B694" s="7"/>
      <c r="C694" s="7"/>
      <c r="D694" s="9"/>
      <c r="E694" s="9"/>
      <c r="F694" s="7"/>
      <c r="G694" s="7"/>
      <c r="H694" s="7"/>
      <c r="I694" s="7"/>
      <c r="J694" s="7"/>
      <c r="K694" s="7"/>
      <c r="L694" s="7"/>
      <c r="M694" s="7"/>
      <c r="N694" s="7"/>
      <c r="O694" s="7"/>
      <c r="P694" s="29"/>
      <c r="Q694" s="29"/>
      <c r="R694" s="7"/>
      <c r="S694" s="7"/>
      <c r="T694" s="7" t="str">
        <f ca="1">IFERROR(__xludf.DUMMYFUNCTION("SPARKLINE({
IF(D694="""",0,D694),
IF(F694="""",0,F694),
IF(H694="""",0,H694),
IF(J694="""",0,J694),
IF(L694="""",0,L694),
IF(N694="""",0,N694),
IF(P694="""",0,P694)
})"),"")</f>
        <v/>
      </c>
      <c r="U694" s="7" t="str">
        <f ca="1">IFERROR(__xludf.DUMMYFUNCTION("SPARKLINE({
IF(E694="""",0,E694),
IF(G694="""",0,G694),
IF(I694="""",0,I694),
IF(K694="""",0,K694),
IF(M694="""",0,M694),
IF(O694="""",0,O694),
IF(Q694="""",0,Q694)
})"),"")</f>
        <v/>
      </c>
      <c r="V694" s="8" t="e">
        <f t="array" aca="1" ref="V694" ca="1">IF($C$4="Giao",_xludf.Xlookup(C694,#REF!,#REF!,),_xludf.Xlookup(C694,#REF!,#REF!,))</f>
        <v>#NAME?</v>
      </c>
      <c r="W694" s="8" t="e">
        <f t="array" aca="1" ref="W694" ca="1">IF($C$4="Giao", _xludf.Xlookup(C694,#REF!,#REF!,),)</f>
        <v>#NAME?</v>
      </c>
      <c r="X694" s="9" t="e">
        <f t="shared" ca="1" si="8"/>
        <v>#NAME?</v>
      </c>
      <c r="Y694" s="7"/>
      <c r="Z694" s="7"/>
    </row>
    <row r="695" spans="1:26" ht="13" x14ac:dyDescent="0.6">
      <c r="A695" s="28" t="str">
        <f t="shared" si="7"/>
        <v/>
      </c>
      <c r="B695" s="7"/>
      <c r="C695" s="7"/>
      <c r="D695" s="9"/>
      <c r="E695" s="9"/>
      <c r="F695" s="7"/>
      <c r="G695" s="7"/>
      <c r="H695" s="7"/>
      <c r="I695" s="7"/>
      <c r="J695" s="7"/>
      <c r="K695" s="7"/>
      <c r="L695" s="7"/>
      <c r="M695" s="7"/>
      <c r="N695" s="7"/>
      <c r="O695" s="7"/>
      <c r="P695" s="29"/>
      <c r="Q695" s="29"/>
      <c r="R695" s="7"/>
      <c r="S695" s="7"/>
      <c r="T695" s="7" t="str">
        <f ca="1">IFERROR(__xludf.DUMMYFUNCTION("SPARKLINE({
IF(D695="""",0,D695),
IF(F695="""",0,F695),
IF(H695="""",0,H695),
IF(J695="""",0,J695),
IF(L695="""",0,L695),
IF(N695="""",0,N695),
IF(P695="""",0,P695)
})"),"")</f>
        <v/>
      </c>
      <c r="U695" s="7" t="str">
        <f ca="1">IFERROR(__xludf.DUMMYFUNCTION("SPARKLINE({
IF(E695="""",0,E695),
IF(G695="""",0,G695),
IF(I695="""",0,I695),
IF(K695="""",0,K695),
IF(M695="""",0,M695),
IF(O695="""",0,O695),
IF(Q695="""",0,Q695)
})"),"")</f>
        <v/>
      </c>
      <c r="V695" s="8" t="e">
        <f t="array" aca="1" ref="V695" ca="1">IF($C$4="Giao",_xludf.Xlookup(C695,#REF!,#REF!,),_xludf.Xlookup(C695,#REF!,#REF!,))</f>
        <v>#NAME?</v>
      </c>
      <c r="W695" s="8" t="e">
        <f t="array" aca="1" ref="W695" ca="1">IF($C$4="Giao", _xludf.Xlookup(C695,#REF!,#REF!,),)</f>
        <v>#NAME?</v>
      </c>
      <c r="X695" s="9" t="e">
        <f t="shared" ca="1" si="8"/>
        <v>#NAME?</v>
      </c>
      <c r="Y695" s="7"/>
      <c r="Z695" s="7"/>
    </row>
    <row r="696" spans="1:26" ht="13" x14ac:dyDescent="0.6">
      <c r="A696" s="28" t="str">
        <f t="shared" si="7"/>
        <v/>
      </c>
      <c r="B696" s="7"/>
      <c r="C696" s="7"/>
      <c r="D696" s="9"/>
      <c r="E696" s="9"/>
      <c r="F696" s="7"/>
      <c r="G696" s="7"/>
      <c r="H696" s="7"/>
      <c r="I696" s="7"/>
      <c r="J696" s="7"/>
      <c r="K696" s="7"/>
      <c r="L696" s="7"/>
      <c r="M696" s="7"/>
      <c r="N696" s="7"/>
      <c r="O696" s="7"/>
      <c r="P696" s="29"/>
      <c r="Q696" s="29"/>
      <c r="R696" s="7"/>
      <c r="S696" s="7"/>
      <c r="T696" s="7" t="str">
        <f ca="1">IFERROR(__xludf.DUMMYFUNCTION("SPARKLINE({
IF(D696="""",0,D696),
IF(F696="""",0,F696),
IF(H696="""",0,H696),
IF(J696="""",0,J696),
IF(L696="""",0,L696),
IF(N696="""",0,N696),
IF(P696="""",0,P696)
})"),"")</f>
        <v/>
      </c>
      <c r="U696" s="7" t="str">
        <f ca="1">IFERROR(__xludf.DUMMYFUNCTION("SPARKLINE({
IF(E696="""",0,E696),
IF(G696="""",0,G696),
IF(I696="""",0,I696),
IF(K696="""",0,K696),
IF(M696="""",0,M696),
IF(O696="""",0,O696),
IF(Q696="""",0,Q696)
})"),"")</f>
        <v/>
      </c>
      <c r="V696" s="8" t="e">
        <f t="array" aca="1" ref="V696" ca="1">IF($C$4="Giao",_xludf.Xlookup(C696,#REF!,#REF!,),_xludf.Xlookup(C696,#REF!,#REF!,))</f>
        <v>#NAME?</v>
      </c>
      <c r="W696" s="8" t="e">
        <f t="array" aca="1" ref="W696" ca="1">IF($C$4="Giao", _xludf.Xlookup(C696,#REF!,#REF!,),)</f>
        <v>#NAME?</v>
      </c>
      <c r="X696" s="9" t="e">
        <f t="shared" ca="1" si="8"/>
        <v>#NAME?</v>
      </c>
      <c r="Y696" s="7"/>
      <c r="Z696" s="7"/>
    </row>
    <row r="697" spans="1:26" ht="13" x14ac:dyDescent="0.6">
      <c r="A697" s="28" t="str">
        <f t="shared" si="7"/>
        <v/>
      </c>
      <c r="B697" s="7"/>
      <c r="C697" s="7"/>
      <c r="D697" s="9"/>
      <c r="E697" s="9"/>
      <c r="F697" s="7"/>
      <c r="G697" s="7"/>
      <c r="H697" s="7"/>
      <c r="I697" s="7"/>
      <c r="J697" s="7"/>
      <c r="K697" s="7"/>
      <c r="L697" s="7"/>
      <c r="M697" s="7"/>
      <c r="N697" s="7"/>
      <c r="O697" s="7"/>
      <c r="P697" s="29"/>
      <c r="Q697" s="29"/>
      <c r="R697" s="7"/>
      <c r="S697" s="7"/>
      <c r="T697" s="7" t="str">
        <f ca="1">IFERROR(__xludf.DUMMYFUNCTION("SPARKLINE({
IF(D697="""",0,D697),
IF(F697="""",0,F697),
IF(H697="""",0,H697),
IF(J697="""",0,J697),
IF(L697="""",0,L697),
IF(N697="""",0,N697),
IF(P697="""",0,P697)
})"),"")</f>
        <v/>
      </c>
      <c r="U697" s="7" t="str">
        <f ca="1">IFERROR(__xludf.DUMMYFUNCTION("SPARKLINE({
IF(E697="""",0,E697),
IF(G697="""",0,G697),
IF(I697="""",0,I697),
IF(K697="""",0,K697),
IF(M697="""",0,M697),
IF(O697="""",0,O697),
IF(Q697="""",0,Q697)
})"),"")</f>
        <v/>
      </c>
      <c r="V697" s="8" t="e">
        <f t="array" aca="1" ref="V697" ca="1">IF($C$4="Giao",_xludf.Xlookup(C697,#REF!,#REF!,),_xludf.Xlookup(C697,#REF!,#REF!,))</f>
        <v>#NAME?</v>
      </c>
      <c r="W697" s="8" t="e">
        <f t="array" aca="1" ref="W697" ca="1">IF($C$4="Giao", _xludf.Xlookup(C697,#REF!,#REF!,),)</f>
        <v>#NAME?</v>
      </c>
      <c r="X697" s="9" t="e">
        <f t="shared" ca="1" si="8"/>
        <v>#NAME?</v>
      </c>
      <c r="Y697" s="7"/>
      <c r="Z697" s="7"/>
    </row>
    <row r="698" spans="1:26" ht="13" x14ac:dyDescent="0.6">
      <c r="A698" s="28" t="str">
        <f t="shared" si="7"/>
        <v/>
      </c>
      <c r="B698" s="7"/>
      <c r="C698" s="7"/>
      <c r="D698" s="9"/>
      <c r="E698" s="9"/>
      <c r="F698" s="7"/>
      <c r="G698" s="7"/>
      <c r="H698" s="7"/>
      <c r="I698" s="7"/>
      <c r="J698" s="7"/>
      <c r="K698" s="7"/>
      <c r="L698" s="7"/>
      <c r="M698" s="7"/>
      <c r="N698" s="7"/>
      <c r="O698" s="7"/>
      <c r="P698" s="29"/>
      <c r="Q698" s="29"/>
      <c r="R698" s="7"/>
      <c r="S698" s="7"/>
      <c r="T698" s="7" t="str">
        <f ca="1">IFERROR(__xludf.DUMMYFUNCTION("SPARKLINE({
IF(D698="""",0,D698),
IF(F698="""",0,F698),
IF(H698="""",0,H698),
IF(J698="""",0,J698),
IF(L698="""",0,L698),
IF(N698="""",0,N698),
IF(P698="""",0,P698)
})"),"")</f>
        <v/>
      </c>
      <c r="U698" s="7" t="str">
        <f ca="1">IFERROR(__xludf.DUMMYFUNCTION("SPARKLINE({
IF(E698="""",0,E698),
IF(G698="""",0,G698),
IF(I698="""",0,I698),
IF(K698="""",0,K698),
IF(M698="""",0,M698),
IF(O698="""",0,O698),
IF(Q698="""",0,Q698)
})"),"")</f>
        <v/>
      </c>
      <c r="V698" s="8" t="e">
        <f t="array" aca="1" ref="V698" ca="1">IF($C$4="Giao",_xludf.Xlookup(C698,#REF!,#REF!,),_xludf.Xlookup(C698,#REF!,#REF!,))</f>
        <v>#NAME?</v>
      </c>
      <c r="W698" s="8" t="e">
        <f t="array" aca="1" ref="W698" ca="1">IF($C$4="Giao", _xludf.Xlookup(C698,#REF!,#REF!,),)</f>
        <v>#NAME?</v>
      </c>
      <c r="X698" s="9" t="e">
        <f t="shared" ca="1" si="8"/>
        <v>#NAME?</v>
      </c>
      <c r="Y698" s="7"/>
      <c r="Z698" s="7"/>
    </row>
    <row r="699" spans="1:26" ht="13" x14ac:dyDescent="0.6">
      <c r="A699" s="28" t="str">
        <f t="shared" si="7"/>
        <v/>
      </c>
      <c r="B699" s="7"/>
      <c r="C699" s="7"/>
      <c r="D699" s="9"/>
      <c r="E699" s="9"/>
      <c r="F699" s="7"/>
      <c r="G699" s="7"/>
      <c r="H699" s="7"/>
      <c r="I699" s="7"/>
      <c r="J699" s="7"/>
      <c r="K699" s="7"/>
      <c r="L699" s="7"/>
      <c r="M699" s="7"/>
      <c r="N699" s="7"/>
      <c r="O699" s="7"/>
      <c r="P699" s="29"/>
      <c r="Q699" s="29"/>
      <c r="R699" s="7"/>
      <c r="S699" s="7"/>
      <c r="T699" s="7" t="str">
        <f ca="1">IFERROR(__xludf.DUMMYFUNCTION("SPARKLINE({
IF(D699="""",0,D699),
IF(F699="""",0,F699),
IF(H699="""",0,H699),
IF(J699="""",0,J699),
IF(L699="""",0,L699),
IF(N699="""",0,N699),
IF(P699="""",0,P699)
})"),"")</f>
        <v/>
      </c>
      <c r="U699" s="7" t="str">
        <f ca="1">IFERROR(__xludf.DUMMYFUNCTION("SPARKLINE({
IF(E699="""",0,E699),
IF(G699="""",0,G699),
IF(I699="""",0,I699),
IF(K699="""",0,K699),
IF(M699="""",0,M699),
IF(O699="""",0,O699),
IF(Q699="""",0,Q699)
})"),"")</f>
        <v/>
      </c>
      <c r="V699" s="8" t="e">
        <f t="array" aca="1" ref="V699" ca="1">IF($C$4="Giao",_xludf.Xlookup(C699,#REF!,#REF!,),_xludf.Xlookup(C699,#REF!,#REF!,))</f>
        <v>#NAME?</v>
      </c>
      <c r="W699" s="8" t="e">
        <f t="array" aca="1" ref="W699" ca="1">IF($C$4="Giao", _xludf.Xlookup(C699,#REF!,#REF!,),)</f>
        <v>#NAME?</v>
      </c>
      <c r="X699" s="9" t="e">
        <f t="shared" ca="1" si="8"/>
        <v>#NAME?</v>
      </c>
      <c r="Y699" s="7"/>
      <c r="Z699" s="7"/>
    </row>
    <row r="700" spans="1:26" ht="13" x14ac:dyDescent="0.6">
      <c r="A700" s="28" t="str">
        <f t="shared" si="7"/>
        <v/>
      </c>
      <c r="B700" s="7"/>
      <c r="C700" s="7"/>
      <c r="D700" s="9"/>
      <c r="E700" s="9"/>
      <c r="F700" s="7"/>
      <c r="G700" s="7"/>
      <c r="H700" s="7"/>
      <c r="I700" s="7"/>
      <c r="J700" s="7"/>
      <c r="K700" s="7"/>
      <c r="L700" s="7"/>
      <c r="M700" s="7"/>
      <c r="N700" s="7"/>
      <c r="O700" s="7"/>
      <c r="P700" s="29"/>
      <c r="Q700" s="29"/>
      <c r="R700" s="7"/>
      <c r="S700" s="7"/>
      <c r="T700" s="7" t="str">
        <f ca="1">IFERROR(__xludf.DUMMYFUNCTION("SPARKLINE({
IF(D700="""",0,D700),
IF(F700="""",0,F700),
IF(H700="""",0,H700),
IF(J700="""",0,J700),
IF(L700="""",0,L700),
IF(N700="""",0,N700),
IF(P700="""",0,P700)
})"),"")</f>
        <v/>
      </c>
      <c r="U700" s="7" t="str">
        <f ca="1">IFERROR(__xludf.DUMMYFUNCTION("SPARKLINE({
IF(E700="""",0,E700),
IF(G700="""",0,G700),
IF(I700="""",0,I700),
IF(K700="""",0,K700),
IF(M700="""",0,M700),
IF(O700="""",0,O700),
IF(Q700="""",0,Q700)
})"),"")</f>
        <v/>
      </c>
      <c r="V700" s="8" t="e">
        <f t="array" aca="1" ref="V700" ca="1">IF($C$4="Giao",_xludf.Xlookup(C700,#REF!,#REF!,),_xludf.Xlookup(C700,#REF!,#REF!,))</f>
        <v>#NAME?</v>
      </c>
      <c r="W700" s="8" t="e">
        <f t="array" aca="1" ref="W700" ca="1">IF($C$4="Giao", _xludf.Xlookup(C700,#REF!,#REF!,),)</f>
        <v>#NAME?</v>
      </c>
      <c r="X700" s="9" t="e">
        <f t="shared" ca="1" si="8"/>
        <v>#NAME?</v>
      </c>
      <c r="Y700" s="7"/>
      <c r="Z700" s="7"/>
    </row>
    <row r="701" spans="1:26" ht="13" x14ac:dyDescent="0.6">
      <c r="A701" s="28" t="str">
        <f t="shared" si="7"/>
        <v/>
      </c>
      <c r="B701" s="7"/>
      <c r="C701" s="7"/>
      <c r="D701" s="9"/>
      <c r="E701" s="9"/>
      <c r="F701" s="7"/>
      <c r="G701" s="7"/>
      <c r="H701" s="7"/>
      <c r="I701" s="7"/>
      <c r="J701" s="7"/>
      <c r="K701" s="7"/>
      <c r="L701" s="7"/>
      <c r="M701" s="7"/>
      <c r="N701" s="7"/>
      <c r="O701" s="7"/>
      <c r="P701" s="29"/>
      <c r="Q701" s="29"/>
      <c r="R701" s="7"/>
      <c r="S701" s="7"/>
      <c r="T701" s="7" t="str">
        <f ca="1">IFERROR(__xludf.DUMMYFUNCTION("SPARKLINE({
IF(D701="""",0,D701),
IF(F701="""",0,F701),
IF(H701="""",0,H701),
IF(J701="""",0,J701),
IF(L701="""",0,L701),
IF(N701="""",0,N701),
IF(P701="""",0,P701)
})"),"")</f>
        <v/>
      </c>
      <c r="U701" s="7" t="str">
        <f ca="1">IFERROR(__xludf.DUMMYFUNCTION("SPARKLINE({
IF(E701="""",0,E701),
IF(G701="""",0,G701),
IF(I701="""",0,I701),
IF(K701="""",0,K701),
IF(M701="""",0,M701),
IF(O701="""",0,O701),
IF(Q701="""",0,Q701)
})"),"")</f>
        <v/>
      </c>
      <c r="V701" s="8" t="e">
        <f t="array" aca="1" ref="V701" ca="1">IF($C$4="Giao",_xludf.Xlookup(C701,#REF!,#REF!,),_xludf.Xlookup(C701,#REF!,#REF!,))</f>
        <v>#NAME?</v>
      </c>
      <c r="W701" s="8" t="e">
        <f t="array" aca="1" ref="W701" ca="1">IF($C$4="Giao", _xludf.Xlookup(C701,#REF!,#REF!,),)</f>
        <v>#NAME?</v>
      </c>
      <c r="X701" s="9" t="e">
        <f t="shared" ca="1" si="8"/>
        <v>#NAME?</v>
      </c>
      <c r="Y701" s="7"/>
      <c r="Z701" s="7"/>
    </row>
    <row r="702" spans="1:26" ht="13" x14ac:dyDescent="0.6">
      <c r="A702" s="28" t="str">
        <f t="shared" si="7"/>
        <v/>
      </c>
      <c r="B702" s="7"/>
      <c r="C702" s="7"/>
      <c r="D702" s="9"/>
      <c r="E702" s="9"/>
      <c r="F702" s="7"/>
      <c r="G702" s="7"/>
      <c r="H702" s="7"/>
      <c r="I702" s="7"/>
      <c r="J702" s="7"/>
      <c r="K702" s="7"/>
      <c r="L702" s="7"/>
      <c r="M702" s="7"/>
      <c r="N702" s="7"/>
      <c r="O702" s="7"/>
      <c r="P702" s="29"/>
      <c r="Q702" s="29"/>
      <c r="R702" s="7"/>
      <c r="S702" s="7"/>
      <c r="T702" s="7" t="str">
        <f ca="1">IFERROR(__xludf.DUMMYFUNCTION("SPARKLINE({
IF(D702="""",0,D702),
IF(F702="""",0,F702),
IF(H702="""",0,H702),
IF(J702="""",0,J702),
IF(L702="""",0,L702),
IF(N702="""",0,N702),
IF(P702="""",0,P702)
})"),"")</f>
        <v/>
      </c>
      <c r="U702" s="7" t="str">
        <f ca="1">IFERROR(__xludf.DUMMYFUNCTION("SPARKLINE({
IF(E702="""",0,E702),
IF(G702="""",0,G702),
IF(I702="""",0,I702),
IF(K702="""",0,K702),
IF(M702="""",0,M702),
IF(O702="""",0,O702),
IF(Q702="""",0,Q702)
})"),"")</f>
        <v/>
      </c>
      <c r="V702" s="8" t="e">
        <f t="array" aca="1" ref="V702" ca="1">IF($C$4="Giao",_xludf.Xlookup(C702,#REF!,#REF!,),_xludf.Xlookup(C702,#REF!,#REF!,))</f>
        <v>#NAME?</v>
      </c>
      <c r="W702" s="8" t="e">
        <f t="array" aca="1" ref="W702" ca="1">IF($C$4="Giao", _xludf.Xlookup(C702,#REF!,#REF!,),)</f>
        <v>#NAME?</v>
      </c>
      <c r="X702" s="9" t="e">
        <f t="shared" ca="1" si="8"/>
        <v>#NAME?</v>
      </c>
      <c r="Y702" s="7"/>
      <c r="Z702" s="7"/>
    </row>
    <row r="703" spans="1:26" ht="13" x14ac:dyDescent="0.6">
      <c r="A703" s="28" t="str">
        <f t="shared" si="7"/>
        <v/>
      </c>
      <c r="B703" s="7"/>
      <c r="C703" s="7"/>
      <c r="D703" s="9"/>
      <c r="E703" s="9"/>
      <c r="F703" s="7"/>
      <c r="G703" s="7"/>
      <c r="H703" s="7"/>
      <c r="I703" s="7"/>
      <c r="J703" s="7"/>
      <c r="K703" s="7"/>
      <c r="L703" s="7"/>
      <c r="M703" s="7"/>
      <c r="N703" s="7"/>
      <c r="O703" s="7"/>
      <c r="P703" s="29"/>
      <c r="Q703" s="29"/>
      <c r="R703" s="7"/>
      <c r="S703" s="7"/>
      <c r="T703" s="7" t="str">
        <f ca="1">IFERROR(__xludf.DUMMYFUNCTION("SPARKLINE({
IF(D703="""",0,D703),
IF(F703="""",0,F703),
IF(H703="""",0,H703),
IF(J703="""",0,J703),
IF(L703="""",0,L703),
IF(N703="""",0,N703),
IF(P703="""",0,P703)
})"),"")</f>
        <v/>
      </c>
      <c r="U703" s="7" t="str">
        <f ca="1">IFERROR(__xludf.DUMMYFUNCTION("SPARKLINE({
IF(E703="""",0,E703),
IF(G703="""",0,G703),
IF(I703="""",0,I703),
IF(K703="""",0,K703),
IF(M703="""",0,M703),
IF(O703="""",0,O703),
IF(Q703="""",0,Q703)
})"),"")</f>
        <v/>
      </c>
      <c r="V703" s="8" t="e">
        <f t="array" aca="1" ref="V703" ca="1">IF($C$4="Giao",_xludf.Xlookup(C703,#REF!,#REF!,),_xludf.Xlookup(C703,#REF!,#REF!,))</f>
        <v>#NAME?</v>
      </c>
      <c r="W703" s="8" t="e">
        <f t="array" aca="1" ref="W703" ca="1">IF($C$4="Giao", _xludf.Xlookup(C703,#REF!,#REF!,),)</f>
        <v>#NAME?</v>
      </c>
      <c r="X703" s="9" t="e">
        <f t="shared" ca="1" si="8"/>
        <v>#NAME?</v>
      </c>
      <c r="Y703" s="7"/>
      <c r="Z703" s="7"/>
    </row>
    <row r="704" spans="1:26" ht="13" x14ac:dyDescent="0.6">
      <c r="A704" s="28" t="str">
        <f t="shared" si="7"/>
        <v/>
      </c>
      <c r="B704" s="7"/>
      <c r="C704" s="7"/>
      <c r="D704" s="9"/>
      <c r="E704" s="9"/>
      <c r="F704" s="7"/>
      <c r="G704" s="7"/>
      <c r="H704" s="7"/>
      <c r="I704" s="7"/>
      <c r="J704" s="7"/>
      <c r="K704" s="7"/>
      <c r="L704" s="7"/>
      <c r="M704" s="7"/>
      <c r="N704" s="7"/>
      <c r="O704" s="7"/>
      <c r="P704" s="29"/>
      <c r="Q704" s="29"/>
      <c r="R704" s="7"/>
      <c r="S704" s="7"/>
      <c r="T704" s="7" t="str">
        <f ca="1">IFERROR(__xludf.DUMMYFUNCTION("SPARKLINE({
IF(D704="""",0,D704),
IF(F704="""",0,F704),
IF(H704="""",0,H704),
IF(J704="""",0,J704),
IF(L704="""",0,L704),
IF(N704="""",0,N704),
IF(P704="""",0,P704)
})"),"")</f>
        <v/>
      </c>
      <c r="U704" s="7" t="str">
        <f ca="1">IFERROR(__xludf.DUMMYFUNCTION("SPARKLINE({
IF(E704="""",0,E704),
IF(G704="""",0,G704),
IF(I704="""",0,I704),
IF(K704="""",0,K704),
IF(M704="""",0,M704),
IF(O704="""",0,O704),
IF(Q704="""",0,Q704)
})"),"")</f>
        <v/>
      </c>
      <c r="V704" s="8" t="e">
        <f t="array" aca="1" ref="V704" ca="1">IF($C$4="Giao",_xludf.Xlookup(C704,#REF!,#REF!,),_xludf.Xlookup(C704,#REF!,#REF!,))</f>
        <v>#NAME?</v>
      </c>
      <c r="W704" s="8" t="e">
        <f t="array" aca="1" ref="W704" ca="1">IF($C$4="Giao", _xludf.Xlookup(C704,#REF!,#REF!,),)</f>
        <v>#NAME?</v>
      </c>
      <c r="X704" s="9" t="e">
        <f t="shared" ca="1" si="8"/>
        <v>#NAME?</v>
      </c>
      <c r="Y704" s="7"/>
      <c r="Z704" s="7"/>
    </row>
    <row r="705" spans="1:26" ht="13" x14ac:dyDescent="0.6">
      <c r="A705" s="28" t="str">
        <f t="shared" si="7"/>
        <v/>
      </c>
      <c r="B705" s="7"/>
      <c r="C705" s="7"/>
      <c r="D705" s="9"/>
      <c r="E705" s="9"/>
      <c r="F705" s="7"/>
      <c r="G705" s="7"/>
      <c r="H705" s="7"/>
      <c r="I705" s="7"/>
      <c r="J705" s="7"/>
      <c r="K705" s="7"/>
      <c r="L705" s="7"/>
      <c r="M705" s="7"/>
      <c r="N705" s="7"/>
      <c r="O705" s="7"/>
      <c r="P705" s="29"/>
      <c r="Q705" s="29"/>
      <c r="R705" s="7"/>
      <c r="S705" s="7"/>
      <c r="T705" s="7" t="str">
        <f ca="1">IFERROR(__xludf.DUMMYFUNCTION("SPARKLINE({
IF(D705="""",0,D705),
IF(F705="""",0,F705),
IF(H705="""",0,H705),
IF(J705="""",0,J705),
IF(L705="""",0,L705),
IF(N705="""",0,N705),
IF(P705="""",0,P705)
})"),"")</f>
        <v/>
      </c>
      <c r="U705" s="7" t="str">
        <f ca="1">IFERROR(__xludf.DUMMYFUNCTION("SPARKLINE({
IF(E705="""",0,E705),
IF(G705="""",0,G705),
IF(I705="""",0,I705),
IF(K705="""",0,K705),
IF(M705="""",0,M705),
IF(O705="""",0,O705),
IF(Q705="""",0,Q705)
})"),"")</f>
        <v/>
      </c>
      <c r="V705" s="8" t="e">
        <f t="array" aca="1" ref="V705" ca="1">IF($C$4="Giao",_xludf.Xlookup(C705,#REF!,#REF!,),_xludf.Xlookup(C705,#REF!,#REF!,))</f>
        <v>#NAME?</v>
      </c>
      <c r="W705" s="8" t="e">
        <f t="array" aca="1" ref="W705" ca="1">IF($C$4="Giao", _xludf.Xlookup(C705,#REF!,#REF!,),)</f>
        <v>#NAME?</v>
      </c>
      <c r="X705" s="9" t="e">
        <f t="shared" ca="1" si="8"/>
        <v>#NAME?</v>
      </c>
      <c r="Y705" s="7"/>
      <c r="Z705" s="7"/>
    </row>
    <row r="706" spans="1:26" ht="13" x14ac:dyDescent="0.6">
      <c r="A706" s="28" t="str">
        <f t="shared" si="7"/>
        <v/>
      </c>
      <c r="B706" s="7"/>
      <c r="C706" s="7"/>
      <c r="D706" s="9"/>
      <c r="E706" s="9"/>
      <c r="F706" s="7"/>
      <c r="G706" s="7"/>
      <c r="H706" s="7"/>
      <c r="I706" s="7"/>
      <c r="J706" s="7"/>
      <c r="K706" s="7"/>
      <c r="L706" s="7"/>
      <c r="M706" s="7"/>
      <c r="N706" s="7"/>
      <c r="O706" s="7"/>
      <c r="P706" s="29"/>
      <c r="Q706" s="29"/>
      <c r="R706" s="7"/>
      <c r="S706" s="7"/>
      <c r="T706" s="7" t="str">
        <f ca="1">IFERROR(__xludf.DUMMYFUNCTION("SPARKLINE({
IF(D706="""",0,D706),
IF(F706="""",0,F706),
IF(H706="""",0,H706),
IF(J706="""",0,J706),
IF(L706="""",0,L706),
IF(N706="""",0,N706),
IF(P706="""",0,P706)
})"),"")</f>
        <v/>
      </c>
      <c r="U706" s="7" t="str">
        <f ca="1">IFERROR(__xludf.DUMMYFUNCTION("SPARKLINE({
IF(E706="""",0,E706),
IF(G706="""",0,G706),
IF(I706="""",0,I706),
IF(K706="""",0,K706),
IF(M706="""",0,M706),
IF(O706="""",0,O706),
IF(Q706="""",0,Q706)
})"),"")</f>
        <v/>
      </c>
      <c r="V706" s="8" t="e">
        <f t="array" aca="1" ref="V706" ca="1">IF($C$4="Giao",_xludf.Xlookup(C706,#REF!,#REF!,),_xludf.Xlookup(C706,#REF!,#REF!,))</f>
        <v>#NAME?</v>
      </c>
      <c r="W706" s="8" t="e">
        <f t="array" aca="1" ref="W706" ca="1">IF($C$4="Giao", _xludf.Xlookup(C706,#REF!,#REF!,),)</f>
        <v>#NAME?</v>
      </c>
      <c r="X706" s="9" t="e">
        <f t="shared" ca="1" si="8"/>
        <v>#NAME?</v>
      </c>
      <c r="Y706" s="7"/>
      <c r="Z706" s="7"/>
    </row>
    <row r="707" spans="1:26" ht="13" x14ac:dyDescent="0.6">
      <c r="A707" s="28" t="str">
        <f t="shared" si="7"/>
        <v/>
      </c>
      <c r="B707" s="7"/>
      <c r="C707" s="7"/>
      <c r="D707" s="9"/>
      <c r="E707" s="9"/>
      <c r="F707" s="7"/>
      <c r="G707" s="7"/>
      <c r="H707" s="7"/>
      <c r="I707" s="7"/>
      <c r="J707" s="7"/>
      <c r="K707" s="7"/>
      <c r="L707" s="7"/>
      <c r="M707" s="7"/>
      <c r="N707" s="7"/>
      <c r="O707" s="7"/>
      <c r="P707" s="29"/>
      <c r="Q707" s="29"/>
      <c r="R707" s="7"/>
      <c r="S707" s="7"/>
      <c r="T707" s="7" t="str">
        <f ca="1">IFERROR(__xludf.DUMMYFUNCTION("SPARKLINE({
IF(D707="""",0,D707),
IF(F707="""",0,F707),
IF(H707="""",0,H707),
IF(J707="""",0,J707),
IF(L707="""",0,L707),
IF(N707="""",0,N707),
IF(P707="""",0,P707)
})"),"")</f>
        <v/>
      </c>
      <c r="U707" s="7" t="str">
        <f ca="1">IFERROR(__xludf.DUMMYFUNCTION("SPARKLINE({
IF(E707="""",0,E707),
IF(G707="""",0,G707),
IF(I707="""",0,I707),
IF(K707="""",0,K707),
IF(M707="""",0,M707),
IF(O707="""",0,O707),
IF(Q707="""",0,Q707)
})"),"")</f>
        <v/>
      </c>
      <c r="V707" s="8" t="e">
        <f t="array" aca="1" ref="V707" ca="1">IF($C$4="Giao",_xludf.Xlookup(C707,#REF!,#REF!,),_xludf.Xlookup(C707,#REF!,#REF!,))</f>
        <v>#NAME?</v>
      </c>
      <c r="W707" s="8" t="e">
        <f t="array" aca="1" ref="W707" ca="1">IF($C$4="Giao", _xludf.Xlookup(C707,#REF!,#REF!,),)</f>
        <v>#NAME?</v>
      </c>
      <c r="X707" s="9" t="e">
        <f t="shared" ca="1" si="8"/>
        <v>#NAME?</v>
      </c>
      <c r="Y707" s="7"/>
      <c r="Z707" s="7"/>
    </row>
    <row r="708" spans="1:26" ht="13" x14ac:dyDescent="0.6">
      <c r="A708" s="28" t="str">
        <f t="shared" si="7"/>
        <v/>
      </c>
      <c r="B708" s="7"/>
      <c r="C708" s="7"/>
      <c r="D708" s="9"/>
      <c r="E708" s="9"/>
      <c r="F708" s="7"/>
      <c r="G708" s="7"/>
      <c r="H708" s="7"/>
      <c r="I708" s="7"/>
      <c r="J708" s="7"/>
      <c r="K708" s="7"/>
      <c r="L708" s="7"/>
      <c r="M708" s="7"/>
      <c r="N708" s="7"/>
      <c r="O708" s="7"/>
      <c r="P708" s="29"/>
      <c r="Q708" s="29"/>
      <c r="R708" s="7"/>
      <c r="S708" s="7"/>
      <c r="T708" s="7" t="str">
        <f ca="1">IFERROR(__xludf.DUMMYFUNCTION("SPARKLINE({
IF(D708="""",0,D708),
IF(F708="""",0,F708),
IF(H708="""",0,H708),
IF(J708="""",0,J708),
IF(L708="""",0,L708),
IF(N708="""",0,N708),
IF(P708="""",0,P708)
})"),"")</f>
        <v/>
      </c>
      <c r="U708" s="7" t="str">
        <f ca="1">IFERROR(__xludf.DUMMYFUNCTION("SPARKLINE({
IF(E708="""",0,E708),
IF(G708="""",0,G708),
IF(I708="""",0,I708),
IF(K708="""",0,K708),
IF(M708="""",0,M708),
IF(O708="""",0,O708),
IF(Q708="""",0,Q708)
})"),"")</f>
        <v/>
      </c>
      <c r="V708" s="8" t="e">
        <f t="array" aca="1" ref="V708" ca="1">IF($C$4="Giao",_xludf.Xlookup(C708,#REF!,#REF!,),_xludf.Xlookup(C708,#REF!,#REF!,))</f>
        <v>#NAME?</v>
      </c>
      <c r="W708" s="8" t="e">
        <f t="array" aca="1" ref="W708" ca="1">IF($C$4="Giao", _xludf.Xlookup(C708,#REF!,#REF!,),)</f>
        <v>#NAME?</v>
      </c>
      <c r="X708" s="9" t="e">
        <f t="shared" ca="1" si="8"/>
        <v>#NAME?</v>
      </c>
      <c r="Y708" s="7"/>
      <c r="Z708" s="7"/>
    </row>
    <row r="709" spans="1:26" ht="13" x14ac:dyDescent="0.6">
      <c r="A709" s="28" t="str">
        <f t="shared" si="7"/>
        <v/>
      </c>
      <c r="B709" s="7"/>
      <c r="C709" s="7"/>
      <c r="D709" s="9"/>
      <c r="E709" s="9"/>
      <c r="F709" s="7"/>
      <c r="G709" s="7"/>
      <c r="H709" s="7"/>
      <c r="I709" s="7"/>
      <c r="J709" s="7"/>
      <c r="K709" s="7"/>
      <c r="L709" s="7"/>
      <c r="M709" s="7"/>
      <c r="N709" s="7"/>
      <c r="O709" s="7"/>
      <c r="P709" s="29"/>
      <c r="Q709" s="29"/>
      <c r="R709" s="7"/>
      <c r="S709" s="7"/>
      <c r="T709" s="7" t="str">
        <f ca="1">IFERROR(__xludf.DUMMYFUNCTION("SPARKLINE({
IF(D709="""",0,D709),
IF(F709="""",0,F709),
IF(H709="""",0,H709),
IF(J709="""",0,J709),
IF(L709="""",0,L709),
IF(N709="""",0,N709),
IF(P709="""",0,P709)
})"),"")</f>
        <v/>
      </c>
      <c r="U709" s="7" t="str">
        <f ca="1">IFERROR(__xludf.DUMMYFUNCTION("SPARKLINE({
IF(E709="""",0,E709),
IF(G709="""",0,G709),
IF(I709="""",0,I709),
IF(K709="""",0,K709),
IF(M709="""",0,M709),
IF(O709="""",0,O709),
IF(Q709="""",0,Q709)
})"),"")</f>
        <v/>
      </c>
      <c r="V709" s="8" t="e">
        <f t="array" aca="1" ref="V709" ca="1">IF($C$4="Giao",_xludf.Xlookup(C709,#REF!,#REF!,),_xludf.Xlookup(C709,#REF!,#REF!,))</f>
        <v>#NAME?</v>
      </c>
      <c r="W709" s="8" t="e">
        <f t="array" aca="1" ref="W709" ca="1">IF($C$4="Giao", _xludf.Xlookup(C709,#REF!,#REF!,),)</f>
        <v>#NAME?</v>
      </c>
      <c r="X709" s="9" t="e">
        <f t="shared" ca="1" si="8"/>
        <v>#NAME?</v>
      </c>
      <c r="Y709" s="7"/>
      <c r="Z709" s="7"/>
    </row>
    <row r="710" spans="1:26" ht="13" x14ac:dyDescent="0.6">
      <c r="A710" s="28" t="str">
        <f t="shared" si="7"/>
        <v/>
      </c>
      <c r="B710" s="7"/>
      <c r="C710" s="7"/>
      <c r="D710" s="9"/>
      <c r="E710" s="9"/>
      <c r="F710" s="7"/>
      <c r="G710" s="7"/>
      <c r="H710" s="7"/>
      <c r="I710" s="7"/>
      <c r="J710" s="7"/>
      <c r="K710" s="7"/>
      <c r="L710" s="7"/>
      <c r="M710" s="7"/>
      <c r="N710" s="7"/>
      <c r="O710" s="7"/>
      <c r="P710" s="29"/>
      <c r="Q710" s="29"/>
      <c r="R710" s="7"/>
      <c r="S710" s="7"/>
      <c r="T710" s="7" t="str">
        <f ca="1">IFERROR(__xludf.DUMMYFUNCTION("SPARKLINE({
IF(D710="""",0,D710),
IF(F710="""",0,F710),
IF(H710="""",0,H710),
IF(J710="""",0,J710),
IF(L710="""",0,L710),
IF(N710="""",0,N710),
IF(P710="""",0,P710)
})"),"")</f>
        <v/>
      </c>
      <c r="U710" s="7" t="str">
        <f ca="1">IFERROR(__xludf.DUMMYFUNCTION("SPARKLINE({
IF(E710="""",0,E710),
IF(G710="""",0,G710),
IF(I710="""",0,I710),
IF(K710="""",0,K710),
IF(M710="""",0,M710),
IF(O710="""",0,O710),
IF(Q710="""",0,Q710)
})"),"")</f>
        <v/>
      </c>
      <c r="V710" s="8" t="e">
        <f t="array" aca="1" ref="V710" ca="1">IF($C$4="Giao",_xludf.Xlookup(C710,#REF!,#REF!,),_xludf.Xlookup(C710,#REF!,#REF!,))</f>
        <v>#NAME?</v>
      </c>
      <c r="W710" s="8" t="e">
        <f t="array" aca="1" ref="W710" ca="1">IF($C$4="Giao", _xludf.Xlookup(C710,#REF!,#REF!,),)</f>
        <v>#NAME?</v>
      </c>
      <c r="X710" s="9" t="e">
        <f t="shared" ca="1" si="8"/>
        <v>#NAME?</v>
      </c>
      <c r="Y710" s="7"/>
      <c r="Z710" s="7"/>
    </row>
    <row r="711" spans="1:26" ht="13" x14ac:dyDescent="0.6">
      <c r="A711" s="28" t="str">
        <f t="shared" si="7"/>
        <v/>
      </c>
      <c r="B711" s="7"/>
      <c r="C711" s="7"/>
      <c r="D711" s="9"/>
      <c r="E711" s="9"/>
      <c r="F711" s="7"/>
      <c r="G711" s="7"/>
      <c r="H711" s="7"/>
      <c r="I711" s="7"/>
      <c r="J711" s="7"/>
      <c r="K711" s="7"/>
      <c r="L711" s="7"/>
      <c r="M711" s="7"/>
      <c r="N711" s="7"/>
      <c r="O711" s="7"/>
      <c r="P711" s="29"/>
      <c r="Q711" s="29"/>
      <c r="R711" s="7"/>
      <c r="S711" s="7"/>
      <c r="T711" s="7" t="str">
        <f ca="1">IFERROR(__xludf.DUMMYFUNCTION("SPARKLINE({
IF(D711="""",0,D711),
IF(F711="""",0,F711),
IF(H711="""",0,H711),
IF(J711="""",0,J711),
IF(L711="""",0,L711),
IF(N711="""",0,N711),
IF(P711="""",0,P711)
})"),"")</f>
        <v/>
      </c>
      <c r="U711" s="7" t="str">
        <f ca="1">IFERROR(__xludf.DUMMYFUNCTION("SPARKLINE({
IF(E711="""",0,E711),
IF(G711="""",0,G711),
IF(I711="""",0,I711),
IF(K711="""",0,K711),
IF(M711="""",0,M711),
IF(O711="""",0,O711),
IF(Q711="""",0,Q711)
})"),"")</f>
        <v/>
      </c>
      <c r="V711" s="8" t="e">
        <f t="array" aca="1" ref="V711" ca="1">IF($C$4="Giao",_xludf.Xlookup(C711,#REF!,#REF!,),_xludf.Xlookup(C711,#REF!,#REF!,))</f>
        <v>#NAME?</v>
      </c>
      <c r="W711" s="8" t="e">
        <f t="array" aca="1" ref="W711" ca="1">IF($C$4="Giao", _xludf.Xlookup(C711,#REF!,#REF!,),)</f>
        <v>#NAME?</v>
      </c>
      <c r="X711" s="9" t="e">
        <f t="shared" ca="1" si="8"/>
        <v>#NAME?</v>
      </c>
      <c r="Y711" s="7"/>
      <c r="Z711" s="7"/>
    </row>
    <row r="712" spans="1:26" ht="13" x14ac:dyDescent="0.6">
      <c r="A712" s="28" t="str">
        <f t="shared" si="7"/>
        <v/>
      </c>
      <c r="B712" s="7"/>
      <c r="C712" s="7"/>
      <c r="D712" s="9"/>
      <c r="E712" s="9"/>
      <c r="F712" s="7"/>
      <c r="G712" s="7"/>
      <c r="H712" s="7"/>
      <c r="I712" s="7"/>
      <c r="J712" s="7"/>
      <c r="K712" s="7"/>
      <c r="L712" s="7"/>
      <c r="M712" s="7"/>
      <c r="N712" s="7"/>
      <c r="O712" s="7"/>
      <c r="P712" s="29"/>
      <c r="Q712" s="29"/>
      <c r="R712" s="7"/>
      <c r="S712" s="7"/>
      <c r="T712" s="7" t="str">
        <f ca="1">IFERROR(__xludf.DUMMYFUNCTION("SPARKLINE({
IF(D712="""",0,D712),
IF(F712="""",0,F712),
IF(H712="""",0,H712),
IF(J712="""",0,J712),
IF(L712="""",0,L712),
IF(N712="""",0,N712),
IF(P712="""",0,P712)
})"),"")</f>
        <v/>
      </c>
      <c r="U712" s="7" t="str">
        <f ca="1">IFERROR(__xludf.DUMMYFUNCTION("SPARKLINE({
IF(E712="""",0,E712),
IF(G712="""",0,G712),
IF(I712="""",0,I712),
IF(K712="""",0,K712),
IF(M712="""",0,M712),
IF(O712="""",0,O712),
IF(Q712="""",0,Q712)
})"),"")</f>
        <v/>
      </c>
      <c r="V712" s="8" t="e">
        <f t="array" aca="1" ref="V712" ca="1">IF($C$4="Giao",_xludf.Xlookup(C712,#REF!,#REF!,),_xludf.Xlookup(C712,#REF!,#REF!,))</f>
        <v>#NAME?</v>
      </c>
      <c r="W712" s="8" t="e">
        <f t="array" aca="1" ref="W712" ca="1">IF($C$4="Giao", _xludf.Xlookup(C712,#REF!,#REF!,),)</f>
        <v>#NAME?</v>
      </c>
      <c r="X712" s="9" t="e">
        <f t="shared" ca="1" si="8"/>
        <v>#NAME?</v>
      </c>
      <c r="Y712" s="7"/>
      <c r="Z712" s="7"/>
    </row>
    <row r="713" spans="1:26" ht="13" x14ac:dyDescent="0.6">
      <c r="A713" s="28" t="str">
        <f t="shared" si="7"/>
        <v/>
      </c>
      <c r="B713" s="7"/>
      <c r="C713" s="7"/>
      <c r="D713" s="9"/>
      <c r="E713" s="9"/>
      <c r="F713" s="7"/>
      <c r="G713" s="7"/>
      <c r="H713" s="7"/>
      <c r="I713" s="7"/>
      <c r="J713" s="7"/>
      <c r="K713" s="7"/>
      <c r="L713" s="7"/>
      <c r="M713" s="7"/>
      <c r="N713" s="7"/>
      <c r="O713" s="7"/>
      <c r="P713" s="29"/>
      <c r="Q713" s="29"/>
      <c r="R713" s="7"/>
      <c r="S713" s="7"/>
      <c r="T713" s="7" t="str">
        <f ca="1">IFERROR(__xludf.DUMMYFUNCTION("SPARKLINE({
IF(D713="""",0,D713),
IF(F713="""",0,F713),
IF(H713="""",0,H713),
IF(J713="""",0,J713),
IF(L713="""",0,L713),
IF(N713="""",0,N713),
IF(P713="""",0,P713)
})"),"")</f>
        <v/>
      </c>
      <c r="U713" s="7" t="str">
        <f ca="1">IFERROR(__xludf.DUMMYFUNCTION("SPARKLINE({
IF(E713="""",0,E713),
IF(G713="""",0,G713),
IF(I713="""",0,I713),
IF(K713="""",0,K713),
IF(M713="""",0,M713),
IF(O713="""",0,O713),
IF(Q713="""",0,Q713)
})"),"")</f>
        <v/>
      </c>
      <c r="V713" s="8" t="e">
        <f t="array" aca="1" ref="V713" ca="1">IF($C$4="Giao",_xludf.Xlookup(C713,#REF!,#REF!,),_xludf.Xlookup(C713,#REF!,#REF!,))</f>
        <v>#NAME?</v>
      </c>
      <c r="W713" s="8" t="e">
        <f t="array" aca="1" ref="W713" ca="1">IF($C$4="Giao", _xludf.Xlookup(C713,#REF!,#REF!,),)</f>
        <v>#NAME?</v>
      </c>
      <c r="X713" s="9" t="e">
        <f t="shared" ca="1" si="8"/>
        <v>#NAME?</v>
      </c>
      <c r="Y713" s="7"/>
      <c r="Z713" s="7"/>
    </row>
    <row r="714" spans="1:26" ht="13" x14ac:dyDescent="0.6">
      <c r="A714" s="28" t="str">
        <f t="shared" si="7"/>
        <v/>
      </c>
      <c r="B714" s="7"/>
      <c r="C714" s="7"/>
      <c r="D714" s="9"/>
      <c r="E714" s="9"/>
      <c r="F714" s="7"/>
      <c r="G714" s="7"/>
      <c r="H714" s="7"/>
      <c r="I714" s="7"/>
      <c r="J714" s="7"/>
      <c r="K714" s="7"/>
      <c r="L714" s="7"/>
      <c r="M714" s="7"/>
      <c r="N714" s="7"/>
      <c r="O714" s="7"/>
      <c r="P714" s="29"/>
      <c r="Q714" s="29"/>
      <c r="R714" s="7"/>
      <c r="S714" s="7"/>
      <c r="T714" s="7" t="str">
        <f ca="1">IFERROR(__xludf.DUMMYFUNCTION("SPARKLINE({
IF(D714="""",0,D714),
IF(F714="""",0,F714),
IF(H714="""",0,H714),
IF(J714="""",0,J714),
IF(L714="""",0,L714),
IF(N714="""",0,N714),
IF(P714="""",0,P714)
})"),"")</f>
        <v/>
      </c>
      <c r="U714" s="7" t="str">
        <f ca="1">IFERROR(__xludf.DUMMYFUNCTION("SPARKLINE({
IF(E714="""",0,E714),
IF(G714="""",0,G714),
IF(I714="""",0,I714),
IF(K714="""",0,K714),
IF(M714="""",0,M714),
IF(O714="""",0,O714),
IF(Q714="""",0,Q714)
})"),"")</f>
        <v/>
      </c>
      <c r="V714" s="8" t="e">
        <f t="array" aca="1" ref="V714" ca="1">IF($C$4="Giao",_xludf.Xlookup(C714,#REF!,#REF!,),_xludf.Xlookup(C714,#REF!,#REF!,))</f>
        <v>#NAME?</v>
      </c>
      <c r="W714" s="8" t="e">
        <f t="array" aca="1" ref="W714" ca="1">IF($C$4="Giao", _xludf.Xlookup(C714,#REF!,#REF!,),)</f>
        <v>#NAME?</v>
      </c>
      <c r="X714" s="9" t="e">
        <f t="shared" ca="1" si="8"/>
        <v>#NAME?</v>
      </c>
      <c r="Y714" s="7"/>
      <c r="Z714" s="7"/>
    </row>
    <row r="715" spans="1:26" ht="13" x14ac:dyDescent="0.6">
      <c r="A715" s="28" t="str">
        <f t="shared" si="7"/>
        <v/>
      </c>
      <c r="B715" s="7"/>
      <c r="C715" s="7"/>
      <c r="D715" s="9"/>
      <c r="E715" s="9"/>
      <c r="F715" s="7"/>
      <c r="G715" s="7"/>
      <c r="H715" s="7"/>
      <c r="I715" s="7"/>
      <c r="J715" s="7"/>
      <c r="K715" s="7"/>
      <c r="L715" s="7"/>
      <c r="M715" s="7"/>
      <c r="N715" s="7"/>
      <c r="O715" s="7"/>
      <c r="P715" s="29"/>
      <c r="Q715" s="29"/>
      <c r="R715" s="7"/>
      <c r="S715" s="7"/>
      <c r="T715" s="7" t="str">
        <f ca="1">IFERROR(__xludf.DUMMYFUNCTION("SPARKLINE({
IF(D715="""",0,D715),
IF(F715="""",0,F715),
IF(H715="""",0,H715),
IF(J715="""",0,J715),
IF(L715="""",0,L715),
IF(N715="""",0,N715),
IF(P715="""",0,P715)
})"),"")</f>
        <v/>
      </c>
      <c r="U715" s="7" t="str">
        <f ca="1">IFERROR(__xludf.DUMMYFUNCTION("SPARKLINE({
IF(E715="""",0,E715),
IF(G715="""",0,G715),
IF(I715="""",0,I715),
IF(K715="""",0,K715),
IF(M715="""",0,M715),
IF(O715="""",0,O715),
IF(Q715="""",0,Q715)
})"),"")</f>
        <v/>
      </c>
      <c r="V715" s="8" t="e">
        <f t="array" aca="1" ref="V715" ca="1">IF($C$4="Giao",_xludf.Xlookup(C715,#REF!,#REF!,),_xludf.Xlookup(C715,#REF!,#REF!,))</f>
        <v>#NAME?</v>
      </c>
      <c r="W715" s="8" t="e">
        <f t="array" aca="1" ref="W715" ca="1">IF($C$4="Giao", _xludf.Xlookup(C715,#REF!,#REF!,),)</f>
        <v>#NAME?</v>
      </c>
      <c r="X715" s="9" t="e">
        <f t="shared" ca="1" si="8"/>
        <v>#NAME?</v>
      </c>
      <c r="Y715" s="7"/>
      <c r="Z715" s="7"/>
    </row>
    <row r="716" spans="1:26" ht="13" x14ac:dyDescent="0.6">
      <c r="A716" s="28" t="str">
        <f t="shared" si="7"/>
        <v/>
      </c>
      <c r="B716" s="7"/>
      <c r="C716" s="7"/>
      <c r="D716" s="9"/>
      <c r="E716" s="9"/>
      <c r="F716" s="7"/>
      <c r="G716" s="7"/>
      <c r="H716" s="7"/>
      <c r="I716" s="7"/>
      <c r="J716" s="7"/>
      <c r="K716" s="7"/>
      <c r="L716" s="7"/>
      <c r="M716" s="7"/>
      <c r="N716" s="7"/>
      <c r="O716" s="7"/>
      <c r="P716" s="29"/>
      <c r="Q716" s="29"/>
      <c r="R716" s="7"/>
      <c r="S716" s="7"/>
      <c r="T716" s="7" t="str">
        <f ca="1">IFERROR(__xludf.DUMMYFUNCTION("SPARKLINE({
IF(D716="""",0,D716),
IF(F716="""",0,F716),
IF(H716="""",0,H716),
IF(J716="""",0,J716),
IF(L716="""",0,L716),
IF(N716="""",0,N716),
IF(P716="""",0,P716)
})"),"")</f>
        <v/>
      </c>
      <c r="U716" s="7" t="str">
        <f ca="1">IFERROR(__xludf.DUMMYFUNCTION("SPARKLINE({
IF(E716="""",0,E716),
IF(G716="""",0,G716),
IF(I716="""",0,I716),
IF(K716="""",0,K716),
IF(M716="""",0,M716),
IF(O716="""",0,O716),
IF(Q716="""",0,Q716)
})"),"")</f>
        <v/>
      </c>
      <c r="V716" s="8" t="e">
        <f t="array" aca="1" ref="V716" ca="1">IF($C$4="Giao",_xludf.Xlookup(C716,#REF!,#REF!,),_xludf.Xlookup(C716,#REF!,#REF!,))</f>
        <v>#NAME?</v>
      </c>
      <c r="W716" s="8" t="e">
        <f t="array" aca="1" ref="W716" ca="1">IF($C$4="Giao", _xludf.Xlookup(C716,#REF!,#REF!,),)</f>
        <v>#NAME?</v>
      </c>
      <c r="X716" s="9" t="e">
        <f t="shared" ca="1" si="8"/>
        <v>#NAME?</v>
      </c>
      <c r="Y716" s="7"/>
      <c r="Z716" s="7"/>
    </row>
    <row r="717" spans="1:26" ht="13" x14ac:dyDescent="0.6">
      <c r="A717" s="28" t="str">
        <f t="shared" si="7"/>
        <v/>
      </c>
      <c r="B717" s="7"/>
      <c r="C717" s="7"/>
      <c r="D717" s="9"/>
      <c r="E717" s="9"/>
      <c r="F717" s="7"/>
      <c r="G717" s="7"/>
      <c r="H717" s="7"/>
      <c r="I717" s="7"/>
      <c r="J717" s="7"/>
      <c r="K717" s="7"/>
      <c r="L717" s="7"/>
      <c r="M717" s="7"/>
      <c r="N717" s="7"/>
      <c r="O717" s="7"/>
      <c r="P717" s="29"/>
      <c r="Q717" s="29"/>
      <c r="R717" s="7"/>
      <c r="S717" s="7"/>
      <c r="T717" s="7" t="str">
        <f ca="1">IFERROR(__xludf.DUMMYFUNCTION("SPARKLINE({
IF(D717="""",0,D717),
IF(F717="""",0,F717),
IF(H717="""",0,H717),
IF(J717="""",0,J717),
IF(L717="""",0,L717),
IF(N717="""",0,N717),
IF(P717="""",0,P717)
})"),"")</f>
        <v/>
      </c>
      <c r="U717" s="7" t="str">
        <f ca="1">IFERROR(__xludf.DUMMYFUNCTION("SPARKLINE({
IF(E717="""",0,E717),
IF(G717="""",0,G717),
IF(I717="""",0,I717),
IF(K717="""",0,K717),
IF(M717="""",0,M717),
IF(O717="""",0,O717),
IF(Q717="""",0,Q717)
})"),"")</f>
        <v/>
      </c>
      <c r="V717" s="8" t="e">
        <f t="array" aca="1" ref="V717" ca="1">IF($C$4="Giao",_xludf.Xlookup(C717,#REF!,#REF!,),_xludf.Xlookup(C717,#REF!,#REF!,))</f>
        <v>#NAME?</v>
      </c>
      <c r="W717" s="8" t="e">
        <f t="array" aca="1" ref="W717" ca="1">IF($C$4="Giao", _xludf.Xlookup(C717,#REF!,#REF!,),)</f>
        <v>#NAME?</v>
      </c>
      <c r="X717" s="9" t="e">
        <f t="shared" ca="1" si="8"/>
        <v>#NAME?</v>
      </c>
      <c r="Y717" s="7"/>
      <c r="Z717" s="7"/>
    </row>
    <row r="718" spans="1:26" ht="13" x14ac:dyDescent="0.6">
      <c r="A718" s="28" t="str">
        <f t="shared" si="7"/>
        <v/>
      </c>
      <c r="B718" s="7"/>
      <c r="C718" s="7"/>
      <c r="D718" s="9"/>
      <c r="E718" s="9"/>
      <c r="F718" s="7"/>
      <c r="G718" s="7"/>
      <c r="H718" s="7"/>
      <c r="I718" s="7"/>
      <c r="J718" s="7"/>
      <c r="K718" s="7"/>
      <c r="L718" s="7"/>
      <c r="M718" s="7"/>
      <c r="N718" s="7"/>
      <c r="O718" s="7"/>
      <c r="P718" s="29"/>
      <c r="Q718" s="29"/>
      <c r="R718" s="7"/>
      <c r="S718" s="7"/>
      <c r="T718" s="7" t="str">
        <f ca="1">IFERROR(__xludf.DUMMYFUNCTION("SPARKLINE({
IF(D718="""",0,D718),
IF(F718="""",0,F718),
IF(H718="""",0,H718),
IF(J718="""",0,J718),
IF(L718="""",0,L718),
IF(N718="""",0,N718),
IF(P718="""",0,P718)
})"),"")</f>
        <v/>
      </c>
      <c r="U718" s="7" t="str">
        <f ca="1">IFERROR(__xludf.DUMMYFUNCTION("SPARKLINE({
IF(E718="""",0,E718),
IF(G718="""",0,G718),
IF(I718="""",0,I718),
IF(K718="""",0,K718),
IF(M718="""",0,M718),
IF(O718="""",0,O718),
IF(Q718="""",0,Q718)
})"),"")</f>
        <v/>
      </c>
      <c r="V718" s="8" t="e">
        <f t="array" aca="1" ref="V718" ca="1">IF($C$4="Giao",_xludf.Xlookup(C718,#REF!,#REF!,),_xludf.Xlookup(C718,#REF!,#REF!,))</f>
        <v>#NAME?</v>
      </c>
      <c r="W718" s="8" t="e">
        <f t="array" aca="1" ref="W718" ca="1">IF($C$4="Giao", _xludf.Xlookup(C718,#REF!,#REF!,),)</f>
        <v>#NAME?</v>
      </c>
      <c r="X718" s="9" t="e">
        <f t="shared" ca="1" si="8"/>
        <v>#NAME?</v>
      </c>
      <c r="Y718" s="7"/>
      <c r="Z718" s="7"/>
    </row>
    <row r="719" spans="1:26" ht="13" x14ac:dyDescent="0.6">
      <c r="A719" s="28" t="str">
        <f t="shared" si="7"/>
        <v/>
      </c>
      <c r="B719" s="7"/>
      <c r="C719" s="7"/>
      <c r="D719" s="9"/>
      <c r="E719" s="9"/>
      <c r="F719" s="7"/>
      <c r="G719" s="7"/>
      <c r="H719" s="7"/>
      <c r="I719" s="7"/>
      <c r="J719" s="7"/>
      <c r="K719" s="7"/>
      <c r="L719" s="7"/>
      <c r="M719" s="7"/>
      <c r="N719" s="7"/>
      <c r="O719" s="7"/>
      <c r="P719" s="29"/>
      <c r="Q719" s="29"/>
      <c r="R719" s="7"/>
      <c r="S719" s="7"/>
      <c r="T719" s="7" t="str">
        <f ca="1">IFERROR(__xludf.DUMMYFUNCTION("SPARKLINE({
IF(D719="""",0,D719),
IF(F719="""",0,F719),
IF(H719="""",0,H719),
IF(J719="""",0,J719),
IF(L719="""",0,L719),
IF(N719="""",0,N719),
IF(P719="""",0,P719)
})"),"")</f>
        <v/>
      </c>
      <c r="U719" s="7" t="str">
        <f ca="1">IFERROR(__xludf.DUMMYFUNCTION("SPARKLINE({
IF(E719="""",0,E719),
IF(G719="""",0,G719),
IF(I719="""",0,I719),
IF(K719="""",0,K719),
IF(M719="""",0,M719),
IF(O719="""",0,O719),
IF(Q719="""",0,Q719)
})"),"")</f>
        <v/>
      </c>
      <c r="V719" s="8" t="e">
        <f t="array" aca="1" ref="V719" ca="1">IF($C$4="Giao",_xludf.Xlookup(C719,#REF!,#REF!,),_xludf.Xlookup(C719,#REF!,#REF!,))</f>
        <v>#NAME?</v>
      </c>
      <c r="W719" s="8" t="e">
        <f t="array" aca="1" ref="W719" ca="1">IF($C$4="Giao", _xludf.Xlookup(C719,#REF!,#REF!,),)</f>
        <v>#NAME?</v>
      </c>
      <c r="X719" s="9" t="e">
        <f t="shared" ca="1" si="8"/>
        <v>#NAME?</v>
      </c>
      <c r="Y719" s="7"/>
      <c r="Z719" s="7"/>
    </row>
    <row r="720" spans="1:26" ht="13" x14ac:dyDescent="0.6">
      <c r="A720" s="28" t="str">
        <f t="shared" si="7"/>
        <v/>
      </c>
      <c r="B720" s="7"/>
      <c r="C720" s="7"/>
      <c r="D720" s="9"/>
      <c r="E720" s="9"/>
      <c r="F720" s="7"/>
      <c r="G720" s="7"/>
      <c r="H720" s="7"/>
      <c r="I720" s="7"/>
      <c r="J720" s="7"/>
      <c r="K720" s="7"/>
      <c r="L720" s="7"/>
      <c r="M720" s="7"/>
      <c r="N720" s="7"/>
      <c r="O720" s="7"/>
      <c r="P720" s="29"/>
      <c r="Q720" s="29"/>
      <c r="R720" s="7"/>
      <c r="S720" s="7"/>
      <c r="T720" s="7" t="str">
        <f ca="1">IFERROR(__xludf.DUMMYFUNCTION("SPARKLINE({
IF(D720="""",0,D720),
IF(F720="""",0,F720),
IF(H720="""",0,H720),
IF(J720="""",0,J720),
IF(L720="""",0,L720),
IF(N720="""",0,N720),
IF(P720="""",0,P720)
})"),"")</f>
        <v/>
      </c>
      <c r="U720" s="7" t="str">
        <f ca="1">IFERROR(__xludf.DUMMYFUNCTION("SPARKLINE({
IF(E720="""",0,E720),
IF(G720="""",0,G720),
IF(I720="""",0,I720),
IF(K720="""",0,K720),
IF(M720="""",0,M720),
IF(O720="""",0,O720),
IF(Q720="""",0,Q720)
})"),"")</f>
        <v/>
      </c>
      <c r="V720" s="8" t="e">
        <f t="array" aca="1" ref="V720" ca="1">IF($C$4="Giao",_xludf.Xlookup(C720,#REF!,#REF!,),_xludf.Xlookup(C720,#REF!,#REF!,))</f>
        <v>#NAME?</v>
      </c>
      <c r="W720" s="8" t="e">
        <f t="array" aca="1" ref="W720" ca="1">IF($C$4="Giao", _xludf.Xlookup(C720,#REF!,#REF!,),)</f>
        <v>#NAME?</v>
      </c>
      <c r="X720" s="9" t="e">
        <f t="shared" ca="1" si="8"/>
        <v>#NAME?</v>
      </c>
      <c r="Y720" s="7"/>
      <c r="Z720" s="7"/>
    </row>
    <row r="721" spans="1:26" ht="13" x14ac:dyDescent="0.6">
      <c r="A721" s="28" t="str">
        <f t="shared" si="7"/>
        <v/>
      </c>
      <c r="B721" s="7"/>
      <c r="C721" s="7"/>
      <c r="D721" s="9"/>
      <c r="E721" s="9"/>
      <c r="F721" s="7"/>
      <c r="G721" s="7"/>
      <c r="H721" s="7"/>
      <c r="I721" s="7"/>
      <c r="J721" s="7"/>
      <c r="K721" s="7"/>
      <c r="L721" s="7"/>
      <c r="M721" s="7"/>
      <c r="N721" s="7"/>
      <c r="O721" s="7"/>
      <c r="P721" s="29"/>
      <c r="Q721" s="29"/>
      <c r="R721" s="7"/>
      <c r="S721" s="7"/>
      <c r="T721" s="7" t="str">
        <f ca="1">IFERROR(__xludf.DUMMYFUNCTION("SPARKLINE({
IF(D721="""",0,D721),
IF(F721="""",0,F721),
IF(H721="""",0,H721),
IF(J721="""",0,J721),
IF(L721="""",0,L721),
IF(N721="""",0,N721),
IF(P721="""",0,P721)
})"),"")</f>
        <v/>
      </c>
      <c r="U721" s="7" t="str">
        <f ca="1">IFERROR(__xludf.DUMMYFUNCTION("SPARKLINE({
IF(E721="""",0,E721),
IF(G721="""",0,G721),
IF(I721="""",0,I721),
IF(K721="""",0,K721),
IF(M721="""",0,M721),
IF(O721="""",0,O721),
IF(Q721="""",0,Q721)
})"),"")</f>
        <v/>
      </c>
      <c r="V721" s="8" t="e">
        <f t="array" aca="1" ref="V721" ca="1">IF($C$4="Giao",_xludf.Xlookup(C721,#REF!,#REF!,),_xludf.Xlookup(C721,#REF!,#REF!,))</f>
        <v>#NAME?</v>
      </c>
      <c r="W721" s="8" t="e">
        <f t="array" aca="1" ref="W721" ca="1">IF($C$4="Giao", _xludf.Xlookup(C721,#REF!,#REF!,),)</f>
        <v>#NAME?</v>
      </c>
      <c r="X721" s="9" t="e">
        <f t="shared" ca="1" si="8"/>
        <v>#NAME?</v>
      </c>
      <c r="Y721" s="7"/>
      <c r="Z721" s="7"/>
    </row>
    <row r="722" spans="1:26" ht="13" x14ac:dyDescent="0.6">
      <c r="A722" s="28" t="str">
        <f t="shared" si="7"/>
        <v/>
      </c>
      <c r="B722" s="7"/>
      <c r="C722" s="7"/>
      <c r="D722" s="9"/>
      <c r="E722" s="9"/>
      <c r="F722" s="7"/>
      <c r="G722" s="7"/>
      <c r="H722" s="7"/>
      <c r="I722" s="7"/>
      <c r="J722" s="7"/>
      <c r="K722" s="7"/>
      <c r="L722" s="7"/>
      <c r="M722" s="7"/>
      <c r="N722" s="7"/>
      <c r="O722" s="7"/>
      <c r="P722" s="29"/>
      <c r="Q722" s="29"/>
      <c r="R722" s="7"/>
      <c r="S722" s="7"/>
      <c r="T722" s="7" t="str">
        <f ca="1">IFERROR(__xludf.DUMMYFUNCTION("SPARKLINE({
IF(D722="""",0,D722),
IF(F722="""",0,F722),
IF(H722="""",0,H722),
IF(J722="""",0,J722),
IF(L722="""",0,L722),
IF(N722="""",0,N722),
IF(P722="""",0,P722)
})"),"")</f>
        <v/>
      </c>
      <c r="U722" s="7" t="str">
        <f ca="1">IFERROR(__xludf.DUMMYFUNCTION("SPARKLINE({
IF(E722="""",0,E722),
IF(G722="""",0,G722),
IF(I722="""",0,I722),
IF(K722="""",0,K722),
IF(M722="""",0,M722),
IF(O722="""",0,O722),
IF(Q722="""",0,Q722)
})"),"")</f>
        <v/>
      </c>
      <c r="V722" s="8" t="e">
        <f t="array" aca="1" ref="V722" ca="1">IF($C$4="Giao",_xludf.Xlookup(C722,#REF!,#REF!,),_xludf.Xlookup(C722,#REF!,#REF!,))</f>
        <v>#NAME?</v>
      </c>
      <c r="W722" s="8" t="e">
        <f t="array" aca="1" ref="W722" ca="1">IF($C$4="Giao", _xludf.Xlookup(C722,#REF!,#REF!,),)</f>
        <v>#NAME?</v>
      </c>
      <c r="X722" s="9" t="e">
        <f t="shared" ca="1" si="8"/>
        <v>#NAME?</v>
      </c>
      <c r="Y722" s="7"/>
      <c r="Z722" s="7"/>
    </row>
    <row r="723" spans="1:26" ht="13" x14ac:dyDescent="0.6">
      <c r="A723" s="28" t="str">
        <f t="shared" si="7"/>
        <v/>
      </c>
      <c r="B723" s="7"/>
      <c r="C723" s="7"/>
      <c r="D723" s="9"/>
      <c r="E723" s="9"/>
      <c r="F723" s="7"/>
      <c r="G723" s="7"/>
      <c r="H723" s="7"/>
      <c r="I723" s="7"/>
      <c r="J723" s="7"/>
      <c r="K723" s="7"/>
      <c r="L723" s="7"/>
      <c r="M723" s="7"/>
      <c r="N723" s="7"/>
      <c r="O723" s="7"/>
      <c r="P723" s="29"/>
      <c r="Q723" s="29"/>
      <c r="R723" s="7"/>
      <c r="S723" s="7"/>
      <c r="T723" s="7" t="str">
        <f ca="1">IFERROR(__xludf.DUMMYFUNCTION("SPARKLINE({
IF(D723="""",0,D723),
IF(F723="""",0,F723),
IF(H723="""",0,H723),
IF(J723="""",0,J723),
IF(L723="""",0,L723),
IF(N723="""",0,N723),
IF(P723="""",0,P723)
})"),"")</f>
        <v/>
      </c>
      <c r="U723" s="7" t="str">
        <f ca="1">IFERROR(__xludf.DUMMYFUNCTION("SPARKLINE({
IF(E723="""",0,E723),
IF(G723="""",0,G723),
IF(I723="""",0,I723),
IF(K723="""",0,K723),
IF(M723="""",0,M723),
IF(O723="""",0,O723),
IF(Q723="""",0,Q723)
})"),"")</f>
        <v/>
      </c>
      <c r="V723" s="8" t="e">
        <f t="array" aca="1" ref="V723" ca="1">IF($C$4="Giao",_xludf.Xlookup(C723,#REF!,#REF!,),_xludf.Xlookup(C723,#REF!,#REF!,))</f>
        <v>#NAME?</v>
      </c>
      <c r="W723" s="8" t="e">
        <f t="array" aca="1" ref="W723" ca="1">IF($C$4="Giao", _xludf.Xlookup(C723,#REF!,#REF!,),)</f>
        <v>#NAME?</v>
      </c>
      <c r="X723" s="9" t="e">
        <f t="shared" ca="1" si="8"/>
        <v>#NAME?</v>
      </c>
      <c r="Y723" s="7"/>
      <c r="Z723" s="7"/>
    </row>
    <row r="724" spans="1:26" ht="13" x14ac:dyDescent="0.6">
      <c r="A724" s="28" t="str">
        <f t="shared" si="7"/>
        <v/>
      </c>
      <c r="B724" s="7"/>
      <c r="C724" s="7"/>
      <c r="D724" s="9"/>
      <c r="E724" s="9"/>
      <c r="F724" s="7"/>
      <c r="G724" s="7"/>
      <c r="H724" s="7"/>
      <c r="I724" s="7"/>
      <c r="J724" s="7"/>
      <c r="K724" s="7"/>
      <c r="L724" s="7"/>
      <c r="M724" s="7"/>
      <c r="N724" s="7"/>
      <c r="O724" s="7"/>
      <c r="P724" s="29"/>
      <c r="Q724" s="29"/>
      <c r="R724" s="7"/>
      <c r="S724" s="7"/>
      <c r="T724" s="7" t="str">
        <f ca="1">IFERROR(__xludf.DUMMYFUNCTION("SPARKLINE({
IF(D724="""",0,D724),
IF(F724="""",0,F724),
IF(H724="""",0,H724),
IF(J724="""",0,J724),
IF(L724="""",0,L724),
IF(N724="""",0,N724),
IF(P724="""",0,P724)
})"),"")</f>
        <v/>
      </c>
      <c r="U724" s="7" t="str">
        <f ca="1">IFERROR(__xludf.DUMMYFUNCTION("SPARKLINE({
IF(E724="""",0,E724),
IF(G724="""",0,G724),
IF(I724="""",0,I724),
IF(K724="""",0,K724),
IF(M724="""",0,M724),
IF(O724="""",0,O724),
IF(Q724="""",0,Q724)
})"),"")</f>
        <v/>
      </c>
      <c r="V724" s="8" t="e">
        <f t="array" aca="1" ref="V724" ca="1">IF($C$4="Giao",_xludf.Xlookup(C724,#REF!,#REF!,),_xludf.Xlookup(C724,#REF!,#REF!,))</f>
        <v>#NAME?</v>
      </c>
      <c r="W724" s="8" t="e">
        <f t="array" aca="1" ref="W724" ca="1">IF($C$4="Giao", _xludf.Xlookup(C724,#REF!,#REF!,),)</f>
        <v>#NAME?</v>
      </c>
      <c r="X724" s="9" t="e">
        <f t="shared" ca="1" si="8"/>
        <v>#NAME?</v>
      </c>
      <c r="Y724" s="7"/>
      <c r="Z724" s="7"/>
    </row>
    <row r="725" spans="1:26" ht="13" x14ac:dyDescent="0.6">
      <c r="A725" s="28" t="str">
        <f t="shared" si="7"/>
        <v/>
      </c>
      <c r="B725" s="7"/>
      <c r="C725" s="7"/>
      <c r="D725" s="9"/>
      <c r="E725" s="9"/>
      <c r="F725" s="7"/>
      <c r="G725" s="7"/>
      <c r="H725" s="7"/>
      <c r="I725" s="7"/>
      <c r="J725" s="7"/>
      <c r="K725" s="7"/>
      <c r="L725" s="7"/>
      <c r="M725" s="7"/>
      <c r="N725" s="7"/>
      <c r="O725" s="7"/>
      <c r="P725" s="29"/>
      <c r="Q725" s="29"/>
      <c r="R725" s="7"/>
      <c r="S725" s="7"/>
      <c r="T725" s="7" t="str">
        <f ca="1">IFERROR(__xludf.DUMMYFUNCTION("SPARKLINE({
IF(D725="""",0,D725),
IF(F725="""",0,F725),
IF(H725="""",0,H725),
IF(J725="""",0,J725),
IF(L725="""",0,L725),
IF(N725="""",0,N725),
IF(P725="""",0,P725)
})"),"")</f>
        <v/>
      </c>
      <c r="U725" s="7" t="str">
        <f ca="1">IFERROR(__xludf.DUMMYFUNCTION("SPARKLINE({
IF(E725="""",0,E725),
IF(G725="""",0,G725),
IF(I725="""",0,I725),
IF(K725="""",0,K725),
IF(M725="""",0,M725),
IF(O725="""",0,O725),
IF(Q725="""",0,Q725)
})"),"")</f>
        <v/>
      </c>
      <c r="V725" s="8" t="e">
        <f t="array" aca="1" ref="V725" ca="1">IF($C$4="Giao",_xludf.Xlookup(C725,#REF!,#REF!,),_xludf.Xlookup(C725,#REF!,#REF!,))</f>
        <v>#NAME?</v>
      </c>
      <c r="W725" s="8" t="e">
        <f t="array" aca="1" ref="W725" ca="1">IF($C$4="Giao", _xludf.Xlookup(C725,#REF!,#REF!,),)</f>
        <v>#NAME?</v>
      </c>
      <c r="X725" s="9" t="e">
        <f t="shared" ca="1" si="8"/>
        <v>#NAME?</v>
      </c>
      <c r="Y725" s="7"/>
      <c r="Z725" s="7"/>
    </row>
    <row r="726" spans="1:26" ht="13" x14ac:dyDescent="0.6">
      <c r="A726" s="28" t="str">
        <f t="shared" si="7"/>
        <v/>
      </c>
      <c r="B726" s="7"/>
      <c r="C726" s="7"/>
      <c r="D726" s="9"/>
      <c r="E726" s="9"/>
      <c r="F726" s="7"/>
      <c r="G726" s="7"/>
      <c r="H726" s="7"/>
      <c r="I726" s="7"/>
      <c r="J726" s="7"/>
      <c r="K726" s="7"/>
      <c r="L726" s="7"/>
      <c r="M726" s="7"/>
      <c r="N726" s="7"/>
      <c r="O726" s="7"/>
      <c r="P726" s="29"/>
      <c r="Q726" s="29"/>
      <c r="R726" s="7"/>
      <c r="S726" s="7"/>
      <c r="T726" s="7" t="str">
        <f ca="1">IFERROR(__xludf.DUMMYFUNCTION("SPARKLINE({
IF(D726="""",0,D726),
IF(F726="""",0,F726),
IF(H726="""",0,H726),
IF(J726="""",0,J726),
IF(L726="""",0,L726),
IF(N726="""",0,N726),
IF(P726="""",0,P726)
})"),"")</f>
        <v/>
      </c>
      <c r="U726" s="7" t="str">
        <f ca="1">IFERROR(__xludf.DUMMYFUNCTION("SPARKLINE({
IF(E726="""",0,E726),
IF(G726="""",0,G726),
IF(I726="""",0,I726),
IF(K726="""",0,K726),
IF(M726="""",0,M726),
IF(O726="""",0,O726),
IF(Q726="""",0,Q726)
})"),"")</f>
        <v/>
      </c>
      <c r="V726" s="8" t="e">
        <f t="array" aca="1" ref="V726" ca="1">IF($C$4="Giao",_xludf.Xlookup(C726,#REF!,#REF!,),_xludf.Xlookup(C726,#REF!,#REF!,))</f>
        <v>#NAME?</v>
      </c>
      <c r="W726" s="8" t="e">
        <f t="array" aca="1" ref="W726" ca="1">IF($C$4="Giao", _xludf.Xlookup(C726,#REF!,#REF!,),)</f>
        <v>#NAME?</v>
      </c>
      <c r="X726" s="9" t="e">
        <f t="shared" ca="1" si="8"/>
        <v>#NAME?</v>
      </c>
      <c r="Y726" s="7"/>
      <c r="Z726" s="7"/>
    </row>
    <row r="727" spans="1:26" ht="13" x14ac:dyDescent="0.6">
      <c r="A727" s="28" t="str">
        <f t="shared" si="7"/>
        <v/>
      </c>
      <c r="B727" s="7"/>
      <c r="C727" s="7"/>
      <c r="D727" s="9"/>
      <c r="E727" s="9"/>
      <c r="F727" s="7"/>
      <c r="G727" s="7"/>
      <c r="H727" s="7"/>
      <c r="I727" s="7"/>
      <c r="J727" s="7"/>
      <c r="K727" s="7"/>
      <c r="L727" s="7"/>
      <c r="M727" s="7"/>
      <c r="N727" s="7"/>
      <c r="O727" s="7"/>
      <c r="P727" s="29"/>
      <c r="Q727" s="29"/>
      <c r="R727" s="7"/>
      <c r="S727" s="7"/>
      <c r="T727" s="7" t="str">
        <f ca="1">IFERROR(__xludf.DUMMYFUNCTION("SPARKLINE({
IF(D727="""",0,D727),
IF(F727="""",0,F727),
IF(H727="""",0,H727),
IF(J727="""",0,J727),
IF(L727="""",0,L727),
IF(N727="""",0,N727),
IF(P727="""",0,P727)
})"),"")</f>
        <v/>
      </c>
      <c r="U727" s="7" t="str">
        <f ca="1">IFERROR(__xludf.DUMMYFUNCTION("SPARKLINE({
IF(E727="""",0,E727),
IF(G727="""",0,G727),
IF(I727="""",0,I727),
IF(K727="""",0,K727),
IF(M727="""",0,M727),
IF(O727="""",0,O727),
IF(Q727="""",0,Q727)
})"),"")</f>
        <v/>
      </c>
      <c r="V727" s="8" t="e">
        <f t="array" aca="1" ref="V727" ca="1">IF($C$4="Giao",_xludf.Xlookup(C727,#REF!,#REF!,),_xludf.Xlookup(C727,#REF!,#REF!,))</f>
        <v>#NAME?</v>
      </c>
      <c r="W727" s="8" t="e">
        <f t="array" aca="1" ref="W727" ca="1">IF($C$4="Giao", _xludf.Xlookup(C727,#REF!,#REF!,),)</f>
        <v>#NAME?</v>
      </c>
      <c r="X727" s="9" t="e">
        <f t="shared" ca="1" si="8"/>
        <v>#NAME?</v>
      </c>
      <c r="Y727" s="7"/>
      <c r="Z727" s="7"/>
    </row>
    <row r="728" spans="1:26" ht="13" x14ac:dyDescent="0.6">
      <c r="A728" s="28" t="str">
        <f t="shared" si="7"/>
        <v/>
      </c>
      <c r="B728" s="7"/>
      <c r="C728" s="7"/>
      <c r="D728" s="9"/>
      <c r="E728" s="9"/>
      <c r="F728" s="7"/>
      <c r="G728" s="7"/>
      <c r="H728" s="7"/>
      <c r="I728" s="7"/>
      <c r="J728" s="7"/>
      <c r="K728" s="7"/>
      <c r="L728" s="7"/>
      <c r="M728" s="7"/>
      <c r="N728" s="7"/>
      <c r="O728" s="7"/>
      <c r="P728" s="29"/>
      <c r="Q728" s="29"/>
      <c r="R728" s="7"/>
      <c r="S728" s="7"/>
      <c r="T728" s="7" t="str">
        <f ca="1">IFERROR(__xludf.DUMMYFUNCTION("SPARKLINE({
IF(D728="""",0,D728),
IF(F728="""",0,F728),
IF(H728="""",0,H728),
IF(J728="""",0,J728),
IF(L728="""",0,L728),
IF(N728="""",0,N728),
IF(P728="""",0,P728)
})"),"")</f>
        <v/>
      </c>
      <c r="U728" s="7" t="str">
        <f ca="1">IFERROR(__xludf.DUMMYFUNCTION("SPARKLINE({
IF(E728="""",0,E728),
IF(G728="""",0,G728),
IF(I728="""",0,I728),
IF(K728="""",0,K728),
IF(M728="""",0,M728),
IF(O728="""",0,O728),
IF(Q728="""",0,Q728)
})"),"")</f>
        <v/>
      </c>
      <c r="V728" s="8" t="e">
        <f t="array" aca="1" ref="V728" ca="1">IF($C$4="Giao",_xludf.Xlookup(C728,#REF!,#REF!,),_xludf.Xlookup(C728,#REF!,#REF!,))</f>
        <v>#NAME?</v>
      </c>
      <c r="W728" s="8" t="e">
        <f t="array" aca="1" ref="W728" ca="1">IF($C$4="Giao", _xludf.Xlookup(C728,#REF!,#REF!,),)</f>
        <v>#NAME?</v>
      </c>
      <c r="X728" s="9" t="e">
        <f t="shared" ca="1" si="8"/>
        <v>#NAME?</v>
      </c>
      <c r="Y728" s="7"/>
      <c r="Z728" s="7"/>
    </row>
    <row r="729" spans="1:26" ht="13" x14ac:dyDescent="0.6">
      <c r="A729" s="28" t="str">
        <f t="shared" si="7"/>
        <v/>
      </c>
      <c r="B729" s="7"/>
      <c r="C729" s="7"/>
      <c r="D729" s="9"/>
      <c r="E729" s="9"/>
      <c r="F729" s="7"/>
      <c r="G729" s="7"/>
      <c r="H729" s="7"/>
      <c r="I729" s="7"/>
      <c r="J729" s="7"/>
      <c r="K729" s="7"/>
      <c r="L729" s="7"/>
      <c r="M729" s="7"/>
      <c r="N729" s="7"/>
      <c r="O729" s="7"/>
      <c r="P729" s="29"/>
      <c r="Q729" s="29"/>
      <c r="R729" s="7"/>
      <c r="S729" s="7"/>
      <c r="T729" s="7" t="str">
        <f ca="1">IFERROR(__xludf.DUMMYFUNCTION("SPARKLINE({
IF(D729="""",0,D729),
IF(F729="""",0,F729),
IF(H729="""",0,H729),
IF(J729="""",0,J729),
IF(L729="""",0,L729),
IF(N729="""",0,N729),
IF(P729="""",0,P729)
})"),"")</f>
        <v/>
      </c>
      <c r="U729" s="7" t="str">
        <f ca="1">IFERROR(__xludf.DUMMYFUNCTION("SPARKLINE({
IF(E729="""",0,E729),
IF(G729="""",0,G729),
IF(I729="""",0,I729),
IF(K729="""",0,K729),
IF(M729="""",0,M729),
IF(O729="""",0,O729),
IF(Q729="""",0,Q729)
})"),"")</f>
        <v/>
      </c>
      <c r="V729" s="8" t="e">
        <f t="array" aca="1" ref="V729" ca="1">IF($C$4="Giao",_xludf.Xlookup(C729,#REF!,#REF!,),_xludf.Xlookup(C729,#REF!,#REF!,))</f>
        <v>#NAME?</v>
      </c>
      <c r="W729" s="8" t="e">
        <f t="array" aca="1" ref="W729" ca="1">IF($C$4="Giao", _xludf.Xlookup(C729,#REF!,#REF!,),)</f>
        <v>#NAME?</v>
      </c>
      <c r="X729" s="9" t="e">
        <f t="shared" ca="1" si="8"/>
        <v>#NAME?</v>
      </c>
      <c r="Y729" s="7"/>
      <c r="Z729" s="7"/>
    </row>
    <row r="730" spans="1:26" ht="13" x14ac:dyDescent="0.6">
      <c r="A730" s="28" t="str">
        <f t="shared" si="7"/>
        <v/>
      </c>
      <c r="B730" s="7"/>
      <c r="C730" s="7"/>
      <c r="D730" s="9"/>
      <c r="E730" s="9"/>
      <c r="F730" s="7"/>
      <c r="G730" s="7"/>
      <c r="H730" s="7"/>
      <c r="I730" s="7"/>
      <c r="J730" s="7"/>
      <c r="K730" s="7"/>
      <c r="L730" s="7"/>
      <c r="M730" s="7"/>
      <c r="N730" s="7"/>
      <c r="O730" s="7"/>
      <c r="P730" s="29"/>
      <c r="Q730" s="29"/>
      <c r="R730" s="7"/>
      <c r="S730" s="7"/>
      <c r="T730" s="7" t="str">
        <f ca="1">IFERROR(__xludf.DUMMYFUNCTION("SPARKLINE({
IF(D730="""",0,D730),
IF(F730="""",0,F730),
IF(H730="""",0,H730),
IF(J730="""",0,J730),
IF(L730="""",0,L730),
IF(N730="""",0,N730),
IF(P730="""",0,P730)
})"),"")</f>
        <v/>
      </c>
      <c r="U730" s="7" t="str">
        <f ca="1">IFERROR(__xludf.DUMMYFUNCTION("SPARKLINE({
IF(E730="""",0,E730),
IF(G730="""",0,G730),
IF(I730="""",0,I730),
IF(K730="""",0,K730),
IF(M730="""",0,M730),
IF(O730="""",0,O730),
IF(Q730="""",0,Q730)
})"),"")</f>
        <v/>
      </c>
      <c r="V730" s="8" t="e">
        <f t="array" aca="1" ref="V730" ca="1">IF($C$4="Giao",_xludf.Xlookup(C730,#REF!,#REF!,),_xludf.Xlookup(C730,#REF!,#REF!,))</f>
        <v>#NAME?</v>
      </c>
      <c r="W730" s="8" t="e">
        <f t="array" aca="1" ref="W730" ca="1">IF($C$4="Giao", _xludf.Xlookup(C730,#REF!,#REF!,),)</f>
        <v>#NAME?</v>
      </c>
      <c r="X730" s="9" t="e">
        <f t="shared" ca="1" si="8"/>
        <v>#NAME?</v>
      </c>
      <c r="Y730" s="7"/>
      <c r="Z730" s="7"/>
    </row>
    <row r="731" spans="1:26" ht="13" x14ac:dyDescent="0.6">
      <c r="A731" s="28" t="str">
        <f t="shared" si="7"/>
        <v/>
      </c>
      <c r="B731" s="7"/>
      <c r="C731" s="7"/>
      <c r="D731" s="9"/>
      <c r="E731" s="9"/>
      <c r="F731" s="7"/>
      <c r="G731" s="7"/>
      <c r="H731" s="7"/>
      <c r="I731" s="7"/>
      <c r="J731" s="7"/>
      <c r="K731" s="7"/>
      <c r="L731" s="7"/>
      <c r="M731" s="7"/>
      <c r="N731" s="7"/>
      <c r="O731" s="7"/>
      <c r="P731" s="29"/>
      <c r="Q731" s="29"/>
      <c r="R731" s="7"/>
      <c r="S731" s="7"/>
      <c r="T731" s="7" t="str">
        <f ca="1">IFERROR(__xludf.DUMMYFUNCTION("SPARKLINE({
IF(D731="""",0,D731),
IF(F731="""",0,F731),
IF(H731="""",0,H731),
IF(J731="""",0,J731),
IF(L731="""",0,L731),
IF(N731="""",0,N731),
IF(P731="""",0,P731)
})"),"")</f>
        <v/>
      </c>
      <c r="U731" s="7" t="str">
        <f ca="1">IFERROR(__xludf.DUMMYFUNCTION("SPARKLINE({
IF(E731="""",0,E731),
IF(G731="""",0,G731),
IF(I731="""",0,I731),
IF(K731="""",0,K731),
IF(M731="""",0,M731),
IF(O731="""",0,O731),
IF(Q731="""",0,Q731)
})"),"")</f>
        <v/>
      </c>
      <c r="V731" s="8" t="e">
        <f t="array" aca="1" ref="V731" ca="1">IF($C$4="Giao",_xludf.Xlookup(C731,#REF!,#REF!,),_xludf.Xlookup(C731,#REF!,#REF!,))</f>
        <v>#NAME?</v>
      </c>
      <c r="W731" s="8" t="e">
        <f t="array" aca="1" ref="W731" ca="1">IF($C$4="Giao", _xludf.Xlookup(C731,#REF!,#REF!,),)</f>
        <v>#NAME?</v>
      </c>
      <c r="X731" s="9" t="e">
        <f t="shared" ca="1" si="8"/>
        <v>#NAME?</v>
      </c>
      <c r="Y731" s="7"/>
      <c r="Z731" s="7"/>
    </row>
    <row r="732" spans="1:26" ht="13" x14ac:dyDescent="0.6">
      <c r="A732" s="28" t="str">
        <f t="shared" si="7"/>
        <v/>
      </c>
      <c r="B732" s="7"/>
      <c r="C732" s="7"/>
      <c r="D732" s="9"/>
      <c r="E732" s="9"/>
      <c r="F732" s="7"/>
      <c r="G732" s="7"/>
      <c r="H732" s="7"/>
      <c r="I732" s="7"/>
      <c r="J732" s="7"/>
      <c r="K732" s="7"/>
      <c r="L732" s="7"/>
      <c r="M732" s="7"/>
      <c r="N732" s="7"/>
      <c r="O732" s="7"/>
      <c r="P732" s="29"/>
      <c r="Q732" s="29"/>
      <c r="R732" s="7"/>
      <c r="S732" s="7"/>
      <c r="T732" s="7" t="str">
        <f ca="1">IFERROR(__xludf.DUMMYFUNCTION("SPARKLINE({
IF(D732="""",0,D732),
IF(F732="""",0,F732),
IF(H732="""",0,H732),
IF(J732="""",0,J732),
IF(L732="""",0,L732),
IF(N732="""",0,N732),
IF(P732="""",0,P732)
})"),"")</f>
        <v/>
      </c>
      <c r="U732" s="7" t="str">
        <f ca="1">IFERROR(__xludf.DUMMYFUNCTION("SPARKLINE({
IF(E732="""",0,E732),
IF(G732="""",0,G732),
IF(I732="""",0,I732),
IF(K732="""",0,K732),
IF(M732="""",0,M732),
IF(O732="""",0,O732),
IF(Q732="""",0,Q732)
})"),"")</f>
        <v/>
      </c>
      <c r="V732" s="8" t="e">
        <f t="array" aca="1" ref="V732" ca="1">IF($C$4="Giao",_xludf.Xlookup(C732,#REF!,#REF!,),_xludf.Xlookup(C732,#REF!,#REF!,))</f>
        <v>#NAME?</v>
      </c>
      <c r="W732" s="8" t="e">
        <f t="array" aca="1" ref="W732" ca="1">IF($C$4="Giao", _xludf.Xlookup(C732,#REF!,#REF!,),)</f>
        <v>#NAME?</v>
      </c>
      <c r="X732" s="9" t="e">
        <f t="shared" ca="1" si="8"/>
        <v>#NAME?</v>
      </c>
      <c r="Y732" s="7"/>
      <c r="Z732" s="7"/>
    </row>
    <row r="733" spans="1:26" ht="13" x14ac:dyDescent="0.6">
      <c r="A733" s="28" t="str">
        <f t="shared" si="7"/>
        <v/>
      </c>
      <c r="B733" s="7"/>
      <c r="C733" s="7"/>
      <c r="D733" s="9"/>
      <c r="E733" s="9"/>
      <c r="F733" s="7"/>
      <c r="G733" s="7"/>
      <c r="H733" s="7"/>
      <c r="I733" s="7"/>
      <c r="J733" s="7"/>
      <c r="K733" s="7"/>
      <c r="L733" s="7"/>
      <c r="M733" s="7"/>
      <c r="N733" s="7"/>
      <c r="O733" s="7"/>
      <c r="P733" s="29"/>
      <c r="Q733" s="29"/>
      <c r="R733" s="7"/>
      <c r="S733" s="7"/>
      <c r="T733" s="7" t="str">
        <f ca="1">IFERROR(__xludf.DUMMYFUNCTION("SPARKLINE({
IF(D733="""",0,D733),
IF(F733="""",0,F733),
IF(H733="""",0,H733),
IF(J733="""",0,J733),
IF(L733="""",0,L733),
IF(N733="""",0,N733),
IF(P733="""",0,P733)
})"),"")</f>
        <v/>
      </c>
      <c r="U733" s="7" t="str">
        <f ca="1">IFERROR(__xludf.DUMMYFUNCTION("SPARKLINE({
IF(E733="""",0,E733),
IF(G733="""",0,G733),
IF(I733="""",0,I733),
IF(K733="""",0,K733),
IF(M733="""",0,M733),
IF(O733="""",0,O733),
IF(Q733="""",0,Q733)
})"),"")</f>
        <v/>
      </c>
      <c r="V733" s="8" t="e">
        <f t="array" aca="1" ref="V733" ca="1">IF($C$4="Giao",_xludf.Xlookup(C733,#REF!,#REF!,),_xludf.Xlookup(C733,#REF!,#REF!,))</f>
        <v>#NAME?</v>
      </c>
      <c r="W733" s="8" t="e">
        <f t="array" aca="1" ref="W733" ca="1">IF($C$4="Giao", _xludf.Xlookup(C733,#REF!,#REF!,),)</f>
        <v>#NAME?</v>
      </c>
      <c r="X733" s="9" t="e">
        <f t="shared" ca="1" si="8"/>
        <v>#NAME?</v>
      </c>
      <c r="Y733" s="7"/>
      <c r="Z733" s="7"/>
    </row>
    <row r="734" spans="1:26" ht="13" x14ac:dyDescent="0.6">
      <c r="A734" s="28" t="str">
        <f t="shared" si="7"/>
        <v/>
      </c>
      <c r="B734" s="7"/>
      <c r="C734" s="7"/>
      <c r="D734" s="9"/>
      <c r="E734" s="9"/>
      <c r="F734" s="7"/>
      <c r="G734" s="7"/>
      <c r="H734" s="7"/>
      <c r="I734" s="7"/>
      <c r="J734" s="7"/>
      <c r="K734" s="7"/>
      <c r="L734" s="7"/>
      <c r="M734" s="7"/>
      <c r="N734" s="7"/>
      <c r="O734" s="7"/>
      <c r="P734" s="29"/>
      <c r="Q734" s="29"/>
      <c r="R734" s="7"/>
      <c r="S734" s="7"/>
      <c r="T734" s="7" t="str">
        <f ca="1">IFERROR(__xludf.DUMMYFUNCTION("SPARKLINE({
IF(D734="""",0,D734),
IF(F734="""",0,F734),
IF(H734="""",0,H734),
IF(J734="""",0,J734),
IF(L734="""",0,L734),
IF(N734="""",0,N734),
IF(P734="""",0,P734)
})"),"")</f>
        <v/>
      </c>
      <c r="U734" s="7" t="str">
        <f ca="1">IFERROR(__xludf.DUMMYFUNCTION("SPARKLINE({
IF(E734="""",0,E734),
IF(G734="""",0,G734),
IF(I734="""",0,I734),
IF(K734="""",0,K734),
IF(M734="""",0,M734),
IF(O734="""",0,O734),
IF(Q734="""",0,Q734)
})"),"")</f>
        <v/>
      </c>
      <c r="V734" s="8" t="e">
        <f t="array" aca="1" ref="V734" ca="1">IF($C$4="Giao",_xludf.Xlookup(C734,#REF!,#REF!,),_xludf.Xlookup(C734,#REF!,#REF!,))</f>
        <v>#NAME?</v>
      </c>
      <c r="W734" s="8" t="e">
        <f t="array" aca="1" ref="W734" ca="1">IF($C$4="Giao", _xludf.Xlookup(C734,#REF!,#REF!,),)</f>
        <v>#NAME?</v>
      </c>
      <c r="X734" s="9" t="e">
        <f t="shared" ca="1" si="8"/>
        <v>#NAME?</v>
      </c>
      <c r="Y734" s="7"/>
      <c r="Z734" s="7"/>
    </row>
    <row r="735" spans="1:26" ht="13" x14ac:dyDescent="0.6">
      <c r="A735" s="28" t="str">
        <f t="shared" si="7"/>
        <v/>
      </c>
      <c r="B735" s="7"/>
      <c r="C735" s="7"/>
      <c r="D735" s="9"/>
      <c r="E735" s="9"/>
      <c r="F735" s="7"/>
      <c r="G735" s="7"/>
      <c r="H735" s="7"/>
      <c r="I735" s="7"/>
      <c r="J735" s="7"/>
      <c r="K735" s="7"/>
      <c r="L735" s="7"/>
      <c r="M735" s="7"/>
      <c r="N735" s="7"/>
      <c r="O735" s="7"/>
      <c r="P735" s="29"/>
      <c r="Q735" s="29"/>
      <c r="R735" s="7"/>
      <c r="S735" s="7"/>
      <c r="T735" s="7" t="str">
        <f ca="1">IFERROR(__xludf.DUMMYFUNCTION("SPARKLINE({
IF(D735="""",0,D735),
IF(F735="""",0,F735),
IF(H735="""",0,H735),
IF(J735="""",0,J735),
IF(L735="""",0,L735),
IF(N735="""",0,N735),
IF(P735="""",0,P735)
})"),"")</f>
        <v/>
      </c>
      <c r="U735" s="7" t="str">
        <f ca="1">IFERROR(__xludf.DUMMYFUNCTION("SPARKLINE({
IF(E735="""",0,E735),
IF(G735="""",0,G735),
IF(I735="""",0,I735),
IF(K735="""",0,K735),
IF(M735="""",0,M735),
IF(O735="""",0,O735),
IF(Q735="""",0,Q735)
})"),"")</f>
        <v/>
      </c>
      <c r="V735" s="8" t="e">
        <f t="array" aca="1" ref="V735" ca="1">IF($C$4="Giao",_xludf.Xlookup(C735,#REF!,#REF!,),_xludf.Xlookup(C735,#REF!,#REF!,))</f>
        <v>#NAME?</v>
      </c>
      <c r="W735" s="8" t="e">
        <f t="array" aca="1" ref="W735" ca="1">IF($C$4="Giao", _xludf.Xlookup(C735,#REF!,#REF!,),)</f>
        <v>#NAME?</v>
      </c>
      <c r="X735" s="9" t="e">
        <f t="shared" ca="1" si="8"/>
        <v>#NAME?</v>
      </c>
      <c r="Y735" s="7"/>
      <c r="Z735" s="7"/>
    </row>
    <row r="736" spans="1:26" ht="13" x14ac:dyDescent="0.6">
      <c r="A736" s="28" t="str">
        <f t="shared" si="7"/>
        <v/>
      </c>
      <c r="B736" s="7"/>
      <c r="C736" s="7"/>
      <c r="D736" s="9"/>
      <c r="E736" s="9"/>
      <c r="F736" s="7"/>
      <c r="G736" s="7"/>
      <c r="H736" s="7"/>
      <c r="I736" s="7"/>
      <c r="J736" s="7"/>
      <c r="K736" s="7"/>
      <c r="L736" s="7"/>
      <c r="M736" s="7"/>
      <c r="N736" s="7"/>
      <c r="O736" s="7"/>
      <c r="P736" s="29"/>
      <c r="Q736" s="29"/>
      <c r="R736" s="7"/>
      <c r="S736" s="7"/>
      <c r="T736" s="7" t="str">
        <f ca="1">IFERROR(__xludf.DUMMYFUNCTION("SPARKLINE({
IF(D736="""",0,D736),
IF(F736="""",0,F736),
IF(H736="""",0,H736),
IF(J736="""",0,J736),
IF(L736="""",0,L736),
IF(N736="""",0,N736),
IF(P736="""",0,P736)
})"),"")</f>
        <v/>
      </c>
      <c r="U736" s="7" t="str">
        <f ca="1">IFERROR(__xludf.DUMMYFUNCTION("SPARKLINE({
IF(E736="""",0,E736),
IF(G736="""",0,G736),
IF(I736="""",0,I736),
IF(K736="""",0,K736),
IF(M736="""",0,M736),
IF(O736="""",0,O736),
IF(Q736="""",0,Q736)
})"),"")</f>
        <v/>
      </c>
      <c r="V736" s="8" t="e">
        <f t="array" aca="1" ref="V736" ca="1">IF($C$4="Giao",_xludf.Xlookup(C736,#REF!,#REF!,),_xludf.Xlookup(C736,#REF!,#REF!,))</f>
        <v>#NAME?</v>
      </c>
      <c r="W736" s="8" t="e">
        <f t="array" aca="1" ref="W736" ca="1">IF($C$4="Giao", _xludf.Xlookup(C736,#REF!,#REF!,),)</f>
        <v>#NAME?</v>
      </c>
      <c r="X736" s="9" t="e">
        <f t="shared" ca="1" si="8"/>
        <v>#NAME?</v>
      </c>
      <c r="Y736" s="7"/>
      <c r="Z736" s="7"/>
    </row>
    <row r="737" spans="1:26" ht="13" x14ac:dyDescent="0.6">
      <c r="A737" s="28" t="str">
        <f t="shared" si="7"/>
        <v/>
      </c>
      <c r="B737" s="7"/>
      <c r="C737" s="7"/>
      <c r="D737" s="9"/>
      <c r="E737" s="9"/>
      <c r="F737" s="7"/>
      <c r="G737" s="7"/>
      <c r="H737" s="7"/>
      <c r="I737" s="7"/>
      <c r="J737" s="7"/>
      <c r="K737" s="7"/>
      <c r="L737" s="7"/>
      <c r="M737" s="7"/>
      <c r="N737" s="7"/>
      <c r="O737" s="7"/>
      <c r="P737" s="29"/>
      <c r="Q737" s="29"/>
      <c r="R737" s="7"/>
      <c r="S737" s="7"/>
      <c r="T737" s="7" t="str">
        <f ca="1">IFERROR(__xludf.DUMMYFUNCTION("SPARKLINE({
IF(D737="""",0,D737),
IF(F737="""",0,F737),
IF(H737="""",0,H737),
IF(J737="""",0,J737),
IF(L737="""",0,L737),
IF(N737="""",0,N737),
IF(P737="""",0,P737)
})"),"")</f>
        <v/>
      </c>
      <c r="U737" s="7" t="str">
        <f ca="1">IFERROR(__xludf.DUMMYFUNCTION("SPARKLINE({
IF(E737="""",0,E737),
IF(G737="""",0,G737),
IF(I737="""",0,I737),
IF(K737="""",0,K737),
IF(M737="""",0,M737),
IF(O737="""",0,O737),
IF(Q737="""",0,Q737)
})"),"")</f>
        <v/>
      </c>
      <c r="V737" s="8" t="e">
        <f t="array" aca="1" ref="V737" ca="1">IF($C$4="Giao",_xludf.Xlookup(C737,#REF!,#REF!,),_xludf.Xlookup(C737,#REF!,#REF!,))</f>
        <v>#NAME?</v>
      </c>
      <c r="W737" s="8" t="e">
        <f t="array" aca="1" ref="W737" ca="1">IF($C$4="Giao", _xludf.Xlookup(C737,#REF!,#REF!,),)</f>
        <v>#NAME?</v>
      </c>
      <c r="X737" s="9" t="e">
        <f t="shared" ca="1" si="8"/>
        <v>#NAME?</v>
      </c>
      <c r="Y737" s="7"/>
      <c r="Z737" s="7"/>
    </row>
    <row r="738" spans="1:26" ht="13" x14ac:dyDescent="0.6">
      <c r="A738" s="28" t="str">
        <f t="shared" si="7"/>
        <v/>
      </c>
      <c r="B738" s="7"/>
      <c r="C738" s="7"/>
      <c r="D738" s="9"/>
      <c r="E738" s="9"/>
      <c r="F738" s="7"/>
      <c r="G738" s="7"/>
      <c r="H738" s="7"/>
      <c r="I738" s="7"/>
      <c r="J738" s="7"/>
      <c r="K738" s="7"/>
      <c r="L738" s="7"/>
      <c r="M738" s="7"/>
      <c r="N738" s="7"/>
      <c r="O738" s="7"/>
      <c r="P738" s="29"/>
      <c r="Q738" s="29"/>
      <c r="R738" s="7"/>
      <c r="S738" s="7"/>
      <c r="T738" s="7" t="str">
        <f ca="1">IFERROR(__xludf.DUMMYFUNCTION("SPARKLINE({
IF(D738="""",0,D738),
IF(F738="""",0,F738),
IF(H738="""",0,H738),
IF(J738="""",0,J738),
IF(L738="""",0,L738),
IF(N738="""",0,N738),
IF(P738="""",0,P738)
})"),"")</f>
        <v/>
      </c>
      <c r="U738" s="7" t="str">
        <f ca="1">IFERROR(__xludf.DUMMYFUNCTION("SPARKLINE({
IF(E738="""",0,E738),
IF(G738="""",0,G738),
IF(I738="""",0,I738),
IF(K738="""",0,K738),
IF(M738="""",0,M738),
IF(O738="""",0,O738),
IF(Q738="""",0,Q738)
})"),"")</f>
        <v/>
      </c>
      <c r="V738" s="8" t="e">
        <f t="array" aca="1" ref="V738" ca="1">IF($C$4="Giao",_xludf.Xlookup(C738,#REF!,#REF!,),_xludf.Xlookup(C738,#REF!,#REF!,))</f>
        <v>#NAME?</v>
      </c>
      <c r="W738" s="8" t="e">
        <f t="array" aca="1" ref="W738" ca="1">IF($C$4="Giao", _xludf.Xlookup(C738,#REF!,#REF!,),)</f>
        <v>#NAME?</v>
      </c>
      <c r="X738" s="9" t="e">
        <f t="shared" ca="1" si="8"/>
        <v>#NAME?</v>
      </c>
      <c r="Y738" s="7"/>
      <c r="Z738" s="7"/>
    </row>
    <row r="739" spans="1:26" ht="13" x14ac:dyDescent="0.6">
      <c r="A739" s="28" t="str">
        <f t="shared" si="7"/>
        <v/>
      </c>
      <c r="B739" s="7"/>
      <c r="C739" s="7"/>
      <c r="D739" s="9"/>
      <c r="E739" s="9"/>
      <c r="F739" s="7"/>
      <c r="G739" s="7"/>
      <c r="H739" s="7"/>
      <c r="I739" s="7"/>
      <c r="J739" s="7"/>
      <c r="K739" s="7"/>
      <c r="L739" s="7"/>
      <c r="M739" s="7"/>
      <c r="N739" s="7"/>
      <c r="O739" s="7"/>
      <c r="P739" s="29"/>
      <c r="Q739" s="29"/>
      <c r="R739" s="7"/>
      <c r="S739" s="7"/>
      <c r="T739" s="7" t="str">
        <f ca="1">IFERROR(__xludf.DUMMYFUNCTION("SPARKLINE({
IF(D739="""",0,D739),
IF(F739="""",0,F739),
IF(H739="""",0,H739),
IF(J739="""",0,J739),
IF(L739="""",0,L739),
IF(N739="""",0,N739),
IF(P739="""",0,P739)
})"),"")</f>
        <v/>
      </c>
      <c r="U739" s="7" t="str">
        <f ca="1">IFERROR(__xludf.DUMMYFUNCTION("SPARKLINE({
IF(E739="""",0,E739),
IF(G739="""",0,G739),
IF(I739="""",0,I739),
IF(K739="""",0,K739),
IF(M739="""",0,M739),
IF(O739="""",0,O739),
IF(Q739="""",0,Q739)
})"),"")</f>
        <v/>
      </c>
      <c r="V739" s="8" t="e">
        <f t="array" aca="1" ref="V739" ca="1">IF($C$4="Giao",_xludf.Xlookup(C739,#REF!,#REF!,),_xludf.Xlookup(C739,#REF!,#REF!,))</f>
        <v>#NAME?</v>
      </c>
      <c r="W739" s="8" t="e">
        <f t="array" aca="1" ref="W739" ca="1">IF($C$4="Giao", _xludf.Xlookup(C739,#REF!,#REF!,),)</f>
        <v>#NAME?</v>
      </c>
      <c r="X739" s="9" t="e">
        <f t="shared" ca="1" si="8"/>
        <v>#NAME?</v>
      </c>
      <c r="Y739" s="7"/>
      <c r="Z739" s="7"/>
    </row>
    <row r="740" spans="1:26" ht="13" x14ac:dyDescent="0.6">
      <c r="A740" s="28" t="str">
        <f t="shared" si="7"/>
        <v/>
      </c>
      <c r="B740" s="7"/>
      <c r="C740" s="7"/>
      <c r="D740" s="9"/>
      <c r="E740" s="9"/>
      <c r="F740" s="7"/>
      <c r="G740" s="7"/>
      <c r="H740" s="7"/>
      <c r="I740" s="7"/>
      <c r="J740" s="7"/>
      <c r="K740" s="7"/>
      <c r="L740" s="7"/>
      <c r="M740" s="7"/>
      <c r="N740" s="7"/>
      <c r="O740" s="7"/>
      <c r="P740" s="29"/>
      <c r="Q740" s="29"/>
      <c r="R740" s="7"/>
      <c r="S740" s="7"/>
      <c r="T740" s="7" t="str">
        <f ca="1">IFERROR(__xludf.DUMMYFUNCTION("SPARKLINE({
IF(D740="""",0,D740),
IF(F740="""",0,F740),
IF(H740="""",0,H740),
IF(J740="""",0,J740),
IF(L740="""",0,L740),
IF(N740="""",0,N740),
IF(P740="""",0,P740)
})"),"")</f>
        <v/>
      </c>
      <c r="U740" s="7" t="str">
        <f ca="1">IFERROR(__xludf.DUMMYFUNCTION("SPARKLINE({
IF(E740="""",0,E740),
IF(G740="""",0,G740),
IF(I740="""",0,I740),
IF(K740="""",0,K740),
IF(M740="""",0,M740),
IF(O740="""",0,O740),
IF(Q740="""",0,Q740)
})"),"")</f>
        <v/>
      </c>
      <c r="V740" s="8" t="e">
        <f t="array" aca="1" ref="V740" ca="1">IF($C$4="Giao",_xludf.Xlookup(C740,#REF!,#REF!,),_xludf.Xlookup(C740,#REF!,#REF!,))</f>
        <v>#NAME?</v>
      </c>
      <c r="W740" s="8" t="e">
        <f t="array" aca="1" ref="W740" ca="1">IF($C$4="Giao", _xludf.Xlookup(C740,#REF!,#REF!,),)</f>
        <v>#NAME?</v>
      </c>
      <c r="X740" s="9" t="e">
        <f t="shared" ca="1" si="8"/>
        <v>#NAME?</v>
      </c>
      <c r="Y740" s="7"/>
      <c r="Z740" s="7"/>
    </row>
    <row r="741" spans="1:26" ht="13" x14ac:dyDescent="0.6">
      <c r="A741" s="28" t="str">
        <f t="shared" si="7"/>
        <v/>
      </c>
      <c r="B741" s="7"/>
      <c r="C741" s="7"/>
      <c r="D741" s="9"/>
      <c r="E741" s="9"/>
      <c r="F741" s="7"/>
      <c r="G741" s="7"/>
      <c r="H741" s="7"/>
      <c r="I741" s="7"/>
      <c r="J741" s="7"/>
      <c r="K741" s="7"/>
      <c r="L741" s="7"/>
      <c r="M741" s="7"/>
      <c r="N741" s="7"/>
      <c r="O741" s="7"/>
      <c r="P741" s="29"/>
      <c r="Q741" s="29"/>
      <c r="R741" s="7"/>
      <c r="S741" s="7"/>
      <c r="T741" s="7" t="str">
        <f ca="1">IFERROR(__xludf.DUMMYFUNCTION("SPARKLINE({
IF(D741="""",0,D741),
IF(F741="""",0,F741),
IF(H741="""",0,H741),
IF(J741="""",0,J741),
IF(L741="""",0,L741),
IF(N741="""",0,N741),
IF(P741="""",0,P741)
})"),"")</f>
        <v/>
      </c>
      <c r="U741" s="7" t="str">
        <f ca="1">IFERROR(__xludf.DUMMYFUNCTION("SPARKLINE({
IF(E741="""",0,E741),
IF(G741="""",0,G741),
IF(I741="""",0,I741),
IF(K741="""",0,K741),
IF(M741="""",0,M741),
IF(O741="""",0,O741),
IF(Q741="""",0,Q741)
})"),"")</f>
        <v/>
      </c>
      <c r="V741" s="8" t="e">
        <f t="array" aca="1" ref="V741" ca="1">IF($C$4="Giao",_xludf.Xlookup(C741,#REF!,#REF!,),_xludf.Xlookup(C741,#REF!,#REF!,))</f>
        <v>#NAME?</v>
      </c>
      <c r="W741" s="8" t="e">
        <f t="array" aca="1" ref="W741" ca="1">IF($C$4="Giao", _xludf.Xlookup(C741,#REF!,#REF!,),)</f>
        <v>#NAME?</v>
      </c>
      <c r="X741" s="9" t="e">
        <f t="shared" ca="1" si="8"/>
        <v>#NAME?</v>
      </c>
      <c r="Y741" s="7"/>
      <c r="Z741" s="7"/>
    </row>
    <row r="742" spans="1:26" ht="13" x14ac:dyDescent="0.6">
      <c r="A742" s="28" t="str">
        <f t="shared" si="7"/>
        <v/>
      </c>
      <c r="B742" s="7"/>
      <c r="C742" s="7"/>
      <c r="D742" s="9"/>
      <c r="E742" s="9"/>
      <c r="F742" s="7"/>
      <c r="G742" s="7"/>
      <c r="H742" s="7"/>
      <c r="I742" s="7"/>
      <c r="J742" s="7"/>
      <c r="K742" s="7"/>
      <c r="L742" s="7"/>
      <c r="M742" s="7"/>
      <c r="N742" s="7"/>
      <c r="O742" s="7"/>
      <c r="P742" s="29"/>
      <c r="Q742" s="29"/>
      <c r="R742" s="7"/>
      <c r="S742" s="7"/>
      <c r="T742" s="7" t="str">
        <f ca="1">IFERROR(__xludf.DUMMYFUNCTION("SPARKLINE({
IF(D742="""",0,D742),
IF(F742="""",0,F742),
IF(H742="""",0,H742),
IF(J742="""",0,J742),
IF(L742="""",0,L742),
IF(N742="""",0,N742),
IF(P742="""",0,P742)
})"),"")</f>
        <v/>
      </c>
      <c r="U742" s="7" t="str">
        <f ca="1">IFERROR(__xludf.DUMMYFUNCTION("SPARKLINE({
IF(E742="""",0,E742),
IF(G742="""",0,G742),
IF(I742="""",0,I742),
IF(K742="""",0,K742),
IF(M742="""",0,M742),
IF(O742="""",0,O742),
IF(Q742="""",0,Q742)
})"),"")</f>
        <v/>
      </c>
      <c r="V742" s="8" t="e">
        <f t="array" aca="1" ref="V742" ca="1">IF($C$4="Giao",_xludf.Xlookup(C742,#REF!,#REF!,),_xludf.Xlookup(C742,#REF!,#REF!,))</f>
        <v>#NAME?</v>
      </c>
      <c r="W742" s="8" t="e">
        <f t="array" aca="1" ref="W742" ca="1">IF($C$4="Giao", _xludf.Xlookup(C742,#REF!,#REF!,),)</f>
        <v>#NAME?</v>
      </c>
      <c r="X742" s="9" t="e">
        <f t="shared" ca="1" si="8"/>
        <v>#NAME?</v>
      </c>
      <c r="Y742" s="7"/>
      <c r="Z742" s="7"/>
    </row>
    <row r="743" spans="1:26" ht="13" x14ac:dyDescent="0.6">
      <c r="A743" s="28" t="str">
        <f t="shared" si="7"/>
        <v/>
      </c>
      <c r="B743" s="7"/>
      <c r="C743" s="7"/>
      <c r="D743" s="9"/>
      <c r="E743" s="9"/>
      <c r="F743" s="7"/>
      <c r="G743" s="7"/>
      <c r="H743" s="7"/>
      <c r="I743" s="7"/>
      <c r="J743" s="7"/>
      <c r="K743" s="7"/>
      <c r="L743" s="7"/>
      <c r="M743" s="7"/>
      <c r="N743" s="7"/>
      <c r="O743" s="7"/>
      <c r="P743" s="29"/>
      <c r="Q743" s="29"/>
      <c r="R743" s="7"/>
      <c r="S743" s="7"/>
      <c r="T743" s="7" t="str">
        <f ca="1">IFERROR(__xludf.DUMMYFUNCTION("SPARKLINE({
IF(D743="""",0,D743),
IF(F743="""",0,F743),
IF(H743="""",0,H743),
IF(J743="""",0,J743),
IF(L743="""",0,L743),
IF(N743="""",0,N743),
IF(P743="""",0,P743)
})"),"")</f>
        <v/>
      </c>
      <c r="U743" s="7" t="str">
        <f ca="1">IFERROR(__xludf.DUMMYFUNCTION("SPARKLINE({
IF(E743="""",0,E743),
IF(G743="""",0,G743),
IF(I743="""",0,I743),
IF(K743="""",0,K743),
IF(M743="""",0,M743),
IF(O743="""",0,O743),
IF(Q743="""",0,Q743)
})"),"")</f>
        <v/>
      </c>
      <c r="V743" s="8" t="e">
        <f t="array" aca="1" ref="V743" ca="1">IF($C$4="Giao",_xludf.Xlookup(C743,#REF!,#REF!,),_xludf.Xlookup(C743,#REF!,#REF!,))</f>
        <v>#NAME?</v>
      </c>
      <c r="W743" s="8" t="e">
        <f t="array" aca="1" ref="W743" ca="1">IF($C$4="Giao", _xludf.Xlookup(C743,#REF!,#REF!,),)</f>
        <v>#NAME?</v>
      </c>
      <c r="X743" s="9" t="e">
        <f t="shared" ca="1" si="8"/>
        <v>#NAME?</v>
      </c>
      <c r="Y743" s="7"/>
      <c r="Z743" s="7"/>
    </row>
    <row r="744" spans="1:26" ht="13" x14ac:dyDescent="0.6">
      <c r="A744" s="28" t="str">
        <f t="shared" si="7"/>
        <v/>
      </c>
      <c r="B744" s="7"/>
      <c r="C744" s="7"/>
      <c r="D744" s="9"/>
      <c r="E744" s="9"/>
      <c r="F744" s="7"/>
      <c r="G744" s="7"/>
      <c r="H744" s="7"/>
      <c r="I744" s="7"/>
      <c r="J744" s="7"/>
      <c r="K744" s="7"/>
      <c r="L744" s="7"/>
      <c r="M744" s="7"/>
      <c r="N744" s="7"/>
      <c r="O744" s="7"/>
      <c r="P744" s="29"/>
      <c r="Q744" s="29"/>
      <c r="R744" s="7"/>
      <c r="S744" s="7"/>
      <c r="T744" s="7" t="str">
        <f ca="1">IFERROR(__xludf.DUMMYFUNCTION("SPARKLINE({
IF(D744="""",0,D744),
IF(F744="""",0,F744),
IF(H744="""",0,H744),
IF(J744="""",0,J744),
IF(L744="""",0,L744),
IF(N744="""",0,N744),
IF(P744="""",0,P744)
})"),"")</f>
        <v/>
      </c>
      <c r="U744" s="7" t="str">
        <f ca="1">IFERROR(__xludf.DUMMYFUNCTION("SPARKLINE({
IF(E744="""",0,E744),
IF(G744="""",0,G744),
IF(I744="""",0,I744),
IF(K744="""",0,K744),
IF(M744="""",0,M744),
IF(O744="""",0,O744),
IF(Q744="""",0,Q744)
})"),"")</f>
        <v/>
      </c>
      <c r="V744" s="8" t="e">
        <f t="array" aca="1" ref="V744" ca="1">IF($C$4="Giao",_xludf.Xlookup(C744,#REF!,#REF!,),_xludf.Xlookup(C744,#REF!,#REF!,))</f>
        <v>#NAME?</v>
      </c>
      <c r="W744" s="8" t="e">
        <f t="array" aca="1" ref="W744" ca="1">IF($C$4="Giao", _xludf.Xlookup(C744,#REF!,#REF!,),)</f>
        <v>#NAME?</v>
      </c>
      <c r="X744" s="9" t="e">
        <f t="shared" ca="1" si="8"/>
        <v>#NAME?</v>
      </c>
      <c r="Y744" s="7"/>
      <c r="Z744" s="7"/>
    </row>
    <row r="745" spans="1:26" ht="13" x14ac:dyDescent="0.6">
      <c r="A745" s="28" t="str">
        <f t="shared" si="7"/>
        <v/>
      </c>
      <c r="B745" s="7"/>
      <c r="C745" s="7"/>
      <c r="D745" s="9"/>
      <c r="E745" s="9"/>
      <c r="F745" s="7"/>
      <c r="G745" s="7"/>
      <c r="H745" s="7"/>
      <c r="I745" s="7"/>
      <c r="J745" s="7"/>
      <c r="K745" s="7"/>
      <c r="L745" s="7"/>
      <c r="M745" s="7"/>
      <c r="N745" s="7"/>
      <c r="O745" s="7"/>
      <c r="P745" s="29"/>
      <c r="Q745" s="29"/>
      <c r="R745" s="7"/>
      <c r="S745" s="7"/>
      <c r="T745" s="7" t="str">
        <f ca="1">IFERROR(__xludf.DUMMYFUNCTION("SPARKLINE({
IF(D745="""",0,D745),
IF(F745="""",0,F745),
IF(H745="""",0,H745),
IF(J745="""",0,J745),
IF(L745="""",0,L745),
IF(N745="""",0,N745),
IF(P745="""",0,P745)
})"),"")</f>
        <v/>
      </c>
      <c r="U745" s="7" t="str">
        <f ca="1">IFERROR(__xludf.DUMMYFUNCTION("SPARKLINE({
IF(E745="""",0,E745),
IF(G745="""",0,G745),
IF(I745="""",0,I745),
IF(K745="""",0,K745),
IF(M745="""",0,M745),
IF(O745="""",0,O745),
IF(Q745="""",0,Q745)
})"),"")</f>
        <v/>
      </c>
      <c r="V745" s="8" t="e">
        <f t="array" aca="1" ref="V745" ca="1">IF($C$4="Giao",_xludf.Xlookup(C745,#REF!,#REF!,),_xludf.Xlookup(C745,#REF!,#REF!,))</f>
        <v>#NAME?</v>
      </c>
      <c r="W745" s="8" t="e">
        <f t="array" aca="1" ref="W745" ca="1">IF($C$4="Giao", _xludf.Xlookup(C745,#REF!,#REF!,),)</f>
        <v>#NAME?</v>
      </c>
      <c r="X745" s="9" t="e">
        <f t="shared" ca="1" si="8"/>
        <v>#NAME?</v>
      </c>
      <c r="Y745" s="7"/>
      <c r="Z745" s="7"/>
    </row>
    <row r="746" spans="1:26" ht="13" x14ac:dyDescent="0.6">
      <c r="A746" s="28" t="str">
        <f t="shared" si="7"/>
        <v/>
      </c>
      <c r="B746" s="7"/>
      <c r="C746" s="7"/>
      <c r="D746" s="9"/>
      <c r="E746" s="9"/>
      <c r="F746" s="7"/>
      <c r="G746" s="7"/>
      <c r="H746" s="7"/>
      <c r="I746" s="7"/>
      <c r="J746" s="7"/>
      <c r="K746" s="7"/>
      <c r="L746" s="7"/>
      <c r="M746" s="7"/>
      <c r="N746" s="7"/>
      <c r="O746" s="7"/>
      <c r="P746" s="29"/>
      <c r="Q746" s="29"/>
      <c r="R746" s="7"/>
      <c r="S746" s="7"/>
      <c r="T746" s="7" t="str">
        <f ca="1">IFERROR(__xludf.DUMMYFUNCTION("SPARKLINE({
IF(D746="""",0,D746),
IF(F746="""",0,F746),
IF(H746="""",0,H746),
IF(J746="""",0,J746),
IF(L746="""",0,L746),
IF(N746="""",0,N746),
IF(P746="""",0,P746)
})"),"")</f>
        <v/>
      </c>
      <c r="U746" s="7" t="str">
        <f ca="1">IFERROR(__xludf.DUMMYFUNCTION("SPARKLINE({
IF(E746="""",0,E746),
IF(G746="""",0,G746),
IF(I746="""",0,I746),
IF(K746="""",0,K746),
IF(M746="""",0,M746),
IF(O746="""",0,O746),
IF(Q746="""",0,Q746)
})"),"")</f>
        <v/>
      </c>
      <c r="V746" s="8" t="e">
        <f t="array" aca="1" ref="V746" ca="1">IF($C$4="Giao",_xludf.Xlookup(C746,#REF!,#REF!,),_xludf.Xlookup(C746,#REF!,#REF!,))</f>
        <v>#NAME?</v>
      </c>
      <c r="W746" s="8" t="e">
        <f t="array" aca="1" ref="W746" ca="1">IF($C$4="Giao", _xludf.Xlookup(C746,#REF!,#REF!,),)</f>
        <v>#NAME?</v>
      </c>
      <c r="X746" s="9" t="e">
        <f t="shared" ca="1" si="8"/>
        <v>#NAME?</v>
      </c>
      <c r="Y746" s="7"/>
      <c r="Z746" s="7"/>
    </row>
    <row r="747" spans="1:26" ht="13" x14ac:dyDescent="0.6">
      <c r="A747" s="28" t="str">
        <f t="shared" si="7"/>
        <v/>
      </c>
      <c r="B747" s="7"/>
      <c r="C747" s="7"/>
      <c r="D747" s="9"/>
      <c r="E747" s="9"/>
      <c r="F747" s="7"/>
      <c r="G747" s="7"/>
      <c r="H747" s="7"/>
      <c r="I747" s="7"/>
      <c r="J747" s="7"/>
      <c r="K747" s="7"/>
      <c r="L747" s="7"/>
      <c r="M747" s="7"/>
      <c r="N747" s="7"/>
      <c r="O747" s="7"/>
      <c r="P747" s="29"/>
      <c r="Q747" s="29"/>
      <c r="R747" s="7"/>
      <c r="S747" s="7"/>
      <c r="T747" s="7" t="str">
        <f ca="1">IFERROR(__xludf.DUMMYFUNCTION("SPARKLINE({
IF(D747="""",0,D747),
IF(F747="""",0,F747),
IF(H747="""",0,H747),
IF(J747="""",0,J747),
IF(L747="""",0,L747),
IF(N747="""",0,N747),
IF(P747="""",0,P747)
})"),"")</f>
        <v/>
      </c>
      <c r="U747" s="7" t="str">
        <f ca="1">IFERROR(__xludf.DUMMYFUNCTION("SPARKLINE({
IF(E747="""",0,E747),
IF(G747="""",0,G747),
IF(I747="""",0,I747),
IF(K747="""",0,K747),
IF(M747="""",0,M747),
IF(O747="""",0,O747),
IF(Q747="""",0,Q747)
})"),"")</f>
        <v/>
      </c>
      <c r="V747" s="8" t="e">
        <f t="array" aca="1" ref="V747" ca="1">IF($C$4="Giao",_xludf.Xlookup(C747,#REF!,#REF!,),_xludf.Xlookup(C747,#REF!,#REF!,))</f>
        <v>#NAME?</v>
      </c>
      <c r="W747" s="8" t="e">
        <f t="array" aca="1" ref="W747" ca="1">IF($C$4="Giao", _xludf.Xlookup(C747,#REF!,#REF!,),)</f>
        <v>#NAME?</v>
      </c>
      <c r="X747" s="9" t="e">
        <f t="shared" ca="1" si="8"/>
        <v>#NAME?</v>
      </c>
      <c r="Y747" s="7"/>
      <c r="Z747" s="7"/>
    </row>
    <row r="748" spans="1:26" ht="13" x14ac:dyDescent="0.6">
      <c r="A748" s="28" t="str">
        <f t="shared" si="7"/>
        <v/>
      </c>
      <c r="B748" s="7"/>
      <c r="C748" s="7"/>
      <c r="D748" s="9"/>
      <c r="E748" s="9"/>
      <c r="F748" s="7"/>
      <c r="G748" s="7"/>
      <c r="H748" s="7"/>
      <c r="I748" s="7"/>
      <c r="J748" s="7"/>
      <c r="K748" s="7"/>
      <c r="L748" s="7"/>
      <c r="M748" s="7"/>
      <c r="N748" s="7"/>
      <c r="O748" s="7"/>
      <c r="P748" s="29"/>
      <c r="Q748" s="29"/>
      <c r="R748" s="7"/>
      <c r="S748" s="7"/>
      <c r="T748" s="7" t="str">
        <f ca="1">IFERROR(__xludf.DUMMYFUNCTION("SPARKLINE({
IF(D748="""",0,D748),
IF(F748="""",0,F748),
IF(H748="""",0,H748),
IF(J748="""",0,J748),
IF(L748="""",0,L748),
IF(N748="""",0,N748),
IF(P748="""",0,P748)
})"),"")</f>
        <v/>
      </c>
      <c r="U748" s="7" t="str">
        <f ca="1">IFERROR(__xludf.DUMMYFUNCTION("SPARKLINE({
IF(E748="""",0,E748),
IF(G748="""",0,G748),
IF(I748="""",0,I748),
IF(K748="""",0,K748),
IF(M748="""",0,M748),
IF(O748="""",0,O748),
IF(Q748="""",0,Q748)
})"),"")</f>
        <v/>
      </c>
      <c r="V748" s="8" t="e">
        <f t="array" aca="1" ref="V748" ca="1">IF($C$4="Giao",_xludf.Xlookup(C748,#REF!,#REF!,),_xludf.Xlookup(C748,#REF!,#REF!,))</f>
        <v>#NAME?</v>
      </c>
      <c r="W748" s="8" t="e">
        <f t="array" aca="1" ref="W748" ca="1">IF($C$4="Giao", _xludf.Xlookup(C748,#REF!,#REF!,),)</f>
        <v>#NAME?</v>
      </c>
      <c r="X748" s="9" t="e">
        <f t="shared" ca="1" si="8"/>
        <v>#NAME?</v>
      </c>
      <c r="Y748" s="7"/>
      <c r="Z748" s="7"/>
    </row>
    <row r="749" spans="1:26" ht="13" x14ac:dyDescent="0.6">
      <c r="A749" s="28" t="str">
        <f t="shared" si="7"/>
        <v/>
      </c>
      <c r="B749" s="7"/>
      <c r="C749" s="7"/>
      <c r="D749" s="9"/>
      <c r="E749" s="9"/>
      <c r="F749" s="7"/>
      <c r="G749" s="7"/>
      <c r="H749" s="7"/>
      <c r="I749" s="7"/>
      <c r="J749" s="7"/>
      <c r="K749" s="7"/>
      <c r="L749" s="7"/>
      <c r="M749" s="7"/>
      <c r="N749" s="7"/>
      <c r="O749" s="7"/>
      <c r="P749" s="29"/>
      <c r="Q749" s="29"/>
      <c r="R749" s="7"/>
      <c r="S749" s="7"/>
      <c r="T749" s="7" t="str">
        <f ca="1">IFERROR(__xludf.DUMMYFUNCTION("SPARKLINE({
IF(D749="""",0,D749),
IF(F749="""",0,F749),
IF(H749="""",0,H749),
IF(J749="""",0,J749),
IF(L749="""",0,L749),
IF(N749="""",0,N749),
IF(P749="""",0,P749)
})"),"")</f>
        <v/>
      </c>
      <c r="U749" s="7" t="str">
        <f ca="1">IFERROR(__xludf.DUMMYFUNCTION("SPARKLINE({
IF(E749="""",0,E749),
IF(G749="""",0,G749),
IF(I749="""",0,I749),
IF(K749="""",0,K749),
IF(M749="""",0,M749),
IF(O749="""",0,O749),
IF(Q749="""",0,Q749)
})"),"")</f>
        <v/>
      </c>
      <c r="V749" s="8" t="e">
        <f t="array" aca="1" ref="V749" ca="1">IF($C$4="Giao",_xludf.Xlookup(C749,#REF!,#REF!,),_xludf.Xlookup(C749,#REF!,#REF!,))</f>
        <v>#NAME?</v>
      </c>
      <c r="W749" s="8" t="e">
        <f t="array" aca="1" ref="W749" ca="1">IF($C$4="Giao", _xludf.Xlookup(C749,#REF!,#REF!,),)</f>
        <v>#NAME?</v>
      </c>
      <c r="X749" s="9" t="e">
        <f t="shared" ca="1" si="8"/>
        <v>#NAME?</v>
      </c>
      <c r="Y749" s="7"/>
      <c r="Z749" s="7"/>
    </row>
    <row r="750" spans="1:26" ht="13" x14ac:dyDescent="0.6">
      <c r="A750" s="28" t="str">
        <f t="shared" si="7"/>
        <v/>
      </c>
      <c r="B750" s="7"/>
      <c r="C750" s="7"/>
      <c r="D750" s="9"/>
      <c r="E750" s="9"/>
      <c r="F750" s="7"/>
      <c r="G750" s="7"/>
      <c r="H750" s="7"/>
      <c r="I750" s="7"/>
      <c r="J750" s="7"/>
      <c r="K750" s="7"/>
      <c r="L750" s="7"/>
      <c r="M750" s="7"/>
      <c r="N750" s="7"/>
      <c r="O750" s="7"/>
      <c r="P750" s="29"/>
      <c r="Q750" s="29"/>
      <c r="R750" s="7"/>
      <c r="S750" s="7"/>
      <c r="T750" s="7" t="str">
        <f ca="1">IFERROR(__xludf.DUMMYFUNCTION("SPARKLINE({
IF(D750="""",0,D750),
IF(F750="""",0,F750),
IF(H750="""",0,H750),
IF(J750="""",0,J750),
IF(L750="""",0,L750),
IF(N750="""",0,N750),
IF(P750="""",0,P750)
})"),"")</f>
        <v/>
      </c>
      <c r="U750" s="7" t="str">
        <f ca="1">IFERROR(__xludf.DUMMYFUNCTION("SPARKLINE({
IF(E750="""",0,E750),
IF(G750="""",0,G750),
IF(I750="""",0,I750),
IF(K750="""",0,K750),
IF(M750="""",0,M750),
IF(O750="""",0,O750),
IF(Q750="""",0,Q750)
})"),"")</f>
        <v/>
      </c>
      <c r="V750" s="8" t="e">
        <f t="array" aca="1" ref="V750" ca="1">IF($C$4="Giao",_xludf.Xlookup(C750,#REF!,#REF!,),_xludf.Xlookup(C750,#REF!,#REF!,))</f>
        <v>#NAME?</v>
      </c>
      <c r="W750" s="8" t="e">
        <f t="array" aca="1" ref="W750" ca="1">IF($C$4="Giao", _xludf.Xlookup(C750,#REF!,#REF!,),)</f>
        <v>#NAME?</v>
      </c>
      <c r="X750" s="9" t="e">
        <f t="shared" ca="1" si="8"/>
        <v>#NAME?</v>
      </c>
      <c r="Y750" s="7"/>
      <c r="Z750" s="7"/>
    </row>
    <row r="751" spans="1:26" ht="13" x14ac:dyDescent="0.6">
      <c r="A751" s="28" t="str">
        <f t="shared" si="7"/>
        <v/>
      </c>
      <c r="B751" s="7"/>
      <c r="C751" s="7"/>
      <c r="D751" s="9"/>
      <c r="E751" s="9"/>
      <c r="F751" s="7"/>
      <c r="G751" s="7"/>
      <c r="H751" s="7"/>
      <c r="I751" s="7"/>
      <c r="J751" s="7"/>
      <c r="K751" s="7"/>
      <c r="L751" s="7"/>
      <c r="M751" s="7"/>
      <c r="N751" s="7"/>
      <c r="O751" s="7"/>
      <c r="P751" s="29"/>
      <c r="Q751" s="29"/>
      <c r="R751" s="7"/>
      <c r="S751" s="7"/>
      <c r="T751" s="7" t="str">
        <f ca="1">IFERROR(__xludf.DUMMYFUNCTION("SPARKLINE({
IF(D751="""",0,D751),
IF(F751="""",0,F751),
IF(H751="""",0,H751),
IF(J751="""",0,J751),
IF(L751="""",0,L751),
IF(N751="""",0,N751),
IF(P751="""",0,P751)
})"),"")</f>
        <v/>
      </c>
      <c r="U751" s="7" t="str">
        <f ca="1">IFERROR(__xludf.DUMMYFUNCTION("SPARKLINE({
IF(E751="""",0,E751),
IF(G751="""",0,G751),
IF(I751="""",0,I751),
IF(K751="""",0,K751),
IF(M751="""",0,M751),
IF(O751="""",0,O751),
IF(Q751="""",0,Q751)
})"),"")</f>
        <v/>
      </c>
      <c r="V751" s="8" t="e">
        <f t="array" aca="1" ref="V751" ca="1">IF($C$4="Giao",_xludf.Xlookup(C751,#REF!,#REF!,),_xludf.Xlookup(C751,#REF!,#REF!,))</f>
        <v>#NAME?</v>
      </c>
      <c r="W751" s="8" t="e">
        <f t="array" aca="1" ref="W751" ca="1">IF($C$4="Giao", _xludf.Xlookup(C751,#REF!,#REF!,),)</f>
        <v>#NAME?</v>
      </c>
      <c r="X751" s="9" t="e">
        <f t="shared" ca="1" si="8"/>
        <v>#NAME?</v>
      </c>
      <c r="Y751" s="7"/>
      <c r="Z751" s="7"/>
    </row>
    <row r="752" spans="1:26" ht="13" x14ac:dyDescent="0.6">
      <c r="A752" s="28" t="str">
        <f t="shared" si="7"/>
        <v/>
      </c>
      <c r="B752" s="7"/>
      <c r="C752" s="7"/>
      <c r="D752" s="9"/>
      <c r="E752" s="9"/>
      <c r="F752" s="7"/>
      <c r="G752" s="7"/>
      <c r="H752" s="7"/>
      <c r="I752" s="7"/>
      <c r="J752" s="7"/>
      <c r="K752" s="7"/>
      <c r="L752" s="7"/>
      <c r="M752" s="7"/>
      <c r="N752" s="7"/>
      <c r="O752" s="7"/>
      <c r="P752" s="29"/>
      <c r="Q752" s="29"/>
      <c r="R752" s="7"/>
      <c r="S752" s="7"/>
      <c r="T752" s="7" t="str">
        <f ca="1">IFERROR(__xludf.DUMMYFUNCTION("SPARKLINE({
IF(D752="""",0,D752),
IF(F752="""",0,F752),
IF(H752="""",0,H752),
IF(J752="""",0,J752),
IF(L752="""",0,L752),
IF(N752="""",0,N752),
IF(P752="""",0,P752)
})"),"")</f>
        <v/>
      </c>
      <c r="U752" s="7" t="str">
        <f ca="1">IFERROR(__xludf.DUMMYFUNCTION("SPARKLINE({
IF(E752="""",0,E752),
IF(G752="""",0,G752),
IF(I752="""",0,I752),
IF(K752="""",0,K752),
IF(M752="""",0,M752),
IF(O752="""",0,O752),
IF(Q752="""",0,Q752)
})"),"")</f>
        <v/>
      </c>
      <c r="V752" s="8" t="e">
        <f t="array" aca="1" ref="V752" ca="1">IF($C$4="Giao",_xludf.Xlookup(C752,#REF!,#REF!,),_xludf.Xlookup(C752,#REF!,#REF!,))</f>
        <v>#NAME?</v>
      </c>
      <c r="W752" s="8" t="e">
        <f t="array" aca="1" ref="W752" ca="1">IF($C$4="Giao", _xludf.Xlookup(C752,#REF!,#REF!,),)</f>
        <v>#NAME?</v>
      </c>
      <c r="X752" s="9" t="e">
        <f t="shared" ca="1" si="8"/>
        <v>#NAME?</v>
      </c>
      <c r="Y752" s="7"/>
      <c r="Z752" s="7"/>
    </row>
    <row r="753" spans="1:26" ht="13" x14ac:dyDescent="0.6">
      <c r="A753" s="28" t="str">
        <f t="shared" si="7"/>
        <v/>
      </c>
      <c r="B753" s="7"/>
      <c r="C753" s="7"/>
      <c r="D753" s="9"/>
      <c r="E753" s="9"/>
      <c r="F753" s="7"/>
      <c r="G753" s="7"/>
      <c r="H753" s="7"/>
      <c r="I753" s="7"/>
      <c r="J753" s="7"/>
      <c r="K753" s="7"/>
      <c r="L753" s="7"/>
      <c r="M753" s="7"/>
      <c r="N753" s="7"/>
      <c r="O753" s="7"/>
      <c r="P753" s="29"/>
      <c r="Q753" s="29"/>
      <c r="R753" s="7"/>
      <c r="S753" s="7"/>
      <c r="T753" s="7" t="str">
        <f ca="1">IFERROR(__xludf.DUMMYFUNCTION("SPARKLINE({
IF(D753="""",0,D753),
IF(F753="""",0,F753),
IF(H753="""",0,H753),
IF(J753="""",0,J753),
IF(L753="""",0,L753),
IF(N753="""",0,N753),
IF(P753="""",0,P753)
})"),"")</f>
        <v/>
      </c>
      <c r="U753" s="7" t="str">
        <f ca="1">IFERROR(__xludf.DUMMYFUNCTION("SPARKLINE({
IF(E753="""",0,E753),
IF(G753="""",0,G753),
IF(I753="""",0,I753),
IF(K753="""",0,K753),
IF(M753="""",0,M753),
IF(O753="""",0,O753),
IF(Q753="""",0,Q753)
})"),"")</f>
        <v/>
      </c>
      <c r="V753" s="8" t="e">
        <f t="array" aca="1" ref="V753" ca="1">IF($C$4="Giao",_xludf.Xlookup(C753,#REF!,#REF!,),_xludf.Xlookup(C753,#REF!,#REF!,))</f>
        <v>#NAME?</v>
      </c>
      <c r="W753" s="8" t="e">
        <f t="array" aca="1" ref="W753" ca="1">IF($C$4="Giao", _xludf.Xlookup(C753,#REF!,#REF!,),)</f>
        <v>#NAME?</v>
      </c>
      <c r="X753" s="9" t="e">
        <f t="shared" ca="1" si="8"/>
        <v>#NAME?</v>
      </c>
      <c r="Y753" s="7"/>
      <c r="Z753" s="7"/>
    </row>
    <row r="754" spans="1:26" ht="13" x14ac:dyDescent="0.6">
      <c r="A754" s="28" t="str">
        <f t="shared" si="7"/>
        <v/>
      </c>
      <c r="B754" s="7"/>
      <c r="C754" s="7"/>
      <c r="D754" s="9"/>
      <c r="E754" s="9"/>
      <c r="F754" s="7"/>
      <c r="G754" s="7"/>
      <c r="H754" s="7"/>
      <c r="I754" s="7"/>
      <c r="J754" s="7"/>
      <c r="K754" s="7"/>
      <c r="L754" s="7"/>
      <c r="M754" s="7"/>
      <c r="N754" s="7"/>
      <c r="O754" s="7"/>
      <c r="P754" s="29"/>
      <c r="Q754" s="29"/>
      <c r="R754" s="7"/>
      <c r="S754" s="7"/>
      <c r="T754" s="7" t="str">
        <f ca="1">IFERROR(__xludf.DUMMYFUNCTION("SPARKLINE({
IF(D754="""",0,D754),
IF(F754="""",0,F754),
IF(H754="""",0,H754),
IF(J754="""",0,J754),
IF(L754="""",0,L754),
IF(N754="""",0,N754),
IF(P754="""",0,P754)
})"),"")</f>
        <v/>
      </c>
      <c r="U754" s="7" t="str">
        <f ca="1">IFERROR(__xludf.DUMMYFUNCTION("SPARKLINE({
IF(E754="""",0,E754),
IF(G754="""",0,G754),
IF(I754="""",0,I754),
IF(K754="""",0,K754),
IF(M754="""",0,M754),
IF(O754="""",0,O754),
IF(Q754="""",0,Q754)
})"),"")</f>
        <v/>
      </c>
      <c r="V754" s="8" t="e">
        <f t="array" aca="1" ref="V754" ca="1">IF($C$4="Giao",_xludf.Xlookup(C754,#REF!,#REF!,),_xludf.Xlookup(C754,#REF!,#REF!,))</f>
        <v>#NAME?</v>
      </c>
      <c r="W754" s="8" t="e">
        <f t="array" aca="1" ref="W754" ca="1">IF($C$4="Giao", _xludf.Xlookup(C754,#REF!,#REF!,),)</f>
        <v>#NAME?</v>
      </c>
      <c r="X754" s="9" t="e">
        <f t="shared" ca="1" si="8"/>
        <v>#NAME?</v>
      </c>
      <c r="Y754" s="7"/>
      <c r="Z754" s="7"/>
    </row>
    <row r="755" spans="1:26" ht="13" x14ac:dyDescent="0.6">
      <c r="A755" s="28" t="str">
        <f t="shared" si="7"/>
        <v/>
      </c>
      <c r="B755" s="7"/>
      <c r="C755" s="7"/>
      <c r="D755" s="9"/>
      <c r="E755" s="9"/>
      <c r="F755" s="7"/>
      <c r="G755" s="7"/>
      <c r="H755" s="7"/>
      <c r="I755" s="7"/>
      <c r="J755" s="7"/>
      <c r="K755" s="7"/>
      <c r="L755" s="7"/>
      <c r="M755" s="7"/>
      <c r="N755" s="7"/>
      <c r="O755" s="7"/>
      <c r="P755" s="29"/>
      <c r="Q755" s="29"/>
      <c r="R755" s="7"/>
      <c r="S755" s="7"/>
      <c r="T755" s="7" t="str">
        <f ca="1">IFERROR(__xludf.DUMMYFUNCTION("SPARKLINE({
IF(D755="""",0,D755),
IF(F755="""",0,F755),
IF(H755="""",0,H755),
IF(J755="""",0,J755),
IF(L755="""",0,L755),
IF(N755="""",0,N755),
IF(P755="""",0,P755)
})"),"")</f>
        <v/>
      </c>
      <c r="U755" s="7" t="str">
        <f ca="1">IFERROR(__xludf.DUMMYFUNCTION("SPARKLINE({
IF(E755="""",0,E755),
IF(G755="""",0,G755),
IF(I755="""",0,I755),
IF(K755="""",0,K755),
IF(M755="""",0,M755),
IF(O755="""",0,O755),
IF(Q755="""",0,Q755)
})"),"")</f>
        <v/>
      </c>
      <c r="V755" s="8" t="e">
        <f t="array" aca="1" ref="V755" ca="1">IF($C$4="Giao",_xludf.Xlookup(C755,#REF!,#REF!,),_xludf.Xlookup(C755,#REF!,#REF!,))</f>
        <v>#NAME?</v>
      </c>
      <c r="W755" s="8" t="e">
        <f t="array" aca="1" ref="W755" ca="1">IF($C$4="Giao", _xludf.Xlookup(C755,#REF!,#REF!,),)</f>
        <v>#NAME?</v>
      </c>
      <c r="X755" s="9" t="e">
        <f t="shared" ca="1" si="8"/>
        <v>#NAME?</v>
      </c>
      <c r="Y755" s="7"/>
      <c r="Z755" s="7"/>
    </row>
    <row r="756" spans="1:26" ht="13" x14ac:dyDescent="0.6">
      <c r="A756" s="28" t="str">
        <f t="shared" si="7"/>
        <v/>
      </c>
      <c r="B756" s="7"/>
      <c r="C756" s="7"/>
      <c r="D756" s="9"/>
      <c r="E756" s="9"/>
      <c r="F756" s="7"/>
      <c r="G756" s="7"/>
      <c r="H756" s="7"/>
      <c r="I756" s="7"/>
      <c r="J756" s="7"/>
      <c r="K756" s="7"/>
      <c r="L756" s="7"/>
      <c r="M756" s="7"/>
      <c r="N756" s="7"/>
      <c r="O756" s="7"/>
      <c r="P756" s="29"/>
      <c r="Q756" s="29"/>
      <c r="R756" s="7"/>
      <c r="S756" s="7"/>
      <c r="T756" s="7" t="str">
        <f ca="1">IFERROR(__xludf.DUMMYFUNCTION("SPARKLINE({
IF(D756="""",0,D756),
IF(F756="""",0,F756),
IF(H756="""",0,H756),
IF(J756="""",0,J756),
IF(L756="""",0,L756),
IF(N756="""",0,N756),
IF(P756="""",0,P756)
})"),"")</f>
        <v/>
      </c>
      <c r="U756" s="7" t="str">
        <f ca="1">IFERROR(__xludf.DUMMYFUNCTION("SPARKLINE({
IF(E756="""",0,E756),
IF(G756="""",0,G756),
IF(I756="""",0,I756),
IF(K756="""",0,K756),
IF(M756="""",0,M756),
IF(O756="""",0,O756),
IF(Q756="""",0,Q756)
})"),"")</f>
        <v/>
      </c>
      <c r="V756" s="8" t="e">
        <f t="array" aca="1" ref="V756" ca="1">IF($C$4="Giao",_xludf.Xlookup(C756,#REF!,#REF!,),_xludf.Xlookup(C756,#REF!,#REF!,))</f>
        <v>#NAME?</v>
      </c>
      <c r="W756" s="8" t="e">
        <f t="array" aca="1" ref="W756" ca="1">IF($C$4="Giao", _xludf.Xlookup(C756,#REF!,#REF!,),)</f>
        <v>#NAME?</v>
      </c>
      <c r="X756" s="9" t="e">
        <f t="shared" ca="1" si="8"/>
        <v>#NAME?</v>
      </c>
      <c r="Y756" s="7"/>
      <c r="Z756" s="7"/>
    </row>
    <row r="757" spans="1:26" ht="13" x14ac:dyDescent="0.6">
      <c r="A757" s="28" t="str">
        <f t="shared" si="7"/>
        <v/>
      </c>
      <c r="B757" s="7"/>
      <c r="C757" s="7"/>
      <c r="D757" s="9"/>
      <c r="E757" s="9"/>
      <c r="F757" s="7"/>
      <c r="G757" s="7"/>
      <c r="H757" s="7"/>
      <c r="I757" s="7"/>
      <c r="J757" s="7"/>
      <c r="K757" s="7"/>
      <c r="L757" s="7"/>
      <c r="M757" s="7"/>
      <c r="N757" s="7"/>
      <c r="O757" s="7"/>
      <c r="P757" s="29"/>
      <c r="Q757" s="29"/>
      <c r="R757" s="7"/>
      <c r="S757" s="7"/>
      <c r="T757" s="7" t="str">
        <f ca="1">IFERROR(__xludf.DUMMYFUNCTION("SPARKLINE({
IF(D757="""",0,D757),
IF(F757="""",0,F757),
IF(H757="""",0,H757),
IF(J757="""",0,J757),
IF(L757="""",0,L757),
IF(N757="""",0,N757),
IF(P757="""",0,P757)
})"),"")</f>
        <v/>
      </c>
      <c r="U757" s="7" t="str">
        <f ca="1">IFERROR(__xludf.DUMMYFUNCTION("SPARKLINE({
IF(E757="""",0,E757),
IF(G757="""",0,G757),
IF(I757="""",0,I757),
IF(K757="""",0,K757),
IF(M757="""",0,M757),
IF(O757="""",0,O757),
IF(Q757="""",0,Q757)
})"),"")</f>
        <v/>
      </c>
      <c r="V757" s="8" t="e">
        <f t="array" aca="1" ref="V757" ca="1">IF($C$4="Giao",_xludf.Xlookup(C757,#REF!,#REF!,),_xludf.Xlookup(C757,#REF!,#REF!,))</f>
        <v>#NAME?</v>
      </c>
      <c r="W757" s="8" t="e">
        <f t="array" aca="1" ref="W757" ca="1">IF($C$4="Giao", _xludf.Xlookup(C757,#REF!,#REF!,),)</f>
        <v>#NAME?</v>
      </c>
      <c r="X757" s="9" t="e">
        <f t="shared" ca="1" si="8"/>
        <v>#NAME?</v>
      </c>
      <c r="Y757" s="7"/>
      <c r="Z757" s="7"/>
    </row>
    <row r="758" spans="1:26" ht="13" x14ac:dyDescent="0.6">
      <c r="A758" s="28" t="str">
        <f t="shared" si="7"/>
        <v/>
      </c>
      <c r="B758" s="7"/>
      <c r="C758" s="7"/>
      <c r="D758" s="9"/>
      <c r="E758" s="9"/>
      <c r="F758" s="7"/>
      <c r="G758" s="7"/>
      <c r="H758" s="7"/>
      <c r="I758" s="7"/>
      <c r="J758" s="7"/>
      <c r="K758" s="7"/>
      <c r="L758" s="7"/>
      <c r="M758" s="7"/>
      <c r="N758" s="7"/>
      <c r="O758" s="7"/>
      <c r="P758" s="29"/>
      <c r="Q758" s="29"/>
      <c r="R758" s="7"/>
      <c r="S758" s="7"/>
      <c r="T758" s="7" t="str">
        <f ca="1">IFERROR(__xludf.DUMMYFUNCTION("SPARKLINE({
IF(D758="""",0,D758),
IF(F758="""",0,F758),
IF(H758="""",0,H758),
IF(J758="""",0,J758),
IF(L758="""",0,L758),
IF(N758="""",0,N758),
IF(P758="""",0,P758)
})"),"")</f>
        <v/>
      </c>
      <c r="U758" s="7" t="str">
        <f ca="1">IFERROR(__xludf.DUMMYFUNCTION("SPARKLINE({
IF(E758="""",0,E758),
IF(G758="""",0,G758),
IF(I758="""",0,I758),
IF(K758="""",0,K758),
IF(M758="""",0,M758),
IF(O758="""",0,O758),
IF(Q758="""",0,Q758)
})"),"")</f>
        <v/>
      </c>
      <c r="V758" s="8" t="e">
        <f t="array" aca="1" ref="V758" ca="1">IF($C$4="Giao",_xludf.Xlookup(C758,#REF!,#REF!,),_xludf.Xlookup(C758,#REF!,#REF!,))</f>
        <v>#NAME?</v>
      </c>
      <c r="W758" s="8" t="e">
        <f t="array" aca="1" ref="W758" ca="1">IF($C$4="Giao", _xludf.Xlookup(C758,#REF!,#REF!,),)</f>
        <v>#NAME?</v>
      </c>
      <c r="X758" s="9" t="e">
        <f t="shared" ca="1" si="8"/>
        <v>#NAME?</v>
      </c>
      <c r="Y758" s="7"/>
      <c r="Z758" s="7"/>
    </row>
    <row r="759" spans="1:26" ht="13" x14ac:dyDescent="0.6">
      <c r="A759" s="28" t="str">
        <f t="shared" si="7"/>
        <v/>
      </c>
      <c r="B759" s="7"/>
      <c r="C759" s="7"/>
      <c r="D759" s="9"/>
      <c r="E759" s="9"/>
      <c r="F759" s="7"/>
      <c r="G759" s="7"/>
      <c r="H759" s="7"/>
      <c r="I759" s="7"/>
      <c r="J759" s="7"/>
      <c r="K759" s="7"/>
      <c r="L759" s="7"/>
      <c r="M759" s="7"/>
      <c r="N759" s="7"/>
      <c r="O759" s="7"/>
      <c r="P759" s="29"/>
      <c r="Q759" s="29"/>
      <c r="R759" s="7"/>
      <c r="S759" s="7"/>
      <c r="T759" s="7" t="str">
        <f ca="1">IFERROR(__xludf.DUMMYFUNCTION("SPARKLINE({
IF(D759="""",0,D759),
IF(F759="""",0,F759),
IF(H759="""",0,H759),
IF(J759="""",0,J759),
IF(L759="""",0,L759),
IF(N759="""",0,N759),
IF(P759="""",0,P759)
})"),"")</f>
        <v/>
      </c>
      <c r="U759" s="7" t="str">
        <f ca="1">IFERROR(__xludf.DUMMYFUNCTION("SPARKLINE({
IF(E759="""",0,E759),
IF(G759="""",0,G759),
IF(I759="""",0,I759),
IF(K759="""",0,K759),
IF(M759="""",0,M759),
IF(O759="""",0,O759),
IF(Q759="""",0,Q759)
})"),"")</f>
        <v/>
      </c>
      <c r="V759" s="8" t="e">
        <f t="array" aca="1" ref="V759" ca="1">IF($C$4="Giao",_xludf.Xlookup(C759,#REF!,#REF!,),_xludf.Xlookup(C759,#REF!,#REF!,))</f>
        <v>#NAME?</v>
      </c>
      <c r="W759" s="8" t="e">
        <f t="array" aca="1" ref="W759" ca="1">IF($C$4="Giao", _xludf.Xlookup(C759,#REF!,#REF!,),)</f>
        <v>#NAME?</v>
      </c>
      <c r="X759" s="9" t="e">
        <f t="shared" ca="1" si="8"/>
        <v>#NAME?</v>
      </c>
      <c r="Y759" s="7"/>
      <c r="Z759" s="7"/>
    </row>
    <row r="760" spans="1:26" ht="13" x14ac:dyDescent="0.6">
      <c r="A760" s="28" t="str">
        <f t="shared" si="7"/>
        <v/>
      </c>
      <c r="B760" s="7"/>
      <c r="C760" s="7"/>
      <c r="D760" s="9"/>
      <c r="E760" s="9"/>
      <c r="F760" s="7"/>
      <c r="G760" s="7"/>
      <c r="H760" s="7"/>
      <c r="I760" s="7"/>
      <c r="J760" s="7"/>
      <c r="K760" s="7"/>
      <c r="L760" s="7"/>
      <c r="M760" s="7"/>
      <c r="N760" s="7"/>
      <c r="O760" s="7"/>
      <c r="P760" s="29"/>
      <c r="Q760" s="29"/>
      <c r="R760" s="7"/>
      <c r="S760" s="7"/>
      <c r="T760" s="7" t="str">
        <f ca="1">IFERROR(__xludf.DUMMYFUNCTION("SPARKLINE({
IF(D760="""",0,D760),
IF(F760="""",0,F760),
IF(H760="""",0,H760),
IF(J760="""",0,J760),
IF(L760="""",0,L760),
IF(N760="""",0,N760),
IF(P760="""",0,P760)
})"),"")</f>
        <v/>
      </c>
      <c r="U760" s="7" t="str">
        <f ca="1">IFERROR(__xludf.DUMMYFUNCTION("SPARKLINE({
IF(E760="""",0,E760),
IF(G760="""",0,G760),
IF(I760="""",0,I760),
IF(K760="""",0,K760),
IF(M760="""",0,M760),
IF(O760="""",0,O760),
IF(Q760="""",0,Q760)
})"),"")</f>
        <v/>
      </c>
      <c r="V760" s="8" t="e">
        <f t="array" aca="1" ref="V760" ca="1">IF($C$4="Giao",_xludf.Xlookup(C760,#REF!,#REF!,),_xludf.Xlookup(C760,#REF!,#REF!,))</f>
        <v>#NAME?</v>
      </c>
      <c r="W760" s="8" t="e">
        <f t="array" aca="1" ref="W760" ca="1">IF($C$4="Giao", _xludf.Xlookup(C760,#REF!,#REF!,),)</f>
        <v>#NAME?</v>
      </c>
      <c r="X760" s="9" t="e">
        <f t="shared" ca="1" si="8"/>
        <v>#NAME?</v>
      </c>
      <c r="Y760" s="7"/>
      <c r="Z760" s="7"/>
    </row>
    <row r="761" spans="1:26" ht="13" x14ac:dyDescent="0.6">
      <c r="A761" s="28" t="str">
        <f t="shared" si="7"/>
        <v/>
      </c>
      <c r="B761" s="7"/>
      <c r="C761" s="7"/>
      <c r="D761" s="9"/>
      <c r="E761" s="9"/>
      <c r="F761" s="7"/>
      <c r="G761" s="7"/>
      <c r="H761" s="7"/>
      <c r="I761" s="7"/>
      <c r="J761" s="7"/>
      <c r="K761" s="7"/>
      <c r="L761" s="7"/>
      <c r="M761" s="7"/>
      <c r="N761" s="7"/>
      <c r="O761" s="7"/>
      <c r="P761" s="29"/>
      <c r="Q761" s="29"/>
      <c r="R761" s="7"/>
      <c r="S761" s="7"/>
      <c r="T761" s="7" t="str">
        <f ca="1">IFERROR(__xludf.DUMMYFUNCTION("SPARKLINE({
IF(D761="""",0,D761),
IF(F761="""",0,F761),
IF(H761="""",0,H761),
IF(J761="""",0,J761),
IF(L761="""",0,L761),
IF(N761="""",0,N761),
IF(P761="""",0,P761)
})"),"")</f>
        <v/>
      </c>
      <c r="U761" s="7" t="str">
        <f ca="1">IFERROR(__xludf.DUMMYFUNCTION("SPARKLINE({
IF(E761="""",0,E761),
IF(G761="""",0,G761),
IF(I761="""",0,I761),
IF(K761="""",0,K761),
IF(M761="""",0,M761),
IF(O761="""",0,O761),
IF(Q761="""",0,Q761)
})"),"")</f>
        <v/>
      </c>
      <c r="V761" s="8" t="e">
        <f t="array" aca="1" ref="V761" ca="1">IF($C$4="Giao",_xludf.Xlookup(C761,#REF!,#REF!,),_xludf.Xlookup(C761,#REF!,#REF!,))</f>
        <v>#NAME?</v>
      </c>
      <c r="W761" s="8" t="e">
        <f t="array" aca="1" ref="W761" ca="1">IF($C$4="Giao", _xludf.Xlookup(C761,#REF!,#REF!,),)</f>
        <v>#NAME?</v>
      </c>
      <c r="X761" s="9" t="e">
        <f t="shared" ca="1" si="8"/>
        <v>#NAME?</v>
      </c>
      <c r="Y761" s="7"/>
      <c r="Z761" s="7"/>
    </row>
    <row r="762" spans="1:26" ht="13" x14ac:dyDescent="0.6">
      <c r="A762" s="28" t="str">
        <f t="shared" si="7"/>
        <v/>
      </c>
      <c r="B762" s="7"/>
      <c r="C762" s="7"/>
      <c r="D762" s="9"/>
      <c r="E762" s="9"/>
      <c r="F762" s="7"/>
      <c r="G762" s="7"/>
      <c r="H762" s="7"/>
      <c r="I762" s="7"/>
      <c r="J762" s="7"/>
      <c r="K762" s="7"/>
      <c r="L762" s="7"/>
      <c r="M762" s="7"/>
      <c r="N762" s="7"/>
      <c r="O762" s="7"/>
      <c r="P762" s="29"/>
      <c r="Q762" s="29"/>
      <c r="R762" s="7"/>
      <c r="S762" s="7"/>
      <c r="T762" s="7" t="str">
        <f ca="1">IFERROR(__xludf.DUMMYFUNCTION("SPARKLINE({
IF(D762="""",0,D762),
IF(F762="""",0,F762),
IF(H762="""",0,H762),
IF(J762="""",0,J762),
IF(L762="""",0,L762),
IF(N762="""",0,N762),
IF(P762="""",0,P762)
})"),"")</f>
        <v/>
      </c>
      <c r="U762" s="7" t="str">
        <f ca="1">IFERROR(__xludf.DUMMYFUNCTION("SPARKLINE({
IF(E762="""",0,E762),
IF(G762="""",0,G762),
IF(I762="""",0,I762),
IF(K762="""",0,K762),
IF(M762="""",0,M762),
IF(O762="""",0,O762),
IF(Q762="""",0,Q762)
})"),"")</f>
        <v/>
      </c>
      <c r="V762" s="8" t="e">
        <f t="array" aca="1" ref="V762" ca="1">IF($C$4="Giao",_xludf.Xlookup(C762,#REF!,#REF!,),_xludf.Xlookup(C762,#REF!,#REF!,))</f>
        <v>#NAME?</v>
      </c>
      <c r="W762" s="8" t="e">
        <f t="array" aca="1" ref="W762" ca="1">IF($C$4="Giao", _xludf.Xlookup(C762,#REF!,#REF!,),)</f>
        <v>#NAME?</v>
      </c>
      <c r="X762" s="9" t="e">
        <f t="shared" ca="1" si="8"/>
        <v>#NAME?</v>
      </c>
      <c r="Y762" s="7"/>
      <c r="Z762" s="7"/>
    </row>
    <row r="763" spans="1:26" ht="13" x14ac:dyDescent="0.6">
      <c r="A763" s="28" t="str">
        <f t="shared" si="7"/>
        <v/>
      </c>
      <c r="B763" s="7"/>
      <c r="C763" s="7"/>
      <c r="D763" s="9"/>
      <c r="E763" s="9"/>
      <c r="F763" s="7"/>
      <c r="G763" s="7"/>
      <c r="H763" s="7"/>
      <c r="I763" s="7"/>
      <c r="J763" s="7"/>
      <c r="K763" s="7"/>
      <c r="L763" s="7"/>
      <c r="M763" s="7"/>
      <c r="N763" s="7"/>
      <c r="O763" s="7"/>
      <c r="P763" s="29"/>
      <c r="Q763" s="29"/>
      <c r="R763" s="7"/>
      <c r="S763" s="7"/>
      <c r="T763" s="7" t="str">
        <f ca="1">IFERROR(__xludf.DUMMYFUNCTION("SPARKLINE({
IF(D763="""",0,D763),
IF(F763="""",0,F763),
IF(H763="""",0,H763),
IF(J763="""",0,J763),
IF(L763="""",0,L763),
IF(N763="""",0,N763),
IF(P763="""",0,P763)
})"),"")</f>
        <v/>
      </c>
      <c r="U763" s="7" t="str">
        <f ca="1">IFERROR(__xludf.DUMMYFUNCTION("SPARKLINE({
IF(E763="""",0,E763),
IF(G763="""",0,G763),
IF(I763="""",0,I763),
IF(K763="""",0,K763),
IF(M763="""",0,M763),
IF(O763="""",0,O763),
IF(Q763="""",0,Q763)
})"),"")</f>
        <v/>
      </c>
      <c r="V763" s="8" t="e">
        <f t="array" aca="1" ref="V763" ca="1">IF($C$4="Giao",_xludf.Xlookup(C763,#REF!,#REF!,),_xludf.Xlookup(C763,#REF!,#REF!,))</f>
        <v>#NAME?</v>
      </c>
      <c r="W763" s="8" t="e">
        <f t="array" aca="1" ref="W763" ca="1">IF($C$4="Giao", _xludf.Xlookup(C763,#REF!,#REF!,),)</f>
        <v>#NAME?</v>
      </c>
      <c r="X763" s="9" t="e">
        <f t="shared" ca="1" si="8"/>
        <v>#NAME?</v>
      </c>
      <c r="Y763" s="7"/>
      <c r="Z763" s="7"/>
    </row>
    <row r="764" spans="1:26" ht="13" x14ac:dyDescent="0.6">
      <c r="A764" s="28" t="str">
        <f t="shared" si="7"/>
        <v/>
      </c>
      <c r="B764" s="7"/>
      <c r="C764" s="7"/>
      <c r="D764" s="9"/>
      <c r="E764" s="9"/>
      <c r="F764" s="7"/>
      <c r="G764" s="7"/>
      <c r="H764" s="7"/>
      <c r="I764" s="7"/>
      <c r="J764" s="7"/>
      <c r="K764" s="7"/>
      <c r="L764" s="7"/>
      <c r="M764" s="7"/>
      <c r="N764" s="7"/>
      <c r="O764" s="7"/>
      <c r="P764" s="29"/>
      <c r="Q764" s="29"/>
      <c r="R764" s="7"/>
      <c r="S764" s="7"/>
      <c r="T764" s="7" t="str">
        <f ca="1">IFERROR(__xludf.DUMMYFUNCTION("SPARKLINE({
IF(D764="""",0,D764),
IF(F764="""",0,F764),
IF(H764="""",0,H764),
IF(J764="""",0,J764),
IF(L764="""",0,L764),
IF(N764="""",0,N764),
IF(P764="""",0,P764)
})"),"")</f>
        <v/>
      </c>
      <c r="U764" s="7" t="str">
        <f ca="1">IFERROR(__xludf.DUMMYFUNCTION("SPARKLINE({
IF(E764="""",0,E764),
IF(G764="""",0,G764),
IF(I764="""",0,I764),
IF(K764="""",0,K764),
IF(M764="""",0,M764),
IF(O764="""",0,O764),
IF(Q764="""",0,Q764)
})"),"")</f>
        <v/>
      </c>
      <c r="V764" s="8" t="e">
        <f t="array" aca="1" ref="V764" ca="1">IF($C$4="Giao",_xludf.Xlookup(C764,#REF!,#REF!,),_xludf.Xlookup(C764,#REF!,#REF!,))</f>
        <v>#NAME?</v>
      </c>
      <c r="W764" s="8" t="e">
        <f t="array" aca="1" ref="W764" ca="1">IF($C$4="Giao", _xludf.Xlookup(C764,#REF!,#REF!,),)</f>
        <v>#NAME?</v>
      </c>
      <c r="X764" s="9" t="e">
        <f t="shared" ca="1" si="8"/>
        <v>#NAME?</v>
      </c>
      <c r="Y764" s="7"/>
      <c r="Z764" s="7"/>
    </row>
    <row r="765" spans="1:26" ht="13" x14ac:dyDescent="0.6">
      <c r="A765" s="28" t="str">
        <f t="shared" si="7"/>
        <v/>
      </c>
      <c r="B765" s="7"/>
      <c r="C765" s="7"/>
      <c r="D765" s="9"/>
      <c r="E765" s="9"/>
      <c r="F765" s="7"/>
      <c r="G765" s="7"/>
      <c r="H765" s="7"/>
      <c r="I765" s="7"/>
      <c r="J765" s="7"/>
      <c r="K765" s="7"/>
      <c r="L765" s="7"/>
      <c r="M765" s="7"/>
      <c r="N765" s="7"/>
      <c r="O765" s="7"/>
      <c r="P765" s="29"/>
      <c r="Q765" s="29"/>
      <c r="R765" s="7"/>
      <c r="S765" s="7"/>
      <c r="T765" s="7" t="str">
        <f ca="1">IFERROR(__xludf.DUMMYFUNCTION("SPARKLINE({
IF(D765="""",0,D765),
IF(F765="""",0,F765),
IF(H765="""",0,H765),
IF(J765="""",0,J765),
IF(L765="""",0,L765),
IF(N765="""",0,N765),
IF(P765="""",0,P765)
})"),"")</f>
        <v/>
      </c>
      <c r="U765" s="7" t="str">
        <f ca="1">IFERROR(__xludf.DUMMYFUNCTION("SPARKLINE({
IF(E765="""",0,E765),
IF(G765="""",0,G765),
IF(I765="""",0,I765),
IF(K765="""",0,K765),
IF(M765="""",0,M765),
IF(O765="""",0,O765),
IF(Q765="""",0,Q765)
})"),"")</f>
        <v/>
      </c>
      <c r="V765" s="8" t="e">
        <f t="array" aca="1" ref="V765" ca="1">IF($C$4="Giao",_xludf.Xlookup(C765,#REF!,#REF!,),_xludf.Xlookup(C765,#REF!,#REF!,))</f>
        <v>#NAME?</v>
      </c>
      <c r="W765" s="8" t="e">
        <f t="array" aca="1" ref="W765" ca="1">IF($C$4="Giao", _xludf.Xlookup(C765,#REF!,#REF!,),)</f>
        <v>#NAME?</v>
      </c>
      <c r="X765" s="9" t="e">
        <f t="shared" ca="1" si="8"/>
        <v>#NAME?</v>
      </c>
      <c r="Y765" s="7"/>
      <c r="Z765" s="7"/>
    </row>
    <row r="766" spans="1:26" ht="13" x14ac:dyDescent="0.6">
      <c r="A766" s="28" t="str">
        <f t="shared" si="7"/>
        <v/>
      </c>
      <c r="B766" s="7"/>
      <c r="C766" s="7"/>
      <c r="D766" s="9"/>
      <c r="E766" s="9"/>
      <c r="F766" s="7"/>
      <c r="G766" s="7"/>
      <c r="H766" s="7"/>
      <c r="I766" s="7"/>
      <c r="J766" s="7"/>
      <c r="K766" s="7"/>
      <c r="L766" s="7"/>
      <c r="M766" s="7"/>
      <c r="N766" s="7"/>
      <c r="O766" s="7"/>
      <c r="P766" s="29"/>
      <c r="Q766" s="29"/>
      <c r="R766" s="7"/>
      <c r="S766" s="7"/>
      <c r="T766" s="7" t="str">
        <f ca="1">IFERROR(__xludf.DUMMYFUNCTION("SPARKLINE({
IF(D766="""",0,D766),
IF(F766="""",0,F766),
IF(H766="""",0,H766),
IF(J766="""",0,J766),
IF(L766="""",0,L766),
IF(N766="""",0,N766),
IF(P766="""",0,P766)
})"),"")</f>
        <v/>
      </c>
      <c r="U766" s="7" t="str">
        <f ca="1">IFERROR(__xludf.DUMMYFUNCTION("SPARKLINE({
IF(E766="""",0,E766),
IF(G766="""",0,G766),
IF(I766="""",0,I766),
IF(K766="""",0,K766),
IF(M766="""",0,M766),
IF(O766="""",0,O766),
IF(Q766="""",0,Q766)
})"),"")</f>
        <v/>
      </c>
      <c r="V766" s="8" t="e">
        <f t="array" aca="1" ref="V766" ca="1">IF($C$4="Giao",_xludf.Xlookup(C766,#REF!,#REF!,),_xludf.Xlookup(C766,#REF!,#REF!,))</f>
        <v>#NAME?</v>
      </c>
      <c r="W766" s="8" t="e">
        <f t="array" aca="1" ref="W766" ca="1">IF($C$4="Giao", _xludf.Xlookup(C766,#REF!,#REF!,),)</f>
        <v>#NAME?</v>
      </c>
      <c r="X766" s="9" t="e">
        <f t="shared" ca="1" si="8"/>
        <v>#NAME?</v>
      </c>
      <c r="Y766" s="7"/>
      <c r="Z766" s="7"/>
    </row>
    <row r="767" spans="1:26" ht="13" x14ac:dyDescent="0.6">
      <c r="A767" s="28" t="str">
        <f t="shared" si="7"/>
        <v/>
      </c>
      <c r="B767" s="7"/>
      <c r="C767" s="7"/>
      <c r="D767" s="9"/>
      <c r="E767" s="9"/>
      <c r="F767" s="7"/>
      <c r="G767" s="7"/>
      <c r="H767" s="7"/>
      <c r="I767" s="7"/>
      <c r="J767" s="7"/>
      <c r="K767" s="7"/>
      <c r="L767" s="7"/>
      <c r="M767" s="7"/>
      <c r="N767" s="7"/>
      <c r="O767" s="7"/>
      <c r="P767" s="29"/>
      <c r="Q767" s="29"/>
      <c r="R767" s="7"/>
      <c r="S767" s="7"/>
      <c r="T767" s="7" t="str">
        <f ca="1">IFERROR(__xludf.DUMMYFUNCTION("SPARKLINE({
IF(D767="""",0,D767),
IF(F767="""",0,F767),
IF(H767="""",0,H767),
IF(J767="""",0,J767),
IF(L767="""",0,L767),
IF(N767="""",0,N767),
IF(P767="""",0,P767)
})"),"")</f>
        <v/>
      </c>
      <c r="U767" s="7" t="str">
        <f ca="1">IFERROR(__xludf.DUMMYFUNCTION("SPARKLINE({
IF(E767="""",0,E767),
IF(G767="""",0,G767),
IF(I767="""",0,I767),
IF(K767="""",0,K767),
IF(M767="""",0,M767),
IF(O767="""",0,O767),
IF(Q767="""",0,Q767)
})"),"")</f>
        <v/>
      </c>
      <c r="V767" s="8" t="e">
        <f t="array" aca="1" ref="V767" ca="1">IF($C$4="Giao",_xludf.Xlookup(C767,#REF!,#REF!,),_xludf.Xlookup(C767,#REF!,#REF!,))</f>
        <v>#NAME?</v>
      </c>
      <c r="W767" s="8" t="e">
        <f t="array" aca="1" ref="W767" ca="1">IF($C$4="Giao", _xludf.Xlookup(C767,#REF!,#REF!,),)</f>
        <v>#NAME?</v>
      </c>
      <c r="X767" s="9" t="e">
        <f t="shared" ca="1" si="8"/>
        <v>#NAME?</v>
      </c>
      <c r="Y767" s="7"/>
      <c r="Z767" s="7"/>
    </row>
    <row r="768" spans="1:26" ht="13" x14ac:dyDescent="0.6">
      <c r="A768" s="28" t="str">
        <f t="shared" si="7"/>
        <v/>
      </c>
      <c r="B768" s="7"/>
      <c r="C768" s="7"/>
      <c r="D768" s="9"/>
      <c r="E768" s="9"/>
      <c r="F768" s="7"/>
      <c r="G768" s="7"/>
      <c r="H768" s="7"/>
      <c r="I768" s="7"/>
      <c r="J768" s="7"/>
      <c r="K768" s="7"/>
      <c r="L768" s="7"/>
      <c r="M768" s="7"/>
      <c r="N768" s="7"/>
      <c r="O768" s="7"/>
      <c r="P768" s="29"/>
      <c r="Q768" s="29"/>
      <c r="R768" s="7"/>
      <c r="S768" s="7"/>
      <c r="T768" s="7" t="str">
        <f ca="1">IFERROR(__xludf.DUMMYFUNCTION("SPARKLINE({
IF(D768="""",0,D768),
IF(F768="""",0,F768),
IF(H768="""",0,H768),
IF(J768="""",0,J768),
IF(L768="""",0,L768),
IF(N768="""",0,N768),
IF(P768="""",0,P768)
})"),"")</f>
        <v/>
      </c>
      <c r="U768" s="7" t="str">
        <f ca="1">IFERROR(__xludf.DUMMYFUNCTION("SPARKLINE({
IF(E768="""",0,E768),
IF(G768="""",0,G768),
IF(I768="""",0,I768),
IF(K768="""",0,K768),
IF(M768="""",0,M768),
IF(O768="""",0,O768),
IF(Q768="""",0,Q768)
})"),"")</f>
        <v/>
      </c>
      <c r="V768" s="8" t="e">
        <f t="array" aca="1" ref="V768" ca="1">IF($C$4="Giao",_xludf.Xlookup(C768,#REF!,#REF!,),_xludf.Xlookup(C768,#REF!,#REF!,))</f>
        <v>#NAME?</v>
      </c>
      <c r="W768" s="8" t="e">
        <f t="array" aca="1" ref="W768" ca="1">IF($C$4="Giao", _xludf.Xlookup(C768,#REF!,#REF!,),)</f>
        <v>#NAME?</v>
      </c>
      <c r="X768" s="9" t="e">
        <f t="shared" ca="1" si="8"/>
        <v>#NAME?</v>
      </c>
      <c r="Y768" s="7"/>
      <c r="Z768" s="7"/>
    </row>
    <row r="769" spans="1:26" ht="13" x14ac:dyDescent="0.6">
      <c r="A769" s="28" t="str">
        <f t="shared" si="7"/>
        <v/>
      </c>
      <c r="B769" s="7"/>
      <c r="C769" s="7"/>
      <c r="D769" s="9"/>
      <c r="E769" s="9"/>
      <c r="F769" s="7"/>
      <c r="G769" s="7"/>
      <c r="H769" s="7"/>
      <c r="I769" s="7"/>
      <c r="J769" s="7"/>
      <c r="K769" s="7"/>
      <c r="L769" s="7"/>
      <c r="M769" s="7"/>
      <c r="N769" s="7"/>
      <c r="O769" s="7"/>
      <c r="P769" s="29"/>
      <c r="Q769" s="29"/>
      <c r="R769" s="7"/>
      <c r="S769" s="7"/>
      <c r="T769" s="7" t="str">
        <f ca="1">IFERROR(__xludf.DUMMYFUNCTION("SPARKLINE({
IF(D769="""",0,D769),
IF(F769="""",0,F769),
IF(H769="""",0,H769),
IF(J769="""",0,J769),
IF(L769="""",0,L769),
IF(N769="""",0,N769),
IF(P769="""",0,P769)
})"),"")</f>
        <v/>
      </c>
      <c r="U769" s="7" t="str">
        <f ca="1">IFERROR(__xludf.DUMMYFUNCTION("SPARKLINE({
IF(E769="""",0,E769),
IF(G769="""",0,G769),
IF(I769="""",0,I769),
IF(K769="""",0,K769),
IF(M769="""",0,M769),
IF(O769="""",0,O769),
IF(Q769="""",0,Q769)
})"),"")</f>
        <v/>
      </c>
      <c r="V769" s="8" t="e">
        <f t="array" aca="1" ref="V769" ca="1">IF($C$4="Giao",_xludf.Xlookup(C769,#REF!,#REF!,),_xludf.Xlookup(C769,#REF!,#REF!,))</f>
        <v>#NAME?</v>
      </c>
      <c r="W769" s="8" t="e">
        <f t="array" aca="1" ref="W769" ca="1">IF($C$4="Giao", _xludf.Xlookup(C769,#REF!,#REF!,),)</f>
        <v>#NAME?</v>
      </c>
      <c r="X769" s="9" t="e">
        <f t="shared" ca="1" si="8"/>
        <v>#NAME?</v>
      </c>
      <c r="Y769" s="7"/>
      <c r="Z769" s="7"/>
    </row>
    <row r="770" spans="1:26" ht="13" x14ac:dyDescent="0.6">
      <c r="A770" s="28" t="str">
        <f t="shared" si="7"/>
        <v/>
      </c>
      <c r="B770" s="7"/>
      <c r="C770" s="7"/>
      <c r="D770" s="9"/>
      <c r="E770" s="9"/>
      <c r="F770" s="7"/>
      <c r="G770" s="7"/>
      <c r="H770" s="7"/>
      <c r="I770" s="7"/>
      <c r="J770" s="7"/>
      <c r="K770" s="7"/>
      <c r="L770" s="7"/>
      <c r="M770" s="7"/>
      <c r="N770" s="7"/>
      <c r="O770" s="7"/>
      <c r="P770" s="29"/>
      <c r="Q770" s="29"/>
      <c r="R770" s="7"/>
      <c r="S770" s="7"/>
      <c r="T770" s="7" t="str">
        <f ca="1">IFERROR(__xludf.DUMMYFUNCTION("SPARKLINE({
IF(D770="""",0,D770),
IF(F770="""",0,F770),
IF(H770="""",0,H770),
IF(J770="""",0,J770),
IF(L770="""",0,L770),
IF(N770="""",0,N770),
IF(P770="""",0,P770)
})"),"")</f>
        <v/>
      </c>
      <c r="U770" s="7" t="str">
        <f ca="1">IFERROR(__xludf.DUMMYFUNCTION("SPARKLINE({
IF(E770="""",0,E770),
IF(G770="""",0,G770),
IF(I770="""",0,I770),
IF(K770="""",0,K770),
IF(M770="""",0,M770),
IF(O770="""",0,O770),
IF(Q770="""",0,Q770)
})"),"")</f>
        <v/>
      </c>
      <c r="V770" s="8" t="e">
        <f t="array" aca="1" ref="V770" ca="1">IF($C$4="Giao",_xludf.Xlookup(C770,#REF!,#REF!,),_xludf.Xlookup(C770,#REF!,#REF!,))</f>
        <v>#NAME?</v>
      </c>
      <c r="W770" s="8" t="e">
        <f t="array" aca="1" ref="W770" ca="1">IF($C$4="Giao", _xludf.Xlookup(C770,#REF!,#REF!,),)</f>
        <v>#NAME?</v>
      </c>
      <c r="X770" s="9" t="e">
        <f t="shared" ca="1" si="8"/>
        <v>#NAME?</v>
      </c>
      <c r="Y770" s="7"/>
      <c r="Z770" s="7"/>
    </row>
    <row r="771" spans="1:26" ht="13" x14ac:dyDescent="0.6">
      <c r="A771" s="28" t="str">
        <f t="shared" si="7"/>
        <v/>
      </c>
      <c r="B771" s="7"/>
      <c r="C771" s="7"/>
      <c r="D771" s="9"/>
      <c r="E771" s="9"/>
      <c r="F771" s="7"/>
      <c r="G771" s="7"/>
      <c r="H771" s="7"/>
      <c r="I771" s="7"/>
      <c r="J771" s="7"/>
      <c r="K771" s="7"/>
      <c r="L771" s="7"/>
      <c r="M771" s="7"/>
      <c r="N771" s="7"/>
      <c r="O771" s="7"/>
      <c r="P771" s="29"/>
      <c r="Q771" s="29"/>
      <c r="R771" s="7"/>
      <c r="S771" s="7"/>
      <c r="T771" s="7" t="str">
        <f ca="1">IFERROR(__xludf.DUMMYFUNCTION("SPARKLINE({
IF(D771="""",0,D771),
IF(F771="""",0,F771),
IF(H771="""",0,H771),
IF(J771="""",0,J771),
IF(L771="""",0,L771),
IF(N771="""",0,N771),
IF(P771="""",0,P771)
})"),"")</f>
        <v/>
      </c>
      <c r="U771" s="7" t="str">
        <f ca="1">IFERROR(__xludf.DUMMYFUNCTION("SPARKLINE({
IF(E771="""",0,E771),
IF(G771="""",0,G771),
IF(I771="""",0,I771),
IF(K771="""",0,K771),
IF(M771="""",0,M771),
IF(O771="""",0,O771),
IF(Q771="""",0,Q771)
})"),"")</f>
        <v/>
      </c>
      <c r="V771" s="8" t="e">
        <f t="array" aca="1" ref="V771" ca="1">IF($C$4="Giao",_xludf.Xlookup(C771,#REF!,#REF!,),_xludf.Xlookup(C771,#REF!,#REF!,))</f>
        <v>#NAME?</v>
      </c>
      <c r="W771" s="8" t="e">
        <f t="array" aca="1" ref="W771" ca="1">IF($C$4="Giao", _xludf.Xlookup(C771,#REF!,#REF!,),)</f>
        <v>#NAME?</v>
      </c>
      <c r="X771" s="9" t="e">
        <f t="shared" ca="1" si="8"/>
        <v>#NAME?</v>
      </c>
      <c r="Y771" s="7"/>
      <c r="Z771" s="7"/>
    </row>
    <row r="772" spans="1:26" ht="13" x14ac:dyDescent="0.6">
      <c r="A772" s="28" t="str">
        <f t="shared" si="7"/>
        <v/>
      </c>
      <c r="B772" s="7"/>
      <c r="C772" s="7"/>
      <c r="D772" s="9"/>
      <c r="E772" s="9"/>
      <c r="F772" s="7"/>
      <c r="G772" s="7"/>
      <c r="H772" s="7"/>
      <c r="I772" s="7"/>
      <c r="J772" s="7"/>
      <c r="K772" s="7"/>
      <c r="L772" s="7"/>
      <c r="M772" s="7"/>
      <c r="N772" s="7"/>
      <c r="O772" s="7"/>
      <c r="P772" s="29"/>
      <c r="Q772" s="29"/>
      <c r="R772" s="7"/>
      <c r="S772" s="7"/>
      <c r="T772" s="7" t="str">
        <f ca="1">IFERROR(__xludf.DUMMYFUNCTION("SPARKLINE({
IF(D772="""",0,D772),
IF(F772="""",0,F772),
IF(H772="""",0,H772),
IF(J772="""",0,J772),
IF(L772="""",0,L772),
IF(N772="""",0,N772),
IF(P772="""",0,P772)
})"),"")</f>
        <v/>
      </c>
      <c r="U772" s="7" t="str">
        <f ca="1">IFERROR(__xludf.DUMMYFUNCTION("SPARKLINE({
IF(E772="""",0,E772),
IF(G772="""",0,G772),
IF(I772="""",0,I772),
IF(K772="""",0,K772),
IF(M772="""",0,M772),
IF(O772="""",0,O772),
IF(Q772="""",0,Q772)
})"),"")</f>
        <v/>
      </c>
      <c r="V772" s="8" t="e">
        <f t="array" aca="1" ref="V772" ca="1">IF($C$4="Giao",_xludf.Xlookup(C772,#REF!,#REF!,),_xludf.Xlookup(C772,#REF!,#REF!,))</f>
        <v>#NAME?</v>
      </c>
      <c r="W772" s="8" t="e">
        <f t="array" aca="1" ref="W772" ca="1">IF($C$4="Giao", _xludf.Xlookup(C772,#REF!,#REF!,),)</f>
        <v>#NAME?</v>
      </c>
      <c r="X772" s="9" t="e">
        <f t="shared" ca="1" si="8"/>
        <v>#NAME?</v>
      </c>
      <c r="Y772" s="7"/>
      <c r="Z772" s="7"/>
    </row>
    <row r="773" spans="1:26" ht="13" x14ac:dyDescent="0.6">
      <c r="A773" s="28" t="str">
        <f t="shared" ref="A773:A1003" si="9">IF(B773="","",COUNTA($B$8:B773))</f>
        <v/>
      </c>
      <c r="B773" s="7"/>
      <c r="C773" s="7"/>
      <c r="D773" s="9"/>
      <c r="E773" s="9"/>
      <c r="F773" s="7"/>
      <c r="G773" s="7"/>
      <c r="H773" s="7"/>
      <c r="I773" s="7"/>
      <c r="J773" s="7"/>
      <c r="K773" s="7"/>
      <c r="L773" s="7"/>
      <c r="M773" s="7"/>
      <c r="N773" s="7"/>
      <c r="O773" s="7"/>
      <c r="P773" s="29"/>
      <c r="Q773" s="29"/>
      <c r="R773" s="7"/>
      <c r="S773" s="7"/>
      <c r="T773" s="7" t="str">
        <f ca="1">IFERROR(__xludf.DUMMYFUNCTION("SPARKLINE({
IF(D773="""",0,D773),
IF(F773="""",0,F773),
IF(H773="""",0,H773),
IF(J773="""",0,J773),
IF(L773="""",0,L773),
IF(N773="""",0,N773),
IF(P773="""",0,P773)
})"),"")</f>
        <v/>
      </c>
      <c r="U773" s="7" t="str">
        <f ca="1">IFERROR(__xludf.DUMMYFUNCTION("SPARKLINE({
IF(E773="""",0,E773),
IF(G773="""",0,G773),
IF(I773="""",0,I773),
IF(K773="""",0,K773),
IF(M773="""",0,M773),
IF(O773="""",0,O773),
IF(Q773="""",0,Q773)
})"),"")</f>
        <v/>
      </c>
      <c r="V773" s="8" t="e">
        <f t="array" aca="1" ref="V773" ca="1">IF($C$4="Giao",_xludf.Xlookup(C773,#REF!,#REF!,),_xludf.Xlookup(C773,#REF!,#REF!,))</f>
        <v>#NAME?</v>
      </c>
      <c r="W773" s="8" t="e">
        <f t="array" aca="1" ref="W773" ca="1">IF($C$4="Giao", _xludf.Xlookup(C773,#REF!,#REF!,),)</f>
        <v>#NAME?</v>
      </c>
      <c r="X773" s="9" t="e">
        <f t="shared" ref="X773:X1003" ca="1" si="10">W773*1.08</f>
        <v>#NAME?</v>
      </c>
      <c r="Y773" s="7"/>
      <c r="Z773" s="7"/>
    </row>
    <row r="774" spans="1:26" ht="13" x14ac:dyDescent="0.6">
      <c r="A774" s="28" t="str">
        <f t="shared" si="9"/>
        <v/>
      </c>
      <c r="B774" s="7"/>
      <c r="C774" s="7"/>
      <c r="D774" s="9"/>
      <c r="E774" s="9"/>
      <c r="F774" s="7"/>
      <c r="G774" s="7"/>
      <c r="H774" s="7"/>
      <c r="I774" s="7"/>
      <c r="J774" s="7"/>
      <c r="K774" s="7"/>
      <c r="L774" s="7"/>
      <c r="M774" s="7"/>
      <c r="N774" s="7"/>
      <c r="O774" s="7"/>
      <c r="P774" s="29"/>
      <c r="Q774" s="29"/>
      <c r="R774" s="7"/>
      <c r="S774" s="7"/>
      <c r="T774" s="7" t="str">
        <f ca="1">IFERROR(__xludf.DUMMYFUNCTION("SPARKLINE({
IF(D774="""",0,D774),
IF(F774="""",0,F774),
IF(H774="""",0,H774),
IF(J774="""",0,J774),
IF(L774="""",0,L774),
IF(N774="""",0,N774),
IF(P774="""",0,P774)
})"),"")</f>
        <v/>
      </c>
      <c r="U774" s="7" t="str">
        <f ca="1">IFERROR(__xludf.DUMMYFUNCTION("SPARKLINE({
IF(E774="""",0,E774),
IF(G774="""",0,G774),
IF(I774="""",0,I774),
IF(K774="""",0,K774),
IF(M774="""",0,M774),
IF(O774="""",0,O774),
IF(Q774="""",0,Q774)
})"),"")</f>
        <v/>
      </c>
      <c r="V774" s="8" t="e">
        <f t="array" aca="1" ref="V774" ca="1">IF($C$4="Giao",_xludf.Xlookup(C774,#REF!,#REF!,),_xludf.Xlookup(C774,#REF!,#REF!,))</f>
        <v>#NAME?</v>
      </c>
      <c r="W774" s="8" t="e">
        <f t="array" aca="1" ref="W774" ca="1">IF($C$4="Giao", _xludf.Xlookup(C774,#REF!,#REF!,),)</f>
        <v>#NAME?</v>
      </c>
      <c r="X774" s="9" t="e">
        <f t="shared" ca="1" si="10"/>
        <v>#NAME?</v>
      </c>
      <c r="Y774" s="7"/>
      <c r="Z774" s="7"/>
    </row>
    <row r="775" spans="1:26" ht="13" x14ac:dyDescent="0.6">
      <c r="A775" s="28" t="str">
        <f t="shared" si="9"/>
        <v/>
      </c>
      <c r="B775" s="7"/>
      <c r="C775" s="7"/>
      <c r="D775" s="9"/>
      <c r="E775" s="9"/>
      <c r="F775" s="7"/>
      <c r="G775" s="7"/>
      <c r="H775" s="7"/>
      <c r="I775" s="7"/>
      <c r="J775" s="7"/>
      <c r="K775" s="7"/>
      <c r="L775" s="7"/>
      <c r="M775" s="7"/>
      <c r="N775" s="7"/>
      <c r="O775" s="7"/>
      <c r="P775" s="29"/>
      <c r="Q775" s="29"/>
      <c r="R775" s="7"/>
      <c r="S775" s="7"/>
      <c r="T775" s="7" t="str">
        <f ca="1">IFERROR(__xludf.DUMMYFUNCTION("SPARKLINE({
IF(D775="""",0,D775),
IF(F775="""",0,F775),
IF(H775="""",0,H775),
IF(J775="""",0,J775),
IF(L775="""",0,L775),
IF(N775="""",0,N775),
IF(P775="""",0,P775)
})"),"")</f>
        <v/>
      </c>
      <c r="U775" s="7" t="str">
        <f ca="1">IFERROR(__xludf.DUMMYFUNCTION("SPARKLINE({
IF(E775="""",0,E775),
IF(G775="""",0,G775),
IF(I775="""",0,I775),
IF(K775="""",0,K775),
IF(M775="""",0,M775),
IF(O775="""",0,O775),
IF(Q775="""",0,Q775)
})"),"")</f>
        <v/>
      </c>
      <c r="V775" s="8" t="e">
        <f t="array" aca="1" ref="V775" ca="1">IF($C$4="Giao",_xludf.Xlookup(C775,#REF!,#REF!,),_xludf.Xlookup(C775,#REF!,#REF!,))</f>
        <v>#NAME?</v>
      </c>
      <c r="W775" s="8" t="e">
        <f t="array" aca="1" ref="W775" ca="1">IF($C$4="Giao", _xludf.Xlookup(C775,#REF!,#REF!,),)</f>
        <v>#NAME?</v>
      </c>
      <c r="X775" s="9" t="e">
        <f t="shared" ca="1" si="10"/>
        <v>#NAME?</v>
      </c>
      <c r="Y775" s="7"/>
      <c r="Z775" s="7"/>
    </row>
    <row r="776" spans="1:26" ht="13" x14ac:dyDescent="0.6">
      <c r="A776" s="28" t="str">
        <f t="shared" si="9"/>
        <v/>
      </c>
      <c r="B776" s="7"/>
      <c r="C776" s="7"/>
      <c r="D776" s="9"/>
      <c r="E776" s="9"/>
      <c r="F776" s="7"/>
      <c r="G776" s="7"/>
      <c r="H776" s="7"/>
      <c r="I776" s="7"/>
      <c r="J776" s="7"/>
      <c r="K776" s="7"/>
      <c r="L776" s="7"/>
      <c r="M776" s="7"/>
      <c r="N776" s="7"/>
      <c r="O776" s="7"/>
      <c r="P776" s="29"/>
      <c r="Q776" s="29"/>
      <c r="R776" s="7"/>
      <c r="S776" s="7"/>
      <c r="T776" s="7" t="str">
        <f ca="1">IFERROR(__xludf.DUMMYFUNCTION("SPARKLINE({
IF(D776="""",0,D776),
IF(F776="""",0,F776),
IF(H776="""",0,H776),
IF(J776="""",0,J776),
IF(L776="""",0,L776),
IF(N776="""",0,N776),
IF(P776="""",0,P776)
})"),"")</f>
        <v/>
      </c>
      <c r="U776" s="7" t="str">
        <f ca="1">IFERROR(__xludf.DUMMYFUNCTION("SPARKLINE({
IF(E776="""",0,E776),
IF(G776="""",0,G776),
IF(I776="""",0,I776),
IF(K776="""",0,K776),
IF(M776="""",0,M776),
IF(O776="""",0,O776),
IF(Q776="""",0,Q776)
})"),"")</f>
        <v/>
      </c>
      <c r="V776" s="8" t="e">
        <f t="array" aca="1" ref="V776" ca="1">IF($C$4="Giao",_xludf.Xlookup(C776,#REF!,#REF!,),_xludf.Xlookup(C776,#REF!,#REF!,))</f>
        <v>#NAME?</v>
      </c>
      <c r="W776" s="8" t="e">
        <f t="array" aca="1" ref="W776" ca="1">IF($C$4="Giao", _xludf.Xlookup(C776,#REF!,#REF!,),)</f>
        <v>#NAME?</v>
      </c>
      <c r="X776" s="9" t="e">
        <f t="shared" ca="1" si="10"/>
        <v>#NAME?</v>
      </c>
      <c r="Y776" s="7"/>
      <c r="Z776" s="7"/>
    </row>
    <row r="777" spans="1:26" ht="13" x14ac:dyDescent="0.6">
      <c r="A777" s="28" t="str">
        <f t="shared" si="9"/>
        <v/>
      </c>
      <c r="B777" s="7"/>
      <c r="C777" s="7"/>
      <c r="D777" s="9"/>
      <c r="E777" s="9"/>
      <c r="F777" s="7"/>
      <c r="G777" s="7"/>
      <c r="H777" s="7"/>
      <c r="I777" s="7"/>
      <c r="J777" s="7"/>
      <c r="K777" s="7"/>
      <c r="L777" s="7"/>
      <c r="M777" s="7"/>
      <c r="N777" s="7"/>
      <c r="O777" s="7"/>
      <c r="P777" s="29"/>
      <c r="Q777" s="29"/>
      <c r="R777" s="7"/>
      <c r="S777" s="7"/>
      <c r="T777" s="7" t="str">
        <f ca="1">IFERROR(__xludf.DUMMYFUNCTION("SPARKLINE({
IF(D777="""",0,D777),
IF(F777="""",0,F777),
IF(H777="""",0,H777),
IF(J777="""",0,J777),
IF(L777="""",0,L777),
IF(N777="""",0,N777),
IF(P777="""",0,P777)
})"),"")</f>
        <v/>
      </c>
      <c r="U777" s="7" t="str">
        <f ca="1">IFERROR(__xludf.DUMMYFUNCTION("SPARKLINE({
IF(E777="""",0,E777),
IF(G777="""",0,G777),
IF(I777="""",0,I777),
IF(K777="""",0,K777),
IF(M777="""",0,M777),
IF(O777="""",0,O777),
IF(Q777="""",0,Q777)
})"),"")</f>
        <v/>
      </c>
      <c r="V777" s="8" t="e">
        <f t="array" aca="1" ref="V777" ca="1">IF($C$4="Giao",_xludf.Xlookup(C777,#REF!,#REF!,),_xludf.Xlookup(C777,#REF!,#REF!,))</f>
        <v>#NAME?</v>
      </c>
      <c r="W777" s="8" t="e">
        <f t="array" aca="1" ref="W777" ca="1">IF($C$4="Giao", _xludf.Xlookup(C777,#REF!,#REF!,),)</f>
        <v>#NAME?</v>
      </c>
      <c r="X777" s="9" t="e">
        <f t="shared" ca="1" si="10"/>
        <v>#NAME?</v>
      </c>
      <c r="Y777" s="7"/>
      <c r="Z777" s="7"/>
    </row>
    <row r="778" spans="1:26" ht="13" x14ac:dyDescent="0.6">
      <c r="A778" s="28" t="str">
        <f t="shared" si="9"/>
        <v/>
      </c>
      <c r="B778" s="7"/>
      <c r="C778" s="7"/>
      <c r="D778" s="9"/>
      <c r="E778" s="9"/>
      <c r="F778" s="7"/>
      <c r="G778" s="7"/>
      <c r="H778" s="7"/>
      <c r="I778" s="7"/>
      <c r="J778" s="7"/>
      <c r="K778" s="7"/>
      <c r="L778" s="7"/>
      <c r="M778" s="7"/>
      <c r="N778" s="7"/>
      <c r="O778" s="7"/>
      <c r="P778" s="29"/>
      <c r="Q778" s="29"/>
      <c r="R778" s="7"/>
      <c r="S778" s="7"/>
      <c r="T778" s="7" t="str">
        <f ca="1">IFERROR(__xludf.DUMMYFUNCTION("SPARKLINE({
IF(D778="""",0,D778),
IF(F778="""",0,F778),
IF(H778="""",0,H778),
IF(J778="""",0,J778),
IF(L778="""",0,L778),
IF(N778="""",0,N778),
IF(P778="""",0,P778)
})"),"")</f>
        <v/>
      </c>
      <c r="U778" s="7" t="str">
        <f ca="1">IFERROR(__xludf.DUMMYFUNCTION("SPARKLINE({
IF(E778="""",0,E778),
IF(G778="""",0,G778),
IF(I778="""",0,I778),
IF(K778="""",0,K778),
IF(M778="""",0,M778),
IF(O778="""",0,O778),
IF(Q778="""",0,Q778)
})"),"")</f>
        <v/>
      </c>
      <c r="V778" s="8" t="e">
        <f t="array" aca="1" ref="V778" ca="1">IF($C$4="Giao",_xludf.Xlookup(C778,#REF!,#REF!,),_xludf.Xlookup(C778,#REF!,#REF!,))</f>
        <v>#NAME?</v>
      </c>
      <c r="W778" s="8" t="e">
        <f t="array" aca="1" ref="W778" ca="1">IF($C$4="Giao", _xludf.Xlookup(C778,#REF!,#REF!,),)</f>
        <v>#NAME?</v>
      </c>
      <c r="X778" s="9" t="e">
        <f t="shared" ca="1" si="10"/>
        <v>#NAME?</v>
      </c>
      <c r="Y778" s="7"/>
      <c r="Z778" s="7"/>
    </row>
    <row r="779" spans="1:26" ht="13" x14ac:dyDescent="0.6">
      <c r="A779" s="28" t="str">
        <f t="shared" si="9"/>
        <v/>
      </c>
      <c r="B779" s="7"/>
      <c r="C779" s="7"/>
      <c r="D779" s="9"/>
      <c r="E779" s="9"/>
      <c r="F779" s="7"/>
      <c r="G779" s="7"/>
      <c r="H779" s="7"/>
      <c r="I779" s="7"/>
      <c r="J779" s="7"/>
      <c r="K779" s="7"/>
      <c r="L779" s="7"/>
      <c r="M779" s="7"/>
      <c r="N779" s="7"/>
      <c r="O779" s="7"/>
      <c r="P779" s="29"/>
      <c r="Q779" s="29"/>
      <c r="R779" s="7"/>
      <c r="S779" s="7"/>
      <c r="T779" s="7" t="str">
        <f ca="1">IFERROR(__xludf.DUMMYFUNCTION("SPARKLINE({
IF(D779="""",0,D779),
IF(F779="""",0,F779),
IF(H779="""",0,H779),
IF(J779="""",0,J779),
IF(L779="""",0,L779),
IF(N779="""",0,N779),
IF(P779="""",0,P779)
})"),"")</f>
        <v/>
      </c>
      <c r="U779" s="7" t="str">
        <f ca="1">IFERROR(__xludf.DUMMYFUNCTION("SPARKLINE({
IF(E779="""",0,E779),
IF(G779="""",0,G779),
IF(I779="""",0,I779),
IF(K779="""",0,K779),
IF(M779="""",0,M779),
IF(O779="""",0,O779),
IF(Q779="""",0,Q779)
})"),"")</f>
        <v/>
      </c>
      <c r="V779" s="8" t="e">
        <f t="array" aca="1" ref="V779" ca="1">IF($C$4="Giao",_xludf.Xlookup(C779,#REF!,#REF!,),_xludf.Xlookup(C779,#REF!,#REF!,))</f>
        <v>#NAME?</v>
      </c>
      <c r="W779" s="8" t="e">
        <f t="array" aca="1" ref="W779" ca="1">IF($C$4="Giao", _xludf.Xlookup(C779,#REF!,#REF!,),)</f>
        <v>#NAME?</v>
      </c>
      <c r="X779" s="9" t="e">
        <f t="shared" ca="1" si="10"/>
        <v>#NAME?</v>
      </c>
      <c r="Y779" s="7"/>
      <c r="Z779" s="7"/>
    </row>
    <row r="780" spans="1:26" ht="13" x14ac:dyDescent="0.6">
      <c r="A780" s="28" t="str">
        <f t="shared" si="9"/>
        <v/>
      </c>
      <c r="B780" s="7"/>
      <c r="C780" s="7"/>
      <c r="D780" s="9"/>
      <c r="E780" s="9"/>
      <c r="F780" s="7"/>
      <c r="G780" s="7"/>
      <c r="H780" s="7"/>
      <c r="I780" s="7"/>
      <c r="J780" s="7"/>
      <c r="K780" s="7"/>
      <c r="L780" s="7"/>
      <c r="M780" s="7"/>
      <c r="N780" s="7"/>
      <c r="O780" s="7"/>
      <c r="P780" s="29"/>
      <c r="Q780" s="29"/>
      <c r="R780" s="7"/>
      <c r="S780" s="7"/>
      <c r="T780" s="7" t="str">
        <f ca="1">IFERROR(__xludf.DUMMYFUNCTION("SPARKLINE({
IF(D780="""",0,D780),
IF(F780="""",0,F780),
IF(H780="""",0,H780),
IF(J780="""",0,J780),
IF(L780="""",0,L780),
IF(N780="""",0,N780),
IF(P780="""",0,P780)
})"),"")</f>
        <v/>
      </c>
      <c r="U780" s="7" t="str">
        <f ca="1">IFERROR(__xludf.DUMMYFUNCTION("SPARKLINE({
IF(E780="""",0,E780),
IF(G780="""",0,G780),
IF(I780="""",0,I780),
IF(K780="""",0,K780),
IF(M780="""",0,M780),
IF(O780="""",0,O780),
IF(Q780="""",0,Q780)
})"),"")</f>
        <v/>
      </c>
      <c r="V780" s="8" t="e">
        <f t="array" aca="1" ref="V780" ca="1">IF($C$4="Giao",_xludf.Xlookup(C780,#REF!,#REF!,),_xludf.Xlookup(C780,#REF!,#REF!,))</f>
        <v>#NAME?</v>
      </c>
      <c r="W780" s="8" t="e">
        <f t="array" aca="1" ref="W780" ca="1">IF($C$4="Giao", _xludf.Xlookup(C780,#REF!,#REF!,),)</f>
        <v>#NAME?</v>
      </c>
      <c r="X780" s="9" t="e">
        <f t="shared" ca="1" si="10"/>
        <v>#NAME?</v>
      </c>
      <c r="Y780" s="7"/>
      <c r="Z780" s="7"/>
    </row>
    <row r="781" spans="1:26" ht="13" x14ac:dyDescent="0.6">
      <c r="A781" s="28" t="str">
        <f t="shared" si="9"/>
        <v/>
      </c>
      <c r="B781" s="7"/>
      <c r="C781" s="7"/>
      <c r="D781" s="9"/>
      <c r="E781" s="9"/>
      <c r="F781" s="7"/>
      <c r="G781" s="7"/>
      <c r="H781" s="7"/>
      <c r="I781" s="7"/>
      <c r="J781" s="7"/>
      <c r="K781" s="7"/>
      <c r="L781" s="7"/>
      <c r="M781" s="7"/>
      <c r="N781" s="7"/>
      <c r="O781" s="7"/>
      <c r="P781" s="29"/>
      <c r="Q781" s="29"/>
      <c r="R781" s="7"/>
      <c r="S781" s="7"/>
      <c r="T781" s="7" t="str">
        <f ca="1">IFERROR(__xludf.DUMMYFUNCTION("SPARKLINE({
IF(D781="""",0,D781),
IF(F781="""",0,F781),
IF(H781="""",0,H781),
IF(J781="""",0,J781),
IF(L781="""",0,L781),
IF(N781="""",0,N781),
IF(P781="""",0,P781)
})"),"")</f>
        <v/>
      </c>
      <c r="U781" s="7" t="str">
        <f ca="1">IFERROR(__xludf.DUMMYFUNCTION("SPARKLINE({
IF(E781="""",0,E781),
IF(G781="""",0,G781),
IF(I781="""",0,I781),
IF(K781="""",0,K781),
IF(M781="""",0,M781),
IF(O781="""",0,O781),
IF(Q781="""",0,Q781)
})"),"")</f>
        <v/>
      </c>
      <c r="V781" s="8" t="e">
        <f t="array" aca="1" ref="V781" ca="1">IF($C$4="Giao",_xludf.Xlookup(C781,#REF!,#REF!,),_xludf.Xlookup(C781,#REF!,#REF!,))</f>
        <v>#NAME?</v>
      </c>
      <c r="W781" s="8" t="e">
        <f t="array" aca="1" ref="W781" ca="1">IF($C$4="Giao", _xludf.Xlookup(C781,#REF!,#REF!,),)</f>
        <v>#NAME?</v>
      </c>
      <c r="X781" s="9" t="e">
        <f t="shared" ca="1" si="10"/>
        <v>#NAME?</v>
      </c>
      <c r="Y781" s="7"/>
      <c r="Z781" s="7"/>
    </row>
    <row r="782" spans="1:26" ht="13" x14ac:dyDescent="0.6">
      <c r="A782" s="28" t="str">
        <f t="shared" si="9"/>
        <v/>
      </c>
      <c r="B782" s="7"/>
      <c r="C782" s="7"/>
      <c r="D782" s="9"/>
      <c r="E782" s="9"/>
      <c r="F782" s="7"/>
      <c r="G782" s="7"/>
      <c r="H782" s="7"/>
      <c r="I782" s="7"/>
      <c r="J782" s="7"/>
      <c r="K782" s="7"/>
      <c r="L782" s="7"/>
      <c r="M782" s="7"/>
      <c r="N782" s="7"/>
      <c r="O782" s="7"/>
      <c r="P782" s="29"/>
      <c r="Q782" s="29"/>
      <c r="R782" s="7"/>
      <c r="S782" s="7"/>
      <c r="T782" s="7" t="str">
        <f ca="1">IFERROR(__xludf.DUMMYFUNCTION("SPARKLINE({
IF(D782="""",0,D782),
IF(F782="""",0,F782),
IF(H782="""",0,H782),
IF(J782="""",0,J782),
IF(L782="""",0,L782),
IF(N782="""",0,N782),
IF(P782="""",0,P782)
})"),"")</f>
        <v/>
      </c>
      <c r="U782" s="7" t="str">
        <f ca="1">IFERROR(__xludf.DUMMYFUNCTION("SPARKLINE({
IF(E782="""",0,E782),
IF(G782="""",0,G782),
IF(I782="""",0,I782),
IF(K782="""",0,K782),
IF(M782="""",0,M782),
IF(O782="""",0,O782),
IF(Q782="""",0,Q782)
})"),"")</f>
        <v/>
      </c>
      <c r="V782" s="8" t="e">
        <f t="array" aca="1" ref="V782" ca="1">IF($C$4="Giao",_xludf.Xlookup(C782,#REF!,#REF!,),_xludf.Xlookup(C782,#REF!,#REF!,))</f>
        <v>#NAME?</v>
      </c>
      <c r="W782" s="8" t="e">
        <f t="array" aca="1" ref="W782" ca="1">IF($C$4="Giao", _xludf.Xlookup(C782,#REF!,#REF!,),)</f>
        <v>#NAME?</v>
      </c>
      <c r="X782" s="9" t="e">
        <f t="shared" ca="1" si="10"/>
        <v>#NAME?</v>
      </c>
      <c r="Y782" s="7"/>
      <c r="Z782" s="7"/>
    </row>
    <row r="783" spans="1:26" ht="13" x14ac:dyDescent="0.6">
      <c r="A783" s="28" t="str">
        <f t="shared" si="9"/>
        <v/>
      </c>
      <c r="B783" s="7"/>
      <c r="C783" s="7"/>
      <c r="D783" s="9"/>
      <c r="E783" s="9"/>
      <c r="F783" s="7"/>
      <c r="G783" s="7"/>
      <c r="H783" s="7"/>
      <c r="I783" s="7"/>
      <c r="J783" s="7"/>
      <c r="K783" s="7"/>
      <c r="L783" s="7"/>
      <c r="M783" s="7"/>
      <c r="N783" s="7"/>
      <c r="O783" s="7"/>
      <c r="P783" s="29"/>
      <c r="Q783" s="29"/>
      <c r="R783" s="7"/>
      <c r="S783" s="7"/>
      <c r="T783" s="7" t="str">
        <f ca="1">IFERROR(__xludf.DUMMYFUNCTION("SPARKLINE({
IF(D783="""",0,D783),
IF(F783="""",0,F783),
IF(H783="""",0,H783),
IF(J783="""",0,J783),
IF(L783="""",0,L783),
IF(N783="""",0,N783),
IF(P783="""",0,P783)
})"),"")</f>
        <v/>
      </c>
      <c r="U783" s="7" t="str">
        <f ca="1">IFERROR(__xludf.DUMMYFUNCTION("SPARKLINE({
IF(E783="""",0,E783),
IF(G783="""",0,G783),
IF(I783="""",0,I783),
IF(K783="""",0,K783),
IF(M783="""",0,M783),
IF(O783="""",0,O783),
IF(Q783="""",0,Q783)
})"),"")</f>
        <v/>
      </c>
      <c r="V783" s="8" t="e">
        <f t="array" aca="1" ref="V783" ca="1">IF($C$4="Giao",_xludf.Xlookup(C783,#REF!,#REF!,),_xludf.Xlookup(C783,#REF!,#REF!,))</f>
        <v>#NAME?</v>
      </c>
      <c r="W783" s="8" t="e">
        <f t="array" aca="1" ref="W783" ca="1">IF($C$4="Giao", _xludf.Xlookup(C783,#REF!,#REF!,),)</f>
        <v>#NAME?</v>
      </c>
      <c r="X783" s="9" t="e">
        <f t="shared" ca="1" si="10"/>
        <v>#NAME?</v>
      </c>
      <c r="Y783" s="7"/>
      <c r="Z783" s="7"/>
    </row>
    <row r="784" spans="1:26" ht="13" x14ac:dyDescent="0.6">
      <c r="A784" s="28" t="str">
        <f t="shared" si="9"/>
        <v/>
      </c>
      <c r="B784" s="7"/>
      <c r="C784" s="7"/>
      <c r="D784" s="9"/>
      <c r="E784" s="9"/>
      <c r="F784" s="7"/>
      <c r="G784" s="7"/>
      <c r="H784" s="7"/>
      <c r="I784" s="7"/>
      <c r="J784" s="7"/>
      <c r="K784" s="7"/>
      <c r="L784" s="7"/>
      <c r="M784" s="7"/>
      <c r="N784" s="7"/>
      <c r="O784" s="7"/>
      <c r="P784" s="29"/>
      <c r="Q784" s="29"/>
      <c r="R784" s="7"/>
      <c r="S784" s="7"/>
      <c r="T784" s="7" t="str">
        <f ca="1">IFERROR(__xludf.DUMMYFUNCTION("SPARKLINE({
IF(D784="""",0,D784),
IF(F784="""",0,F784),
IF(H784="""",0,H784),
IF(J784="""",0,J784),
IF(L784="""",0,L784),
IF(N784="""",0,N784),
IF(P784="""",0,P784)
})"),"")</f>
        <v/>
      </c>
      <c r="U784" s="7" t="str">
        <f ca="1">IFERROR(__xludf.DUMMYFUNCTION("SPARKLINE({
IF(E784="""",0,E784),
IF(G784="""",0,G784),
IF(I784="""",0,I784),
IF(K784="""",0,K784),
IF(M784="""",0,M784),
IF(O784="""",0,O784),
IF(Q784="""",0,Q784)
})"),"")</f>
        <v/>
      </c>
      <c r="V784" s="8" t="e">
        <f t="array" aca="1" ref="V784" ca="1">IF($C$4="Giao",_xludf.Xlookup(C784,#REF!,#REF!,),_xludf.Xlookup(C784,#REF!,#REF!,))</f>
        <v>#NAME?</v>
      </c>
      <c r="W784" s="8" t="e">
        <f t="array" aca="1" ref="W784" ca="1">IF($C$4="Giao", _xludf.Xlookup(C784,#REF!,#REF!,),)</f>
        <v>#NAME?</v>
      </c>
      <c r="X784" s="9" t="e">
        <f t="shared" ca="1" si="10"/>
        <v>#NAME?</v>
      </c>
      <c r="Y784" s="7"/>
      <c r="Z784" s="7"/>
    </row>
    <row r="785" spans="1:26" ht="13" x14ac:dyDescent="0.6">
      <c r="A785" s="28" t="str">
        <f t="shared" si="9"/>
        <v/>
      </c>
      <c r="B785" s="7"/>
      <c r="C785" s="7"/>
      <c r="D785" s="9"/>
      <c r="E785" s="9"/>
      <c r="F785" s="7"/>
      <c r="G785" s="7"/>
      <c r="H785" s="7"/>
      <c r="I785" s="7"/>
      <c r="J785" s="7"/>
      <c r="K785" s="7"/>
      <c r="L785" s="7"/>
      <c r="M785" s="7"/>
      <c r="N785" s="7"/>
      <c r="O785" s="7"/>
      <c r="P785" s="29"/>
      <c r="Q785" s="29"/>
      <c r="R785" s="7"/>
      <c r="S785" s="7"/>
      <c r="T785" s="7" t="str">
        <f ca="1">IFERROR(__xludf.DUMMYFUNCTION("SPARKLINE({
IF(D785="""",0,D785),
IF(F785="""",0,F785),
IF(H785="""",0,H785),
IF(J785="""",0,J785),
IF(L785="""",0,L785),
IF(N785="""",0,N785),
IF(P785="""",0,P785)
})"),"")</f>
        <v/>
      </c>
      <c r="U785" s="7" t="str">
        <f ca="1">IFERROR(__xludf.DUMMYFUNCTION("SPARKLINE({
IF(E785="""",0,E785),
IF(G785="""",0,G785),
IF(I785="""",0,I785),
IF(K785="""",0,K785),
IF(M785="""",0,M785),
IF(O785="""",0,O785),
IF(Q785="""",0,Q785)
})"),"")</f>
        <v/>
      </c>
      <c r="V785" s="8" t="e">
        <f t="array" aca="1" ref="V785" ca="1">IF($C$4="Giao",_xludf.Xlookup(C785,#REF!,#REF!,),_xludf.Xlookup(C785,#REF!,#REF!,))</f>
        <v>#NAME?</v>
      </c>
      <c r="W785" s="8" t="e">
        <f t="array" aca="1" ref="W785" ca="1">IF($C$4="Giao", _xludf.Xlookup(C785,#REF!,#REF!,),)</f>
        <v>#NAME?</v>
      </c>
      <c r="X785" s="9" t="e">
        <f t="shared" ca="1" si="10"/>
        <v>#NAME?</v>
      </c>
      <c r="Y785" s="7"/>
      <c r="Z785" s="7"/>
    </row>
    <row r="786" spans="1:26" ht="13" x14ac:dyDescent="0.6">
      <c r="A786" s="28" t="str">
        <f t="shared" si="9"/>
        <v/>
      </c>
      <c r="B786" s="7"/>
      <c r="C786" s="7"/>
      <c r="D786" s="9"/>
      <c r="E786" s="9"/>
      <c r="F786" s="7"/>
      <c r="G786" s="7"/>
      <c r="H786" s="7"/>
      <c r="I786" s="7"/>
      <c r="J786" s="7"/>
      <c r="K786" s="7"/>
      <c r="L786" s="7"/>
      <c r="M786" s="7"/>
      <c r="N786" s="7"/>
      <c r="O786" s="7"/>
      <c r="P786" s="29"/>
      <c r="Q786" s="29"/>
      <c r="R786" s="7"/>
      <c r="S786" s="7"/>
      <c r="T786" s="7" t="str">
        <f ca="1">IFERROR(__xludf.DUMMYFUNCTION("SPARKLINE({
IF(D786="""",0,D786),
IF(F786="""",0,F786),
IF(H786="""",0,H786),
IF(J786="""",0,J786),
IF(L786="""",0,L786),
IF(N786="""",0,N786),
IF(P786="""",0,P786)
})"),"")</f>
        <v/>
      </c>
      <c r="U786" s="7" t="str">
        <f ca="1">IFERROR(__xludf.DUMMYFUNCTION("SPARKLINE({
IF(E786="""",0,E786),
IF(G786="""",0,G786),
IF(I786="""",0,I786),
IF(K786="""",0,K786),
IF(M786="""",0,M786),
IF(O786="""",0,O786),
IF(Q786="""",0,Q786)
})"),"")</f>
        <v/>
      </c>
      <c r="V786" s="8" t="e">
        <f t="array" aca="1" ref="V786" ca="1">IF($C$4="Giao",_xludf.Xlookup(C786,#REF!,#REF!,),_xludf.Xlookup(C786,#REF!,#REF!,))</f>
        <v>#NAME?</v>
      </c>
      <c r="W786" s="8" t="e">
        <f t="array" aca="1" ref="W786" ca="1">IF($C$4="Giao", _xludf.Xlookup(C786,#REF!,#REF!,),)</f>
        <v>#NAME?</v>
      </c>
      <c r="X786" s="9" t="e">
        <f t="shared" ca="1" si="10"/>
        <v>#NAME?</v>
      </c>
      <c r="Y786" s="7"/>
      <c r="Z786" s="7"/>
    </row>
    <row r="787" spans="1:26" ht="13" x14ac:dyDescent="0.6">
      <c r="A787" s="28" t="str">
        <f t="shared" si="9"/>
        <v/>
      </c>
      <c r="B787" s="7"/>
      <c r="C787" s="7"/>
      <c r="D787" s="9"/>
      <c r="E787" s="9"/>
      <c r="F787" s="7"/>
      <c r="G787" s="7"/>
      <c r="H787" s="7"/>
      <c r="I787" s="7"/>
      <c r="J787" s="7"/>
      <c r="K787" s="7"/>
      <c r="L787" s="7"/>
      <c r="M787" s="7"/>
      <c r="N787" s="7"/>
      <c r="O787" s="7"/>
      <c r="P787" s="29"/>
      <c r="Q787" s="29"/>
      <c r="R787" s="7"/>
      <c r="S787" s="7"/>
      <c r="T787" s="7" t="str">
        <f ca="1">IFERROR(__xludf.DUMMYFUNCTION("SPARKLINE({
IF(D787="""",0,D787),
IF(F787="""",0,F787),
IF(H787="""",0,H787),
IF(J787="""",0,J787),
IF(L787="""",0,L787),
IF(N787="""",0,N787),
IF(P787="""",0,P787)
})"),"")</f>
        <v/>
      </c>
      <c r="U787" s="7" t="str">
        <f ca="1">IFERROR(__xludf.DUMMYFUNCTION("SPARKLINE({
IF(E787="""",0,E787),
IF(G787="""",0,G787),
IF(I787="""",0,I787),
IF(K787="""",0,K787),
IF(M787="""",0,M787),
IF(O787="""",0,O787),
IF(Q787="""",0,Q787)
})"),"")</f>
        <v/>
      </c>
      <c r="V787" s="8" t="e">
        <f t="array" aca="1" ref="V787" ca="1">IF($C$4="Giao",_xludf.Xlookup(C787,#REF!,#REF!,),_xludf.Xlookup(C787,#REF!,#REF!,))</f>
        <v>#NAME?</v>
      </c>
      <c r="W787" s="8" t="e">
        <f t="array" aca="1" ref="W787" ca="1">IF($C$4="Giao", _xludf.Xlookup(C787,#REF!,#REF!,),)</f>
        <v>#NAME?</v>
      </c>
      <c r="X787" s="9" t="e">
        <f t="shared" ca="1" si="10"/>
        <v>#NAME?</v>
      </c>
      <c r="Y787" s="7"/>
      <c r="Z787" s="7"/>
    </row>
    <row r="788" spans="1:26" ht="13" x14ac:dyDescent="0.6">
      <c r="A788" s="28" t="str">
        <f t="shared" si="9"/>
        <v/>
      </c>
      <c r="B788" s="7"/>
      <c r="C788" s="7"/>
      <c r="D788" s="9"/>
      <c r="E788" s="9"/>
      <c r="F788" s="7"/>
      <c r="G788" s="7"/>
      <c r="H788" s="7"/>
      <c r="I788" s="7"/>
      <c r="J788" s="7"/>
      <c r="K788" s="7"/>
      <c r="L788" s="7"/>
      <c r="M788" s="7"/>
      <c r="N788" s="7"/>
      <c r="O788" s="7"/>
      <c r="P788" s="29"/>
      <c r="Q788" s="29"/>
      <c r="R788" s="7"/>
      <c r="S788" s="7"/>
      <c r="T788" s="7" t="str">
        <f ca="1">IFERROR(__xludf.DUMMYFUNCTION("SPARKLINE({
IF(D788="""",0,D788),
IF(F788="""",0,F788),
IF(H788="""",0,H788),
IF(J788="""",0,J788),
IF(L788="""",0,L788),
IF(N788="""",0,N788),
IF(P788="""",0,P788)
})"),"")</f>
        <v/>
      </c>
      <c r="U788" s="7" t="str">
        <f ca="1">IFERROR(__xludf.DUMMYFUNCTION("SPARKLINE({
IF(E788="""",0,E788),
IF(G788="""",0,G788),
IF(I788="""",0,I788),
IF(K788="""",0,K788),
IF(M788="""",0,M788),
IF(O788="""",0,O788),
IF(Q788="""",0,Q788)
})"),"")</f>
        <v/>
      </c>
      <c r="V788" s="8" t="e">
        <f t="array" aca="1" ref="V788" ca="1">IF($C$4="Giao",_xludf.Xlookup(C788,#REF!,#REF!,),_xludf.Xlookup(C788,#REF!,#REF!,))</f>
        <v>#NAME?</v>
      </c>
      <c r="W788" s="8" t="e">
        <f t="array" aca="1" ref="W788" ca="1">IF($C$4="Giao", _xludf.Xlookup(C788,#REF!,#REF!,),)</f>
        <v>#NAME?</v>
      </c>
      <c r="X788" s="9" t="e">
        <f t="shared" ca="1" si="10"/>
        <v>#NAME?</v>
      </c>
      <c r="Y788" s="7"/>
      <c r="Z788" s="7"/>
    </row>
    <row r="789" spans="1:26" ht="13" x14ac:dyDescent="0.6">
      <c r="A789" s="28" t="str">
        <f t="shared" si="9"/>
        <v/>
      </c>
      <c r="B789" s="7"/>
      <c r="C789" s="7"/>
      <c r="D789" s="9"/>
      <c r="E789" s="9"/>
      <c r="F789" s="7"/>
      <c r="G789" s="7"/>
      <c r="H789" s="7"/>
      <c r="I789" s="7"/>
      <c r="J789" s="7"/>
      <c r="K789" s="7"/>
      <c r="L789" s="7"/>
      <c r="M789" s="7"/>
      <c r="N789" s="7"/>
      <c r="O789" s="7"/>
      <c r="P789" s="29"/>
      <c r="Q789" s="29"/>
      <c r="R789" s="7"/>
      <c r="S789" s="7"/>
      <c r="T789" s="7" t="str">
        <f ca="1">IFERROR(__xludf.DUMMYFUNCTION("SPARKLINE({
IF(D789="""",0,D789),
IF(F789="""",0,F789),
IF(H789="""",0,H789),
IF(J789="""",0,J789),
IF(L789="""",0,L789),
IF(N789="""",0,N789),
IF(P789="""",0,P789)
})"),"")</f>
        <v/>
      </c>
      <c r="U789" s="7" t="str">
        <f ca="1">IFERROR(__xludf.DUMMYFUNCTION("SPARKLINE({
IF(E789="""",0,E789),
IF(G789="""",0,G789),
IF(I789="""",0,I789),
IF(K789="""",0,K789),
IF(M789="""",0,M789),
IF(O789="""",0,O789),
IF(Q789="""",0,Q789)
})"),"")</f>
        <v/>
      </c>
      <c r="V789" s="8" t="e">
        <f t="array" aca="1" ref="V789" ca="1">IF($C$4="Giao",_xludf.Xlookup(C789,#REF!,#REF!,),_xludf.Xlookup(C789,#REF!,#REF!,))</f>
        <v>#NAME?</v>
      </c>
      <c r="W789" s="8" t="e">
        <f t="array" aca="1" ref="W789" ca="1">IF($C$4="Giao", _xludf.Xlookup(C789,#REF!,#REF!,),)</f>
        <v>#NAME?</v>
      </c>
      <c r="X789" s="9" t="e">
        <f t="shared" ca="1" si="10"/>
        <v>#NAME?</v>
      </c>
      <c r="Y789" s="7"/>
      <c r="Z789" s="7"/>
    </row>
    <row r="790" spans="1:26" ht="13" x14ac:dyDescent="0.6">
      <c r="A790" s="28" t="str">
        <f t="shared" si="9"/>
        <v/>
      </c>
      <c r="B790" s="7"/>
      <c r="C790" s="7"/>
      <c r="D790" s="9"/>
      <c r="E790" s="9"/>
      <c r="F790" s="7"/>
      <c r="G790" s="7"/>
      <c r="H790" s="7"/>
      <c r="I790" s="7"/>
      <c r="J790" s="7"/>
      <c r="K790" s="7"/>
      <c r="L790" s="7"/>
      <c r="M790" s="7"/>
      <c r="N790" s="7"/>
      <c r="O790" s="7"/>
      <c r="P790" s="29"/>
      <c r="Q790" s="29"/>
      <c r="R790" s="7"/>
      <c r="S790" s="7"/>
      <c r="T790" s="7" t="str">
        <f ca="1">IFERROR(__xludf.DUMMYFUNCTION("SPARKLINE({
IF(D790="""",0,D790),
IF(F790="""",0,F790),
IF(H790="""",0,H790),
IF(J790="""",0,J790),
IF(L790="""",0,L790),
IF(N790="""",0,N790),
IF(P790="""",0,P790)
})"),"")</f>
        <v/>
      </c>
      <c r="U790" s="7" t="str">
        <f ca="1">IFERROR(__xludf.DUMMYFUNCTION("SPARKLINE({
IF(E790="""",0,E790),
IF(G790="""",0,G790),
IF(I790="""",0,I790),
IF(K790="""",0,K790),
IF(M790="""",0,M790),
IF(O790="""",0,O790),
IF(Q790="""",0,Q790)
})"),"")</f>
        <v/>
      </c>
      <c r="V790" s="8" t="e">
        <f t="array" aca="1" ref="V790" ca="1">IF($C$4="Giao",_xludf.Xlookup(C790,#REF!,#REF!,),_xludf.Xlookup(C790,#REF!,#REF!,))</f>
        <v>#NAME?</v>
      </c>
      <c r="W790" s="8" t="e">
        <f t="array" aca="1" ref="W790" ca="1">IF($C$4="Giao", _xludf.Xlookup(C790,#REF!,#REF!,),)</f>
        <v>#NAME?</v>
      </c>
      <c r="X790" s="9" t="e">
        <f t="shared" ca="1" si="10"/>
        <v>#NAME?</v>
      </c>
      <c r="Y790" s="7"/>
      <c r="Z790" s="7"/>
    </row>
    <row r="791" spans="1:26" ht="13" x14ac:dyDescent="0.6">
      <c r="A791" s="28" t="str">
        <f t="shared" si="9"/>
        <v/>
      </c>
      <c r="B791" s="7"/>
      <c r="C791" s="7"/>
      <c r="D791" s="9"/>
      <c r="E791" s="9"/>
      <c r="F791" s="7"/>
      <c r="G791" s="7"/>
      <c r="H791" s="7"/>
      <c r="I791" s="7"/>
      <c r="J791" s="7"/>
      <c r="K791" s="7"/>
      <c r="L791" s="7"/>
      <c r="M791" s="7"/>
      <c r="N791" s="7"/>
      <c r="O791" s="7"/>
      <c r="P791" s="29"/>
      <c r="Q791" s="29"/>
      <c r="R791" s="7"/>
      <c r="S791" s="7"/>
      <c r="T791" s="7" t="str">
        <f ca="1">IFERROR(__xludf.DUMMYFUNCTION("SPARKLINE({
IF(D791="""",0,D791),
IF(F791="""",0,F791),
IF(H791="""",0,H791),
IF(J791="""",0,J791),
IF(L791="""",0,L791),
IF(N791="""",0,N791),
IF(P791="""",0,P791)
})"),"")</f>
        <v/>
      </c>
      <c r="U791" s="7" t="str">
        <f ca="1">IFERROR(__xludf.DUMMYFUNCTION("SPARKLINE({
IF(E791="""",0,E791),
IF(G791="""",0,G791),
IF(I791="""",0,I791),
IF(K791="""",0,K791),
IF(M791="""",0,M791),
IF(O791="""",0,O791),
IF(Q791="""",0,Q791)
})"),"")</f>
        <v/>
      </c>
      <c r="V791" s="8" t="e">
        <f t="array" aca="1" ref="V791" ca="1">IF($C$4="Giao",_xludf.Xlookup(C791,#REF!,#REF!,),_xludf.Xlookup(C791,#REF!,#REF!,))</f>
        <v>#NAME?</v>
      </c>
      <c r="W791" s="8" t="e">
        <f t="array" aca="1" ref="W791" ca="1">IF($C$4="Giao", _xludf.Xlookup(C791,#REF!,#REF!,),)</f>
        <v>#NAME?</v>
      </c>
      <c r="X791" s="9" t="e">
        <f t="shared" ca="1" si="10"/>
        <v>#NAME?</v>
      </c>
      <c r="Y791" s="7"/>
      <c r="Z791" s="7"/>
    </row>
    <row r="792" spans="1:26" ht="13" x14ac:dyDescent="0.6">
      <c r="A792" s="28" t="str">
        <f t="shared" si="9"/>
        <v/>
      </c>
      <c r="B792" s="7"/>
      <c r="C792" s="7"/>
      <c r="D792" s="9"/>
      <c r="E792" s="9"/>
      <c r="F792" s="7"/>
      <c r="G792" s="7"/>
      <c r="H792" s="7"/>
      <c r="I792" s="7"/>
      <c r="J792" s="7"/>
      <c r="K792" s="7"/>
      <c r="L792" s="7"/>
      <c r="M792" s="7"/>
      <c r="N792" s="7"/>
      <c r="O792" s="7"/>
      <c r="P792" s="29"/>
      <c r="Q792" s="29"/>
      <c r="R792" s="7"/>
      <c r="S792" s="7"/>
      <c r="T792" s="7" t="str">
        <f ca="1">IFERROR(__xludf.DUMMYFUNCTION("SPARKLINE({
IF(D792="""",0,D792),
IF(F792="""",0,F792),
IF(H792="""",0,H792),
IF(J792="""",0,J792),
IF(L792="""",0,L792),
IF(N792="""",0,N792),
IF(P792="""",0,P792)
})"),"")</f>
        <v/>
      </c>
      <c r="U792" s="7" t="str">
        <f ca="1">IFERROR(__xludf.DUMMYFUNCTION("SPARKLINE({
IF(E792="""",0,E792),
IF(G792="""",0,G792),
IF(I792="""",0,I792),
IF(K792="""",0,K792),
IF(M792="""",0,M792),
IF(O792="""",0,O792),
IF(Q792="""",0,Q792)
})"),"")</f>
        <v/>
      </c>
      <c r="V792" s="8" t="e">
        <f t="array" aca="1" ref="V792" ca="1">IF($C$4="Giao",_xludf.Xlookup(C792,#REF!,#REF!,),_xludf.Xlookup(C792,#REF!,#REF!,))</f>
        <v>#NAME?</v>
      </c>
      <c r="W792" s="8" t="e">
        <f t="array" aca="1" ref="W792" ca="1">IF($C$4="Giao", _xludf.Xlookup(C792,#REF!,#REF!,),)</f>
        <v>#NAME?</v>
      </c>
      <c r="X792" s="9" t="e">
        <f t="shared" ca="1" si="10"/>
        <v>#NAME?</v>
      </c>
      <c r="Y792" s="7"/>
      <c r="Z792" s="7"/>
    </row>
    <row r="793" spans="1:26" ht="13" x14ac:dyDescent="0.6">
      <c r="A793" s="28" t="str">
        <f t="shared" si="9"/>
        <v/>
      </c>
      <c r="B793" s="7"/>
      <c r="C793" s="7"/>
      <c r="D793" s="9"/>
      <c r="E793" s="9"/>
      <c r="F793" s="7"/>
      <c r="G793" s="7"/>
      <c r="H793" s="7"/>
      <c r="I793" s="7"/>
      <c r="J793" s="7"/>
      <c r="K793" s="7"/>
      <c r="L793" s="7"/>
      <c r="M793" s="7"/>
      <c r="N793" s="7"/>
      <c r="O793" s="7"/>
      <c r="P793" s="29"/>
      <c r="Q793" s="29"/>
      <c r="R793" s="7"/>
      <c r="S793" s="7"/>
      <c r="T793" s="7" t="str">
        <f ca="1">IFERROR(__xludf.DUMMYFUNCTION("SPARKLINE({
IF(D793="""",0,D793),
IF(F793="""",0,F793),
IF(H793="""",0,H793),
IF(J793="""",0,J793),
IF(L793="""",0,L793),
IF(N793="""",0,N793),
IF(P793="""",0,P793)
})"),"")</f>
        <v/>
      </c>
      <c r="U793" s="7" t="str">
        <f ca="1">IFERROR(__xludf.DUMMYFUNCTION("SPARKLINE({
IF(E793="""",0,E793),
IF(G793="""",0,G793),
IF(I793="""",0,I793),
IF(K793="""",0,K793),
IF(M793="""",0,M793),
IF(O793="""",0,O793),
IF(Q793="""",0,Q793)
})"),"")</f>
        <v/>
      </c>
      <c r="V793" s="8" t="e">
        <f t="array" aca="1" ref="V793" ca="1">IF($C$4="Giao",_xludf.Xlookup(C793,#REF!,#REF!,),_xludf.Xlookup(C793,#REF!,#REF!,))</f>
        <v>#NAME?</v>
      </c>
      <c r="W793" s="8" t="e">
        <f t="array" aca="1" ref="W793" ca="1">IF($C$4="Giao", _xludf.Xlookup(C793,#REF!,#REF!,),)</f>
        <v>#NAME?</v>
      </c>
      <c r="X793" s="9" t="e">
        <f t="shared" ca="1" si="10"/>
        <v>#NAME?</v>
      </c>
      <c r="Y793" s="7"/>
      <c r="Z793" s="7"/>
    </row>
    <row r="794" spans="1:26" ht="13" x14ac:dyDescent="0.6">
      <c r="A794" s="28" t="str">
        <f t="shared" si="9"/>
        <v/>
      </c>
      <c r="B794" s="7"/>
      <c r="C794" s="7"/>
      <c r="D794" s="9"/>
      <c r="E794" s="9"/>
      <c r="F794" s="7"/>
      <c r="G794" s="7"/>
      <c r="H794" s="7"/>
      <c r="I794" s="7"/>
      <c r="J794" s="7"/>
      <c r="K794" s="7"/>
      <c r="L794" s="7"/>
      <c r="M794" s="7"/>
      <c r="N794" s="7"/>
      <c r="O794" s="7"/>
      <c r="P794" s="29"/>
      <c r="Q794" s="29"/>
      <c r="R794" s="7"/>
      <c r="S794" s="7"/>
      <c r="T794" s="7" t="str">
        <f ca="1">IFERROR(__xludf.DUMMYFUNCTION("SPARKLINE({
IF(D794="""",0,D794),
IF(F794="""",0,F794),
IF(H794="""",0,H794),
IF(J794="""",0,J794),
IF(L794="""",0,L794),
IF(N794="""",0,N794),
IF(P794="""",0,P794)
})"),"")</f>
        <v/>
      </c>
      <c r="U794" s="7" t="str">
        <f ca="1">IFERROR(__xludf.DUMMYFUNCTION("SPARKLINE({
IF(E794="""",0,E794),
IF(G794="""",0,G794),
IF(I794="""",0,I794),
IF(K794="""",0,K794),
IF(M794="""",0,M794),
IF(O794="""",0,O794),
IF(Q794="""",0,Q794)
})"),"")</f>
        <v/>
      </c>
      <c r="V794" s="8" t="e">
        <f t="array" aca="1" ref="V794" ca="1">IF($C$4="Giao",_xludf.Xlookup(C794,#REF!,#REF!,),_xludf.Xlookup(C794,#REF!,#REF!,))</f>
        <v>#NAME?</v>
      </c>
      <c r="W794" s="8" t="e">
        <f t="array" aca="1" ref="W794" ca="1">IF($C$4="Giao", _xludf.Xlookup(C794,#REF!,#REF!,),)</f>
        <v>#NAME?</v>
      </c>
      <c r="X794" s="9" t="e">
        <f t="shared" ca="1" si="10"/>
        <v>#NAME?</v>
      </c>
      <c r="Y794" s="7"/>
      <c r="Z794" s="7"/>
    </row>
    <row r="795" spans="1:26" ht="13" x14ac:dyDescent="0.6">
      <c r="A795" s="28" t="str">
        <f t="shared" si="9"/>
        <v/>
      </c>
      <c r="B795" s="7"/>
      <c r="C795" s="7"/>
      <c r="D795" s="9"/>
      <c r="E795" s="9"/>
      <c r="F795" s="7"/>
      <c r="G795" s="7"/>
      <c r="H795" s="7"/>
      <c r="I795" s="7"/>
      <c r="J795" s="7"/>
      <c r="K795" s="7"/>
      <c r="L795" s="7"/>
      <c r="M795" s="7"/>
      <c r="N795" s="7"/>
      <c r="O795" s="7"/>
      <c r="P795" s="29"/>
      <c r="Q795" s="29"/>
      <c r="R795" s="7"/>
      <c r="S795" s="7"/>
      <c r="T795" s="7" t="str">
        <f ca="1">IFERROR(__xludf.DUMMYFUNCTION("SPARKLINE({
IF(D795="""",0,D795),
IF(F795="""",0,F795),
IF(H795="""",0,H795),
IF(J795="""",0,J795),
IF(L795="""",0,L795),
IF(N795="""",0,N795),
IF(P795="""",0,P795)
})"),"")</f>
        <v/>
      </c>
      <c r="U795" s="7" t="str">
        <f ca="1">IFERROR(__xludf.DUMMYFUNCTION("SPARKLINE({
IF(E795="""",0,E795),
IF(G795="""",0,G795),
IF(I795="""",0,I795),
IF(K795="""",0,K795),
IF(M795="""",0,M795),
IF(O795="""",0,O795),
IF(Q795="""",0,Q795)
})"),"")</f>
        <v/>
      </c>
      <c r="V795" s="8" t="e">
        <f t="array" aca="1" ref="V795" ca="1">IF($C$4="Giao",_xludf.Xlookup(C795,#REF!,#REF!,),_xludf.Xlookup(C795,#REF!,#REF!,))</f>
        <v>#NAME?</v>
      </c>
      <c r="W795" s="8" t="e">
        <f t="array" aca="1" ref="W795" ca="1">IF($C$4="Giao", _xludf.Xlookup(C795,#REF!,#REF!,),)</f>
        <v>#NAME?</v>
      </c>
      <c r="X795" s="9" t="e">
        <f t="shared" ca="1" si="10"/>
        <v>#NAME?</v>
      </c>
      <c r="Y795" s="7"/>
      <c r="Z795" s="7"/>
    </row>
    <row r="796" spans="1:26" ht="13" x14ac:dyDescent="0.6">
      <c r="A796" s="28" t="str">
        <f t="shared" si="9"/>
        <v/>
      </c>
      <c r="B796" s="7"/>
      <c r="C796" s="7"/>
      <c r="D796" s="9"/>
      <c r="E796" s="9"/>
      <c r="F796" s="7"/>
      <c r="G796" s="7"/>
      <c r="H796" s="7"/>
      <c r="I796" s="7"/>
      <c r="J796" s="7"/>
      <c r="K796" s="7"/>
      <c r="L796" s="7"/>
      <c r="M796" s="7"/>
      <c r="N796" s="7"/>
      <c r="O796" s="7"/>
      <c r="P796" s="29"/>
      <c r="Q796" s="29"/>
      <c r="R796" s="7"/>
      <c r="S796" s="7"/>
      <c r="T796" s="7" t="str">
        <f ca="1">IFERROR(__xludf.DUMMYFUNCTION("SPARKLINE({
IF(D796="""",0,D796),
IF(F796="""",0,F796),
IF(H796="""",0,H796),
IF(J796="""",0,J796),
IF(L796="""",0,L796),
IF(N796="""",0,N796),
IF(P796="""",0,P796)
})"),"")</f>
        <v/>
      </c>
      <c r="U796" s="7" t="str">
        <f ca="1">IFERROR(__xludf.DUMMYFUNCTION("SPARKLINE({
IF(E796="""",0,E796),
IF(G796="""",0,G796),
IF(I796="""",0,I796),
IF(K796="""",0,K796),
IF(M796="""",0,M796),
IF(O796="""",0,O796),
IF(Q796="""",0,Q796)
})"),"")</f>
        <v/>
      </c>
      <c r="V796" s="8" t="e">
        <f t="array" aca="1" ref="V796" ca="1">IF($C$4="Giao",_xludf.Xlookup(C796,#REF!,#REF!,),_xludf.Xlookup(C796,#REF!,#REF!,))</f>
        <v>#NAME?</v>
      </c>
      <c r="W796" s="8" t="e">
        <f t="array" aca="1" ref="W796" ca="1">IF($C$4="Giao", _xludf.Xlookup(C796,#REF!,#REF!,),)</f>
        <v>#NAME?</v>
      </c>
      <c r="X796" s="9" t="e">
        <f t="shared" ca="1" si="10"/>
        <v>#NAME?</v>
      </c>
      <c r="Y796" s="7"/>
      <c r="Z796" s="7"/>
    </row>
    <row r="797" spans="1:26" ht="13" x14ac:dyDescent="0.6">
      <c r="A797" s="28" t="str">
        <f t="shared" si="9"/>
        <v/>
      </c>
      <c r="B797" s="7"/>
      <c r="C797" s="7"/>
      <c r="D797" s="9"/>
      <c r="E797" s="9"/>
      <c r="F797" s="7"/>
      <c r="G797" s="7"/>
      <c r="H797" s="7"/>
      <c r="I797" s="7"/>
      <c r="J797" s="7"/>
      <c r="K797" s="7"/>
      <c r="L797" s="7"/>
      <c r="M797" s="7"/>
      <c r="N797" s="7"/>
      <c r="O797" s="7"/>
      <c r="P797" s="29"/>
      <c r="Q797" s="29"/>
      <c r="R797" s="7"/>
      <c r="S797" s="7"/>
      <c r="T797" s="7" t="str">
        <f ca="1">IFERROR(__xludf.DUMMYFUNCTION("SPARKLINE({
IF(D797="""",0,D797),
IF(F797="""",0,F797),
IF(H797="""",0,H797),
IF(J797="""",0,J797),
IF(L797="""",0,L797),
IF(N797="""",0,N797),
IF(P797="""",0,P797)
})"),"")</f>
        <v/>
      </c>
      <c r="U797" s="7" t="str">
        <f ca="1">IFERROR(__xludf.DUMMYFUNCTION("SPARKLINE({
IF(E797="""",0,E797),
IF(G797="""",0,G797),
IF(I797="""",0,I797),
IF(K797="""",0,K797),
IF(M797="""",0,M797),
IF(O797="""",0,O797),
IF(Q797="""",0,Q797)
})"),"")</f>
        <v/>
      </c>
      <c r="V797" s="8" t="e">
        <f t="array" aca="1" ref="V797" ca="1">IF($C$4="Giao",_xludf.Xlookup(C797,#REF!,#REF!,),_xludf.Xlookup(C797,#REF!,#REF!,))</f>
        <v>#NAME?</v>
      </c>
      <c r="W797" s="8" t="e">
        <f t="array" aca="1" ref="W797" ca="1">IF($C$4="Giao", _xludf.Xlookup(C797,#REF!,#REF!,),)</f>
        <v>#NAME?</v>
      </c>
      <c r="X797" s="9" t="e">
        <f t="shared" ca="1" si="10"/>
        <v>#NAME?</v>
      </c>
      <c r="Y797" s="7"/>
      <c r="Z797" s="7"/>
    </row>
    <row r="798" spans="1:26" ht="13" x14ac:dyDescent="0.6">
      <c r="A798" s="28" t="str">
        <f t="shared" si="9"/>
        <v/>
      </c>
      <c r="B798" s="7"/>
      <c r="C798" s="7"/>
      <c r="D798" s="9"/>
      <c r="E798" s="9"/>
      <c r="F798" s="7"/>
      <c r="G798" s="7"/>
      <c r="H798" s="7"/>
      <c r="I798" s="7"/>
      <c r="J798" s="7"/>
      <c r="K798" s="7"/>
      <c r="L798" s="7"/>
      <c r="M798" s="7"/>
      <c r="N798" s="7"/>
      <c r="O798" s="7"/>
      <c r="P798" s="29"/>
      <c r="Q798" s="29"/>
      <c r="R798" s="7"/>
      <c r="S798" s="7"/>
      <c r="T798" s="7" t="str">
        <f ca="1">IFERROR(__xludf.DUMMYFUNCTION("SPARKLINE({
IF(D798="""",0,D798),
IF(F798="""",0,F798),
IF(H798="""",0,H798),
IF(J798="""",0,J798),
IF(L798="""",0,L798),
IF(N798="""",0,N798),
IF(P798="""",0,P798)
})"),"")</f>
        <v/>
      </c>
      <c r="U798" s="7" t="str">
        <f ca="1">IFERROR(__xludf.DUMMYFUNCTION("SPARKLINE({
IF(E798="""",0,E798),
IF(G798="""",0,G798),
IF(I798="""",0,I798),
IF(K798="""",0,K798),
IF(M798="""",0,M798),
IF(O798="""",0,O798),
IF(Q798="""",0,Q798)
})"),"")</f>
        <v/>
      </c>
      <c r="V798" s="8" t="e">
        <f t="array" aca="1" ref="V798" ca="1">IF($C$4="Giao",_xludf.Xlookup(C798,#REF!,#REF!,),_xludf.Xlookup(C798,#REF!,#REF!,))</f>
        <v>#NAME?</v>
      </c>
      <c r="W798" s="8" t="e">
        <f t="array" aca="1" ref="W798" ca="1">IF($C$4="Giao", _xludf.Xlookup(C798,#REF!,#REF!,),)</f>
        <v>#NAME?</v>
      </c>
      <c r="X798" s="9" t="e">
        <f t="shared" ca="1" si="10"/>
        <v>#NAME?</v>
      </c>
      <c r="Y798" s="7"/>
      <c r="Z798" s="7"/>
    </row>
    <row r="799" spans="1:26" ht="13" x14ac:dyDescent="0.6">
      <c r="A799" s="28" t="str">
        <f t="shared" si="9"/>
        <v/>
      </c>
      <c r="B799" s="7"/>
      <c r="C799" s="7"/>
      <c r="D799" s="9"/>
      <c r="E799" s="9"/>
      <c r="F799" s="7"/>
      <c r="G799" s="7"/>
      <c r="H799" s="7"/>
      <c r="I799" s="7"/>
      <c r="J799" s="7"/>
      <c r="K799" s="7"/>
      <c r="L799" s="7"/>
      <c r="M799" s="7"/>
      <c r="N799" s="7"/>
      <c r="O799" s="7"/>
      <c r="P799" s="29"/>
      <c r="Q799" s="29"/>
      <c r="R799" s="7"/>
      <c r="S799" s="7"/>
      <c r="T799" s="7" t="str">
        <f ca="1">IFERROR(__xludf.DUMMYFUNCTION("SPARKLINE({
IF(D799="""",0,D799),
IF(F799="""",0,F799),
IF(H799="""",0,H799),
IF(J799="""",0,J799),
IF(L799="""",0,L799),
IF(N799="""",0,N799),
IF(P799="""",0,P799)
})"),"")</f>
        <v/>
      </c>
      <c r="U799" s="7" t="str">
        <f ca="1">IFERROR(__xludf.DUMMYFUNCTION("SPARKLINE({
IF(E799="""",0,E799),
IF(G799="""",0,G799),
IF(I799="""",0,I799),
IF(K799="""",0,K799),
IF(M799="""",0,M799),
IF(O799="""",0,O799),
IF(Q799="""",0,Q799)
})"),"")</f>
        <v/>
      </c>
      <c r="V799" s="8" t="e">
        <f t="array" aca="1" ref="V799" ca="1">IF($C$4="Giao",_xludf.Xlookup(C799,#REF!,#REF!,),_xludf.Xlookup(C799,#REF!,#REF!,))</f>
        <v>#NAME?</v>
      </c>
      <c r="W799" s="8" t="e">
        <f t="array" aca="1" ref="W799" ca="1">IF($C$4="Giao", _xludf.Xlookup(C799,#REF!,#REF!,),)</f>
        <v>#NAME?</v>
      </c>
      <c r="X799" s="9" t="e">
        <f t="shared" ca="1" si="10"/>
        <v>#NAME?</v>
      </c>
      <c r="Y799" s="7"/>
      <c r="Z799" s="7"/>
    </row>
    <row r="800" spans="1:26" ht="13" x14ac:dyDescent="0.6">
      <c r="A800" s="28" t="str">
        <f t="shared" si="9"/>
        <v/>
      </c>
      <c r="B800" s="7"/>
      <c r="C800" s="7"/>
      <c r="D800" s="9"/>
      <c r="E800" s="9"/>
      <c r="F800" s="7"/>
      <c r="G800" s="7"/>
      <c r="H800" s="7"/>
      <c r="I800" s="7"/>
      <c r="J800" s="7"/>
      <c r="K800" s="7"/>
      <c r="L800" s="7"/>
      <c r="M800" s="7"/>
      <c r="N800" s="7"/>
      <c r="O800" s="7"/>
      <c r="P800" s="29"/>
      <c r="Q800" s="29"/>
      <c r="R800" s="7"/>
      <c r="S800" s="7"/>
      <c r="T800" s="7" t="str">
        <f ca="1">IFERROR(__xludf.DUMMYFUNCTION("SPARKLINE({
IF(D800="""",0,D800),
IF(F800="""",0,F800),
IF(H800="""",0,H800),
IF(J800="""",0,J800),
IF(L800="""",0,L800),
IF(N800="""",0,N800),
IF(P800="""",0,P800)
})"),"")</f>
        <v/>
      </c>
      <c r="U800" s="7" t="str">
        <f ca="1">IFERROR(__xludf.DUMMYFUNCTION("SPARKLINE({
IF(E800="""",0,E800),
IF(G800="""",0,G800),
IF(I800="""",0,I800),
IF(K800="""",0,K800),
IF(M800="""",0,M800),
IF(O800="""",0,O800),
IF(Q800="""",0,Q800)
})"),"")</f>
        <v/>
      </c>
      <c r="V800" s="8" t="e">
        <f t="array" aca="1" ref="V800" ca="1">IF($C$4="Giao",_xludf.Xlookup(C800,#REF!,#REF!,),_xludf.Xlookup(C800,#REF!,#REF!,))</f>
        <v>#NAME?</v>
      </c>
      <c r="W800" s="8" t="e">
        <f t="array" aca="1" ref="W800" ca="1">IF($C$4="Giao", _xludf.Xlookup(C800,#REF!,#REF!,),)</f>
        <v>#NAME?</v>
      </c>
      <c r="X800" s="9" t="e">
        <f t="shared" ca="1" si="10"/>
        <v>#NAME?</v>
      </c>
      <c r="Y800" s="7"/>
      <c r="Z800" s="7"/>
    </row>
    <row r="801" spans="1:26" ht="13" x14ac:dyDescent="0.6">
      <c r="A801" s="28" t="str">
        <f t="shared" si="9"/>
        <v/>
      </c>
      <c r="B801" s="7"/>
      <c r="C801" s="7"/>
      <c r="D801" s="9"/>
      <c r="E801" s="9"/>
      <c r="F801" s="7"/>
      <c r="G801" s="7"/>
      <c r="H801" s="7"/>
      <c r="I801" s="7"/>
      <c r="J801" s="7"/>
      <c r="K801" s="7"/>
      <c r="L801" s="7"/>
      <c r="M801" s="7"/>
      <c r="N801" s="7"/>
      <c r="O801" s="7"/>
      <c r="P801" s="29"/>
      <c r="Q801" s="29"/>
      <c r="R801" s="7"/>
      <c r="S801" s="7"/>
      <c r="T801" s="7" t="str">
        <f ca="1">IFERROR(__xludf.DUMMYFUNCTION("SPARKLINE({
IF(D801="""",0,D801),
IF(F801="""",0,F801),
IF(H801="""",0,H801),
IF(J801="""",0,J801),
IF(L801="""",0,L801),
IF(N801="""",0,N801),
IF(P801="""",0,P801)
})"),"")</f>
        <v/>
      </c>
      <c r="U801" s="7" t="str">
        <f ca="1">IFERROR(__xludf.DUMMYFUNCTION("SPARKLINE({
IF(E801="""",0,E801),
IF(G801="""",0,G801),
IF(I801="""",0,I801),
IF(K801="""",0,K801),
IF(M801="""",0,M801),
IF(O801="""",0,O801),
IF(Q801="""",0,Q801)
})"),"")</f>
        <v/>
      </c>
      <c r="V801" s="8" t="e">
        <f t="array" aca="1" ref="V801" ca="1">IF($C$4="Giao",_xludf.Xlookup(C801,#REF!,#REF!,),_xludf.Xlookup(C801,#REF!,#REF!,))</f>
        <v>#NAME?</v>
      </c>
      <c r="W801" s="8" t="e">
        <f t="array" aca="1" ref="W801" ca="1">IF($C$4="Giao", _xludf.Xlookup(C801,#REF!,#REF!,),)</f>
        <v>#NAME?</v>
      </c>
      <c r="X801" s="9" t="e">
        <f t="shared" ca="1" si="10"/>
        <v>#NAME?</v>
      </c>
      <c r="Y801" s="7"/>
      <c r="Z801" s="7"/>
    </row>
    <row r="802" spans="1:26" ht="13" x14ac:dyDescent="0.6">
      <c r="A802" s="28" t="str">
        <f t="shared" si="9"/>
        <v/>
      </c>
      <c r="B802" s="7"/>
      <c r="C802" s="7"/>
      <c r="D802" s="9"/>
      <c r="E802" s="9"/>
      <c r="F802" s="7"/>
      <c r="G802" s="7"/>
      <c r="H802" s="7"/>
      <c r="I802" s="7"/>
      <c r="J802" s="7"/>
      <c r="K802" s="7"/>
      <c r="L802" s="7"/>
      <c r="M802" s="7"/>
      <c r="N802" s="7"/>
      <c r="O802" s="7"/>
      <c r="P802" s="29"/>
      <c r="Q802" s="29"/>
      <c r="R802" s="7"/>
      <c r="S802" s="7"/>
      <c r="T802" s="7" t="str">
        <f ca="1">IFERROR(__xludf.DUMMYFUNCTION("SPARKLINE({
IF(D802="""",0,D802),
IF(F802="""",0,F802),
IF(H802="""",0,H802),
IF(J802="""",0,J802),
IF(L802="""",0,L802),
IF(N802="""",0,N802),
IF(P802="""",0,P802)
})"),"")</f>
        <v/>
      </c>
      <c r="U802" s="7" t="str">
        <f ca="1">IFERROR(__xludf.DUMMYFUNCTION("SPARKLINE({
IF(E802="""",0,E802),
IF(G802="""",0,G802),
IF(I802="""",0,I802),
IF(K802="""",0,K802),
IF(M802="""",0,M802),
IF(O802="""",0,O802),
IF(Q802="""",0,Q802)
})"),"")</f>
        <v/>
      </c>
      <c r="V802" s="8" t="e">
        <f t="array" aca="1" ref="V802" ca="1">IF($C$4="Giao",_xludf.Xlookup(C802,#REF!,#REF!,),_xludf.Xlookup(C802,#REF!,#REF!,))</f>
        <v>#NAME?</v>
      </c>
      <c r="W802" s="8" t="e">
        <f t="array" aca="1" ref="W802" ca="1">IF($C$4="Giao", _xludf.Xlookup(C802,#REF!,#REF!,),)</f>
        <v>#NAME?</v>
      </c>
      <c r="X802" s="9" t="e">
        <f t="shared" ca="1" si="10"/>
        <v>#NAME?</v>
      </c>
      <c r="Y802" s="7"/>
      <c r="Z802" s="7"/>
    </row>
    <row r="803" spans="1:26" ht="13" x14ac:dyDescent="0.6">
      <c r="A803" s="28" t="str">
        <f t="shared" si="9"/>
        <v/>
      </c>
      <c r="B803" s="7"/>
      <c r="C803" s="7"/>
      <c r="D803" s="9"/>
      <c r="E803" s="9"/>
      <c r="F803" s="7"/>
      <c r="G803" s="7"/>
      <c r="H803" s="7"/>
      <c r="I803" s="7"/>
      <c r="J803" s="7"/>
      <c r="K803" s="7"/>
      <c r="L803" s="7"/>
      <c r="M803" s="7"/>
      <c r="N803" s="7"/>
      <c r="O803" s="7"/>
      <c r="P803" s="29"/>
      <c r="Q803" s="29"/>
      <c r="R803" s="7"/>
      <c r="S803" s="7"/>
      <c r="T803" s="7" t="str">
        <f ca="1">IFERROR(__xludf.DUMMYFUNCTION("SPARKLINE({
IF(D803="""",0,D803),
IF(F803="""",0,F803),
IF(H803="""",0,H803),
IF(J803="""",0,J803),
IF(L803="""",0,L803),
IF(N803="""",0,N803),
IF(P803="""",0,P803)
})"),"")</f>
        <v/>
      </c>
      <c r="U803" s="7" t="str">
        <f ca="1">IFERROR(__xludf.DUMMYFUNCTION("SPARKLINE({
IF(E803="""",0,E803),
IF(G803="""",0,G803),
IF(I803="""",0,I803),
IF(K803="""",0,K803),
IF(M803="""",0,M803),
IF(O803="""",0,O803),
IF(Q803="""",0,Q803)
})"),"")</f>
        <v/>
      </c>
      <c r="V803" s="8" t="e">
        <f t="array" aca="1" ref="V803" ca="1">IF($C$4="Giao",_xludf.Xlookup(C803,#REF!,#REF!,),_xludf.Xlookup(C803,#REF!,#REF!,))</f>
        <v>#NAME?</v>
      </c>
      <c r="W803" s="8" t="e">
        <f t="array" aca="1" ref="W803" ca="1">IF($C$4="Giao", _xludf.Xlookup(C803,#REF!,#REF!,),)</f>
        <v>#NAME?</v>
      </c>
      <c r="X803" s="9" t="e">
        <f t="shared" ca="1" si="10"/>
        <v>#NAME?</v>
      </c>
      <c r="Y803" s="7"/>
      <c r="Z803" s="7"/>
    </row>
    <row r="804" spans="1:26" ht="13" x14ac:dyDescent="0.6">
      <c r="A804" s="28" t="str">
        <f t="shared" si="9"/>
        <v/>
      </c>
      <c r="B804" s="7"/>
      <c r="C804" s="7"/>
      <c r="D804" s="9"/>
      <c r="E804" s="9"/>
      <c r="F804" s="7"/>
      <c r="G804" s="7"/>
      <c r="H804" s="7"/>
      <c r="I804" s="7"/>
      <c r="J804" s="7"/>
      <c r="K804" s="7"/>
      <c r="L804" s="7"/>
      <c r="M804" s="7"/>
      <c r="N804" s="7"/>
      <c r="O804" s="7"/>
      <c r="P804" s="29"/>
      <c r="Q804" s="29"/>
      <c r="R804" s="7"/>
      <c r="S804" s="7"/>
      <c r="T804" s="7" t="str">
        <f ca="1">IFERROR(__xludf.DUMMYFUNCTION("SPARKLINE({
IF(D804="""",0,D804),
IF(F804="""",0,F804),
IF(H804="""",0,H804),
IF(J804="""",0,J804),
IF(L804="""",0,L804),
IF(N804="""",0,N804),
IF(P804="""",0,P804)
})"),"")</f>
        <v/>
      </c>
      <c r="U804" s="7" t="str">
        <f ca="1">IFERROR(__xludf.DUMMYFUNCTION("SPARKLINE({
IF(E804="""",0,E804),
IF(G804="""",0,G804),
IF(I804="""",0,I804),
IF(K804="""",0,K804),
IF(M804="""",0,M804),
IF(O804="""",0,O804),
IF(Q804="""",0,Q804)
})"),"")</f>
        <v/>
      </c>
      <c r="V804" s="8" t="e">
        <f t="array" aca="1" ref="V804" ca="1">IF($C$4="Giao",_xludf.Xlookup(C804,#REF!,#REF!,),_xludf.Xlookup(C804,#REF!,#REF!,))</f>
        <v>#NAME?</v>
      </c>
      <c r="W804" s="8" t="e">
        <f t="array" aca="1" ref="W804" ca="1">IF($C$4="Giao", _xludf.Xlookup(C804,#REF!,#REF!,),)</f>
        <v>#NAME?</v>
      </c>
      <c r="X804" s="9" t="e">
        <f t="shared" ca="1" si="10"/>
        <v>#NAME?</v>
      </c>
      <c r="Y804" s="7"/>
      <c r="Z804" s="7"/>
    </row>
    <row r="805" spans="1:26" ht="13" x14ac:dyDescent="0.6">
      <c r="A805" s="28" t="str">
        <f t="shared" si="9"/>
        <v/>
      </c>
      <c r="B805" s="7"/>
      <c r="C805" s="7"/>
      <c r="D805" s="9"/>
      <c r="E805" s="9"/>
      <c r="F805" s="7"/>
      <c r="G805" s="7"/>
      <c r="H805" s="7"/>
      <c r="I805" s="7"/>
      <c r="J805" s="7"/>
      <c r="K805" s="7"/>
      <c r="L805" s="7"/>
      <c r="M805" s="7"/>
      <c r="N805" s="7"/>
      <c r="O805" s="7"/>
      <c r="P805" s="29"/>
      <c r="Q805" s="29"/>
      <c r="R805" s="7"/>
      <c r="S805" s="7"/>
      <c r="T805" s="7" t="str">
        <f ca="1">IFERROR(__xludf.DUMMYFUNCTION("SPARKLINE({
IF(D805="""",0,D805),
IF(F805="""",0,F805),
IF(H805="""",0,H805),
IF(J805="""",0,J805),
IF(L805="""",0,L805),
IF(N805="""",0,N805),
IF(P805="""",0,P805)
})"),"")</f>
        <v/>
      </c>
      <c r="U805" s="7" t="str">
        <f ca="1">IFERROR(__xludf.DUMMYFUNCTION("SPARKLINE({
IF(E805="""",0,E805),
IF(G805="""",0,G805),
IF(I805="""",0,I805),
IF(K805="""",0,K805),
IF(M805="""",0,M805),
IF(O805="""",0,O805),
IF(Q805="""",0,Q805)
})"),"")</f>
        <v/>
      </c>
      <c r="V805" s="8" t="e">
        <f t="array" aca="1" ref="V805" ca="1">IF($C$4="Giao",_xludf.Xlookup(C805,#REF!,#REF!,),_xludf.Xlookup(C805,#REF!,#REF!,))</f>
        <v>#NAME?</v>
      </c>
      <c r="W805" s="8" t="e">
        <f t="array" aca="1" ref="W805" ca="1">IF($C$4="Giao", _xludf.Xlookup(C805,#REF!,#REF!,),)</f>
        <v>#NAME?</v>
      </c>
      <c r="X805" s="9" t="e">
        <f t="shared" ca="1" si="10"/>
        <v>#NAME?</v>
      </c>
      <c r="Y805" s="7"/>
      <c r="Z805" s="7"/>
    </row>
    <row r="806" spans="1:26" ht="13" x14ac:dyDescent="0.6">
      <c r="A806" s="28" t="str">
        <f t="shared" si="9"/>
        <v/>
      </c>
      <c r="B806" s="7"/>
      <c r="C806" s="7"/>
      <c r="D806" s="9"/>
      <c r="E806" s="9"/>
      <c r="F806" s="7"/>
      <c r="G806" s="7"/>
      <c r="H806" s="7"/>
      <c r="I806" s="7"/>
      <c r="J806" s="7"/>
      <c r="K806" s="7"/>
      <c r="L806" s="7"/>
      <c r="M806" s="7"/>
      <c r="N806" s="7"/>
      <c r="O806" s="7"/>
      <c r="P806" s="29"/>
      <c r="Q806" s="29"/>
      <c r="R806" s="7"/>
      <c r="S806" s="7"/>
      <c r="T806" s="7" t="str">
        <f ca="1">IFERROR(__xludf.DUMMYFUNCTION("SPARKLINE({
IF(D806="""",0,D806),
IF(F806="""",0,F806),
IF(H806="""",0,H806),
IF(J806="""",0,J806),
IF(L806="""",0,L806),
IF(N806="""",0,N806),
IF(P806="""",0,P806)
})"),"")</f>
        <v/>
      </c>
      <c r="U806" s="7" t="str">
        <f ca="1">IFERROR(__xludf.DUMMYFUNCTION("SPARKLINE({
IF(E806="""",0,E806),
IF(G806="""",0,G806),
IF(I806="""",0,I806),
IF(K806="""",0,K806),
IF(M806="""",0,M806),
IF(O806="""",0,O806),
IF(Q806="""",0,Q806)
})"),"")</f>
        <v/>
      </c>
      <c r="V806" s="8" t="e">
        <f t="array" aca="1" ref="V806" ca="1">IF($C$4="Giao",_xludf.Xlookup(C806,#REF!,#REF!,),_xludf.Xlookup(C806,#REF!,#REF!,))</f>
        <v>#NAME?</v>
      </c>
      <c r="W806" s="8" t="e">
        <f t="array" aca="1" ref="W806" ca="1">IF($C$4="Giao", _xludf.Xlookup(C806,#REF!,#REF!,),)</f>
        <v>#NAME?</v>
      </c>
      <c r="X806" s="9" t="e">
        <f t="shared" ca="1" si="10"/>
        <v>#NAME?</v>
      </c>
      <c r="Y806" s="7"/>
      <c r="Z806" s="7"/>
    </row>
    <row r="807" spans="1:26" ht="13" x14ac:dyDescent="0.6">
      <c r="A807" s="28" t="str">
        <f t="shared" si="9"/>
        <v/>
      </c>
      <c r="B807" s="7"/>
      <c r="C807" s="7"/>
      <c r="D807" s="9"/>
      <c r="E807" s="9"/>
      <c r="F807" s="7"/>
      <c r="G807" s="7"/>
      <c r="H807" s="7"/>
      <c r="I807" s="7"/>
      <c r="J807" s="7"/>
      <c r="K807" s="7"/>
      <c r="L807" s="7"/>
      <c r="M807" s="7"/>
      <c r="N807" s="7"/>
      <c r="O807" s="7"/>
      <c r="P807" s="29"/>
      <c r="Q807" s="29"/>
      <c r="R807" s="7"/>
      <c r="S807" s="7"/>
      <c r="T807" s="7" t="str">
        <f ca="1">IFERROR(__xludf.DUMMYFUNCTION("SPARKLINE({
IF(D807="""",0,D807),
IF(F807="""",0,F807),
IF(H807="""",0,H807),
IF(J807="""",0,J807),
IF(L807="""",0,L807),
IF(N807="""",0,N807),
IF(P807="""",0,P807)
})"),"")</f>
        <v/>
      </c>
      <c r="U807" s="7" t="str">
        <f ca="1">IFERROR(__xludf.DUMMYFUNCTION("SPARKLINE({
IF(E807="""",0,E807),
IF(G807="""",0,G807),
IF(I807="""",0,I807),
IF(K807="""",0,K807),
IF(M807="""",0,M807),
IF(O807="""",0,O807),
IF(Q807="""",0,Q807)
})"),"")</f>
        <v/>
      </c>
      <c r="V807" s="8" t="e">
        <f t="array" aca="1" ref="V807" ca="1">IF($C$4="Giao",_xludf.Xlookup(C807,#REF!,#REF!,),_xludf.Xlookup(C807,#REF!,#REF!,))</f>
        <v>#NAME?</v>
      </c>
      <c r="W807" s="8" t="e">
        <f t="array" aca="1" ref="W807" ca="1">IF($C$4="Giao", _xludf.Xlookup(C807,#REF!,#REF!,),)</f>
        <v>#NAME?</v>
      </c>
      <c r="X807" s="9" t="e">
        <f t="shared" ca="1" si="10"/>
        <v>#NAME?</v>
      </c>
      <c r="Y807" s="7"/>
      <c r="Z807" s="7"/>
    </row>
    <row r="808" spans="1:26" ht="13" x14ac:dyDescent="0.6">
      <c r="A808" s="28" t="str">
        <f t="shared" si="9"/>
        <v/>
      </c>
      <c r="B808" s="7"/>
      <c r="C808" s="7"/>
      <c r="D808" s="9"/>
      <c r="E808" s="9"/>
      <c r="F808" s="7"/>
      <c r="G808" s="7"/>
      <c r="H808" s="7"/>
      <c r="I808" s="7"/>
      <c r="J808" s="7"/>
      <c r="K808" s="7"/>
      <c r="L808" s="7"/>
      <c r="M808" s="7"/>
      <c r="N808" s="7"/>
      <c r="O808" s="7"/>
      <c r="P808" s="29"/>
      <c r="Q808" s="29"/>
      <c r="R808" s="7"/>
      <c r="S808" s="7"/>
      <c r="T808" s="7" t="str">
        <f ca="1">IFERROR(__xludf.DUMMYFUNCTION("SPARKLINE({
IF(D808="""",0,D808),
IF(F808="""",0,F808),
IF(H808="""",0,H808),
IF(J808="""",0,J808),
IF(L808="""",0,L808),
IF(N808="""",0,N808),
IF(P808="""",0,P808)
})"),"")</f>
        <v/>
      </c>
      <c r="U808" s="7" t="str">
        <f ca="1">IFERROR(__xludf.DUMMYFUNCTION("SPARKLINE({
IF(E808="""",0,E808),
IF(G808="""",0,G808),
IF(I808="""",0,I808),
IF(K808="""",0,K808),
IF(M808="""",0,M808),
IF(O808="""",0,O808),
IF(Q808="""",0,Q808)
})"),"")</f>
        <v/>
      </c>
      <c r="V808" s="8" t="e">
        <f t="array" aca="1" ref="V808" ca="1">IF($C$4="Giao",_xludf.Xlookup(C808,#REF!,#REF!,),_xludf.Xlookup(C808,#REF!,#REF!,))</f>
        <v>#NAME?</v>
      </c>
      <c r="W808" s="8" t="e">
        <f t="array" aca="1" ref="W808" ca="1">IF($C$4="Giao", _xludf.Xlookup(C808,#REF!,#REF!,),)</f>
        <v>#NAME?</v>
      </c>
      <c r="X808" s="9" t="e">
        <f t="shared" ca="1" si="10"/>
        <v>#NAME?</v>
      </c>
      <c r="Y808" s="7"/>
      <c r="Z808" s="7"/>
    </row>
    <row r="809" spans="1:26" ht="13" x14ac:dyDescent="0.6">
      <c r="A809" s="28" t="str">
        <f t="shared" si="9"/>
        <v/>
      </c>
      <c r="B809" s="7"/>
      <c r="C809" s="7"/>
      <c r="D809" s="9"/>
      <c r="E809" s="9"/>
      <c r="F809" s="7"/>
      <c r="G809" s="7"/>
      <c r="H809" s="7"/>
      <c r="I809" s="7"/>
      <c r="J809" s="7"/>
      <c r="K809" s="7"/>
      <c r="L809" s="7"/>
      <c r="M809" s="7"/>
      <c r="N809" s="7"/>
      <c r="O809" s="7"/>
      <c r="P809" s="29"/>
      <c r="Q809" s="29"/>
      <c r="R809" s="7"/>
      <c r="S809" s="7"/>
      <c r="T809" s="7" t="str">
        <f ca="1">IFERROR(__xludf.DUMMYFUNCTION("SPARKLINE({
IF(D809="""",0,D809),
IF(F809="""",0,F809),
IF(H809="""",0,H809),
IF(J809="""",0,J809),
IF(L809="""",0,L809),
IF(N809="""",0,N809),
IF(P809="""",0,P809)
})"),"")</f>
        <v/>
      </c>
      <c r="U809" s="7" t="str">
        <f ca="1">IFERROR(__xludf.DUMMYFUNCTION("SPARKLINE({
IF(E809="""",0,E809),
IF(G809="""",0,G809),
IF(I809="""",0,I809),
IF(K809="""",0,K809),
IF(M809="""",0,M809),
IF(O809="""",0,O809),
IF(Q809="""",0,Q809)
})"),"")</f>
        <v/>
      </c>
      <c r="V809" s="8" t="e">
        <f t="array" aca="1" ref="V809" ca="1">IF($C$4="Giao",_xludf.Xlookup(C809,#REF!,#REF!,),_xludf.Xlookup(C809,#REF!,#REF!,))</f>
        <v>#NAME?</v>
      </c>
      <c r="W809" s="8" t="e">
        <f t="array" aca="1" ref="W809" ca="1">IF($C$4="Giao", _xludf.Xlookup(C809,#REF!,#REF!,),)</f>
        <v>#NAME?</v>
      </c>
      <c r="X809" s="9" t="e">
        <f t="shared" ca="1" si="10"/>
        <v>#NAME?</v>
      </c>
      <c r="Y809" s="7"/>
      <c r="Z809" s="7"/>
    </row>
    <row r="810" spans="1:26" ht="13" x14ac:dyDescent="0.6">
      <c r="A810" s="28" t="str">
        <f t="shared" si="9"/>
        <v/>
      </c>
      <c r="B810" s="7"/>
      <c r="C810" s="7"/>
      <c r="D810" s="9"/>
      <c r="E810" s="9"/>
      <c r="F810" s="7"/>
      <c r="G810" s="7"/>
      <c r="H810" s="7"/>
      <c r="I810" s="7"/>
      <c r="J810" s="7"/>
      <c r="K810" s="7"/>
      <c r="L810" s="7"/>
      <c r="M810" s="7"/>
      <c r="N810" s="7"/>
      <c r="O810" s="7"/>
      <c r="P810" s="29"/>
      <c r="Q810" s="29"/>
      <c r="R810" s="7"/>
      <c r="S810" s="7"/>
      <c r="T810" s="7" t="str">
        <f ca="1">IFERROR(__xludf.DUMMYFUNCTION("SPARKLINE({
IF(D810="""",0,D810),
IF(F810="""",0,F810),
IF(H810="""",0,H810),
IF(J810="""",0,J810),
IF(L810="""",0,L810),
IF(N810="""",0,N810),
IF(P810="""",0,P810)
})"),"")</f>
        <v/>
      </c>
      <c r="U810" s="7" t="str">
        <f ca="1">IFERROR(__xludf.DUMMYFUNCTION("SPARKLINE({
IF(E810="""",0,E810),
IF(G810="""",0,G810),
IF(I810="""",0,I810),
IF(K810="""",0,K810),
IF(M810="""",0,M810),
IF(O810="""",0,O810),
IF(Q810="""",0,Q810)
})"),"")</f>
        <v/>
      </c>
      <c r="V810" s="8" t="e">
        <f t="array" aca="1" ref="V810" ca="1">IF($C$4="Giao",_xludf.Xlookup(C810,#REF!,#REF!,),_xludf.Xlookup(C810,#REF!,#REF!,))</f>
        <v>#NAME?</v>
      </c>
      <c r="W810" s="8" t="e">
        <f t="array" aca="1" ref="W810" ca="1">IF($C$4="Giao", _xludf.Xlookup(C810,#REF!,#REF!,),)</f>
        <v>#NAME?</v>
      </c>
      <c r="X810" s="9" t="e">
        <f t="shared" ca="1" si="10"/>
        <v>#NAME?</v>
      </c>
      <c r="Y810" s="7"/>
      <c r="Z810" s="7"/>
    </row>
    <row r="811" spans="1:26" ht="13" x14ac:dyDescent="0.6">
      <c r="A811" s="28" t="str">
        <f t="shared" si="9"/>
        <v/>
      </c>
      <c r="B811" s="7"/>
      <c r="C811" s="7"/>
      <c r="D811" s="9"/>
      <c r="E811" s="9"/>
      <c r="F811" s="7"/>
      <c r="G811" s="7"/>
      <c r="H811" s="7"/>
      <c r="I811" s="7"/>
      <c r="J811" s="7"/>
      <c r="K811" s="7"/>
      <c r="L811" s="7"/>
      <c r="M811" s="7"/>
      <c r="N811" s="7"/>
      <c r="O811" s="7"/>
      <c r="P811" s="29"/>
      <c r="Q811" s="29"/>
      <c r="R811" s="7"/>
      <c r="S811" s="7"/>
      <c r="T811" s="7" t="str">
        <f ca="1">IFERROR(__xludf.DUMMYFUNCTION("SPARKLINE({
IF(D811="""",0,D811),
IF(F811="""",0,F811),
IF(H811="""",0,H811),
IF(J811="""",0,J811),
IF(L811="""",0,L811),
IF(N811="""",0,N811),
IF(P811="""",0,P811)
})"),"")</f>
        <v/>
      </c>
      <c r="U811" s="7" t="str">
        <f ca="1">IFERROR(__xludf.DUMMYFUNCTION("SPARKLINE({
IF(E811="""",0,E811),
IF(G811="""",0,G811),
IF(I811="""",0,I811),
IF(K811="""",0,K811),
IF(M811="""",0,M811),
IF(O811="""",0,O811),
IF(Q811="""",0,Q811)
})"),"")</f>
        <v/>
      </c>
      <c r="V811" s="8" t="e">
        <f t="array" aca="1" ref="V811" ca="1">IF($C$4="Giao",_xludf.Xlookup(C811,#REF!,#REF!,),_xludf.Xlookup(C811,#REF!,#REF!,))</f>
        <v>#NAME?</v>
      </c>
      <c r="W811" s="8" t="e">
        <f t="array" aca="1" ref="W811" ca="1">IF($C$4="Giao", _xludf.Xlookup(C811,#REF!,#REF!,),)</f>
        <v>#NAME?</v>
      </c>
      <c r="X811" s="9" t="e">
        <f t="shared" ca="1" si="10"/>
        <v>#NAME?</v>
      </c>
      <c r="Y811" s="7"/>
      <c r="Z811" s="7"/>
    </row>
    <row r="812" spans="1:26" ht="13" x14ac:dyDescent="0.6">
      <c r="A812" s="28" t="str">
        <f t="shared" si="9"/>
        <v/>
      </c>
      <c r="B812" s="7"/>
      <c r="C812" s="7"/>
      <c r="D812" s="9"/>
      <c r="E812" s="9"/>
      <c r="F812" s="7"/>
      <c r="G812" s="7"/>
      <c r="H812" s="7"/>
      <c r="I812" s="7"/>
      <c r="J812" s="7"/>
      <c r="K812" s="7"/>
      <c r="L812" s="7"/>
      <c r="M812" s="7"/>
      <c r="N812" s="7"/>
      <c r="O812" s="7"/>
      <c r="P812" s="29"/>
      <c r="Q812" s="29"/>
      <c r="R812" s="7"/>
      <c r="S812" s="7"/>
      <c r="T812" s="7" t="str">
        <f ca="1">IFERROR(__xludf.DUMMYFUNCTION("SPARKLINE({
IF(D812="""",0,D812),
IF(F812="""",0,F812),
IF(H812="""",0,H812),
IF(J812="""",0,J812),
IF(L812="""",0,L812),
IF(N812="""",0,N812),
IF(P812="""",0,P812)
})"),"")</f>
        <v/>
      </c>
      <c r="U812" s="7" t="str">
        <f ca="1">IFERROR(__xludf.DUMMYFUNCTION("SPARKLINE({
IF(E812="""",0,E812),
IF(G812="""",0,G812),
IF(I812="""",0,I812),
IF(K812="""",0,K812),
IF(M812="""",0,M812),
IF(O812="""",0,O812),
IF(Q812="""",0,Q812)
})"),"")</f>
        <v/>
      </c>
      <c r="V812" s="8" t="e">
        <f t="array" aca="1" ref="V812" ca="1">IF($C$4="Giao",_xludf.Xlookup(C812,#REF!,#REF!,),_xludf.Xlookup(C812,#REF!,#REF!,))</f>
        <v>#NAME?</v>
      </c>
      <c r="W812" s="8" t="e">
        <f t="array" aca="1" ref="W812" ca="1">IF($C$4="Giao", _xludf.Xlookup(C812,#REF!,#REF!,),)</f>
        <v>#NAME?</v>
      </c>
      <c r="X812" s="9" t="e">
        <f t="shared" ca="1" si="10"/>
        <v>#NAME?</v>
      </c>
      <c r="Y812" s="7"/>
      <c r="Z812" s="7"/>
    </row>
    <row r="813" spans="1:26" ht="13" x14ac:dyDescent="0.6">
      <c r="A813" s="28" t="str">
        <f t="shared" si="9"/>
        <v/>
      </c>
      <c r="B813" s="7"/>
      <c r="C813" s="7"/>
      <c r="D813" s="9"/>
      <c r="E813" s="9"/>
      <c r="F813" s="7"/>
      <c r="G813" s="7"/>
      <c r="H813" s="7"/>
      <c r="I813" s="7"/>
      <c r="J813" s="7"/>
      <c r="K813" s="7"/>
      <c r="L813" s="7"/>
      <c r="M813" s="7"/>
      <c r="N813" s="7"/>
      <c r="O813" s="7"/>
      <c r="P813" s="29"/>
      <c r="Q813" s="29"/>
      <c r="R813" s="7"/>
      <c r="S813" s="7"/>
      <c r="T813" s="7" t="str">
        <f ca="1">IFERROR(__xludf.DUMMYFUNCTION("SPARKLINE({
IF(D813="""",0,D813),
IF(F813="""",0,F813),
IF(H813="""",0,H813),
IF(J813="""",0,J813),
IF(L813="""",0,L813),
IF(N813="""",0,N813),
IF(P813="""",0,P813)
})"),"")</f>
        <v/>
      </c>
      <c r="U813" s="7" t="str">
        <f ca="1">IFERROR(__xludf.DUMMYFUNCTION("SPARKLINE({
IF(E813="""",0,E813),
IF(G813="""",0,G813),
IF(I813="""",0,I813),
IF(K813="""",0,K813),
IF(M813="""",0,M813),
IF(O813="""",0,O813),
IF(Q813="""",0,Q813)
})"),"")</f>
        <v/>
      </c>
      <c r="V813" s="8" t="e">
        <f t="array" aca="1" ref="V813" ca="1">IF($C$4="Giao",_xludf.Xlookup(C813,#REF!,#REF!,),_xludf.Xlookup(C813,#REF!,#REF!,))</f>
        <v>#NAME?</v>
      </c>
      <c r="W813" s="8" t="e">
        <f t="array" aca="1" ref="W813" ca="1">IF($C$4="Giao", _xludf.Xlookup(C813,#REF!,#REF!,),)</f>
        <v>#NAME?</v>
      </c>
      <c r="X813" s="9" t="e">
        <f t="shared" ca="1" si="10"/>
        <v>#NAME?</v>
      </c>
      <c r="Y813" s="7"/>
      <c r="Z813" s="7"/>
    </row>
    <row r="814" spans="1:26" ht="13" x14ac:dyDescent="0.6">
      <c r="A814" s="28" t="str">
        <f t="shared" si="9"/>
        <v/>
      </c>
      <c r="B814" s="7"/>
      <c r="C814" s="7"/>
      <c r="D814" s="9"/>
      <c r="E814" s="9"/>
      <c r="F814" s="7"/>
      <c r="G814" s="7"/>
      <c r="H814" s="7"/>
      <c r="I814" s="7"/>
      <c r="J814" s="7"/>
      <c r="K814" s="7"/>
      <c r="L814" s="7"/>
      <c r="M814" s="7"/>
      <c r="N814" s="7"/>
      <c r="O814" s="7"/>
      <c r="P814" s="29"/>
      <c r="Q814" s="29"/>
      <c r="R814" s="7"/>
      <c r="S814" s="7"/>
      <c r="T814" s="7" t="str">
        <f ca="1">IFERROR(__xludf.DUMMYFUNCTION("SPARKLINE({
IF(D814="""",0,D814),
IF(F814="""",0,F814),
IF(H814="""",0,H814),
IF(J814="""",0,J814),
IF(L814="""",0,L814),
IF(N814="""",0,N814),
IF(P814="""",0,P814)
})"),"")</f>
        <v/>
      </c>
      <c r="U814" s="7" t="str">
        <f ca="1">IFERROR(__xludf.DUMMYFUNCTION("SPARKLINE({
IF(E814="""",0,E814),
IF(G814="""",0,G814),
IF(I814="""",0,I814),
IF(K814="""",0,K814),
IF(M814="""",0,M814),
IF(O814="""",0,O814),
IF(Q814="""",0,Q814)
})"),"")</f>
        <v/>
      </c>
      <c r="V814" s="8" t="e">
        <f t="array" aca="1" ref="V814" ca="1">IF($C$4="Giao",_xludf.Xlookup(C814,#REF!,#REF!,),_xludf.Xlookup(C814,#REF!,#REF!,))</f>
        <v>#NAME?</v>
      </c>
      <c r="W814" s="8" t="e">
        <f t="array" aca="1" ref="W814" ca="1">IF($C$4="Giao", _xludf.Xlookup(C814,#REF!,#REF!,),)</f>
        <v>#NAME?</v>
      </c>
      <c r="X814" s="9" t="e">
        <f t="shared" ca="1" si="10"/>
        <v>#NAME?</v>
      </c>
      <c r="Y814" s="7"/>
      <c r="Z814" s="7"/>
    </row>
    <row r="815" spans="1:26" ht="13" x14ac:dyDescent="0.6">
      <c r="A815" s="28" t="str">
        <f t="shared" si="9"/>
        <v/>
      </c>
      <c r="B815" s="7"/>
      <c r="C815" s="7"/>
      <c r="D815" s="9"/>
      <c r="E815" s="9"/>
      <c r="F815" s="7"/>
      <c r="G815" s="7"/>
      <c r="H815" s="7"/>
      <c r="I815" s="7"/>
      <c r="J815" s="7"/>
      <c r="K815" s="7"/>
      <c r="L815" s="7"/>
      <c r="M815" s="7"/>
      <c r="N815" s="7"/>
      <c r="O815" s="7"/>
      <c r="P815" s="29"/>
      <c r="Q815" s="29"/>
      <c r="R815" s="7"/>
      <c r="S815" s="7"/>
      <c r="T815" s="7" t="str">
        <f ca="1">IFERROR(__xludf.DUMMYFUNCTION("SPARKLINE({
IF(D815="""",0,D815),
IF(F815="""",0,F815),
IF(H815="""",0,H815),
IF(J815="""",0,J815),
IF(L815="""",0,L815),
IF(N815="""",0,N815),
IF(P815="""",0,P815)
})"),"")</f>
        <v/>
      </c>
      <c r="U815" s="7" t="str">
        <f ca="1">IFERROR(__xludf.DUMMYFUNCTION("SPARKLINE({
IF(E815="""",0,E815),
IF(G815="""",0,G815),
IF(I815="""",0,I815),
IF(K815="""",0,K815),
IF(M815="""",0,M815),
IF(O815="""",0,O815),
IF(Q815="""",0,Q815)
})"),"")</f>
        <v/>
      </c>
      <c r="V815" s="8" t="e">
        <f t="array" aca="1" ref="V815" ca="1">IF($C$4="Giao",_xludf.Xlookup(C815,#REF!,#REF!,),_xludf.Xlookup(C815,#REF!,#REF!,))</f>
        <v>#NAME?</v>
      </c>
      <c r="W815" s="8" t="e">
        <f t="array" aca="1" ref="W815" ca="1">IF($C$4="Giao", _xludf.Xlookup(C815,#REF!,#REF!,),)</f>
        <v>#NAME?</v>
      </c>
      <c r="X815" s="9" t="e">
        <f t="shared" ca="1" si="10"/>
        <v>#NAME?</v>
      </c>
      <c r="Y815" s="7"/>
      <c r="Z815" s="7"/>
    </row>
    <row r="816" spans="1:26" ht="13" x14ac:dyDescent="0.6">
      <c r="A816" s="28" t="str">
        <f t="shared" si="9"/>
        <v/>
      </c>
      <c r="B816" s="7"/>
      <c r="C816" s="7"/>
      <c r="D816" s="9"/>
      <c r="E816" s="9"/>
      <c r="F816" s="7"/>
      <c r="G816" s="7"/>
      <c r="H816" s="7"/>
      <c r="I816" s="7"/>
      <c r="J816" s="7"/>
      <c r="K816" s="7"/>
      <c r="L816" s="7"/>
      <c r="M816" s="7"/>
      <c r="N816" s="7"/>
      <c r="O816" s="7"/>
      <c r="P816" s="29"/>
      <c r="Q816" s="29"/>
      <c r="R816" s="7"/>
      <c r="S816" s="7"/>
      <c r="T816" s="7" t="str">
        <f ca="1">IFERROR(__xludf.DUMMYFUNCTION("SPARKLINE({
IF(D816="""",0,D816),
IF(F816="""",0,F816),
IF(H816="""",0,H816),
IF(J816="""",0,J816),
IF(L816="""",0,L816),
IF(N816="""",0,N816),
IF(P816="""",0,P816)
})"),"")</f>
        <v/>
      </c>
      <c r="U816" s="7" t="str">
        <f ca="1">IFERROR(__xludf.DUMMYFUNCTION("SPARKLINE({
IF(E816="""",0,E816),
IF(G816="""",0,G816),
IF(I816="""",0,I816),
IF(K816="""",0,K816),
IF(M816="""",0,M816),
IF(O816="""",0,O816),
IF(Q816="""",0,Q816)
})"),"")</f>
        <v/>
      </c>
      <c r="V816" s="8" t="e">
        <f t="array" aca="1" ref="V816" ca="1">IF($C$4="Giao",_xludf.Xlookup(C816,#REF!,#REF!,),_xludf.Xlookup(C816,#REF!,#REF!,))</f>
        <v>#NAME?</v>
      </c>
      <c r="W816" s="8" t="e">
        <f t="array" aca="1" ref="W816" ca="1">IF($C$4="Giao", _xludf.Xlookup(C816,#REF!,#REF!,),)</f>
        <v>#NAME?</v>
      </c>
      <c r="X816" s="9" t="e">
        <f t="shared" ca="1" si="10"/>
        <v>#NAME?</v>
      </c>
      <c r="Y816" s="7"/>
      <c r="Z816" s="7"/>
    </row>
    <row r="817" spans="1:26" ht="13" x14ac:dyDescent="0.6">
      <c r="A817" s="28" t="str">
        <f t="shared" si="9"/>
        <v/>
      </c>
      <c r="B817" s="7"/>
      <c r="C817" s="7"/>
      <c r="D817" s="9"/>
      <c r="E817" s="9"/>
      <c r="F817" s="7"/>
      <c r="G817" s="7"/>
      <c r="H817" s="7"/>
      <c r="I817" s="7"/>
      <c r="J817" s="7"/>
      <c r="K817" s="7"/>
      <c r="L817" s="7"/>
      <c r="M817" s="7"/>
      <c r="N817" s="7"/>
      <c r="O817" s="7"/>
      <c r="P817" s="29"/>
      <c r="Q817" s="29"/>
      <c r="R817" s="7"/>
      <c r="S817" s="7"/>
      <c r="T817" s="7" t="str">
        <f ca="1">IFERROR(__xludf.DUMMYFUNCTION("SPARKLINE({
IF(D817="""",0,D817),
IF(F817="""",0,F817),
IF(H817="""",0,H817),
IF(J817="""",0,J817),
IF(L817="""",0,L817),
IF(N817="""",0,N817),
IF(P817="""",0,P817)
})"),"")</f>
        <v/>
      </c>
      <c r="U817" s="7" t="str">
        <f ca="1">IFERROR(__xludf.DUMMYFUNCTION("SPARKLINE({
IF(E817="""",0,E817),
IF(G817="""",0,G817),
IF(I817="""",0,I817),
IF(K817="""",0,K817),
IF(M817="""",0,M817),
IF(O817="""",0,O817),
IF(Q817="""",0,Q817)
})"),"")</f>
        <v/>
      </c>
      <c r="V817" s="8" t="e">
        <f t="array" aca="1" ref="V817" ca="1">IF($C$4="Giao",_xludf.Xlookup(C817,#REF!,#REF!,),_xludf.Xlookup(C817,#REF!,#REF!,))</f>
        <v>#NAME?</v>
      </c>
      <c r="W817" s="8" t="e">
        <f t="array" aca="1" ref="W817" ca="1">IF($C$4="Giao", _xludf.Xlookup(C817,#REF!,#REF!,),)</f>
        <v>#NAME?</v>
      </c>
      <c r="X817" s="9" t="e">
        <f t="shared" ca="1" si="10"/>
        <v>#NAME?</v>
      </c>
      <c r="Y817" s="7"/>
      <c r="Z817" s="7"/>
    </row>
    <row r="818" spans="1:26" ht="13" x14ac:dyDescent="0.6">
      <c r="A818" s="28" t="str">
        <f t="shared" si="9"/>
        <v/>
      </c>
      <c r="B818" s="7"/>
      <c r="C818" s="7"/>
      <c r="D818" s="9"/>
      <c r="E818" s="9"/>
      <c r="F818" s="7"/>
      <c r="G818" s="7"/>
      <c r="H818" s="7"/>
      <c r="I818" s="7"/>
      <c r="J818" s="7"/>
      <c r="K818" s="7"/>
      <c r="L818" s="7"/>
      <c r="M818" s="7"/>
      <c r="N818" s="7"/>
      <c r="O818" s="7"/>
      <c r="P818" s="29"/>
      <c r="Q818" s="29"/>
      <c r="R818" s="7"/>
      <c r="S818" s="7"/>
      <c r="T818" s="7" t="str">
        <f ca="1">IFERROR(__xludf.DUMMYFUNCTION("SPARKLINE({
IF(D818="""",0,D818),
IF(F818="""",0,F818),
IF(H818="""",0,H818),
IF(J818="""",0,J818),
IF(L818="""",0,L818),
IF(N818="""",0,N818),
IF(P818="""",0,P818)
})"),"")</f>
        <v/>
      </c>
      <c r="U818" s="7" t="str">
        <f ca="1">IFERROR(__xludf.DUMMYFUNCTION("SPARKLINE({
IF(E818="""",0,E818),
IF(G818="""",0,G818),
IF(I818="""",0,I818),
IF(K818="""",0,K818),
IF(M818="""",0,M818),
IF(O818="""",0,O818),
IF(Q818="""",0,Q818)
})"),"")</f>
        <v/>
      </c>
      <c r="V818" s="8" t="e">
        <f t="array" aca="1" ref="V818" ca="1">IF($C$4="Giao",_xludf.Xlookup(C818,#REF!,#REF!,),_xludf.Xlookup(C818,#REF!,#REF!,))</f>
        <v>#NAME?</v>
      </c>
      <c r="W818" s="8" t="e">
        <f t="array" aca="1" ref="W818" ca="1">IF($C$4="Giao", _xludf.Xlookup(C818,#REF!,#REF!,),)</f>
        <v>#NAME?</v>
      </c>
      <c r="X818" s="9" t="e">
        <f t="shared" ca="1" si="10"/>
        <v>#NAME?</v>
      </c>
      <c r="Y818" s="7"/>
      <c r="Z818" s="7"/>
    </row>
    <row r="819" spans="1:26" ht="13" x14ac:dyDescent="0.6">
      <c r="A819" s="28" t="str">
        <f t="shared" si="9"/>
        <v/>
      </c>
      <c r="B819" s="7"/>
      <c r="C819" s="7"/>
      <c r="D819" s="9"/>
      <c r="E819" s="9"/>
      <c r="F819" s="7"/>
      <c r="G819" s="7"/>
      <c r="H819" s="7"/>
      <c r="I819" s="7"/>
      <c r="J819" s="7"/>
      <c r="K819" s="7"/>
      <c r="L819" s="7"/>
      <c r="M819" s="7"/>
      <c r="N819" s="7"/>
      <c r="O819" s="7"/>
      <c r="P819" s="29"/>
      <c r="Q819" s="29"/>
      <c r="R819" s="7"/>
      <c r="S819" s="7"/>
      <c r="T819" s="7" t="str">
        <f ca="1">IFERROR(__xludf.DUMMYFUNCTION("SPARKLINE({
IF(D819="""",0,D819),
IF(F819="""",0,F819),
IF(H819="""",0,H819),
IF(J819="""",0,J819),
IF(L819="""",0,L819),
IF(N819="""",0,N819),
IF(P819="""",0,P819)
})"),"")</f>
        <v/>
      </c>
      <c r="U819" s="7" t="str">
        <f ca="1">IFERROR(__xludf.DUMMYFUNCTION("SPARKLINE({
IF(E819="""",0,E819),
IF(G819="""",0,G819),
IF(I819="""",0,I819),
IF(K819="""",0,K819),
IF(M819="""",0,M819),
IF(O819="""",0,O819),
IF(Q819="""",0,Q819)
})"),"")</f>
        <v/>
      </c>
      <c r="V819" s="8" t="e">
        <f t="array" aca="1" ref="V819" ca="1">IF($C$4="Giao",_xludf.Xlookup(C819,#REF!,#REF!,),_xludf.Xlookup(C819,#REF!,#REF!,))</f>
        <v>#NAME?</v>
      </c>
      <c r="W819" s="8" t="e">
        <f t="array" aca="1" ref="W819" ca="1">IF($C$4="Giao", _xludf.Xlookup(C819,#REF!,#REF!,),)</f>
        <v>#NAME?</v>
      </c>
      <c r="X819" s="9" t="e">
        <f t="shared" ca="1" si="10"/>
        <v>#NAME?</v>
      </c>
      <c r="Y819" s="7"/>
      <c r="Z819" s="7"/>
    </row>
    <row r="820" spans="1:26" ht="13" x14ac:dyDescent="0.6">
      <c r="A820" s="28" t="str">
        <f t="shared" si="9"/>
        <v/>
      </c>
      <c r="B820" s="7"/>
      <c r="C820" s="7"/>
      <c r="D820" s="9"/>
      <c r="E820" s="9"/>
      <c r="F820" s="7"/>
      <c r="G820" s="7"/>
      <c r="H820" s="7"/>
      <c r="I820" s="7"/>
      <c r="J820" s="7"/>
      <c r="K820" s="7"/>
      <c r="L820" s="7"/>
      <c r="M820" s="7"/>
      <c r="N820" s="7"/>
      <c r="O820" s="7"/>
      <c r="P820" s="29"/>
      <c r="Q820" s="29"/>
      <c r="R820" s="7"/>
      <c r="S820" s="7"/>
      <c r="T820" s="7" t="str">
        <f ca="1">IFERROR(__xludf.DUMMYFUNCTION("SPARKLINE({
IF(D820="""",0,D820),
IF(F820="""",0,F820),
IF(H820="""",0,H820),
IF(J820="""",0,J820),
IF(L820="""",0,L820),
IF(N820="""",0,N820),
IF(P820="""",0,P820)
})"),"")</f>
        <v/>
      </c>
      <c r="U820" s="7" t="str">
        <f ca="1">IFERROR(__xludf.DUMMYFUNCTION("SPARKLINE({
IF(E820="""",0,E820),
IF(G820="""",0,G820),
IF(I820="""",0,I820),
IF(K820="""",0,K820),
IF(M820="""",0,M820),
IF(O820="""",0,O820),
IF(Q820="""",0,Q820)
})"),"")</f>
        <v/>
      </c>
      <c r="V820" s="8" t="e">
        <f t="array" aca="1" ref="V820" ca="1">IF($C$4="Giao",_xludf.Xlookup(C820,#REF!,#REF!,),_xludf.Xlookup(C820,#REF!,#REF!,))</f>
        <v>#NAME?</v>
      </c>
      <c r="W820" s="8" t="e">
        <f t="array" aca="1" ref="W820" ca="1">IF($C$4="Giao", _xludf.Xlookup(C820,#REF!,#REF!,),)</f>
        <v>#NAME?</v>
      </c>
      <c r="X820" s="9" t="e">
        <f t="shared" ca="1" si="10"/>
        <v>#NAME?</v>
      </c>
      <c r="Y820" s="7"/>
      <c r="Z820" s="7"/>
    </row>
    <row r="821" spans="1:26" ht="13" x14ac:dyDescent="0.6">
      <c r="A821" s="28" t="str">
        <f t="shared" si="9"/>
        <v/>
      </c>
      <c r="B821" s="7"/>
      <c r="C821" s="7"/>
      <c r="D821" s="9"/>
      <c r="E821" s="9"/>
      <c r="F821" s="7"/>
      <c r="G821" s="7"/>
      <c r="H821" s="7"/>
      <c r="I821" s="7"/>
      <c r="J821" s="7"/>
      <c r="K821" s="7"/>
      <c r="L821" s="7"/>
      <c r="M821" s="7"/>
      <c r="N821" s="7"/>
      <c r="O821" s="7"/>
      <c r="P821" s="29"/>
      <c r="Q821" s="29"/>
      <c r="R821" s="7"/>
      <c r="S821" s="7"/>
      <c r="T821" s="7" t="str">
        <f ca="1">IFERROR(__xludf.DUMMYFUNCTION("SPARKLINE({
IF(D821="""",0,D821),
IF(F821="""",0,F821),
IF(H821="""",0,H821),
IF(J821="""",0,J821),
IF(L821="""",0,L821),
IF(N821="""",0,N821),
IF(P821="""",0,P821)
})"),"")</f>
        <v/>
      </c>
      <c r="U821" s="7" t="str">
        <f ca="1">IFERROR(__xludf.DUMMYFUNCTION("SPARKLINE({
IF(E821="""",0,E821),
IF(G821="""",0,G821),
IF(I821="""",0,I821),
IF(K821="""",0,K821),
IF(M821="""",0,M821),
IF(O821="""",0,O821),
IF(Q821="""",0,Q821)
})"),"")</f>
        <v/>
      </c>
      <c r="V821" s="8" t="e">
        <f t="array" aca="1" ref="V821" ca="1">IF($C$4="Giao",_xludf.Xlookup(C821,#REF!,#REF!,),_xludf.Xlookup(C821,#REF!,#REF!,))</f>
        <v>#NAME?</v>
      </c>
      <c r="W821" s="8" t="e">
        <f t="array" aca="1" ref="W821" ca="1">IF($C$4="Giao", _xludf.Xlookup(C821,#REF!,#REF!,),)</f>
        <v>#NAME?</v>
      </c>
      <c r="X821" s="9" t="e">
        <f t="shared" ca="1" si="10"/>
        <v>#NAME?</v>
      </c>
      <c r="Y821" s="7"/>
      <c r="Z821" s="7"/>
    </row>
    <row r="822" spans="1:26" ht="13" x14ac:dyDescent="0.6">
      <c r="A822" s="28" t="str">
        <f t="shared" si="9"/>
        <v/>
      </c>
      <c r="B822" s="7"/>
      <c r="C822" s="7"/>
      <c r="D822" s="9"/>
      <c r="E822" s="9"/>
      <c r="F822" s="7"/>
      <c r="G822" s="7"/>
      <c r="H822" s="7"/>
      <c r="I822" s="7"/>
      <c r="J822" s="7"/>
      <c r="K822" s="7"/>
      <c r="L822" s="7"/>
      <c r="M822" s="7"/>
      <c r="N822" s="7"/>
      <c r="O822" s="7"/>
      <c r="P822" s="29"/>
      <c r="Q822" s="29"/>
      <c r="R822" s="7"/>
      <c r="S822" s="7"/>
      <c r="T822" s="7" t="str">
        <f ca="1">IFERROR(__xludf.DUMMYFUNCTION("SPARKLINE({
IF(D822="""",0,D822),
IF(F822="""",0,F822),
IF(H822="""",0,H822),
IF(J822="""",0,J822),
IF(L822="""",0,L822),
IF(N822="""",0,N822),
IF(P822="""",0,P822)
})"),"")</f>
        <v/>
      </c>
      <c r="U822" s="7" t="str">
        <f ca="1">IFERROR(__xludf.DUMMYFUNCTION("SPARKLINE({
IF(E822="""",0,E822),
IF(G822="""",0,G822),
IF(I822="""",0,I822),
IF(K822="""",0,K822),
IF(M822="""",0,M822),
IF(O822="""",0,O822),
IF(Q822="""",0,Q822)
})"),"")</f>
        <v/>
      </c>
      <c r="V822" s="8" t="e">
        <f t="array" aca="1" ref="V822" ca="1">IF($C$4="Giao",_xludf.Xlookup(C822,#REF!,#REF!,),_xludf.Xlookup(C822,#REF!,#REF!,))</f>
        <v>#NAME?</v>
      </c>
      <c r="W822" s="8" t="e">
        <f t="array" aca="1" ref="W822" ca="1">IF($C$4="Giao", _xludf.Xlookup(C822,#REF!,#REF!,),)</f>
        <v>#NAME?</v>
      </c>
      <c r="X822" s="9" t="e">
        <f t="shared" ca="1" si="10"/>
        <v>#NAME?</v>
      </c>
      <c r="Y822" s="7"/>
      <c r="Z822" s="7"/>
    </row>
    <row r="823" spans="1:26" ht="13" x14ac:dyDescent="0.6">
      <c r="A823" s="28" t="str">
        <f t="shared" si="9"/>
        <v/>
      </c>
      <c r="B823" s="7"/>
      <c r="C823" s="7"/>
      <c r="D823" s="9"/>
      <c r="E823" s="9"/>
      <c r="F823" s="7"/>
      <c r="G823" s="7"/>
      <c r="H823" s="7"/>
      <c r="I823" s="7"/>
      <c r="J823" s="7"/>
      <c r="K823" s="7"/>
      <c r="L823" s="7"/>
      <c r="M823" s="7"/>
      <c r="N823" s="7"/>
      <c r="O823" s="7"/>
      <c r="P823" s="29"/>
      <c r="Q823" s="29"/>
      <c r="R823" s="7"/>
      <c r="S823" s="7"/>
      <c r="T823" s="7" t="str">
        <f ca="1">IFERROR(__xludf.DUMMYFUNCTION("SPARKLINE({
IF(D823="""",0,D823),
IF(F823="""",0,F823),
IF(H823="""",0,H823),
IF(J823="""",0,J823),
IF(L823="""",0,L823),
IF(N823="""",0,N823),
IF(P823="""",0,P823)
})"),"")</f>
        <v/>
      </c>
      <c r="U823" s="7" t="str">
        <f ca="1">IFERROR(__xludf.DUMMYFUNCTION("SPARKLINE({
IF(E823="""",0,E823),
IF(G823="""",0,G823),
IF(I823="""",0,I823),
IF(K823="""",0,K823),
IF(M823="""",0,M823),
IF(O823="""",0,O823),
IF(Q823="""",0,Q823)
})"),"")</f>
        <v/>
      </c>
      <c r="V823" s="8" t="e">
        <f t="array" aca="1" ref="V823" ca="1">IF($C$4="Giao",_xludf.Xlookup(C823,#REF!,#REF!,),_xludf.Xlookup(C823,#REF!,#REF!,))</f>
        <v>#NAME?</v>
      </c>
      <c r="W823" s="8" t="e">
        <f t="array" aca="1" ref="W823" ca="1">IF($C$4="Giao", _xludf.Xlookup(C823,#REF!,#REF!,),)</f>
        <v>#NAME?</v>
      </c>
      <c r="X823" s="9" t="e">
        <f t="shared" ca="1" si="10"/>
        <v>#NAME?</v>
      </c>
      <c r="Y823" s="7"/>
      <c r="Z823" s="7"/>
    </row>
    <row r="824" spans="1:26" ht="13" x14ac:dyDescent="0.6">
      <c r="A824" s="28" t="str">
        <f t="shared" si="9"/>
        <v/>
      </c>
      <c r="B824" s="7"/>
      <c r="C824" s="7"/>
      <c r="D824" s="9"/>
      <c r="E824" s="9"/>
      <c r="F824" s="7"/>
      <c r="G824" s="7"/>
      <c r="H824" s="7"/>
      <c r="I824" s="7"/>
      <c r="J824" s="7"/>
      <c r="K824" s="7"/>
      <c r="L824" s="7"/>
      <c r="M824" s="7"/>
      <c r="N824" s="7"/>
      <c r="O824" s="7"/>
      <c r="P824" s="29"/>
      <c r="Q824" s="29"/>
      <c r="R824" s="7"/>
      <c r="S824" s="7"/>
      <c r="T824" s="7" t="str">
        <f ca="1">IFERROR(__xludf.DUMMYFUNCTION("SPARKLINE({
IF(D824="""",0,D824),
IF(F824="""",0,F824),
IF(H824="""",0,H824),
IF(J824="""",0,J824),
IF(L824="""",0,L824),
IF(N824="""",0,N824),
IF(P824="""",0,P824)
})"),"")</f>
        <v/>
      </c>
      <c r="U824" s="7" t="str">
        <f ca="1">IFERROR(__xludf.DUMMYFUNCTION("SPARKLINE({
IF(E824="""",0,E824),
IF(G824="""",0,G824),
IF(I824="""",0,I824),
IF(K824="""",0,K824),
IF(M824="""",0,M824),
IF(O824="""",0,O824),
IF(Q824="""",0,Q824)
})"),"")</f>
        <v/>
      </c>
      <c r="V824" s="8" t="e">
        <f t="array" aca="1" ref="V824" ca="1">IF($C$4="Giao",_xludf.Xlookup(C824,#REF!,#REF!,),_xludf.Xlookup(C824,#REF!,#REF!,))</f>
        <v>#NAME?</v>
      </c>
      <c r="W824" s="8" t="e">
        <f t="array" aca="1" ref="W824" ca="1">IF($C$4="Giao", _xludf.Xlookup(C824,#REF!,#REF!,),)</f>
        <v>#NAME?</v>
      </c>
      <c r="X824" s="9" t="e">
        <f t="shared" ca="1" si="10"/>
        <v>#NAME?</v>
      </c>
      <c r="Y824" s="7"/>
      <c r="Z824" s="7"/>
    </row>
    <row r="825" spans="1:26" ht="13" x14ac:dyDescent="0.6">
      <c r="A825" s="28" t="str">
        <f t="shared" si="9"/>
        <v/>
      </c>
      <c r="B825" s="7"/>
      <c r="C825" s="7"/>
      <c r="D825" s="9"/>
      <c r="E825" s="9"/>
      <c r="F825" s="7"/>
      <c r="G825" s="7"/>
      <c r="H825" s="7"/>
      <c r="I825" s="7"/>
      <c r="J825" s="7"/>
      <c r="K825" s="7"/>
      <c r="L825" s="7"/>
      <c r="M825" s="7"/>
      <c r="N825" s="7"/>
      <c r="O825" s="7"/>
      <c r="P825" s="29"/>
      <c r="Q825" s="29"/>
      <c r="R825" s="7"/>
      <c r="S825" s="7"/>
      <c r="T825" s="7" t="str">
        <f ca="1">IFERROR(__xludf.DUMMYFUNCTION("SPARKLINE({
IF(D825="""",0,D825),
IF(F825="""",0,F825),
IF(H825="""",0,H825),
IF(J825="""",0,J825),
IF(L825="""",0,L825),
IF(N825="""",0,N825),
IF(P825="""",0,P825)
})"),"")</f>
        <v/>
      </c>
      <c r="U825" s="7" t="str">
        <f ca="1">IFERROR(__xludf.DUMMYFUNCTION("SPARKLINE({
IF(E825="""",0,E825),
IF(G825="""",0,G825),
IF(I825="""",0,I825),
IF(K825="""",0,K825),
IF(M825="""",0,M825),
IF(O825="""",0,O825),
IF(Q825="""",0,Q825)
})"),"")</f>
        <v/>
      </c>
      <c r="V825" s="8" t="e">
        <f t="array" aca="1" ref="V825" ca="1">IF($C$4="Giao",_xludf.Xlookup(C825,#REF!,#REF!,),_xludf.Xlookup(C825,#REF!,#REF!,))</f>
        <v>#NAME?</v>
      </c>
      <c r="W825" s="8" t="e">
        <f t="array" aca="1" ref="W825" ca="1">IF($C$4="Giao", _xludf.Xlookup(C825,#REF!,#REF!,),)</f>
        <v>#NAME?</v>
      </c>
      <c r="X825" s="9" t="e">
        <f t="shared" ca="1" si="10"/>
        <v>#NAME?</v>
      </c>
      <c r="Y825" s="7"/>
      <c r="Z825" s="7"/>
    </row>
    <row r="826" spans="1:26" ht="13" x14ac:dyDescent="0.6">
      <c r="A826" s="28" t="str">
        <f t="shared" si="9"/>
        <v/>
      </c>
      <c r="B826" s="7"/>
      <c r="C826" s="7"/>
      <c r="D826" s="9"/>
      <c r="E826" s="9"/>
      <c r="F826" s="7"/>
      <c r="G826" s="7"/>
      <c r="H826" s="7"/>
      <c r="I826" s="7"/>
      <c r="J826" s="7"/>
      <c r="K826" s="7"/>
      <c r="L826" s="7"/>
      <c r="M826" s="7"/>
      <c r="N826" s="7"/>
      <c r="O826" s="7"/>
      <c r="P826" s="29"/>
      <c r="Q826" s="29"/>
      <c r="R826" s="7"/>
      <c r="S826" s="7"/>
      <c r="T826" s="7" t="str">
        <f ca="1">IFERROR(__xludf.DUMMYFUNCTION("SPARKLINE({
IF(D826="""",0,D826),
IF(F826="""",0,F826),
IF(H826="""",0,H826),
IF(J826="""",0,J826),
IF(L826="""",0,L826),
IF(N826="""",0,N826),
IF(P826="""",0,P826)
})"),"")</f>
        <v/>
      </c>
      <c r="U826" s="7" t="str">
        <f ca="1">IFERROR(__xludf.DUMMYFUNCTION("SPARKLINE({
IF(E826="""",0,E826),
IF(G826="""",0,G826),
IF(I826="""",0,I826),
IF(K826="""",0,K826),
IF(M826="""",0,M826),
IF(O826="""",0,O826),
IF(Q826="""",0,Q826)
})"),"")</f>
        <v/>
      </c>
      <c r="V826" s="8" t="e">
        <f t="array" aca="1" ref="V826" ca="1">IF($C$4="Giao",_xludf.Xlookup(C826,#REF!,#REF!,),_xludf.Xlookup(C826,#REF!,#REF!,))</f>
        <v>#NAME?</v>
      </c>
      <c r="W826" s="8" t="e">
        <f t="array" aca="1" ref="W826" ca="1">IF($C$4="Giao", _xludf.Xlookup(C826,#REF!,#REF!,),)</f>
        <v>#NAME?</v>
      </c>
      <c r="X826" s="9" t="e">
        <f t="shared" ca="1" si="10"/>
        <v>#NAME?</v>
      </c>
      <c r="Y826" s="7"/>
      <c r="Z826" s="7"/>
    </row>
    <row r="827" spans="1:26" ht="13" x14ac:dyDescent="0.6">
      <c r="A827" s="28" t="str">
        <f t="shared" si="9"/>
        <v/>
      </c>
      <c r="B827" s="7"/>
      <c r="C827" s="7"/>
      <c r="D827" s="9"/>
      <c r="E827" s="9"/>
      <c r="F827" s="7"/>
      <c r="G827" s="7"/>
      <c r="H827" s="7"/>
      <c r="I827" s="7"/>
      <c r="J827" s="7"/>
      <c r="K827" s="7"/>
      <c r="L827" s="7"/>
      <c r="M827" s="7"/>
      <c r="N827" s="7"/>
      <c r="O827" s="7"/>
      <c r="P827" s="29"/>
      <c r="Q827" s="29"/>
      <c r="R827" s="7"/>
      <c r="S827" s="7"/>
      <c r="T827" s="7" t="str">
        <f ca="1">IFERROR(__xludf.DUMMYFUNCTION("SPARKLINE({
IF(D827="""",0,D827),
IF(F827="""",0,F827),
IF(H827="""",0,H827),
IF(J827="""",0,J827),
IF(L827="""",0,L827),
IF(N827="""",0,N827),
IF(P827="""",0,P827)
})"),"")</f>
        <v/>
      </c>
      <c r="U827" s="7" t="str">
        <f ca="1">IFERROR(__xludf.DUMMYFUNCTION("SPARKLINE({
IF(E827="""",0,E827),
IF(G827="""",0,G827),
IF(I827="""",0,I827),
IF(K827="""",0,K827),
IF(M827="""",0,M827),
IF(O827="""",0,O827),
IF(Q827="""",0,Q827)
})"),"")</f>
        <v/>
      </c>
      <c r="V827" s="8" t="e">
        <f t="array" aca="1" ref="V827" ca="1">IF($C$4="Giao",_xludf.Xlookup(C827,#REF!,#REF!,),_xludf.Xlookup(C827,#REF!,#REF!,))</f>
        <v>#NAME?</v>
      </c>
      <c r="W827" s="8" t="e">
        <f t="array" aca="1" ref="W827" ca="1">IF($C$4="Giao", _xludf.Xlookup(C827,#REF!,#REF!,),)</f>
        <v>#NAME?</v>
      </c>
      <c r="X827" s="9" t="e">
        <f t="shared" ca="1" si="10"/>
        <v>#NAME?</v>
      </c>
      <c r="Y827" s="7"/>
      <c r="Z827" s="7"/>
    </row>
    <row r="828" spans="1:26" ht="13" x14ac:dyDescent="0.6">
      <c r="A828" s="28" t="str">
        <f t="shared" si="9"/>
        <v/>
      </c>
      <c r="B828" s="7"/>
      <c r="C828" s="7"/>
      <c r="D828" s="9"/>
      <c r="E828" s="9"/>
      <c r="F828" s="7"/>
      <c r="G828" s="7"/>
      <c r="H828" s="7"/>
      <c r="I828" s="7"/>
      <c r="J828" s="7"/>
      <c r="K828" s="7"/>
      <c r="L828" s="7"/>
      <c r="M828" s="7"/>
      <c r="N828" s="7"/>
      <c r="O828" s="7"/>
      <c r="P828" s="29"/>
      <c r="Q828" s="29"/>
      <c r="R828" s="7"/>
      <c r="S828" s="7"/>
      <c r="T828" s="7" t="str">
        <f ca="1">IFERROR(__xludf.DUMMYFUNCTION("SPARKLINE({
IF(D828="""",0,D828),
IF(F828="""",0,F828),
IF(H828="""",0,H828),
IF(J828="""",0,J828),
IF(L828="""",0,L828),
IF(N828="""",0,N828),
IF(P828="""",0,P828)
})"),"")</f>
        <v/>
      </c>
      <c r="U828" s="7" t="str">
        <f ca="1">IFERROR(__xludf.DUMMYFUNCTION("SPARKLINE({
IF(E828="""",0,E828),
IF(G828="""",0,G828),
IF(I828="""",0,I828),
IF(K828="""",0,K828),
IF(M828="""",0,M828),
IF(O828="""",0,O828),
IF(Q828="""",0,Q828)
})"),"")</f>
        <v/>
      </c>
      <c r="V828" s="8" t="e">
        <f t="array" aca="1" ref="V828" ca="1">IF($C$4="Giao",_xludf.Xlookup(C828,#REF!,#REF!,),_xludf.Xlookup(C828,#REF!,#REF!,))</f>
        <v>#NAME?</v>
      </c>
      <c r="W828" s="8" t="e">
        <f t="array" aca="1" ref="W828" ca="1">IF($C$4="Giao", _xludf.Xlookup(C828,#REF!,#REF!,),)</f>
        <v>#NAME?</v>
      </c>
      <c r="X828" s="9" t="e">
        <f t="shared" ca="1" si="10"/>
        <v>#NAME?</v>
      </c>
      <c r="Y828" s="7"/>
      <c r="Z828" s="7"/>
    </row>
    <row r="829" spans="1:26" ht="13" x14ac:dyDescent="0.6">
      <c r="A829" s="28" t="str">
        <f t="shared" si="9"/>
        <v/>
      </c>
      <c r="B829" s="7"/>
      <c r="C829" s="7"/>
      <c r="D829" s="9"/>
      <c r="E829" s="9"/>
      <c r="F829" s="7"/>
      <c r="G829" s="7"/>
      <c r="H829" s="7"/>
      <c r="I829" s="7"/>
      <c r="J829" s="7"/>
      <c r="K829" s="7"/>
      <c r="L829" s="7"/>
      <c r="M829" s="7"/>
      <c r="N829" s="7"/>
      <c r="O829" s="7"/>
      <c r="P829" s="29"/>
      <c r="Q829" s="29"/>
      <c r="R829" s="7"/>
      <c r="S829" s="7"/>
      <c r="T829" s="7" t="str">
        <f ca="1">IFERROR(__xludf.DUMMYFUNCTION("SPARKLINE({
IF(D829="""",0,D829),
IF(F829="""",0,F829),
IF(H829="""",0,H829),
IF(J829="""",0,J829),
IF(L829="""",0,L829),
IF(N829="""",0,N829),
IF(P829="""",0,P829)
})"),"")</f>
        <v/>
      </c>
      <c r="U829" s="7" t="str">
        <f ca="1">IFERROR(__xludf.DUMMYFUNCTION("SPARKLINE({
IF(E829="""",0,E829),
IF(G829="""",0,G829),
IF(I829="""",0,I829),
IF(K829="""",0,K829),
IF(M829="""",0,M829),
IF(O829="""",0,O829),
IF(Q829="""",0,Q829)
})"),"")</f>
        <v/>
      </c>
      <c r="V829" s="8" t="e">
        <f t="array" aca="1" ref="V829" ca="1">IF($C$4="Giao",_xludf.Xlookup(C829,#REF!,#REF!,),_xludf.Xlookup(C829,#REF!,#REF!,))</f>
        <v>#NAME?</v>
      </c>
      <c r="W829" s="8" t="e">
        <f t="array" aca="1" ref="W829" ca="1">IF($C$4="Giao", _xludf.Xlookup(C829,#REF!,#REF!,),)</f>
        <v>#NAME?</v>
      </c>
      <c r="X829" s="9" t="e">
        <f t="shared" ca="1" si="10"/>
        <v>#NAME?</v>
      </c>
      <c r="Y829" s="7"/>
      <c r="Z829" s="7"/>
    </row>
    <row r="830" spans="1:26" ht="13" x14ac:dyDescent="0.6">
      <c r="A830" s="28" t="str">
        <f t="shared" si="9"/>
        <v/>
      </c>
      <c r="B830" s="7"/>
      <c r="C830" s="7"/>
      <c r="D830" s="9"/>
      <c r="E830" s="9"/>
      <c r="F830" s="7"/>
      <c r="G830" s="7"/>
      <c r="H830" s="7"/>
      <c r="I830" s="7"/>
      <c r="J830" s="7"/>
      <c r="K830" s="7"/>
      <c r="L830" s="7"/>
      <c r="M830" s="7"/>
      <c r="N830" s="7"/>
      <c r="O830" s="7"/>
      <c r="P830" s="29"/>
      <c r="Q830" s="29"/>
      <c r="R830" s="7"/>
      <c r="S830" s="7"/>
      <c r="T830" s="7" t="str">
        <f ca="1">IFERROR(__xludf.DUMMYFUNCTION("SPARKLINE({
IF(D830="""",0,D830),
IF(F830="""",0,F830),
IF(H830="""",0,H830),
IF(J830="""",0,J830),
IF(L830="""",0,L830),
IF(N830="""",0,N830),
IF(P830="""",0,P830)
})"),"")</f>
        <v/>
      </c>
      <c r="U830" s="7" t="str">
        <f ca="1">IFERROR(__xludf.DUMMYFUNCTION("SPARKLINE({
IF(E830="""",0,E830),
IF(G830="""",0,G830),
IF(I830="""",0,I830),
IF(K830="""",0,K830),
IF(M830="""",0,M830),
IF(O830="""",0,O830),
IF(Q830="""",0,Q830)
})"),"")</f>
        <v/>
      </c>
      <c r="V830" s="8" t="e">
        <f t="array" aca="1" ref="V830" ca="1">IF($C$4="Giao",_xludf.Xlookup(C830,#REF!,#REF!,),_xludf.Xlookup(C830,#REF!,#REF!,))</f>
        <v>#NAME?</v>
      </c>
      <c r="W830" s="8" t="e">
        <f t="array" aca="1" ref="W830" ca="1">IF($C$4="Giao", _xludf.Xlookup(C830,#REF!,#REF!,),)</f>
        <v>#NAME?</v>
      </c>
      <c r="X830" s="9" t="e">
        <f t="shared" ca="1" si="10"/>
        <v>#NAME?</v>
      </c>
      <c r="Y830" s="7"/>
      <c r="Z830" s="7"/>
    </row>
    <row r="831" spans="1:26" ht="13" x14ac:dyDescent="0.6">
      <c r="A831" s="28" t="str">
        <f t="shared" si="9"/>
        <v/>
      </c>
      <c r="B831" s="7"/>
      <c r="C831" s="7"/>
      <c r="D831" s="9"/>
      <c r="E831" s="9"/>
      <c r="F831" s="7"/>
      <c r="G831" s="7"/>
      <c r="H831" s="7"/>
      <c r="I831" s="7"/>
      <c r="J831" s="7"/>
      <c r="K831" s="7"/>
      <c r="L831" s="7"/>
      <c r="M831" s="7"/>
      <c r="N831" s="7"/>
      <c r="O831" s="7"/>
      <c r="P831" s="29"/>
      <c r="Q831" s="29"/>
      <c r="R831" s="7"/>
      <c r="S831" s="7"/>
      <c r="T831" s="7" t="str">
        <f ca="1">IFERROR(__xludf.DUMMYFUNCTION("SPARKLINE({
IF(D831="""",0,D831),
IF(F831="""",0,F831),
IF(H831="""",0,H831),
IF(J831="""",0,J831),
IF(L831="""",0,L831),
IF(N831="""",0,N831),
IF(P831="""",0,P831)
})"),"")</f>
        <v/>
      </c>
      <c r="U831" s="7" t="str">
        <f ca="1">IFERROR(__xludf.DUMMYFUNCTION("SPARKLINE({
IF(E831="""",0,E831),
IF(G831="""",0,G831),
IF(I831="""",0,I831),
IF(K831="""",0,K831),
IF(M831="""",0,M831),
IF(O831="""",0,O831),
IF(Q831="""",0,Q831)
})"),"")</f>
        <v/>
      </c>
      <c r="V831" s="8" t="e">
        <f t="array" aca="1" ref="V831" ca="1">IF($C$4="Giao",_xludf.Xlookup(C831,#REF!,#REF!,),_xludf.Xlookup(C831,#REF!,#REF!,))</f>
        <v>#NAME?</v>
      </c>
      <c r="W831" s="8" t="e">
        <f t="array" aca="1" ref="W831" ca="1">IF($C$4="Giao", _xludf.Xlookup(C831,#REF!,#REF!,),)</f>
        <v>#NAME?</v>
      </c>
      <c r="X831" s="9" t="e">
        <f t="shared" ca="1" si="10"/>
        <v>#NAME?</v>
      </c>
      <c r="Y831" s="7"/>
      <c r="Z831" s="7"/>
    </row>
    <row r="832" spans="1:26" ht="13" x14ac:dyDescent="0.6">
      <c r="A832" s="28" t="str">
        <f t="shared" si="9"/>
        <v/>
      </c>
      <c r="B832" s="7"/>
      <c r="C832" s="7"/>
      <c r="D832" s="9"/>
      <c r="E832" s="9"/>
      <c r="F832" s="7"/>
      <c r="G832" s="7"/>
      <c r="H832" s="7"/>
      <c r="I832" s="7"/>
      <c r="J832" s="7"/>
      <c r="K832" s="7"/>
      <c r="L832" s="7"/>
      <c r="M832" s="7"/>
      <c r="N832" s="7"/>
      <c r="O832" s="7"/>
      <c r="P832" s="29"/>
      <c r="Q832" s="29"/>
      <c r="R832" s="7"/>
      <c r="S832" s="7"/>
      <c r="T832" s="7" t="str">
        <f ca="1">IFERROR(__xludf.DUMMYFUNCTION("SPARKLINE({
IF(D832="""",0,D832),
IF(F832="""",0,F832),
IF(H832="""",0,H832),
IF(J832="""",0,J832),
IF(L832="""",0,L832),
IF(N832="""",0,N832),
IF(P832="""",0,P832)
})"),"")</f>
        <v/>
      </c>
      <c r="U832" s="7" t="str">
        <f ca="1">IFERROR(__xludf.DUMMYFUNCTION("SPARKLINE({
IF(E832="""",0,E832),
IF(G832="""",0,G832),
IF(I832="""",0,I832),
IF(K832="""",0,K832),
IF(M832="""",0,M832),
IF(O832="""",0,O832),
IF(Q832="""",0,Q832)
})"),"")</f>
        <v/>
      </c>
      <c r="V832" s="8" t="e">
        <f t="array" aca="1" ref="V832" ca="1">IF($C$4="Giao",_xludf.Xlookup(C832,#REF!,#REF!,),_xludf.Xlookup(C832,#REF!,#REF!,))</f>
        <v>#NAME?</v>
      </c>
      <c r="W832" s="8" t="e">
        <f t="array" aca="1" ref="W832" ca="1">IF($C$4="Giao", _xludf.Xlookup(C832,#REF!,#REF!,),)</f>
        <v>#NAME?</v>
      </c>
      <c r="X832" s="9" t="e">
        <f t="shared" ca="1" si="10"/>
        <v>#NAME?</v>
      </c>
      <c r="Y832" s="7"/>
      <c r="Z832" s="7"/>
    </row>
    <row r="833" spans="1:26" ht="13" x14ac:dyDescent="0.6">
      <c r="A833" s="28" t="str">
        <f t="shared" si="9"/>
        <v/>
      </c>
      <c r="B833" s="7"/>
      <c r="C833" s="7"/>
      <c r="D833" s="9"/>
      <c r="E833" s="9"/>
      <c r="F833" s="7"/>
      <c r="G833" s="7"/>
      <c r="H833" s="7"/>
      <c r="I833" s="7"/>
      <c r="J833" s="7"/>
      <c r="K833" s="7"/>
      <c r="L833" s="7"/>
      <c r="M833" s="7"/>
      <c r="N833" s="7"/>
      <c r="O833" s="7"/>
      <c r="P833" s="29"/>
      <c r="Q833" s="29"/>
      <c r="R833" s="7"/>
      <c r="S833" s="7"/>
      <c r="T833" s="7" t="str">
        <f ca="1">IFERROR(__xludf.DUMMYFUNCTION("SPARKLINE({
IF(D833="""",0,D833),
IF(F833="""",0,F833),
IF(H833="""",0,H833),
IF(J833="""",0,J833),
IF(L833="""",0,L833),
IF(N833="""",0,N833),
IF(P833="""",0,P833)
})"),"")</f>
        <v/>
      </c>
      <c r="U833" s="7" t="str">
        <f ca="1">IFERROR(__xludf.DUMMYFUNCTION("SPARKLINE({
IF(E833="""",0,E833),
IF(G833="""",0,G833),
IF(I833="""",0,I833),
IF(K833="""",0,K833),
IF(M833="""",0,M833),
IF(O833="""",0,O833),
IF(Q833="""",0,Q833)
})"),"")</f>
        <v/>
      </c>
      <c r="V833" s="8" t="e">
        <f t="array" aca="1" ref="V833" ca="1">IF($C$4="Giao",_xludf.Xlookup(C833,#REF!,#REF!,),_xludf.Xlookup(C833,#REF!,#REF!,))</f>
        <v>#NAME?</v>
      </c>
      <c r="W833" s="8" t="e">
        <f t="array" aca="1" ref="W833" ca="1">IF($C$4="Giao", _xludf.Xlookup(C833,#REF!,#REF!,),)</f>
        <v>#NAME?</v>
      </c>
      <c r="X833" s="9" t="e">
        <f t="shared" ca="1" si="10"/>
        <v>#NAME?</v>
      </c>
      <c r="Y833" s="7"/>
      <c r="Z833" s="7"/>
    </row>
    <row r="834" spans="1:26" ht="13" x14ac:dyDescent="0.6">
      <c r="A834" s="28" t="str">
        <f t="shared" si="9"/>
        <v/>
      </c>
      <c r="B834" s="7"/>
      <c r="C834" s="7"/>
      <c r="D834" s="9"/>
      <c r="E834" s="9"/>
      <c r="F834" s="7"/>
      <c r="G834" s="7"/>
      <c r="H834" s="7"/>
      <c r="I834" s="7"/>
      <c r="J834" s="7"/>
      <c r="K834" s="7"/>
      <c r="L834" s="7"/>
      <c r="M834" s="7"/>
      <c r="N834" s="7"/>
      <c r="O834" s="7"/>
      <c r="P834" s="29"/>
      <c r="Q834" s="29"/>
      <c r="R834" s="7"/>
      <c r="S834" s="7"/>
      <c r="T834" s="7" t="str">
        <f ca="1">IFERROR(__xludf.DUMMYFUNCTION("SPARKLINE({
IF(D834="""",0,D834),
IF(F834="""",0,F834),
IF(H834="""",0,H834),
IF(J834="""",0,J834),
IF(L834="""",0,L834),
IF(N834="""",0,N834),
IF(P834="""",0,P834)
})"),"")</f>
        <v/>
      </c>
      <c r="U834" s="7" t="str">
        <f ca="1">IFERROR(__xludf.DUMMYFUNCTION("SPARKLINE({
IF(E834="""",0,E834),
IF(G834="""",0,G834),
IF(I834="""",0,I834),
IF(K834="""",0,K834),
IF(M834="""",0,M834),
IF(O834="""",0,O834),
IF(Q834="""",0,Q834)
})"),"")</f>
        <v/>
      </c>
      <c r="V834" s="8" t="e">
        <f t="array" aca="1" ref="V834" ca="1">IF($C$4="Giao",_xludf.Xlookup(C834,#REF!,#REF!,),_xludf.Xlookup(C834,#REF!,#REF!,))</f>
        <v>#NAME?</v>
      </c>
      <c r="W834" s="8" t="e">
        <f t="array" aca="1" ref="W834" ca="1">IF($C$4="Giao", _xludf.Xlookup(C834,#REF!,#REF!,),)</f>
        <v>#NAME?</v>
      </c>
      <c r="X834" s="9" t="e">
        <f t="shared" ca="1" si="10"/>
        <v>#NAME?</v>
      </c>
      <c r="Y834" s="7"/>
      <c r="Z834" s="7"/>
    </row>
    <row r="835" spans="1:26" ht="13" x14ac:dyDescent="0.6">
      <c r="A835" s="28" t="str">
        <f t="shared" si="9"/>
        <v/>
      </c>
      <c r="B835" s="7"/>
      <c r="C835" s="7"/>
      <c r="D835" s="9"/>
      <c r="E835" s="9"/>
      <c r="F835" s="7"/>
      <c r="G835" s="7"/>
      <c r="H835" s="7"/>
      <c r="I835" s="7"/>
      <c r="J835" s="7"/>
      <c r="K835" s="7"/>
      <c r="L835" s="7"/>
      <c r="M835" s="7"/>
      <c r="N835" s="7"/>
      <c r="O835" s="7"/>
      <c r="P835" s="29"/>
      <c r="Q835" s="29"/>
      <c r="R835" s="7"/>
      <c r="S835" s="7"/>
      <c r="T835" s="7" t="str">
        <f ca="1">IFERROR(__xludf.DUMMYFUNCTION("SPARKLINE({
IF(D835="""",0,D835),
IF(F835="""",0,F835),
IF(H835="""",0,H835),
IF(J835="""",0,J835),
IF(L835="""",0,L835),
IF(N835="""",0,N835),
IF(P835="""",0,P835)
})"),"")</f>
        <v/>
      </c>
      <c r="U835" s="7" t="str">
        <f ca="1">IFERROR(__xludf.DUMMYFUNCTION("SPARKLINE({
IF(E835="""",0,E835),
IF(G835="""",0,G835),
IF(I835="""",0,I835),
IF(K835="""",0,K835),
IF(M835="""",0,M835),
IF(O835="""",0,O835),
IF(Q835="""",0,Q835)
})"),"")</f>
        <v/>
      </c>
      <c r="V835" s="8" t="e">
        <f t="array" aca="1" ref="V835" ca="1">IF($C$4="Giao",_xludf.Xlookup(C835,#REF!,#REF!,),_xludf.Xlookup(C835,#REF!,#REF!,))</f>
        <v>#NAME?</v>
      </c>
      <c r="W835" s="8" t="e">
        <f t="array" aca="1" ref="W835" ca="1">IF($C$4="Giao", _xludf.Xlookup(C835,#REF!,#REF!,),)</f>
        <v>#NAME?</v>
      </c>
      <c r="X835" s="9" t="e">
        <f t="shared" ca="1" si="10"/>
        <v>#NAME?</v>
      </c>
      <c r="Y835" s="7"/>
      <c r="Z835" s="7"/>
    </row>
    <row r="836" spans="1:26" ht="13" x14ac:dyDescent="0.6">
      <c r="A836" s="28" t="str">
        <f t="shared" si="9"/>
        <v/>
      </c>
      <c r="B836" s="7"/>
      <c r="C836" s="7"/>
      <c r="D836" s="9"/>
      <c r="E836" s="9"/>
      <c r="F836" s="7"/>
      <c r="G836" s="7"/>
      <c r="H836" s="7"/>
      <c r="I836" s="7"/>
      <c r="J836" s="7"/>
      <c r="K836" s="7"/>
      <c r="L836" s="7"/>
      <c r="M836" s="7"/>
      <c r="N836" s="7"/>
      <c r="O836" s="7"/>
      <c r="P836" s="29"/>
      <c r="Q836" s="29"/>
      <c r="R836" s="7"/>
      <c r="S836" s="7"/>
      <c r="T836" s="7" t="str">
        <f ca="1">IFERROR(__xludf.DUMMYFUNCTION("SPARKLINE({
IF(D836="""",0,D836),
IF(F836="""",0,F836),
IF(H836="""",0,H836),
IF(J836="""",0,J836),
IF(L836="""",0,L836),
IF(N836="""",0,N836),
IF(P836="""",0,P836)
})"),"")</f>
        <v/>
      </c>
      <c r="U836" s="7" t="str">
        <f ca="1">IFERROR(__xludf.DUMMYFUNCTION("SPARKLINE({
IF(E836="""",0,E836),
IF(G836="""",0,G836),
IF(I836="""",0,I836),
IF(K836="""",0,K836),
IF(M836="""",0,M836),
IF(O836="""",0,O836),
IF(Q836="""",0,Q836)
})"),"")</f>
        <v/>
      </c>
      <c r="V836" s="8" t="e">
        <f t="array" aca="1" ref="V836" ca="1">IF($C$4="Giao",_xludf.Xlookup(C836,#REF!,#REF!,),_xludf.Xlookup(C836,#REF!,#REF!,))</f>
        <v>#NAME?</v>
      </c>
      <c r="W836" s="8" t="e">
        <f t="array" aca="1" ref="W836" ca="1">IF($C$4="Giao", _xludf.Xlookup(C836,#REF!,#REF!,),)</f>
        <v>#NAME?</v>
      </c>
      <c r="X836" s="9" t="e">
        <f t="shared" ca="1" si="10"/>
        <v>#NAME?</v>
      </c>
      <c r="Y836" s="7"/>
      <c r="Z836" s="7"/>
    </row>
    <row r="837" spans="1:26" ht="13" x14ac:dyDescent="0.6">
      <c r="A837" s="28" t="str">
        <f t="shared" si="9"/>
        <v/>
      </c>
      <c r="B837" s="7"/>
      <c r="C837" s="7"/>
      <c r="D837" s="9"/>
      <c r="E837" s="9"/>
      <c r="F837" s="7"/>
      <c r="G837" s="7"/>
      <c r="H837" s="7"/>
      <c r="I837" s="7"/>
      <c r="J837" s="7"/>
      <c r="K837" s="7"/>
      <c r="L837" s="7"/>
      <c r="M837" s="7"/>
      <c r="N837" s="7"/>
      <c r="O837" s="7"/>
      <c r="P837" s="29"/>
      <c r="Q837" s="29"/>
      <c r="R837" s="7"/>
      <c r="S837" s="7"/>
      <c r="T837" s="7" t="str">
        <f ca="1">IFERROR(__xludf.DUMMYFUNCTION("SPARKLINE({
IF(D837="""",0,D837),
IF(F837="""",0,F837),
IF(H837="""",0,H837),
IF(J837="""",0,J837),
IF(L837="""",0,L837),
IF(N837="""",0,N837),
IF(P837="""",0,P837)
})"),"")</f>
        <v/>
      </c>
      <c r="U837" s="7" t="str">
        <f ca="1">IFERROR(__xludf.DUMMYFUNCTION("SPARKLINE({
IF(E837="""",0,E837),
IF(G837="""",0,G837),
IF(I837="""",0,I837),
IF(K837="""",0,K837),
IF(M837="""",0,M837),
IF(O837="""",0,O837),
IF(Q837="""",0,Q837)
})"),"")</f>
        <v/>
      </c>
      <c r="V837" s="8" t="e">
        <f t="array" aca="1" ref="V837" ca="1">IF($C$4="Giao",_xludf.Xlookup(C837,#REF!,#REF!,),_xludf.Xlookup(C837,#REF!,#REF!,))</f>
        <v>#NAME?</v>
      </c>
      <c r="W837" s="8" t="e">
        <f t="array" aca="1" ref="W837" ca="1">IF($C$4="Giao", _xludf.Xlookup(C837,#REF!,#REF!,),)</f>
        <v>#NAME?</v>
      </c>
      <c r="X837" s="9" t="e">
        <f t="shared" ca="1" si="10"/>
        <v>#NAME?</v>
      </c>
      <c r="Y837" s="7"/>
      <c r="Z837" s="7"/>
    </row>
    <row r="838" spans="1:26" ht="13" x14ac:dyDescent="0.6">
      <c r="A838" s="28" t="str">
        <f t="shared" si="9"/>
        <v/>
      </c>
      <c r="B838" s="7"/>
      <c r="C838" s="7"/>
      <c r="D838" s="9"/>
      <c r="E838" s="9"/>
      <c r="F838" s="7"/>
      <c r="G838" s="7"/>
      <c r="H838" s="7"/>
      <c r="I838" s="7"/>
      <c r="J838" s="7"/>
      <c r="K838" s="7"/>
      <c r="L838" s="7"/>
      <c r="M838" s="7"/>
      <c r="N838" s="7"/>
      <c r="O838" s="7"/>
      <c r="P838" s="29"/>
      <c r="Q838" s="29"/>
      <c r="R838" s="7"/>
      <c r="S838" s="7"/>
      <c r="T838" s="7" t="str">
        <f ca="1">IFERROR(__xludf.DUMMYFUNCTION("SPARKLINE({
IF(D838="""",0,D838),
IF(F838="""",0,F838),
IF(H838="""",0,H838),
IF(J838="""",0,J838),
IF(L838="""",0,L838),
IF(N838="""",0,N838),
IF(P838="""",0,P838)
})"),"")</f>
        <v/>
      </c>
      <c r="U838" s="7" t="str">
        <f ca="1">IFERROR(__xludf.DUMMYFUNCTION("SPARKLINE({
IF(E838="""",0,E838),
IF(G838="""",0,G838),
IF(I838="""",0,I838),
IF(K838="""",0,K838),
IF(M838="""",0,M838),
IF(O838="""",0,O838),
IF(Q838="""",0,Q838)
})"),"")</f>
        <v/>
      </c>
      <c r="V838" s="8" t="e">
        <f t="array" aca="1" ref="V838" ca="1">IF($C$4="Giao",_xludf.Xlookup(C838,#REF!,#REF!,),_xludf.Xlookup(C838,#REF!,#REF!,))</f>
        <v>#NAME?</v>
      </c>
      <c r="W838" s="8" t="e">
        <f t="array" aca="1" ref="W838" ca="1">IF($C$4="Giao", _xludf.Xlookup(C838,#REF!,#REF!,),)</f>
        <v>#NAME?</v>
      </c>
      <c r="X838" s="9" t="e">
        <f t="shared" ca="1" si="10"/>
        <v>#NAME?</v>
      </c>
      <c r="Y838" s="7"/>
      <c r="Z838" s="7"/>
    </row>
    <row r="839" spans="1:26" ht="13" x14ac:dyDescent="0.6">
      <c r="A839" s="28" t="str">
        <f t="shared" si="9"/>
        <v/>
      </c>
      <c r="B839" s="7"/>
      <c r="C839" s="7"/>
      <c r="D839" s="9"/>
      <c r="E839" s="9"/>
      <c r="F839" s="7"/>
      <c r="G839" s="7"/>
      <c r="H839" s="7"/>
      <c r="I839" s="7"/>
      <c r="J839" s="7"/>
      <c r="K839" s="7"/>
      <c r="L839" s="7"/>
      <c r="M839" s="7"/>
      <c r="N839" s="7"/>
      <c r="O839" s="7"/>
      <c r="P839" s="29"/>
      <c r="Q839" s="29"/>
      <c r="R839" s="7"/>
      <c r="S839" s="7"/>
      <c r="T839" s="7" t="str">
        <f ca="1">IFERROR(__xludf.DUMMYFUNCTION("SPARKLINE({
IF(D839="""",0,D839),
IF(F839="""",0,F839),
IF(H839="""",0,H839),
IF(J839="""",0,J839),
IF(L839="""",0,L839),
IF(N839="""",0,N839),
IF(P839="""",0,P839)
})"),"")</f>
        <v/>
      </c>
      <c r="U839" s="7" t="str">
        <f ca="1">IFERROR(__xludf.DUMMYFUNCTION("SPARKLINE({
IF(E839="""",0,E839),
IF(G839="""",0,G839),
IF(I839="""",0,I839),
IF(K839="""",0,K839),
IF(M839="""",0,M839),
IF(O839="""",0,O839),
IF(Q839="""",0,Q839)
})"),"")</f>
        <v/>
      </c>
      <c r="V839" s="8" t="e">
        <f t="array" aca="1" ref="V839" ca="1">IF($C$4="Giao",_xludf.Xlookup(C839,#REF!,#REF!,),_xludf.Xlookup(C839,#REF!,#REF!,))</f>
        <v>#NAME?</v>
      </c>
      <c r="W839" s="8" t="e">
        <f t="array" aca="1" ref="W839" ca="1">IF($C$4="Giao", _xludf.Xlookup(C839,#REF!,#REF!,),)</f>
        <v>#NAME?</v>
      </c>
      <c r="X839" s="9" t="e">
        <f t="shared" ca="1" si="10"/>
        <v>#NAME?</v>
      </c>
      <c r="Y839" s="7"/>
      <c r="Z839" s="7"/>
    </row>
    <row r="840" spans="1:26" ht="13" x14ac:dyDescent="0.6">
      <c r="A840" s="28" t="str">
        <f t="shared" si="9"/>
        <v/>
      </c>
      <c r="B840" s="7"/>
      <c r="C840" s="7"/>
      <c r="D840" s="9"/>
      <c r="E840" s="9"/>
      <c r="F840" s="7"/>
      <c r="G840" s="7"/>
      <c r="H840" s="7"/>
      <c r="I840" s="7"/>
      <c r="J840" s="7"/>
      <c r="K840" s="7"/>
      <c r="L840" s="7"/>
      <c r="M840" s="7"/>
      <c r="N840" s="7"/>
      <c r="O840" s="7"/>
      <c r="P840" s="29"/>
      <c r="Q840" s="29"/>
      <c r="R840" s="7"/>
      <c r="S840" s="7"/>
      <c r="T840" s="7" t="str">
        <f ca="1">IFERROR(__xludf.DUMMYFUNCTION("SPARKLINE({
IF(D840="""",0,D840),
IF(F840="""",0,F840),
IF(H840="""",0,H840),
IF(J840="""",0,J840),
IF(L840="""",0,L840),
IF(N840="""",0,N840),
IF(P840="""",0,P840)
})"),"")</f>
        <v/>
      </c>
      <c r="U840" s="7" t="str">
        <f ca="1">IFERROR(__xludf.DUMMYFUNCTION("SPARKLINE({
IF(E840="""",0,E840),
IF(G840="""",0,G840),
IF(I840="""",0,I840),
IF(K840="""",0,K840),
IF(M840="""",0,M840),
IF(O840="""",0,O840),
IF(Q840="""",0,Q840)
})"),"")</f>
        <v/>
      </c>
      <c r="V840" s="8" t="e">
        <f t="array" aca="1" ref="V840" ca="1">IF($C$4="Giao",_xludf.Xlookup(C840,#REF!,#REF!,),_xludf.Xlookup(C840,#REF!,#REF!,))</f>
        <v>#NAME?</v>
      </c>
      <c r="W840" s="8" t="e">
        <f t="array" aca="1" ref="W840" ca="1">IF($C$4="Giao", _xludf.Xlookup(C840,#REF!,#REF!,),)</f>
        <v>#NAME?</v>
      </c>
      <c r="X840" s="9" t="e">
        <f t="shared" ca="1" si="10"/>
        <v>#NAME?</v>
      </c>
      <c r="Y840" s="7"/>
      <c r="Z840" s="7"/>
    </row>
    <row r="841" spans="1:26" ht="13" x14ac:dyDescent="0.6">
      <c r="A841" s="28" t="str">
        <f t="shared" si="9"/>
        <v/>
      </c>
      <c r="B841" s="7"/>
      <c r="C841" s="7"/>
      <c r="D841" s="9"/>
      <c r="E841" s="9"/>
      <c r="F841" s="7"/>
      <c r="G841" s="7"/>
      <c r="H841" s="7"/>
      <c r="I841" s="7"/>
      <c r="J841" s="7"/>
      <c r="K841" s="7"/>
      <c r="L841" s="7"/>
      <c r="M841" s="7"/>
      <c r="N841" s="7"/>
      <c r="O841" s="7"/>
      <c r="P841" s="29"/>
      <c r="Q841" s="29"/>
      <c r="R841" s="7"/>
      <c r="S841" s="7"/>
      <c r="T841" s="7" t="str">
        <f ca="1">IFERROR(__xludf.DUMMYFUNCTION("SPARKLINE({
IF(D841="""",0,D841),
IF(F841="""",0,F841),
IF(H841="""",0,H841),
IF(J841="""",0,J841),
IF(L841="""",0,L841),
IF(N841="""",0,N841),
IF(P841="""",0,P841)
})"),"")</f>
        <v/>
      </c>
      <c r="U841" s="7" t="str">
        <f ca="1">IFERROR(__xludf.DUMMYFUNCTION("SPARKLINE({
IF(E841="""",0,E841),
IF(G841="""",0,G841),
IF(I841="""",0,I841),
IF(K841="""",0,K841),
IF(M841="""",0,M841),
IF(O841="""",0,O841),
IF(Q841="""",0,Q841)
})"),"")</f>
        <v/>
      </c>
      <c r="V841" s="8" t="e">
        <f t="array" aca="1" ref="V841" ca="1">IF($C$4="Giao",_xludf.Xlookup(C841,#REF!,#REF!,),_xludf.Xlookup(C841,#REF!,#REF!,))</f>
        <v>#NAME?</v>
      </c>
      <c r="W841" s="8" t="e">
        <f t="array" aca="1" ref="W841" ca="1">IF($C$4="Giao", _xludf.Xlookup(C841,#REF!,#REF!,),)</f>
        <v>#NAME?</v>
      </c>
      <c r="X841" s="9" t="e">
        <f t="shared" ca="1" si="10"/>
        <v>#NAME?</v>
      </c>
      <c r="Y841" s="7"/>
      <c r="Z841" s="7"/>
    </row>
    <row r="842" spans="1:26" ht="13" x14ac:dyDescent="0.6">
      <c r="A842" s="28" t="str">
        <f t="shared" si="9"/>
        <v/>
      </c>
      <c r="B842" s="7"/>
      <c r="C842" s="7"/>
      <c r="D842" s="9"/>
      <c r="E842" s="9"/>
      <c r="F842" s="7"/>
      <c r="G842" s="7"/>
      <c r="H842" s="7"/>
      <c r="I842" s="7"/>
      <c r="J842" s="7"/>
      <c r="K842" s="7"/>
      <c r="L842" s="7"/>
      <c r="M842" s="7"/>
      <c r="N842" s="7"/>
      <c r="O842" s="7"/>
      <c r="P842" s="29"/>
      <c r="Q842" s="29"/>
      <c r="R842" s="7"/>
      <c r="S842" s="7"/>
      <c r="T842" s="7" t="str">
        <f ca="1">IFERROR(__xludf.DUMMYFUNCTION("SPARKLINE({
IF(D842="""",0,D842),
IF(F842="""",0,F842),
IF(H842="""",0,H842),
IF(J842="""",0,J842),
IF(L842="""",0,L842),
IF(N842="""",0,N842),
IF(P842="""",0,P842)
})"),"")</f>
        <v/>
      </c>
      <c r="U842" s="7" t="str">
        <f ca="1">IFERROR(__xludf.DUMMYFUNCTION("SPARKLINE({
IF(E842="""",0,E842),
IF(G842="""",0,G842),
IF(I842="""",0,I842),
IF(K842="""",0,K842),
IF(M842="""",0,M842),
IF(O842="""",0,O842),
IF(Q842="""",0,Q842)
})"),"")</f>
        <v/>
      </c>
      <c r="V842" s="8" t="e">
        <f t="array" aca="1" ref="V842" ca="1">IF($C$4="Giao",_xludf.Xlookup(C842,#REF!,#REF!,),_xludf.Xlookup(C842,#REF!,#REF!,))</f>
        <v>#NAME?</v>
      </c>
      <c r="W842" s="8" t="e">
        <f t="array" aca="1" ref="W842" ca="1">IF($C$4="Giao", _xludf.Xlookup(C842,#REF!,#REF!,),)</f>
        <v>#NAME?</v>
      </c>
      <c r="X842" s="9" t="e">
        <f t="shared" ca="1" si="10"/>
        <v>#NAME?</v>
      </c>
      <c r="Y842" s="7"/>
      <c r="Z842" s="7"/>
    </row>
    <row r="843" spans="1:26" ht="13" x14ac:dyDescent="0.6">
      <c r="A843" s="28" t="str">
        <f t="shared" si="9"/>
        <v/>
      </c>
      <c r="B843" s="7"/>
      <c r="C843" s="7"/>
      <c r="D843" s="9"/>
      <c r="E843" s="9"/>
      <c r="F843" s="7"/>
      <c r="G843" s="7"/>
      <c r="H843" s="7"/>
      <c r="I843" s="7"/>
      <c r="J843" s="7"/>
      <c r="K843" s="7"/>
      <c r="L843" s="7"/>
      <c r="M843" s="7"/>
      <c r="N843" s="7"/>
      <c r="O843" s="7"/>
      <c r="P843" s="29"/>
      <c r="Q843" s="29"/>
      <c r="R843" s="7"/>
      <c r="S843" s="7"/>
      <c r="T843" s="7" t="str">
        <f ca="1">IFERROR(__xludf.DUMMYFUNCTION("SPARKLINE({
IF(D843="""",0,D843),
IF(F843="""",0,F843),
IF(H843="""",0,H843),
IF(J843="""",0,J843),
IF(L843="""",0,L843),
IF(N843="""",0,N843),
IF(P843="""",0,P843)
})"),"")</f>
        <v/>
      </c>
      <c r="U843" s="7" t="str">
        <f ca="1">IFERROR(__xludf.DUMMYFUNCTION("SPARKLINE({
IF(E843="""",0,E843),
IF(G843="""",0,G843),
IF(I843="""",0,I843),
IF(K843="""",0,K843),
IF(M843="""",0,M843),
IF(O843="""",0,O843),
IF(Q843="""",0,Q843)
})"),"")</f>
        <v/>
      </c>
      <c r="V843" s="8" t="e">
        <f t="array" aca="1" ref="V843" ca="1">IF($C$4="Giao",_xludf.Xlookup(C843,#REF!,#REF!,),_xludf.Xlookup(C843,#REF!,#REF!,))</f>
        <v>#NAME?</v>
      </c>
      <c r="W843" s="8" t="e">
        <f t="array" aca="1" ref="W843" ca="1">IF($C$4="Giao", _xludf.Xlookup(C843,#REF!,#REF!,),)</f>
        <v>#NAME?</v>
      </c>
      <c r="X843" s="9" t="e">
        <f t="shared" ca="1" si="10"/>
        <v>#NAME?</v>
      </c>
      <c r="Y843" s="7"/>
      <c r="Z843" s="7"/>
    </row>
    <row r="844" spans="1:26" ht="13" x14ac:dyDescent="0.6">
      <c r="A844" s="28" t="str">
        <f t="shared" si="9"/>
        <v/>
      </c>
      <c r="B844" s="7"/>
      <c r="C844" s="7"/>
      <c r="D844" s="9"/>
      <c r="E844" s="9"/>
      <c r="F844" s="7"/>
      <c r="G844" s="7"/>
      <c r="H844" s="7"/>
      <c r="I844" s="7"/>
      <c r="J844" s="7"/>
      <c r="K844" s="7"/>
      <c r="L844" s="7"/>
      <c r="M844" s="7"/>
      <c r="N844" s="7"/>
      <c r="O844" s="7"/>
      <c r="P844" s="29"/>
      <c r="Q844" s="29"/>
      <c r="R844" s="7"/>
      <c r="S844" s="7"/>
      <c r="T844" s="7" t="str">
        <f ca="1">IFERROR(__xludf.DUMMYFUNCTION("SPARKLINE({
IF(D844="""",0,D844),
IF(F844="""",0,F844),
IF(H844="""",0,H844),
IF(J844="""",0,J844),
IF(L844="""",0,L844),
IF(N844="""",0,N844),
IF(P844="""",0,P844)
})"),"")</f>
        <v/>
      </c>
      <c r="U844" s="7" t="str">
        <f ca="1">IFERROR(__xludf.DUMMYFUNCTION("SPARKLINE({
IF(E844="""",0,E844),
IF(G844="""",0,G844),
IF(I844="""",0,I844),
IF(K844="""",0,K844),
IF(M844="""",0,M844),
IF(O844="""",0,O844),
IF(Q844="""",0,Q844)
})"),"")</f>
        <v/>
      </c>
      <c r="V844" s="8" t="e">
        <f t="array" aca="1" ref="V844" ca="1">IF($C$4="Giao",_xludf.Xlookup(C844,#REF!,#REF!,),_xludf.Xlookup(C844,#REF!,#REF!,))</f>
        <v>#NAME?</v>
      </c>
      <c r="W844" s="8" t="e">
        <f t="array" aca="1" ref="W844" ca="1">IF($C$4="Giao", _xludf.Xlookup(C844,#REF!,#REF!,),)</f>
        <v>#NAME?</v>
      </c>
      <c r="X844" s="9" t="e">
        <f t="shared" ca="1" si="10"/>
        <v>#NAME?</v>
      </c>
      <c r="Y844" s="7"/>
      <c r="Z844" s="7"/>
    </row>
    <row r="845" spans="1:26" ht="13" x14ac:dyDescent="0.6">
      <c r="A845" s="28" t="str">
        <f t="shared" si="9"/>
        <v/>
      </c>
      <c r="B845" s="7"/>
      <c r="C845" s="7"/>
      <c r="D845" s="9"/>
      <c r="E845" s="9"/>
      <c r="F845" s="7"/>
      <c r="G845" s="7"/>
      <c r="H845" s="7"/>
      <c r="I845" s="7"/>
      <c r="J845" s="7"/>
      <c r="K845" s="7"/>
      <c r="L845" s="7"/>
      <c r="M845" s="7"/>
      <c r="N845" s="7"/>
      <c r="O845" s="7"/>
      <c r="P845" s="29"/>
      <c r="Q845" s="29"/>
      <c r="R845" s="7"/>
      <c r="S845" s="7"/>
      <c r="T845" s="7" t="str">
        <f ca="1">IFERROR(__xludf.DUMMYFUNCTION("SPARKLINE({
IF(D845="""",0,D845),
IF(F845="""",0,F845),
IF(H845="""",0,H845),
IF(J845="""",0,J845),
IF(L845="""",0,L845),
IF(N845="""",0,N845),
IF(P845="""",0,P845)
})"),"")</f>
        <v/>
      </c>
      <c r="U845" s="7" t="str">
        <f ca="1">IFERROR(__xludf.DUMMYFUNCTION("SPARKLINE({
IF(E845="""",0,E845),
IF(G845="""",0,G845),
IF(I845="""",0,I845),
IF(K845="""",0,K845),
IF(M845="""",0,M845),
IF(O845="""",0,O845),
IF(Q845="""",0,Q845)
})"),"")</f>
        <v/>
      </c>
      <c r="V845" s="8" t="e">
        <f t="array" aca="1" ref="V845" ca="1">IF($C$4="Giao",_xludf.Xlookup(C845,#REF!,#REF!,),_xludf.Xlookup(C845,#REF!,#REF!,))</f>
        <v>#NAME?</v>
      </c>
      <c r="W845" s="8" t="e">
        <f t="array" aca="1" ref="W845" ca="1">IF($C$4="Giao", _xludf.Xlookup(C845,#REF!,#REF!,),)</f>
        <v>#NAME?</v>
      </c>
      <c r="X845" s="9" t="e">
        <f t="shared" ca="1" si="10"/>
        <v>#NAME?</v>
      </c>
      <c r="Y845" s="7"/>
      <c r="Z845" s="7"/>
    </row>
    <row r="846" spans="1:26" ht="13" x14ac:dyDescent="0.6">
      <c r="A846" s="28" t="str">
        <f t="shared" si="9"/>
        <v/>
      </c>
      <c r="B846" s="7"/>
      <c r="C846" s="7"/>
      <c r="D846" s="9"/>
      <c r="E846" s="9"/>
      <c r="F846" s="7"/>
      <c r="G846" s="7"/>
      <c r="H846" s="7"/>
      <c r="I846" s="7"/>
      <c r="J846" s="7"/>
      <c r="K846" s="7"/>
      <c r="L846" s="7"/>
      <c r="M846" s="7"/>
      <c r="N846" s="7"/>
      <c r="O846" s="7"/>
      <c r="P846" s="29"/>
      <c r="Q846" s="29"/>
      <c r="R846" s="7"/>
      <c r="S846" s="7"/>
      <c r="T846" s="7" t="str">
        <f ca="1">IFERROR(__xludf.DUMMYFUNCTION("SPARKLINE({
IF(D846="""",0,D846),
IF(F846="""",0,F846),
IF(H846="""",0,H846),
IF(J846="""",0,J846),
IF(L846="""",0,L846),
IF(N846="""",0,N846),
IF(P846="""",0,P846)
})"),"")</f>
        <v/>
      </c>
      <c r="U846" s="7" t="str">
        <f ca="1">IFERROR(__xludf.DUMMYFUNCTION("SPARKLINE({
IF(E846="""",0,E846),
IF(G846="""",0,G846),
IF(I846="""",0,I846),
IF(K846="""",0,K846),
IF(M846="""",0,M846),
IF(O846="""",0,O846),
IF(Q846="""",0,Q846)
})"),"")</f>
        <v/>
      </c>
      <c r="V846" s="8" t="e">
        <f t="array" aca="1" ref="V846" ca="1">IF($C$4="Giao",_xludf.Xlookup(C846,#REF!,#REF!,),_xludf.Xlookup(C846,#REF!,#REF!,))</f>
        <v>#NAME?</v>
      </c>
      <c r="W846" s="8" t="e">
        <f t="array" aca="1" ref="W846" ca="1">IF($C$4="Giao", _xludf.Xlookup(C846,#REF!,#REF!,),)</f>
        <v>#NAME?</v>
      </c>
      <c r="X846" s="9" t="e">
        <f t="shared" ca="1" si="10"/>
        <v>#NAME?</v>
      </c>
      <c r="Y846" s="7"/>
      <c r="Z846" s="7"/>
    </row>
    <row r="847" spans="1:26" ht="13" x14ac:dyDescent="0.6">
      <c r="A847" s="28" t="str">
        <f t="shared" si="9"/>
        <v/>
      </c>
      <c r="B847" s="7"/>
      <c r="C847" s="7"/>
      <c r="D847" s="9"/>
      <c r="E847" s="9"/>
      <c r="F847" s="7"/>
      <c r="G847" s="7"/>
      <c r="H847" s="7"/>
      <c r="I847" s="7"/>
      <c r="J847" s="7"/>
      <c r="K847" s="7"/>
      <c r="L847" s="7"/>
      <c r="M847" s="7"/>
      <c r="N847" s="7"/>
      <c r="O847" s="7"/>
      <c r="P847" s="29"/>
      <c r="Q847" s="29"/>
      <c r="R847" s="7"/>
      <c r="S847" s="7"/>
      <c r="T847" s="7" t="str">
        <f ca="1">IFERROR(__xludf.DUMMYFUNCTION("SPARKLINE({
IF(D847="""",0,D847),
IF(F847="""",0,F847),
IF(H847="""",0,H847),
IF(J847="""",0,J847),
IF(L847="""",0,L847),
IF(N847="""",0,N847),
IF(P847="""",0,P847)
})"),"")</f>
        <v/>
      </c>
      <c r="U847" s="7" t="str">
        <f ca="1">IFERROR(__xludf.DUMMYFUNCTION("SPARKLINE({
IF(E847="""",0,E847),
IF(G847="""",0,G847),
IF(I847="""",0,I847),
IF(K847="""",0,K847),
IF(M847="""",0,M847),
IF(O847="""",0,O847),
IF(Q847="""",0,Q847)
})"),"")</f>
        <v/>
      </c>
      <c r="V847" s="8" t="e">
        <f t="array" aca="1" ref="V847" ca="1">IF($C$4="Giao",_xludf.Xlookup(C847,#REF!,#REF!,),_xludf.Xlookup(C847,#REF!,#REF!,))</f>
        <v>#NAME?</v>
      </c>
      <c r="W847" s="8" t="e">
        <f t="array" aca="1" ref="W847" ca="1">IF($C$4="Giao", _xludf.Xlookup(C847,#REF!,#REF!,),)</f>
        <v>#NAME?</v>
      </c>
      <c r="X847" s="9" t="e">
        <f t="shared" ca="1" si="10"/>
        <v>#NAME?</v>
      </c>
      <c r="Y847" s="7"/>
      <c r="Z847" s="7"/>
    </row>
    <row r="848" spans="1:26" ht="13" x14ac:dyDescent="0.6">
      <c r="A848" s="28" t="str">
        <f t="shared" si="9"/>
        <v/>
      </c>
      <c r="B848" s="7"/>
      <c r="C848" s="7"/>
      <c r="D848" s="9"/>
      <c r="E848" s="9"/>
      <c r="F848" s="7"/>
      <c r="G848" s="7"/>
      <c r="H848" s="7"/>
      <c r="I848" s="7"/>
      <c r="J848" s="7"/>
      <c r="K848" s="7"/>
      <c r="L848" s="7"/>
      <c r="M848" s="7"/>
      <c r="N848" s="7"/>
      <c r="O848" s="7"/>
      <c r="P848" s="29"/>
      <c r="Q848" s="29"/>
      <c r="R848" s="7"/>
      <c r="S848" s="7"/>
      <c r="T848" s="7" t="str">
        <f ca="1">IFERROR(__xludf.DUMMYFUNCTION("SPARKLINE({
IF(D848="""",0,D848),
IF(F848="""",0,F848),
IF(H848="""",0,H848),
IF(J848="""",0,J848),
IF(L848="""",0,L848),
IF(N848="""",0,N848),
IF(P848="""",0,P848)
})"),"")</f>
        <v/>
      </c>
      <c r="U848" s="7" t="str">
        <f ca="1">IFERROR(__xludf.DUMMYFUNCTION("SPARKLINE({
IF(E848="""",0,E848),
IF(G848="""",0,G848),
IF(I848="""",0,I848),
IF(K848="""",0,K848),
IF(M848="""",0,M848),
IF(O848="""",0,O848),
IF(Q848="""",0,Q848)
})"),"")</f>
        <v/>
      </c>
      <c r="V848" s="8" t="e">
        <f t="array" aca="1" ref="V848" ca="1">IF($C$4="Giao",_xludf.Xlookup(C848,#REF!,#REF!,),_xludf.Xlookup(C848,#REF!,#REF!,))</f>
        <v>#NAME?</v>
      </c>
      <c r="W848" s="8" t="e">
        <f t="array" aca="1" ref="W848" ca="1">IF($C$4="Giao", _xludf.Xlookup(C848,#REF!,#REF!,),)</f>
        <v>#NAME?</v>
      </c>
      <c r="X848" s="9" t="e">
        <f t="shared" ca="1" si="10"/>
        <v>#NAME?</v>
      </c>
      <c r="Y848" s="7"/>
      <c r="Z848" s="7"/>
    </row>
    <row r="849" spans="1:26" ht="13" x14ac:dyDescent="0.6">
      <c r="A849" s="28" t="str">
        <f t="shared" si="9"/>
        <v/>
      </c>
      <c r="B849" s="7"/>
      <c r="C849" s="7"/>
      <c r="D849" s="9"/>
      <c r="E849" s="9"/>
      <c r="F849" s="7"/>
      <c r="G849" s="7"/>
      <c r="H849" s="7"/>
      <c r="I849" s="7"/>
      <c r="J849" s="7"/>
      <c r="K849" s="7"/>
      <c r="L849" s="7"/>
      <c r="M849" s="7"/>
      <c r="N849" s="7"/>
      <c r="O849" s="7"/>
      <c r="P849" s="29"/>
      <c r="Q849" s="29"/>
      <c r="R849" s="7"/>
      <c r="S849" s="7"/>
      <c r="T849" s="7" t="str">
        <f ca="1">IFERROR(__xludf.DUMMYFUNCTION("SPARKLINE({
IF(D849="""",0,D849),
IF(F849="""",0,F849),
IF(H849="""",0,H849),
IF(J849="""",0,J849),
IF(L849="""",0,L849),
IF(N849="""",0,N849),
IF(P849="""",0,P849)
})"),"")</f>
        <v/>
      </c>
      <c r="U849" s="7" t="str">
        <f ca="1">IFERROR(__xludf.DUMMYFUNCTION("SPARKLINE({
IF(E849="""",0,E849),
IF(G849="""",0,G849),
IF(I849="""",0,I849),
IF(K849="""",0,K849),
IF(M849="""",0,M849),
IF(O849="""",0,O849),
IF(Q849="""",0,Q849)
})"),"")</f>
        <v/>
      </c>
      <c r="V849" s="8" t="e">
        <f t="array" aca="1" ref="V849" ca="1">IF($C$4="Giao",_xludf.Xlookup(C849,#REF!,#REF!,),_xludf.Xlookup(C849,#REF!,#REF!,))</f>
        <v>#NAME?</v>
      </c>
      <c r="W849" s="8" t="e">
        <f t="array" aca="1" ref="W849" ca="1">IF($C$4="Giao", _xludf.Xlookup(C849,#REF!,#REF!,),)</f>
        <v>#NAME?</v>
      </c>
      <c r="X849" s="9" t="e">
        <f t="shared" ca="1" si="10"/>
        <v>#NAME?</v>
      </c>
      <c r="Y849" s="7"/>
      <c r="Z849" s="7"/>
    </row>
    <row r="850" spans="1:26" ht="13" x14ac:dyDescent="0.6">
      <c r="A850" s="28" t="str">
        <f t="shared" si="9"/>
        <v/>
      </c>
      <c r="B850" s="7"/>
      <c r="C850" s="7"/>
      <c r="D850" s="9"/>
      <c r="E850" s="9"/>
      <c r="F850" s="7"/>
      <c r="G850" s="7"/>
      <c r="H850" s="7"/>
      <c r="I850" s="7"/>
      <c r="J850" s="7"/>
      <c r="K850" s="7"/>
      <c r="L850" s="7"/>
      <c r="M850" s="7"/>
      <c r="N850" s="7"/>
      <c r="O850" s="7"/>
      <c r="P850" s="29"/>
      <c r="Q850" s="29"/>
      <c r="R850" s="7"/>
      <c r="S850" s="7"/>
      <c r="T850" s="7" t="str">
        <f ca="1">IFERROR(__xludf.DUMMYFUNCTION("SPARKLINE({
IF(D850="""",0,D850),
IF(F850="""",0,F850),
IF(H850="""",0,H850),
IF(J850="""",0,J850),
IF(L850="""",0,L850),
IF(N850="""",0,N850),
IF(P850="""",0,P850)
})"),"")</f>
        <v/>
      </c>
      <c r="U850" s="7" t="str">
        <f ca="1">IFERROR(__xludf.DUMMYFUNCTION("SPARKLINE({
IF(E850="""",0,E850),
IF(G850="""",0,G850),
IF(I850="""",0,I850),
IF(K850="""",0,K850),
IF(M850="""",0,M850),
IF(O850="""",0,O850),
IF(Q850="""",0,Q850)
})"),"")</f>
        <v/>
      </c>
      <c r="V850" s="8" t="e">
        <f t="array" aca="1" ref="V850" ca="1">IF($C$4="Giao",_xludf.Xlookup(C850,#REF!,#REF!,),_xludf.Xlookup(C850,#REF!,#REF!,))</f>
        <v>#NAME?</v>
      </c>
      <c r="W850" s="8" t="e">
        <f t="array" aca="1" ref="W850" ca="1">IF($C$4="Giao", _xludf.Xlookup(C850,#REF!,#REF!,),)</f>
        <v>#NAME?</v>
      </c>
      <c r="X850" s="9" t="e">
        <f t="shared" ca="1" si="10"/>
        <v>#NAME?</v>
      </c>
      <c r="Y850" s="7"/>
      <c r="Z850" s="7"/>
    </row>
    <row r="851" spans="1:26" ht="13" x14ac:dyDescent="0.6">
      <c r="A851" s="28" t="str">
        <f t="shared" si="9"/>
        <v/>
      </c>
      <c r="B851" s="7"/>
      <c r="C851" s="7"/>
      <c r="D851" s="9"/>
      <c r="E851" s="9"/>
      <c r="F851" s="7"/>
      <c r="G851" s="7"/>
      <c r="H851" s="7"/>
      <c r="I851" s="7"/>
      <c r="J851" s="7"/>
      <c r="K851" s="7"/>
      <c r="L851" s="7"/>
      <c r="M851" s="7"/>
      <c r="N851" s="7"/>
      <c r="O851" s="7"/>
      <c r="P851" s="29"/>
      <c r="Q851" s="29"/>
      <c r="R851" s="7"/>
      <c r="S851" s="7"/>
      <c r="T851" s="7" t="str">
        <f ca="1">IFERROR(__xludf.DUMMYFUNCTION("SPARKLINE({
IF(D851="""",0,D851),
IF(F851="""",0,F851),
IF(H851="""",0,H851),
IF(J851="""",0,J851),
IF(L851="""",0,L851),
IF(N851="""",0,N851),
IF(P851="""",0,P851)
})"),"")</f>
        <v/>
      </c>
      <c r="U851" s="7" t="str">
        <f ca="1">IFERROR(__xludf.DUMMYFUNCTION("SPARKLINE({
IF(E851="""",0,E851),
IF(G851="""",0,G851),
IF(I851="""",0,I851),
IF(K851="""",0,K851),
IF(M851="""",0,M851),
IF(O851="""",0,O851),
IF(Q851="""",0,Q851)
})"),"")</f>
        <v/>
      </c>
      <c r="V851" s="8" t="e">
        <f t="array" aca="1" ref="V851" ca="1">IF($C$4="Giao",_xludf.Xlookup(C851,#REF!,#REF!,),_xludf.Xlookup(C851,#REF!,#REF!,))</f>
        <v>#NAME?</v>
      </c>
      <c r="W851" s="8" t="e">
        <f t="array" aca="1" ref="W851" ca="1">IF($C$4="Giao", _xludf.Xlookup(C851,#REF!,#REF!,),)</f>
        <v>#NAME?</v>
      </c>
      <c r="X851" s="9" t="e">
        <f t="shared" ca="1" si="10"/>
        <v>#NAME?</v>
      </c>
      <c r="Y851" s="7"/>
      <c r="Z851" s="7"/>
    </row>
    <row r="852" spans="1:26" ht="13" x14ac:dyDescent="0.6">
      <c r="A852" s="28" t="str">
        <f t="shared" si="9"/>
        <v/>
      </c>
      <c r="B852" s="7"/>
      <c r="C852" s="7"/>
      <c r="D852" s="9"/>
      <c r="E852" s="9"/>
      <c r="F852" s="7"/>
      <c r="G852" s="7"/>
      <c r="H852" s="7"/>
      <c r="I852" s="7"/>
      <c r="J852" s="7"/>
      <c r="K852" s="7"/>
      <c r="L852" s="7"/>
      <c r="M852" s="7"/>
      <c r="N852" s="7"/>
      <c r="O852" s="7"/>
      <c r="P852" s="29"/>
      <c r="Q852" s="29"/>
      <c r="R852" s="7"/>
      <c r="S852" s="7"/>
      <c r="T852" s="7" t="str">
        <f ca="1">IFERROR(__xludf.DUMMYFUNCTION("SPARKLINE({
IF(D852="""",0,D852),
IF(F852="""",0,F852),
IF(H852="""",0,H852),
IF(J852="""",0,J852),
IF(L852="""",0,L852),
IF(N852="""",0,N852),
IF(P852="""",0,P852)
})"),"")</f>
        <v/>
      </c>
      <c r="U852" s="7" t="str">
        <f ca="1">IFERROR(__xludf.DUMMYFUNCTION("SPARKLINE({
IF(E852="""",0,E852),
IF(G852="""",0,G852),
IF(I852="""",0,I852),
IF(K852="""",0,K852),
IF(M852="""",0,M852),
IF(O852="""",0,O852),
IF(Q852="""",0,Q852)
})"),"")</f>
        <v/>
      </c>
      <c r="V852" s="8" t="e">
        <f t="array" aca="1" ref="V852" ca="1">IF($C$4="Giao",_xludf.Xlookup(C852,#REF!,#REF!,),_xludf.Xlookup(C852,#REF!,#REF!,))</f>
        <v>#NAME?</v>
      </c>
      <c r="W852" s="8" t="e">
        <f t="array" aca="1" ref="W852" ca="1">IF($C$4="Giao", _xludf.Xlookup(C852,#REF!,#REF!,),)</f>
        <v>#NAME?</v>
      </c>
      <c r="X852" s="9" t="e">
        <f t="shared" ca="1" si="10"/>
        <v>#NAME?</v>
      </c>
      <c r="Y852" s="7"/>
      <c r="Z852" s="7"/>
    </row>
    <row r="853" spans="1:26" ht="13" x14ac:dyDescent="0.6">
      <c r="A853" s="28" t="str">
        <f t="shared" si="9"/>
        <v/>
      </c>
      <c r="B853" s="7"/>
      <c r="C853" s="7"/>
      <c r="D853" s="9"/>
      <c r="E853" s="9"/>
      <c r="F853" s="7"/>
      <c r="G853" s="7"/>
      <c r="H853" s="7"/>
      <c r="I853" s="7"/>
      <c r="J853" s="7"/>
      <c r="K853" s="7"/>
      <c r="L853" s="7"/>
      <c r="M853" s="7"/>
      <c r="N853" s="7"/>
      <c r="O853" s="7"/>
      <c r="P853" s="29"/>
      <c r="Q853" s="29"/>
      <c r="R853" s="7"/>
      <c r="S853" s="7"/>
      <c r="T853" s="7" t="str">
        <f ca="1">IFERROR(__xludf.DUMMYFUNCTION("SPARKLINE({
IF(D853="""",0,D853),
IF(F853="""",0,F853),
IF(H853="""",0,H853),
IF(J853="""",0,J853),
IF(L853="""",0,L853),
IF(N853="""",0,N853),
IF(P853="""",0,P853)
})"),"")</f>
        <v/>
      </c>
      <c r="U853" s="7" t="str">
        <f ca="1">IFERROR(__xludf.DUMMYFUNCTION("SPARKLINE({
IF(E853="""",0,E853),
IF(G853="""",0,G853),
IF(I853="""",0,I853),
IF(K853="""",0,K853),
IF(M853="""",0,M853),
IF(O853="""",0,O853),
IF(Q853="""",0,Q853)
})"),"")</f>
        <v/>
      </c>
      <c r="V853" s="8" t="e">
        <f t="array" aca="1" ref="V853" ca="1">IF($C$4="Giao",_xludf.Xlookup(C853,#REF!,#REF!,),_xludf.Xlookup(C853,#REF!,#REF!,))</f>
        <v>#NAME?</v>
      </c>
      <c r="W853" s="8" t="e">
        <f t="array" aca="1" ref="W853" ca="1">IF($C$4="Giao", _xludf.Xlookup(C853,#REF!,#REF!,),)</f>
        <v>#NAME?</v>
      </c>
      <c r="X853" s="9" t="e">
        <f t="shared" ca="1" si="10"/>
        <v>#NAME?</v>
      </c>
      <c r="Y853" s="7"/>
      <c r="Z853" s="7"/>
    </row>
    <row r="854" spans="1:26" ht="13" x14ac:dyDescent="0.6">
      <c r="A854" s="28" t="str">
        <f t="shared" si="9"/>
        <v/>
      </c>
      <c r="B854" s="7"/>
      <c r="C854" s="7"/>
      <c r="D854" s="9"/>
      <c r="E854" s="9"/>
      <c r="F854" s="7"/>
      <c r="G854" s="7"/>
      <c r="H854" s="7"/>
      <c r="I854" s="7"/>
      <c r="J854" s="7"/>
      <c r="K854" s="7"/>
      <c r="L854" s="7"/>
      <c r="M854" s="7"/>
      <c r="N854" s="7"/>
      <c r="O854" s="7"/>
      <c r="P854" s="29"/>
      <c r="Q854" s="29"/>
      <c r="R854" s="7"/>
      <c r="S854" s="7"/>
      <c r="T854" s="7" t="str">
        <f ca="1">IFERROR(__xludf.DUMMYFUNCTION("SPARKLINE({
IF(D854="""",0,D854),
IF(F854="""",0,F854),
IF(H854="""",0,H854),
IF(J854="""",0,J854),
IF(L854="""",0,L854),
IF(N854="""",0,N854),
IF(P854="""",0,P854)
})"),"")</f>
        <v/>
      </c>
      <c r="U854" s="7" t="str">
        <f ca="1">IFERROR(__xludf.DUMMYFUNCTION("SPARKLINE({
IF(E854="""",0,E854),
IF(G854="""",0,G854),
IF(I854="""",0,I854),
IF(K854="""",0,K854),
IF(M854="""",0,M854),
IF(O854="""",0,O854),
IF(Q854="""",0,Q854)
})"),"")</f>
        <v/>
      </c>
      <c r="V854" s="8" t="e">
        <f t="array" aca="1" ref="V854" ca="1">IF($C$4="Giao",_xludf.Xlookup(C854,#REF!,#REF!,),_xludf.Xlookup(C854,#REF!,#REF!,))</f>
        <v>#NAME?</v>
      </c>
      <c r="W854" s="8" t="e">
        <f t="array" aca="1" ref="W854" ca="1">IF($C$4="Giao", _xludf.Xlookup(C854,#REF!,#REF!,),)</f>
        <v>#NAME?</v>
      </c>
      <c r="X854" s="9" t="e">
        <f t="shared" ca="1" si="10"/>
        <v>#NAME?</v>
      </c>
      <c r="Y854" s="7"/>
      <c r="Z854" s="7"/>
    </row>
    <row r="855" spans="1:26" ht="13" x14ac:dyDescent="0.6">
      <c r="A855" s="28" t="str">
        <f t="shared" si="9"/>
        <v/>
      </c>
      <c r="B855" s="7"/>
      <c r="C855" s="7"/>
      <c r="D855" s="9"/>
      <c r="E855" s="9"/>
      <c r="F855" s="7"/>
      <c r="G855" s="7"/>
      <c r="H855" s="7"/>
      <c r="I855" s="7"/>
      <c r="J855" s="7"/>
      <c r="K855" s="7"/>
      <c r="L855" s="7"/>
      <c r="M855" s="7"/>
      <c r="N855" s="7"/>
      <c r="O855" s="7"/>
      <c r="P855" s="29"/>
      <c r="Q855" s="29"/>
      <c r="R855" s="7"/>
      <c r="S855" s="7"/>
      <c r="T855" s="7" t="str">
        <f ca="1">IFERROR(__xludf.DUMMYFUNCTION("SPARKLINE({
IF(D855="""",0,D855),
IF(F855="""",0,F855),
IF(H855="""",0,H855),
IF(J855="""",0,J855),
IF(L855="""",0,L855),
IF(N855="""",0,N855),
IF(P855="""",0,P855)
})"),"")</f>
        <v/>
      </c>
      <c r="U855" s="7" t="str">
        <f ca="1">IFERROR(__xludf.DUMMYFUNCTION("SPARKLINE({
IF(E855="""",0,E855),
IF(G855="""",0,G855),
IF(I855="""",0,I855),
IF(K855="""",0,K855),
IF(M855="""",0,M855),
IF(O855="""",0,O855),
IF(Q855="""",0,Q855)
})"),"")</f>
        <v/>
      </c>
      <c r="V855" s="8" t="e">
        <f t="array" aca="1" ref="V855" ca="1">IF($C$4="Giao",_xludf.Xlookup(C855,#REF!,#REF!,),_xludf.Xlookup(C855,#REF!,#REF!,))</f>
        <v>#NAME?</v>
      </c>
      <c r="W855" s="8" t="e">
        <f t="array" aca="1" ref="W855" ca="1">IF($C$4="Giao", _xludf.Xlookup(C855,#REF!,#REF!,),)</f>
        <v>#NAME?</v>
      </c>
      <c r="X855" s="9" t="e">
        <f t="shared" ca="1" si="10"/>
        <v>#NAME?</v>
      </c>
      <c r="Y855" s="7"/>
      <c r="Z855" s="7"/>
    </row>
    <row r="856" spans="1:26" ht="13" x14ac:dyDescent="0.6">
      <c r="A856" s="28" t="str">
        <f t="shared" si="9"/>
        <v/>
      </c>
      <c r="B856" s="7"/>
      <c r="C856" s="7"/>
      <c r="D856" s="9"/>
      <c r="E856" s="9"/>
      <c r="F856" s="7"/>
      <c r="G856" s="7"/>
      <c r="H856" s="7"/>
      <c r="I856" s="7"/>
      <c r="J856" s="7"/>
      <c r="K856" s="7"/>
      <c r="L856" s="7"/>
      <c r="M856" s="7"/>
      <c r="N856" s="7"/>
      <c r="O856" s="7"/>
      <c r="P856" s="29"/>
      <c r="Q856" s="29"/>
      <c r="R856" s="7"/>
      <c r="S856" s="7"/>
      <c r="T856" s="7" t="str">
        <f ca="1">IFERROR(__xludf.DUMMYFUNCTION("SPARKLINE({
IF(D856="""",0,D856),
IF(F856="""",0,F856),
IF(H856="""",0,H856),
IF(J856="""",0,J856),
IF(L856="""",0,L856),
IF(N856="""",0,N856),
IF(P856="""",0,P856)
})"),"")</f>
        <v/>
      </c>
      <c r="U856" s="7" t="str">
        <f ca="1">IFERROR(__xludf.DUMMYFUNCTION("SPARKLINE({
IF(E856="""",0,E856),
IF(G856="""",0,G856),
IF(I856="""",0,I856),
IF(K856="""",0,K856),
IF(M856="""",0,M856),
IF(O856="""",0,O856),
IF(Q856="""",0,Q856)
})"),"")</f>
        <v/>
      </c>
      <c r="V856" s="8" t="e">
        <f t="array" aca="1" ref="V856" ca="1">IF($C$4="Giao",_xludf.Xlookup(C856,#REF!,#REF!,),_xludf.Xlookup(C856,#REF!,#REF!,))</f>
        <v>#NAME?</v>
      </c>
      <c r="W856" s="8" t="e">
        <f t="array" aca="1" ref="W856" ca="1">IF($C$4="Giao", _xludf.Xlookup(C856,#REF!,#REF!,),)</f>
        <v>#NAME?</v>
      </c>
      <c r="X856" s="9" t="e">
        <f t="shared" ca="1" si="10"/>
        <v>#NAME?</v>
      </c>
      <c r="Y856" s="7"/>
      <c r="Z856" s="7"/>
    </row>
    <row r="857" spans="1:26" ht="13" x14ac:dyDescent="0.6">
      <c r="A857" s="28" t="str">
        <f t="shared" si="9"/>
        <v/>
      </c>
      <c r="B857" s="7"/>
      <c r="C857" s="7"/>
      <c r="D857" s="9"/>
      <c r="E857" s="9"/>
      <c r="F857" s="7"/>
      <c r="G857" s="7"/>
      <c r="H857" s="7"/>
      <c r="I857" s="7"/>
      <c r="J857" s="7"/>
      <c r="K857" s="7"/>
      <c r="L857" s="7"/>
      <c r="M857" s="7"/>
      <c r="N857" s="7"/>
      <c r="O857" s="7"/>
      <c r="P857" s="29"/>
      <c r="Q857" s="29"/>
      <c r="R857" s="7"/>
      <c r="S857" s="7"/>
      <c r="T857" s="7" t="str">
        <f ca="1">IFERROR(__xludf.DUMMYFUNCTION("SPARKLINE({
IF(D857="""",0,D857),
IF(F857="""",0,F857),
IF(H857="""",0,H857),
IF(J857="""",0,J857),
IF(L857="""",0,L857),
IF(N857="""",0,N857),
IF(P857="""",0,P857)
})"),"")</f>
        <v/>
      </c>
      <c r="U857" s="7" t="str">
        <f ca="1">IFERROR(__xludf.DUMMYFUNCTION("SPARKLINE({
IF(E857="""",0,E857),
IF(G857="""",0,G857),
IF(I857="""",0,I857),
IF(K857="""",0,K857),
IF(M857="""",0,M857),
IF(O857="""",0,O857),
IF(Q857="""",0,Q857)
})"),"")</f>
        <v/>
      </c>
      <c r="V857" s="8" t="e">
        <f t="array" aca="1" ref="V857" ca="1">IF($C$4="Giao",_xludf.Xlookup(C857,#REF!,#REF!,),_xludf.Xlookup(C857,#REF!,#REF!,))</f>
        <v>#NAME?</v>
      </c>
      <c r="W857" s="8" t="e">
        <f t="array" aca="1" ref="W857" ca="1">IF($C$4="Giao", _xludf.Xlookup(C857,#REF!,#REF!,),)</f>
        <v>#NAME?</v>
      </c>
      <c r="X857" s="9" t="e">
        <f t="shared" ca="1" si="10"/>
        <v>#NAME?</v>
      </c>
      <c r="Y857" s="7"/>
      <c r="Z857" s="7"/>
    </row>
    <row r="858" spans="1:26" ht="13" x14ac:dyDescent="0.6">
      <c r="A858" s="28" t="str">
        <f t="shared" si="9"/>
        <v/>
      </c>
      <c r="B858" s="7"/>
      <c r="C858" s="7"/>
      <c r="D858" s="9"/>
      <c r="E858" s="9"/>
      <c r="F858" s="7"/>
      <c r="G858" s="7"/>
      <c r="H858" s="7"/>
      <c r="I858" s="7"/>
      <c r="J858" s="7"/>
      <c r="K858" s="7"/>
      <c r="L858" s="7"/>
      <c r="M858" s="7"/>
      <c r="N858" s="7"/>
      <c r="O858" s="7"/>
      <c r="P858" s="29"/>
      <c r="Q858" s="29"/>
      <c r="R858" s="7"/>
      <c r="S858" s="7"/>
      <c r="T858" s="7" t="str">
        <f ca="1">IFERROR(__xludf.DUMMYFUNCTION("SPARKLINE({
IF(D858="""",0,D858),
IF(F858="""",0,F858),
IF(H858="""",0,H858),
IF(J858="""",0,J858),
IF(L858="""",0,L858),
IF(N858="""",0,N858),
IF(P858="""",0,P858)
})"),"")</f>
        <v/>
      </c>
      <c r="U858" s="7" t="str">
        <f ca="1">IFERROR(__xludf.DUMMYFUNCTION("SPARKLINE({
IF(E858="""",0,E858),
IF(G858="""",0,G858),
IF(I858="""",0,I858),
IF(K858="""",0,K858),
IF(M858="""",0,M858),
IF(O858="""",0,O858),
IF(Q858="""",0,Q858)
})"),"")</f>
        <v/>
      </c>
      <c r="V858" s="8" t="e">
        <f t="array" aca="1" ref="V858" ca="1">IF($C$4="Giao",_xludf.Xlookup(C858,#REF!,#REF!,),_xludf.Xlookup(C858,#REF!,#REF!,))</f>
        <v>#NAME?</v>
      </c>
      <c r="W858" s="8" t="e">
        <f t="array" aca="1" ref="W858" ca="1">IF($C$4="Giao", _xludf.Xlookup(C858,#REF!,#REF!,),)</f>
        <v>#NAME?</v>
      </c>
      <c r="X858" s="9" t="e">
        <f t="shared" ca="1" si="10"/>
        <v>#NAME?</v>
      </c>
      <c r="Y858" s="7"/>
      <c r="Z858" s="7"/>
    </row>
    <row r="859" spans="1:26" ht="13" x14ac:dyDescent="0.6">
      <c r="A859" s="28" t="str">
        <f t="shared" si="9"/>
        <v/>
      </c>
      <c r="B859" s="7"/>
      <c r="C859" s="7"/>
      <c r="D859" s="9"/>
      <c r="E859" s="9"/>
      <c r="F859" s="7"/>
      <c r="G859" s="7"/>
      <c r="H859" s="7"/>
      <c r="I859" s="7"/>
      <c r="J859" s="7"/>
      <c r="K859" s="7"/>
      <c r="L859" s="7"/>
      <c r="M859" s="7"/>
      <c r="N859" s="7"/>
      <c r="O859" s="7"/>
      <c r="P859" s="29"/>
      <c r="Q859" s="29"/>
      <c r="R859" s="7"/>
      <c r="S859" s="7"/>
      <c r="T859" s="7" t="str">
        <f ca="1">IFERROR(__xludf.DUMMYFUNCTION("SPARKLINE({
IF(D859="""",0,D859),
IF(F859="""",0,F859),
IF(H859="""",0,H859),
IF(J859="""",0,J859),
IF(L859="""",0,L859),
IF(N859="""",0,N859),
IF(P859="""",0,P859)
})"),"")</f>
        <v/>
      </c>
      <c r="U859" s="7" t="str">
        <f ca="1">IFERROR(__xludf.DUMMYFUNCTION("SPARKLINE({
IF(E859="""",0,E859),
IF(G859="""",0,G859),
IF(I859="""",0,I859),
IF(K859="""",0,K859),
IF(M859="""",0,M859),
IF(O859="""",0,O859),
IF(Q859="""",0,Q859)
})"),"")</f>
        <v/>
      </c>
      <c r="V859" s="8" t="e">
        <f t="array" aca="1" ref="V859" ca="1">IF($C$4="Giao",_xludf.Xlookup(C859,#REF!,#REF!,),_xludf.Xlookup(C859,#REF!,#REF!,))</f>
        <v>#NAME?</v>
      </c>
      <c r="W859" s="8" t="e">
        <f t="array" aca="1" ref="W859" ca="1">IF($C$4="Giao", _xludf.Xlookup(C859,#REF!,#REF!,),)</f>
        <v>#NAME?</v>
      </c>
      <c r="X859" s="9" t="e">
        <f t="shared" ca="1" si="10"/>
        <v>#NAME?</v>
      </c>
      <c r="Y859" s="7"/>
      <c r="Z859" s="7"/>
    </row>
    <row r="860" spans="1:26" ht="13" x14ac:dyDescent="0.6">
      <c r="A860" s="28" t="str">
        <f t="shared" si="9"/>
        <v/>
      </c>
      <c r="B860" s="7"/>
      <c r="C860" s="7"/>
      <c r="D860" s="9"/>
      <c r="E860" s="9"/>
      <c r="F860" s="7"/>
      <c r="G860" s="7"/>
      <c r="H860" s="7"/>
      <c r="I860" s="7"/>
      <c r="J860" s="7"/>
      <c r="K860" s="7"/>
      <c r="L860" s="7"/>
      <c r="M860" s="7"/>
      <c r="N860" s="7"/>
      <c r="O860" s="7"/>
      <c r="P860" s="29"/>
      <c r="Q860" s="29"/>
      <c r="R860" s="7"/>
      <c r="S860" s="7"/>
      <c r="T860" s="7" t="str">
        <f ca="1">IFERROR(__xludf.DUMMYFUNCTION("SPARKLINE({
IF(D860="""",0,D860),
IF(F860="""",0,F860),
IF(H860="""",0,H860),
IF(J860="""",0,J860),
IF(L860="""",0,L860),
IF(N860="""",0,N860),
IF(P860="""",0,P860)
})"),"")</f>
        <v/>
      </c>
      <c r="U860" s="7" t="str">
        <f ca="1">IFERROR(__xludf.DUMMYFUNCTION("SPARKLINE({
IF(E860="""",0,E860),
IF(G860="""",0,G860),
IF(I860="""",0,I860),
IF(K860="""",0,K860),
IF(M860="""",0,M860),
IF(O860="""",0,O860),
IF(Q860="""",0,Q860)
})"),"")</f>
        <v/>
      </c>
      <c r="V860" s="8" t="e">
        <f t="array" aca="1" ref="V860" ca="1">IF($C$4="Giao",_xludf.Xlookup(C860,#REF!,#REF!,),_xludf.Xlookup(C860,#REF!,#REF!,))</f>
        <v>#NAME?</v>
      </c>
      <c r="W860" s="8" t="e">
        <f t="array" aca="1" ref="W860" ca="1">IF($C$4="Giao", _xludf.Xlookup(C860,#REF!,#REF!,),)</f>
        <v>#NAME?</v>
      </c>
      <c r="X860" s="9" t="e">
        <f t="shared" ca="1" si="10"/>
        <v>#NAME?</v>
      </c>
      <c r="Y860" s="7"/>
      <c r="Z860" s="7"/>
    </row>
    <row r="861" spans="1:26" ht="13" x14ac:dyDescent="0.6">
      <c r="A861" s="28" t="str">
        <f t="shared" si="9"/>
        <v/>
      </c>
      <c r="B861" s="7"/>
      <c r="C861" s="7"/>
      <c r="D861" s="9"/>
      <c r="E861" s="9"/>
      <c r="F861" s="7"/>
      <c r="G861" s="7"/>
      <c r="H861" s="7"/>
      <c r="I861" s="7"/>
      <c r="J861" s="7"/>
      <c r="K861" s="7"/>
      <c r="L861" s="7"/>
      <c r="M861" s="7"/>
      <c r="N861" s="7"/>
      <c r="O861" s="7"/>
      <c r="P861" s="29"/>
      <c r="Q861" s="29"/>
      <c r="R861" s="7"/>
      <c r="S861" s="7"/>
      <c r="T861" s="7" t="str">
        <f ca="1">IFERROR(__xludf.DUMMYFUNCTION("SPARKLINE({
IF(D861="""",0,D861),
IF(F861="""",0,F861),
IF(H861="""",0,H861),
IF(J861="""",0,J861),
IF(L861="""",0,L861),
IF(N861="""",0,N861),
IF(P861="""",0,P861)
})"),"")</f>
        <v/>
      </c>
      <c r="U861" s="7" t="str">
        <f ca="1">IFERROR(__xludf.DUMMYFUNCTION("SPARKLINE({
IF(E861="""",0,E861),
IF(G861="""",0,G861),
IF(I861="""",0,I861),
IF(K861="""",0,K861),
IF(M861="""",0,M861),
IF(O861="""",0,O861),
IF(Q861="""",0,Q861)
})"),"")</f>
        <v/>
      </c>
      <c r="V861" s="8" t="e">
        <f t="array" aca="1" ref="V861" ca="1">IF($C$4="Giao",_xludf.Xlookup(C861,#REF!,#REF!,),_xludf.Xlookup(C861,#REF!,#REF!,))</f>
        <v>#NAME?</v>
      </c>
      <c r="W861" s="8" t="e">
        <f t="array" aca="1" ref="W861" ca="1">IF($C$4="Giao", _xludf.Xlookup(C861,#REF!,#REF!,),)</f>
        <v>#NAME?</v>
      </c>
      <c r="X861" s="9" t="e">
        <f t="shared" ca="1" si="10"/>
        <v>#NAME?</v>
      </c>
      <c r="Y861" s="7"/>
      <c r="Z861" s="7"/>
    </row>
    <row r="862" spans="1:26" ht="13" x14ac:dyDescent="0.6">
      <c r="A862" s="28" t="str">
        <f t="shared" si="9"/>
        <v/>
      </c>
      <c r="B862" s="7"/>
      <c r="C862" s="7"/>
      <c r="D862" s="9"/>
      <c r="E862" s="9"/>
      <c r="F862" s="7"/>
      <c r="G862" s="7"/>
      <c r="H862" s="7"/>
      <c r="I862" s="7"/>
      <c r="J862" s="7"/>
      <c r="K862" s="7"/>
      <c r="L862" s="7"/>
      <c r="M862" s="7"/>
      <c r="N862" s="7"/>
      <c r="O862" s="7"/>
      <c r="P862" s="29"/>
      <c r="Q862" s="29"/>
      <c r="R862" s="7"/>
      <c r="S862" s="7"/>
      <c r="T862" s="7" t="str">
        <f ca="1">IFERROR(__xludf.DUMMYFUNCTION("SPARKLINE({
IF(D862="""",0,D862),
IF(F862="""",0,F862),
IF(H862="""",0,H862),
IF(J862="""",0,J862),
IF(L862="""",0,L862),
IF(N862="""",0,N862),
IF(P862="""",0,P862)
})"),"")</f>
        <v/>
      </c>
      <c r="U862" s="7" t="str">
        <f ca="1">IFERROR(__xludf.DUMMYFUNCTION("SPARKLINE({
IF(E862="""",0,E862),
IF(G862="""",0,G862),
IF(I862="""",0,I862),
IF(K862="""",0,K862),
IF(M862="""",0,M862),
IF(O862="""",0,O862),
IF(Q862="""",0,Q862)
})"),"")</f>
        <v/>
      </c>
      <c r="V862" s="8" t="e">
        <f t="array" aca="1" ref="V862" ca="1">IF($C$4="Giao",_xludf.Xlookup(C862,#REF!,#REF!,),_xludf.Xlookup(C862,#REF!,#REF!,))</f>
        <v>#NAME?</v>
      </c>
      <c r="W862" s="8" t="e">
        <f t="array" aca="1" ref="W862" ca="1">IF($C$4="Giao", _xludf.Xlookup(C862,#REF!,#REF!,),)</f>
        <v>#NAME?</v>
      </c>
      <c r="X862" s="9" t="e">
        <f t="shared" ca="1" si="10"/>
        <v>#NAME?</v>
      </c>
      <c r="Y862" s="7"/>
      <c r="Z862" s="7"/>
    </row>
    <row r="863" spans="1:26" ht="13" x14ac:dyDescent="0.6">
      <c r="A863" s="28" t="str">
        <f t="shared" si="9"/>
        <v/>
      </c>
      <c r="B863" s="7"/>
      <c r="C863" s="7"/>
      <c r="D863" s="9"/>
      <c r="E863" s="9"/>
      <c r="F863" s="7"/>
      <c r="G863" s="7"/>
      <c r="H863" s="7"/>
      <c r="I863" s="7"/>
      <c r="J863" s="7"/>
      <c r="K863" s="7"/>
      <c r="L863" s="7"/>
      <c r="M863" s="7"/>
      <c r="N863" s="7"/>
      <c r="O863" s="7"/>
      <c r="P863" s="29"/>
      <c r="Q863" s="29"/>
      <c r="R863" s="7"/>
      <c r="S863" s="7"/>
      <c r="T863" s="7" t="str">
        <f ca="1">IFERROR(__xludf.DUMMYFUNCTION("SPARKLINE({
IF(D863="""",0,D863),
IF(F863="""",0,F863),
IF(H863="""",0,H863),
IF(J863="""",0,J863),
IF(L863="""",0,L863),
IF(N863="""",0,N863),
IF(P863="""",0,P863)
})"),"")</f>
        <v/>
      </c>
      <c r="U863" s="7" t="str">
        <f ca="1">IFERROR(__xludf.DUMMYFUNCTION("SPARKLINE({
IF(E863="""",0,E863),
IF(G863="""",0,G863),
IF(I863="""",0,I863),
IF(K863="""",0,K863),
IF(M863="""",0,M863),
IF(O863="""",0,O863),
IF(Q863="""",0,Q863)
})"),"")</f>
        <v/>
      </c>
      <c r="V863" s="8" t="e">
        <f t="array" aca="1" ref="V863" ca="1">IF($C$4="Giao",_xludf.Xlookup(C863,#REF!,#REF!,),_xludf.Xlookup(C863,#REF!,#REF!,))</f>
        <v>#NAME?</v>
      </c>
      <c r="W863" s="8" t="e">
        <f t="array" aca="1" ref="W863" ca="1">IF($C$4="Giao", _xludf.Xlookup(C863,#REF!,#REF!,),)</f>
        <v>#NAME?</v>
      </c>
      <c r="X863" s="9" t="e">
        <f t="shared" ca="1" si="10"/>
        <v>#NAME?</v>
      </c>
      <c r="Y863" s="7"/>
      <c r="Z863" s="7"/>
    </row>
    <row r="864" spans="1:26" ht="13" x14ac:dyDescent="0.6">
      <c r="A864" s="28" t="str">
        <f t="shared" si="9"/>
        <v/>
      </c>
      <c r="B864" s="7"/>
      <c r="C864" s="7"/>
      <c r="D864" s="9"/>
      <c r="E864" s="9"/>
      <c r="F864" s="7"/>
      <c r="G864" s="7"/>
      <c r="H864" s="7"/>
      <c r="I864" s="7"/>
      <c r="J864" s="7"/>
      <c r="K864" s="7"/>
      <c r="L864" s="7"/>
      <c r="M864" s="7"/>
      <c r="N864" s="7"/>
      <c r="O864" s="7"/>
      <c r="P864" s="29"/>
      <c r="Q864" s="29"/>
      <c r="R864" s="7"/>
      <c r="S864" s="7"/>
      <c r="T864" s="7" t="str">
        <f ca="1">IFERROR(__xludf.DUMMYFUNCTION("SPARKLINE({
IF(D864="""",0,D864),
IF(F864="""",0,F864),
IF(H864="""",0,H864),
IF(J864="""",0,J864),
IF(L864="""",0,L864),
IF(N864="""",0,N864),
IF(P864="""",0,P864)
})"),"")</f>
        <v/>
      </c>
      <c r="U864" s="7" t="str">
        <f ca="1">IFERROR(__xludf.DUMMYFUNCTION("SPARKLINE({
IF(E864="""",0,E864),
IF(G864="""",0,G864),
IF(I864="""",0,I864),
IF(K864="""",0,K864),
IF(M864="""",0,M864),
IF(O864="""",0,O864),
IF(Q864="""",0,Q864)
})"),"")</f>
        <v/>
      </c>
      <c r="V864" s="8" t="e">
        <f t="array" aca="1" ref="V864" ca="1">IF($C$4="Giao",_xludf.Xlookup(C864,#REF!,#REF!,),_xludf.Xlookup(C864,#REF!,#REF!,))</f>
        <v>#NAME?</v>
      </c>
      <c r="W864" s="8" t="e">
        <f t="array" aca="1" ref="W864" ca="1">IF($C$4="Giao", _xludf.Xlookup(C864,#REF!,#REF!,),)</f>
        <v>#NAME?</v>
      </c>
      <c r="X864" s="9" t="e">
        <f t="shared" ca="1" si="10"/>
        <v>#NAME?</v>
      </c>
      <c r="Y864" s="7"/>
      <c r="Z864" s="7"/>
    </row>
    <row r="865" spans="1:26" ht="13" x14ac:dyDescent="0.6">
      <c r="A865" s="28" t="str">
        <f t="shared" si="9"/>
        <v/>
      </c>
      <c r="B865" s="7"/>
      <c r="C865" s="7"/>
      <c r="D865" s="9"/>
      <c r="E865" s="9"/>
      <c r="F865" s="7"/>
      <c r="G865" s="7"/>
      <c r="H865" s="7"/>
      <c r="I865" s="7"/>
      <c r="J865" s="7"/>
      <c r="K865" s="7"/>
      <c r="L865" s="7"/>
      <c r="M865" s="7"/>
      <c r="N865" s="7"/>
      <c r="O865" s="7"/>
      <c r="P865" s="29"/>
      <c r="Q865" s="29"/>
      <c r="R865" s="7"/>
      <c r="S865" s="7"/>
      <c r="T865" s="7" t="str">
        <f ca="1">IFERROR(__xludf.DUMMYFUNCTION("SPARKLINE({
IF(D865="""",0,D865),
IF(F865="""",0,F865),
IF(H865="""",0,H865),
IF(J865="""",0,J865),
IF(L865="""",0,L865),
IF(N865="""",0,N865),
IF(P865="""",0,P865)
})"),"")</f>
        <v/>
      </c>
      <c r="U865" s="7" t="str">
        <f ca="1">IFERROR(__xludf.DUMMYFUNCTION("SPARKLINE({
IF(E865="""",0,E865),
IF(G865="""",0,G865),
IF(I865="""",0,I865),
IF(K865="""",0,K865),
IF(M865="""",0,M865),
IF(O865="""",0,O865),
IF(Q865="""",0,Q865)
})"),"")</f>
        <v/>
      </c>
      <c r="V865" s="8" t="e">
        <f t="array" aca="1" ref="V865" ca="1">IF($C$4="Giao",_xludf.Xlookup(C865,#REF!,#REF!,),_xludf.Xlookup(C865,#REF!,#REF!,))</f>
        <v>#NAME?</v>
      </c>
      <c r="W865" s="8" t="e">
        <f t="array" aca="1" ref="W865" ca="1">IF($C$4="Giao", _xludf.Xlookup(C865,#REF!,#REF!,),)</f>
        <v>#NAME?</v>
      </c>
      <c r="X865" s="9" t="e">
        <f t="shared" ca="1" si="10"/>
        <v>#NAME?</v>
      </c>
      <c r="Y865" s="7"/>
      <c r="Z865" s="7"/>
    </row>
    <row r="866" spans="1:26" ht="13" x14ac:dyDescent="0.6">
      <c r="A866" s="28" t="str">
        <f t="shared" si="9"/>
        <v/>
      </c>
      <c r="B866" s="7"/>
      <c r="C866" s="7"/>
      <c r="D866" s="9"/>
      <c r="E866" s="9"/>
      <c r="F866" s="7"/>
      <c r="G866" s="7"/>
      <c r="H866" s="7"/>
      <c r="I866" s="7"/>
      <c r="J866" s="7"/>
      <c r="K866" s="7"/>
      <c r="L866" s="7"/>
      <c r="M866" s="7"/>
      <c r="N866" s="7"/>
      <c r="O866" s="7"/>
      <c r="P866" s="29"/>
      <c r="Q866" s="29"/>
      <c r="R866" s="7"/>
      <c r="S866" s="7"/>
      <c r="T866" s="7" t="str">
        <f ca="1">IFERROR(__xludf.DUMMYFUNCTION("SPARKLINE({
IF(D866="""",0,D866),
IF(F866="""",0,F866),
IF(H866="""",0,H866),
IF(J866="""",0,J866),
IF(L866="""",0,L866),
IF(N866="""",0,N866),
IF(P866="""",0,P866)
})"),"")</f>
        <v/>
      </c>
      <c r="U866" s="7" t="str">
        <f ca="1">IFERROR(__xludf.DUMMYFUNCTION("SPARKLINE({
IF(E866="""",0,E866),
IF(G866="""",0,G866),
IF(I866="""",0,I866),
IF(K866="""",0,K866),
IF(M866="""",0,M866),
IF(O866="""",0,O866),
IF(Q866="""",0,Q866)
})"),"")</f>
        <v/>
      </c>
      <c r="V866" s="8" t="e">
        <f t="array" aca="1" ref="V866" ca="1">IF($C$4="Giao",_xludf.Xlookup(C866,#REF!,#REF!,),_xludf.Xlookup(C866,#REF!,#REF!,))</f>
        <v>#NAME?</v>
      </c>
      <c r="W866" s="8" t="e">
        <f t="array" aca="1" ref="W866" ca="1">IF($C$4="Giao", _xludf.Xlookup(C866,#REF!,#REF!,),)</f>
        <v>#NAME?</v>
      </c>
      <c r="X866" s="9" t="e">
        <f t="shared" ca="1" si="10"/>
        <v>#NAME?</v>
      </c>
      <c r="Y866" s="7"/>
      <c r="Z866" s="7"/>
    </row>
    <row r="867" spans="1:26" ht="13" x14ac:dyDescent="0.6">
      <c r="A867" s="28" t="str">
        <f t="shared" si="9"/>
        <v/>
      </c>
      <c r="B867" s="7"/>
      <c r="C867" s="7"/>
      <c r="D867" s="9"/>
      <c r="E867" s="9"/>
      <c r="F867" s="7"/>
      <c r="G867" s="7"/>
      <c r="H867" s="7"/>
      <c r="I867" s="7"/>
      <c r="J867" s="7"/>
      <c r="K867" s="7"/>
      <c r="L867" s="7"/>
      <c r="M867" s="7"/>
      <c r="N867" s="7"/>
      <c r="O867" s="7"/>
      <c r="P867" s="29"/>
      <c r="Q867" s="29"/>
      <c r="R867" s="7"/>
      <c r="S867" s="7"/>
      <c r="T867" s="7" t="str">
        <f ca="1">IFERROR(__xludf.DUMMYFUNCTION("SPARKLINE({
IF(D867="""",0,D867),
IF(F867="""",0,F867),
IF(H867="""",0,H867),
IF(J867="""",0,J867),
IF(L867="""",0,L867),
IF(N867="""",0,N867),
IF(P867="""",0,P867)
})"),"")</f>
        <v/>
      </c>
      <c r="U867" s="7" t="str">
        <f ca="1">IFERROR(__xludf.DUMMYFUNCTION("SPARKLINE({
IF(E867="""",0,E867),
IF(G867="""",0,G867),
IF(I867="""",0,I867),
IF(K867="""",0,K867),
IF(M867="""",0,M867),
IF(O867="""",0,O867),
IF(Q867="""",0,Q867)
})"),"")</f>
        <v/>
      </c>
      <c r="V867" s="8" t="e">
        <f t="array" aca="1" ref="V867" ca="1">IF($C$4="Giao",_xludf.Xlookup(C867,#REF!,#REF!,),_xludf.Xlookup(C867,#REF!,#REF!,))</f>
        <v>#NAME?</v>
      </c>
      <c r="W867" s="8" t="e">
        <f t="array" aca="1" ref="W867" ca="1">IF($C$4="Giao", _xludf.Xlookup(C867,#REF!,#REF!,),)</f>
        <v>#NAME?</v>
      </c>
      <c r="X867" s="9" t="e">
        <f t="shared" ca="1" si="10"/>
        <v>#NAME?</v>
      </c>
      <c r="Y867" s="7"/>
      <c r="Z867" s="7"/>
    </row>
    <row r="868" spans="1:26" ht="13" x14ac:dyDescent="0.6">
      <c r="A868" s="28" t="str">
        <f t="shared" si="9"/>
        <v/>
      </c>
      <c r="B868" s="7"/>
      <c r="C868" s="7"/>
      <c r="D868" s="9"/>
      <c r="E868" s="9"/>
      <c r="F868" s="7"/>
      <c r="G868" s="7"/>
      <c r="H868" s="7"/>
      <c r="I868" s="7"/>
      <c r="J868" s="7"/>
      <c r="K868" s="7"/>
      <c r="L868" s="7"/>
      <c r="M868" s="7"/>
      <c r="N868" s="7"/>
      <c r="O868" s="7"/>
      <c r="P868" s="29"/>
      <c r="Q868" s="29"/>
      <c r="R868" s="7"/>
      <c r="S868" s="7"/>
      <c r="T868" s="7" t="str">
        <f ca="1">IFERROR(__xludf.DUMMYFUNCTION("SPARKLINE({
IF(D868="""",0,D868),
IF(F868="""",0,F868),
IF(H868="""",0,H868),
IF(J868="""",0,J868),
IF(L868="""",0,L868),
IF(N868="""",0,N868),
IF(P868="""",0,P868)
})"),"")</f>
        <v/>
      </c>
      <c r="U868" s="7" t="str">
        <f ca="1">IFERROR(__xludf.DUMMYFUNCTION("SPARKLINE({
IF(E868="""",0,E868),
IF(G868="""",0,G868),
IF(I868="""",0,I868),
IF(K868="""",0,K868),
IF(M868="""",0,M868),
IF(O868="""",0,O868),
IF(Q868="""",0,Q868)
})"),"")</f>
        <v/>
      </c>
      <c r="V868" s="8" t="e">
        <f t="array" aca="1" ref="V868" ca="1">IF($C$4="Giao",_xludf.Xlookup(C868,#REF!,#REF!,),_xludf.Xlookup(C868,#REF!,#REF!,))</f>
        <v>#NAME?</v>
      </c>
      <c r="W868" s="8" t="e">
        <f t="array" aca="1" ref="W868" ca="1">IF($C$4="Giao", _xludf.Xlookup(C868,#REF!,#REF!,),)</f>
        <v>#NAME?</v>
      </c>
      <c r="X868" s="9" t="e">
        <f t="shared" ca="1" si="10"/>
        <v>#NAME?</v>
      </c>
      <c r="Y868" s="7"/>
      <c r="Z868" s="7"/>
    </row>
    <row r="869" spans="1:26" ht="13" x14ac:dyDescent="0.6">
      <c r="A869" s="28" t="str">
        <f t="shared" si="9"/>
        <v/>
      </c>
      <c r="B869" s="7"/>
      <c r="C869" s="7"/>
      <c r="D869" s="9"/>
      <c r="E869" s="9"/>
      <c r="F869" s="7"/>
      <c r="G869" s="7"/>
      <c r="H869" s="7"/>
      <c r="I869" s="7"/>
      <c r="J869" s="7"/>
      <c r="K869" s="7"/>
      <c r="L869" s="7"/>
      <c r="M869" s="7"/>
      <c r="N869" s="7"/>
      <c r="O869" s="7"/>
      <c r="P869" s="29"/>
      <c r="Q869" s="29"/>
      <c r="R869" s="7"/>
      <c r="S869" s="7"/>
      <c r="T869" s="7" t="str">
        <f ca="1">IFERROR(__xludf.DUMMYFUNCTION("SPARKLINE({
IF(D869="""",0,D869),
IF(F869="""",0,F869),
IF(H869="""",0,H869),
IF(J869="""",0,J869),
IF(L869="""",0,L869),
IF(N869="""",0,N869),
IF(P869="""",0,P869)
})"),"")</f>
        <v/>
      </c>
      <c r="U869" s="7" t="str">
        <f ca="1">IFERROR(__xludf.DUMMYFUNCTION("SPARKLINE({
IF(E869="""",0,E869),
IF(G869="""",0,G869),
IF(I869="""",0,I869),
IF(K869="""",0,K869),
IF(M869="""",0,M869),
IF(O869="""",0,O869),
IF(Q869="""",0,Q869)
})"),"")</f>
        <v/>
      </c>
      <c r="V869" s="8" t="e">
        <f t="array" aca="1" ref="V869" ca="1">IF($C$4="Giao",_xludf.Xlookup(C869,#REF!,#REF!,),_xludf.Xlookup(C869,#REF!,#REF!,))</f>
        <v>#NAME?</v>
      </c>
      <c r="W869" s="8" t="e">
        <f t="array" aca="1" ref="W869" ca="1">IF($C$4="Giao", _xludf.Xlookup(C869,#REF!,#REF!,),)</f>
        <v>#NAME?</v>
      </c>
      <c r="X869" s="9" t="e">
        <f t="shared" ca="1" si="10"/>
        <v>#NAME?</v>
      </c>
      <c r="Y869" s="7"/>
      <c r="Z869" s="7"/>
    </row>
    <row r="870" spans="1:26" ht="13" x14ac:dyDescent="0.6">
      <c r="A870" s="28" t="str">
        <f t="shared" si="9"/>
        <v/>
      </c>
      <c r="B870" s="7"/>
      <c r="C870" s="7"/>
      <c r="D870" s="9"/>
      <c r="E870" s="9"/>
      <c r="F870" s="7"/>
      <c r="G870" s="7"/>
      <c r="H870" s="7"/>
      <c r="I870" s="7"/>
      <c r="J870" s="7"/>
      <c r="K870" s="7"/>
      <c r="L870" s="7"/>
      <c r="M870" s="7"/>
      <c r="N870" s="7"/>
      <c r="O870" s="7"/>
      <c r="P870" s="29"/>
      <c r="Q870" s="29"/>
      <c r="R870" s="7"/>
      <c r="S870" s="7"/>
      <c r="T870" s="7" t="str">
        <f ca="1">IFERROR(__xludf.DUMMYFUNCTION("SPARKLINE({
IF(D870="""",0,D870),
IF(F870="""",0,F870),
IF(H870="""",0,H870),
IF(J870="""",0,J870),
IF(L870="""",0,L870),
IF(N870="""",0,N870),
IF(P870="""",0,P870)
})"),"")</f>
        <v/>
      </c>
      <c r="U870" s="7" t="str">
        <f ca="1">IFERROR(__xludf.DUMMYFUNCTION("SPARKLINE({
IF(E870="""",0,E870),
IF(G870="""",0,G870),
IF(I870="""",0,I870),
IF(K870="""",0,K870),
IF(M870="""",0,M870),
IF(O870="""",0,O870),
IF(Q870="""",0,Q870)
})"),"")</f>
        <v/>
      </c>
      <c r="V870" s="8" t="e">
        <f t="array" aca="1" ref="V870" ca="1">IF($C$4="Giao",_xludf.Xlookup(C870,#REF!,#REF!,),_xludf.Xlookup(C870,#REF!,#REF!,))</f>
        <v>#NAME?</v>
      </c>
      <c r="W870" s="8" t="e">
        <f t="array" aca="1" ref="W870" ca="1">IF($C$4="Giao", _xludf.Xlookup(C870,#REF!,#REF!,),)</f>
        <v>#NAME?</v>
      </c>
      <c r="X870" s="9" t="e">
        <f t="shared" ca="1" si="10"/>
        <v>#NAME?</v>
      </c>
      <c r="Y870" s="7"/>
      <c r="Z870" s="7"/>
    </row>
    <row r="871" spans="1:26" ht="13" x14ac:dyDescent="0.6">
      <c r="A871" s="28" t="str">
        <f t="shared" si="9"/>
        <v/>
      </c>
      <c r="B871" s="7"/>
      <c r="C871" s="7"/>
      <c r="D871" s="9"/>
      <c r="E871" s="9"/>
      <c r="F871" s="7"/>
      <c r="G871" s="7"/>
      <c r="H871" s="7"/>
      <c r="I871" s="7"/>
      <c r="J871" s="7"/>
      <c r="K871" s="7"/>
      <c r="L871" s="7"/>
      <c r="M871" s="7"/>
      <c r="N871" s="7"/>
      <c r="O871" s="7"/>
      <c r="P871" s="29"/>
      <c r="Q871" s="29"/>
      <c r="R871" s="7"/>
      <c r="S871" s="7"/>
      <c r="T871" s="7" t="str">
        <f ca="1">IFERROR(__xludf.DUMMYFUNCTION("SPARKLINE({
IF(D871="""",0,D871),
IF(F871="""",0,F871),
IF(H871="""",0,H871),
IF(J871="""",0,J871),
IF(L871="""",0,L871),
IF(N871="""",0,N871),
IF(P871="""",0,P871)
})"),"")</f>
        <v/>
      </c>
      <c r="U871" s="7" t="str">
        <f ca="1">IFERROR(__xludf.DUMMYFUNCTION("SPARKLINE({
IF(E871="""",0,E871),
IF(G871="""",0,G871),
IF(I871="""",0,I871),
IF(K871="""",0,K871),
IF(M871="""",0,M871),
IF(O871="""",0,O871),
IF(Q871="""",0,Q871)
})"),"")</f>
        <v/>
      </c>
      <c r="V871" s="8" t="e">
        <f t="array" aca="1" ref="V871" ca="1">IF($C$4="Giao",_xludf.Xlookup(C871,#REF!,#REF!,),_xludf.Xlookup(C871,#REF!,#REF!,))</f>
        <v>#NAME?</v>
      </c>
      <c r="W871" s="8" t="e">
        <f t="array" aca="1" ref="W871" ca="1">IF($C$4="Giao", _xludf.Xlookup(C871,#REF!,#REF!,),)</f>
        <v>#NAME?</v>
      </c>
      <c r="X871" s="9" t="e">
        <f t="shared" ca="1" si="10"/>
        <v>#NAME?</v>
      </c>
      <c r="Y871" s="7"/>
      <c r="Z871" s="7"/>
    </row>
    <row r="872" spans="1:26" ht="13" x14ac:dyDescent="0.6">
      <c r="A872" s="28" t="str">
        <f t="shared" si="9"/>
        <v/>
      </c>
      <c r="B872" s="7"/>
      <c r="C872" s="7"/>
      <c r="D872" s="9"/>
      <c r="E872" s="9"/>
      <c r="F872" s="7"/>
      <c r="G872" s="7"/>
      <c r="H872" s="7"/>
      <c r="I872" s="7"/>
      <c r="J872" s="7"/>
      <c r="K872" s="7"/>
      <c r="L872" s="7"/>
      <c r="M872" s="7"/>
      <c r="N872" s="7"/>
      <c r="O872" s="7"/>
      <c r="P872" s="29"/>
      <c r="Q872" s="29"/>
      <c r="R872" s="7"/>
      <c r="S872" s="7"/>
      <c r="T872" s="7" t="str">
        <f ca="1">IFERROR(__xludf.DUMMYFUNCTION("SPARKLINE({
IF(D872="""",0,D872),
IF(F872="""",0,F872),
IF(H872="""",0,H872),
IF(J872="""",0,J872),
IF(L872="""",0,L872),
IF(N872="""",0,N872),
IF(P872="""",0,P872)
})"),"")</f>
        <v/>
      </c>
      <c r="U872" s="7" t="str">
        <f ca="1">IFERROR(__xludf.DUMMYFUNCTION("SPARKLINE({
IF(E872="""",0,E872),
IF(G872="""",0,G872),
IF(I872="""",0,I872),
IF(K872="""",0,K872),
IF(M872="""",0,M872),
IF(O872="""",0,O872),
IF(Q872="""",0,Q872)
})"),"")</f>
        <v/>
      </c>
      <c r="V872" s="8" t="e">
        <f t="array" aca="1" ref="V872" ca="1">IF($C$4="Giao",_xludf.Xlookup(C872,#REF!,#REF!,),_xludf.Xlookup(C872,#REF!,#REF!,))</f>
        <v>#NAME?</v>
      </c>
      <c r="W872" s="8" t="e">
        <f t="array" aca="1" ref="W872" ca="1">IF($C$4="Giao", _xludf.Xlookup(C872,#REF!,#REF!,),)</f>
        <v>#NAME?</v>
      </c>
      <c r="X872" s="9" t="e">
        <f t="shared" ca="1" si="10"/>
        <v>#NAME?</v>
      </c>
      <c r="Y872" s="7"/>
      <c r="Z872" s="7"/>
    </row>
    <row r="873" spans="1:26" ht="13" x14ac:dyDescent="0.6">
      <c r="A873" s="28" t="str">
        <f t="shared" si="9"/>
        <v/>
      </c>
      <c r="B873" s="7"/>
      <c r="C873" s="7"/>
      <c r="D873" s="9"/>
      <c r="E873" s="9"/>
      <c r="F873" s="7"/>
      <c r="G873" s="7"/>
      <c r="H873" s="7"/>
      <c r="I873" s="7"/>
      <c r="J873" s="7"/>
      <c r="K873" s="7"/>
      <c r="L873" s="7"/>
      <c r="M873" s="7"/>
      <c r="N873" s="7"/>
      <c r="O873" s="7"/>
      <c r="P873" s="29"/>
      <c r="Q873" s="29"/>
      <c r="R873" s="7"/>
      <c r="S873" s="7"/>
      <c r="T873" s="7" t="str">
        <f ca="1">IFERROR(__xludf.DUMMYFUNCTION("SPARKLINE({
IF(D873="""",0,D873),
IF(F873="""",0,F873),
IF(H873="""",0,H873),
IF(J873="""",0,J873),
IF(L873="""",0,L873),
IF(N873="""",0,N873),
IF(P873="""",0,P873)
})"),"")</f>
        <v/>
      </c>
      <c r="U873" s="7" t="str">
        <f ca="1">IFERROR(__xludf.DUMMYFUNCTION("SPARKLINE({
IF(E873="""",0,E873),
IF(G873="""",0,G873),
IF(I873="""",0,I873),
IF(K873="""",0,K873),
IF(M873="""",0,M873),
IF(O873="""",0,O873),
IF(Q873="""",0,Q873)
})"),"")</f>
        <v/>
      </c>
      <c r="V873" s="8" t="e">
        <f t="array" aca="1" ref="V873" ca="1">IF($C$4="Giao",_xludf.Xlookup(C873,#REF!,#REF!,),_xludf.Xlookup(C873,#REF!,#REF!,))</f>
        <v>#NAME?</v>
      </c>
      <c r="W873" s="8" t="e">
        <f t="array" aca="1" ref="W873" ca="1">IF($C$4="Giao", _xludf.Xlookup(C873,#REF!,#REF!,),)</f>
        <v>#NAME?</v>
      </c>
      <c r="X873" s="9" t="e">
        <f t="shared" ca="1" si="10"/>
        <v>#NAME?</v>
      </c>
      <c r="Y873" s="7"/>
      <c r="Z873" s="7"/>
    </row>
    <row r="874" spans="1:26" ht="13" x14ac:dyDescent="0.6">
      <c r="A874" s="28" t="str">
        <f t="shared" si="9"/>
        <v/>
      </c>
      <c r="B874" s="7"/>
      <c r="C874" s="7"/>
      <c r="D874" s="9"/>
      <c r="E874" s="9"/>
      <c r="F874" s="7"/>
      <c r="G874" s="7"/>
      <c r="H874" s="7"/>
      <c r="I874" s="7"/>
      <c r="J874" s="7"/>
      <c r="K874" s="7"/>
      <c r="L874" s="7"/>
      <c r="M874" s="7"/>
      <c r="N874" s="7"/>
      <c r="O874" s="7"/>
      <c r="P874" s="29"/>
      <c r="Q874" s="29"/>
      <c r="R874" s="7"/>
      <c r="S874" s="7"/>
      <c r="T874" s="7" t="str">
        <f ca="1">IFERROR(__xludf.DUMMYFUNCTION("SPARKLINE({
IF(D874="""",0,D874),
IF(F874="""",0,F874),
IF(H874="""",0,H874),
IF(J874="""",0,J874),
IF(L874="""",0,L874),
IF(N874="""",0,N874),
IF(P874="""",0,P874)
})"),"")</f>
        <v/>
      </c>
      <c r="U874" s="7" t="str">
        <f ca="1">IFERROR(__xludf.DUMMYFUNCTION("SPARKLINE({
IF(E874="""",0,E874),
IF(G874="""",0,G874),
IF(I874="""",0,I874),
IF(K874="""",0,K874),
IF(M874="""",0,M874),
IF(O874="""",0,O874),
IF(Q874="""",0,Q874)
})"),"")</f>
        <v/>
      </c>
      <c r="V874" s="8" t="e">
        <f t="array" aca="1" ref="V874" ca="1">IF($C$4="Giao",_xludf.Xlookup(C874,#REF!,#REF!,),_xludf.Xlookup(C874,#REF!,#REF!,))</f>
        <v>#NAME?</v>
      </c>
      <c r="W874" s="8" t="e">
        <f t="array" aca="1" ref="W874" ca="1">IF($C$4="Giao", _xludf.Xlookup(C874,#REF!,#REF!,),)</f>
        <v>#NAME?</v>
      </c>
      <c r="X874" s="9" t="e">
        <f t="shared" ca="1" si="10"/>
        <v>#NAME?</v>
      </c>
      <c r="Y874" s="7"/>
      <c r="Z874" s="7"/>
    </row>
    <row r="875" spans="1:26" ht="13" x14ac:dyDescent="0.6">
      <c r="A875" s="28" t="str">
        <f t="shared" si="9"/>
        <v/>
      </c>
      <c r="B875" s="7"/>
      <c r="C875" s="7"/>
      <c r="D875" s="9"/>
      <c r="E875" s="9"/>
      <c r="F875" s="7"/>
      <c r="G875" s="7"/>
      <c r="H875" s="7"/>
      <c r="I875" s="7"/>
      <c r="J875" s="7"/>
      <c r="K875" s="7"/>
      <c r="L875" s="7"/>
      <c r="M875" s="7"/>
      <c r="N875" s="7"/>
      <c r="O875" s="7"/>
      <c r="P875" s="29"/>
      <c r="Q875" s="29"/>
      <c r="R875" s="7"/>
      <c r="S875" s="7"/>
      <c r="T875" s="7" t="str">
        <f ca="1">IFERROR(__xludf.DUMMYFUNCTION("SPARKLINE({
IF(D875="""",0,D875),
IF(F875="""",0,F875),
IF(H875="""",0,H875),
IF(J875="""",0,J875),
IF(L875="""",0,L875),
IF(N875="""",0,N875),
IF(P875="""",0,P875)
})"),"")</f>
        <v/>
      </c>
      <c r="U875" s="7" t="str">
        <f ca="1">IFERROR(__xludf.DUMMYFUNCTION("SPARKLINE({
IF(E875="""",0,E875),
IF(G875="""",0,G875),
IF(I875="""",0,I875),
IF(K875="""",0,K875),
IF(M875="""",0,M875),
IF(O875="""",0,O875),
IF(Q875="""",0,Q875)
})"),"")</f>
        <v/>
      </c>
      <c r="V875" s="8" t="e">
        <f t="array" aca="1" ref="V875" ca="1">IF($C$4="Giao",_xludf.Xlookup(C875,#REF!,#REF!,),_xludf.Xlookup(C875,#REF!,#REF!,))</f>
        <v>#NAME?</v>
      </c>
      <c r="W875" s="8" t="e">
        <f t="array" aca="1" ref="W875" ca="1">IF($C$4="Giao", _xludf.Xlookup(C875,#REF!,#REF!,),)</f>
        <v>#NAME?</v>
      </c>
      <c r="X875" s="9" t="e">
        <f t="shared" ca="1" si="10"/>
        <v>#NAME?</v>
      </c>
      <c r="Y875" s="7"/>
      <c r="Z875" s="7"/>
    </row>
    <row r="876" spans="1:26" ht="13" x14ac:dyDescent="0.6">
      <c r="A876" s="28" t="str">
        <f t="shared" si="9"/>
        <v/>
      </c>
      <c r="B876" s="7"/>
      <c r="C876" s="7"/>
      <c r="D876" s="9"/>
      <c r="E876" s="9"/>
      <c r="F876" s="7"/>
      <c r="G876" s="7"/>
      <c r="H876" s="7"/>
      <c r="I876" s="7"/>
      <c r="J876" s="7"/>
      <c r="K876" s="7"/>
      <c r="L876" s="7"/>
      <c r="M876" s="7"/>
      <c r="N876" s="7"/>
      <c r="O876" s="7"/>
      <c r="P876" s="29"/>
      <c r="Q876" s="29"/>
      <c r="R876" s="7"/>
      <c r="S876" s="7"/>
      <c r="T876" s="7" t="str">
        <f ca="1">IFERROR(__xludf.DUMMYFUNCTION("SPARKLINE({
IF(D876="""",0,D876),
IF(F876="""",0,F876),
IF(H876="""",0,H876),
IF(J876="""",0,J876),
IF(L876="""",0,L876),
IF(N876="""",0,N876),
IF(P876="""",0,P876)
})"),"")</f>
        <v/>
      </c>
      <c r="U876" s="7" t="str">
        <f ca="1">IFERROR(__xludf.DUMMYFUNCTION("SPARKLINE({
IF(E876="""",0,E876),
IF(G876="""",0,G876),
IF(I876="""",0,I876),
IF(K876="""",0,K876),
IF(M876="""",0,M876),
IF(O876="""",0,O876),
IF(Q876="""",0,Q876)
})"),"")</f>
        <v/>
      </c>
      <c r="V876" s="8" t="e">
        <f t="array" aca="1" ref="V876" ca="1">IF($C$4="Giao",_xludf.Xlookup(C876,#REF!,#REF!,),_xludf.Xlookup(C876,#REF!,#REF!,))</f>
        <v>#NAME?</v>
      </c>
      <c r="W876" s="8" t="e">
        <f t="array" aca="1" ref="W876" ca="1">IF($C$4="Giao", _xludf.Xlookup(C876,#REF!,#REF!,),)</f>
        <v>#NAME?</v>
      </c>
      <c r="X876" s="9" t="e">
        <f t="shared" ca="1" si="10"/>
        <v>#NAME?</v>
      </c>
      <c r="Y876" s="7"/>
      <c r="Z876" s="7"/>
    </row>
    <row r="877" spans="1:26" ht="13" x14ac:dyDescent="0.6">
      <c r="A877" s="28" t="str">
        <f t="shared" si="9"/>
        <v/>
      </c>
      <c r="B877" s="7"/>
      <c r="C877" s="7"/>
      <c r="D877" s="9"/>
      <c r="E877" s="9"/>
      <c r="F877" s="7"/>
      <c r="G877" s="7"/>
      <c r="H877" s="7"/>
      <c r="I877" s="7"/>
      <c r="J877" s="7"/>
      <c r="K877" s="7"/>
      <c r="L877" s="7"/>
      <c r="M877" s="7"/>
      <c r="N877" s="7"/>
      <c r="O877" s="7"/>
      <c r="P877" s="29"/>
      <c r="Q877" s="29"/>
      <c r="R877" s="7"/>
      <c r="S877" s="7"/>
      <c r="T877" s="7" t="str">
        <f ca="1">IFERROR(__xludf.DUMMYFUNCTION("SPARKLINE({
IF(D877="""",0,D877),
IF(F877="""",0,F877),
IF(H877="""",0,H877),
IF(J877="""",0,J877),
IF(L877="""",0,L877),
IF(N877="""",0,N877),
IF(P877="""",0,P877)
})"),"")</f>
        <v/>
      </c>
      <c r="U877" s="7" t="str">
        <f ca="1">IFERROR(__xludf.DUMMYFUNCTION("SPARKLINE({
IF(E877="""",0,E877),
IF(G877="""",0,G877),
IF(I877="""",0,I877),
IF(K877="""",0,K877),
IF(M877="""",0,M877),
IF(O877="""",0,O877),
IF(Q877="""",0,Q877)
})"),"")</f>
        <v/>
      </c>
      <c r="V877" s="8" t="e">
        <f t="array" aca="1" ref="V877" ca="1">IF($C$4="Giao",_xludf.Xlookup(C877,#REF!,#REF!,),_xludf.Xlookup(C877,#REF!,#REF!,))</f>
        <v>#NAME?</v>
      </c>
      <c r="W877" s="8" t="e">
        <f t="array" aca="1" ref="W877" ca="1">IF($C$4="Giao", _xludf.Xlookup(C877,#REF!,#REF!,),)</f>
        <v>#NAME?</v>
      </c>
      <c r="X877" s="9" t="e">
        <f t="shared" ca="1" si="10"/>
        <v>#NAME?</v>
      </c>
      <c r="Y877" s="7"/>
      <c r="Z877" s="7"/>
    </row>
    <row r="878" spans="1:26" ht="13" x14ac:dyDescent="0.6">
      <c r="A878" s="28" t="str">
        <f t="shared" si="9"/>
        <v/>
      </c>
      <c r="B878" s="7"/>
      <c r="C878" s="7"/>
      <c r="D878" s="9"/>
      <c r="E878" s="9"/>
      <c r="F878" s="7"/>
      <c r="G878" s="7"/>
      <c r="H878" s="7"/>
      <c r="I878" s="7"/>
      <c r="J878" s="7"/>
      <c r="K878" s="7"/>
      <c r="L878" s="7"/>
      <c r="M878" s="7"/>
      <c r="N878" s="7"/>
      <c r="O878" s="7"/>
      <c r="P878" s="29"/>
      <c r="Q878" s="29"/>
      <c r="R878" s="7"/>
      <c r="S878" s="7"/>
      <c r="T878" s="7" t="str">
        <f ca="1">IFERROR(__xludf.DUMMYFUNCTION("SPARKLINE({
IF(D878="""",0,D878),
IF(F878="""",0,F878),
IF(H878="""",0,H878),
IF(J878="""",0,J878),
IF(L878="""",0,L878),
IF(N878="""",0,N878),
IF(P878="""",0,P878)
})"),"")</f>
        <v/>
      </c>
      <c r="U878" s="7" t="str">
        <f ca="1">IFERROR(__xludf.DUMMYFUNCTION("SPARKLINE({
IF(E878="""",0,E878),
IF(G878="""",0,G878),
IF(I878="""",0,I878),
IF(K878="""",0,K878),
IF(M878="""",0,M878),
IF(O878="""",0,O878),
IF(Q878="""",0,Q878)
})"),"")</f>
        <v/>
      </c>
      <c r="V878" s="8" t="e">
        <f t="array" aca="1" ref="V878" ca="1">IF($C$4="Giao",_xludf.Xlookup(C878,#REF!,#REF!,),_xludf.Xlookup(C878,#REF!,#REF!,))</f>
        <v>#NAME?</v>
      </c>
      <c r="W878" s="8" t="e">
        <f t="array" aca="1" ref="W878" ca="1">IF($C$4="Giao", _xludf.Xlookup(C878,#REF!,#REF!,),)</f>
        <v>#NAME?</v>
      </c>
      <c r="X878" s="9" t="e">
        <f t="shared" ca="1" si="10"/>
        <v>#NAME?</v>
      </c>
      <c r="Y878" s="7"/>
      <c r="Z878" s="7"/>
    </row>
    <row r="879" spans="1:26" ht="13" x14ac:dyDescent="0.6">
      <c r="A879" s="28" t="str">
        <f t="shared" si="9"/>
        <v/>
      </c>
      <c r="B879" s="7"/>
      <c r="C879" s="7"/>
      <c r="D879" s="9"/>
      <c r="E879" s="9"/>
      <c r="F879" s="7"/>
      <c r="G879" s="7"/>
      <c r="H879" s="7"/>
      <c r="I879" s="7"/>
      <c r="J879" s="7"/>
      <c r="K879" s="7"/>
      <c r="L879" s="7"/>
      <c r="M879" s="7"/>
      <c r="N879" s="7"/>
      <c r="O879" s="7"/>
      <c r="P879" s="29"/>
      <c r="Q879" s="29"/>
      <c r="R879" s="7"/>
      <c r="S879" s="7"/>
      <c r="T879" s="7" t="str">
        <f ca="1">IFERROR(__xludf.DUMMYFUNCTION("SPARKLINE({
IF(D879="""",0,D879),
IF(F879="""",0,F879),
IF(H879="""",0,H879),
IF(J879="""",0,J879),
IF(L879="""",0,L879),
IF(N879="""",0,N879),
IF(P879="""",0,P879)
})"),"")</f>
        <v/>
      </c>
      <c r="U879" s="7" t="str">
        <f ca="1">IFERROR(__xludf.DUMMYFUNCTION("SPARKLINE({
IF(E879="""",0,E879),
IF(G879="""",0,G879),
IF(I879="""",0,I879),
IF(K879="""",0,K879),
IF(M879="""",0,M879),
IF(O879="""",0,O879),
IF(Q879="""",0,Q879)
})"),"")</f>
        <v/>
      </c>
      <c r="V879" s="8" t="e">
        <f t="array" aca="1" ref="V879" ca="1">IF($C$4="Giao",_xludf.Xlookup(C879,#REF!,#REF!,),_xludf.Xlookup(C879,#REF!,#REF!,))</f>
        <v>#NAME?</v>
      </c>
      <c r="W879" s="8" t="e">
        <f t="array" aca="1" ref="W879" ca="1">IF($C$4="Giao", _xludf.Xlookup(C879,#REF!,#REF!,),)</f>
        <v>#NAME?</v>
      </c>
      <c r="X879" s="9" t="e">
        <f t="shared" ca="1" si="10"/>
        <v>#NAME?</v>
      </c>
      <c r="Y879" s="7"/>
      <c r="Z879" s="7"/>
    </row>
    <row r="880" spans="1:26" ht="13" x14ac:dyDescent="0.6">
      <c r="A880" s="28" t="str">
        <f t="shared" si="9"/>
        <v/>
      </c>
      <c r="B880" s="7"/>
      <c r="C880" s="7"/>
      <c r="D880" s="9"/>
      <c r="E880" s="9"/>
      <c r="F880" s="7"/>
      <c r="G880" s="7"/>
      <c r="H880" s="7"/>
      <c r="I880" s="7"/>
      <c r="J880" s="7"/>
      <c r="K880" s="7"/>
      <c r="L880" s="7"/>
      <c r="M880" s="7"/>
      <c r="N880" s="7"/>
      <c r="O880" s="7"/>
      <c r="P880" s="29"/>
      <c r="Q880" s="29"/>
      <c r="R880" s="7"/>
      <c r="S880" s="7"/>
      <c r="T880" s="7" t="str">
        <f ca="1">IFERROR(__xludf.DUMMYFUNCTION("SPARKLINE({
IF(D880="""",0,D880),
IF(F880="""",0,F880),
IF(H880="""",0,H880),
IF(J880="""",0,J880),
IF(L880="""",0,L880),
IF(N880="""",0,N880),
IF(P880="""",0,P880)
})"),"")</f>
        <v/>
      </c>
      <c r="U880" s="7" t="str">
        <f ca="1">IFERROR(__xludf.DUMMYFUNCTION("SPARKLINE({
IF(E880="""",0,E880),
IF(G880="""",0,G880),
IF(I880="""",0,I880),
IF(K880="""",0,K880),
IF(M880="""",0,M880),
IF(O880="""",0,O880),
IF(Q880="""",0,Q880)
})"),"")</f>
        <v/>
      </c>
      <c r="V880" s="8" t="e">
        <f t="array" aca="1" ref="V880" ca="1">IF($C$4="Giao",_xludf.Xlookup(C880,#REF!,#REF!,),_xludf.Xlookup(C880,#REF!,#REF!,))</f>
        <v>#NAME?</v>
      </c>
      <c r="W880" s="8" t="e">
        <f t="array" aca="1" ref="W880" ca="1">IF($C$4="Giao", _xludf.Xlookup(C880,#REF!,#REF!,),)</f>
        <v>#NAME?</v>
      </c>
      <c r="X880" s="9" t="e">
        <f t="shared" ca="1" si="10"/>
        <v>#NAME?</v>
      </c>
      <c r="Y880" s="7"/>
      <c r="Z880" s="7"/>
    </row>
    <row r="881" spans="1:26" ht="13" x14ac:dyDescent="0.6">
      <c r="A881" s="28" t="str">
        <f t="shared" si="9"/>
        <v/>
      </c>
      <c r="B881" s="7"/>
      <c r="C881" s="7"/>
      <c r="D881" s="9"/>
      <c r="E881" s="9"/>
      <c r="F881" s="7"/>
      <c r="G881" s="7"/>
      <c r="H881" s="7"/>
      <c r="I881" s="7"/>
      <c r="J881" s="7"/>
      <c r="K881" s="7"/>
      <c r="L881" s="7"/>
      <c r="M881" s="7"/>
      <c r="N881" s="7"/>
      <c r="O881" s="7"/>
      <c r="P881" s="29"/>
      <c r="Q881" s="29"/>
      <c r="R881" s="7"/>
      <c r="S881" s="7"/>
      <c r="T881" s="7" t="str">
        <f ca="1">IFERROR(__xludf.DUMMYFUNCTION("SPARKLINE({
IF(D881="""",0,D881),
IF(F881="""",0,F881),
IF(H881="""",0,H881),
IF(J881="""",0,J881),
IF(L881="""",0,L881),
IF(N881="""",0,N881),
IF(P881="""",0,P881)
})"),"")</f>
        <v/>
      </c>
      <c r="U881" s="7" t="str">
        <f ca="1">IFERROR(__xludf.DUMMYFUNCTION("SPARKLINE({
IF(E881="""",0,E881),
IF(G881="""",0,G881),
IF(I881="""",0,I881),
IF(K881="""",0,K881),
IF(M881="""",0,M881),
IF(O881="""",0,O881),
IF(Q881="""",0,Q881)
})"),"")</f>
        <v/>
      </c>
      <c r="V881" s="8" t="e">
        <f t="array" aca="1" ref="V881" ca="1">IF($C$4="Giao",_xludf.Xlookup(C881,#REF!,#REF!,),_xludf.Xlookup(C881,#REF!,#REF!,))</f>
        <v>#NAME?</v>
      </c>
      <c r="W881" s="8" t="e">
        <f t="array" aca="1" ref="W881" ca="1">IF($C$4="Giao", _xludf.Xlookup(C881,#REF!,#REF!,),)</f>
        <v>#NAME?</v>
      </c>
      <c r="X881" s="9" t="e">
        <f t="shared" ca="1" si="10"/>
        <v>#NAME?</v>
      </c>
      <c r="Y881" s="7"/>
      <c r="Z881" s="7"/>
    </row>
    <row r="882" spans="1:26" ht="13" x14ac:dyDescent="0.6">
      <c r="A882" s="28" t="str">
        <f t="shared" si="9"/>
        <v/>
      </c>
      <c r="B882" s="7"/>
      <c r="C882" s="7"/>
      <c r="D882" s="9"/>
      <c r="E882" s="9"/>
      <c r="F882" s="7"/>
      <c r="G882" s="7"/>
      <c r="H882" s="7"/>
      <c r="I882" s="7"/>
      <c r="J882" s="7"/>
      <c r="K882" s="7"/>
      <c r="L882" s="7"/>
      <c r="M882" s="7"/>
      <c r="N882" s="7"/>
      <c r="O882" s="7"/>
      <c r="P882" s="29"/>
      <c r="Q882" s="29"/>
      <c r="R882" s="7"/>
      <c r="S882" s="7"/>
      <c r="T882" s="7" t="str">
        <f ca="1">IFERROR(__xludf.DUMMYFUNCTION("SPARKLINE({
IF(D882="""",0,D882),
IF(F882="""",0,F882),
IF(H882="""",0,H882),
IF(J882="""",0,J882),
IF(L882="""",0,L882),
IF(N882="""",0,N882),
IF(P882="""",0,P882)
})"),"")</f>
        <v/>
      </c>
      <c r="U882" s="7" t="str">
        <f ca="1">IFERROR(__xludf.DUMMYFUNCTION("SPARKLINE({
IF(E882="""",0,E882),
IF(G882="""",0,G882),
IF(I882="""",0,I882),
IF(K882="""",0,K882),
IF(M882="""",0,M882),
IF(O882="""",0,O882),
IF(Q882="""",0,Q882)
})"),"")</f>
        <v/>
      </c>
      <c r="V882" s="8" t="e">
        <f t="array" aca="1" ref="V882" ca="1">IF($C$4="Giao",_xludf.Xlookup(C882,#REF!,#REF!,),_xludf.Xlookup(C882,#REF!,#REF!,))</f>
        <v>#NAME?</v>
      </c>
      <c r="W882" s="8" t="e">
        <f t="array" aca="1" ref="W882" ca="1">IF($C$4="Giao", _xludf.Xlookup(C882,#REF!,#REF!,),)</f>
        <v>#NAME?</v>
      </c>
      <c r="X882" s="9" t="e">
        <f t="shared" ca="1" si="10"/>
        <v>#NAME?</v>
      </c>
      <c r="Y882" s="7"/>
      <c r="Z882" s="7"/>
    </row>
    <row r="883" spans="1:26" ht="13" x14ac:dyDescent="0.6">
      <c r="A883" s="28" t="str">
        <f t="shared" si="9"/>
        <v/>
      </c>
      <c r="B883" s="7"/>
      <c r="C883" s="7"/>
      <c r="D883" s="9"/>
      <c r="E883" s="9"/>
      <c r="F883" s="7"/>
      <c r="G883" s="7"/>
      <c r="H883" s="7"/>
      <c r="I883" s="7"/>
      <c r="J883" s="7"/>
      <c r="K883" s="7"/>
      <c r="L883" s="7"/>
      <c r="M883" s="7"/>
      <c r="N883" s="7"/>
      <c r="O883" s="7"/>
      <c r="P883" s="29"/>
      <c r="Q883" s="29"/>
      <c r="R883" s="7"/>
      <c r="S883" s="7"/>
      <c r="T883" s="7" t="str">
        <f ca="1">IFERROR(__xludf.DUMMYFUNCTION("SPARKLINE({
IF(D883="""",0,D883),
IF(F883="""",0,F883),
IF(H883="""",0,H883),
IF(J883="""",0,J883),
IF(L883="""",0,L883),
IF(N883="""",0,N883),
IF(P883="""",0,P883)
})"),"")</f>
        <v/>
      </c>
      <c r="U883" s="7" t="str">
        <f ca="1">IFERROR(__xludf.DUMMYFUNCTION("SPARKLINE({
IF(E883="""",0,E883),
IF(G883="""",0,G883),
IF(I883="""",0,I883),
IF(K883="""",0,K883),
IF(M883="""",0,M883),
IF(O883="""",0,O883),
IF(Q883="""",0,Q883)
})"),"")</f>
        <v/>
      </c>
      <c r="V883" s="8" t="e">
        <f t="array" aca="1" ref="V883" ca="1">IF($C$4="Giao",_xludf.Xlookup(C883,#REF!,#REF!,),_xludf.Xlookup(C883,#REF!,#REF!,))</f>
        <v>#NAME?</v>
      </c>
      <c r="W883" s="8" t="e">
        <f t="array" aca="1" ref="W883" ca="1">IF($C$4="Giao", _xludf.Xlookup(C883,#REF!,#REF!,),)</f>
        <v>#NAME?</v>
      </c>
      <c r="X883" s="9" t="e">
        <f t="shared" ca="1" si="10"/>
        <v>#NAME?</v>
      </c>
      <c r="Y883" s="7"/>
      <c r="Z883" s="7"/>
    </row>
    <row r="884" spans="1:26" ht="13" x14ac:dyDescent="0.6">
      <c r="A884" s="28" t="str">
        <f t="shared" si="9"/>
        <v/>
      </c>
      <c r="B884" s="7"/>
      <c r="C884" s="7"/>
      <c r="D884" s="9"/>
      <c r="E884" s="9"/>
      <c r="F884" s="7"/>
      <c r="G884" s="7"/>
      <c r="H884" s="7"/>
      <c r="I884" s="7"/>
      <c r="J884" s="7"/>
      <c r="K884" s="7"/>
      <c r="L884" s="7"/>
      <c r="M884" s="7"/>
      <c r="N884" s="7"/>
      <c r="O884" s="7"/>
      <c r="P884" s="29"/>
      <c r="Q884" s="29"/>
      <c r="R884" s="7"/>
      <c r="S884" s="7"/>
      <c r="T884" s="7" t="str">
        <f ca="1">IFERROR(__xludf.DUMMYFUNCTION("SPARKLINE({
IF(D884="""",0,D884),
IF(F884="""",0,F884),
IF(H884="""",0,H884),
IF(J884="""",0,J884),
IF(L884="""",0,L884),
IF(N884="""",0,N884),
IF(P884="""",0,P884)
})"),"")</f>
        <v/>
      </c>
      <c r="U884" s="7" t="str">
        <f ca="1">IFERROR(__xludf.DUMMYFUNCTION("SPARKLINE({
IF(E884="""",0,E884),
IF(G884="""",0,G884),
IF(I884="""",0,I884),
IF(K884="""",0,K884),
IF(M884="""",0,M884),
IF(O884="""",0,O884),
IF(Q884="""",0,Q884)
})"),"")</f>
        <v/>
      </c>
      <c r="V884" s="8" t="e">
        <f t="array" aca="1" ref="V884" ca="1">IF($C$4="Giao",_xludf.Xlookup(C884,#REF!,#REF!,),_xludf.Xlookup(C884,#REF!,#REF!,))</f>
        <v>#NAME?</v>
      </c>
      <c r="W884" s="8" t="e">
        <f t="array" aca="1" ref="W884" ca="1">IF($C$4="Giao", _xludf.Xlookup(C884,#REF!,#REF!,),)</f>
        <v>#NAME?</v>
      </c>
      <c r="X884" s="9" t="e">
        <f t="shared" ca="1" si="10"/>
        <v>#NAME?</v>
      </c>
      <c r="Y884" s="7"/>
      <c r="Z884" s="7"/>
    </row>
    <row r="885" spans="1:26" ht="13" x14ac:dyDescent="0.6">
      <c r="A885" s="28" t="str">
        <f t="shared" si="9"/>
        <v/>
      </c>
      <c r="B885" s="7"/>
      <c r="C885" s="7"/>
      <c r="D885" s="9"/>
      <c r="E885" s="9"/>
      <c r="F885" s="7"/>
      <c r="G885" s="7"/>
      <c r="H885" s="7"/>
      <c r="I885" s="7"/>
      <c r="J885" s="7"/>
      <c r="K885" s="7"/>
      <c r="L885" s="7"/>
      <c r="M885" s="7"/>
      <c r="N885" s="7"/>
      <c r="O885" s="7"/>
      <c r="P885" s="29"/>
      <c r="Q885" s="29"/>
      <c r="R885" s="7"/>
      <c r="S885" s="7"/>
      <c r="T885" s="7" t="str">
        <f ca="1">IFERROR(__xludf.DUMMYFUNCTION("SPARKLINE({
IF(D885="""",0,D885),
IF(F885="""",0,F885),
IF(H885="""",0,H885),
IF(J885="""",0,J885),
IF(L885="""",0,L885),
IF(N885="""",0,N885),
IF(P885="""",0,P885)
})"),"")</f>
        <v/>
      </c>
      <c r="U885" s="7" t="str">
        <f ca="1">IFERROR(__xludf.DUMMYFUNCTION("SPARKLINE({
IF(E885="""",0,E885),
IF(G885="""",0,G885),
IF(I885="""",0,I885),
IF(K885="""",0,K885),
IF(M885="""",0,M885),
IF(O885="""",0,O885),
IF(Q885="""",0,Q885)
})"),"")</f>
        <v/>
      </c>
      <c r="V885" s="8" t="e">
        <f t="array" aca="1" ref="V885" ca="1">IF($C$4="Giao",_xludf.Xlookup(C885,#REF!,#REF!,),_xludf.Xlookup(C885,#REF!,#REF!,))</f>
        <v>#NAME?</v>
      </c>
      <c r="W885" s="8" t="e">
        <f t="array" aca="1" ref="W885" ca="1">IF($C$4="Giao", _xludf.Xlookup(C885,#REF!,#REF!,),)</f>
        <v>#NAME?</v>
      </c>
      <c r="X885" s="9" t="e">
        <f t="shared" ca="1" si="10"/>
        <v>#NAME?</v>
      </c>
      <c r="Y885" s="7"/>
      <c r="Z885" s="7"/>
    </row>
    <row r="886" spans="1:26" ht="13" x14ac:dyDescent="0.6">
      <c r="A886" s="28" t="str">
        <f t="shared" si="9"/>
        <v/>
      </c>
      <c r="B886" s="7"/>
      <c r="C886" s="7"/>
      <c r="D886" s="9"/>
      <c r="E886" s="9"/>
      <c r="F886" s="7"/>
      <c r="G886" s="7"/>
      <c r="H886" s="7"/>
      <c r="I886" s="7"/>
      <c r="J886" s="7"/>
      <c r="K886" s="7"/>
      <c r="L886" s="7"/>
      <c r="M886" s="7"/>
      <c r="N886" s="7"/>
      <c r="O886" s="7"/>
      <c r="P886" s="29"/>
      <c r="Q886" s="29"/>
      <c r="R886" s="7"/>
      <c r="S886" s="7"/>
      <c r="T886" s="7" t="str">
        <f ca="1">IFERROR(__xludf.DUMMYFUNCTION("SPARKLINE({
IF(D886="""",0,D886),
IF(F886="""",0,F886),
IF(H886="""",0,H886),
IF(J886="""",0,J886),
IF(L886="""",0,L886),
IF(N886="""",0,N886),
IF(P886="""",0,P886)
})"),"")</f>
        <v/>
      </c>
      <c r="U886" s="7" t="str">
        <f ca="1">IFERROR(__xludf.DUMMYFUNCTION("SPARKLINE({
IF(E886="""",0,E886),
IF(G886="""",0,G886),
IF(I886="""",0,I886),
IF(K886="""",0,K886),
IF(M886="""",0,M886),
IF(O886="""",0,O886),
IF(Q886="""",0,Q886)
})"),"")</f>
        <v/>
      </c>
      <c r="V886" s="8" t="e">
        <f t="array" aca="1" ref="V886" ca="1">IF($C$4="Giao",_xludf.Xlookup(C886,#REF!,#REF!,),_xludf.Xlookup(C886,#REF!,#REF!,))</f>
        <v>#NAME?</v>
      </c>
      <c r="W886" s="8" t="e">
        <f t="array" aca="1" ref="W886" ca="1">IF($C$4="Giao", _xludf.Xlookup(C886,#REF!,#REF!,),)</f>
        <v>#NAME?</v>
      </c>
      <c r="X886" s="9" t="e">
        <f t="shared" ca="1" si="10"/>
        <v>#NAME?</v>
      </c>
      <c r="Y886" s="7"/>
      <c r="Z886" s="7"/>
    </row>
    <row r="887" spans="1:26" ht="13" x14ac:dyDescent="0.6">
      <c r="A887" s="28" t="str">
        <f t="shared" si="9"/>
        <v/>
      </c>
      <c r="B887" s="7"/>
      <c r="C887" s="7"/>
      <c r="D887" s="9"/>
      <c r="E887" s="9"/>
      <c r="F887" s="7"/>
      <c r="G887" s="7"/>
      <c r="H887" s="7"/>
      <c r="I887" s="7"/>
      <c r="J887" s="7"/>
      <c r="K887" s="7"/>
      <c r="L887" s="7"/>
      <c r="M887" s="7"/>
      <c r="N887" s="7"/>
      <c r="O887" s="7"/>
      <c r="P887" s="29"/>
      <c r="Q887" s="29"/>
      <c r="R887" s="7"/>
      <c r="S887" s="7"/>
      <c r="T887" s="7" t="str">
        <f ca="1">IFERROR(__xludf.DUMMYFUNCTION("SPARKLINE({
IF(D887="""",0,D887),
IF(F887="""",0,F887),
IF(H887="""",0,H887),
IF(J887="""",0,J887),
IF(L887="""",0,L887),
IF(N887="""",0,N887),
IF(P887="""",0,P887)
})"),"")</f>
        <v/>
      </c>
      <c r="U887" s="7" t="str">
        <f ca="1">IFERROR(__xludf.DUMMYFUNCTION("SPARKLINE({
IF(E887="""",0,E887),
IF(G887="""",0,G887),
IF(I887="""",0,I887),
IF(K887="""",0,K887),
IF(M887="""",0,M887),
IF(O887="""",0,O887),
IF(Q887="""",0,Q887)
})"),"")</f>
        <v/>
      </c>
      <c r="V887" s="8" t="e">
        <f t="array" aca="1" ref="V887" ca="1">IF($C$4="Giao",_xludf.Xlookup(C887,#REF!,#REF!,),_xludf.Xlookup(C887,#REF!,#REF!,))</f>
        <v>#NAME?</v>
      </c>
      <c r="W887" s="8" t="e">
        <f t="array" aca="1" ref="W887" ca="1">IF($C$4="Giao", _xludf.Xlookup(C887,#REF!,#REF!,),)</f>
        <v>#NAME?</v>
      </c>
      <c r="X887" s="9" t="e">
        <f t="shared" ca="1" si="10"/>
        <v>#NAME?</v>
      </c>
      <c r="Y887" s="7"/>
      <c r="Z887" s="7"/>
    </row>
    <row r="888" spans="1:26" ht="13" x14ac:dyDescent="0.6">
      <c r="A888" s="28" t="str">
        <f t="shared" si="9"/>
        <v/>
      </c>
      <c r="B888" s="7"/>
      <c r="C888" s="7"/>
      <c r="D888" s="9"/>
      <c r="E888" s="9"/>
      <c r="F888" s="7"/>
      <c r="G888" s="7"/>
      <c r="H888" s="7"/>
      <c r="I888" s="7"/>
      <c r="J888" s="7"/>
      <c r="K888" s="7"/>
      <c r="L888" s="7"/>
      <c r="M888" s="7"/>
      <c r="N888" s="7"/>
      <c r="O888" s="7"/>
      <c r="P888" s="29"/>
      <c r="Q888" s="29"/>
      <c r="R888" s="7"/>
      <c r="S888" s="7"/>
      <c r="T888" s="7" t="str">
        <f ca="1">IFERROR(__xludf.DUMMYFUNCTION("SPARKLINE({
IF(D888="""",0,D888),
IF(F888="""",0,F888),
IF(H888="""",0,H888),
IF(J888="""",0,J888),
IF(L888="""",0,L888),
IF(N888="""",0,N888),
IF(P888="""",0,P888)
})"),"")</f>
        <v/>
      </c>
      <c r="U888" s="7" t="str">
        <f ca="1">IFERROR(__xludf.DUMMYFUNCTION("SPARKLINE({
IF(E888="""",0,E888),
IF(G888="""",0,G888),
IF(I888="""",0,I888),
IF(K888="""",0,K888),
IF(M888="""",0,M888),
IF(O888="""",0,O888),
IF(Q888="""",0,Q888)
})"),"")</f>
        <v/>
      </c>
      <c r="V888" s="8" t="e">
        <f t="array" aca="1" ref="V888" ca="1">IF($C$4="Giao",_xludf.Xlookup(C888,#REF!,#REF!,),_xludf.Xlookup(C888,#REF!,#REF!,))</f>
        <v>#NAME?</v>
      </c>
      <c r="W888" s="8" t="e">
        <f t="array" aca="1" ref="W888" ca="1">IF($C$4="Giao", _xludf.Xlookup(C888,#REF!,#REF!,),)</f>
        <v>#NAME?</v>
      </c>
      <c r="X888" s="9" t="e">
        <f t="shared" ca="1" si="10"/>
        <v>#NAME?</v>
      </c>
      <c r="Y888" s="7"/>
      <c r="Z888" s="7"/>
    </row>
    <row r="889" spans="1:26" ht="13" x14ac:dyDescent="0.6">
      <c r="A889" s="28" t="str">
        <f t="shared" si="9"/>
        <v/>
      </c>
      <c r="B889" s="7"/>
      <c r="C889" s="7"/>
      <c r="D889" s="9"/>
      <c r="E889" s="9"/>
      <c r="F889" s="7"/>
      <c r="G889" s="7"/>
      <c r="H889" s="7"/>
      <c r="I889" s="7"/>
      <c r="J889" s="7"/>
      <c r="K889" s="7"/>
      <c r="L889" s="7"/>
      <c r="M889" s="7"/>
      <c r="N889" s="7"/>
      <c r="O889" s="7"/>
      <c r="P889" s="29"/>
      <c r="Q889" s="29"/>
      <c r="R889" s="7"/>
      <c r="S889" s="7"/>
      <c r="T889" s="7" t="str">
        <f ca="1">IFERROR(__xludf.DUMMYFUNCTION("SPARKLINE({
IF(D889="""",0,D889),
IF(F889="""",0,F889),
IF(H889="""",0,H889),
IF(J889="""",0,J889),
IF(L889="""",0,L889),
IF(N889="""",0,N889),
IF(P889="""",0,P889)
})"),"")</f>
        <v/>
      </c>
      <c r="U889" s="7" t="str">
        <f ca="1">IFERROR(__xludf.DUMMYFUNCTION("SPARKLINE({
IF(E889="""",0,E889),
IF(G889="""",0,G889),
IF(I889="""",0,I889),
IF(K889="""",0,K889),
IF(M889="""",0,M889),
IF(O889="""",0,O889),
IF(Q889="""",0,Q889)
})"),"")</f>
        <v/>
      </c>
      <c r="V889" s="8" t="e">
        <f t="array" aca="1" ref="V889" ca="1">IF($C$4="Giao",_xludf.Xlookup(C889,#REF!,#REF!,),_xludf.Xlookup(C889,#REF!,#REF!,))</f>
        <v>#NAME?</v>
      </c>
      <c r="W889" s="8" t="e">
        <f t="array" aca="1" ref="W889" ca="1">IF($C$4="Giao", _xludf.Xlookup(C889,#REF!,#REF!,),)</f>
        <v>#NAME?</v>
      </c>
      <c r="X889" s="9" t="e">
        <f t="shared" ca="1" si="10"/>
        <v>#NAME?</v>
      </c>
      <c r="Y889" s="7"/>
      <c r="Z889" s="7"/>
    </row>
    <row r="890" spans="1:26" ht="13" x14ac:dyDescent="0.6">
      <c r="A890" s="28" t="str">
        <f t="shared" si="9"/>
        <v/>
      </c>
      <c r="B890" s="7"/>
      <c r="C890" s="7"/>
      <c r="D890" s="9"/>
      <c r="E890" s="9"/>
      <c r="F890" s="7"/>
      <c r="G890" s="7"/>
      <c r="H890" s="7"/>
      <c r="I890" s="7"/>
      <c r="J890" s="7"/>
      <c r="K890" s="7"/>
      <c r="L890" s="7"/>
      <c r="M890" s="7"/>
      <c r="N890" s="7"/>
      <c r="O890" s="7"/>
      <c r="P890" s="29"/>
      <c r="Q890" s="29"/>
      <c r="R890" s="7"/>
      <c r="S890" s="7"/>
      <c r="T890" s="7" t="str">
        <f ca="1">IFERROR(__xludf.DUMMYFUNCTION("SPARKLINE({
IF(D890="""",0,D890),
IF(F890="""",0,F890),
IF(H890="""",0,H890),
IF(J890="""",0,J890),
IF(L890="""",0,L890),
IF(N890="""",0,N890),
IF(P890="""",0,P890)
})"),"")</f>
        <v/>
      </c>
      <c r="U890" s="7" t="str">
        <f ca="1">IFERROR(__xludf.DUMMYFUNCTION("SPARKLINE({
IF(E890="""",0,E890),
IF(G890="""",0,G890),
IF(I890="""",0,I890),
IF(K890="""",0,K890),
IF(M890="""",0,M890),
IF(O890="""",0,O890),
IF(Q890="""",0,Q890)
})"),"")</f>
        <v/>
      </c>
      <c r="V890" s="8" t="e">
        <f t="array" aca="1" ref="V890" ca="1">IF($C$4="Giao",_xludf.Xlookup(C890,#REF!,#REF!,),_xludf.Xlookup(C890,#REF!,#REF!,))</f>
        <v>#NAME?</v>
      </c>
      <c r="W890" s="8" t="e">
        <f t="array" aca="1" ref="W890" ca="1">IF($C$4="Giao", _xludf.Xlookup(C890,#REF!,#REF!,),)</f>
        <v>#NAME?</v>
      </c>
      <c r="X890" s="9" t="e">
        <f t="shared" ca="1" si="10"/>
        <v>#NAME?</v>
      </c>
      <c r="Y890" s="7"/>
      <c r="Z890" s="7"/>
    </row>
    <row r="891" spans="1:26" ht="13" x14ac:dyDescent="0.6">
      <c r="A891" s="28" t="str">
        <f t="shared" si="9"/>
        <v/>
      </c>
      <c r="B891" s="7"/>
      <c r="C891" s="7"/>
      <c r="D891" s="9"/>
      <c r="E891" s="9"/>
      <c r="F891" s="7"/>
      <c r="G891" s="7"/>
      <c r="H891" s="7"/>
      <c r="I891" s="7"/>
      <c r="J891" s="7"/>
      <c r="K891" s="7"/>
      <c r="L891" s="7"/>
      <c r="M891" s="7"/>
      <c r="N891" s="7"/>
      <c r="O891" s="7"/>
      <c r="P891" s="29"/>
      <c r="Q891" s="29"/>
      <c r="R891" s="7"/>
      <c r="S891" s="7"/>
      <c r="T891" s="7" t="str">
        <f ca="1">IFERROR(__xludf.DUMMYFUNCTION("SPARKLINE({
IF(D891="""",0,D891),
IF(F891="""",0,F891),
IF(H891="""",0,H891),
IF(J891="""",0,J891),
IF(L891="""",0,L891),
IF(N891="""",0,N891),
IF(P891="""",0,P891)
})"),"")</f>
        <v/>
      </c>
      <c r="U891" s="7" t="str">
        <f ca="1">IFERROR(__xludf.DUMMYFUNCTION("SPARKLINE({
IF(E891="""",0,E891),
IF(G891="""",0,G891),
IF(I891="""",0,I891),
IF(K891="""",0,K891),
IF(M891="""",0,M891),
IF(O891="""",0,O891),
IF(Q891="""",0,Q891)
})"),"")</f>
        <v/>
      </c>
      <c r="V891" s="8" t="e">
        <f t="array" aca="1" ref="V891" ca="1">IF($C$4="Giao",_xludf.Xlookup(C891,#REF!,#REF!,),_xludf.Xlookup(C891,#REF!,#REF!,))</f>
        <v>#NAME?</v>
      </c>
      <c r="W891" s="8" t="e">
        <f t="array" aca="1" ref="W891" ca="1">IF($C$4="Giao", _xludf.Xlookup(C891,#REF!,#REF!,),)</f>
        <v>#NAME?</v>
      </c>
      <c r="X891" s="9" t="e">
        <f t="shared" ca="1" si="10"/>
        <v>#NAME?</v>
      </c>
      <c r="Y891" s="7"/>
      <c r="Z891" s="7"/>
    </row>
    <row r="892" spans="1:26" ht="13" x14ac:dyDescent="0.6">
      <c r="A892" s="28" t="str">
        <f t="shared" si="9"/>
        <v/>
      </c>
      <c r="B892" s="7"/>
      <c r="C892" s="7"/>
      <c r="D892" s="9"/>
      <c r="E892" s="9"/>
      <c r="F892" s="7"/>
      <c r="G892" s="7"/>
      <c r="H892" s="7"/>
      <c r="I892" s="7"/>
      <c r="J892" s="7"/>
      <c r="K892" s="7"/>
      <c r="L892" s="7"/>
      <c r="M892" s="7"/>
      <c r="N892" s="7"/>
      <c r="O892" s="7"/>
      <c r="P892" s="29"/>
      <c r="Q892" s="29"/>
      <c r="R892" s="7"/>
      <c r="S892" s="7"/>
      <c r="T892" s="7" t="str">
        <f ca="1">IFERROR(__xludf.DUMMYFUNCTION("SPARKLINE({
IF(D892="""",0,D892),
IF(F892="""",0,F892),
IF(H892="""",0,H892),
IF(J892="""",0,J892),
IF(L892="""",0,L892),
IF(N892="""",0,N892),
IF(P892="""",0,P892)
})"),"")</f>
        <v/>
      </c>
      <c r="U892" s="7" t="str">
        <f ca="1">IFERROR(__xludf.DUMMYFUNCTION("SPARKLINE({
IF(E892="""",0,E892),
IF(G892="""",0,G892),
IF(I892="""",0,I892),
IF(K892="""",0,K892),
IF(M892="""",0,M892),
IF(O892="""",0,O892),
IF(Q892="""",0,Q892)
})"),"")</f>
        <v/>
      </c>
      <c r="V892" s="8" t="e">
        <f t="array" aca="1" ref="V892" ca="1">IF($C$4="Giao",_xludf.Xlookup(C892,#REF!,#REF!,),_xludf.Xlookup(C892,#REF!,#REF!,))</f>
        <v>#NAME?</v>
      </c>
      <c r="W892" s="8" t="e">
        <f t="array" aca="1" ref="W892" ca="1">IF($C$4="Giao", _xludf.Xlookup(C892,#REF!,#REF!,),)</f>
        <v>#NAME?</v>
      </c>
      <c r="X892" s="9" t="e">
        <f t="shared" ca="1" si="10"/>
        <v>#NAME?</v>
      </c>
      <c r="Y892" s="7"/>
      <c r="Z892" s="7"/>
    </row>
    <row r="893" spans="1:26" ht="13" x14ac:dyDescent="0.6">
      <c r="A893" s="28" t="str">
        <f t="shared" si="9"/>
        <v/>
      </c>
      <c r="B893" s="7"/>
      <c r="C893" s="7"/>
      <c r="D893" s="9"/>
      <c r="E893" s="9"/>
      <c r="F893" s="7"/>
      <c r="G893" s="7"/>
      <c r="H893" s="7"/>
      <c r="I893" s="7"/>
      <c r="J893" s="7"/>
      <c r="K893" s="7"/>
      <c r="L893" s="7"/>
      <c r="M893" s="7"/>
      <c r="N893" s="7"/>
      <c r="O893" s="7"/>
      <c r="P893" s="29"/>
      <c r="Q893" s="29"/>
      <c r="R893" s="7"/>
      <c r="S893" s="7"/>
      <c r="T893" s="7" t="str">
        <f ca="1">IFERROR(__xludf.DUMMYFUNCTION("SPARKLINE({
IF(D893="""",0,D893),
IF(F893="""",0,F893),
IF(H893="""",0,H893),
IF(J893="""",0,J893),
IF(L893="""",0,L893),
IF(N893="""",0,N893),
IF(P893="""",0,P893)
})"),"")</f>
        <v/>
      </c>
      <c r="U893" s="7" t="str">
        <f ca="1">IFERROR(__xludf.DUMMYFUNCTION("SPARKLINE({
IF(E893="""",0,E893),
IF(G893="""",0,G893),
IF(I893="""",0,I893),
IF(K893="""",0,K893),
IF(M893="""",0,M893),
IF(O893="""",0,O893),
IF(Q893="""",0,Q893)
})"),"")</f>
        <v/>
      </c>
      <c r="V893" s="8" t="e">
        <f t="array" aca="1" ref="V893" ca="1">IF($C$4="Giao",_xludf.Xlookup(C893,#REF!,#REF!,),_xludf.Xlookup(C893,#REF!,#REF!,))</f>
        <v>#NAME?</v>
      </c>
      <c r="W893" s="8" t="e">
        <f t="array" aca="1" ref="W893" ca="1">IF($C$4="Giao", _xludf.Xlookup(C893,#REF!,#REF!,),)</f>
        <v>#NAME?</v>
      </c>
      <c r="X893" s="9" t="e">
        <f t="shared" ca="1" si="10"/>
        <v>#NAME?</v>
      </c>
      <c r="Y893" s="7"/>
      <c r="Z893" s="7"/>
    </row>
    <row r="894" spans="1:26" ht="13" x14ac:dyDescent="0.6">
      <c r="A894" s="28" t="str">
        <f t="shared" si="9"/>
        <v/>
      </c>
      <c r="B894" s="7"/>
      <c r="C894" s="7"/>
      <c r="D894" s="9"/>
      <c r="E894" s="9"/>
      <c r="F894" s="7"/>
      <c r="G894" s="7"/>
      <c r="H894" s="7"/>
      <c r="I894" s="7"/>
      <c r="J894" s="7"/>
      <c r="K894" s="7"/>
      <c r="L894" s="7"/>
      <c r="M894" s="7"/>
      <c r="N894" s="7"/>
      <c r="O894" s="7"/>
      <c r="P894" s="29"/>
      <c r="Q894" s="29"/>
      <c r="R894" s="7"/>
      <c r="S894" s="7"/>
      <c r="T894" s="7" t="str">
        <f ca="1">IFERROR(__xludf.DUMMYFUNCTION("SPARKLINE({
IF(D894="""",0,D894),
IF(F894="""",0,F894),
IF(H894="""",0,H894),
IF(J894="""",0,J894),
IF(L894="""",0,L894),
IF(N894="""",0,N894),
IF(P894="""",0,P894)
})"),"")</f>
        <v/>
      </c>
      <c r="U894" s="7" t="str">
        <f ca="1">IFERROR(__xludf.DUMMYFUNCTION("SPARKLINE({
IF(E894="""",0,E894),
IF(G894="""",0,G894),
IF(I894="""",0,I894),
IF(K894="""",0,K894),
IF(M894="""",0,M894),
IF(O894="""",0,O894),
IF(Q894="""",0,Q894)
})"),"")</f>
        <v/>
      </c>
      <c r="V894" s="8" t="e">
        <f t="array" aca="1" ref="V894" ca="1">IF($C$4="Giao",_xludf.Xlookup(C894,#REF!,#REF!,),_xludf.Xlookup(C894,#REF!,#REF!,))</f>
        <v>#NAME?</v>
      </c>
      <c r="W894" s="8" t="e">
        <f t="array" aca="1" ref="W894" ca="1">IF($C$4="Giao", _xludf.Xlookup(C894,#REF!,#REF!,),)</f>
        <v>#NAME?</v>
      </c>
      <c r="X894" s="9" t="e">
        <f t="shared" ca="1" si="10"/>
        <v>#NAME?</v>
      </c>
      <c r="Y894" s="7"/>
      <c r="Z894" s="7"/>
    </row>
    <row r="895" spans="1:26" ht="13" x14ac:dyDescent="0.6">
      <c r="A895" s="28" t="str">
        <f t="shared" si="9"/>
        <v/>
      </c>
      <c r="B895" s="7"/>
      <c r="C895" s="7"/>
      <c r="D895" s="9"/>
      <c r="E895" s="9"/>
      <c r="F895" s="7"/>
      <c r="G895" s="7"/>
      <c r="H895" s="7"/>
      <c r="I895" s="7"/>
      <c r="J895" s="7"/>
      <c r="K895" s="7"/>
      <c r="L895" s="7"/>
      <c r="M895" s="7"/>
      <c r="N895" s="7"/>
      <c r="O895" s="7"/>
      <c r="P895" s="29"/>
      <c r="Q895" s="29"/>
      <c r="R895" s="7"/>
      <c r="S895" s="7"/>
      <c r="T895" s="7" t="str">
        <f ca="1">IFERROR(__xludf.DUMMYFUNCTION("SPARKLINE({
IF(D895="""",0,D895),
IF(F895="""",0,F895),
IF(H895="""",0,H895),
IF(J895="""",0,J895),
IF(L895="""",0,L895),
IF(N895="""",0,N895),
IF(P895="""",0,P895)
})"),"")</f>
        <v/>
      </c>
      <c r="U895" s="7" t="str">
        <f ca="1">IFERROR(__xludf.DUMMYFUNCTION("SPARKLINE({
IF(E895="""",0,E895),
IF(G895="""",0,G895),
IF(I895="""",0,I895),
IF(K895="""",0,K895),
IF(M895="""",0,M895),
IF(O895="""",0,O895),
IF(Q895="""",0,Q895)
})"),"")</f>
        <v/>
      </c>
      <c r="V895" s="8" t="e">
        <f t="array" aca="1" ref="V895" ca="1">IF($C$4="Giao",_xludf.Xlookup(C895,#REF!,#REF!,),_xludf.Xlookup(C895,#REF!,#REF!,))</f>
        <v>#NAME?</v>
      </c>
      <c r="W895" s="8" t="e">
        <f t="array" aca="1" ref="W895" ca="1">IF($C$4="Giao", _xludf.Xlookup(C895,#REF!,#REF!,),)</f>
        <v>#NAME?</v>
      </c>
      <c r="X895" s="9" t="e">
        <f t="shared" ca="1" si="10"/>
        <v>#NAME?</v>
      </c>
      <c r="Y895" s="7"/>
      <c r="Z895" s="7"/>
    </row>
    <row r="896" spans="1:26" ht="13" x14ac:dyDescent="0.6">
      <c r="A896" s="28" t="str">
        <f t="shared" si="9"/>
        <v/>
      </c>
      <c r="B896" s="7"/>
      <c r="C896" s="7"/>
      <c r="D896" s="9"/>
      <c r="E896" s="9"/>
      <c r="F896" s="7"/>
      <c r="G896" s="7"/>
      <c r="H896" s="7"/>
      <c r="I896" s="7"/>
      <c r="J896" s="7"/>
      <c r="K896" s="7"/>
      <c r="L896" s="7"/>
      <c r="M896" s="7"/>
      <c r="N896" s="7"/>
      <c r="O896" s="7"/>
      <c r="P896" s="29"/>
      <c r="Q896" s="29"/>
      <c r="R896" s="7"/>
      <c r="S896" s="7"/>
      <c r="T896" s="7" t="str">
        <f ca="1">IFERROR(__xludf.DUMMYFUNCTION("SPARKLINE({
IF(D896="""",0,D896),
IF(F896="""",0,F896),
IF(H896="""",0,H896),
IF(J896="""",0,J896),
IF(L896="""",0,L896),
IF(N896="""",0,N896),
IF(P896="""",0,P896)
})"),"")</f>
        <v/>
      </c>
      <c r="U896" s="7" t="str">
        <f ca="1">IFERROR(__xludf.DUMMYFUNCTION("SPARKLINE({
IF(E896="""",0,E896),
IF(G896="""",0,G896),
IF(I896="""",0,I896),
IF(K896="""",0,K896),
IF(M896="""",0,M896),
IF(O896="""",0,O896),
IF(Q896="""",0,Q896)
})"),"")</f>
        <v/>
      </c>
      <c r="V896" s="8" t="e">
        <f t="array" aca="1" ref="V896" ca="1">IF($C$4="Giao",_xludf.Xlookup(C896,#REF!,#REF!,),_xludf.Xlookup(C896,#REF!,#REF!,))</f>
        <v>#NAME?</v>
      </c>
      <c r="W896" s="8" t="e">
        <f t="array" aca="1" ref="W896" ca="1">IF($C$4="Giao", _xludf.Xlookup(C896,#REF!,#REF!,),)</f>
        <v>#NAME?</v>
      </c>
      <c r="X896" s="9" t="e">
        <f t="shared" ca="1" si="10"/>
        <v>#NAME?</v>
      </c>
      <c r="Y896" s="7"/>
      <c r="Z896" s="7"/>
    </row>
    <row r="897" spans="1:26" ht="13" x14ac:dyDescent="0.6">
      <c r="A897" s="28" t="str">
        <f t="shared" si="9"/>
        <v/>
      </c>
      <c r="B897" s="7"/>
      <c r="C897" s="7"/>
      <c r="D897" s="9"/>
      <c r="E897" s="9"/>
      <c r="F897" s="7"/>
      <c r="G897" s="7"/>
      <c r="H897" s="7"/>
      <c r="I897" s="7"/>
      <c r="J897" s="7"/>
      <c r="K897" s="7"/>
      <c r="L897" s="7"/>
      <c r="M897" s="7"/>
      <c r="N897" s="7"/>
      <c r="O897" s="7"/>
      <c r="P897" s="29"/>
      <c r="Q897" s="29"/>
      <c r="R897" s="7"/>
      <c r="S897" s="7"/>
      <c r="T897" s="7" t="str">
        <f ca="1">IFERROR(__xludf.DUMMYFUNCTION("SPARKLINE({
IF(D897="""",0,D897),
IF(F897="""",0,F897),
IF(H897="""",0,H897),
IF(J897="""",0,J897),
IF(L897="""",0,L897),
IF(N897="""",0,N897),
IF(P897="""",0,P897)
})"),"")</f>
        <v/>
      </c>
      <c r="U897" s="7" t="str">
        <f ca="1">IFERROR(__xludf.DUMMYFUNCTION("SPARKLINE({
IF(E897="""",0,E897),
IF(G897="""",0,G897),
IF(I897="""",0,I897),
IF(K897="""",0,K897),
IF(M897="""",0,M897),
IF(O897="""",0,O897),
IF(Q897="""",0,Q897)
})"),"")</f>
        <v/>
      </c>
      <c r="V897" s="8" t="e">
        <f t="array" aca="1" ref="V897" ca="1">IF($C$4="Giao",_xludf.Xlookup(C897,#REF!,#REF!,),_xludf.Xlookup(C897,#REF!,#REF!,))</f>
        <v>#NAME?</v>
      </c>
      <c r="W897" s="8" t="e">
        <f t="array" aca="1" ref="W897" ca="1">IF($C$4="Giao", _xludf.Xlookup(C897,#REF!,#REF!,),)</f>
        <v>#NAME?</v>
      </c>
      <c r="X897" s="9" t="e">
        <f t="shared" ca="1" si="10"/>
        <v>#NAME?</v>
      </c>
      <c r="Y897" s="7"/>
      <c r="Z897" s="7"/>
    </row>
    <row r="898" spans="1:26" ht="13" x14ac:dyDescent="0.6">
      <c r="A898" s="28" t="str">
        <f t="shared" si="9"/>
        <v/>
      </c>
      <c r="B898" s="7"/>
      <c r="C898" s="7"/>
      <c r="D898" s="9"/>
      <c r="E898" s="9"/>
      <c r="F898" s="7"/>
      <c r="G898" s="7"/>
      <c r="H898" s="7"/>
      <c r="I898" s="7"/>
      <c r="J898" s="7"/>
      <c r="K898" s="7"/>
      <c r="L898" s="7"/>
      <c r="M898" s="7"/>
      <c r="N898" s="7"/>
      <c r="O898" s="7"/>
      <c r="P898" s="29"/>
      <c r="Q898" s="29"/>
      <c r="R898" s="7"/>
      <c r="S898" s="7"/>
      <c r="T898" s="7" t="str">
        <f ca="1">IFERROR(__xludf.DUMMYFUNCTION("SPARKLINE({
IF(D898="""",0,D898),
IF(F898="""",0,F898),
IF(H898="""",0,H898),
IF(J898="""",0,J898),
IF(L898="""",0,L898),
IF(N898="""",0,N898),
IF(P898="""",0,P898)
})"),"")</f>
        <v/>
      </c>
      <c r="U898" s="7" t="str">
        <f ca="1">IFERROR(__xludf.DUMMYFUNCTION("SPARKLINE({
IF(E898="""",0,E898),
IF(G898="""",0,G898),
IF(I898="""",0,I898),
IF(K898="""",0,K898),
IF(M898="""",0,M898),
IF(O898="""",0,O898),
IF(Q898="""",0,Q898)
})"),"")</f>
        <v/>
      </c>
      <c r="V898" s="8" t="e">
        <f t="array" aca="1" ref="V898" ca="1">IF($C$4="Giao",_xludf.Xlookup(C898,#REF!,#REF!,),_xludf.Xlookup(C898,#REF!,#REF!,))</f>
        <v>#NAME?</v>
      </c>
      <c r="W898" s="8" t="e">
        <f t="array" aca="1" ref="W898" ca="1">IF($C$4="Giao", _xludf.Xlookup(C898,#REF!,#REF!,),)</f>
        <v>#NAME?</v>
      </c>
      <c r="X898" s="9" t="e">
        <f t="shared" ca="1" si="10"/>
        <v>#NAME?</v>
      </c>
      <c r="Y898" s="7"/>
      <c r="Z898" s="7"/>
    </row>
    <row r="899" spans="1:26" ht="13" x14ac:dyDescent="0.6">
      <c r="A899" s="28" t="str">
        <f t="shared" si="9"/>
        <v/>
      </c>
      <c r="B899" s="7"/>
      <c r="C899" s="7"/>
      <c r="D899" s="9"/>
      <c r="E899" s="9"/>
      <c r="F899" s="7"/>
      <c r="G899" s="7"/>
      <c r="H899" s="7"/>
      <c r="I899" s="7"/>
      <c r="J899" s="7"/>
      <c r="K899" s="7"/>
      <c r="L899" s="7"/>
      <c r="M899" s="7"/>
      <c r="N899" s="7"/>
      <c r="O899" s="7"/>
      <c r="P899" s="29"/>
      <c r="Q899" s="29"/>
      <c r="R899" s="7"/>
      <c r="S899" s="7"/>
      <c r="T899" s="7" t="str">
        <f ca="1">IFERROR(__xludf.DUMMYFUNCTION("SPARKLINE({
IF(D899="""",0,D899),
IF(F899="""",0,F899),
IF(H899="""",0,H899),
IF(J899="""",0,J899),
IF(L899="""",0,L899),
IF(N899="""",0,N899),
IF(P899="""",0,P899)
})"),"")</f>
        <v/>
      </c>
      <c r="U899" s="7" t="str">
        <f ca="1">IFERROR(__xludf.DUMMYFUNCTION("SPARKLINE({
IF(E899="""",0,E899),
IF(G899="""",0,G899),
IF(I899="""",0,I899),
IF(K899="""",0,K899),
IF(M899="""",0,M899),
IF(O899="""",0,O899),
IF(Q899="""",0,Q899)
})"),"")</f>
        <v/>
      </c>
      <c r="V899" s="8" t="e">
        <f t="array" aca="1" ref="V899" ca="1">IF($C$4="Giao",_xludf.Xlookup(C899,#REF!,#REF!,),_xludf.Xlookup(C899,#REF!,#REF!,))</f>
        <v>#NAME?</v>
      </c>
      <c r="W899" s="8" t="e">
        <f t="array" aca="1" ref="W899" ca="1">IF($C$4="Giao", _xludf.Xlookup(C899,#REF!,#REF!,),)</f>
        <v>#NAME?</v>
      </c>
      <c r="X899" s="9" t="e">
        <f t="shared" ca="1" si="10"/>
        <v>#NAME?</v>
      </c>
      <c r="Y899" s="7"/>
      <c r="Z899" s="7"/>
    </row>
    <row r="900" spans="1:26" ht="13" x14ac:dyDescent="0.6">
      <c r="A900" s="28" t="str">
        <f t="shared" si="9"/>
        <v/>
      </c>
      <c r="B900" s="7"/>
      <c r="C900" s="7"/>
      <c r="D900" s="9"/>
      <c r="E900" s="9"/>
      <c r="F900" s="7"/>
      <c r="G900" s="7"/>
      <c r="H900" s="7"/>
      <c r="I900" s="7"/>
      <c r="J900" s="7"/>
      <c r="K900" s="7"/>
      <c r="L900" s="7"/>
      <c r="M900" s="7"/>
      <c r="N900" s="7"/>
      <c r="O900" s="7"/>
      <c r="P900" s="29"/>
      <c r="Q900" s="29"/>
      <c r="R900" s="7"/>
      <c r="S900" s="7"/>
      <c r="T900" s="7" t="str">
        <f ca="1">IFERROR(__xludf.DUMMYFUNCTION("SPARKLINE({
IF(D900="""",0,D900),
IF(F900="""",0,F900),
IF(H900="""",0,H900),
IF(J900="""",0,J900),
IF(L900="""",0,L900),
IF(N900="""",0,N900),
IF(P900="""",0,P900)
})"),"")</f>
        <v/>
      </c>
      <c r="U900" s="7" t="str">
        <f ca="1">IFERROR(__xludf.DUMMYFUNCTION("SPARKLINE({
IF(E900="""",0,E900),
IF(G900="""",0,G900),
IF(I900="""",0,I900),
IF(K900="""",0,K900),
IF(M900="""",0,M900),
IF(O900="""",0,O900),
IF(Q900="""",0,Q900)
})"),"")</f>
        <v/>
      </c>
      <c r="V900" s="8" t="e">
        <f t="array" aca="1" ref="V900" ca="1">IF($C$4="Giao",_xludf.Xlookup(C900,#REF!,#REF!,),_xludf.Xlookup(C900,#REF!,#REF!,))</f>
        <v>#NAME?</v>
      </c>
      <c r="W900" s="8" t="e">
        <f t="array" aca="1" ref="W900" ca="1">IF($C$4="Giao", _xludf.Xlookup(C900,#REF!,#REF!,),)</f>
        <v>#NAME?</v>
      </c>
      <c r="X900" s="9" t="e">
        <f t="shared" ca="1" si="10"/>
        <v>#NAME?</v>
      </c>
      <c r="Y900" s="7"/>
      <c r="Z900" s="7"/>
    </row>
    <row r="901" spans="1:26" ht="13" x14ac:dyDescent="0.6">
      <c r="A901" s="28" t="str">
        <f t="shared" si="9"/>
        <v/>
      </c>
      <c r="B901" s="7"/>
      <c r="C901" s="7"/>
      <c r="D901" s="9"/>
      <c r="E901" s="9"/>
      <c r="F901" s="7"/>
      <c r="G901" s="7"/>
      <c r="H901" s="7"/>
      <c r="I901" s="7"/>
      <c r="J901" s="7"/>
      <c r="K901" s="7"/>
      <c r="L901" s="7"/>
      <c r="M901" s="7"/>
      <c r="N901" s="7"/>
      <c r="O901" s="7"/>
      <c r="P901" s="29"/>
      <c r="Q901" s="29"/>
      <c r="R901" s="7"/>
      <c r="S901" s="7"/>
      <c r="T901" s="7" t="str">
        <f ca="1">IFERROR(__xludf.DUMMYFUNCTION("SPARKLINE({
IF(D901="""",0,D901),
IF(F901="""",0,F901),
IF(H901="""",0,H901),
IF(J901="""",0,J901),
IF(L901="""",0,L901),
IF(N901="""",0,N901),
IF(P901="""",0,P901)
})"),"")</f>
        <v/>
      </c>
      <c r="U901" s="7" t="str">
        <f ca="1">IFERROR(__xludf.DUMMYFUNCTION("SPARKLINE({
IF(E901="""",0,E901),
IF(G901="""",0,G901),
IF(I901="""",0,I901),
IF(K901="""",0,K901),
IF(M901="""",0,M901),
IF(O901="""",0,O901),
IF(Q901="""",0,Q901)
})"),"")</f>
        <v/>
      </c>
      <c r="V901" s="8" t="e">
        <f t="array" aca="1" ref="V901" ca="1">IF($C$4="Giao",_xludf.Xlookup(C901,#REF!,#REF!,),_xludf.Xlookup(C901,#REF!,#REF!,))</f>
        <v>#NAME?</v>
      </c>
      <c r="W901" s="8" t="e">
        <f t="array" aca="1" ref="W901" ca="1">IF($C$4="Giao", _xludf.Xlookup(C901,#REF!,#REF!,),)</f>
        <v>#NAME?</v>
      </c>
      <c r="X901" s="9" t="e">
        <f t="shared" ca="1" si="10"/>
        <v>#NAME?</v>
      </c>
      <c r="Y901" s="7"/>
      <c r="Z901" s="7"/>
    </row>
    <row r="902" spans="1:26" ht="13" x14ac:dyDescent="0.6">
      <c r="A902" s="28" t="str">
        <f t="shared" si="9"/>
        <v/>
      </c>
      <c r="B902" s="7"/>
      <c r="C902" s="7"/>
      <c r="D902" s="9"/>
      <c r="E902" s="9"/>
      <c r="F902" s="7"/>
      <c r="G902" s="7"/>
      <c r="H902" s="7"/>
      <c r="I902" s="7"/>
      <c r="J902" s="7"/>
      <c r="K902" s="7"/>
      <c r="L902" s="7"/>
      <c r="M902" s="7"/>
      <c r="N902" s="7"/>
      <c r="O902" s="7"/>
      <c r="P902" s="29"/>
      <c r="Q902" s="29"/>
      <c r="R902" s="7"/>
      <c r="S902" s="7"/>
      <c r="T902" s="7" t="str">
        <f ca="1">IFERROR(__xludf.DUMMYFUNCTION("SPARKLINE({
IF(D902="""",0,D902),
IF(F902="""",0,F902),
IF(H902="""",0,H902),
IF(J902="""",0,J902),
IF(L902="""",0,L902),
IF(N902="""",0,N902),
IF(P902="""",0,P902)
})"),"")</f>
        <v/>
      </c>
      <c r="U902" s="7" t="str">
        <f ca="1">IFERROR(__xludf.DUMMYFUNCTION("SPARKLINE({
IF(E902="""",0,E902),
IF(G902="""",0,G902),
IF(I902="""",0,I902),
IF(K902="""",0,K902),
IF(M902="""",0,M902),
IF(O902="""",0,O902),
IF(Q902="""",0,Q902)
})"),"")</f>
        <v/>
      </c>
      <c r="V902" s="8" t="e">
        <f t="array" aca="1" ref="V902" ca="1">IF($C$4="Giao",_xludf.Xlookup(C902,#REF!,#REF!,),_xludf.Xlookup(C902,#REF!,#REF!,))</f>
        <v>#NAME?</v>
      </c>
      <c r="W902" s="8" t="e">
        <f t="array" aca="1" ref="W902" ca="1">IF($C$4="Giao", _xludf.Xlookup(C902,#REF!,#REF!,),)</f>
        <v>#NAME?</v>
      </c>
      <c r="X902" s="9" t="e">
        <f t="shared" ca="1" si="10"/>
        <v>#NAME?</v>
      </c>
      <c r="Y902" s="7"/>
      <c r="Z902" s="7"/>
    </row>
    <row r="903" spans="1:26" ht="13" x14ac:dyDescent="0.6">
      <c r="A903" s="28" t="str">
        <f t="shared" si="9"/>
        <v/>
      </c>
      <c r="B903" s="7"/>
      <c r="C903" s="7"/>
      <c r="D903" s="9"/>
      <c r="E903" s="9"/>
      <c r="F903" s="7"/>
      <c r="G903" s="7"/>
      <c r="H903" s="7"/>
      <c r="I903" s="7"/>
      <c r="J903" s="7"/>
      <c r="K903" s="7"/>
      <c r="L903" s="7"/>
      <c r="M903" s="7"/>
      <c r="N903" s="7"/>
      <c r="O903" s="7"/>
      <c r="P903" s="29"/>
      <c r="Q903" s="29"/>
      <c r="R903" s="7"/>
      <c r="S903" s="7"/>
      <c r="T903" s="7" t="str">
        <f ca="1">IFERROR(__xludf.DUMMYFUNCTION("SPARKLINE({
IF(D903="""",0,D903),
IF(F903="""",0,F903),
IF(H903="""",0,H903),
IF(J903="""",0,J903),
IF(L903="""",0,L903),
IF(N903="""",0,N903),
IF(P903="""",0,P903)
})"),"")</f>
        <v/>
      </c>
      <c r="U903" s="7" t="str">
        <f ca="1">IFERROR(__xludf.DUMMYFUNCTION("SPARKLINE({
IF(E903="""",0,E903),
IF(G903="""",0,G903),
IF(I903="""",0,I903),
IF(K903="""",0,K903),
IF(M903="""",0,M903),
IF(O903="""",0,O903),
IF(Q903="""",0,Q903)
})"),"")</f>
        <v/>
      </c>
      <c r="V903" s="8" t="e">
        <f t="array" aca="1" ref="V903" ca="1">IF($C$4="Giao",_xludf.Xlookup(C903,#REF!,#REF!,),_xludf.Xlookup(C903,#REF!,#REF!,))</f>
        <v>#NAME?</v>
      </c>
      <c r="W903" s="8" t="e">
        <f t="array" aca="1" ref="W903" ca="1">IF($C$4="Giao", _xludf.Xlookup(C903,#REF!,#REF!,),)</f>
        <v>#NAME?</v>
      </c>
      <c r="X903" s="9" t="e">
        <f t="shared" ca="1" si="10"/>
        <v>#NAME?</v>
      </c>
      <c r="Y903" s="7"/>
      <c r="Z903" s="7"/>
    </row>
    <row r="904" spans="1:26" ht="13" x14ac:dyDescent="0.6">
      <c r="A904" s="28" t="str">
        <f t="shared" si="9"/>
        <v/>
      </c>
      <c r="B904" s="7"/>
      <c r="C904" s="7"/>
      <c r="D904" s="9"/>
      <c r="E904" s="9"/>
      <c r="F904" s="7"/>
      <c r="G904" s="7"/>
      <c r="H904" s="7"/>
      <c r="I904" s="7"/>
      <c r="J904" s="7"/>
      <c r="K904" s="7"/>
      <c r="L904" s="7"/>
      <c r="M904" s="7"/>
      <c r="N904" s="7"/>
      <c r="O904" s="7"/>
      <c r="P904" s="29"/>
      <c r="Q904" s="29"/>
      <c r="R904" s="7"/>
      <c r="S904" s="7"/>
      <c r="T904" s="7" t="str">
        <f ca="1">IFERROR(__xludf.DUMMYFUNCTION("SPARKLINE({
IF(D904="""",0,D904),
IF(F904="""",0,F904),
IF(H904="""",0,H904),
IF(J904="""",0,J904),
IF(L904="""",0,L904),
IF(N904="""",0,N904),
IF(P904="""",0,P904)
})"),"")</f>
        <v/>
      </c>
      <c r="U904" s="7" t="str">
        <f ca="1">IFERROR(__xludf.DUMMYFUNCTION("SPARKLINE({
IF(E904="""",0,E904),
IF(G904="""",0,G904),
IF(I904="""",0,I904),
IF(K904="""",0,K904),
IF(M904="""",0,M904),
IF(O904="""",0,O904),
IF(Q904="""",0,Q904)
})"),"")</f>
        <v/>
      </c>
      <c r="V904" s="8" t="e">
        <f t="array" aca="1" ref="V904" ca="1">IF($C$4="Giao",_xludf.Xlookup(C904,#REF!,#REF!,),_xludf.Xlookup(C904,#REF!,#REF!,))</f>
        <v>#NAME?</v>
      </c>
      <c r="W904" s="8" t="e">
        <f t="array" aca="1" ref="W904" ca="1">IF($C$4="Giao", _xludf.Xlookup(C904,#REF!,#REF!,),)</f>
        <v>#NAME?</v>
      </c>
      <c r="X904" s="9" t="e">
        <f t="shared" ca="1" si="10"/>
        <v>#NAME?</v>
      </c>
      <c r="Y904" s="7"/>
      <c r="Z904" s="7"/>
    </row>
    <row r="905" spans="1:26" ht="13" x14ac:dyDescent="0.6">
      <c r="A905" s="28" t="str">
        <f t="shared" si="9"/>
        <v/>
      </c>
      <c r="B905" s="7"/>
      <c r="C905" s="7"/>
      <c r="D905" s="9"/>
      <c r="E905" s="9"/>
      <c r="F905" s="7"/>
      <c r="G905" s="7"/>
      <c r="H905" s="7"/>
      <c r="I905" s="7"/>
      <c r="J905" s="7"/>
      <c r="K905" s="7"/>
      <c r="L905" s="7"/>
      <c r="M905" s="7"/>
      <c r="N905" s="7"/>
      <c r="O905" s="7"/>
      <c r="P905" s="29"/>
      <c r="Q905" s="29"/>
      <c r="R905" s="7"/>
      <c r="S905" s="7"/>
      <c r="T905" s="7" t="str">
        <f ca="1">IFERROR(__xludf.DUMMYFUNCTION("SPARKLINE({
IF(D905="""",0,D905),
IF(F905="""",0,F905),
IF(H905="""",0,H905),
IF(J905="""",0,J905),
IF(L905="""",0,L905),
IF(N905="""",0,N905),
IF(P905="""",0,P905)
})"),"")</f>
        <v/>
      </c>
      <c r="U905" s="7" t="str">
        <f ca="1">IFERROR(__xludf.DUMMYFUNCTION("SPARKLINE({
IF(E905="""",0,E905),
IF(G905="""",0,G905),
IF(I905="""",0,I905),
IF(K905="""",0,K905),
IF(M905="""",0,M905),
IF(O905="""",0,O905),
IF(Q905="""",0,Q905)
})"),"")</f>
        <v/>
      </c>
      <c r="V905" s="8" t="e">
        <f t="array" aca="1" ref="V905" ca="1">IF($C$4="Giao",_xludf.Xlookup(C905,#REF!,#REF!,),_xludf.Xlookup(C905,#REF!,#REF!,))</f>
        <v>#NAME?</v>
      </c>
      <c r="W905" s="8" t="e">
        <f t="array" aca="1" ref="W905" ca="1">IF($C$4="Giao", _xludf.Xlookup(C905,#REF!,#REF!,),)</f>
        <v>#NAME?</v>
      </c>
      <c r="X905" s="9" t="e">
        <f t="shared" ca="1" si="10"/>
        <v>#NAME?</v>
      </c>
      <c r="Y905" s="7"/>
      <c r="Z905" s="7"/>
    </row>
    <row r="906" spans="1:26" ht="13" x14ac:dyDescent="0.6">
      <c r="A906" s="28" t="str">
        <f t="shared" si="9"/>
        <v/>
      </c>
      <c r="B906" s="7"/>
      <c r="C906" s="7"/>
      <c r="D906" s="9"/>
      <c r="E906" s="9"/>
      <c r="F906" s="7"/>
      <c r="G906" s="7"/>
      <c r="H906" s="7"/>
      <c r="I906" s="7"/>
      <c r="J906" s="7"/>
      <c r="K906" s="7"/>
      <c r="L906" s="7"/>
      <c r="M906" s="7"/>
      <c r="N906" s="7"/>
      <c r="O906" s="7"/>
      <c r="P906" s="29"/>
      <c r="Q906" s="29"/>
      <c r="R906" s="7"/>
      <c r="S906" s="7"/>
      <c r="T906" s="7" t="str">
        <f ca="1">IFERROR(__xludf.DUMMYFUNCTION("SPARKLINE({
IF(D906="""",0,D906),
IF(F906="""",0,F906),
IF(H906="""",0,H906),
IF(J906="""",0,J906),
IF(L906="""",0,L906),
IF(N906="""",0,N906),
IF(P906="""",0,P906)
})"),"")</f>
        <v/>
      </c>
      <c r="U906" s="7" t="str">
        <f ca="1">IFERROR(__xludf.DUMMYFUNCTION("SPARKLINE({
IF(E906="""",0,E906),
IF(G906="""",0,G906),
IF(I906="""",0,I906),
IF(K906="""",0,K906),
IF(M906="""",0,M906),
IF(O906="""",0,O906),
IF(Q906="""",0,Q906)
})"),"")</f>
        <v/>
      </c>
      <c r="V906" s="8" t="e">
        <f t="array" aca="1" ref="V906" ca="1">IF($C$4="Giao",_xludf.Xlookup(C906,#REF!,#REF!,),_xludf.Xlookup(C906,#REF!,#REF!,))</f>
        <v>#NAME?</v>
      </c>
      <c r="W906" s="8" t="e">
        <f t="array" aca="1" ref="W906" ca="1">IF($C$4="Giao", _xludf.Xlookup(C906,#REF!,#REF!,),)</f>
        <v>#NAME?</v>
      </c>
      <c r="X906" s="9" t="e">
        <f t="shared" ca="1" si="10"/>
        <v>#NAME?</v>
      </c>
      <c r="Y906" s="7"/>
      <c r="Z906" s="7"/>
    </row>
    <row r="907" spans="1:26" ht="13" x14ac:dyDescent="0.6">
      <c r="A907" s="28" t="str">
        <f t="shared" si="9"/>
        <v/>
      </c>
      <c r="B907" s="7"/>
      <c r="C907" s="7"/>
      <c r="D907" s="9"/>
      <c r="E907" s="9"/>
      <c r="F907" s="7"/>
      <c r="G907" s="7"/>
      <c r="H907" s="7"/>
      <c r="I907" s="7"/>
      <c r="J907" s="7"/>
      <c r="K907" s="7"/>
      <c r="L907" s="7"/>
      <c r="M907" s="7"/>
      <c r="N907" s="7"/>
      <c r="O907" s="7"/>
      <c r="P907" s="29"/>
      <c r="Q907" s="29"/>
      <c r="R907" s="7"/>
      <c r="S907" s="7"/>
      <c r="T907" s="7" t="str">
        <f ca="1">IFERROR(__xludf.DUMMYFUNCTION("SPARKLINE({
IF(D907="""",0,D907),
IF(F907="""",0,F907),
IF(H907="""",0,H907),
IF(J907="""",0,J907),
IF(L907="""",0,L907),
IF(N907="""",0,N907),
IF(P907="""",0,P907)
})"),"")</f>
        <v/>
      </c>
      <c r="U907" s="7" t="str">
        <f ca="1">IFERROR(__xludf.DUMMYFUNCTION("SPARKLINE({
IF(E907="""",0,E907),
IF(G907="""",0,G907),
IF(I907="""",0,I907),
IF(K907="""",0,K907),
IF(M907="""",0,M907),
IF(O907="""",0,O907),
IF(Q907="""",0,Q907)
})"),"")</f>
        <v/>
      </c>
      <c r="V907" s="8" t="e">
        <f t="array" aca="1" ref="V907" ca="1">IF($C$4="Giao",_xludf.Xlookup(C907,#REF!,#REF!,),_xludf.Xlookup(C907,#REF!,#REF!,))</f>
        <v>#NAME?</v>
      </c>
      <c r="W907" s="8" t="e">
        <f t="array" aca="1" ref="W907" ca="1">IF($C$4="Giao", _xludf.Xlookup(C907,#REF!,#REF!,),)</f>
        <v>#NAME?</v>
      </c>
      <c r="X907" s="9" t="e">
        <f t="shared" ca="1" si="10"/>
        <v>#NAME?</v>
      </c>
      <c r="Y907" s="7"/>
      <c r="Z907" s="7"/>
    </row>
    <row r="908" spans="1:26" ht="13" x14ac:dyDescent="0.6">
      <c r="A908" s="28" t="str">
        <f t="shared" si="9"/>
        <v/>
      </c>
      <c r="B908" s="7"/>
      <c r="C908" s="7"/>
      <c r="D908" s="9"/>
      <c r="E908" s="9"/>
      <c r="F908" s="7"/>
      <c r="G908" s="7"/>
      <c r="H908" s="7"/>
      <c r="I908" s="7"/>
      <c r="J908" s="7"/>
      <c r="K908" s="7"/>
      <c r="L908" s="7"/>
      <c r="M908" s="7"/>
      <c r="N908" s="7"/>
      <c r="O908" s="7"/>
      <c r="P908" s="29"/>
      <c r="Q908" s="29"/>
      <c r="R908" s="7"/>
      <c r="S908" s="7"/>
      <c r="T908" s="7" t="str">
        <f ca="1">IFERROR(__xludf.DUMMYFUNCTION("SPARKLINE({
IF(D908="""",0,D908),
IF(F908="""",0,F908),
IF(H908="""",0,H908),
IF(J908="""",0,J908),
IF(L908="""",0,L908),
IF(N908="""",0,N908),
IF(P908="""",0,P908)
})"),"")</f>
        <v/>
      </c>
      <c r="U908" s="7" t="str">
        <f ca="1">IFERROR(__xludf.DUMMYFUNCTION("SPARKLINE({
IF(E908="""",0,E908),
IF(G908="""",0,G908),
IF(I908="""",0,I908),
IF(K908="""",0,K908),
IF(M908="""",0,M908),
IF(O908="""",0,O908),
IF(Q908="""",0,Q908)
})"),"")</f>
        <v/>
      </c>
      <c r="V908" s="8" t="e">
        <f t="array" aca="1" ref="V908" ca="1">IF($C$4="Giao",_xludf.Xlookup(C908,#REF!,#REF!,),_xludf.Xlookup(C908,#REF!,#REF!,))</f>
        <v>#NAME?</v>
      </c>
      <c r="W908" s="8" t="e">
        <f t="array" aca="1" ref="W908" ca="1">IF($C$4="Giao", _xludf.Xlookup(C908,#REF!,#REF!,),)</f>
        <v>#NAME?</v>
      </c>
      <c r="X908" s="9" t="e">
        <f t="shared" ca="1" si="10"/>
        <v>#NAME?</v>
      </c>
      <c r="Y908" s="7"/>
      <c r="Z908" s="7"/>
    </row>
    <row r="909" spans="1:26" ht="13" x14ac:dyDescent="0.6">
      <c r="A909" s="28" t="str">
        <f t="shared" si="9"/>
        <v/>
      </c>
      <c r="B909" s="7"/>
      <c r="C909" s="7"/>
      <c r="D909" s="9"/>
      <c r="E909" s="9"/>
      <c r="F909" s="7"/>
      <c r="G909" s="7"/>
      <c r="H909" s="7"/>
      <c r="I909" s="7"/>
      <c r="J909" s="7"/>
      <c r="K909" s="7"/>
      <c r="L909" s="7"/>
      <c r="M909" s="7"/>
      <c r="N909" s="7"/>
      <c r="O909" s="7"/>
      <c r="P909" s="29"/>
      <c r="Q909" s="29"/>
      <c r="R909" s="7"/>
      <c r="S909" s="7"/>
      <c r="T909" s="7" t="str">
        <f ca="1">IFERROR(__xludf.DUMMYFUNCTION("SPARKLINE({
IF(D909="""",0,D909),
IF(F909="""",0,F909),
IF(H909="""",0,H909),
IF(J909="""",0,J909),
IF(L909="""",0,L909),
IF(N909="""",0,N909),
IF(P909="""",0,P909)
})"),"")</f>
        <v/>
      </c>
      <c r="U909" s="7" t="str">
        <f ca="1">IFERROR(__xludf.DUMMYFUNCTION("SPARKLINE({
IF(E909="""",0,E909),
IF(G909="""",0,G909),
IF(I909="""",0,I909),
IF(K909="""",0,K909),
IF(M909="""",0,M909),
IF(O909="""",0,O909),
IF(Q909="""",0,Q909)
})"),"")</f>
        <v/>
      </c>
      <c r="V909" s="8" t="e">
        <f t="array" aca="1" ref="V909" ca="1">IF($C$4="Giao",_xludf.Xlookup(C909,#REF!,#REF!,),_xludf.Xlookup(C909,#REF!,#REF!,))</f>
        <v>#NAME?</v>
      </c>
      <c r="W909" s="8" t="e">
        <f t="array" aca="1" ref="W909" ca="1">IF($C$4="Giao", _xludf.Xlookup(C909,#REF!,#REF!,),)</f>
        <v>#NAME?</v>
      </c>
      <c r="X909" s="9" t="e">
        <f t="shared" ca="1" si="10"/>
        <v>#NAME?</v>
      </c>
      <c r="Y909" s="7"/>
      <c r="Z909" s="7"/>
    </row>
    <row r="910" spans="1:26" ht="13" x14ac:dyDescent="0.6">
      <c r="A910" s="28" t="str">
        <f t="shared" si="9"/>
        <v/>
      </c>
      <c r="B910" s="7"/>
      <c r="C910" s="7"/>
      <c r="D910" s="9"/>
      <c r="E910" s="9"/>
      <c r="F910" s="7"/>
      <c r="G910" s="7"/>
      <c r="H910" s="7"/>
      <c r="I910" s="7"/>
      <c r="J910" s="7"/>
      <c r="K910" s="7"/>
      <c r="L910" s="7"/>
      <c r="M910" s="7"/>
      <c r="N910" s="7"/>
      <c r="O910" s="7"/>
      <c r="P910" s="29"/>
      <c r="Q910" s="29"/>
      <c r="R910" s="7"/>
      <c r="S910" s="7"/>
      <c r="T910" s="7" t="str">
        <f ca="1">IFERROR(__xludf.DUMMYFUNCTION("SPARKLINE({
IF(D910="""",0,D910),
IF(F910="""",0,F910),
IF(H910="""",0,H910),
IF(J910="""",0,J910),
IF(L910="""",0,L910),
IF(N910="""",0,N910),
IF(P910="""",0,P910)
})"),"")</f>
        <v/>
      </c>
      <c r="U910" s="7" t="str">
        <f ca="1">IFERROR(__xludf.DUMMYFUNCTION("SPARKLINE({
IF(E910="""",0,E910),
IF(G910="""",0,G910),
IF(I910="""",0,I910),
IF(K910="""",0,K910),
IF(M910="""",0,M910),
IF(O910="""",0,O910),
IF(Q910="""",0,Q910)
})"),"")</f>
        <v/>
      </c>
      <c r="V910" s="8" t="e">
        <f t="array" aca="1" ref="V910" ca="1">IF($C$4="Giao",_xludf.Xlookup(C910,#REF!,#REF!,),_xludf.Xlookup(C910,#REF!,#REF!,))</f>
        <v>#NAME?</v>
      </c>
      <c r="W910" s="8" t="e">
        <f t="array" aca="1" ref="W910" ca="1">IF($C$4="Giao", _xludf.Xlookup(C910,#REF!,#REF!,),)</f>
        <v>#NAME?</v>
      </c>
      <c r="X910" s="9" t="e">
        <f t="shared" ca="1" si="10"/>
        <v>#NAME?</v>
      </c>
      <c r="Y910" s="7"/>
      <c r="Z910" s="7"/>
    </row>
    <row r="911" spans="1:26" ht="13" x14ac:dyDescent="0.6">
      <c r="A911" s="28" t="str">
        <f t="shared" si="9"/>
        <v/>
      </c>
      <c r="B911" s="7"/>
      <c r="C911" s="7"/>
      <c r="D911" s="9"/>
      <c r="E911" s="9"/>
      <c r="F911" s="7"/>
      <c r="G911" s="7"/>
      <c r="H911" s="7"/>
      <c r="I911" s="7"/>
      <c r="J911" s="7"/>
      <c r="K911" s="7"/>
      <c r="L911" s="7"/>
      <c r="M911" s="7"/>
      <c r="N911" s="7"/>
      <c r="O911" s="7"/>
      <c r="P911" s="29"/>
      <c r="Q911" s="29"/>
      <c r="R911" s="7"/>
      <c r="S911" s="7"/>
      <c r="T911" s="7" t="str">
        <f ca="1">IFERROR(__xludf.DUMMYFUNCTION("SPARKLINE({
IF(D911="""",0,D911),
IF(F911="""",0,F911),
IF(H911="""",0,H911),
IF(J911="""",0,J911),
IF(L911="""",0,L911),
IF(N911="""",0,N911),
IF(P911="""",0,P911)
})"),"")</f>
        <v/>
      </c>
      <c r="U911" s="7" t="str">
        <f ca="1">IFERROR(__xludf.DUMMYFUNCTION("SPARKLINE({
IF(E911="""",0,E911),
IF(G911="""",0,G911),
IF(I911="""",0,I911),
IF(K911="""",0,K911),
IF(M911="""",0,M911),
IF(O911="""",0,O911),
IF(Q911="""",0,Q911)
})"),"")</f>
        <v/>
      </c>
      <c r="V911" s="8" t="e">
        <f t="array" aca="1" ref="V911" ca="1">IF($C$4="Giao",_xludf.Xlookup(C911,#REF!,#REF!,),_xludf.Xlookup(C911,#REF!,#REF!,))</f>
        <v>#NAME?</v>
      </c>
      <c r="W911" s="8" t="e">
        <f t="array" aca="1" ref="W911" ca="1">IF($C$4="Giao", _xludf.Xlookup(C911,#REF!,#REF!,),)</f>
        <v>#NAME?</v>
      </c>
      <c r="X911" s="9" t="e">
        <f t="shared" ca="1" si="10"/>
        <v>#NAME?</v>
      </c>
      <c r="Y911" s="7"/>
      <c r="Z911" s="7"/>
    </row>
    <row r="912" spans="1:26" ht="13" x14ac:dyDescent="0.6">
      <c r="A912" s="28" t="str">
        <f t="shared" si="9"/>
        <v/>
      </c>
      <c r="B912" s="7"/>
      <c r="C912" s="7"/>
      <c r="D912" s="9"/>
      <c r="E912" s="9"/>
      <c r="F912" s="7"/>
      <c r="G912" s="7"/>
      <c r="H912" s="7"/>
      <c r="I912" s="7"/>
      <c r="J912" s="7"/>
      <c r="K912" s="7"/>
      <c r="L912" s="7"/>
      <c r="M912" s="7"/>
      <c r="N912" s="7"/>
      <c r="O912" s="7"/>
      <c r="P912" s="29"/>
      <c r="Q912" s="29"/>
      <c r="R912" s="7"/>
      <c r="S912" s="7"/>
      <c r="T912" s="7" t="str">
        <f ca="1">IFERROR(__xludf.DUMMYFUNCTION("SPARKLINE({
IF(D912="""",0,D912),
IF(F912="""",0,F912),
IF(H912="""",0,H912),
IF(J912="""",0,J912),
IF(L912="""",0,L912),
IF(N912="""",0,N912),
IF(P912="""",0,P912)
})"),"")</f>
        <v/>
      </c>
      <c r="U912" s="7" t="str">
        <f ca="1">IFERROR(__xludf.DUMMYFUNCTION("SPARKLINE({
IF(E912="""",0,E912),
IF(G912="""",0,G912),
IF(I912="""",0,I912),
IF(K912="""",0,K912),
IF(M912="""",0,M912),
IF(O912="""",0,O912),
IF(Q912="""",0,Q912)
})"),"")</f>
        <v/>
      </c>
      <c r="V912" s="8" t="e">
        <f t="array" aca="1" ref="V912" ca="1">IF($C$4="Giao",_xludf.Xlookup(C912,#REF!,#REF!,),_xludf.Xlookup(C912,#REF!,#REF!,))</f>
        <v>#NAME?</v>
      </c>
      <c r="W912" s="8" t="e">
        <f t="array" aca="1" ref="W912" ca="1">IF($C$4="Giao", _xludf.Xlookup(C912,#REF!,#REF!,),)</f>
        <v>#NAME?</v>
      </c>
      <c r="X912" s="9" t="e">
        <f t="shared" ca="1" si="10"/>
        <v>#NAME?</v>
      </c>
      <c r="Y912" s="7"/>
      <c r="Z912" s="7"/>
    </row>
    <row r="913" spans="1:26" ht="13" x14ac:dyDescent="0.6">
      <c r="A913" s="28" t="str">
        <f t="shared" si="9"/>
        <v/>
      </c>
      <c r="B913" s="7"/>
      <c r="C913" s="7"/>
      <c r="D913" s="9"/>
      <c r="E913" s="9"/>
      <c r="F913" s="7"/>
      <c r="G913" s="7"/>
      <c r="H913" s="7"/>
      <c r="I913" s="7"/>
      <c r="J913" s="7"/>
      <c r="K913" s="7"/>
      <c r="L913" s="7"/>
      <c r="M913" s="7"/>
      <c r="N913" s="7"/>
      <c r="O913" s="7"/>
      <c r="P913" s="29"/>
      <c r="Q913" s="29"/>
      <c r="R913" s="7"/>
      <c r="S913" s="7"/>
      <c r="T913" s="7" t="str">
        <f ca="1">IFERROR(__xludf.DUMMYFUNCTION("SPARKLINE({
IF(D913="""",0,D913),
IF(F913="""",0,F913),
IF(H913="""",0,H913),
IF(J913="""",0,J913),
IF(L913="""",0,L913),
IF(N913="""",0,N913),
IF(P913="""",0,P913)
})"),"")</f>
        <v/>
      </c>
      <c r="U913" s="7" t="str">
        <f ca="1">IFERROR(__xludf.DUMMYFUNCTION("SPARKLINE({
IF(E913="""",0,E913),
IF(G913="""",0,G913),
IF(I913="""",0,I913),
IF(K913="""",0,K913),
IF(M913="""",0,M913),
IF(O913="""",0,O913),
IF(Q913="""",0,Q913)
})"),"")</f>
        <v/>
      </c>
      <c r="V913" s="8" t="e">
        <f t="array" aca="1" ref="V913" ca="1">IF($C$4="Giao",_xludf.Xlookup(C913,#REF!,#REF!,),_xludf.Xlookup(C913,#REF!,#REF!,))</f>
        <v>#NAME?</v>
      </c>
      <c r="W913" s="8" t="e">
        <f t="array" aca="1" ref="W913" ca="1">IF($C$4="Giao", _xludf.Xlookup(C913,#REF!,#REF!,),)</f>
        <v>#NAME?</v>
      </c>
      <c r="X913" s="9" t="e">
        <f t="shared" ca="1" si="10"/>
        <v>#NAME?</v>
      </c>
      <c r="Y913" s="7"/>
      <c r="Z913" s="7"/>
    </row>
    <row r="914" spans="1:26" ht="13" x14ac:dyDescent="0.6">
      <c r="A914" s="28" t="str">
        <f t="shared" si="9"/>
        <v/>
      </c>
      <c r="B914" s="7"/>
      <c r="C914" s="7"/>
      <c r="D914" s="9"/>
      <c r="E914" s="9"/>
      <c r="F914" s="7"/>
      <c r="G914" s="7"/>
      <c r="H914" s="7"/>
      <c r="I914" s="7"/>
      <c r="J914" s="7"/>
      <c r="K914" s="7"/>
      <c r="L914" s="7"/>
      <c r="M914" s="7"/>
      <c r="N914" s="7"/>
      <c r="O914" s="7"/>
      <c r="P914" s="29"/>
      <c r="Q914" s="29"/>
      <c r="R914" s="7"/>
      <c r="S914" s="7"/>
      <c r="T914" s="7" t="str">
        <f ca="1">IFERROR(__xludf.DUMMYFUNCTION("SPARKLINE({
IF(D914="""",0,D914),
IF(F914="""",0,F914),
IF(H914="""",0,H914),
IF(J914="""",0,J914),
IF(L914="""",0,L914),
IF(N914="""",0,N914),
IF(P914="""",0,P914)
})"),"")</f>
        <v/>
      </c>
      <c r="U914" s="7" t="str">
        <f ca="1">IFERROR(__xludf.DUMMYFUNCTION("SPARKLINE({
IF(E914="""",0,E914),
IF(G914="""",0,G914),
IF(I914="""",0,I914),
IF(K914="""",0,K914),
IF(M914="""",0,M914),
IF(O914="""",0,O914),
IF(Q914="""",0,Q914)
})"),"")</f>
        <v/>
      </c>
      <c r="V914" s="8" t="e">
        <f t="array" aca="1" ref="V914" ca="1">IF($C$4="Giao",_xludf.Xlookup(C914,#REF!,#REF!,),_xludf.Xlookup(C914,#REF!,#REF!,))</f>
        <v>#NAME?</v>
      </c>
      <c r="W914" s="8" t="e">
        <f t="array" aca="1" ref="W914" ca="1">IF($C$4="Giao", _xludf.Xlookup(C914,#REF!,#REF!,),)</f>
        <v>#NAME?</v>
      </c>
      <c r="X914" s="9" t="e">
        <f t="shared" ca="1" si="10"/>
        <v>#NAME?</v>
      </c>
      <c r="Y914" s="7"/>
      <c r="Z914" s="7"/>
    </row>
    <row r="915" spans="1:26" ht="13" x14ac:dyDescent="0.6">
      <c r="A915" s="28" t="str">
        <f t="shared" si="9"/>
        <v/>
      </c>
      <c r="B915" s="7"/>
      <c r="C915" s="7"/>
      <c r="D915" s="9"/>
      <c r="E915" s="9"/>
      <c r="F915" s="7"/>
      <c r="G915" s="7"/>
      <c r="H915" s="7"/>
      <c r="I915" s="7"/>
      <c r="J915" s="7"/>
      <c r="K915" s="7"/>
      <c r="L915" s="7"/>
      <c r="M915" s="7"/>
      <c r="N915" s="7"/>
      <c r="O915" s="7"/>
      <c r="P915" s="29"/>
      <c r="Q915" s="29"/>
      <c r="R915" s="7"/>
      <c r="S915" s="7"/>
      <c r="T915" s="7" t="str">
        <f ca="1">IFERROR(__xludf.DUMMYFUNCTION("SPARKLINE({
IF(D915="""",0,D915),
IF(F915="""",0,F915),
IF(H915="""",0,H915),
IF(J915="""",0,J915),
IF(L915="""",0,L915),
IF(N915="""",0,N915),
IF(P915="""",0,P915)
})"),"")</f>
        <v/>
      </c>
      <c r="U915" s="7" t="str">
        <f ca="1">IFERROR(__xludf.DUMMYFUNCTION("SPARKLINE({
IF(E915="""",0,E915),
IF(G915="""",0,G915),
IF(I915="""",0,I915),
IF(K915="""",0,K915),
IF(M915="""",0,M915),
IF(O915="""",0,O915),
IF(Q915="""",0,Q915)
})"),"")</f>
        <v/>
      </c>
      <c r="V915" s="8" t="e">
        <f t="array" aca="1" ref="V915" ca="1">IF($C$4="Giao",_xludf.Xlookup(C915,#REF!,#REF!,),_xludf.Xlookup(C915,#REF!,#REF!,))</f>
        <v>#NAME?</v>
      </c>
      <c r="W915" s="8" t="e">
        <f t="array" aca="1" ref="W915" ca="1">IF($C$4="Giao", _xludf.Xlookup(C915,#REF!,#REF!,),)</f>
        <v>#NAME?</v>
      </c>
      <c r="X915" s="9" t="e">
        <f t="shared" ca="1" si="10"/>
        <v>#NAME?</v>
      </c>
      <c r="Y915" s="7"/>
      <c r="Z915" s="7"/>
    </row>
    <row r="916" spans="1:26" ht="13" x14ac:dyDescent="0.6">
      <c r="A916" s="28" t="str">
        <f t="shared" si="9"/>
        <v/>
      </c>
      <c r="B916" s="7"/>
      <c r="C916" s="7"/>
      <c r="D916" s="9"/>
      <c r="E916" s="9"/>
      <c r="F916" s="7"/>
      <c r="G916" s="7"/>
      <c r="H916" s="7"/>
      <c r="I916" s="7"/>
      <c r="J916" s="7"/>
      <c r="K916" s="7"/>
      <c r="L916" s="7"/>
      <c r="M916" s="7"/>
      <c r="N916" s="7"/>
      <c r="O916" s="7"/>
      <c r="P916" s="29"/>
      <c r="Q916" s="29"/>
      <c r="R916" s="7"/>
      <c r="S916" s="7"/>
      <c r="T916" s="7" t="str">
        <f ca="1">IFERROR(__xludf.DUMMYFUNCTION("SPARKLINE({
IF(D916="""",0,D916),
IF(F916="""",0,F916),
IF(H916="""",0,H916),
IF(J916="""",0,J916),
IF(L916="""",0,L916),
IF(N916="""",0,N916),
IF(P916="""",0,P916)
})"),"")</f>
        <v/>
      </c>
      <c r="U916" s="7" t="str">
        <f ca="1">IFERROR(__xludf.DUMMYFUNCTION("SPARKLINE({
IF(E916="""",0,E916),
IF(G916="""",0,G916),
IF(I916="""",0,I916),
IF(K916="""",0,K916),
IF(M916="""",0,M916),
IF(O916="""",0,O916),
IF(Q916="""",0,Q916)
})"),"")</f>
        <v/>
      </c>
      <c r="V916" s="8" t="e">
        <f t="array" aca="1" ref="V916" ca="1">IF($C$4="Giao",_xludf.Xlookup(C916,#REF!,#REF!,),_xludf.Xlookup(C916,#REF!,#REF!,))</f>
        <v>#NAME?</v>
      </c>
      <c r="W916" s="8" t="e">
        <f t="array" aca="1" ref="W916" ca="1">IF($C$4="Giao", _xludf.Xlookup(C916,#REF!,#REF!,),)</f>
        <v>#NAME?</v>
      </c>
      <c r="X916" s="9" t="e">
        <f t="shared" ca="1" si="10"/>
        <v>#NAME?</v>
      </c>
      <c r="Y916" s="7"/>
      <c r="Z916" s="7"/>
    </row>
    <row r="917" spans="1:26" ht="13" x14ac:dyDescent="0.6">
      <c r="A917" s="28" t="str">
        <f t="shared" si="9"/>
        <v/>
      </c>
      <c r="B917" s="7"/>
      <c r="C917" s="7"/>
      <c r="D917" s="9"/>
      <c r="E917" s="9"/>
      <c r="F917" s="7"/>
      <c r="G917" s="7"/>
      <c r="H917" s="7"/>
      <c r="I917" s="7"/>
      <c r="J917" s="7"/>
      <c r="K917" s="7"/>
      <c r="L917" s="7"/>
      <c r="M917" s="7"/>
      <c r="N917" s="7"/>
      <c r="O917" s="7"/>
      <c r="P917" s="29"/>
      <c r="Q917" s="29"/>
      <c r="R917" s="7"/>
      <c r="S917" s="7"/>
      <c r="T917" s="7" t="str">
        <f ca="1">IFERROR(__xludf.DUMMYFUNCTION("SPARKLINE({
IF(D917="""",0,D917),
IF(F917="""",0,F917),
IF(H917="""",0,H917),
IF(J917="""",0,J917),
IF(L917="""",0,L917),
IF(N917="""",0,N917),
IF(P917="""",0,P917)
})"),"")</f>
        <v/>
      </c>
      <c r="U917" s="7" t="str">
        <f ca="1">IFERROR(__xludf.DUMMYFUNCTION("SPARKLINE({
IF(E917="""",0,E917),
IF(G917="""",0,G917),
IF(I917="""",0,I917),
IF(K917="""",0,K917),
IF(M917="""",0,M917),
IF(O917="""",0,O917),
IF(Q917="""",0,Q917)
})"),"")</f>
        <v/>
      </c>
      <c r="V917" s="8" t="e">
        <f t="array" aca="1" ref="V917" ca="1">IF($C$4="Giao",_xludf.Xlookup(C917,#REF!,#REF!,),_xludf.Xlookup(C917,#REF!,#REF!,))</f>
        <v>#NAME?</v>
      </c>
      <c r="W917" s="8" t="e">
        <f t="array" aca="1" ref="W917" ca="1">IF($C$4="Giao", _xludf.Xlookup(C917,#REF!,#REF!,),)</f>
        <v>#NAME?</v>
      </c>
      <c r="X917" s="9" t="e">
        <f t="shared" ca="1" si="10"/>
        <v>#NAME?</v>
      </c>
      <c r="Y917" s="7"/>
      <c r="Z917" s="7"/>
    </row>
    <row r="918" spans="1:26" ht="13" x14ac:dyDescent="0.6">
      <c r="A918" s="28" t="str">
        <f t="shared" si="9"/>
        <v/>
      </c>
      <c r="B918" s="7"/>
      <c r="C918" s="7"/>
      <c r="D918" s="9"/>
      <c r="E918" s="9"/>
      <c r="F918" s="7"/>
      <c r="G918" s="7"/>
      <c r="H918" s="7"/>
      <c r="I918" s="7"/>
      <c r="J918" s="7"/>
      <c r="K918" s="7"/>
      <c r="L918" s="7"/>
      <c r="M918" s="7"/>
      <c r="N918" s="7"/>
      <c r="O918" s="7"/>
      <c r="P918" s="29"/>
      <c r="Q918" s="29"/>
      <c r="R918" s="7"/>
      <c r="S918" s="7"/>
      <c r="T918" s="7" t="str">
        <f ca="1">IFERROR(__xludf.DUMMYFUNCTION("SPARKLINE({
IF(D918="""",0,D918),
IF(F918="""",0,F918),
IF(H918="""",0,H918),
IF(J918="""",0,J918),
IF(L918="""",0,L918),
IF(N918="""",0,N918),
IF(P918="""",0,P918)
})"),"")</f>
        <v/>
      </c>
      <c r="U918" s="7" t="str">
        <f ca="1">IFERROR(__xludf.DUMMYFUNCTION("SPARKLINE({
IF(E918="""",0,E918),
IF(G918="""",0,G918),
IF(I918="""",0,I918),
IF(K918="""",0,K918),
IF(M918="""",0,M918),
IF(O918="""",0,O918),
IF(Q918="""",0,Q918)
})"),"")</f>
        <v/>
      </c>
      <c r="V918" s="8" t="e">
        <f t="array" aca="1" ref="V918" ca="1">IF($C$4="Giao",_xludf.Xlookup(C918,#REF!,#REF!,),_xludf.Xlookup(C918,#REF!,#REF!,))</f>
        <v>#NAME?</v>
      </c>
      <c r="W918" s="8" t="e">
        <f t="array" aca="1" ref="W918" ca="1">IF($C$4="Giao", _xludf.Xlookup(C918,#REF!,#REF!,),)</f>
        <v>#NAME?</v>
      </c>
      <c r="X918" s="9" t="e">
        <f t="shared" ca="1" si="10"/>
        <v>#NAME?</v>
      </c>
      <c r="Y918" s="7"/>
      <c r="Z918" s="7"/>
    </row>
    <row r="919" spans="1:26" ht="13" x14ac:dyDescent="0.6">
      <c r="A919" s="28" t="str">
        <f t="shared" si="9"/>
        <v/>
      </c>
      <c r="B919" s="7"/>
      <c r="C919" s="7"/>
      <c r="D919" s="9"/>
      <c r="E919" s="9"/>
      <c r="F919" s="7"/>
      <c r="G919" s="7"/>
      <c r="H919" s="7"/>
      <c r="I919" s="7"/>
      <c r="J919" s="7"/>
      <c r="K919" s="7"/>
      <c r="L919" s="7"/>
      <c r="M919" s="7"/>
      <c r="N919" s="7"/>
      <c r="O919" s="7"/>
      <c r="P919" s="29"/>
      <c r="Q919" s="29"/>
      <c r="R919" s="7"/>
      <c r="S919" s="7"/>
      <c r="T919" s="7" t="str">
        <f ca="1">IFERROR(__xludf.DUMMYFUNCTION("SPARKLINE({
IF(D919="""",0,D919),
IF(F919="""",0,F919),
IF(H919="""",0,H919),
IF(J919="""",0,J919),
IF(L919="""",0,L919),
IF(N919="""",0,N919),
IF(P919="""",0,P919)
})"),"")</f>
        <v/>
      </c>
      <c r="U919" s="7" t="str">
        <f ca="1">IFERROR(__xludf.DUMMYFUNCTION("SPARKLINE({
IF(E919="""",0,E919),
IF(G919="""",0,G919),
IF(I919="""",0,I919),
IF(K919="""",0,K919),
IF(M919="""",0,M919),
IF(O919="""",0,O919),
IF(Q919="""",0,Q919)
})"),"")</f>
        <v/>
      </c>
      <c r="V919" s="8" t="e">
        <f t="array" aca="1" ref="V919" ca="1">IF($C$4="Giao",_xludf.Xlookup(C919,#REF!,#REF!,),_xludf.Xlookup(C919,#REF!,#REF!,))</f>
        <v>#NAME?</v>
      </c>
      <c r="W919" s="8" t="e">
        <f t="array" aca="1" ref="W919" ca="1">IF($C$4="Giao", _xludf.Xlookup(C919,#REF!,#REF!,),)</f>
        <v>#NAME?</v>
      </c>
      <c r="X919" s="9" t="e">
        <f t="shared" ca="1" si="10"/>
        <v>#NAME?</v>
      </c>
      <c r="Y919" s="7"/>
      <c r="Z919" s="7"/>
    </row>
    <row r="920" spans="1:26" ht="13" x14ac:dyDescent="0.6">
      <c r="A920" s="28" t="str">
        <f t="shared" si="9"/>
        <v/>
      </c>
      <c r="B920" s="7"/>
      <c r="C920" s="7"/>
      <c r="D920" s="9"/>
      <c r="E920" s="9"/>
      <c r="F920" s="7"/>
      <c r="G920" s="7"/>
      <c r="H920" s="7"/>
      <c r="I920" s="7"/>
      <c r="J920" s="7"/>
      <c r="K920" s="7"/>
      <c r="L920" s="7"/>
      <c r="M920" s="7"/>
      <c r="N920" s="7"/>
      <c r="O920" s="7"/>
      <c r="P920" s="29"/>
      <c r="Q920" s="29"/>
      <c r="R920" s="7"/>
      <c r="S920" s="7"/>
      <c r="T920" s="7" t="str">
        <f ca="1">IFERROR(__xludf.DUMMYFUNCTION("SPARKLINE({
IF(D920="""",0,D920),
IF(F920="""",0,F920),
IF(H920="""",0,H920),
IF(J920="""",0,J920),
IF(L920="""",0,L920),
IF(N920="""",0,N920),
IF(P920="""",0,P920)
})"),"")</f>
        <v/>
      </c>
      <c r="U920" s="7" t="str">
        <f ca="1">IFERROR(__xludf.DUMMYFUNCTION("SPARKLINE({
IF(E920="""",0,E920),
IF(G920="""",0,G920),
IF(I920="""",0,I920),
IF(K920="""",0,K920),
IF(M920="""",0,M920),
IF(O920="""",0,O920),
IF(Q920="""",0,Q920)
})"),"")</f>
        <v/>
      </c>
      <c r="V920" s="8" t="e">
        <f t="array" aca="1" ref="V920" ca="1">IF($C$4="Giao",_xludf.Xlookup(C920,#REF!,#REF!,),_xludf.Xlookup(C920,#REF!,#REF!,))</f>
        <v>#NAME?</v>
      </c>
      <c r="W920" s="8" t="e">
        <f t="array" aca="1" ref="W920" ca="1">IF($C$4="Giao", _xludf.Xlookup(C920,#REF!,#REF!,),)</f>
        <v>#NAME?</v>
      </c>
      <c r="X920" s="9" t="e">
        <f t="shared" ca="1" si="10"/>
        <v>#NAME?</v>
      </c>
      <c r="Y920" s="7"/>
      <c r="Z920" s="7"/>
    </row>
    <row r="921" spans="1:26" ht="13" x14ac:dyDescent="0.6">
      <c r="A921" s="28" t="str">
        <f t="shared" si="9"/>
        <v/>
      </c>
      <c r="B921" s="7"/>
      <c r="C921" s="7"/>
      <c r="D921" s="9"/>
      <c r="E921" s="9"/>
      <c r="F921" s="7"/>
      <c r="G921" s="7"/>
      <c r="H921" s="7"/>
      <c r="I921" s="7"/>
      <c r="J921" s="7"/>
      <c r="K921" s="7"/>
      <c r="L921" s="7"/>
      <c r="M921" s="7"/>
      <c r="N921" s="7"/>
      <c r="O921" s="7"/>
      <c r="P921" s="29"/>
      <c r="Q921" s="29"/>
      <c r="R921" s="7"/>
      <c r="S921" s="7"/>
      <c r="T921" s="7" t="str">
        <f ca="1">IFERROR(__xludf.DUMMYFUNCTION("SPARKLINE({
IF(D921="""",0,D921),
IF(F921="""",0,F921),
IF(H921="""",0,H921),
IF(J921="""",0,J921),
IF(L921="""",0,L921),
IF(N921="""",0,N921),
IF(P921="""",0,P921)
})"),"")</f>
        <v/>
      </c>
      <c r="U921" s="7" t="str">
        <f ca="1">IFERROR(__xludf.DUMMYFUNCTION("SPARKLINE({
IF(E921="""",0,E921),
IF(G921="""",0,G921),
IF(I921="""",0,I921),
IF(K921="""",0,K921),
IF(M921="""",0,M921),
IF(O921="""",0,O921),
IF(Q921="""",0,Q921)
})"),"")</f>
        <v/>
      </c>
      <c r="V921" s="8" t="e">
        <f t="array" aca="1" ref="V921" ca="1">IF($C$4="Giao",_xludf.Xlookup(C921,#REF!,#REF!,),_xludf.Xlookup(C921,#REF!,#REF!,))</f>
        <v>#NAME?</v>
      </c>
      <c r="W921" s="8" t="e">
        <f t="array" aca="1" ref="W921" ca="1">IF($C$4="Giao", _xludf.Xlookup(C921,#REF!,#REF!,),)</f>
        <v>#NAME?</v>
      </c>
      <c r="X921" s="9" t="e">
        <f t="shared" ca="1" si="10"/>
        <v>#NAME?</v>
      </c>
      <c r="Y921" s="7"/>
      <c r="Z921" s="7"/>
    </row>
    <row r="922" spans="1:26" ht="13" x14ac:dyDescent="0.6">
      <c r="A922" s="28" t="str">
        <f t="shared" si="9"/>
        <v/>
      </c>
      <c r="B922" s="7"/>
      <c r="C922" s="7"/>
      <c r="D922" s="9"/>
      <c r="E922" s="9"/>
      <c r="F922" s="7"/>
      <c r="G922" s="7"/>
      <c r="H922" s="7"/>
      <c r="I922" s="7"/>
      <c r="J922" s="7"/>
      <c r="K922" s="7"/>
      <c r="L922" s="7"/>
      <c r="M922" s="7"/>
      <c r="N922" s="7"/>
      <c r="O922" s="7"/>
      <c r="P922" s="29"/>
      <c r="Q922" s="29"/>
      <c r="R922" s="7"/>
      <c r="S922" s="7"/>
      <c r="T922" s="7" t="str">
        <f ca="1">IFERROR(__xludf.DUMMYFUNCTION("SPARKLINE({
IF(D922="""",0,D922),
IF(F922="""",0,F922),
IF(H922="""",0,H922),
IF(J922="""",0,J922),
IF(L922="""",0,L922),
IF(N922="""",0,N922),
IF(P922="""",0,P922)
})"),"")</f>
        <v/>
      </c>
      <c r="U922" s="7" t="str">
        <f ca="1">IFERROR(__xludf.DUMMYFUNCTION("SPARKLINE({
IF(E922="""",0,E922),
IF(G922="""",0,G922),
IF(I922="""",0,I922),
IF(K922="""",0,K922),
IF(M922="""",0,M922),
IF(O922="""",0,O922),
IF(Q922="""",0,Q922)
})"),"")</f>
        <v/>
      </c>
      <c r="V922" s="8" t="e">
        <f t="array" aca="1" ref="V922" ca="1">IF($C$4="Giao",_xludf.Xlookup(C922,#REF!,#REF!,),_xludf.Xlookup(C922,#REF!,#REF!,))</f>
        <v>#NAME?</v>
      </c>
      <c r="W922" s="8" t="e">
        <f t="array" aca="1" ref="W922" ca="1">IF($C$4="Giao", _xludf.Xlookup(C922,#REF!,#REF!,),)</f>
        <v>#NAME?</v>
      </c>
      <c r="X922" s="9" t="e">
        <f t="shared" ca="1" si="10"/>
        <v>#NAME?</v>
      </c>
      <c r="Y922" s="7"/>
      <c r="Z922" s="7"/>
    </row>
    <row r="923" spans="1:26" ht="13" x14ac:dyDescent="0.6">
      <c r="A923" s="28" t="str">
        <f t="shared" si="9"/>
        <v/>
      </c>
      <c r="B923" s="7"/>
      <c r="C923" s="7"/>
      <c r="D923" s="9"/>
      <c r="E923" s="9"/>
      <c r="F923" s="7"/>
      <c r="G923" s="7"/>
      <c r="H923" s="7"/>
      <c r="I923" s="7"/>
      <c r="J923" s="7"/>
      <c r="K923" s="7"/>
      <c r="L923" s="7"/>
      <c r="M923" s="7"/>
      <c r="N923" s="7"/>
      <c r="O923" s="7"/>
      <c r="P923" s="29"/>
      <c r="Q923" s="29"/>
      <c r="R923" s="7"/>
      <c r="S923" s="7"/>
      <c r="T923" s="7" t="str">
        <f ca="1">IFERROR(__xludf.DUMMYFUNCTION("SPARKLINE({
IF(D923="""",0,D923),
IF(F923="""",0,F923),
IF(H923="""",0,H923),
IF(J923="""",0,J923),
IF(L923="""",0,L923),
IF(N923="""",0,N923),
IF(P923="""",0,P923)
})"),"")</f>
        <v/>
      </c>
      <c r="U923" s="7" t="str">
        <f ca="1">IFERROR(__xludf.DUMMYFUNCTION("SPARKLINE({
IF(E923="""",0,E923),
IF(G923="""",0,G923),
IF(I923="""",0,I923),
IF(K923="""",0,K923),
IF(M923="""",0,M923),
IF(O923="""",0,O923),
IF(Q923="""",0,Q923)
})"),"")</f>
        <v/>
      </c>
      <c r="V923" s="8" t="e">
        <f t="array" aca="1" ref="V923" ca="1">IF($C$4="Giao",_xludf.Xlookup(C923,#REF!,#REF!,),_xludf.Xlookup(C923,#REF!,#REF!,))</f>
        <v>#NAME?</v>
      </c>
      <c r="W923" s="8" t="e">
        <f t="array" aca="1" ref="W923" ca="1">IF($C$4="Giao", _xludf.Xlookup(C923,#REF!,#REF!,),)</f>
        <v>#NAME?</v>
      </c>
      <c r="X923" s="9" t="e">
        <f t="shared" ca="1" si="10"/>
        <v>#NAME?</v>
      </c>
      <c r="Y923" s="7"/>
      <c r="Z923" s="7"/>
    </row>
    <row r="924" spans="1:26" ht="13" x14ac:dyDescent="0.6">
      <c r="A924" s="28" t="str">
        <f t="shared" si="9"/>
        <v/>
      </c>
      <c r="B924" s="7"/>
      <c r="C924" s="7"/>
      <c r="D924" s="9"/>
      <c r="E924" s="9"/>
      <c r="F924" s="7"/>
      <c r="G924" s="7"/>
      <c r="H924" s="7"/>
      <c r="I924" s="7"/>
      <c r="J924" s="7"/>
      <c r="K924" s="7"/>
      <c r="L924" s="7"/>
      <c r="M924" s="7"/>
      <c r="N924" s="7"/>
      <c r="O924" s="7"/>
      <c r="P924" s="29"/>
      <c r="Q924" s="29"/>
      <c r="R924" s="7"/>
      <c r="S924" s="7"/>
      <c r="T924" s="7" t="str">
        <f ca="1">IFERROR(__xludf.DUMMYFUNCTION("SPARKLINE({
IF(D924="""",0,D924),
IF(F924="""",0,F924),
IF(H924="""",0,H924),
IF(J924="""",0,J924),
IF(L924="""",0,L924),
IF(N924="""",0,N924),
IF(P924="""",0,P924)
})"),"")</f>
        <v/>
      </c>
      <c r="U924" s="7" t="str">
        <f ca="1">IFERROR(__xludf.DUMMYFUNCTION("SPARKLINE({
IF(E924="""",0,E924),
IF(G924="""",0,G924),
IF(I924="""",0,I924),
IF(K924="""",0,K924),
IF(M924="""",0,M924),
IF(O924="""",0,O924),
IF(Q924="""",0,Q924)
})"),"")</f>
        <v/>
      </c>
      <c r="V924" s="8" t="e">
        <f t="array" aca="1" ref="V924" ca="1">IF($C$4="Giao",_xludf.Xlookup(C924,#REF!,#REF!,),_xludf.Xlookup(C924,#REF!,#REF!,))</f>
        <v>#NAME?</v>
      </c>
      <c r="W924" s="8" t="e">
        <f t="array" aca="1" ref="W924" ca="1">IF($C$4="Giao", _xludf.Xlookup(C924,#REF!,#REF!,),)</f>
        <v>#NAME?</v>
      </c>
      <c r="X924" s="9" t="e">
        <f t="shared" ca="1" si="10"/>
        <v>#NAME?</v>
      </c>
      <c r="Y924" s="7"/>
      <c r="Z924" s="7"/>
    </row>
    <row r="925" spans="1:26" ht="13" x14ac:dyDescent="0.6">
      <c r="A925" s="28" t="str">
        <f t="shared" si="9"/>
        <v/>
      </c>
      <c r="B925" s="7"/>
      <c r="C925" s="7"/>
      <c r="D925" s="9"/>
      <c r="E925" s="9"/>
      <c r="F925" s="7"/>
      <c r="G925" s="7"/>
      <c r="H925" s="7"/>
      <c r="I925" s="7"/>
      <c r="J925" s="7"/>
      <c r="K925" s="7"/>
      <c r="L925" s="7"/>
      <c r="M925" s="7"/>
      <c r="N925" s="7"/>
      <c r="O925" s="7"/>
      <c r="P925" s="29"/>
      <c r="Q925" s="29"/>
      <c r="R925" s="7"/>
      <c r="S925" s="7"/>
      <c r="T925" s="7" t="str">
        <f ca="1">IFERROR(__xludf.DUMMYFUNCTION("SPARKLINE({
IF(D925="""",0,D925),
IF(F925="""",0,F925),
IF(H925="""",0,H925),
IF(J925="""",0,J925),
IF(L925="""",0,L925),
IF(N925="""",0,N925),
IF(P925="""",0,P925)
})"),"")</f>
        <v/>
      </c>
      <c r="U925" s="7" t="str">
        <f ca="1">IFERROR(__xludf.DUMMYFUNCTION("SPARKLINE({
IF(E925="""",0,E925),
IF(G925="""",0,G925),
IF(I925="""",0,I925),
IF(K925="""",0,K925),
IF(M925="""",0,M925),
IF(O925="""",0,O925),
IF(Q925="""",0,Q925)
})"),"")</f>
        <v/>
      </c>
      <c r="V925" s="8" t="e">
        <f t="array" aca="1" ref="V925" ca="1">IF($C$4="Giao",_xludf.Xlookup(C925,#REF!,#REF!,),_xludf.Xlookup(C925,#REF!,#REF!,))</f>
        <v>#NAME?</v>
      </c>
      <c r="W925" s="8" t="e">
        <f t="array" aca="1" ref="W925" ca="1">IF($C$4="Giao", _xludf.Xlookup(C925,#REF!,#REF!,),)</f>
        <v>#NAME?</v>
      </c>
      <c r="X925" s="9" t="e">
        <f t="shared" ca="1" si="10"/>
        <v>#NAME?</v>
      </c>
      <c r="Y925" s="7"/>
      <c r="Z925" s="7"/>
    </row>
    <row r="926" spans="1:26" ht="13" x14ac:dyDescent="0.6">
      <c r="A926" s="28" t="str">
        <f t="shared" si="9"/>
        <v/>
      </c>
      <c r="B926" s="7"/>
      <c r="C926" s="7"/>
      <c r="D926" s="9"/>
      <c r="E926" s="9"/>
      <c r="F926" s="7"/>
      <c r="G926" s="7"/>
      <c r="H926" s="7"/>
      <c r="I926" s="7"/>
      <c r="J926" s="7"/>
      <c r="K926" s="7"/>
      <c r="L926" s="7"/>
      <c r="M926" s="7"/>
      <c r="N926" s="7"/>
      <c r="O926" s="7"/>
      <c r="P926" s="29"/>
      <c r="Q926" s="29"/>
      <c r="R926" s="7"/>
      <c r="S926" s="7"/>
      <c r="T926" s="7" t="str">
        <f ca="1">IFERROR(__xludf.DUMMYFUNCTION("SPARKLINE({
IF(D926="""",0,D926),
IF(F926="""",0,F926),
IF(H926="""",0,H926),
IF(J926="""",0,J926),
IF(L926="""",0,L926),
IF(N926="""",0,N926),
IF(P926="""",0,P926)
})"),"")</f>
        <v/>
      </c>
      <c r="U926" s="7" t="str">
        <f ca="1">IFERROR(__xludf.DUMMYFUNCTION("SPARKLINE({
IF(E926="""",0,E926),
IF(G926="""",0,G926),
IF(I926="""",0,I926),
IF(K926="""",0,K926),
IF(M926="""",0,M926),
IF(O926="""",0,O926),
IF(Q926="""",0,Q926)
})"),"")</f>
        <v/>
      </c>
      <c r="V926" s="8" t="e">
        <f t="array" aca="1" ref="V926" ca="1">IF($C$4="Giao",_xludf.Xlookup(C926,#REF!,#REF!,),_xludf.Xlookup(C926,#REF!,#REF!,))</f>
        <v>#NAME?</v>
      </c>
      <c r="W926" s="8" t="e">
        <f t="array" aca="1" ref="W926" ca="1">IF($C$4="Giao", _xludf.Xlookup(C926,#REF!,#REF!,),)</f>
        <v>#NAME?</v>
      </c>
      <c r="X926" s="9" t="e">
        <f t="shared" ca="1" si="10"/>
        <v>#NAME?</v>
      </c>
      <c r="Y926" s="7"/>
      <c r="Z926" s="7"/>
    </row>
    <row r="927" spans="1:26" ht="13" x14ac:dyDescent="0.6">
      <c r="A927" s="28" t="str">
        <f t="shared" si="9"/>
        <v/>
      </c>
      <c r="B927" s="7"/>
      <c r="C927" s="7"/>
      <c r="D927" s="9"/>
      <c r="E927" s="9"/>
      <c r="F927" s="7"/>
      <c r="G927" s="7"/>
      <c r="H927" s="7"/>
      <c r="I927" s="7"/>
      <c r="J927" s="7"/>
      <c r="K927" s="7"/>
      <c r="L927" s="7"/>
      <c r="M927" s="7"/>
      <c r="N927" s="7"/>
      <c r="O927" s="7"/>
      <c r="P927" s="29"/>
      <c r="Q927" s="29"/>
      <c r="R927" s="7"/>
      <c r="S927" s="7"/>
      <c r="T927" s="7" t="str">
        <f ca="1">IFERROR(__xludf.DUMMYFUNCTION("SPARKLINE({
IF(D927="""",0,D927),
IF(F927="""",0,F927),
IF(H927="""",0,H927),
IF(J927="""",0,J927),
IF(L927="""",0,L927),
IF(N927="""",0,N927),
IF(P927="""",0,P927)
})"),"")</f>
        <v/>
      </c>
      <c r="U927" s="7" t="str">
        <f ca="1">IFERROR(__xludf.DUMMYFUNCTION("SPARKLINE({
IF(E927="""",0,E927),
IF(G927="""",0,G927),
IF(I927="""",0,I927),
IF(K927="""",0,K927),
IF(M927="""",0,M927),
IF(O927="""",0,O927),
IF(Q927="""",0,Q927)
})"),"")</f>
        <v/>
      </c>
      <c r="V927" s="8" t="e">
        <f t="array" aca="1" ref="V927" ca="1">IF($C$4="Giao",_xludf.Xlookup(C927,#REF!,#REF!,),_xludf.Xlookup(C927,#REF!,#REF!,))</f>
        <v>#NAME?</v>
      </c>
      <c r="W927" s="8" t="e">
        <f t="array" aca="1" ref="W927" ca="1">IF($C$4="Giao", _xludf.Xlookup(C927,#REF!,#REF!,),)</f>
        <v>#NAME?</v>
      </c>
      <c r="X927" s="9" t="e">
        <f t="shared" ca="1" si="10"/>
        <v>#NAME?</v>
      </c>
      <c r="Y927" s="7"/>
      <c r="Z927" s="7"/>
    </row>
    <row r="928" spans="1:26" ht="13" x14ac:dyDescent="0.6">
      <c r="A928" s="28" t="str">
        <f t="shared" si="9"/>
        <v/>
      </c>
      <c r="B928" s="7"/>
      <c r="C928" s="7"/>
      <c r="D928" s="9"/>
      <c r="E928" s="9"/>
      <c r="F928" s="7"/>
      <c r="G928" s="7"/>
      <c r="H928" s="7"/>
      <c r="I928" s="7"/>
      <c r="J928" s="7"/>
      <c r="K928" s="7"/>
      <c r="L928" s="7"/>
      <c r="M928" s="7"/>
      <c r="N928" s="7"/>
      <c r="O928" s="7"/>
      <c r="P928" s="29"/>
      <c r="Q928" s="29"/>
      <c r="R928" s="7"/>
      <c r="S928" s="7"/>
      <c r="T928" s="7" t="str">
        <f ca="1">IFERROR(__xludf.DUMMYFUNCTION("SPARKLINE({
IF(D928="""",0,D928),
IF(F928="""",0,F928),
IF(H928="""",0,H928),
IF(J928="""",0,J928),
IF(L928="""",0,L928),
IF(N928="""",0,N928),
IF(P928="""",0,P928)
})"),"")</f>
        <v/>
      </c>
      <c r="U928" s="7" t="str">
        <f ca="1">IFERROR(__xludf.DUMMYFUNCTION("SPARKLINE({
IF(E928="""",0,E928),
IF(G928="""",0,G928),
IF(I928="""",0,I928),
IF(K928="""",0,K928),
IF(M928="""",0,M928),
IF(O928="""",0,O928),
IF(Q928="""",0,Q928)
})"),"")</f>
        <v/>
      </c>
      <c r="V928" s="8" t="e">
        <f t="array" aca="1" ref="V928" ca="1">IF($C$4="Giao",_xludf.Xlookup(C928,#REF!,#REF!,),_xludf.Xlookup(C928,#REF!,#REF!,))</f>
        <v>#NAME?</v>
      </c>
      <c r="W928" s="8" t="e">
        <f t="array" aca="1" ref="W928" ca="1">IF($C$4="Giao", _xludf.Xlookup(C928,#REF!,#REF!,),)</f>
        <v>#NAME?</v>
      </c>
      <c r="X928" s="9" t="e">
        <f t="shared" ca="1" si="10"/>
        <v>#NAME?</v>
      </c>
      <c r="Y928" s="7"/>
      <c r="Z928" s="7"/>
    </row>
    <row r="929" spans="1:26" ht="13" x14ac:dyDescent="0.6">
      <c r="A929" s="28" t="str">
        <f t="shared" si="9"/>
        <v/>
      </c>
      <c r="B929" s="7"/>
      <c r="C929" s="7"/>
      <c r="D929" s="9"/>
      <c r="E929" s="9"/>
      <c r="F929" s="7"/>
      <c r="G929" s="7"/>
      <c r="H929" s="7"/>
      <c r="I929" s="7"/>
      <c r="J929" s="7"/>
      <c r="K929" s="7"/>
      <c r="L929" s="7"/>
      <c r="M929" s="7"/>
      <c r="N929" s="7"/>
      <c r="O929" s="7"/>
      <c r="P929" s="29"/>
      <c r="Q929" s="29"/>
      <c r="R929" s="7"/>
      <c r="S929" s="7"/>
      <c r="T929" s="7" t="str">
        <f ca="1">IFERROR(__xludf.DUMMYFUNCTION("SPARKLINE({
IF(D929="""",0,D929),
IF(F929="""",0,F929),
IF(H929="""",0,H929),
IF(J929="""",0,J929),
IF(L929="""",0,L929),
IF(N929="""",0,N929),
IF(P929="""",0,P929)
})"),"")</f>
        <v/>
      </c>
      <c r="U929" s="7" t="str">
        <f ca="1">IFERROR(__xludf.DUMMYFUNCTION("SPARKLINE({
IF(E929="""",0,E929),
IF(G929="""",0,G929),
IF(I929="""",0,I929),
IF(K929="""",0,K929),
IF(M929="""",0,M929),
IF(O929="""",0,O929),
IF(Q929="""",0,Q929)
})"),"")</f>
        <v/>
      </c>
      <c r="V929" s="8" t="e">
        <f t="array" aca="1" ref="V929" ca="1">IF($C$4="Giao",_xludf.Xlookup(C929,#REF!,#REF!,),_xludf.Xlookup(C929,#REF!,#REF!,))</f>
        <v>#NAME?</v>
      </c>
      <c r="W929" s="8" t="e">
        <f t="array" aca="1" ref="W929" ca="1">IF($C$4="Giao", _xludf.Xlookup(C929,#REF!,#REF!,),)</f>
        <v>#NAME?</v>
      </c>
      <c r="X929" s="9" t="e">
        <f t="shared" ca="1" si="10"/>
        <v>#NAME?</v>
      </c>
      <c r="Y929" s="7"/>
      <c r="Z929" s="7"/>
    </row>
    <row r="930" spans="1:26" ht="13" x14ac:dyDescent="0.6">
      <c r="A930" s="28" t="str">
        <f t="shared" si="9"/>
        <v/>
      </c>
      <c r="B930" s="7"/>
      <c r="C930" s="7"/>
      <c r="D930" s="9"/>
      <c r="E930" s="9"/>
      <c r="F930" s="7"/>
      <c r="G930" s="7"/>
      <c r="H930" s="7"/>
      <c r="I930" s="7"/>
      <c r="J930" s="7"/>
      <c r="K930" s="7"/>
      <c r="L930" s="7"/>
      <c r="M930" s="7"/>
      <c r="N930" s="7"/>
      <c r="O930" s="7"/>
      <c r="P930" s="29"/>
      <c r="Q930" s="29"/>
      <c r="R930" s="7"/>
      <c r="S930" s="7"/>
      <c r="T930" s="7" t="str">
        <f ca="1">IFERROR(__xludf.DUMMYFUNCTION("SPARKLINE({
IF(D930="""",0,D930),
IF(F930="""",0,F930),
IF(H930="""",0,H930),
IF(J930="""",0,J930),
IF(L930="""",0,L930),
IF(N930="""",0,N930),
IF(P930="""",0,P930)
})"),"")</f>
        <v/>
      </c>
      <c r="U930" s="7" t="str">
        <f ca="1">IFERROR(__xludf.DUMMYFUNCTION("SPARKLINE({
IF(E930="""",0,E930),
IF(G930="""",0,G930),
IF(I930="""",0,I930),
IF(K930="""",0,K930),
IF(M930="""",0,M930),
IF(O930="""",0,O930),
IF(Q930="""",0,Q930)
})"),"")</f>
        <v/>
      </c>
      <c r="V930" s="8" t="e">
        <f t="array" aca="1" ref="V930" ca="1">IF($C$4="Giao",_xludf.Xlookup(C930,#REF!,#REF!,),_xludf.Xlookup(C930,#REF!,#REF!,))</f>
        <v>#NAME?</v>
      </c>
      <c r="W930" s="8" t="e">
        <f t="array" aca="1" ref="W930" ca="1">IF($C$4="Giao", _xludf.Xlookup(C930,#REF!,#REF!,),)</f>
        <v>#NAME?</v>
      </c>
      <c r="X930" s="9" t="e">
        <f t="shared" ca="1" si="10"/>
        <v>#NAME?</v>
      </c>
      <c r="Y930" s="7"/>
      <c r="Z930" s="7"/>
    </row>
    <row r="931" spans="1:26" ht="13" x14ac:dyDescent="0.6">
      <c r="A931" s="28" t="str">
        <f t="shared" si="9"/>
        <v/>
      </c>
      <c r="B931" s="7"/>
      <c r="C931" s="7"/>
      <c r="D931" s="9"/>
      <c r="E931" s="9"/>
      <c r="F931" s="7"/>
      <c r="G931" s="7"/>
      <c r="H931" s="7"/>
      <c r="I931" s="7"/>
      <c r="J931" s="7"/>
      <c r="K931" s="7"/>
      <c r="L931" s="7"/>
      <c r="M931" s="7"/>
      <c r="N931" s="7"/>
      <c r="O931" s="7"/>
      <c r="P931" s="29"/>
      <c r="Q931" s="29"/>
      <c r="R931" s="7"/>
      <c r="S931" s="7"/>
      <c r="T931" s="7" t="str">
        <f ca="1">IFERROR(__xludf.DUMMYFUNCTION("SPARKLINE({
IF(D931="""",0,D931),
IF(F931="""",0,F931),
IF(H931="""",0,H931),
IF(J931="""",0,J931),
IF(L931="""",0,L931),
IF(N931="""",0,N931),
IF(P931="""",0,P931)
})"),"")</f>
        <v/>
      </c>
      <c r="U931" s="7" t="str">
        <f ca="1">IFERROR(__xludf.DUMMYFUNCTION("SPARKLINE({
IF(E931="""",0,E931),
IF(G931="""",0,G931),
IF(I931="""",0,I931),
IF(K931="""",0,K931),
IF(M931="""",0,M931),
IF(O931="""",0,O931),
IF(Q931="""",0,Q931)
})"),"")</f>
        <v/>
      </c>
      <c r="V931" s="8" t="e">
        <f t="array" aca="1" ref="V931" ca="1">IF($C$4="Giao",_xludf.Xlookup(C931,#REF!,#REF!,),_xludf.Xlookup(C931,#REF!,#REF!,))</f>
        <v>#NAME?</v>
      </c>
      <c r="W931" s="8" t="e">
        <f t="array" aca="1" ref="W931" ca="1">IF($C$4="Giao", _xludf.Xlookup(C931,#REF!,#REF!,),)</f>
        <v>#NAME?</v>
      </c>
      <c r="X931" s="9" t="e">
        <f t="shared" ca="1" si="10"/>
        <v>#NAME?</v>
      </c>
      <c r="Y931" s="7"/>
      <c r="Z931" s="7"/>
    </row>
    <row r="932" spans="1:26" ht="13" x14ac:dyDescent="0.6">
      <c r="A932" s="28" t="str">
        <f t="shared" si="9"/>
        <v/>
      </c>
      <c r="B932" s="7"/>
      <c r="C932" s="7"/>
      <c r="D932" s="9"/>
      <c r="E932" s="9"/>
      <c r="F932" s="7"/>
      <c r="G932" s="7"/>
      <c r="H932" s="7"/>
      <c r="I932" s="7"/>
      <c r="J932" s="7"/>
      <c r="K932" s="7"/>
      <c r="L932" s="7"/>
      <c r="M932" s="7"/>
      <c r="N932" s="7"/>
      <c r="O932" s="7"/>
      <c r="P932" s="29"/>
      <c r="Q932" s="29"/>
      <c r="R932" s="7"/>
      <c r="S932" s="7"/>
      <c r="T932" s="7" t="str">
        <f ca="1">IFERROR(__xludf.DUMMYFUNCTION("SPARKLINE({
IF(D932="""",0,D932),
IF(F932="""",0,F932),
IF(H932="""",0,H932),
IF(J932="""",0,J932),
IF(L932="""",0,L932),
IF(N932="""",0,N932),
IF(P932="""",0,P932)
})"),"")</f>
        <v/>
      </c>
      <c r="U932" s="7" t="str">
        <f ca="1">IFERROR(__xludf.DUMMYFUNCTION("SPARKLINE({
IF(E932="""",0,E932),
IF(G932="""",0,G932),
IF(I932="""",0,I932),
IF(K932="""",0,K932),
IF(M932="""",0,M932),
IF(O932="""",0,O932),
IF(Q932="""",0,Q932)
})"),"")</f>
        <v/>
      </c>
      <c r="V932" s="8" t="e">
        <f t="array" aca="1" ref="V932" ca="1">IF($C$4="Giao",_xludf.Xlookup(C932,#REF!,#REF!,),_xludf.Xlookup(C932,#REF!,#REF!,))</f>
        <v>#NAME?</v>
      </c>
      <c r="W932" s="8" t="e">
        <f t="array" aca="1" ref="W932" ca="1">IF($C$4="Giao", _xludf.Xlookup(C932,#REF!,#REF!,),)</f>
        <v>#NAME?</v>
      </c>
      <c r="X932" s="9" t="e">
        <f t="shared" ca="1" si="10"/>
        <v>#NAME?</v>
      </c>
      <c r="Y932" s="7"/>
      <c r="Z932" s="7"/>
    </row>
    <row r="933" spans="1:26" ht="13" x14ac:dyDescent="0.6">
      <c r="A933" s="28" t="str">
        <f t="shared" si="9"/>
        <v/>
      </c>
      <c r="B933" s="7"/>
      <c r="C933" s="7"/>
      <c r="D933" s="9"/>
      <c r="E933" s="9"/>
      <c r="F933" s="7"/>
      <c r="G933" s="7"/>
      <c r="H933" s="7"/>
      <c r="I933" s="7"/>
      <c r="J933" s="7"/>
      <c r="K933" s="7"/>
      <c r="L933" s="7"/>
      <c r="M933" s="7"/>
      <c r="N933" s="7"/>
      <c r="O933" s="7"/>
      <c r="P933" s="29"/>
      <c r="Q933" s="29"/>
      <c r="R933" s="7"/>
      <c r="S933" s="7"/>
      <c r="T933" s="7" t="str">
        <f ca="1">IFERROR(__xludf.DUMMYFUNCTION("SPARKLINE({
IF(D933="""",0,D933),
IF(F933="""",0,F933),
IF(H933="""",0,H933),
IF(J933="""",0,J933),
IF(L933="""",0,L933),
IF(N933="""",0,N933),
IF(P933="""",0,P933)
})"),"")</f>
        <v/>
      </c>
      <c r="U933" s="7" t="str">
        <f ca="1">IFERROR(__xludf.DUMMYFUNCTION("SPARKLINE({
IF(E933="""",0,E933),
IF(G933="""",0,G933),
IF(I933="""",0,I933),
IF(K933="""",0,K933),
IF(M933="""",0,M933),
IF(O933="""",0,O933),
IF(Q933="""",0,Q933)
})"),"")</f>
        <v/>
      </c>
      <c r="V933" s="8" t="e">
        <f t="array" aca="1" ref="V933" ca="1">IF($C$4="Giao",_xludf.Xlookup(C933,#REF!,#REF!,),_xludf.Xlookup(C933,#REF!,#REF!,))</f>
        <v>#NAME?</v>
      </c>
      <c r="W933" s="8" t="e">
        <f t="array" aca="1" ref="W933" ca="1">IF($C$4="Giao", _xludf.Xlookup(C933,#REF!,#REF!,),)</f>
        <v>#NAME?</v>
      </c>
      <c r="X933" s="9" t="e">
        <f t="shared" ca="1" si="10"/>
        <v>#NAME?</v>
      </c>
      <c r="Y933" s="7"/>
      <c r="Z933" s="7"/>
    </row>
    <row r="934" spans="1:26" ht="13" x14ac:dyDescent="0.6">
      <c r="A934" s="28" t="str">
        <f t="shared" si="9"/>
        <v/>
      </c>
      <c r="B934" s="7"/>
      <c r="C934" s="7"/>
      <c r="D934" s="9"/>
      <c r="E934" s="9"/>
      <c r="F934" s="7"/>
      <c r="G934" s="7"/>
      <c r="H934" s="7"/>
      <c r="I934" s="7"/>
      <c r="J934" s="7"/>
      <c r="K934" s="7"/>
      <c r="L934" s="7"/>
      <c r="M934" s="7"/>
      <c r="N934" s="7"/>
      <c r="O934" s="7"/>
      <c r="P934" s="29"/>
      <c r="Q934" s="29"/>
      <c r="R934" s="7"/>
      <c r="S934" s="7"/>
      <c r="T934" s="7" t="str">
        <f ca="1">IFERROR(__xludf.DUMMYFUNCTION("SPARKLINE({
IF(D934="""",0,D934),
IF(F934="""",0,F934),
IF(H934="""",0,H934),
IF(J934="""",0,J934),
IF(L934="""",0,L934),
IF(N934="""",0,N934),
IF(P934="""",0,P934)
})"),"")</f>
        <v/>
      </c>
      <c r="U934" s="7" t="str">
        <f ca="1">IFERROR(__xludf.DUMMYFUNCTION("SPARKLINE({
IF(E934="""",0,E934),
IF(G934="""",0,G934),
IF(I934="""",0,I934),
IF(K934="""",0,K934),
IF(M934="""",0,M934),
IF(O934="""",0,O934),
IF(Q934="""",0,Q934)
})"),"")</f>
        <v/>
      </c>
      <c r="V934" s="8" t="e">
        <f t="array" aca="1" ref="V934" ca="1">IF($C$4="Giao",_xludf.Xlookup(C934,#REF!,#REF!,),_xludf.Xlookup(C934,#REF!,#REF!,))</f>
        <v>#NAME?</v>
      </c>
      <c r="W934" s="8" t="e">
        <f t="array" aca="1" ref="W934" ca="1">IF($C$4="Giao", _xludf.Xlookup(C934,#REF!,#REF!,),)</f>
        <v>#NAME?</v>
      </c>
      <c r="X934" s="9" t="e">
        <f t="shared" ca="1" si="10"/>
        <v>#NAME?</v>
      </c>
      <c r="Y934" s="7"/>
      <c r="Z934" s="7"/>
    </row>
    <row r="935" spans="1:26" ht="13" x14ac:dyDescent="0.6">
      <c r="A935" s="28" t="str">
        <f t="shared" si="9"/>
        <v/>
      </c>
      <c r="B935" s="7"/>
      <c r="C935" s="7"/>
      <c r="D935" s="9"/>
      <c r="E935" s="9"/>
      <c r="F935" s="7"/>
      <c r="G935" s="7"/>
      <c r="H935" s="7"/>
      <c r="I935" s="7"/>
      <c r="J935" s="7"/>
      <c r="K935" s="7"/>
      <c r="L935" s="7"/>
      <c r="M935" s="7"/>
      <c r="N935" s="7"/>
      <c r="O935" s="7"/>
      <c r="P935" s="29"/>
      <c r="Q935" s="29"/>
      <c r="R935" s="7"/>
      <c r="S935" s="7"/>
      <c r="T935" s="7" t="str">
        <f ca="1">IFERROR(__xludf.DUMMYFUNCTION("SPARKLINE({
IF(D935="""",0,D935),
IF(F935="""",0,F935),
IF(H935="""",0,H935),
IF(J935="""",0,J935),
IF(L935="""",0,L935),
IF(N935="""",0,N935),
IF(P935="""",0,P935)
})"),"")</f>
        <v/>
      </c>
      <c r="U935" s="7" t="str">
        <f ca="1">IFERROR(__xludf.DUMMYFUNCTION("SPARKLINE({
IF(E935="""",0,E935),
IF(G935="""",0,G935),
IF(I935="""",0,I935),
IF(K935="""",0,K935),
IF(M935="""",0,M935),
IF(O935="""",0,O935),
IF(Q935="""",0,Q935)
})"),"")</f>
        <v/>
      </c>
      <c r="V935" s="8" t="e">
        <f t="array" aca="1" ref="V935" ca="1">IF($C$4="Giao",_xludf.Xlookup(C935,#REF!,#REF!,),_xludf.Xlookup(C935,#REF!,#REF!,))</f>
        <v>#NAME?</v>
      </c>
      <c r="W935" s="8" t="e">
        <f t="array" aca="1" ref="W935" ca="1">IF($C$4="Giao", _xludf.Xlookup(C935,#REF!,#REF!,),)</f>
        <v>#NAME?</v>
      </c>
      <c r="X935" s="9" t="e">
        <f t="shared" ca="1" si="10"/>
        <v>#NAME?</v>
      </c>
      <c r="Y935" s="7"/>
      <c r="Z935" s="7"/>
    </row>
    <row r="936" spans="1:26" ht="13" x14ac:dyDescent="0.6">
      <c r="A936" s="28" t="str">
        <f t="shared" si="9"/>
        <v/>
      </c>
      <c r="B936" s="7"/>
      <c r="C936" s="7"/>
      <c r="D936" s="9"/>
      <c r="E936" s="9"/>
      <c r="F936" s="7"/>
      <c r="G936" s="7"/>
      <c r="H936" s="7"/>
      <c r="I936" s="7"/>
      <c r="J936" s="7"/>
      <c r="K936" s="7"/>
      <c r="L936" s="7"/>
      <c r="M936" s="7"/>
      <c r="N936" s="7"/>
      <c r="O936" s="7"/>
      <c r="P936" s="29"/>
      <c r="Q936" s="29"/>
      <c r="R936" s="7"/>
      <c r="S936" s="7"/>
      <c r="T936" s="7" t="str">
        <f ca="1">IFERROR(__xludf.DUMMYFUNCTION("SPARKLINE({
IF(D936="""",0,D936),
IF(F936="""",0,F936),
IF(H936="""",0,H936),
IF(J936="""",0,J936),
IF(L936="""",0,L936),
IF(N936="""",0,N936),
IF(P936="""",0,P936)
})"),"")</f>
        <v/>
      </c>
      <c r="U936" s="7" t="str">
        <f ca="1">IFERROR(__xludf.DUMMYFUNCTION("SPARKLINE({
IF(E936="""",0,E936),
IF(G936="""",0,G936),
IF(I936="""",0,I936),
IF(K936="""",0,K936),
IF(M936="""",0,M936),
IF(O936="""",0,O936),
IF(Q936="""",0,Q936)
})"),"")</f>
        <v/>
      </c>
      <c r="V936" s="8" t="e">
        <f t="array" aca="1" ref="V936" ca="1">IF($C$4="Giao",_xludf.Xlookup(C936,#REF!,#REF!,),_xludf.Xlookup(C936,#REF!,#REF!,))</f>
        <v>#NAME?</v>
      </c>
      <c r="W936" s="8" t="e">
        <f t="array" aca="1" ref="W936" ca="1">IF($C$4="Giao", _xludf.Xlookup(C936,#REF!,#REF!,),)</f>
        <v>#NAME?</v>
      </c>
      <c r="X936" s="9" t="e">
        <f t="shared" ca="1" si="10"/>
        <v>#NAME?</v>
      </c>
      <c r="Y936" s="7"/>
      <c r="Z936" s="7"/>
    </row>
    <row r="937" spans="1:26" ht="13" x14ac:dyDescent="0.6">
      <c r="A937" s="28" t="str">
        <f t="shared" si="9"/>
        <v/>
      </c>
      <c r="B937" s="7"/>
      <c r="C937" s="7"/>
      <c r="D937" s="9"/>
      <c r="E937" s="9"/>
      <c r="F937" s="7"/>
      <c r="G937" s="7"/>
      <c r="H937" s="7"/>
      <c r="I937" s="7"/>
      <c r="J937" s="7"/>
      <c r="K937" s="7"/>
      <c r="L937" s="7"/>
      <c r="M937" s="7"/>
      <c r="N937" s="7"/>
      <c r="O937" s="7"/>
      <c r="P937" s="29"/>
      <c r="Q937" s="29"/>
      <c r="R937" s="7"/>
      <c r="S937" s="7"/>
      <c r="T937" s="7" t="str">
        <f ca="1">IFERROR(__xludf.DUMMYFUNCTION("SPARKLINE({
IF(D937="""",0,D937),
IF(F937="""",0,F937),
IF(H937="""",0,H937),
IF(J937="""",0,J937),
IF(L937="""",0,L937),
IF(N937="""",0,N937),
IF(P937="""",0,P937)
})"),"")</f>
        <v/>
      </c>
      <c r="U937" s="7" t="str">
        <f ca="1">IFERROR(__xludf.DUMMYFUNCTION("SPARKLINE({
IF(E937="""",0,E937),
IF(G937="""",0,G937),
IF(I937="""",0,I937),
IF(K937="""",0,K937),
IF(M937="""",0,M937),
IF(O937="""",0,O937),
IF(Q937="""",0,Q937)
})"),"")</f>
        <v/>
      </c>
      <c r="V937" s="8" t="e">
        <f t="array" aca="1" ref="V937" ca="1">IF($C$4="Giao",_xludf.Xlookup(C937,#REF!,#REF!,),_xludf.Xlookup(C937,#REF!,#REF!,))</f>
        <v>#NAME?</v>
      </c>
      <c r="W937" s="8" t="e">
        <f t="array" aca="1" ref="W937" ca="1">IF($C$4="Giao", _xludf.Xlookup(C937,#REF!,#REF!,),)</f>
        <v>#NAME?</v>
      </c>
      <c r="X937" s="9" t="e">
        <f t="shared" ca="1" si="10"/>
        <v>#NAME?</v>
      </c>
      <c r="Y937" s="7"/>
      <c r="Z937" s="7"/>
    </row>
    <row r="938" spans="1:26" ht="13" x14ac:dyDescent="0.6">
      <c r="A938" s="28" t="str">
        <f t="shared" si="9"/>
        <v/>
      </c>
      <c r="B938" s="7"/>
      <c r="C938" s="7"/>
      <c r="D938" s="9"/>
      <c r="E938" s="9"/>
      <c r="F938" s="7"/>
      <c r="G938" s="7"/>
      <c r="H938" s="7"/>
      <c r="I938" s="7"/>
      <c r="J938" s="7"/>
      <c r="K938" s="7"/>
      <c r="L938" s="7"/>
      <c r="M938" s="7"/>
      <c r="N938" s="7"/>
      <c r="O938" s="7"/>
      <c r="P938" s="29"/>
      <c r="Q938" s="29"/>
      <c r="R938" s="7"/>
      <c r="S938" s="7"/>
      <c r="T938" s="7" t="str">
        <f ca="1">IFERROR(__xludf.DUMMYFUNCTION("SPARKLINE({
IF(D938="""",0,D938),
IF(F938="""",0,F938),
IF(H938="""",0,H938),
IF(J938="""",0,J938),
IF(L938="""",0,L938),
IF(N938="""",0,N938),
IF(P938="""",0,P938)
})"),"")</f>
        <v/>
      </c>
      <c r="U938" s="7" t="str">
        <f ca="1">IFERROR(__xludf.DUMMYFUNCTION("SPARKLINE({
IF(E938="""",0,E938),
IF(G938="""",0,G938),
IF(I938="""",0,I938),
IF(K938="""",0,K938),
IF(M938="""",0,M938),
IF(O938="""",0,O938),
IF(Q938="""",0,Q938)
})"),"")</f>
        <v/>
      </c>
      <c r="V938" s="8" t="e">
        <f t="array" aca="1" ref="V938" ca="1">IF($C$4="Giao",_xludf.Xlookup(C938,#REF!,#REF!,),_xludf.Xlookup(C938,#REF!,#REF!,))</f>
        <v>#NAME?</v>
      </c>
      <c r="W938" s="8" t="e">
        <f t="array" aca="1" ref="W938" ca="1">IF($C$4="Giao", _xludf.Xlookup(C938,#REF!,#REF!,),)</f>
        <v>#NAME?</v>
      </c>
      <c r="X938" s="9" t="e">
        <f t="shared" ca="1" si="10"/>
        <v>#NAME?</v>
      </c>
      <c r="Y938" s="7"/>
      <c r="Z938" s="7"/>
    </row>
    <row r="939" spans="1:26" ht="13" x14ac:dyDescent="0.6">
      <c r="A939" s="28" t="str">
        <f t="shared" si="9"/>
        <v/>
      </c>
      <c r="B939" s="7"/>
      <c r="C939" s="7"/>
      <c r="D939" s="9"/>
      <c r="E939" s="9"/>
      <c r="F939" s="7"/>
      <c r="G939" s="7"/>
      <c r="H939" s="7"/>
      <c r="I939" s="7"/>
      <c r="J939" s="7"/>
      <c r="K939" s="7"/>
      <c r="L939" s="7"/>
      <c r="M939" s="7"/>
      <c r="N939" s="7"/>
      <c r="O939" s="7"/>
      <c r="P939" s="29"/>
      <c r="Q939" s="29"/>
      <c r="R939" s="7"/>
      <c r="S939" s="7"/>
      <c r="T939" s="7" t="str">
        <f ca="1">IFERROR(__xludf.DUMMYFUNCTION("SPARKLINE({
IF(D939="""",0,D939),
IF(F939="""",0,F939),
IF(H939="""",0,H939),
IF(J939="""",0,J939),
IF(L939="""",0,L939),
IF(N939="""",0,N939),
IF(P939="""",0,P939)
})"),"")</f>
        <v/>
      </c>
      <c r="U939" s="7" t="str">
        <f ca="1">IFERROR(__xludf.DUMMYFUNCTION("SPARKLINE({
IF(E939="""",0,E939),
IF(G939="""",0,G939),
IF(I939="""",0,I939),
IF(K939="""",0,K939),
IF(M939="""",0,M939),
IF(O939="""",0,O939),
IF(Q939="""",0,Q939)
})"),"")</f>
        <v/>
      </c>
      <c r="V939" s="8" t="e">
        <f t="array" aca="1" ref="V939" ca="1">IF($C$4="Giao",_xludf.Xlookup(C939,#REF!,#REF!,),_xludf.Xlookup(C939,#REF!,#REF!,))</f>
        <v>#NAME?</v>
      </c>
      <c r="W939" s="8" t="e">
        <f t="array" aca="1" ref="W939" ca="1">IF($C$4="Giao", _xludf.Xlookup(C939,#REF!,#REF!,),)</f>
        <v>#NAME?</v>
      </c>
      <c r="X939" s="9" t="e">
        <f t="shared" ca="1" si="10"/>
        <v>#NAME?</v>
      </c>
      <c r="Y939" s="7"/>
      <c r="Z939" s="7"/>
    </row>
    <row r="940" spans="1:26" ht="13" x14ac:dyDescent="0.6">
      <c r="A940" s="28" t="str">
        <f t="shared" si="9"/>
        <v/>
      </c>
      <c r="B940" s="7"/>
      <c r="C940" s="7"/>
      <c r="D940" s="9"/>
      <c r="E940" s="9"/>
      <c r="F940" s="7"/>
      <c r="G940" s="7"/>
      <c r="H940" s="7"/>
      <c r="I940" s="7"/>
      <c r="J940" s="7"/>
      <c r="K940" s="7"/>
      <c r="L940" s="7"/>
      <c r="M940" s="7"/>
      <c r="N940" s="7"/>
      <c r="O940" s="7"/>
      <c r="P940" s="29"/>
      <c r="Q940" s="29"/>
      <c r="R940" s="7"/>
      <c r="S940" s="7"/>
      <c r="T940" s="7" t="str">
        <f ca="1">IFERROR(__xludf.DUMMYFUNCTION("SPARKLINE({
IF(D940="""",0,D940),
IF(F940="""",0,F940),
IF(H940="""",0,H940),
IF(J940="""",0,J940),
IF(L940="""",0,L940),
IF(N940="""",0,N940),
IF(P940="""",0,P940)
})"),"")</f>
        <v/>
      </c>
      <c r="U940" s="7" t="str">
        <f ca="1">IFERROR(__xludf.DUMMYFUNCTION("SPARKLINE({
IF(E940="""",0,E940),
IF(G940="""",0,G940),
IF(I940="""",0,I940),
IF(K940="""",0,K940),
IF(M940="""",0,M940),
IF(O940="""",0,O940),
IF(Q940="""",0,Q940)
})"),"")</f>
        <v/>
      </c>
      <c r="V940" s="8" t="e">
        <f t="array" aca="1" ref="V940" ca="1">IF($C$4="Giao",_xludf.Xlookup(C940,#REF!,#REF!,),_xludf.Xlookup(C940,#REF!,#REF!,))</f>
        <v>#NAME?</v>
      </c>
      <c r="W940" s="8" t="e">
        <f t="array" aca="1" ref="W940" ca="1">IF($C$4="Giao", _xludf.Xlookup(C940,#REF!,#REF!,),)</f>
        <v>#NAME?</v>
      </c>
      <c r="X940" s="9" t="e">
        <f t="shared" ca="1" si="10"/>
        <v>#NAME?</v>
      </c>
      <c r="Y940" s="7"/>
      <c r="Z940" s="7"/>
    </row>
    <row r="941" spans="1:26" ht="13" x14ac:dyDescent="0.6">
      <c r="A941" s="28" t="str">
        <f t="shared" si="9"/>
        <v/>
      </c>
      <c r="B941" s="7"/>
      <c r="C941" s="7"/>
      <c r="D941" s="9"/>
      <c r="E941" s="9"/>
      <c r="F941" s="7"/>
      <c r="G941" s="7"/>
      <c r="H941" s="7"/>
      <c r="I941" s="7"/>
      <c r="J941" s="7"/>
      <c r="K941" s="7"/>
      <c r="L941" s="7"/>
      <c r="M941" s="7"/>
      <c r="N941" s="7"/>
      <c r="O941" s="7"/>
      <c r="P941" s="29"/>
      <c r="Q941" s="29"/>
      <c r="R941" s="7"/>
      <c r="S941" s="7"/>
      <c r="T941" s="7" t="str">
        <f ca="1">IFERROR(__xludf.DUMMYFUNCTION("SPARKLINE({
IF(D941="""",0,D941),
IF(F941="""",0,F941),
IF(H941="""",0,H941),
IF(J941="""",0,J941),
IF(L941="""",0,L941),
IF(N941="""",0,N941),
IF(P941="""",0,P941)
})"),"")</f>
        <v/>
      </c>
      <c r="U941" s="7" t="str">
        <f ca="1">IFERROR(__xludf.DUMMYFUNCTION("SPARKLINE({
IF(E941="""",0,E941),
IF(G941="""",0,G941),
IF(I941="""",0,I941),
IF(K941="""",0,K941),
IF(M941="""",0,M941),
IF(O941="""",0,O941),
IF(Q941="""",0,Q941)
})"),"")</f>
        <v/>
      </c>
      <c r="V941" s="8" t="e">
        <f t="array" aca="1" ref="V941" ca="1">IF($C$4="Giao",_xludf.Xlookup(C941,#REF!,#REF!,),_xludf.Xlookup(C941,#REF!,#REF!,))</f>
        <v>#NAME?</v>
      </c>
      <c r="W941" s="8" t="e">
        <f t="array" aca="1" ref="W941" ca="1">IF($C$4="Giao", _xludf.Xlookup(C941,#REF!,#REF!,),)</f>
        <v>#NAME?</v>
      </c>
      <c r="X941" s="9" t="e">
        <f t="shared" ca="1" si="10"/>
        <v>#NAME?</v>
      </c>
      <c r="Y941" s="7"/>
      <c r="Z941" s="7"/>
    </row>
    <row r="942" spans="1:26" ht="13" x14ac:dyDescent="0.6">
      <c r="A942" s="28" t="str">
        <f t="shared" si="9"/>
        <v/>
      </c>
      <c r="B942" s="7"/>
      <c r="C942" s="7"/>
      <c r="D942" s="9"/>
      <c r="E942" s="9"/>
      <c r="F942" s="7"/>
      <c r="G942" s="7"/>
      <c r="H942" s="7"/>
      <c r="I942" s="7"/>
      <c r="J942" s="7"/>
      <c r="K942" s="7"/>
      <c r="L942" s="7"/>
      <c r="M942" s="7"/>
      <c r="N942" s="7"/>
      <c r="O942" s="7"/>
      <c r="P942" s="29"/>
      <c r="Q942" s="29"/>
      <c r="R942" s="7"/>
      <c r="S942" s="7"/>
      <c r="T942" s="7" t="str">
        <f ca="1">IFERROR(__xludf.DUMMYFUNCTION("SPARKLINE({
IF(D942="""",0,D942),
IF(F942="""",0,F942),
IF(H942="""",0,H942),
IF(J942="""",0,J942),
IF(L942="""",0,L942),
IF(N942="""",0,N942),
IF(P942="""",0,P942)
})"),"")</f>
        <v/>
      </c>
      <c r="U942" s="7" t="str">
        <f ca="1">IFERROR(__xludf.DUMMYFUNCTION("SPARKLINE({
IF(E942="""",0,E942),
IF(G942="""",0,G942),
IF(I942="""",0,I942),
IF(K942="""",0,K942),
IF(M942="""",0,M942),
IF(O942="""",0,O942),
IF(Q942="""",0,Q942)
})"),"")</f>
        <v/>
      </c>
      <c r="V942" s="8" t="e">
        <f t="array" aca="1" ref="V942" ca="1">IF($C$4="Giao",_xludf.Xlookup(C942,#REF!,#REF!,),_xludf.Xlookup(C942,#REF!,#REF!,))</f>
        <v>#NAME?</v>
      </c>
      <c r="W942" s="8" t="e">
        <f t="array" aca="1" ref="W942" ca="1">IF($C$4="Giao", _xludf.Xlookup(C942,#REF!,#REF!,),)</f>
        <v>#NAME?</v>
      </c>
      <c r="X942" s="9" t="e">
        <f t="shared" ca="1" si="10"/>
        <v>#NAME?</v>
      </c>
      <c r="Y942" s="7"/>
      <c r="Z942" s="7"/>
    </row>
    <row r="943" spans="1:26" ht="13" x14ac:dyDescent="0.6">
      <c r="A943" s="28" t="str">
        <f t="shared" si="9"/>
        <v/>
      </c>
      <c r="B943" s="7"/>
      <c r="C943" s="7"/>
      <c r="D943" s="9"/>
      <c r="E943" s="9"/>
      <c r="F943" s="7"/>
      <c r="G943" s="7"/>
      <c r="H943" s="7"/>
      <c r="I943" s="7"/>
      <c r="J943" s="7"/>
      <c r="K943" s="7"/>
      <c r="L943" s="7"/>
      <c r="M943" s="7"/>
      <c r="N943" s="7"/>
      <c r="O943" s="7"/>
      <c r="P943" s="29"/>
      <c r="Q943" s="29"/>
      <c r="R943" s="7"/>
      <c r="S943" s="7"/>
      <c r="T943" s="7" t="str">
        <f ca="1">IFERROR(__xludf.DUMMYFUNCTION("SPARKLINE({
IF(D943="""",0,D943),
IF(F943="""",0,F943),
IF(H943="""",0,H943),
IF(J943="""",0,J943),
IF(L943="""",0,L943),
IF(N943="""",0,N943),
IF(P943="""",0,P943)
})"),"")</f>
        <v/>
      </c>
      <c r="U943" s="7" t="str">
        <f ca="1">IFERROR(__xludf.DUMMYFUNCTION("SPARKLINE({
IF(E943="""",0,E943),
IF(G943="""",0,G943),
IF(I943="""",0,I943),
IF(K943="""",0,K943),
IF(M943="""",0,M943),
IF(O943="""",0,O943),
IF(Q943="""",0,Q943)
})"),"")</f>
        <v/>
      </c>
      <c r="V943" s="8" t="e">
        <f t="array" aca="1" ref="V943" ca="1">IF($C$4="Giao",_xludf.Xlookup(C943,#REF!,#REF!,),_xludf.Xlookup(C943,#REF!,#REF!,))</f>
        <v>#NAME?</v>
      </c>
      <c r="W943" s="8" t="e">
        <f t="array" aca="1" ref="W943" ca="1">IF($C$4="Giao", _xludf.Xlookup(C943,#REF!,#REF!,),)</f>
        <v>#NAME?</v>
      </c>
      <c r="X943" s="9" t="e">
        <f t="shared" ca="1" si="10"/>
        <v>#NAME?</v>
      </c>
      <c r="Y943" s="7"/>
      <c r="Z943" s="7"/>
    </row>
    <row r="944" spans="1:26" ht="13" x14ac:dyDescent="0.6">
      <c r="A944" s="28" t="str">
        <f t="shared" si="9"/>
        <v/>
      </c>
      <c r="B944" s="7"/>
      <c r="C944" s="7"/>
      <c r="D944" s="9"/>
      <c r="E944" s="9"/>
      <c r="F944" s="7"/>
      <c r="G944" s="7"/>
      <c r="H944" s="7"/>
      <c r="I944" s="7"/>
      <c r="J944" s="7"/>
      <c r="K944" s="7"/>
      <c r="L944" s="7"/>
      <c r="M944" s="7"/>
      <c r="N944" s="7"/>
      <c r="O944" s="7"/>
      <c r="P944" s="29"/>
      <c r="Q944" s="29"/>
      <c r="R944" s="7"/>
      <c r="S944" s="7"/>
      <c r="T944" s="7" t="str">
        <f ca="1">IFERROR(__xludf.DUMMYFUNCTION("SPARKLINE({
IF(D944="""",0,D944),
IF(F944="""",0,F944),
IF(H944="""",0,H944),
IF(J944="""",0,J944),
IF(L944="""",0,L944),
IF(N944="""",0,N944),
IF(P944="""",0,P944)
})"),"")</f>
        <v/>
      </c>
      <c r="U944" s="7" t="str">
        <f ca="1">IFERROR(__xludf.DUMMYFUNCTION("SPARKLINE({
IF(E944="""",0,E944),
IF(G944="""",0,G944),
IF(I944="""",0,I944),
IF(K944="""",0,K944),
IF(M944="""",0,M944),
IF(O944="""",0,O944),
IF(Q944="""",0,Q944)
})"),"")</f>
        <v/>
      </c>
      <c r="V944" s="8" t="e">
        <f t="array" aca="1" ref="V944" ca="1">IF($C$4="Giao",_xludf.Xlookup(C944,#REF!,#REF!,),_xludf.Xlookup(C944,#REF!,#REF!,))</f>
        <v>#NAME?</v>
      </c>
      <c r="W944" s="8" t="e">
        <f t="array" aca="1" ref="W944" ca="1">IF($C$4="Giao", _xludf.Xlookup(C944,#REF!,#REF!,),)</f>
        <v>#NAME?</v>
      </c>
      <c r="X944" s="9" t="e">
        <f t="shared" ca="1" si="10"/>
        <v>#NAME?</v>
      </c>
      <c r="Y944" s="7"/>
      <c r="Z944" s="7"/>
    </row>
    <row r="945" spans="1:26" ht="13" x14ac:dyDescent="0.6">
      <c r="A945" s="28" t="str">
        <f t="shared" si="9"/>
        <v/>
      </c>
      <c r="B945" s="7"/>
      <c r="C945" s="7"/>
      <c r="D945" s="9"/>
      <c r="E945" s="9"/>
      <c r="F945" s="7"/>
      <c r="G945" s="7"/>
      <c r="H945" s="7"/>
      <c r="I945" s="7"/>
      <c r="J945" s="7"/>
      <c r="K945" s="7"/>
      <c r="L945" s="7"/>
      <c r="M945" s="7"/>
      <c r="N945" s="7"/>
      <c r="O945" s="7"/>
      <c r="P945" s="29"/>
      <c r="Q945" s="29"/>
      <c r="R945" s="7"/>
      <c r="S945" s="7"/>
      <c r="T945" s="7" t="str">
        <f ca="1">IFERROR(__xludf.DUMMYFUNCTION("SPARKLINE({
IF(D945="""",0,D945),
IF(F945="""",0,F945),
IF(H945="""",0,H945),
IF(J945="""",0,J945),
IF(L945="""",0,L945),
IF(N945="""",0,N945),
IF(P945="""",0,P945)
})"),"")</f>
        <v/>
      </c>
      <c r="U945" s="7" t="str">
        <f ca="1">IFERROR(__xludf.DUMMYFUNCTION("SPARKLINE({
IF(E945="""",0,E945),
IF(G945="""",0,G945),
IF(I945="""",0,I945),
IF(K945="""",0,K945),
IF(M945="""",0,M945),
IF(O945="""",0,O945),
IF(Q945="""",0,Q945)
})"),"")</f>
        <v/>
      </c>
      <c r="V945" s="8" t="e">
        <f t="array" aca="1" ref="V945" ca="1">IF($C$4="Giao",_xludf.Xlookup(C945,#REF!,#REF!,),_xludf.Xlookup(C945,#REF!,#REF!,))</f>
        <v>#NAME?</v>
      </c>
      <c r="W945" s="8" t="e">
        <f t="array" aca="1" ref="W945" ca="1">IF($C$4="Giao", _xludf.Xlookup(C945,#REF!,#REF!,),)</f>
        <v>#NAME?</v>
      </c>
      <c r="X945" s="9" t="e">
        <f t="shared" ca="1" si="10"/>
        <v>#NAME?</v>
      </c>
      <c r="Y945" s="7"/>
      <c r="Z945" s="7"/>
    </row>
    <row r="946" spans="1:26" ht="13" x14ac:dyDescent="0.6">
      <c r="A946" s="28" t="str">
        <f t="shared" si="9"/>
        <v/>
      </c>
      <c r="B946" s="7"/>
      <c r="C946" s="7"/>
      <c r="D946" s="9"/>
      <c r="E946" s="9"/>
      <c r="F946" s="7"/>
      <c r="G946" s="7"/>
      <c r="H946" s="7"/>
      <c r="I946" s="7"/>
      <c r="J946" s="7"/>
      <c r="K946" s="7"/>
      <c r="L946" s="7"/>
      <c r="M946" s="7"/>
      <c r="N946" s="7"/>
      <c r="O946" s="7"/>
      <c r="P946" s="29"/>
      <c r="Q946" s="29"/>
      <c r="R946" s="7"/>
      <c r="S946" s="7"/>
      <c r="T946" s="7" t="str">
        <f ca="1">IFERROR(__xludf.DUMMYFUNCTION("SPARKLINE({
IF(D946="""",0,D946),
IF(F946="""",0,F946),
IF(H946="""",0,H946),
IF(J946="""",0,J946),
IF(L946="""",0,L946),
IF(N946="""",0,N946),
IF(P946="""",0,P946)
})"),"")</f>
        <v/>
      </c>
      <c r="U946" s="7" t="str">
        <f ca="1">IFERROR(__xludf.DUMMYFUNCTION("SPARKLINE({
IF(E946="""",0,E946),
IF(G946="""",0,G946),
IF(I946="""",0,I946),
IF(K946="""",0,K946),
IF(M946="""",0,M946),
IF(O946="""",0,O946),
IF(Q946="""",0,Q946)
})"),"")</f>
        <v/>
      </c>
      <c r="V946" s="8" t="e">
        <f t="array" aca="1" ref="V946" ca="1">IF($C$4="Giao",_xludf.Xlookup(C946,#REF!,#REF!,),_xludf.Xlookup(C946,#REF!,#REF!,))</f>
        <v>#NAME?</v>
      </c>
      <c r="W946" s="8" t="e">
        <f t="array" aca="1" ref="W946" ca="1">IF($C$4="Giao", _xludf.Xlookup(C946,#REF!,#REF!,),)</f>
        <v>#NAME?</v>
      </c>
      <c r="X946" s="9" t="e">
        <f t="shared" ca="1" si="10"/>
        <v>#NAME?</v>
      </c>
      <c r="Y946" s="7"/>
      <c r="Z946" s="7"/>
    </row>
    <row r="947" spans="1:26" ht="13" x14ac:dyDescent="0.6">
      <c r="A947" s="28" t="str">
        <f t="shared" si="9"/>
        <v/>
      </c>
      <c r="B947" s="7"/>
      <c r="C947" s="7"/>
      <c r="D947" s="9"/>
      <c r="E947" s="9"/>
      <c r="F947" s="7"/>
      <c r="G947" s="7"/>
      <c r="H947" s="7"/>
      <c r="I947" s="7"/>
      <c r="J947" s="7"/>
      <c r="K947" s="7"/>
      <c r="L947" s="7"/>
      <c r="M947" s="7"/>
      <c r="N947" s="7"/>
      <c r="O947" s="7"/>
      <c r="P947" s="29"/>
      <c r="Q947" s="29"/>
      <c r="R947" s="7"/>
      <c r="S947" s="7"/>
      <c r="T947" s="7" t="str">
        <f ca="1">IFERROR(__xludf.DUMMYFUNCTION("SPARKLINE({
IF(D947="""",0,D947),
IF(F947="""",0,F947),
IF(H947="""",0,H947),
IF(J947="""",0,J947),
IF(L947="""",0,L947),
IF(N947="""",0,N947),
IF(P947="""",0,P947)
})"),"")</f>
        <v/>
      </c>
      <c r="U947" s="7" t="str">
        <f ca="1">IFERROR(__xludf.DUMMYFUNCTION("SPARKLINE({
IF(E947="""",0,E947),
IF(G947="""",0,G947),
IF(I947="""",0,I947),
IF(K947="""",0,K947),
IF(M947="""",0,M947),
IF(O947="""",0,O947),
IF(Q947="""",0,Q947)
})"),"")</f>
        <v/>
      </c>
      <c r="V947" s="8" t="e">
        <f t="array" aca="1" ref="V947" ca="1">IF($C$4="Giao",_xludf.Xlookup(C947,#REF!,#REF!,),_xludf.Xlookup(C947,#REF!,#REF!,))</f>
        <v>#NAME?</v>
      </c>
      <c r="W947" s="8" t="e">
        <f t="array" aca="1" ref="W947" ca="1">IF($C$4="Giao", _xludf.Xlookup(C947,#REF!,#REF!,),)</f>
        <v>#NAME?</v>
      </c>
      <c r="X947" s="9" t="e">
        <f t="shared" ca="1" si="10"/>
        <v>#NAME?</v>
      </c>
      <c r="Y947" s="7"/>
      <c r="Z947" s="7"/>
    </row>
    <row r="948" spans="1:26" ht="13" x14ac:dyDescent="0.6">
      <c r="A948" s="28" t="str">
        <f t="shared" si="9"/>
        <v/>
      </c>
      <c r="B948" s="7"/>
      <c r="C948" s="7"/>
      <c r="D948" s="9"/>
      <c r="E948" s="9"/>
      <c r="F948" s="7"/>
      <c r="G948" s="7"/>
      <c r="H948" s="7"/>
      <c r="I948" s="7"/>
      <c r="J948" s="7"/>
      <c r="K948" s="7"/>
      <c r="L948" s="7"/>
      <c r="M948" s="7"/>
      <c r="N948" s="7"/>
      <c r="O948" s="7"/>
      <c r="P948" s="29"/>
      <c r="Q948" s="29"/>
      <c r="R948" s="7"/>
      <c r="S948" s="7"/>
      <c r="T948" s="7" t="str">
        <f ca="1">IFERROR(__xludf.DUMMYFUNCTION("SPARKLINE({
IF(D948="""",0,D948),
IF(F948="""",0,F948),
IF(H948="""",0,H948),
IF(J948="""",0,J948),
IF(L948="""",0,L948),
IF(N948="""",0,N948),
IF(P948="""",0,P948)
})"),"")</f>
        <v/>
      </c>
      <c r="U948" s="7" t="str">
        <f ca="1">IFERROR(__xludf.DUMMYFUNCTION("SPARKLINE({
IF(E948="""",0,E948),
IF(G948="""",0,G948),
IF(I948="""",0,I948),
IF(K948="""",0,K948),
IF(M948="""",0,M948),
IF(O948="""",0,O948),
IF(Q948="""",0,Q948)
})"),"")</f>
        <v/>
      </c>
      <c r="V948" s="8" t="e">
        <f t="array" aca="1" ref="V948" ca="1">IF($C$4="Giao",_xludf.Xlookup(C948,#REF!,#REF!,),_xludf.Xlookup(C948,#REF!,#REF!,))</f>
        <v>#NAME?</v>
      </c>
      <c r="W948" s="8" t="e">
        <f t="array" aca="1" ref="W948" ca="1">IF($C$4="Giao", _xludf.Xlookup(C948,#REF!,#REF!,),)</f>
        <v>#NAME?</v>
      </c>
      <c r="X948" s="9" t="e">
        <f t="shared" ca="1" si="10"/>
        <v>#NAME?</v>
      </c>
      <c r="Y948" s="7"/>
      <c r="Z948" s="7"/>
    </row>
    <row r="949" spans="1:26" ht="13" x14ac:dyDescent="0.6">
      <c r="A949" s="28" t="str">
        <f t="shared" si="9"/>
        <v/>
      </c>
      <c r="B949" s="7"/>
      <c r="C949" s="7"/>
      <c r="D949" s="9"/>
      <c r="E949" s="9"/>
      <c r="F949" s="7"/>
      <c r="G949" s="7"/>
      <c r="H949" s="7"/>
      <c r="I949" s="7"/>
      <c r="J949" s="7"/>
      <c r="K949" s="7"/>
      <c r="L949" s="7"/>
      <c r="M949" s="7"/>
      <c r="N949" s="7"/>
      <c r="O949" s="7"/>
      <c r="P949" s="29"/>
      <c r="Q949" s="29"/>
      <c r="R949" s="7"/>
      <c r="S949" s="7"/>
      <c r="T949" s="7" t="str">
        <f ca="1">IFERROR(__xludf.DUMMYFUNCTION("SPARKLINE({
IF(D949="""",0,D949),
IF(F949="""",0,F949),
IF(H949="""",0,H949),
IF(J949="""",0,J949),
IF(L949="""",0,L949),
IF(N949="""",0,N949),
IF(P949="""",0,P949)
})"),"")</f>
        <v/>
      </c>
      <c r="U949" s="7" t="str">
        <f ca="1">IFERROR(__xludf.DUMMYFUNCTION("SPARKLINE({
IF(E949="""",0,E949),
IF(G949="""",0,G949),
IF(I949="""",0,I949),
IF(K949="""",0,K949),
IF(M949="""",0,M949),
IF(O949="""",0,O949),
IF(Q949="""",0,Q949)
})"),"")</f>
        <v/>
      </c>
      <c r="V949" s="8" t="e">
        <f t="array" aca="1" ref="V949" ca="1">IF($C$4="Giao",_xludf.Xlookup(C949,#REF!,#REF!,),_xludf.Xlookup(C949,#REF!,#REF!,))</f>
        <v>#NAME?</v>
      </c>
      <c r="W949" s="8" t="e">
        <f t="array" aca="1" ref="W949" ca="1">IF($C$4="Giao", _xludf.Xlookup(C949,#REF!,#REF!,),)</f>
        <v>#NAME?</v>
      </c>
      <c r="X949" s="9" t="e">
        <f t="shared" ca="1" si="10"/>
        <v>#NAME?</v>
      </c>
      <c r="Y949" s="7"/>
      <c r="Z949" s="7"/>
    </row>
    <row r="950" spans="1:26" ht="13" x14ac:dyDescent="0.6">
      <c r="A950" s="28" t="str">
        <f t="shared" si="9"/>
        <v/>
      </c>
      <c r="B950" s="7"/>
      <c r="C950" s="7"/>
      <c r="D950" s="9"/>
      <c r="E950" s="9"/>
      <c r="F950" s="7"/>
      <c r="G950" s="7"/>
      <c r="H950" s="7"/>
      <c r="I950" s="7"/>
      <c r="J950" s="7"/>
      <c r="K950" s="7"/>
      <c r="L950" s="7"/>
      <c r="M950" s="7"/>
      <c r="N950" s="7"/>
      <c r="O950" s="7"/>
      <c r="P950" s="29"/>
      <c r="Q950" s="29"/>
      <c r="R950" s="7"/>
      <c r="S950" s="7"/>
      <c r="T950" s="7" t="str">
        <f ca="1">IFERROR(__xludf.DUMMYFUNCTION("SPARKLINE({
IF(D950="""",0,D950),
IF(F950="""",0,F950),
IF(H950="""",0,H950),
IF(J950="""",0,J950),
IF(L950="""",0,L950),
IF(N950="""",0,N950),
IF(P950="""",0,P950)
})"),"")</f>
        <v/>
      </c>
      <c r="U950" s="7" t="str">
        <f ca="1">IFERROR(__xludf.DUMMYFUNCTION("SPARKLINE({
IF(E950="""",0,E950),
IF(G950="""",0,G950),
IF(I950="""",0,I950),
IF(K950="""",0,K950),
IF(M950="""",0,M950),
IF(O950="""",0,O950),
IF(Q950="""",0,Q950)
})"),"")</f>
        <v/>
      </c>
      <c r="V950" s="8" t="e">
        <f t="array" aca="1" ref="V950" ca="1">IF($C$4="Giao",_xludf.Xlookup(C950,#REF!,#REF!,),_xludf.Xlookup(C950,#REF!,#REF!,))</f>
        <v>#NAME?</v>
      </c>
      <c r="W950" s="8" t="e">
        <f t="array" aca="1" ref="W950" ca="1">IF($C$4="Giao", _xludf.Xlookup(C950,#REF!,#REF!,),)</f>
        <v>#NAME?</v>
      </c>
      <c r="X950" s="9" t="e">
        <f t="shared" ca="1" si="10"/>
        <v>#NAME?</v>
      </c>
      <c r="Y950" s="7"/>
      <c r="Z950" s="7"/>
    </row>
    <row r="951" spans="1:26" ht="13" x14ac:dyDescent="0.6">
      <c r="A951" s="28" t="str">
        <f t="shared" si="9"/>
        <v/>
      </c>
      <c r="B951" s="7"/>
      <c r="C951" s="7"/>
      <c r="D951" s="9"/>
      <c r="E951" s="9"/>
      <c r="F951" s="7"/>
      <c r="G951" s="7"/>
      <c r="H951" s="7"/>
      <c r="I951" s="7"/>
      <c r="J951" s="7"/>
      <c r="K951" s="7"/>
      <c r="L951" s="7"/>
      <c r="M951" s="7"/>
      <c r="N951" s="7"/>
      <c r="O951" s="7"/>
      <c r="P951" s="29"/>
      <c r="Q951" s="29"/>
      <c r="R951" s="7"/>
      <c r="S951" s="7"/>
      <c r="T951" s="7" t="str">
        <f ca="1">IFERROR(__xludf.DUMMYFUNCTION("SPARKLINE({
IF(D951="""",0,D951),
IF(F951="""",0,F951),
IF(H951="""",0,H951),
IF(J951="""",0,J951),
IF(L951="""",0,L951),
IF(N951="""",0,N951),
IF(P951="""",0,P951)
})"),"")</f>
        <v/>
      </c>
      <c r="U951" s="7" t="str">
        <f ca="1">IFERROR(__xludf.DUMMYFUNCTION("SPARKLINE({
IF(E951="""",0,E951),
IF(G951="""",0,G951),
IF(I951="""",0,I951),
IF(K951="""",0,K951),
IF(M951="""",0,M951),
IF(O951="""",0,O951),
IF(Q951="""",0,Q951)
})"),"")</f>
        <v/>
      </c>
      <c r="V951" s="8" t="e">
        <f t="array" aca="1" ref="V951" ca="1">IF($C$4="Giao",_xludf.Xlookup(C951,#REF!,#REF!,),_xludf.Xlookup(C951,#REF!,#REF!,))</f>
        <v>#NAME?</v>
      </c>
      <c r="W951" s="8" t="e">
        <f t="array" aca="1" ref="W951" ca="1">IF($C$4="Giao", _xludf.Xlookup(C951,#REF!,#REF!,),)</f>
        <v>#NAME?</v>
      </c>
      <c r="X951" s="9" t="e">
        <f t="shared" ca="1" si="10"/>
        <v>#NAME?</v>
      </c>
      <c r="Y951" s="7"/>
      <c r="Z951" s="7"/>
    </row>
    <row r="952" spans="1:26" ht="13" x14ac:dyDescent="0.6">
      <c r="A952" s="28" t="str">
        <f t="shared" si="9"/>
        <v/>
      </c>
      <c r="B952" s="7"/>
      <c r="C952" s="7"/>
      <c r="D952" s="9"/>
      <c r="E952" s="9"/>
      <c r="F952" s="7"/>
      <c r="G952" s="7"/>
      <c r="H952" s="7"/>
      <c r="I952" s="7"/>
      <c r="J952" s="7"/>
      <c r="K952" s="7"/>
      <c r="L952" s="7"/>
      <c r="M952" s="7"/>
      <c r="N952" s="7"/>
      <c r="O952" s="7"/>
      <c r="P952" s="29"/>
      <c r="Q952" s="29"/>
      <c r="R952" s="7"/>
      <c r="S952" s="7"/>
      <c r="T952" s="7" t="str">
        <f ca="1">IFERROR(__xludf.DUMMYFUNCTION("SPARKLINE({
IF(D952="""",0,D952),
IF(F952="""",0,F952),
IF(H952="""",0,H952),
IF(J952="""",0,J952),
IF(L952="""",0,L952),
IF(N952="""",0,N952),
IF(P952="""",0,P952)
})"),"")</f>
        <v/>
      </c>
      <c r="U952" s="7" t="str">
        <f ca="1">IFERROR(__xludf.DUMMYFUNCTION("SPARKLINE({
IF(E952="""",0,E952),
IF(G952="""",0,G952),
IF(I952="""",0,I952),
IF(K952="""",0,K952),
IF(M952="""",0,M952),
IF(O952="""",0,O952),
IF(Q952="""",0,Q952)
})"),"")</f>
        <v/>
      </c>
      <c r="V952" s="8" t="e">
        <f t="array" aca="1" ref="V952" ca="1">IF($C$4="Giao",_xludf.Xlookup(C952,#REF!,#REF!,),_xludf.Xlookup(C952,#REF!,#REF!,))</f>
        <v>#NAME?</v>
      </c>
      <c r="W952" s="8" t="e">
        <f t="array" aca="1" ref="W952" ca="1">IF($C$4="Giao", _xludf.Xlookup(C952,#REF!,#REF!,),)</f>
        <v>#NAME?</v>
      </c>
      <c r="X952" s="9" t="e">
        <f t="shared" ca="1" si="10"/>
        <v>#NAME?</v>
      </c>
      <c r="Y952" s="7"/>
      <c r="Z952" s="7"/>
    </row>
    <row r="953" spans="1:26" ht="13" x14ac:dyDescent="0.6">
      <c r="A953" s="28" t="str">
        <f t="shared" si="9"/>
        <v/>
      </c>
      <c r="B953" s="7"/>
      <c r="C953" s="7"/>
      <c r="D953" s="9"/>
      <c r="E953" s="9"/>
      <c r="F953" s="7"/>
      <c r="G953" s="7"/>
      <c r="H953" s="7"/>
      <c r="I953" s="7"/>
      <c r="J953" s="7"/>
      <c r="K953" s="7"/>
      <c r="L953" s="7"/>
      <c r="M953" s="7"/>
      <c r="N953" s="7"/>
      <c r="O953" s="7"/>
      <c r="P953" s="29"/>
      <c r="Q953" s="29"/>
      <c r="R953" s="7"/>
      <c r="S953" s="7"/>
      <c r="T953" s="7" t="str">
        <f ca="1">IFERROR(__xludf.DUMMYFUNCTION("SPARKLINE({
IF(D953="""",0,D953),
IF(F953="""",0,F953),
IF(H953="""",0,H953),
IF(J953="""",0,J953),
IF(L953="""",0,L953),
IF(N953="""",0,N953),
IF(P953="""",0,P953)
})"),"")</f>
        <v/>
      </c>
      <c r="U953" s="7" t="str">
        <f ca="1">IFERROR(__xludf.DUMMYFUNCTION("SPARKLINE({
IF(E953="""",0,E953),
IF(G953="""",0,G953),
IF(I953="""",0,I953),
IF(K953="""",0,K953),
IF(M953="""",0,M953),
IF(O953="""",0,O953),
IF(Q953="""",0,Q953)
})"),"")</f>
        <v/>
      </c>
      <c r="V953" s="8" t="e">
        <f t="array" aca="1" ref="V953" ca="1">IF($C$4="Giao",_xludf.Xlookup(C953,#REF!,#REF!,),_xludf.Xlookup(C953,#REF!,#REF!,))</f>
        <v>#NAME?</v>
      </c>
      <c r="W953" s="8" t="e">
        <f t="array" aca="1" ref="W953" ca="1">IF($C$4="Giao", _xludf.Xlookup(C953,#REF!,#REF!,),)</f>
        <v>#NAME?</v>
      </c>
      <c r="X953" s="9" t="e">
        <f t="shared" ca="1" si="10"/>
        <v>#NAME?</v>
      </c>
      <c r="Y953" s="7"/>
      <c r="Z953" s="7"/>
    </row>
    <row r="954" spans="1:26" ht="13" x14ac:dyDescent="0.6">
      <c r="A954" s="28" t="str">
        <f t="shared" si="9"/>
        <v/>
      </c>
      <c r="B954" s="7"/>
      <c r="C954" s="7"/>
      <c r="D954" s="9"/>
      <c r="E954" s="9"/>
      <c r="F954" s="7"/>
      <c r="G954" s="7"/>
      <c r="H954" s="7"/>
      <c r="I954" s="7"/>
      <c r="J954" s="7"/>
      <c r="K954" s="7"/>
      <c r="L954" s="7"/>
      <c r="M954" s="7"/>
      <c r="N954" s="7"/>
      <c r="O954" s="7"/>
      <c r="P954" s="29"/>
      <c r="Q954" s="29"/>
      <c r="R954" s="7"/>
      <c r="S954" s="7"/>
      <c r="T954" s="7" t="str">
        <f ca="1">IFERROR(__xludf.DUMMYFUNCTION("SPARKLINE({
IF(D954="""",0,D954),
IF(F954="""",0,F954),
IF(H954="""",0,H954),
IF(J954="""",0,J954),
IF(L954="""",0,L954),
IF(N954="""",0,N954),
IF(P954="""",0,P954)
})"),"")</f>
        <v/>
      </c>
      <c r="U954" s="7" t="str">
        <f ca="1">IFERROR(__xludf.DUMMYFUNCTION("SPARKLINE({
IF(E954="""",0,E954),
IF(G954="""",0,G954),
IF(I954="""",0,I954),
IF(K954="""",0,K954),
IF(M954="""",0,M954),
IF(O954="""",0,O954),
IF(Q954="""",0,Q954)
})"),"")</f>
        <v/>
      </c>
      <c r="V954" s="8" t="e">
        <f t="array" aca="1" ref="V954" ca="1">IF($C$4="Giao",_xludf.Xlookup(C954,#REF!,#REF!,),_xludf.Xlookup(C954,#REF!,#REF!,))</f>
        <v>#NAME?</v>
      </c>
      <c r="W954" s="8" t="e">
        <f t="array" aca="1" ref="W954" ca="1">IF($C$4="Giao", _xludf.Xlookup(C954,#REF!,#REF!,),)</f>
        <v>#NAME?</v>
      </c>
      <c r="X954" s="9" t="e">
        <f t="shared" ca="1" si="10"/>
        <v>#NAME?</v>
      </c>
      <c r="Y954" s="7"/>
      <c r="Z954" s="7"/>
    </row>
    <row r="955" spans="1:26" ht="13" x14ac:dyDescent="0.6">
      <c r="A955" s="28" t="str">
        <f t="shared" si="9"/>
        <v/>
      </c>
      <c r="B955" s="7"/>
      <c r="C955" s="7"/>
      <c r="D955" s="9"/>
      <c r="E955" s="9"/>
      <c r="F955" s="7"/>
      <c r="G955" s="7"/>
      <c r="H955" s="7"/>
      <c r="I955" s="7"/>
      <c r="J955" s="7"/>
      <c r="K955" s="7"/>
      <c r="L955" s="7"/>
      <c r="M955" s="7"/>
      <c r="N955" s="7"/>
      <c r="O955" s="7"/>
      <c r="P955" s="29"/>
      <c r="Q955" s="29"/>
      <c r="R955" s="7"/>
      <c r="S955" s="7"/>
      <c r="T955" s="7" t="str">
        <f ca="1">IFERROR(__xludf.DUMMYFUNCTION("SPARKLINE({
IF(D955="""",0,D955),
IF(F955="""",0,F955),
IF(H955="""",0,H955),
IF(J955="""",0,J955),
IF(L955="""",0,L955),
IF(N955="""",0,N955),
IF(P955="""",0,P955)
})"),"")</f>
        <v/>
      </c>
      <c r="U955" s="7" t="str">
        <f ca="1">IFERROR(__xludf.DUMMYFUNCTION("SPARKLINE({
IF(E955="""",0,E955),
IF(G955="""",0,G955),
IF(I955="""",0,I955),
IF(K955="""",0,K955),
IF(M955="""",0,M955),
IF(O955="""",0,O955),
IF(Q955="""",0,Q955)
})"),"")</f>
        <v/>
      </c>
      <c r="V955" s="8" t="e">
        <f t="array" aca="1" ref="V955" ca="1">IF($C$4="Giao",_xludf.Xlookup(C955,#REF!,#REF!,),_xludf.Xlookup(C955,#REF!,#REF!,))</f>
        <v>#NAME?</v>
      </c>
      <c r="W955" s="8" t="e">
        <f t="array" aca="1" ref="W955" ca="1">IF($C$4="Giao", _xludf.Xlookup(C955,#REF!,#REF!,),)</f>
        <v>#NAME?</v>
      </c>
      <c r="X955" s="9" t="e">
        <f t="shared" ca="1" si="10"/>
        <v>#NAME?</v>
      </c>
      <c r="Y955" s="7"/>
      <c r="Z955" s="7"/>
    </row>
    <row r="956" spans="1:26" ht="13" x14ac:dyDescent="0.6">
      <c r="A956" s="28" t="str">
        <f t="shared" si="9"/>
        <v/>
      </c>
      <c r="B956" s="7"/>
      <c r="C956" s="7"/>
      <c r="D956" s="9"/>
      <c r="E956" s="9"/>
      <c r="F956" s="7"/>
      <c r="G956" s="7"/>
      <c r="H956" s="7"/>
      <c r="I956" s="7"/>
      <c r="J956" s="7"/>
      <c r="K956" s="7"/>
      <c r="L956" s="7"/>
      <c r="M956" s="7"/>
      <c r="N956" s="7"/>
      <c r="O956" s="7"/>
      <c r="P956" s="29"/>
      <c r="Q956" s="29"/>
      <c r="R956" s="7"/>
      <c r="S956" s="7"/>
      <c r="T956" s="7" t="str">
        <f ca="1">IFERROR(__xludf.DUMMYFUNCTION("SPARKLINE({
IF(D956="""",0,D956),
IF(F956="""",0,F956),
IF(H956="""",0,H956),
IF(J956="""",0,J956),
IF(L956="""",0,L956),
IF(N956="""",0,N956),
IF(P956="""",0,P956)
})"),"")</f>
        <v/>
      </c>
      <c r="U956" s="7" t="str">
        <f ca="1">IFERROR(__xludf.DUMMYFUNCTION("SPARKLINE({
IF(E956="""",0,E956),
IF(G956="""",0,G956),
IF(I956="""",0,I956),
IF(K956="""",0,K956),
IF(M956="""",0,M956),
IF(O956="""",0,O956),
IF(Q956="""",0,Q956)
})"),"")</f>
        <v/>
      </c>
      <c r="V956" s="8" t="e">
        <f t="array" aca="1" ref="V956" ca="1">IF($C$4="Giao",_xludf.Xlookup(C956,#REF!,#REF!,),_xludf.Xlookup(C956,#REF!,#REF!,))</f>
        <v>#NAME?</v>
      </c>
      <c r="W956" s="8" t="e">
        <f t="array" aca="1" ref="W956" ca="1">IF($C$4="Giao", _xludf.Xlookup(C956,#REF!,#REF!,),)</f>
        <v>#NAME?</v>
      </c>
      <c r="X956" s="9" t="e">
        <f t="shared" ca="1" si="10"/>
        <v>#NAME?</v>
      </c>
      <c r="Y956" s="7"/>
      <c r="Z956" s="7"/>
    </row>
    <row r="957" spans="1:26" ht="13" x14ac:dyDescent="0.6">
      <c r="A957" s="28" t="str">
        <f t="shared" si="9"/>
        <v/>
      </c>
      <c r="B957" s="7"/>
      <c r="C957" s="7"/>
      <c r="D957" s="9"/>
      <c r="E957" s="9"/>
      <c r="F957" s="7"/>
      <c r="G957" s="7"/>
      <c r="H957" s="7"/>
      <c r="I957" s="7"/>
      <c r="J957" s="7"/>
      <c r="K957" s="7"/>
      <c r="L957" s="7"/>
      <c r="M957" s="7"/>
      <c r="N957" s="7"/>
      <c r="O957" s="7"/>
      <c r="P957" s="29"/>
      <c r="Q957" s="29"/>
      <c r="R957" s="7"/>
      <c r="S957" s="7"/>
      <c r="T957" s="7" t="str">
        <f ca="1">IFERROR(__xludf.DUMMYFUNCTION("SPARKLINE({
IF(D957="""",0,D957),
IF(F957="""",0,F957),
IF(H957="""",0,H957),
IF(J957="""",0,J957),
IF(L957="""",0,L957),
IF(N957="""",0,N957),
IF(P957="""",0,P957)
})"),"")</f>
        <v/>
      </c>
      <c r="U957" s="7" t="str">
        <f ca="1">IFERROR(__xludf.DUMMYFUNCTION("SPARKLINE({
IF(E957="""",0,E957),
IF(G957="""",0,G957),
IF(I957="""",0,I957),
IF(K957="""",0,K957),
IF(M957="""",0,M957),
IF(O957="""",0,O957),
IF(Q957="""",0,Q957)
})"),"")</f>
        <v/>
      </c>
      <c r="V957" s="8" t="e">
        <f t="array" aca="1" ref="V957" ca="1">IF($C$4="Giao",_xludf.Xlookup(C957,#REF!,#REF!,),_xludf.Xlookup(C957,#REF!,#REF!,))</f>
        <v>#NAME?</v>
      </c>
      <c r="W957" s="8" t="e">
        <f t="array" aca="1" ref="W957" ca="1">IF($C$4="Giao", _xludf.Xlookup(C957,#REF!,#REF!,),)</f>
        <v>#NAME?</v>
      </c>
      <c r="X957" s="9" t="e">
        <f t="shared" ca="1" si="10"/>
        <v>#NAME?</v>
      </c>
      <c r="Y957" s="7"/>
      <c r="Z957" s="7"/>
    </row>
    <row r="958" spans="1:26" ht="13" x14ac:dyDescent="0.6">
      <c r="A958" s="28" t="str">
        <f t="shared" si="9"/>
        <v/>
      </c>
      <c r="B958" s="7"/>
      <c r="C958" s="7"/>
      <c r="D958" s="9"/>
      <c r="E958" s="9"/>
      <c r="F958" s="7"/>
      <c r="G958" s="7"/>
      <c r="H958" s="7"/>
      <c r="I958" s="7"/>
      <c r="J958" s="7"/>
      <c r="K958" s="7"/>
      <c r="L958" s="7"/>
      <c r="M958" s="7"/>
      <c r="N958" s="7"/>
      <c r="O958" s="7"/>
      <c r="P958" s="29"/>
      <c r="Q958" s="29"/>
      <c r="R958" s="7"/>
      <c r="S958" s="7"/>
      <c r="T958" s="7" t="str">
        <f ca="1">IFERROR(__xludf.DUMMYFUNCTION("SPARKLINE({
IF(D958="""",0,D958),
IF(F958="""",0,F958),
IF(H958="""",0,H958),
IF(J958="""",0,J958),
IF(L958="""",0,L958),
IF(N958="""",0,N958),
IF(P958="""",0,P958)
})"),"")</f>
        <v/>
      </c>
      <c r="U958" s="7" t="str">
        <f ca="1">IFERROR(__xludf.DUMMYFUNCTION("SPARKLINE({
IF(E958="""",0,E958),
IF(G958="""",0,G958),
IF(I958="""",0,I958),
IF(K958="""",0,K958),
IF(M958="""",0,M958),
IF(O958="""",0,O958),
IF(Q958="""",0,Q958)
})"),"")</f>
        <v/>
      </c>
      <c r="V958" s="8" t="e">
        <f t="array" aca="1" ref="V958" ca="1">IF($C$4="Giao",_xludf.Xlookup(C958,#REF!,#REF!,),_xludf.Xlookup(C958,#REF!,#REF!,))</f>
        <v>#NAME?</v>
      </c>
      <c r="W958" s="8" t="e">
        <f t="array" aca="1" ref="W958" ca="1">IF($C$4="Giao", _xludf.Xlookup(C958,#REF!,#REF!,),)</f>
        <v>#NAME?</v>
      </c>
      <c r="X958" s="9" t="e">
        <f t="shared" ca="1" si="10"/>
        <v>#NAME?</v>
      </c>
      <c r="Y958" s="7"/>
      <c r="Z958" s="7"/>
    </row>
    <row r="959" spans="1:26" ht="13" x14ac:dyDescent="0.6">
      <c r="A959" s="28" t="str">
        <f t="shared" si="9"/>
        <v/>
      </c>
      <c r="B959" s="7"/>
      <c r="C959" s="7"/>
      <c r="D959" s="9"/>
      <c r="E959" s="9"/>
      <c r="F959" s="7"/>
      <c r="G959" s="7"/>
      <c r="H959" s="7"/>
      <c r="I959" s="7"/>
      <c r="J959" s="7"/>
      <c r="K959" s="7"/>
      <c r="L959" s="7"/>
      <c r="M959" s="7"/>
      <c r="N959" s="7"/>
      <c r="O959" s="7"/>
      <c r="P959" s="29"/>
      <c r="Q959" s="29"/>
      <c r="R959" s="7"/>
      <c r="S959" s="7"/>
      <c r="T959" s="7" t="str">
        <f ca="1">IFERROR(__xludf.DUMMYFUNCTION("SPARKLINE({
IF(D959="""",0,D959),
IF(F959="""",0,F959),
IF(H959="""",0,H959),
IF(J959="""",0,J959),
IF(L959="""",0,L959),
IF(N959="""",0,N959),
IF(P959="""",0,P959)
})"),"")</f>
        <v/>
      </c>
      <c r="U959" s="7" t="str">
        <f ca="1">IFERROR(__xludf.DUMMYFUNCTION("SPARKLINE({
IF(E959="""",0,E959),
IF(G959="""",0,G959),
IF(I959="""",0,I959),
IF(K959="""",0,K959),
IF(M959="""",0,M959),
IF(O959="""",0,O959),
IF(Q959="""",0,Q959)
})"),"")</f>
        <v/>
      </c>
      <c r="V959" s="8" t="e">
        <f t="array" aca="1" ref="V959" ca="1">IF($C$4="Giao",_xludf.Xlookup(C959,#REF!,#REF!,),_xludf.Xlookup(C959,#REF!,#REF!,))</f>
        <v>#NAME?</v>
      </c>
      <c r="W959" s="8" t="e">
        <f t="array" aca="1" ref="W959" ca="1">IF($C$4="Giao", _xludf.Xlookup(C959,#REF!,#REF!,),)</f>
        <v>#NAME?</v>
      </c>
      <c r="X959" s="9" t="e">
        <f t="shared" ca="1" si="10"/>
        <v>#NAME?</v>
      </c>
      <c r="Y959" s="7"/>
      <c r="Z959" s="7"/>
    </row>
    <row r="960" spans="1:26" ht="13" x14ac:dyDescent="0.6">
      <c r="A960" s="28" t="str">
        <f t="shared" si="9"/>
        <v/>
      </c>
      <c r="B960" s="7"/>
      <c r="C960" s="7"/>
      <c r="D960" s="9"/>
      <c r="E960" s="9"/>
      <c r="F960" s="7"/>
      <c r="G960" s="7"/>
      <c r="H960" s="7"/>
      <c r="I960" s="7"/>
      <c r="J960" s="7"/>
      <c r="K960" s="7"/>
      <c r="L960" s="7"/>
      <c r="M960" s="7"/>
      <c r="N960" s="7"/>
      <c r="O960" s="7"/>
      <c r="P960" s="29"/>
      <c r="Q960" s="29"/>
      <c r="R960" s="7"/>
      <c r="S960" s="7"/>
      <c r="T960" s="7" t="str">
        <f ca="1">IFERROR(__xludf.DUMMYFUNCTION("SPARKLINE({
IF(D960="""",0,D960),
IF(F960="""",0,F960),
IF(H960="""",0,H960),
IF(J960="""",0,J960),
IF(L960="""",0,L960),
IF(N960="""",0,N960),
IF(P960="""",0,P960)
})"),"")</f>
        <v/>
      </c>
      <c r="U960" s="7" t="str">
        <f ca="1">IFERROR(__xludf.DUMMYFUNCTION("SPARKLINE({
IF(E960="""",0,E960),
IF(G960="""",0,G960),
IF(I960="""",0,I960),
IF(K960="""",0,K960),
IF(M960="""",0,M960),
IF(O960="""",0,O960),
IF(Q960="""",0,Q960)
})"),"")</f>
        <v/>
      </c>
      <c r="V960" s="8" t="e">
        <f t="array" aca="1" ref="V960" ca="1">IF($C$4="Giao",_xludf.Xlookup(C960,#REF!,#REF!,),_xludf.Xlookup(C960,#REF!,#REF!,))</f>
        <v>#NAME?</v>
      </c>
      <c r="W960" s="8" t="e">
        <f t="array" aca="1" ref="W960" ca="1">IF($C$4="Giao", _xludf.Xlookup(C960,#REF!,#REF!,),)</f>
        <v>#NAME?</v>
      </c>
      <c r="X960" s="9" t="e">
        <f t="shared" ca="1" si="10"/>
        <v>#NAME?</v>
      </c>
      <c r="Y960" s="7"/>
      <c r="Z960" s="7"/>
    </row>
    <row r="961" spans="1:26" ht="13" x14ac:dyDescent="0.6">
      <c r="A961" s="28" t="str">
        <f t="shared" si="9"/>
        <v/>
      </c>
      <c r="B961" s="7"/>
      <c r="C961" s="7"/>
      <c r="D961" s="9"/>
      <c r="E961" s="9"/>
      <c r="F961" s="7"/>
      <c r="G961" s="7"/>
      <c r="H961" s="7"/>
      <c r="I961" s="7"/>
      <c r="J961" s="7"/>
      <c r="K961" s="7"/>
      <c r="L961" s="7"/>
      <c r="M961" s="7"/>
      <c r="N961" s="7"/>
      <c r="O961" s="7"/>
      <c r="P961" s="29"/>
      <c r="Q961" s="29"/>
      <c r="R961" s="7"/>
      <c r="S961" s="7"/>
      <c r="T961" s="7" t="str">
        <f ca="1">IFERROR(__xludf.DUMMYFUNCTION("SPARKLINE({
IF(D961="""",0,D961),
IF(F961="""",0,F961),
IF(H961="""",0,H961),
IF(J961="""",0,J961),
IF(L961="""",0,L961),
IF(N961="""",0,N961),
IF(P961="""",0,P961)
})"),"")</f>
        <v/>
      </c>
      <c r="U961" s="7" t="str">
        <f ca="1">IFERROR(__xludf.DUMMYFUNCTION("SPARKLINE({
IF(E961="""",0,E961),
IF(G961="""",0,G961),
IF(I961="""",0,I961),
IF(K961="""",0,K961),
IF(M961="""",0,M961),
IF(O961="""",0,O961),
IF(Q961="""",0,Q961)
})"),"")</f>
        <v/>
      </c>
      <c r="V961" s="8" t="e">
        <f t="array" aca="1" ref="V961" ca="1">IF($C$4="Giao",_xludf.Xlookup(C961,#REF!,#REF!,),_xludf.Xlookup(C961,#REF!,#REF!,))</f>
        <v>#NAME?</v>
      </c>
      <c r="W961" s="8" t="e">
        <f t="array" aca="1" ref="W961" ca="1">IF($C$4="Giao", _xludf.Xlookup(C961,#REF!,#REF!,),)</f>
        <v>#NAME?</v>
      </c>
      <c r="X961" s="9" t="e">
        <f t="shared" ca="1" si="10"/>
        <v>#NAME?</v>
      </c>
      <c r="Y961" s="7"/>
      <c r="Z961" s="7"/>
    </row>
    <row r="962" spans="1:26" ht="13" x14ac:dyDescent="0.6">
      <c r="A962" s="28" t="str">
        <f t="shared" si="9"/>
        <v/>
      </c>
      <c r="B962" s="7"/>
      <c r="C962" s="7"/>
      <c r="D962" s="9"/>
      <c r="E962" s="9"/>
      <c r="F962" s="7"/>
      <c r="G962" s="7"/>
      <c r="H962" s="7"/>
      <c r="I962" s="7"/>
      <c r="J962" s="7"/>
      <c r="K962" s="7"/>
      <c r="L962" s="7"/>
      <c r="M962" s="7"/>
      <c r="N962" s="7"/>
      <c r="O962" s="7"/>
      <c r="P962" s="29"/>
      <c r="Q962" s="29"/>
      <c r="R962" s="7"/>
      <c r="S962" s="7"/>
      <c r="T962" s="7" t="str">
        <f ca="1">IFERROR(__xludf.DUMMYFUNCTION("SPARKLINE({
IF(D962="""",0,D962),
IF(F962="""",0,F962),
IF(H962="""",0,H962),
IF(J962="""",0,J962),
IF(L962="""",0,L962),
IF(N962="""",0,N962),
IF(P962="""",0,P962)
})"),"")</f>
        <v/>
      </c>
      <c r="U962" s="7" t="str">
        <f ca="1">IFERROR(__xludf.DUMMYFUNCTION("SPARKLINE({
IF(E962="""",0,E962),
IF(G962="""",0,G962),
IF(I962="""",0,I962),
IF(K962="""",0,K962),
IF(M962="""",0,M962),
IF(O962="""",0,O962),
IF(Q962="""",0,Q962)
})"),"")</f>
        <v/>
      </c>
      <c r="V962" s="8" t="e">
        <f t="array" aca="1" ref="V962" ca="1">IF($C$4="Giao",_xludf.Xlookup(C962,#REF!,#REF!,),_xludf.Xlookup(C962,#REF!,#REF!,))</f>
        <v>#NAME?</v>
      </c>
      <c r="W962" s="8" t="e">
        <f t="array" aca="1" ref="W962" ca="1">IF($C$4="Giao", _xludf.Xlookup(C962,#REF!,#REF!,),)</f>
        <v>#NAME?</v>
      </c>
      <c r="X962" s="9" t="e">
        <f t="shared" ca="1" si="10"/>
        <v>#NAME?</v>
      </c>
      <c r="Y962" s="7"/>
      <c r="Z962" s="7"/>
    </row>
    <row r="963" spans="1:26" ht="13" x14ac:dyDescent="0.6">
      <c r="A963" s="28" t="str">
        <f t="shared" si="9"/>
        <v/>
      </c>
      <c r="B963" s="7"/>
      <c r="C963" s="7"/>
      <c r="D963" s="9"/>
      <c r="E963" s="9"/>
      <c r="F963" s="7"/>
      <c r="G963" s="7"/>
      <c r="H963" s="7"/>
      <c r="I963" s="7"/>
      <c r="J963" s="7"/>
      <c r="K963" s="7"/>
      <c r="L963" s="7"/>
      <c r="M963" s="7"/>
      <c r="N963" s="7"/>
      <c r="O963" s="7"/>
      <c r="P963" s="29"/>
      <c r="Q963" s="29"/>
      <c r="R963" s="7"/>
      <c r="S963" s="7"/>
      <c r="T963" s="7" t="str">
        <f ca="1">IFERROR(__xludf.DUMMYFUNCTION("SPARKLINE({
IF(D963="""",0,D963),
IF(F963="""",0,F963),
IF(H963="""",0,H963),
IF(J963="""",0,J963),
IF(L963="""",0,L963),
IF(N963="""",0,N963),
IF(P963="""",0,P963)
})"),"")</f>
        <v/>
      </c>
      <c r="U963" s="7" t="str">
        <f ca="1">IFERROR(__xludf.DUMMYFUNCTION("SPARKLINE({
IF(E963="""",0,E963),
IF(G963="""",0,G963),
IF(I963="""",0,I963),
IF(K963="""",0,K963),
IF(M963="""",0,M963),
IF(O963="""",0,O963),
IF(Q963="""",0,Q963)
})"),"")</f>
        <v/>
      </c>
      <c r="V963" s="8" t="e">
        <f t="array" aca="1" ref="V963" ca="1">IF($C$4="Giao",_xludf.Xlookup(C963,#REF!,#REF!,),_xludf.Xlookup(C963,#REF!,#REF!,))</f>
        <v>#NAME?</v>
      </c>
      <c r="W963" s="8" t="e">
        <f t="array" aca="1" ref="W963" ca="1">IF($C$4="Giao", _xludf.Xlookup(C963,#REF!,#REF!,),)</f>
        <v>#NAME?</v>
      </c>
      <c r="X963" s="9" t="e">
        <f t="shared" ca="1" si="10"/>
        <v>#NAME?</v>
      </c>
      <c r="Y963" s="7"/>
      <c r="Z963" s="7"/>
    </row>
    <row r="964" spans="1:26" ht="13" x14ac:dyDescent="0.6">
      <c r="A964" s="28" t="str">
        <f t="shared" si="9"/>
        <v/>
      </c>
      <c r="B964" s="7"/>
      <c r="C964" s="7"/>
      <c r="D964" s="9"/>
      <c r="E964" s="9"/>
      <c r="F964" s="7"/>
      <c r="G964" s="7"/>
      <c r="H964" s="7"/>
      <c r="I964" s="7"/>
      <c r="J964" s="7"/>
      <c r="K964" s="7"/>
      <c r="L964" s="7"/>
      <c r="M964" s="7"/>
      <c r="N964" s="7"/>
      <c r="O964" s="7"/>
      <c r="P964" s="29"/>
      <c r="Q964" s="29"/>
      <c r="R964" s="7"/>
      <c r="S964" s="7"/>
      <c r="T964" s="7" t="str">
        <f ca="1">IFERROR(__xludf.DUMMYFUNCTION("SPARKLINE({
IF(D964="""",0,D964),
IF(F964="""",0,F964),
IF(H964="""",0,H964),
IF(J964="""",0,J964),
IF(L964="""",0,L964),
IF(N964="""",0,N964),
IF(P964="""",0,P964)
})"),"")</f>
        <v/>
      </c>
      <c r="U964" s="7" t="str">
        <f ca="1">IFERROR(__xludf.DUMMYFUNCTION("SPARKLINE({
IF(E964="""",0,E964),
IF(G964="""",0,G964),
IF(I964="""",0,I964),
IF(K964="""",0,K964),
IF(M964="""",0,M964),
IF(O964="""",0,O964),
IF(Q964="""",0,Q964)
})"),"")</f>
        <v/>
      </c>
      <c r="V964" s="8" t="e">
        <f t="array" aca="1" ref="V964" ca="1">IF($C$4="Giao",_xludf.Xlookup(C964,#REF!,#REF!,),_xludf.Xlookup(C964,#REF!,#REF!,))</f>
        <v>#NAME?</v>
      </c>
      <c r="W964" s="8" t="e">
        <f t="array" aca="1" ref="W964" ca="1">IF($C$4="Giao", _xludf.Xlookup(C964,#REF!,#REF!,),)</f>
        <v>#NAME?</v>
      </c>
      <c r="X964" s="9" t="e">
        <f t="shared" ca="1" si="10"/>
        <v>#NAME?</v>
      </c>
      <c r="Y964" s="7"/>
      <c r="Z964" s="7"/>
    </row>
    <row r="965" spans="1:26" ht="13" x14ac:dyDescent="0.6">
      <c r="A965" s="28" t="str">
        <f t="shared" si="9"/>
        <v/>
      </c>
      <c r="B965" s="7"/>
      <c r="C965" s="7"/>
      <c r="D965" s="9"/>
      <c r="E965" s="9"/>
      <c r="F965" s="7"/>
      <c r="G965" s="7"/>
      <c r="H965" s="7"/>
      <c r="I965" s="7"/>
      <c r="J965" s="7"/>
      <c r="K965" s="7"/>
      <c r="L965" s="7"/>
      <c r="M965" s="7"/>
      <c r="N965" s="7"/>
      <c r="O965" s="7"/>
      <c r="P965" s="29"/>
      <c r="Q965" s="29"/>
      <c r="R965" s="7"/>
      <c r="S965" s="7"/>
      <c r="T965" s="7" t="str">
        <f ca="1">IFERROR(__xludf.DUMMYFUNCTION("SPARKLINE({
IF(D965="""",0,D965),
IF(F965="""",0,F965),
IF(H965="""",0,H965),
IF(J965="""",0,J965),
IF(L965="""",0,L965),
IF(N965="""",0,N965),
IF(P965="""",0,P965)
})"),"")</f>
        <v/>
      </c>
      <c r="U965" s="7" t="str">
        <f ca="1">IFERROR(__xludf.DUMMYFUNCTION("SPARKLINE({
IF(E965="""",0,E965),
IF(G965="""",0,G965),
IF(I965="""",0,I965),
IF(K965="""",0,K965),
IF(M965="""",0,M965),
IF(O965="""",0,O965),
IF(Q965="""",0,Q965)
})"),"")</f>
        <v/>
      </c>
      <c r="V965" s="8" t="e">
        <f t="array" aca="1" ref="V965" ca="1">IF($C$4="Giao",_xludf.Xlookup(C965,#REF!,#REF!,),_xludf.Xlookup(C965,#REF!,#REF!,))</f>
        <v>#NAME?</v>
      </c>
      <c r="W965" s="8" t="e">
        <f t="array" aca="1" ref="W965" ca="1">IF($C$4="Giao", _xludf.Xlookup(C965,#REF!,#REF!,),)</f>
        <v>#NAME?</v>
      </c>
      <c r="X965" s="9" t="e">
        <f t="shared" ca="1" si="10"/>
        <v>#NAME?</v>
      </c>
      <c r="Y965" s="7"/>
      <c r="Z965" s="7"/>
    </row>
    <row r="966" spans="1:26" ht="13" x14ac:dyDescent="0.6">
      <c r="A966" s="28" t="str">
        <f t="shared" si="9"/>
        <v/>
      </c>
      <c r="B966" s="7"/>
      <c r="C966" s="7"/>
      <c r="D966" s="9"/>
      <c r="E966" s="9"/>
      <c r="F966" s="7"/>
      <c r="G966" s="7"/>
      <c r="H966" s="7"/>
      <c r="I966" s="7"/>
      <c r="J966" s="7"/>
      <c r="K966" s="7"/>
      <c r="L966" s="7"/>
      <c r="M966" s="7"/>
      <c r="N966" s="7"/>
      <c r="O966" s="7"/>
      <c r="P966" s="29"/>
      <c r="Q966" s="29"/>
      <c r="R966" s="7"/>
      <c r="S966" s="7"/>
      <c r="T966" s="7" t="str">
        <f ca="1">IFERROR(__xludf.DUMMYFUNCTION("SPARKLINE({
IF(D966="""",0,D966),
IF(F966="""",0,F966),
IF(H966="""",0,H966),
IF(J966="""",0,J966),
IF(L966="""",0,L966),
IF(N966="""",0,N966),
IF(P966="""",0,P966)
})"),"")</f>
        <v/>
      </c>
      <c r="U966" s="7" t="str">
        <f ca="1">IFERROR(__xludf.DUMMYFUNCTION("SPARKLINE({
IF(E966="""",0,E966),
IF(G966="""",0,G966),
IF(I966="""",0,I966),
IF(K966="""",0,K966),
IF(M966="""",0,M966),
IF(O966="""",0,O966),
IF(Q966="""",0,Q966)
})"),"")</f>
        <v/>
      </c>
      <c r="V966" s="8" t="e">
        <f t="array" aca="1" ref="V966" ca="1">IF($C$4="Giao",_xludf.Xlookup(C966,#REF!,#REF!,),_xludf.Xlookup(C966,#REF!,#REF!,))</f>
        <v>#NAME?</v>
      </c>
      <c r="W966" s="8" t="e">
        <f t="array" aca="1" ref="W966" ca="1">IF($C$4="Giao", _xludf.Xlookup(C966,#REF!,#REF!,),)</f>
        <v>#NAME?</v>
      </c>
      <c r="X966" s="9" t="e">
        <f t="shared" ca="1" si="10"/>
        <v>#NAME?</v>
      </c>
      <c r="Y966" s="7"/>
      <c r="Z966" s="7"/>
    </row>
    <row r="967" spans="1:26" ht="13" x14ac:dyDescent="0.6">
      <c r="A967" s="28" t="str">
        <f t="shared" si="9"/>
        <v/>
      </c>
      <c r="B967" s="7"/>
      <c r="C967" s="7"/>
      <c r="D967" s="9"/>
      <c r="E967" s="9"/>
      <c r="F967" s="7"/>
      <c r="G967" s="7"/>
      <c r="H967" s="7"/>
      <c r="I967" s="7"/>
      <c r="J967" s="7"/>
      <c r="K967" s="7"/>
      <c r="L967" s="7"/>
      <c r="M967" s="7"/>
      <c r="N967" s="7"/>
      <c r="O967" s="7"/>
      <c r="P967" s="29"/>
      <c r="Q967" s="29"/>
      <c r="R967" s="7"/>
      <c r="S967" s="7"/>
      <c r="T967" s="7" t="str">
        <f ca="1">IFERROR(__xludf.DUMMYFUNCTION("SPARKLINE({
IF(D967="""",0,D967),
IF(F967="""",0,F967),
IF(H967="""",0,H967),
IF(J967="""",0,J967),
IF(L967="""",0,L967),
IF(N967="""",0,N967),
IF(P967="""",0,P967)
})"),"")</f>
        <v/>
      </c>
      <c r="U967" s="7" t="str">
        <f ca="1">IFERROR(__xludf.DUMMYFUNCTION("SPARKLINE({
IF(E967="""",0,E967),
IF(G967="""",0,G967),
IF(I967="""",0,I967),
IF(K967="""",0,K967),
IF(M967="""",0,M967),
IF(O967="""",0,O967),
IF(Q967="""",0,Q967)
})"),"")</f>
        <v/>
      </c>
      <c r="V967" s="8" t="e">
        <f t="array" aca="1" ref="V967" ca="1">IF($C$4="Giao",_xludf.Xlookup(C967,#REF!,#REF!,),_xludf.Xlookup(C967,#REF!,#REF!,))</f>
        <v>#NAME?</v>
      </c>
      <c r="W967" s="8" t="e">
        <f t="array" aca="1" ref="W967" ca="1">IF($C$4="Giao", _xludf.Xlookup(C967,#REF!,#REF!,),)</f>
        <v>#NAME?</v>
      </c>
      <c r="X967" s="9" t="e">
        <f t="shared" ca="1" si="10"/>
        <v>#NAME?</v>
      </c>
      <c r="Y967" s="7"/>
      <c r="Z967" s="7"/>
    </row>
    <row r="968" spans="1:26" ht="13" x14ac:dyDescent="0.6">
      <c r="A968" s="28" t="str">
        <f t="shared" si="9"/>
        <v/>
      </c>
      <c r="B968" s="7"/>
      <c r="C968" s="7"/>
      <c r="D968" s="9"/>
      <c r="E968" s="9"/>
      <c r="F968" s="7"/>
      <c r="G968" s="7"/>
      <c r="H968" s="7"/>
      <c r="I968" s="7"/>
      <c r="J968" s="7"/>
      <c r="K968" s="7"/>
      <c r="L968" s="7"/>
      <c r="M968" s="7"/>
      <c r="N968" s="7"/>
      <c r="O968" s="7"/>
      <c r="P968" s="29"/>
      <c r="Q968" s="29"/>
      <c r="R968" s="7"/>
      <c r="S968" s="7"/>
      <c r="T968" s="7" t="str">
        <f ca="1">IFERROR(__xludf.DUMMYFUNCTION("SPARKLINE({
IF(D968="""",0,D968),
IF(F968="""",0,F968),
IF(H968="""",0,H968),
IF(J968="""",0,J968),
IF(L968="""",0,L968),
IF(N968="""",0,N968),
IF(P968="""",0,P968)
})"),"")</f>
        <v/>
      </c>
      <c r="U968" s="7" t="str">
        <f ca="1">IFERROR(__xludf.DUMMYFUNCTION("SPARKLINE({
IF(E968="""",0,E968),
IF(G968="""",0,G968),
IF(I968="""",0,I968),
IF(K968="""",0,K968),
IF(M968="""",0,M968),
IF(O968="""",0,O968),
IF(Q968="""",0,Q968)
})"),"")</f>
        <v/>
      </c>
      <c r="V968" s="8" t="e">
        <f t="array" aca="1" ref="V968" ca="1">IF($C$4="Giao",_xludf.Xlookup(C968,#REF!,#REF!,),_xludf.Xlookup(C968,#REF!,#REF!,))</f>
        <v>#NAME?</v>
      </c>
      <c r="W968" s="8" t="e">
        <f t="array" aca="1" ref="W968" ca="1">IF($C$4="Giao", _xludf.Xlookup(C968,#REF!,#REF!,),)</f>
        <v>#NAME?</v>
      </c>
      <c r="X968" s="9" t="e">
        <f t="shared" ca="1" si="10"/>
        <v>#NAME?</v>
      </c>
      <c r="Y968" s="7"/>
      <c r="Z968" s="7"/>
    </row>
    <row r="969" spans="1:26" ht="13" x14ac:dyDescent="0.6">
      <c r="A969" s="28" t="str">
        <f t="shared" si="9"/>
        <v/>
      </c>
      <c r="B969" s="7"/>
      <c r="C969" s="7"/>
      <c r="D969" s="9"/>
      <c r="E969" s="9"/>
      <c r="F969" s="7"/>
      <c r="G969" s="7"/>
      <c r="H969" s="7"/>
      <c r="I969" s="7"/>
      <c r="J969" s="7"/>
      <c r="K969" s="7"/>
      <c r="L969" s="7"/>
      <c r="M969" s="7"/>
      <c r="N969" s="7"/>
      <c r="O969" s="7"/>
      <c r="P969" s="29"/>
      <c r="Q969" s="29"/>
      <c r="R969" s="7"/>
      <c r="S969" s="7"/>
      <c r="T969" s="7" t="str">
        <f ca="1">IFERROR(__xludf.DUMMYFUNCTION("SPARKLINE({
IF(D969="""",0,D969),
IF(F969="""",0,F969),
IF(H969="""",0,H969),
IF(J969="""",0,J969),
IF(L969="""",0,L969),
IF(N969="""",0,N969),
IF(P969="""",0,P969)
})"),"")</f>
        <v/>
      </c>
      <c r="U969" s="7" t="str">
        <f ca="1">IFERROR(__xludf.DUMMYFUNCTION("SPARKLINE({
IF(E969="""",0,E969),
IF(G969="""",0,G969),
IF(I969="""",0,I969),
IF(K969="""",0,K969),
IF(M969="""",0,M969),
IF(O969="""",0,O969),
IF(Q969="""",0,Q969)
})"),"")</f>
        <v/>
      </c>
      <c r="V969" s="8" t="e">
        <f t="array" aca="1" ref="V969" ca="1">IF($C$4="Giao",_xludf.Xlookup(C969,#REF!,#REF!,),_xludf.Xlookup(C969,#REF!,#REF!,))</f>
        <v>#NAME?</v>
      </c>
      <c r="W969" s="8" t="e">
        <f t="array" aca="1" ref="W969" ca="1">IF($C$4="Giao", _xludf.Xlookup(C969,#REF!,#REF!,),)</f>
        <v>#NAME?</v>
      </c>
      <c r="X969" s="9" t="e">
        <f t="shared" ca="1" si="10"/>
        <v>#NAME?</v>
      </c>
      <c r="Y969" s="7"/>
      <c r="Z969" s="7"/>
    </row>
    <row r="970" spans="1:26" ht="13" x14ac:dyDescent="0.6">
      <c r="A970" s="28" t="str">
        <f t="shared" si="9"/>
        <v/>
      </c>
      <c r="B970" s="7"/>
      <c r="C970" s="7"/>
      <c r="D970" s="9"/>
      <c r="E970" s="9"/>
      <c r="F970" s="7"/>
      <c r="G970" s="7"/>
      <c r="H970" s="7"/>
      <c r="I970" s="7"/>
      <c r="J970" s="7"/>
      <c r="K970" s="7"/>
      <c r="L970" s="7"/>
      <c r="M970" s="7"/>
      <c r="N970" s="7"/>
      <c r="O970" s="7"/>
      <c r="P970" s="29"/>
      <c r="Q970" s="29"/>
      <c r="R970" s="7"/>
      <c r="S970" s="7"/>
      <c r="T970" s="7" t="str">
        <f ca="1">IFERROR(__xludf.DUMMYFUNCTION("SPARKLINE({
IF(D970="""",0,D970),
IF(F970="""",0,F970),
IF(H970="""",0,H970),
IF(J970="""",0,J970),
IF(L970="""",0,L970),
IF(N970="""",0,N970),
IF(P970="""",0,P970)
})"),"")</f>
        <v/>
      </c>
      <c r="U970" s="7" t="str">
        <f ca="1">IFERROR(__xludf.DUMMYFUNCTION("SPARKLINE({
IF(E970="""",0,E970),
IF(G970="""",0,G970),
IF(I970="""",0,I970),
IF(K970="""",0,K970),
IF(M970="""",0,M970),
IF(O970="""",0,O970),
IF(Q970="""",0,Q970)
})"),"")</f>
        <v/>
      </c>
      <c r="V970" s="8" t="e">
        <f t="array" aca="1" ref="V970" ca="1">IF($C$4="Giao",_xludf.Xlookup(C970,#REF!,#REF!,),_xludf.Xlookup(C970,#REF!,#REF!,))</f>
        <v>#NAME?</v>
      </c>
      <c r="W970" s="8" t="e">
        <f t="array" aca="1" ref="W970" ca="1">IF($C$4="Giao", _xludf.Xlookup(C970,#REF!,#REF!,),)</f>
        <v>#NAME?</v>
      </c>
      <c r="X970" s="9" t="e">
        <f t="shared" ca="1" si="10"/>
        <v>#NAME?</v>
      </c>
      <c r="Y970" s="7"/>
      <c r="Z970" s="7"/>
    </row>
    <row r="971" spans="1:26" ht="13" x14ac:dyDescent="0.6">
      <c r="A971" s="28" t="str">
        <f t="shared" si="9"/>
        <v/>
      </c>
      <c r="B971" s="7"/>
      <c r="C971" s="7"/>
      <c r="D971" s="9"/>
      <c r="E971" s="9"/>
      <c r="F971" s="7"/>
      <c r="G971" s="7"/>
      <c r="H971" s="7"/>
      <c r="I971" s="7"/>
      <c r="J971" s="7"/>
      <c r="K971" s="7"/>
      <c r="L971" s="7"/>
      <c r="M971" s="7"/>
      <c r="N971" s="7"/>
      <c r="O971" s="7"/>
      <c r="P971" s="29"/>
      <c r="Q971" s="29"/>
      <c r="R971" s="7"/>
      <c r="S971" s="7"/>
      <c r="T971" s="7" t="str">
        <f ca="1">IFERROR(__xludf.DUMMYFUNCTION("SPARKLINE({
IF(D971="""",0,D971),
IF(F971="""",0,F971),
IF(H971="""",0,H971),
IF(J971="""",0,J971),
IF(L971="""",0,L971),
IF(N971="""",0,N971),
IF(P971="""",0,P971)
})"),"")</f>
        <v/>
      </c>
      <c r="U971" s="7" t="str">
        <f ca="1">IFERROR(__xludf.DUMMYFUNCTION("SPARKLINE({
IF(E971="""",0,E971),
IF(G971="""",0,G971),
IF(I971="""",0,I971),
IF(K971="""",0,K971),
IF(M971="""",0,M971),
IF(O971="""",0,O971),
IF(Q971="""",0,Q971)
})"),"")</f>
        <v/>
      </c>
      <c r="V971" s="8" t="e">
        <f t="array" aca="1" ref="V971" ca="1">IF($C$4="Giao",_xludf.Xlookup(C971,#REF!,#REF!,),_xludf.Xlookup(C971,#REF!,#REF!,))</f>
        <v>#NAME?</v>
      </c>
      <c r="W971" s="8" t="e">
        <f t="array" aca="1" ref="W971" ca="1">IF($C$4="Giao", _xludf.Xlookup(C971,#REF!,#REF!,),)</f>
        <v>#NAME?</v>
      </c>
      <c r="X971" s="9" t="e">
        <f t="shared" ca="1" si="10"/>
        <v>#NAME?</v>
      </c>
      <c r="Y971" s="7"/>
      <c r="Z971" s="7"/>
    </row>
    <row r="972" spans="1:26" ht="13" x14ac:dyDescent="0.6">
      <c r="A972" s="28" t="str">
        <f t="shared" si="9"/>
        <v/>
      </c>
      <c r="B972" s="7"/>
      <c r="C972" s="7"/>
      <c r="D972" s="9"/>
      <c r="E972" s="9"/>
      <c r="F972" s="7"/>
      <c r="G972" s="7"/>
      <c r="H972" s="7"/>
      <c r="I972" s="7"/>
      <c r="J972" s="7"/>
      <c r="K972" s="7"/>
      <c r="L972" s="7"/>
      <c r="M972" s="7"/>
      <c r="N972" s="7"/>
      <c r="O972" s="7"/>
      <c r="P972" s="29"/>
      <c r="Q972" s="29"/>
      <c r="R972" s="7"/>
      <c r="S972" s="7"/>
      <c r="T972" s="7" t="str">
        <f ca="1">IFERROR(__xludf.DUMMYFUNCTION("SPARKLINE({
IF(D972="""",0,D972),
IF(F972="""",0,F972),
IF(H972="""",0,H972),
IF(J972="""",0,J972),
IF(L972="""",0,L972),
IF(N972="""",0,N972),
IF(P972="""",0,P972)
})"),"")</f>
        <v/>
      </c>
      <c r="U972" s="7" t="str">
        <f ca="1">IFERROR(__xludf.DUMMYFUNCTION("SPARKLINE({
IF(E972="""",0,E972),
IF(G972="""",0,G972),
IF(I972="""",0,I972),
IF(K972="""",0,K972),
IF(M972="""",0,M972),
IF(O972="""",0,O972),
IF(Q972="""",0,Q972)
})"),"")</f>
        <v/>
      </c>
      <c r="V972" s="8" t="e">
        <f t="array" aca="1" ref="V972" ca="1">IF($C$4="Giao",_xludf.Xlookup(C972,#REF!,#REF!,),_xludf.Xlookup(C972,#REF!,#REF!,))</f>
        <v>#NAME?</v>
      </c>
      <c r="W972" s="8" t="e">
        <f t="array" aca="1" ref="W972" ca="1">IF($C$4="Giao", _xludf.Xlookup(C972,#REF!,#REF!,),)</f>
        <v>#NAME?</v>
      </c>
      <c r="X972" s="9" t="e">
        <f t="shared" ca="1" si="10"/>
        <v>#NAME?</v>
      </c>
      <c r="Y972" s="7"/>
      <c r="Z972" s="7"/>
    </row>
    <row r="973" spans="1:26" ht="13" x14ac:dyDescent="0.6">
      <c r="A973" s="28" t="str">
        <f t="shared" si="9"/>
        <v/>
      </c>
      <c r="B973" s="7"/>
      <c r="C973" s="7"/>
      <c r="D973" s="9"/>
      <c r="E973" s="9"/>
      <c r="F973" s="7"/>
      <c r="G973" s="7"/>
      <c r="H973" s="7"/>
      <c r="I973" s="7"/>
      <c r="J973" s="7"/>
      <c r="K973" s="7"/>
      <c r="L973" s="7"/>
      <c r="M973" s="7"/>
      <c r="N973" s="7"/>
      <c r="O973" s="7"/>
      <c r="P973" s="29"/>
      <c r="Q973" s="29"/>
      <c r="R973" s="7"/>
      <c r="S973" s="7"/>
      <c r="T973" s="7" t="str">
        <f ca="1">IFERROR(__xludf.DUMMYFUNCTION("SPARKLINE({
IF(D973="""",0,D973),
IF(F973="""",0,F973),
IF(H973="""",0,H973),
IF(J973="""",0,J973),
IF(L973="""",0,L973),
IF(N973="""",0,N973),
IF(P973="""",0,P973)
})"),"")</f>
        <v/>
      </c>
      <c r="U973" s="7" t="str">
        <f ca="1">IFERROR(__xludf.DUMMYFUNCTION("SPARKLINE({
IF(E973="""",0,E973),
IF(G973="""",0,G973),
IF(I973="""",0,I973),
IF(K973="""",0,K973),
IF(M973="""",0,M973),
IF(O973="""",0,O973),
IF(Q973="""",0,Q973)
})"),"")</f>
        <v/>
      </c>
      <c r="V973" s="8" t="e">
        <f t="array" aca="1" ref="V973" ca="1">IF($C$4="Giao",_xludf.Xlookup(C973,#REF!,#REF!,),_xludf.Xlookup(C973,#REF!,#REF!,))</f>
        <v>#NAME?</v>
      </c>
      <c r="W973" s="8" t="e">
        <f t="array" aca="1" ref="W973" ca="1">IF($C$4="Giao", _xludf.Xlookup(C973,#REF!,#REF!,),)</f>
        <v>#NAME?</v>
      </c>
      <c r="X973" s="9" t="e">
        <f t="shared" ca="1" si="10"/>
        <v>#NAME?</v>
      </c>
      <c r="Y973" s="7"/>
      <c r="Z973" s="7"/>
    </row>
    <row r="974" spans="1:26" ht="13" x14ac:dyDescent="0.6">
      <c r="A974" s="28" t="str">
        <f t="shared" si="9"/>
        <v/>
      </c>
      <c r="B974" s="7"/>
      <c r="C974" s="7"/>
      <c r="D974" s="9"/>
      <c r="E974" s="9"/>
      <c r="F974" s="7"/>
      <c r="G974" s="7"/>
      <c r="H974" s="7"/>
      <c r="I974" s="7"/>
      <c r="J974" s="7"/>
      <c r="K974" s="7"/>
      <c r="L974" s="7"/>
      <c r="M974" s="7"/>
      <c r="N974" s="7"/>
      <c r="O974" s="7"/>
      <c r="P974" s="29"/>
      <c r="Q974" s="29"/>
      <c r="R974" s="7"/>
      <c r="S974" s="7"/>
      <c r="T974" s="7" t="str">
        <f ca="1">IFERROR(__xludf.DUMMYFUNCTION("SPARKLINE({
IF(D974="""",0,D974),
IF(F974="""",0,F974),
IF(H974="""",0,H974),
IF(J974="""",0,J974),
IF(L974="""",0,L974),
IF(N974="""",0,N974),
IF(P974="""",0,P974)
})"),"")</f>
        <v/>
      </c>
      <c r="U974" s="7" t="str">
        <f ca="1">IFERROR(__xludf.DUMMYFUNCTION("SPARKLINE({
IF(E974="""",0,E974),
IF(G974="""",0,G974),
IF(I974="""",0,I974),
IF(K974="""",0,K974),
IF(M974="""",0,M974),
IF(O974="""",0,O974),
IF(Q974="""",0,Q974)
})"),"")</f>
        <v/>
      </c>
      <c r="V974" s="8" t="e">
        <f t="array" aca="1" ref="V974" ca="1">IF($C$4="Giao",_xludf.Xlookup(C974,#REF!,#REF!,),_xludf.Xlookup(C974,#REF!,#REF!,))</f>
        <v>#NAME?</v>
      </c>
      <c r="W974" s="8" t="e">
        <f t="array" aca="1" ref="W974" ca="1">IF($C$4="Giao", _xludf.Xlookup(C974,#REF!,#REF!,),)</f>
        <v>#NAME?</v>
      </c>
      <c r="X974" s="9" t="e">
        <f t="shared" ca="1" si="10"/>
        <v>#NAME?</v>
      </c>
      <c r="Y974" s="7"/>
      <c r="Z974" s="7"/>
    </row>
    <row r="975" spans="1:26" ht="13" x14ac:dyDescent="0.6">
      <c r="A975" s="28" t="str">
        <f t="shared" si="9"/>
        <v/>
      </c>
      <c r="B975" s="7"/>
      <c r="C975" s="7"/>
      <c r="D975" s="9"/>
      <c r="E975" s="9"/>
      <c r="F975" s="7"/>
      <c r="G975" s="7"/>
      <c r="H975" s="7"/>
      <c r="I975" s="7"/>
      <c r="J975" s="7"/>
      <c r="K975" s="7"/>
      <c r="L975" s="7"/>
      <c r="M975" s="7"/>
      <c r="N975" s="7"/>
      <c r="O975" s="7"/>
      <c r="P975" s="29"/>
      <c r="Q975" s="29"/>
      <c r="R975" s="7"/>
      <c r="S975" s="7"/>
      <c r="T975" s="7" t="str">
        <f ca="1">IFERROR(__xludf.DUMMYFUNCTION("SPARKLINE({
IF(D975="""",0,D975),
IF(F975="""",0,F975),
IF(H975="""",0,H975),
IF(J975="""",0,J975),
IF(L975="""",0,L975),
IF(N975="""",0,N975),
IF(P975="""",0,P975)
})"),"")</f>
        <v/>
      </c>
      <c r="U975" s="7" t="str">
        <f ca="1">IFERROR(__xludf.DUMMYFUNCTION("SPARKLINE({
IF(E975="""",0,E975),
IF(G975="""",0,G975),
IF(I975="""",0,I975),
IF(K975="""",0,K975),
IF(M975="""",0,M975),
IF(O975="""",0,O975),
IF(Q975="""",0,Q975)
})"),"")</f>
        <v/>
      </c>
      <c r="V975" s="8" t="e">
        <f t="array" aca="1" ref="V975" ca="1">IF($C$4="Giao",_xludf.Xlookup(C975,#REF!,#REF!,),_xludf.Xlookup(C975,#REF!,#REF!,))</f>
        <v>#NAME?</v>
      </c>
      <c r="W975" s="8" t="e">
        <f t="array" aca="1" ref="W975" ca="1">IF($C$4="Giao", _xludf.Xlookup(C975,#REF!,#REF!,),)</f>
        <v>#NAME?</v>
      </c>
      <c r="X975" s="9" t="e">
        <f t="shared" ca="1" si="10"/>
        <v>#NAME?</v>
      </c>
      <c r="Y975" s="7"/>
      <c r="Z975" s="7"/>
    </row>
    <row r="976" spans="1:26" ht="13" x14ac:dyDescent="0.6">
      <c r="A976" s="28" t="str">
        <f t="shared" si="9"/>
        <v/>
      </c>
      <c r="B976" s="7"/>
      <c r="C976" s="7"/>
      <c r="D976" s="9"/>
      <c r="E976" s="9"/>
      <c r="F976" s="7"/>
      <c r="G976" s="7"/>
      <c r="H976" s="7"/>
      <c r="I976" s="7"/>
      <c r="J976" s="7"/>
      <c r="K976" s="7"/>
      <c r="L976" s="7"/>
      <c r="M976" s="7"/>
      <c r="N976" s="7"/>
      <c r="O976" s="7"/>
      <c r="P976" s="29"/>
      <c r="Q976" s="29"/>
      <c r="R976" s="7"/>
      <c r="S976" s="7"/>
      <c r="T976" s="7" t="str">
        <f ca="1">IFERROR(__xludf.DUMMYFUNCTION("SPARKLINE({
IF(D976="""",0,D976),
IF(F976="""",0,F976),
IF(H976="""",0,H976),
IF(J976="""",0,J976),
IF(L976="""",0,L976),
IF(N976="""",0,N976),
IF(P976="""",0,P976)
})"),"")</f>
        <v/>
      </c>
      <c r="U976" s="7" t="str">
        <f ca="1">IFERROR(__xludf.DUMMYFUNCTION("SPARKLINE({
IF(E976="""",0,E976),
IF(G976="""",0,G976),
IF(I976="""",0,I976),
IF(K976="""",0,K976),
IF(M976="""",0,M976),
IF(O976="""",0,O976),
IF(Q976="""",0,Q976)
})"),"")</f>
        <v/>
      </c>
      <c r="V976" s="8" t="e">
        <f t="array" aca="1" ref="V976" ca="1">IF($C$4="Giao",_xludf.Xlookup(C976,#REF!,#REF!,),_xludf.Xlookup(C976,#REF!,#REF!,))</f>
        <v>#NAME?</v>
      </c>
      <c r="W976" s="8" t="e">
        <f t="array" aca="1" ref="W976" ca="1">IF($C$4="Giao", _xludf.Xlookup(C976,#REF!,#REF!,),)</f>
        <v>#NAME?</v>
      </c>
      <c r="X976" s="9" t="e">
        <f t="shared" ca="1" si="10"/>
        <v>#NAME?</v>
      </c>
      <c r="Y976" s="7"/>
      <c r="Z976" s="7"/>
    </row>
    <row r="977" spans="1:26" ht="13" x14ac:dyDescent="0.6">
      <c r="A977" s="28" t="str">
        <f t="shared" si="9"/>
        <v/>
      </c>
      <c r="B977" s="7"/>
      <c r="C977" s="7"/>
      <c r="D977" s="9"/>
      <c r="E977" s="9"/>
      <c r="F977" s="7"/>
      <c r="G977" s="7"/>
      <c r="H977" s="7"/>
      <c r="I977" s="7"/>
      <c r="J977" s="7"/>
      <c r="K977" s="7"/>
      <c r="L977" s="7"/>
      <c r="M977" s="7"/>
      <c r="N977" s="7"/>
      <c r="O977" s="7"/>
      <c r="P977" s="29"/>
      <c r="Q977" s="29"/>
      <c r="R977" s="7"/>
      <c r="S977" s="7"/>
      <c r="T977" s="7" t="str">
        <f ca="1">IFERROR(__xludf.DUMMYFUNCTION("SPARKLINE({
IF(D977="""",0,D977),
IF(F977="""",0,F977),
IF(H977="""",0,H977),
IF(J977="""",0,J977),
IF(L977="""",0,L977),
IF(N977="""",0,N977),
IF(P977="""",0,P977)
})"),"")</f>
        <v/>
      </c>
      <c r="U977" s="7" t="str">
        <f ca="1">IFERROR(__xludf.DUMMYFUNCTION("SPARKLINE({
IF(E977="""",0,E977),
IF(G977="""",0,G977),
IF(I977="""",0,I977),
IF(K977="""",0,K977),
IF(M977="""",0,M977),
IF(O977="""",0,O977),
IF(Q977="""",0,Q977)
})"),"")</f>
        <v/>
      </c>
      <c r="V977" s="8" t="e">
        <f t="array" aca="1" ref="V977" ca="1">IF($C$4="Giao",_xludf.Xlookup(C977,#REF!,#REF!,),_xludf.Xlookup(C977,#REF!,#REF!,))</f>
        <v>#NAME?</v>
      </c>
      <c r="W977" s="8" t="e">
        <f t="array" aca="1" ref="W977" ca="1">IF($C$4="Giao", _xludf.Xlookup(C977,#REF!,#REF!,),)</f>
        <v>#NAME?</v>
      </c>
      <c r="X977" s="9" t="e">
        <f t="shared" ca="1" si="10"/>
        <v>#NAME?</v>
      </c>
      <c r="Y977" s="7"/>
      <c r="Z977" s="7"/>
    </row>
    <row r="978" spans="1:26" ht="13" x14ac:dyDescent="0.6">
      <c r="A978" s="28" t="str">
        <f t="shared" si="9"/>
        <v/>
      </c>
      <c r="B978" s="7"/>
      <c r="C978" s="7"/>
      <c r="D978" s="9"/>
      <c r="E978" s="9"/>
      <c r="F978" s="7"/>
      <c r="G978" s="7"/>
      <c r="H978" s="7"/>
      <c r="I978" s="7"/>
      <c r="J978" s="7"/>
      <c r="K978" s="7"/>
      <c r="L978" s="7"/>
      <c r="M978" s="7"/>
      <c r="N978" s="7"/>
      <c r="O978" s="7"/>
      <c r="P978" s="29"/>
      <c r="Q978" s="29"/>
      <c r="R978" s="7"/>
      <c r="S978" s="7"/>
      <c r="T978" s="7" t="str">
        <f ca="1">IFERROR(__xludf.DUMMYFUNCTION("SPARKLINE({
IF(D978="""",0,D978),
IF(F978="""",0,F978),
IF(H978="""",0,H978),
IF(J978="""",0,J978),
IF(L978="""",0,L978),
IF(N978="""",0,N978),
IF(P978="""",0,P978)
})"),"")</f>
        <v/>
      </c>
      <c r="U978" s="7" t="str">
        <f ca="1">IFERROR(__xludf.DUMMYFUNCTION("SPARKLINE({
IF(E978="""",0,E978),
IF(G978="""",0,G978),
IF(I978="""",0,I978),
IF(K978="""",0,K978),
IF(M978="""",0,M978),
IF(O978="""",0,O978),
IF(Q978="""",0,Q978)
})"),"")</f>
        <v/>
      </c>
      <c r="V978" s="8" t="e">
        <f t="array" aca="1" ref="V978" ca="1">IF($C$4="Giao",_xludf.Xlookup(C978,#REF!,#REF!,),_xludf.Xlookup(C978,#REF!,#REF!,))</f>
        <v>#NAME?</v>
      </c>
      <c r="W978" s="8" t="e">
        <f t="array" aca="1" ref="W978" ca="1">IF($C$4="Giao", _xludf.Xlookup(C978,#REF!,#REF!,),)</f>
        <v>#NAME?</v>
      </c>
      <c r="X978" s="9" t="e">
        <f t="shared" ca="1" si="10"/>
        <v>#NAME?</v>
      </c>
      <c r="Y978" s="7"/>
      <c r="Z978" s="7"/>
    </row>
    <row r="979" spans="1:26" ht="13" x14ac:dyDescent="0.6">
      <c r="A979" s="28" t="str">
        <f t="shared" si="9"/>
        <v/>
      </c>
      <c r="B979" s="7"/>
      <c r="C979" s="7"/>
      <c r="D979" s="9"/>
      <c r="E979" s="9"/>
      <c r="F979" s="7"/>
      <c r="G979" s="7"/>
      <c r="H979" s="7"/>
      <c r="I979" s="7"/>
      <c r="J979" s="7"/>
      <c r="K979" s="7"/>
      <c r="L979" s="7"/>
      <c r="M979" s="7"/>
      <c r="N979" s="7"/>
      <c r="O979" s="7"/>
      <c r="P979" s="29"/>
      <c r="Q979" s="29"/>
      <c r="R979" s="7"/>
      <c r="S979" s="7"/>
      <c r="T979" s="7" t="str">
        <f ca="1">IFERROR(__xludf.DUMMYFUNCTION("SPARKLINE({
IF(D979="""",0,D979),
IF(F979="""",0,F979),
IF(H979="""",0,H979),
IF(J979="""",0,J979),
IF(L979="""",0,L979),
IF(N979="""",0,N979),
IF(P979="""",0,P979)
})"),"")</f>
        <v/>
      </c>
      <c r="U979" s="7" t="str">
        <f ca="1">IFERROR(__xludf.DUMMYFUNCTION("SPARKLINE({
IF(E979="""",0,E979),
IF(G979="""",0,G979),
IF(I979="""",0,I979),
IF(K979="""",0,K979),
IF(M979="""",0,M979),
IF(O979="""",0,O979),
IF(Q979="""",0,Q979)
})"),"")</f>
        <v/>
      </c>
      <c r="V979" s="8" t="e">
        <f t="array" aca="1" ref="V979" ca="1">IF($C$4="Giao",_xludf.Xlookup(C979,#REF!,#REF!,),_xludf.Xlookup(C979,#REF!,#REF!,))</f>
        <v>#NAME?</v>
      </c>
      <c r="W979" s="8" t="e">
        <f t="array" aca="1" ref="W979" ca="1">IF($C$4="Giao", _xludf.Xlookup(C979,#REF!,#REF!,),)</f>
        <v>#NAME?</v>
      </c>
      <c r="X979" s="9" t="e">
        <f t="shared" ca="1" si="10"/>
        <v>#NAME?</v>
      </c>
      <c r="Y979" s="7"/>
      <c r="Z979" s="7"/>
    </row>
    <row r="980" spans="1:26" ht="13" x14ac:dyDescent="0.6">
      <c r="A980" s="28" t="str">
        <f t="shared" si="9"/>
        <v/>
      </c>
      <c r="B980" s="7"/>
      <c r="C980" s="7"/>
      <c r="D980" s="9"/>
      <c r="E980" s="9"/>
      <c r="F980" s="7"/>
      <c r="G980" s="7"/>
      <c r="H980" s="7"/>
      <c r="I980" s="7"/>
      <c r="J980" s="7"/>
      <c r="K980" s="7"/>
      <c r="L980" s="7"/>
      <c r="M980" s="7"/>
      <c r="N980" s="7"/>
      <c r="O980" s="7"/>
      <c r="P980" s="29"/>
      <c r="Q980" s="29"/>
      <c r="R980" s="7"/>
      <c r="S980" s="7"/>
      <c r="T980" s="7" t="str">
        <f ca="1">IFERROR(__xludf.DUMMYFUNCTION("SPARKLINE({
IF(D980="""",0,D980),
IF(F980="""",0,F980),
IF(H980="""",0,H980),
IF(J980="""",0,J980),
IF(L980="""",0,L980),
IF(N980="""",0,N980),
IF(P980="""",0,P980)
})"),"")</f>
        <v/>
      </c>
      <c r="U980" s="7" t="str">
        <f ca="1">IFERROR(__xludf.DUMMYFUNCTION("SPARKLINE({
IF(E980="""",0,E980),
IF(G980="""",0,G980),
IF(I980="""",0,I980),
IF(K980="""",0,K980),
IF(M980="""",0,M980),
IF(O980="""",0,O980),
IF(Q980="""",0,Q980)
})"),"")</f>
        <v/>
      </c>
      <c r="V980" s="8" t="e">
        <f t="array" aca="1" ref="V980" ca="1">IF($C$4="Giao",_xludf.Xlookup(C980,#REF!,#REF!,),_xludf.Xlookup(C980,#REF!,#REF!,))</f>
        <v>#NAME?</v>
      </c>
      <c r="W980" s="8" t="e">
        <f t="array" aca="1" ref="W980" ca="1">IF($C$4="Giao", _xludf.Xlookup(C980,#REF!,#REF!,),)</f>
        <v>#NAME?</v>
      </c>
      <c r="X980" s="9" t="e">
        <f t="shared" ca="1" si="10"/>
        <v>#NAME?</v>
      </c>
      <c r="Y980" s="7"/>
      <c r="Z980" s="7"/>
    </row>
    <row r="981" spans="1:26" ht="13" x14ac:dyDescent="0.6">
      <c r="A981" s="28" t="str">
        <f t="shared" si="9"/>
        <v/>
      </c>
      <c r="B981" s="7"/>
      <c r="C981" s="7"/>
      <c r="D981" s="9"/>
      <c r="E981" s="9"/>
      <c r="F981" s="7"/>
      <c r="G981" s="7"/>
      <c r="H981" s="7"/>
      <c r="I981" s="7"/>
      <c r="J981" s="7"/>
      <c r="K981" s="7"/>
      <c r="L981" s="7"/>
      <c r="M981" s="7"/>
      <c r="N981" s="7"/>
      <c r="O981" s="7"/>
      <c r="P981" s="29"/>
      <c r="Q981" s="29"/>
      <c r="R981" s="7"/>
      <c r="S981" s="7"/>
      <c r="T981" s="7" t="str">
        <f ca="1">IFERROR(__xludf.DUMMYFUNCTION("SPARKLINE({
IF(D981="""",0,D981),
IF(F981="""",0,F981),
IF(H981="""",0,H981),
IF(J981="""",0,J981),
IF(L981="""",0,L981),
IF(N981="""",0,N981),
IF(P981="""",0,P981)
})"),"")</f>
        <v/>
      </c>
      <c r="U981" s="7" t="str">
        <f ca="1">IFERROR(__xludf.DUMMYFUNCTION("SPARKLINE({
IF(E981="""",0,E981),
IF(G981="""",0,G981),
IF(I981="""",0,I981),
IF(K981="""",0,K981),
IF(M981="""",0,M981),
IF(O981="""",0,O981),
IF(Q981="""",0,Q981)
})"),"")</f>
        <v/>
      </c>
      <c r="V981" s="8" t="e">
        <f t="array" aca="1" ref="V981" ca="1">IF($C$4="Giao",_xludf.Xlookup(C981,#REF!,#REF!,),_xludf.Xlookup(C981,#REF!,#REF!,))</f>
        <v>#NAME?</v>
      </c>
      <c r="W981" s="8" t="e">
        <f t="array" aca="1" ref="W981" ca="1">IF($C$4="Giao", _xludf.Xlookup(C981,#REF!,#REF!,),)</f>
        <v>#NAME?</v>
      </c>
      <c r="X981" s="9" t="e">
        <f t="shared" ca="1" si="10"/>
        <v>#NAME?</v>
      </c>
      <c r="Y981" s="7"/>
      <c r="Z981" s="7"/>
    </row>
    <row r="982" spans="1:26" ht="13" x14ac:dyDescent="0.6">
      <c r="A982" s="28" t="str">
        <f t="shared" si="9"/>
        <v/>
      </c>
      <c r="B982" s="7"/>
      <c r="C982" s="7"/>
      <c r="D982" s="9"/>
      <c r="E982" s="9"/>
      <c r="F982" s="7"/>
      <c r="G982" s="7"/>
      <c r="H982" s="7"/>
      <c r="I982" s="7"/>
      <c r="J982" s="7"/>
      <c r="K982" s="7"/>
      <c r="L982" s="7"/>
      <c r="M982" s="7"/>
      <c r="N982" s="7"/>
      <c r="O982" s="7"/>
      <c r="P982" s="29"/>
      <c r="Q982" s="29"/>
      <c r="R982" s="7"/>
      <c r="S982" s="7"/>
      <c r="T982" s="7" t="str">
        <f ca="1">IFERROR(__xludf.DUMMYFUNCTION("SPARKLINE({
IF(D982="""",0,D982),
IF(F982="""",0,F982),
IF(H982="""",0,H982),
IF(J982="""",0,J982),
IF(L982="""",0,L982),
IF(N982="""",0,N982),
IF(P982="""",0,P982)
})"),"")</f>
        <v/>
      </c>
      <c r="U982" s="7" t="str">
        <f ca="1">IFERROR(__xludf.DUMMYFUNCTION("SPARKLINE({
IF(E982="""",0,E982),
IF(G982="""",0,G982),
IF(I982="""",0,I982),
IF(K982="""",0,K982),
IF(M982="""",0,M982),
IF(O982="""",0,O982),
IF(Q982="""",0,Q982)
})"),"")</f>
        <v/>
      </c>
      <c r="V982" s="8" t="e">
        <f t="array" aca="1" ref="V982" ca="1">IF($C$4="Giao",_xludf.Xlookup(C982,#REF!,#REF!,),_xludf.Xlookup(C982,#REF!,#REF!,))</f>
        <v>#NAME?</v>
      </c>
      <c r="W982" s="8" t="e">
        <f t="array" aca="1" ref="W982" ca="1">IF($C$4="Giao", _xludf.Xlookup(C982,#REF!,#REF!,),)</f>
        <v>#NAME?</v>
      </c>
      <c r="X982" s="9" t="e">
        <f t="shared" ca="1" si="10"/>
        <v>#NAME?</v>
      </c>
      <c r="Y982" s="7"/>
      <c r="Z982" s="7"/>
    </row>
    <row r="983" spans="1:26" ht="13" x14ac:dyDescent="0.6">
      <c r="A983" s="28" t="str">
        <f t="shared" si="9"/>
        <v/>
      </c>
      <c r="B983" s="7"/>
      <c r="C983" s="7"/>
      <c r="D983" s="9"/>
      <c r="E983" s="9"/>
      <c r="F983" s="7"/>
      <c r="G983" s="7"/>
      <c r="H983" s="7"/>
      <c r="I983" s="7"/>
      <c r="J983" s="7"/>
      <c r="K983" s="7"/>
      <c r="L983" s="7"/>
      <c r="M983" s="7"/>
      <c r="N983" s="7"/>
      <c r="O983" s="7"/>
      <c r="P983" s="29"/>
      <c r="Q983" s="29"/>
      <c r="R983" s="7"/>
      <c r="S983" s="7"/>
      <c r="T983" s="7" t="str">
        <f ca="1">IFERROR(__xludf.DUMMYFUNCTION("SPARKLINE({
IF(D983="""",0,D983),
IF(F983="""",0,F983),
IF(H983="""",0,H983),
IF(J983="""",0,J983),
IF(L983="""",0,L983),
IF(N983="""",0,N983),
IF(P983="""",0,P983)
})"),"")</f>
        <v/>
      </c>
      <c r="U983" s="7" t="str">
        <f ca="1">IFERROR(__xludf.DUMMYFUNCTION("SPARKLINE({
IF(E983="""",0,E983),
IF(G983="""",0,G983),
IF(I983="""",0,I983),
IF(K983="""",0,K983),
IF(M983="""",0,M983),
IF(O983="""",0,O983),
IF(Q983="""",0,Q983)
})"),"")</f>
        <v/>
      </c>
      <c r="V983" s="8" t="e">
        <f t="array" aca="1" ref="V983" ca="1">IF($C$4="Giao",_xludf.Xlookup(C983,#REF!,#REF!,),_xludf.Xlookup(C983,#REF!,#REF!,))</f>
        <v>#NAME?</v>
      </c>
      <c r="W983" s="8" t="e">
        <f t="array" aca="1" ref="W983" ca="1">IF($C$4="Giao", _xludf.Xlookup(C983,#REF!,#REF!,),)</f>
        <v>#NAME?</v>
      </c>
      <c r="X983" s="9" t="e">
        <f t="shared" ca="1" si="10"/>
        <v>#NAME?</v>
      </c>
      <c r="Y983" s="7"/>
      <c r="Z983" s="7"/>
    </row>
    <row r="984" spans="1:26" ht="13" x14ac:dyDescent="0.6">
      <c r="A984" s="28" t="str">
        <f t="shared" si="9"/>
        <v/>
      </c>
      <c r="B984" s="7"/>
      <c r="C984" s="7"/>
      <c r="D984" s="9"/>
      <c r="E984" s="9"/>
      <c r="F984" s="7"/>
      <c r="G984" s="7"/>
      <c r="H984" s="7"/>
      <c r="I984" s="7"/>
      <c r="J984" s="7"/>
      <c r="K984" s="7"/>
      <c r="L984" s="7"/>
      <c r="M984" s="7"/>
      <c r="N984" s="7"/>
      <c r="O984" s="7"/>
      <c r="P984" s="29"/>
      <c r="Q984" s="29"/>
      <c r="R984" s="7"/>
      <c r="S984" s="7"/>
      <c r="T984" s="7" t="str">
        <f ca="1">IFERROR(__xludf.DUMMYFUNCTION("SPARKLINE({
IF(D984="""",0,D984),
IF(F984="""",0,F984),
IF(H984="""",0,H984),
IF(J984="""",0,J984),
IF(L984="""",0,L984),
IF(N984="""",0,N984),
IF(P984="""",0,P984)
})"),"")</f>
        <v/>
      </c>
      <c r="U984" s="7" t="str">
        <f ca="1">IFERROR(__xludf.DUMMYFUNCTION("SPARKLINE({
IF(E984="""",0,E984),
IF(G984="""",0,G984),
IF(I984="""",0,I984),
IF(K984="""",0,K984),
IF(M984="""",0,M984),
IF(O984="""",0,O984),
IF(Q984="""",0,Q984)
})"),"")</f>
        <v/>
      </c>
      <c r="V984" s="8" t="e">
        <f t="array" aca="1" ref="V984" ca="1">IF($C$4="Giao",_xludf.Xlookup(C984,#REF!,#REF!,),_xludf.Xlookup(C984,#REF!,#REF!,))</f>
        <v>#NAME?</v>
      </c>
      <c r="W984" s="8" t="e">
        <f t="array" aca="1" ref="W984" ca="1">IF($C$4="Giao", _xludf.Xlookup(C984,#REF!,#REF!,),)</f>
        <v>#NAME?</v>
      </c>
      <c r="X984" s="9" t="e">
        <f t="shared" ca="1" si="10"/>
        <v>#NAME?</v>
      </c>
      <c r="Y984" s="7"/>
      <c r="Z984" s="7"/>
    </row>
    <row r="985" spans="1:26" ht="13" x14ac:dyDescent="0.6">
      <c r="A985" s="28" t="str">
        <f t="shared" si="9"/>
        <v/>
      </c>
      <c r="B985" s="7"/>
      <c r="C985" s="7"/>
      <c r="D985" s="9"/>
      <c r="E985" s="9"/>
      <c r="F985" s="7"/>
      <c r="G985" s="7"/>
      <c r="H985" s="7"/>
      <c r="I985" s="7"/>
      <c r="J985" s="7"/>
      <c r="K985" s="7"/>
      <c r="L985" s="7"/>
      <c r="M985" s="7"/>
      <c r="N985" s="7"/>
      <c r="O985" s="7"/>
      <c r="P985" s="29"/>
      <c r="Q985" s="29"/>
      <c r="R985" s="7"/>
      <c r="S985" s="7"/>
      <c r="T985" s="7" t="str">
        <f ca="1">IFERROR(__xludf.DUMMYFUNCTION("SPARKLINE({
IF(D985="""",0,D985),
IF(F985="""",0,F985),
IF(H985="""",0,H985),
IF(J985="""",0,J985),
IF(L985="""",0,L985),
IF(N985="""",0,N985),
IF(P985="""",0,P985)
})"),"")</f>
        <v/>
      </c>
      <c r="U985" s="7" t="str">
        <f ca="1">IFERROR(__xludf.DUMMYFUNCTION("SPARKLINE({
IF(E985="""",0,E985),
IF(G985="""",0,G985),
IF(I985="""",0,I985),
IF(K985="""",0,K985),
IF(M985="""",0,M985),
IF(O985="""",0,O985),
IF(Q985="""",0,Q985)
})"),"")</f>
        <v/>
      </c>
      <c r="V985" s="8" t="e">
        <f t="array" aca="1" ref="V985" ca="1">IF($C$4="Giao",_xludf.Xlookup(C985,#REF!,#REF!,),_xludf.Xlookup(C985,#REF!,#REF!,))</f>
        <v>#NAME?</v>
      </c>
      <c r="W985" s="8" t="e">
        <f t="array" aca="1" ref="W985" ca="1">IF($C$4="Giao", _xludf.Xlookup(C985,#REF!,#REF!,),)</f>
        <v>#NAME?</v>
      </c>
      <c r="X985" s="9" t="e">
        <f t="shared" ca="1" si="10"/>
        <v>#NAME?</v>
      </c>
      <c r="Y985" s="7"/>
      <c r="Z985" s="7"/>
    </row>
    <row r="986" spans="1:26" ht="13" x14ac:dyDescent="0.6">
      <c r="A986" s="28" t="str">
        <f t="shared" si="9"/>
        <v/>
      </c>
      <c r="B986" s="7"/>
      <c r="C986" s="7"/>
      <c r="D986" s="9"/>
      <c r="E986" s="9"/>
      <c r="F986" s="7"/>
      <c r="G986" s="7"/>
      <c r="H986" s="7"/>
      <c r="I986" s="7"/>
      <c r="J986" s="7"/>
      <c r="K986" s="7"/>
      <c r="L986" s="7"/>
      <c r="M986" s="7"/>
      <c r="N986" s="7"/>
      <c r="O986" s="7"/>
      <c r="P986" s="29"/>
      <c r="Q986" s="29"/>
      <c r="R986" s="7"/>
      <c r="S986" s="7"/>
      <c r="T986" s="7" t="str">
        <f ca="1">IFERROR(__xludf.DUMMYFUNCTION("SPARKLINE({
IF(D986="""",0,D986),
IF(F986="""",0,F986),
IF(H986="""",0,H986),
IF(J986="""",0,J986),
IF(L986="""",0,L986),
IF(N986="""",0,N986),
IF(P986="""",0,P986)
})"),"")</f>
        <v/>
      </c>
      <c r="U986" s="7" t="str">
        <f ca="1">IFERROR(__xludf.DUMMYFUNCTION("SPARKLINE({
IF(E986="""",0,E986),
IF(G986="""",0,G986),
IF(I986="""",0,I986),
IF(K986="""",0,K986),
IF(M986="""",0,M986),
IF(O986="""",0,O986),
IF(Q986="""",0,Q986)
})"),"")</f>
        <v/>
      </c>
      <c r="V986" s="8" t="e">
        <f t="array" aca="1" ref="V986" ca="1">IF($C$4="Giao",_xludf.Xlookup(C986,#REF!,#REF!,),_xludf.Xlookup(C986,#REF!,#REF!,))</f>
        <v>#NAME?</v>
      </c>
      <c r="W986" s="8" t="e">
        <f t="array" aca="1" ref="W986" ca="1">IF($C$4="Giao", _xludf.Xlookup(C986,#REF!,#REF!,),)</f>
        <v>#NAME?</v>
      </c>
      <c r="X986" s="9" t="e">
        <f t="shared" ca="1" si="10"/>
        <v>#NAME?</v>
      </c>
      <c r="Y986" s="7"/>
      <c r="Z986" s="7"/>
    </row>
    <row r="987" spans="1:26" ht="13" x14ac:dyDescent="0.6">
      <c r="A987" s="28" t="str">
        <f t="shared" si="9"/>
        <v/>
      </c>
      <c r="B987" s="7"/>
      <c r="C987" s="7"/>
      <c r="D987" s="9"/>
      <c r="E987" s="9"/>
      <c r="F987" s="7"/>
      <c r="G987" s="7"/>
      <c r="H987" s="7"/>
      <c r="I987" s="7"/>
      <c r="J987" s="7"/>
      <c r="K987" s="7"/>
      <c r="L987" s="7"/>
      <c r="M987" s="7"/>
      <c r="N987" s="7"/>
      <c r="O987" s="7"/>
      <c r="P987" s="29"/>
      <c r="Q987" s="29"/>
      <c r="R987" s="7"/>
      <c r="S987" s="7"/>
      <c r="T987" s="7" t="str">
        <f ca="1">IFERROR(__xludf.DUMMYFUNCTION("SPARKLINE({
IF(D987="""",0,D987),
IF(F987="""",0,F987),
IF(H987="""",0,H987),
IF(J987="""",0,J987),
IF(L987="""",0,L987),
IF(N987="""",0,N987),
IF(P987="""",0,P987)
})"),"")</f>
        <v/>
      </c>
      <c r="U987" s="7" t="str">
        <f ca="1">IFERROR(__xludf.DUMMYFUNCTION("SPARKLINE({
IF(E987="""",0,E987),
IF(G987="""",0,G987),
IF(I987="""",0,I987),
IF(K987="""",0,K987),
IF(M987="""",0,M987),
IF(O987="""",0,O987),
IF(Q987="""",0,Q987)
})"),"")</f>
        <v/>
      </c>
      <c r="V987" s="8" t="e">
        <f t="array" aca="1" ref="V987" ca="1">IF($C$4="Giao",_xludf.Xlookup(C987,#REF!,#REF!,),_xludf.Xlookup(C987,#REF!,#REF!,))</f>
        <v>#NAME?</v>
      </c>
      <c r="W987" s="8" t="e">
        <f t="array" aca="1" ref="W987" ca="1">IF($C$4="Giao", _xludf.Xlookup(C987,#REF!,#REF!,),)</f>
        <v>#NAME?</v>
      </c>
      <c r="X987" s="9" t="e">
        <f t="shared" ca="1" si="10"/>
        <v>#NAME?</v>
      </c>
      <c r="Y987" s="7"/>
      <c r="Z987" s="7"/>
    </row>
    <row r="988" spans="1:26" ht="13" x14ac:dyDescent="0.6">
      <c r="A988" s="28" t="str">
        <f t="shared" si="9"/>
        <v/>
      </c>
      <c r="B988" s="7"/>
      <c r="C988" s="7"/>
      <c r="D988" s="9"/>
      <c r="E988" s="9"/>
      <c r="F988" s="7"/>
      <c r="G988" s="7"/>
      <c r="H988" s="7"/>
      <c r="I988" s="7"/>
      <c r="J988" s="7"/>
      <c r="K988" s="7"/>
      <c r="L988" s="7"/>
      <c r="M988" s="7"/>
      <c r="N988" s="7"/>
      <c r="O988" s="7"/>
      <c r="P988" s="29"/>
      <c r="Q988" s="29"/>
      <c r="R988" s="7"/>
      <c r="S988" s="7"/>
      <c r="T988" s="7" t="str">
        <f ca="1">IFERROR(__xludf.DUMMYFUNCTION("SPARKLINE({
IF(D988="""",0,D988),
IF(F988="""",0,F988),
IF(H988="""",0,H988),
IF(J988="""",0,J988),
IF(L988="""",0,L988),
IF(N988="""",0,N988),
IF(P988="""",0,P988)
})"),"")</f>
        <v/>
      </c>
      <c r="U988" s="7" t="str">
        <f ca="1">IFERROR(__xludf.DUMMYFUNCTION("SPARKLINE({
IF(E988="""",0,E988),
IF(G988="""",0,G988),
IF(I988="""",0,I988),
IF(K988="""",0,K988),
IF(M988="""",0,M988),
IF(O988="""",0,O988),
IF(Q988="""",0,Q988)
})"),"")</f>
        <v/>
      </c>
      <c r="V988" s="8" t="e">
        <f t="array" aca="1" ref="V988" ca="1">IF($C$4="Giao",_xludf.Xlookup(C988,#REF!,#REF!,),_xludf.Xlookup(C988,#REF!,#REF!,))</f>
        <v>#NAME?</v>
      </c>
      <c r="W988" s="8" t="e">
        <f t="array" aca="1" ref="W988" ca="1">IF($C$4="Giao", _xludf.Xlookup(C988,#REF!,#REF!,),)</f>
        <v>#NAME?</v>
      </c>
      <c r="X988" s="9" t="e">
        <f t="shared" ca="1" si="10"/>
        <v>#NAME?</v>
      </c>
      <c r="Y988" s="7"/>
      <c r="Z988" s="7"/>
    </row>
    <row r="989" spans="1:26" ht="13" x14ac:dyDescent="0.6">
      <c r="A989" s="28" t="str">
        <f t="shared" si="9"/>
        <v/>
      </c>
      <c r="B989" s="7"/>
      <c r="C989" s="7"/>
      <c r="D989" s="9"/>
      <c r="E989" s="9"/>
      <c r="F989" s="7"/>
      <c r="G989" s="7"/>
      <c r="H989" s="7"/>
      <c r="I989" s="7"/>
      <c r="J989" s="7"/>
      <c r="K989" s="7"/>
      <c r="L989" s="7"/>
      <c r="M989" s="7"/>
      <c r="N989" s="7"/>
      <c r="O989" s="7"/>
      <c r="P989" s="29"/>
      <c r="Q989" s="29"/>
      <c r="R989" s="7"/>
      <c r="S989" s="7"/>
      <c r="T989" s="7" t="str">
        <f ca="1">IFERROR(__xludf.DUMMYFUNCTION("SPARKLINE({
IF(D989="""",0,D989),
IF(F989="""",0,F989),
IF(H989="""",0,H989),
IF(J989="""",0,J989),
IF(L989="""",0,L989),
IF(N989="""",0,N989),
IF(P989="""",0,P989)
})"),"")</f>
        <v/>
      </c>
      <c r="U989" s="7" t="str">
        <f ca="1">IFERROR(__xludf.DUMMYFUNCTION("SPARKLINE({
IF(E989="""",0,E989),
IF(G989="""",0,G989),
IF(I989="""",0,I989),
IF(K989="""",0,K989),
IF(M989="""",0,M989),
IF(O989="""",0,O989),
IF(Q989="""",0,Q989)
})"),"")</f>
        <v/>
      </c>
      <c r="V989" s="8" t="e">
        <f t="array" aca="1" ref="V989" ca="1">IF($C$4="Giao",_xludf.Xlookup(C989,#REF!,#REF!,),_xludf.Xlookup(C989,#REF!,#REF!,))</f>
        <v>#NAME?</v>
      </c>
      <c r="W989" s="8" t="e">
        <f t="array" aca="1" ref="W989" ca="1">IF($C$4="Giao", _xludf.Xlookup(C989,#REF!,#REF!,),)</f>
        <v>#NAME?</v>
      </c>
      <c r="X989" s="9" t="e">
        <f t="shared" ca="1" si="10"/>
        <v>#NAME?</v>
      </c>
      <c r="Y989" s="7"/>
      <c r="Z989" s="7"/>
    </row>
    <row r="990" spans="1:26" ht="13" x14ac:dyDescent="0.6">
      <c r="A990" s="28" t="str">
        <f t="shared" si="9"/>
        <v/>
      </c>
      <c r="B990" s="7"/>
      <c r="C990" s="7"/>
      <c r="D990" s="9"/>
      <c r="E990" s="9"/>
      <c r="F990" s="7"/>
      <c r="G990" s="7"/>
      <c r="H990" s="7"/>
      <c r="I990" s="7"/>
      <c r="J990" s="7"/>
      <c r="K990" s="7"/>
      <c r="L990" s="7"/>
      <c r="M990" s="7"/>
      <c r="N990" s="7"/>
      <c r="O990" s="7"/>
      <c r="P990" s="29"/>
      <c r="Q990" s="29"/>
      <c r="R990" s="7"/>
      <c r="S990" s="7"/>
      <c r="T990" s="7" t="str">
        <f ca="1">IFERROR(__xludf.DUMMYFUNCTION("SPARKLINE({
IF(D990="""",0,D990),
IF(F990="""",0,F990),
IF(H990="""",0,H990),
IF(J990="""",0,J990),
IF(L990="""",0,L990),
IF(N990="""",0,N990),
IF(P990="""",0,P990)
})"),"")</f>
        <v/>
      </c>
      <c r="U990" s="7" t="str">
        <f ca="1">IFERROR(__xludf.DUMMYFUNCTION("SPARKLINE({
IF(E990="""",0,E990),
IF(G990="""",0,G990),
IF(I990="""",0,I990),
IF(K990="""",0,K990),
IF(M990="""",0,M990),
IF(O990="""",0,O990),
IF(Q990="""",0,Q990)
})"),"")</f>
        <v/>
      </c>
      <c r="V990" s="8" t="e">
        <f t="array" aca="1" ref="V990" ca="1">IF($C$4="Giao",_xludf.Xlookup(C990,#REF!,#REF!,),_xludf.Xlookup(C990,#REF!,#REF!,))</f>
        <v>#NAME?</v>
      </c>
      <c r="W990" s="8" t="e">
        <f t="array" aca="1" ref="W990" ca="1">IF($C$4="Giao", _xludf.Xlookup(C990,#REF!,#REF!,),)</f>
        <v>#NAME?</v>
      </c>
      <c r="X990" s="9" t="e">
        <f t="shared" ca="1" si="10"/>
        <v>#NAME?</v>
      </c>
      <c r="Y990" s="7"/>
      <c r="Z990" s="7"/>
    </row>
    <row r="991" spans="1:26" ht="13" x14ac:dyDescent="0.6">
      <c r="A991" s="28" t="str">
        <f t="shared" si="9"/>
        <v/>
      </c>
      <c r="B991" s="7"/>
      <c r="C991" s="7"/>
      <c r="D991" s="9"/>
      <c r="E991" s="9"/>
      <c r="F991" s="7"/>
      <c r="G991" s="7"/>
      <c r="H991" s="7"/>
      <c r="I991" s="7"/>
      <c r="J991" s="7"/>
      <c r="K991" s="7"/>
      <c r="L991" s="7"/>
      <c r="M991" s="7"/>
      <c r="N991" s="7"/>
      <c r="O991" s="7"/>
      <c r="P991" s="29"/>
      <c r="Q991" s="29"/>
      <c r="R991" s="7"/>
      <c r="S991" s="7"/>
      <c r="T991" s="7" t="str">
        <f ca="1">IFERROR(__xludf.DUMMYFUNCTION("SPARKLINE({
IF(D991="""",0,D991),
IF(F991="""",0,F991),
IF(H991="""",0,H991),
IF(J991="""",0,J991),
IF(L991="""",0,L991),
IF(N991="""",0,N991),
IF(P991="""",0,P991)
})"),"")</f>
        <v/>
      </c>
      <c r="U991" s="7" t="str">
        <f ca="1">IFERROR(__xludf.DUMMYFUNCTION("SPARKLINE({
IF(E991="""",0,E991),
IF(G991="""",0,G991),
IF(I991="""",0,I991),
IF(K991="""",0,K991),
IF(M991="""",0,M991),
IF(O991="""",0,O991),
IF(Q991="""",0,Q991)
})"),"")</f>
        <v/>
      </c>
      <c r="V991" s="8" t="e">
        <f t="array" aca="1" ref="V991" ca="1">IF($C$4="Giao",_xludf.Xlookup(C991,#REF!,#REF!,),_xludf.Xlookup(C991,#REF!,#REF!,))</f>
        <v>#NAME?</v>
      </c>
      <c r="W991" s="8" t="e">
        <f t="array" aca="1" ref="W991" ca="1">IF($C$4="Giao", _xludf.Xlookup(C991,#REF!,#REF!,),)</f>
        <v>#NAME?</v>
      </c>
      <c r="X991" s="9" t="e">
        <f t="shared" ca="1" si="10"/>
        <v>#NAME?</v>
      </c>
      <c r="Y991" s="7"/>
      <c r="Z991" s="7"/>
    </row>
    <row r="992" spans="1:26" ht="13" x14ac:dyDescent="0.6">
      <c r="A992" s="28" t="str">
        <f t="shared" si="9"/>
        <v/>
      </c>
      <c r="B992" s="7"/>
      <c r="C992" s="7"/>
      <c r="D992" s="9"/>
      <c r="E992" s="9"/>
      <c r="F992" s="7"/>
      <c r="G992" s="7"/>
      <c r="H992" s="7"/>
      <c r="I992" s="7"/>
      <c r="J992" s="7"/>
      <c r="K992" s="7"/>
      <c r="L992" s="7"/>
      <c r="M992" s="7"/>
      <c r="N992" s="7"/>
      <c r="O992" s="7"/>
      <c r="P992" s="29"/>
      <c r="Q992" s="29"/>
      <c r="R992" s="7"/>
      <c r="S992" s="7"/>
      <c r="T992" s="7" t="str">
        <f ca="1">IFERROR(__xludf.DUMMYFUNCTION("SPARKLINE({
IF(D992="""",0,D992),
IF(F992="""",0,F992),
IF(H992="""",0,H992),
IF(J992="""",0,J992),
IF(L992="""",0,L992),
IF(N992="""",0,N992),
IF(P992="""",0,P992)
})"),"")</f>
        <v/>
      </c>
      <c r="U992" s="7" t="str">
        <f ca="1">IFERROR(__xludf.DUMMYFUNCTION("SPARKLINE({
IF(E992="""",0,E992),
IF(G992="""",0,G992),
IF(I992="""",0,I992),
IF(K992="""",0,K992),
IF(M992="""",0,M992),
IF(O992="""",0,O992),
IF(Q992="""",0,Q992)
})"),"")</f>
        <v/>
      </c>
      <c r="V992" s="8" t="e">
        <f t="array" aca="1" ref="V992" ca="1">IF($C$4="Giao",_xludf.Xlookup(C992,#REF!,#REF!,),_xludf.Xlookup(C992,#REF!,#REF!,))</f>
        <v>#NAME?</v>
      </c>
      <c r="W992" s="8" t="e">
        <f t="array" aca="1" ref="W992" ca="1">IF($C$4="Giao", _xludf.Xlookup(C992,#REF!,#REF!,),)</f>
        <v>#NAME?</v>
      </c>
      <c r="X992" s="9" t="e">
        <f t="shared" ca="1" si="10"/>
        <v>#NAME?</v>
      </c>
      <c r="Y992" s="7"/>
      <c r="Z992" s="7"/>
    </row>
    <row r="993" spans="1:26" ht="13" x14ac:dyDescent="0.6">
      <c r="A993" s="28" t="str">
        <f t="shared" si="9"/>
        <v/>
      </c>
      <c r="B993" s="7"/>
      <c r="C993" s="7"/>
      <c r="D993" s="9"/>
      <c r="E993" s="9"/>
      <c r="F993" s="7"/>
      <c r="G993" s="7"/>
      <c r="H993" s="7"/>
      <c r="I993" s="7"/>
      <c r="J993" s="7"/>
      <c r="K993" s="7"/>
      <c r="L993" s="7"/>
      <c r="M993" s="7"/>
      <c r="N993" s="7"/>
      <c r="O993" s="7"/>
      <c r="P993" s="29"/>
      <c r="Q993" s="29"/>
      <c r="R993" s="7"/>
      <c r="S993" s="7"/>
      <c r="T993" s="7" t="str">
        <f ca="1">IFERROR(__xludf.DUMMYFUNCTION("SPARKLINE({
IF(D993="""",0,D993),
IF(F993="""",0,F993),
IF(H993="""",0,H993),
IF(J993="""",0,J993),
IF(L993="""",0,L993),
IF(N993="""",0,N993),
IF(P993="""",0,P993)
})"),"")</f>
        <v/>
      </c>
      <c r="U993" s="7" t="str">
        <f ca="1">IFERROR(__xludf.DUMMYFUNCTION("SPARKLINE({
IF(E993="""",0,E993),
IF(G993="""",0,G993),
IF(I993="""",0,I993),
IF(K993="""",0,K993),
IF(M993="""",0,M993),
IF(O993="""",0,O993),
IF(Q993="""",0,Q993)
})"),"")</f>
        <v/>
      </c>
      <c r="V993" s="8" t="e">
        <f t="array" aca="1" ref="V993" ca="1">IF($C$4="Giao",_xludf.Xlookup(C993,#REF!,#REF!,),_xludf.Xlookup(C993,#REF!,#REF!,))</f>
        <v>#NAME?</v>
      </c>
      <c r="W993" s="8" t="e">
        <f t="array" aca="1" ref="W993" ca="1">IF($C$4="Giao", _xludf.Xlookup(C993,#REF!,#REF!,),)</f>
        <v>#NAME?</v>
      </c>
      <c r="X993" s="9" t="e">
        <f t="shared" ca="1" si="10"/>
        <v>#NAME?</v>
      </c>
      <c r="Y993" s="7"/>
      <c r="Z993" s="7"/>
    </row>
    <row r="994" spans="1:26" ht="13" x14ac:dyDescent="0.6">
      <c r="A994" s="28" t="str">
        <f t="shared" si="9"/>
        <v/>
      </c>
      <c r="B994" s="7"/>
      <c r="C994" s="7"/>
      <c r="D994" s="9"/>
      <c r="E994" s="9"/>
      <c r="F994" s="7"/>
      <c r="G994" s="7"/>
      <c r="H994" s="7"/>
      <c r="I994" s="7"/>
      <c r="J994" s="7"/>
      <c r="K994" s="7"/>
      <c r="L994" s="7"/>
      <c r="M994" s="7"/>
      <c r="N994" s="7"/>
      <c r="O994" s="7"/>
      <c r="P994" s="29"/>
      <c r="Q994" s="29"/>
      <c r="R994" s="7"/>
      <c r="S994" s="7"/>
      <c r="T994" s="7" t="str">
        <f ca="1">IFERROR(__xludf.DUMMYFUNCTION("SPARKLINE({
IF(D994="""",0,D994),
IF(F994="""",0,F994),
IF(H994="""",0,H994),
IF(J994="""",0,J994),
IF(L994="""",0,L994),
IF(N994="""",0,N994),
IF(P994="""",0,P994)
})"),"")</f>
        <v/>
      </c>
      <c r="U994" s="7" t="str">
        <f ca="1">IFERROR(__xludf.DUMMYFUNCTION("SPARKLINE({
IF(E994="""",0,E994),
IF(G994="""",0,G994),
IF(I994="""",0,I994),
IF(K994="""",0,K994),
IF(M994="""",0,M994),
IF(O994="""",0,O994),
IF(Q994="""",0,Q994)
})"),"")</f>
        <v/>
      </c>
      <c r="V994" s="8" t="e">
        <f t="array" aca="1" ref="V994" ca="1">IF($C$4="Giao",_xludf.Xlookup(C994,#REF!,#REF!,),_xludf.Xlookup(C994,#REF!,#REF!,))</f>
        <v>#NAME?</v>
      </c>
      <c r="W994" s="8" t="e">
        <f t="array" aca="1" ref="W994" ca="1">IF($C$4="Giao", _xludf.Xlookup(C994,#REF!,#REF!,),)</f>
        <v>#NAME?</v>
      </c>
      <c r="X994" s="9" t="e">
        <f t="shared" ca="1" si="10"/>
        <v>#NAME?</v>
      </c>
      <c r="Y994" s="7"/>
      <c r="Z994" s="7"/>
    </row>
    <row r="995" spans="1:26" ht="13" x14ac:dyDescent="0.6">
      <c r="A995" s="28" t="str">
        <f t="shared" si="9"/>
        <v/>
      </c>
      <c r="B995" s="7"/>
      <c r="C995" s="7"/>
      <c r="D995" s="9"/>
      <c r="E995" s="9"/>
      <c r="F995" s="7"/>
      <c r="G995" s="7"/>
      <c r="H995" s="7"/>
      <c r="I995" s="7"/>
      <c r="J995" s="7"/>
      <c r="K995" s="7"/>
      <c r="L995" s="7"/>
      <c r="M995" s="7"/>
      <c r="N995" s="7"/>
      <c r="O995" s="7"/>
      <c r="P995" s="29"/>
      <c r="Q995" s="29"/>
      <c r="R995" s="7"/>
      <c r="S995" s="7"/>
      <c r="T995" s="7" t="str">
        <f ca="1">IFERROR(__xludf.DUMMYFUNCTION("SPARKLINE({
IF(D995="""",0,D995),
IF(F995="""",0,F995),
IF(H995="""",0,H995),
IF(J995="""",0,J995),
IF(L995="""",0,L995),
IF(N995="""",0,N995),
IF(P995="""",0,P995)
})"),"")</f>
        <v/>
      </c>
      <c r="U995" s="7" t="str">
        <f ca="1">IFERROR(__xludf.DUMMYFUNCTION("SPARKLINE({
IF(E995="""",0,E995),
IF(G995="""",0,G995),
IF(I995="""",0,I995),
IF(K995="""",0,K995),
IF(M995="""",0,M995),
IF(O995="""",0,O995),
IF(Q995="""",0,Q995)
})"),"")</f>
        <v/>
      </c>
      <c r="V995" s="8" t="e">
        <f t="array" aca="1" ref="V995" ca="1">IF($C$4="Giao",_xludf.Xlookup(C995,#REF!,#REF!,),_xludf.Xlookup(C995,#REF!,#REF!,))</f>
        <v>#NAME?</v>
      </c>
      <c r="W995" s="8" t="e">
        <f t="array" aca="1" ref="W995" ca="1">IF($C$4="Giao", _xludf.Xlookup(C995,#REF!,#REF!,),)</f>
        <v>#NAME?</v>
      </c>
      <c r="X995" s="9" t="e">
        <f t="shared" ca="1" si="10"/>
        <v>#NAME?</v>
      </c>
      <c r="Y995" s="7"/>
      <c r="Z995" s="7"/>
    </row>
    <row r="996" spans="1:26" ht="13" x14ac:dyDescent="0.6">
      <c r="A996" s="28" t="str">
        <f t="shared" si="9"/>
        <v/>
      </c>
      <c r="B996" s="7"/>
      <c r="C996" s="7"/>
      <c r="D996" s="9"/>
      <c r="E996" s="9"/>
      <c r="F996" s="7"/>
      <c r="G996" s="7"/>
      <c r="H996" s="7"/>
      <c r="I996" s="7"/>
      <c r="J996" s="7"/>
      <c r="K996" s="7"/>
      <c r="L996" s="7"/>
      <c r="M996" s="7"/>
      <c r="N996" s="7"/>
      <c r="O996" s="7"/>
      <c r="P996" s="29"/>
      <c r="Q996" s="29"/>
      <c r="R996" s="7"/>
      <c r="S996" s="7"/>
      <c r="T996" s="7" t="str">
        <f ca="1">IFERROR(__xludf.DUMMYFUNCTION("SPARKLINE({
IF(D996="""",0,D996),
IF(F996="""",0,F996),
IF(H996="""",0,H996),
IF(J996="""",0,J996),
IF(L996="""",0,L996),
IF(N996="""",0,N996),
IF(P996="""",0,P996)
})"),"")</f>
        <v/>
      </c>
      <c r="U996" s="7" t="str">
        <f ca="1">IFERROR(__xludf.DUMMYFUNCTION("SPARKLINE({
IF(E996="""",0,E996),
IF(G996="""",0,G996),
IF(I996="""",0,I996),
IF(K996="""",0,K996),
IF(M996="""",0,M996),
IF(O996="""",0,O996),
IF(Q996="""",0,Q996)
})"),"")</f>
        <v/>
      </c>
      <c r="V996" s="8" t="e">
        <f t="array" aca="1" ref="V996" ca="1">IF($C$4="Giao",_xludf.Xlookup(C996,#REF!,#REF!,),_xludf.Xlookup(C996,#REF!,#REF!,))</f>
        <v>#NAME?</v>
      </c>
      <c r="W996" s="8" t="e">
        <f t="array" aca="1" ref="W996" ca="1">IF($C$4="Giao", _xludf.Xlookup(C996,#REF!,#REF!,),)</f>
        <v>#NAME?</v>
      </c>
      <c r="X996" s="9" t="e">
        <f t="shared" ca="1" si="10"/>
        <v>#NAME?</v>
      </c>
      <c r="Y996" s="7"/>
      <c r="Z996" s="7"/>
    </row>
    <row r="997" spans="1:26" ht="13" x14ac:dyDescent="0.6">
      <c r="A997" s="28" t="str">
        <f t="shared" si="9"/>
        <v/>
      </c>
      <c r="B997" s="7"/>
      <c r="C997" s="7"/>
      <c r="D997" s="9"/>
      <c r="E997" s="9"/>
      <c r="F997" s="7"/>
      <c r="G997" s="7"/>
      <c r="H997" s="7"/>
      <c r="I997" s="7"/>
      <c r="J997" s="7"/>
      <c r="K997" s="7"/>
      <c r="L997" s="7"/>
      <c r="M997" s="7"/>
      <c r="N997" s="7"/>
      <c r="O997" s="7"/>
      <c r="P997" s="29"/>
      <c r="Q997" s="29"/>
      <c r="R997" s="7"/>
      <c r="S997" s="7"/>
      <c r="T997" s="7" t="str">
        <f ca="1">IFERROR(__xludf.DUMMYFUNCTION("SPARKLINE({
IF(D997="""",0,D997),
IF(F997="""",0,F997),
IF(H997="""",0,H997),
IF(J997="""",0,J997),
IF(L997="""",0,L997),
IF(N997="""",0,N997),
IF(P997="""",0,P997)
})"),"")</f>
        <v/>
      </c>
      <c r="U997" s="7" t="str">
        <f ca="1">IFERROR(__xludf.DUMMYFUNCTION("SPARKLINE({
IF(E997="""",0,E997),
IF(G997="""",0,G997),
IF(I997="""",0,I997),
IF(K997="""",0,K997),
IF(M997="""",0,M997),
IF(O997="""",0,O997),
IF(Q997="""",0,Q997)
})"),"")</f>
        <v/>
      </c>
      <c r="V997" s="8" t="e">
        <f t="array" aca="1" ref="V997" ca="1">IF($C$4="Giao",_xludf.Xlookup(C997,#REF!,#REF!,),_xludf.Xlookup(C997,#REF!,#REF!,))</f>
        <v>#NAME?</v>
      </c>
      <c r="W997" s="8" t="e">
        <f t="array" aca="1" ref="W997" ca="1">IF($C$4="Giao", _xludf.Xlookup(C997,#REF!,#REF!,),)</f>
        <v>#NAME?</v>
      </c>
      <c r="X997" s="9" t="e">
        <f t="shared" ca="1" si="10"/>
        <v>#NAME?</v>
      </c>
      <c r="Y997" s="7"/>
      <c r="Z997" s="7"/>
    </row>
    <row r="998" spans="1:26" ht="13" x14ac:dyDescent="0.6">
      <c r="A998" s="28" t="str">
        <f t="shared" si="9"/>
        <v/>
      </c>
      <c r="B998" s="7"/>
      <c r="C998" s="7"/>
      <c r="D998" s="9"/>
      <c r="E998" s="9"/>
      <c r="F998" s="7"/>
      <c r="G998" s="7"/>
      <c r="H998" s="7"/>
      <c r="I998" s="7"/>
      <c r="J998" s="7"/>
      <c r="K998" s="7"/>
      <c r="L998" s="7"/>
      <c r="M998" s="7"/>
      <c r="N998" s="7"/>
      <c r="O998" s="7"/>
      <c r="P998" s="29"/>
      <c r="Q998" s="29"/>
      <c r="R998" s="7"/>
      <c r="S998" s="7"/>
      <c r="T998" s="7" t="str">
        <f ca="1">IFERROR(__xludf.DUMMYFUNCTION("SPARKLINE({
IF(D998="""",0,D998),
IF(F998="""",0,F998),
IF(H998="""",0,H998),
IF(J998="""",0,J998),
IF(L998="""",0,L998),
IF(N998="""",0,N998),
IF(P998="""",0,P998)
})"),"")</f>
        <v/>
      </c>
      <c r="U998" s="7" t="str">
        <f ca="1">IFERROR(__xludf.DUMMYFUNCTION("SPARKLINE({
IF(E998="""",0,E998),
IF(G998="""",0,G998),
IF(I998="""",0,I998),
IF(K998="""",0,K998),
IF(M998="""",0,M998),
IF(O998="""",0,O998),
IF(Q998="""",0,Q998)
})"),"")</f>
        <v/>
      </c>
      <c r="V998" s="8" t="e">
        <f t="array" aca="1" ref="V998" ca="1">IF($C$4="Giao",_xludf.Xlookup(C998,#REF!,#REF!,),_xludf.Xlookup(C998,#REF!,#REF!,))</f>
        <v>#NAME?</v>
      </c>
      <c r="W998" s="8" t="e">
        <f t="array" aca="1" ref="W998" ca="1">IF($C$4="Giao", _xludf.Xlookup(C998,#REF!,#REF!,),)</f>
        <v>#NAME?</v>
      </c>
      <c r="X998" s="9" t="e">
        <f t="shared" ca="1" si="10"/>
        <v>#NAME?</v>
      </c>
      <c r="Y998" s="7"/>
      <c r="Z998" s="7"/>
    </row>
    <row r="999" spans="1:26" ht="13" x14ac:dyDescent="0.6">
      <c r="A999" s="28" t="str">
        <f t="shared" si="9"/>
        <v/>
      </c>
      <c r="B999" s="7"/>
      <c r="C999" s="7"/>
      <c r="D999" s="9"/>
      <c r="E999" s="9"/>
      <c r="F999" s="7"/>
      <c r="G999" s="7"/>
      <c r="H999" s="7"/>
      <c r="I999" s="7"/>
      <c r="J999" s="7"/>
      <c r="K999" s="7"/>
      <c r="L999" s="7"/>
      <c r="M999" s="7"/>
      <c r="N999" s="7"/>
      <c r="O999" s="7"/>
      <c r="P999" s="29"/>
      <c r="Q999" s="29"/>
      <c r="R999" s="7"/>
      <c r="S999" s="7"/>
      <c r="T999" s="7" t="str">
        <f ca="1">IFERROR(__xludf.DUMMYFUNCTION("SPARKLINE({
IF(D999="""",0,D999),
IF(F999="""",0,F999),
IF(H999="""",0,H999),
IF(J999="""",0,J999),
IF(L999="""",0,L999),
IF(N999="""",0,N999),
IF(P999="""",0,P999)
})"),"")</f>
        <v/>
      </c>
      <c r="U999" s="7" t="str">
        <f ca="1">IFERROR(__xludf.DUMMYFUNCTION("SPARKLINE({
IF(E999="""",0,E999),
IF(G999="""",0,G999),
IF(I999="""",0,I999),
IF(K999="""",0,K999),
IF(M999="""",0,M999),
IF(O999="""",0,O999),
IF(Q999="""",0,Q999)
})"),"")</f>
        <v/>
      </c>
      <c r="V999" s="8" t="e">
        <f t="array" aca="1" ref="V999" ca="1">IF($C$4="Giao",_xludf.Xlookup(C999,#REF!,#REF!,),_xludf.Xlookup(C999,#REF!,#REF!,))</f>
        <v>#NAME?</v>
      </c>
      <c r="W999" s="8" t="e">
        <f t="array" aca="1" ref="W999" ca="1">IF($C$4="Giao", _xludf.Xlookup(C999,#REF!,#REF!,),)</f>
        <v>#NAME?</v>
      </c>
      <c r="X999" s="9" t="e">
        <f t="shared" ca="1" si="10"/>
        <v>#NAME?</v>
      </c>
      <c r="Y999" s="7"/>
      <c r="Z999" s="7"/>
    </row>
    <row r="1000" spans="1:26" ht="13" x14ac:dyDescent="0.6">
      <c r="A1000" s="28" t="str">
        <f t="shared" si="9"/>
        <v/>
      </c>
      <c r="B1000" s="7"/>
      <c r="C1000" s="7"/>
      <c r="D1000" s="9"/>
      <c r="E1000" s="9"/>
      <c r="F1000" s="7"/>
      <c r="G1000" s="7"/>
      <c r="H1000" s="7"/>
      <c r="I1000" s="7"/>
      <c r="J1000" s="7"/>
      <c r="K1000" s="7"/>
      <c r="L1000" s="7"/>
      <c r="M1000" s="7"/>
      <c r="N1000" s="7"/>
      <c r="O1000" s="7"/>
      <c r="P1000" s="29"/>
      <c r="Q1000" s="29"/>
      <c r="R1000" s="7"/>
      <c r="S1000" s="7"/>
      <c r="T1000" s="7" t="str">
        <f ca="1">IFERROR(__xludf.DUMMYFUNCTION("SPARKLINE({
IF(D1000="""",0,D1000),
IF(F1000="""",0,F1000),
IF(H1000="""",0,H1000),
IF(J1000="""",0,J1000),
IF(L1000="""",0,L1000),
IF(N1000="""",0,N1000),
IF(P1000="""",0,P1000)
})"),"")</f>
        <v/>
      </c>
      <c r="U1000" s="7" t="str">
        <f ca="1">IFERROR(__xludf.DUMMYFUNCTION("SPARKLINE({
IF(E1000="""",0,E1000),
IF(G1000="""",0,G1000),
IF(I1000="""",0,I1000),
IF(K1000="""",0,K1000),
IF(M1000="""",0,M1000),
IF(O1000="""",0,O1000),
IF(Q1000="""",0,Q1000)
})"),"")</f>
        <v/>
      </c>
      <c r="V1000" s="8" t="e">
        <f t="array" aca="1" ref="V1000" ca="1">IF($C$4="Giao",_xludf.Xlookup(C1000,#REF!,#REF!,),_xludf.Xlookup(C1000,#REF!,#REF!,))</f>
        <v>#NAME?</v>
      </c>
      <c r="W1000" s="8" t="e">
        <f t="array" aca="1" ref="W1000" ca="1">IF($C$4="Giao", _xludf.Xlookup(C1000,#REF!,#REF!,),)</f>
        <v>#NAME?</v>
      </c>
      <c r="X1000" s="9" t="e">
        <f t="shared" ca="1" si="10"/>
        <v>#NAME?</v>
      </c>
      <c r="Y1000" s="7"/>
      <c r="Z1000" s="7"/>
    </row>
    <row r="1001" spans="1:26" ht="13" x14ac:dyDescent="0.6">
      <c r="A1001" s="28" t="str">
        <f t="shared" si="9"/>
        <v/>
      </c>
      <c r="B1001" s="7"/>
      <c r="C1001" s="7"/>
      <c r="D1001" s="9"/>
      <c r="E1001" s="9"/>
      <c r="F1001" s="7"/>
      <c r="G1001" s="7"/>
      <c r="H1001" s="7"/>
      <c r="I1001" s="7"/>
      <c r="J1001" s="7"/>
      <c r="K1001" s="7"/>
      <c r="L1001" s="7"/>
      <c r="M1001" s="7"/>
      <c r="N1001" s="7"/>
      <c r="O1001" s="7"/>
      <c r="P1001" s="29"/>
      <c r="Q1001" s="29"/>
      <c r="R1001" s="7"/>
      <c r="S1001" s="7"/>
      <c r="T1001" s="7" t="str">
        <f ca="1">IFERROR(__xludf.DUMMYFUNCTION("SPARKLINE({
IF(D1001="""",0,D1001),
IF(F1001="""",0,F1001),
IF(H1001="""",0,H1001),
IF(J1001="""",0,J1001),
IF(L1001="""",0,L1001),
IF(N1001="""",0,N1001),
IF(P1001="""",0,P1001)
})"),"")</f>
        <v/>
      </c>
      <c r="U1001" s="7" t="str">
        <f ca="1">IFERROR(__xludf.DUMMYFUNCTION("SPARKLINE({
IF(E1001="""",0,E1001),
IF(G1001="""",0,G1001),
IF(I1001="""",0,I1001),
IF(K1001="""",0,K1001),
IF(M1001="""",0,M1001),
IF(O1001="""",0,O1001),
IF(Q1001="""",0,Q1001)
})"),"")</f>
        <v/>
      </c>
      <c r="V1001" s="8" t="e">
        <f t="array" aca="1" ref="V1001" ca="1">IF($C$4="Giao",_xludf.Xlookup(C1001,#REF!,#REF!,),_xludf.Xlookup(C1001,#REF!,#REF!,))</f>
        <v>#NAME?</v>
      </c>
      <c r="W1001" s="8" t="e">
        <f t="array" aca="1" ref="W1001" ca="1">IF($C$4="Giao", _xludf.Xlookup(C1001,#REF!,#REF!,),)</f>
        <v>#NAME?</v>
      </c>
      <c r="X1001" s="9" t="e">
        <f t="shared" ca="1" si="10"/>
        <v>#NAME?</v>
      </c>
      <c r="Y1001" s="7"/>
      <c r="Z1001" s="7"/>
    </row>
    <row r="1002" spans="1:26" ht="13" x14ac:dyDescent="0.6">
      <c r="A1002" s="28" t="str">
        <f t="shared" si="9"/>
        <v/>
      </c>
      <c r="B1002" s="7"/>
      <c r="C1002" s="7"/>
      <c r="D1002" s="9"/>
      <c r="E1002" s="9"/>
      <c r="F1002" s="7"/>
      <c r="G1002" s="7"/>
      <c r="H1002" s="7"/>
      <c r="I1002" s="7"/>
      <c r="J1002" s="7"/>
      <c r="K1002" s="7"/>
      <c r="L1002" s="7"/>
      <c r="M1002" s="7"/>
      <c r="N1002" s="7"/>
      <c r="O1002" s="7"/>
      <c r="P1002" s="29"/>
      <c r="Q1002" s="29"/>
      <c r="R1002" s="7"/>
      <c r="S1002" s="7"/>
      <c r="T1002" s="7" t="str">
        <f ca="1">IFERROR(__xludf.DUMMYFUNCTION("SPARKLINE({
IF(D1002="""",0,D1002),
IF(F1002="""",0,F1002),
IF(H1002="""",0,H1002),
IF(J1002="""",0,J1002),
IF(L1002="""",0,L1002),
IF(N1002="""",0,N1002),
IF(P1002="""",0,P1002)
})"),"")</f>
        <v/>
      </c>
      <c r="U1002" s="7" t="str">
        <f ca="1">IFERROR(__xludf.DUMMYFUNCTION("SPARKLINE({
IF(E1002="""",0,E1002),
IF(G1002="""",0,G1002),
IF(I1002="""",0,I1002),
IF(K1002="""",0,K1002),
IF(M1002="""",0,M1002),
IF(O1002="""",0,O1002),
IF(Q1002="""",0,Q1002)
})"),"")</f>
        <v/>
      </c>
      <c r="V1002" s="8" t="e">
        <f t="array" aca="1" ref="V1002" ca="1">IF($C$4="Giao",_xludf.Xlookup(C1002,#REF!,#REF!,),_xludf.Xlookup(C1002,#REF!,#REF!,))</f>
        <v>#NAME?</v>
      </c>
      <c r="W1002" s="8" t="e">
        <f t="array" aca="1" ref="W1002" ca="1">IF($C$4="Giao", _xludf.Xlookup(C1002,#REF!,#REF!,),)</f>
        <v>#NAME?</v>
      </c>
      <c r="X1002" s="9" t="e">
        <f t="shared" ca="1" si="10"/>
        <v>#NAME?</v>
      </c>
      <c r="Y1002" s="7"/>
      <c r="Z1002" s="7"/>
    </row>
    <row r="1003" spans="1:26" ht="13" x14ac:dyDescent="0.6">
      <c r="A1003" s="28" t="str">
        <f t="shared" si="9"/>
        <v/>
      </c>
      <c r="B1003" s="7"/>
      <c r="C1003" s="7"/>
      <c r="D1003" s="7"/>
      <c r="E1003" s="7"/>
      <c r="F1003" s="7"/>
      <c r="G1003" s="7"/>
      <c r="H1003" s="7"/>
      <c r="I1003" s="7"/>
      <c r="J1003" s="7"/>
      <c r="K1003" s="7"/>
      <c r="L1003" s="7"/>
      <c r="M1003" s="7"/>
      <c r="N1003" s="7"/>
      <c r="O1003" s="7"/>
      <c r="P1003" s="29"/>
      <c r="Q1003" s="29"/>
      <c r="R1003" s="7"/>
      <c r="S1003" s="7"/>
      <c r="T1003" s="7" t="str">
        <f ca="1">IFERROR(__xludf.DUMMYFUNCTION("SPARKLINE({
IF(D1003="""",0,D1003),
IF(F1003="""",0,F1003),
IF(H1003="""",0,H1003),
IF(J1003="""",0,J1003),
IF(L1003="""",0,L1003),
IF(N1003="""",0,N1003),
IF(P1003="""",0,P1003)
})"),"")</f>
        <v/>
      </c>
      <c r="U1003" s="7" t="str">
        <f ca="1">IFERROR(__xludf.DUMMYFUNCTION("SPARKLINE({
IF(E1003="""",0,E1003),
IF(G1003="""",0,G1003),
IF(I1003="""",0,I1003),
IF(K1003="""",0,K1003),
IF(M1003="""",0,M1003),
IF(O1003="""",0,O1003),
IF(Q1003="""",0,Q1003)
})"),"")</f>
        <v/>
      </c>
      <c r="V1003" s="8" t="e">
        <f t="array" aca="1" ref="V1003" ca="1">IF($C$4="Giao",_xludf.Xlookup(C1003,#REF!,#REF!,),_xludf.Xlookup(C1003,#REF!,#REF!,))</f>
        <v>#NAME?</v>
      </c>
      <c r="W1003" s="8" t="e">
        <f t="array" aca="1" ref="W1003" ca="1">IF($C$4="Giao", _xludf.Xlookup(C1003,#REF!,#REF!,),)</f>
        <v>#NAME?</v>
      </c>
      <c r="X1003" s="9" t="e">
        <f t="shared" ca="1" si="10"/>
        <v>#NAME?</v>
      </c>
      <c r="Y1003" s="7"/>
      <c r="Z1003" s="7"/>
    </row>
  </sheetData>
  <autoFilter ref="A7:Z1003" xr:uid="{00000000-0009-0000-0000-000002000000}"/>
  <mergeCells count="13">
    <mergeCell ref="T6:U6"/>
    <mergeCell ref="A1:B1"/>
    <mergeCell ref="A2:B2"/>
    <mergeCell ref="A3:B3"/>
    <mergeCell ref="A4:B4"/>
    <mergeCell ref="D6:E6"/>
    <mergeCell ref="F6:G6"/>
    <mergeCell ref="H6:I6"/>
    <mergeCell ref="J6:K6"/>
    <mergeCell ref="L6:M6"/>
    <mergeCell ref="N6:O6"/>
    <mergeCell ref="P6:Q6"/>
    <mergeCell ref="R6:S6"/>
  </mergeCells>
  <conditionalFormatting sqref="P8:P1003">
    <cfRule type="expression" dxfId="5" priority="1">
      <formula>P8&gt;N8*1.3</formula>
    </cfRule>
  </conditionalFormatting>
  <conditionalFormatting sqref="Q8:Q1003">
    <cfRule type="expression" dxfId="4" priority="2">
      <formula>Q8&gt;O8*1.5</formula>
    </cfRule>
  </conditionalFormatting>
  <dataValidations count="4">
    <dataValidation type="list" allowBlank="1" showErrorMessage="1" sqref="C1" xr:uid="{00000000-0002-0000-0200-000000000000}">
      <formula1>"Hồ Chí Minh,Bình Dương,Bà Rịa - Vũng Tàu"</formula1>
    </dataValidation>
    <dataValidation type="list" allowBlank="1" showErrorMessage="1" sqref="C3" xr:uid="{00000000-0002-0000-0200-000001000000}">
      <formula1>"Tất cả,TTS,Shopee,SME"</formula1>
    </dataValidation>
    <dataValidation type="list" allowBlank="1" showErrorMessage="1" sqref="C2" xr:uid="{00000000-0002-0000-0200-000002000000}">
      <formula1>"Quận 1,Quận 2,Quận 3,Quận 4,Quận 5,Quận 6,Quận 7,Quận 8,Quận 9,Quận 10,Quận 11,Quận 12,Quận Bình Tân,Quận Bình Thạnh,Quận Gò Vấp,Quận Phú Nhuận,Quận Tân Bình,Quận Thủ Đức,Quận Tân Phú,Thành phố Bà Rịa,Thành phố Dĩ An,Thành phố Tân Uyên,Thành phố Thủ Dầu M"&amp;"ột,Thành Phố Thủ Đức,Thành phố Thuận An,Thành phố Vũng Tàu,Thị xã Bến Cát,Thị Xã Phú Mỹ,Huyện Bắc Tân Uyên,Huyện Bàu Bàng,Huyện Bình Chánh,Huyện Cần Giờ,Huyện Châu Đức,Huyện Củ Chi,Huyện đảo Côn Đảo,Huyện Đất Đỏ,Huyện Dầu Tiếng,Huyện Hóc Môn,Huyện Long Đấ"&amp;"t,Huyện Long Điền,Huyện Nhà Bè,Huyện Phú Giáo,Huyện Xuyên Mộc"</formula1>
    </dataValidation>
    <dataValidation type="list" allowBlank="1" showErrorMessage="1" sqref="C4" xr:uid="{00000000-0002-0000-0200-000003000000}">
      <formula1>"Lấy,Giao"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06666"/>
    <outlinePr summaryBelow="0" summaryRight="0"/>
  </sheetPr>
  <dimension ref="A1:Z1003"/>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12.6328125" defaultRowHeight="15.75" customHeight="1" x14ac:dyDescent="0.6"/>
  <cols>
    <col min="1" max="1" width="4.1328125" customWidth="1"/>
    <col min="2" max="2" width="19" customWidth="1"/>
    <col min="3" max="3" width="47.86328125" customWidth="1"/>
    <col min="18" max="19" width="12.6328125" hidden="1"/>
    <col min="22" max="22" width="12.7265625" customWidth="1"/>
    <col min="23" max="23" width="12" customWidth="1"/>
    <col min="24" max="24" width="11.7265625" customWidth="1"/>
  </cols>
  <sheetData>
    <row r="1" spans="1:26" ht="26.25" customHeight="1" x14ac:dyDescent="0.6">
      <c r="A1" s="104" t="s">
        <v>0</v>
      </c>
      <c r="B1" s="105"/>
      <c r="C1" s="6"/>
      <c r="D1" s="7"/>
      <c r="E1" s="7"/>
      <c r="F1" s="7"/>
      <c r="G1" s="7"/>
      <c r="H1" s="7"/>
      <c r="I1" s="7"/>
      <c r="J1" s="7"/>
      <c r="K1" s="7"/>
      <c r="L1" s="7"/>
      <c r="M1" s="7"/>
      <c r="N1" s="7"/>
      <c r="O1" s="7"/>
      <c r="P1" s="7"/>
      <c r="Q1" s="7"/>
      <c r="R1" s="7"/>
      <c r="S1" s="7"/>
      <c r="T1" s="7"/>
      <c r="U1" s="7"/>
      <c r="V1" s="8"/>
      <c r="W1" s="8"/>
      <c r="X1" s="9"/>
      <c r="Y1" s="7"/>
      <c r="Z1" s="7"/>
    </row>
    <row r="2" spans="1:26" ht="13" x14ac:dyDescent="0.6">
      <c r="A2" s="106" t="s">
        <v>1</v>
      </c>
      <c r="B2" s="105"/>
      <c r="C2" s="10"/>
      <c r="D2" s="11"/>
      <c r="E2" s="11"/>
      <c r="F2" s="11"/>
      <c r="G2" s="11"/>
      <c r="H2" s="11"/>
      <c r="I2" s="11"/>
      <c r="J2" s="11"/>
      <c r="K2" s="11"/>
      <c r="L2" s="11"/>
      <c r="M2" s="11"/>
      <c r="N2" s="11"/>
      <c r="O2" s="11"/>
      <c r="P2" s="11"/>
      <c r="Q2" s="11"/>
      <c r="R2" s="11"/>
      <c r="S2" s="11"/>
      <c r="T2" s="11"/>
      <c r="U2" s="11"/>
      <c r="V2" s="12"/>
      <c r="W2" s="12"/>
      <c r="X2" s="13"/>
      <c r="Y2" s="11"/>
      <c r="Z2" s="11"/>
    </row>
    <row r="3" spans="1:26" ht="13" x14ac:dyDescent="0.6">
      <c r="A3" s="106" t="s">
        <v>2</v>
      </c>
      <c r="B3" s="105"/>
      <c r="C3" s="10" t="s">
        <v>3</v>
      </c>
      <c r="D3" s="14"/>
      <c r="E3" s="14"/>
      <c r="F3" s="14"/>
      <c r="G3" s="14"/>
      <c r="H3" s="14"/>
      <c r="I3" s="14"/>
      <c r="J3" s="14"/>
      <c r="K3" s="14"/>
      <c r="L3" s="14"/>
      <c r="M3" s="14"/>
      <c r="N3" s="14"/>
      <c r="O3" s="14"/>
      <c r="P3" s="14"/>
      <c r="Q3" s="14"/>
      <c r="R3" s="15"/>
      <c r="S3" s="15"/>
      <c r="T3" s="11"/>
      <c r="U3" s="11"/>
      <c r="V3" s="12"/>
      <c r="W3" s="12"/>
      <c r="X3" s="13"/>
      <c r="Y3" s="11"/>
      <c r="Z3" s="11"/>
    </row>
    <row r="4" spans="1:26" ht="13" x14ac:dyDescent="0.6">
      <c r="A4" s="106" t="s">
        <v>4</v>
      </c>
      <c r="B4" s="105"/>
      <c r="C4" s="10" t="s">
        <v>137</v>
      </c>
      <c r="D4" s="14"/>
      <c r="E4" s="14"/>
      <c r="F4" s="14"/>
      <c r="G4" s="14"/>
      <c r="H4" s="14"/>
      <c r="I4" s="14"/>
      <c r="J4" s="14"/>
      <c r="K4" s="14"/>
      <c r="L4" s="14"/>
      <c r="M4" s="14"/>
      <c r="N4" s="14"/>
      <c r="O4" s="14"/>
      <c r="P4" s="14"/>
      <c r="Q4" s="14"/>
      <c r="R4" s="15"/>
      <c r="S4" s="15"/>
      <c r="T4" s="11"/>
      <c r="U4" s="11"/>
      <c r="V4" s="12"/>
      <c r="W4" s="12"/>
      <c r="X4" s="13"/>
      <c r="Y4" s="11"/>
      <c r="Z4" s="11"/>
    </row>
    <row r="5" spans="1:26" ht="13" x14ac:dyDescent="0.6">
      <c r="A5" s="11"/>
      <c r="B5" s="11"/>
      <c r="C5" s="11"/>
      <c r="D5" s="16">
        <f t="shared" ref="D5:Q5" ca="1" si="0">SUBTOTAL(9,D8:D1003)</f>
        <v>193262</v>
      </c>
      <c r="E5" s="16">
        <f t="shared" ca="1" si="0"/>
        <v>587916</v>
      </c>
      <c r="F5" s="16">
        <f t="shared" ca="1" si="0"/>
        <v>170191</v>
      </c>
      <c r="G5" s="16">
        <f t="shared" ca="1" si="0"/>
        <v>543058</v>
      </c>
      <c r="H5" s="16">
        <f t="shared" ca="1" si="0"/>
        <v>178241</v>
      </c>
      <c r="I5" s="16">
        <f t="shared" ca="1" si="0"/>
        <v>557016</v>
      </c>
      <c r="J5" s="16">
        <f t="shared" ca="1" si="0"/>
        <v>199886</v>
      </c>
      <c r="K5" s="16">
        <f t="shared" ca="1" si="0"/>
        <v>799739</v>
      </c>
      <c r="L5" s="16">
        <f t="shared" ca="1" si="0"/>
        <v>90897</v>
      </c>
      <c r="M5" s="16">
        <f t="shared" ca="1" si="0"/>
        <v>292336</v>
      </c>
      <c r="N5" s="16">
        <f t="shared" ca="1" si="0"/>
        <v>220676</v>
      </c>
      <c r="O5" s="16">
        <f t="shared" ca="1" si="0"/>
        <v>618204</v>
      </c>
      <c r="P5" s="16">
        <f t="shared" ca="1" si="0"/>
        <v>194087</v>
      </c>
      <c r="Q5" s="16">
        <f t="shared" ca="1" si="0"/>
        <v>563232</v>
      </c>
      <c r="R5" s="15"/>
      <c r="S5" s="15"/>
      <c r="T5" s="15"/>
      <c r="U5" s="15"/>
      <c r="V5" s="17"/>
      <c r="W5" s="12"/>
      <c r="X5" s="13"/>
      <c r="Y5" s="11"/>
      <c r="Z5" s="11"/>
    </row>
    <row r="6" spans="1:26" ht="13" x14ac:dyDescent="0.6">
      <c r="A6" s="7"/>
      <c r="B6" s="7"/>
      <c r="C6" s="7"/>
      <c r="D6" s="107" t="e">
        <f>#REF!</f>
        <v>#REF!</v>
      </c>
      <c r="E6" s="103"/>
      <c r="F6" s="107" t="e">
        <f>#REF!</f>
        <v>#REF!</v>
      </c>
      <c r="G6" s="103"/>
      <c r="H6" s="107" t="e">
        <f>#REF!</f>
        <v>#REF!</v>
      </c>
      <c r="I6" s="103"/>
      <c r="J6" s="107" t="e">
        <f>#REF!</f>
        <v>#REF!</v>
      </c>
      <c r="K6" s="103"/>
      <c r="L6" s="107" t="e">
        <f>#REF!</f>
        <v>#REF!</v>
      </c>
      <c r="M6" s="103"/>
      <c r="N6" s="107" t="e">
        <f>#REF!</f>
        <v>#REF!</v>
      </c>
      <c r="O6" s="103"/>
      <c r="P6" s="107" t="e">
        <f>#REF!</f>
        <v>#REF!</v>
      </c>
      <c r="Q6" s="103"/>
      <c r="R6" s="102" t="s">
        <v>6</v>
      </c>
      <c r="S6" s="103"/>
      <c r="T6" s="102" t="s">
        <v>6</v>
      </c>
      <c r="U6" s="103"/>
      <c r="V6" s="18" t="s">
        <v>7</v>
      </c>
      <c r="W6" s="8"/>
      <c r="X6" s="9"/>
      <c r="Y6" s="7"/>
      <c r="Z6" s="7"/>
    </row>
    <row r="7" spans="1:26" ht="42" customHeight="1" x14ac:dyDescent="0.6">
      <c r="A7" s="19" t="s">
        <v>8</v>
      </c>
      <c r="B7" s="19" t="s">
        <v>1</v>
      </c>
      <c r="C7" s="20" t="s">
        <v>9</v>
      </c>
      <c r="D7" s="21" t="s">
        <v>10</v>
      </c>
      <c r="E7" s="21" t="s">
        <v>11</v>
      </c>
      <c r="F7" s="21" t="s">
        <v>10</v>
      </c>
      <c r="G7" s="21" t="s">
        <v>11</v>
      </c>
      <c r="H7" s="21" t="s">
        <v>10</v>
      </c>
      <c r="I7" s="21" t="s">
        <v>11</v>
      </c>
      <c r="J7" s="21" t="s">
        <v>10</v>
      </c>
      <c r="K7" s="21" t="s">
        <v>11</v>
      </c>
      <c r="L7" s="21" t="s">
        <v>10</v>
      </c>
      <c r="M7" s="21" t="s">
        <v>11</v>
      </c>
      <c r="N7" s="21" t="s">
        <v>10</v>
      </c>
      <c r="O7" s="21" t="s">
        <v>11</v>
      </c>
      <c r="P7" s="22" t="s">
        <v>10</v>
      </c>
      <c r="Q7" s="23" t="s">
        <v>11</v>
      </c>
      <c r="R7" s="24" t="s">
        <v>10</v>
      </c>
      <c r="S7" s="25" t="s">
        <v>11</v>
      </c>
      <c r="T7" s="24" t="s">
        <v>10</v>
      </c>
      <c r="U7" s="25" t="s">
        <v>11</v>
      </c>
      <c r="V7" s="26" t="s">
        <v>12</v>
      </c>
      <c r="W7" s="26" t="s">
        <v>13</v>
      </c>
      <c r="X7" s="27" t="s">
        <v>14</v>
      </c>
      <c r="Y7" s="27"/>
      <c r="Z7" s="27" t="s">
        <v>15</v>
      </c>
    </row>
    <row r="8" spans="1:26" ht="13" x14ac:dyDescent="0.6">
      <c r="A8" s="28">
        <f t="shared" ref="A8:A262" ca="1" si="1">IF(B8="","",COUNTA($B$8:B8))</f>
        <v>1</v>
      </c>
      <c r="B8" s="7" t="str">
        <f ca="1">IFERROR(__xludf.DUMMYFUNCTION("QUERY(
  IF(C3=""Tất cả"",
     IF(C4=""Giao"",'Tất cả'!B5:S1003,'Tất cả-Lấy'!B5:S1003),
  IF(C3=""Shopee"",
     IF(C4=""Giao"",Shopee!B5:S1003,'Shopee-Lấy'!B5:S1003),
  IF(C3=""TTS"",
     IF(C4=""Giao"",TTS!B5:S1003,'TTS-Lấy'!B5:S1003),
  IF(C3=""SME"""&amp;",
     IF(C4=""Giao"",SME!B5:S1003,'SME-Lấy'!B5:S1003),
  )))),
    ""select * where 1=1 "" &amp;
  IF(C1="""",
     """",
     ""and Col17 = '""&amp;C1&amp;""' ""
  ) &amp;
  IF(C2="""",
     """",
     ""and Col18 = '""&amp;C2&amp;""'""
  ),
  0
)"),"Huyện Bắc Tân Uyên")</f>
        <v>Huyện Bắc Tân Uyên</v>
      </c>
      <c r="C8" s="7" t="str">
        <f ca="1">IFERROR(__xludf.DUMMYFUNCTION("""COMPUTED_VALUE"""),"Bưu Cục Khu Phố 4-Bắc Tân Uyên-Bình Dương")</f>
        <v>Bưu Cục Khu Phố 4-Bắc Tân Uyên-Bình Dương</v>
      </c>
      <c r="D8" s="9">
        <f ca="1">IFERROR(__xludf.DUMMYFUNCTION("""COMPUTED_VALUE"""),81)</f>
        <v>81</v>
      </c>
      <c r="E8" s="9">
        <f ca="1">IFERROR(__xludf.DUMMYFUNCTION("""COMPUTED_VALUE"""),175)</f>
        <v>175</v>
      </c>
      <c r="F8" s="9">
        <f ca="1">IFERROR(__xludf.DUMMYFUNCTION("""COMPUTED_VALUE"""),64)</f>
        <v>64</v>
      </c>
      <c r="G8" s="9">
        <f ca="1">IFERROR(__xludf.DUMMYFUNCTION("""COMPUTED_VALUE"""),222)</f>
        <v>222</v>
      </c>
      <c r="H8" s="9">
        <f ca="1">IFERROR(__xludf.DUMMYFUNCTION("""COMPUTED_VALUE"""),97)</f>
        <v>97</v>
      </c>
      <c r="I8" s="9">
        <f ca="1">IFERROR(__xludf.DUMMYFUNCTION("""COMPUTED_VALUE"""),222)</f>
        <v>222</v>
      </c>
      <c r="J8" s="9">
        <f ca="1">IFERROR(__xludf.DUMMYFUNCTION("""COMPUTED_VALUE"""),86)</f>
        <v>86</v>
      </c>
      <c r="K8" s="9">
        <f ca="1">IFERROR(__xludf.DUMMYFUNCTION("""COMPUTED_VALUE"""),187)</f>
        <v>187</v>
      </c>
      <c r="L8" s="9">
        <f ca="1">IFERROR(__xludf.DUMMYFUNCTION("""COMPUTED_VALUE"""),34)</f>
        <v>34</v>
      </c>
      <c r="M8" s="9">
        <f ca="1">IFERROR(__xludf.DUMMYFUNCTION("""COMPUTED_VALUE"""),74)</f>
        <v>74</v>
      </c>
      <c r="N8" s="9">
        <f ca="1">IFERROR(__xludf.DUMMYFUNCTION("""COMPUTED_VALUE"""),44)</f>
        <v>44</v>
      </c>
      <c r="O8" s="9">
        <f ca="1">IFERROR(__xludf.DUMMYFUNCTION("""COMPUTED_VALUE"""),86)</f>
        <v>86</v>
      </c>
      <c r="P8" s="29">
        <f ca="1">IFERROR(__xludf.DUMMYFUNCTION("""COMPUTED_VALUE"""),64)</f>
        <v>64</v>
      </c>
      <c r="Q8" s="29">
        <f ca="1">IFERROR(__xludf.DUMMYFUNCTION("""COMPUTED_VALUE"""),93)</f>
        <v>93</v>
      </c>
      <c r="R8" s="7" t="str">
        <f ca="1">IFERROR(__xludf.DUMMYFUNCTION("""COMPUTED_VALUE"""),"Bình Dương")</f>
        <v>Bình Dương</v>
      </c>
      <c r="S8" s="7" t="str">
        <f ca="1">IFERROR(__xludf.DUMMYFUNCTION("""COMPUTED_VALUE"""),"Huyện Bắc Tân Uyên")</f>
        <v>Huyện Bắc Tân Uyên</v>
      </c>
      <c r="T8" s="7" t="str">
        <f ca="1">IFERROR(__xludf.DUMMYFUNCTION("SPARKLINE({
IF(D8="""",0,D8),
IF(F8="""",0,F8),
IF(H8="""",0,H8),
IF(J8="""",0,J8),
IF(L8="""",0,L8),
IF(N8="""",0,N8),
IF(P8="""",0,P8)
})"),"")</f>
        <v/>
      </c>
      <c r="U8" s="7" t="str">
        <f ca="1">IFERROR(__xludf.DUMMYFUNCTION("SPARKLINE({
IF(E8="""",0,E8),
IF(G8="""",0,G8),
IF(I8="""",0,I8),
IF(K8="""",0,K8),
IF(M8="""",0,M8),
IF(O8="""",0,O8),
IF(Q8="""",0,Q8)
})"),"")</f>
        <v/>
      </c>
      <c r="V8" s="30" t="e">
        <f t="array" aca="1" ref="V8" ca="1">IF($C$4="Giao",_xludf.Xlookup(C8,#REF!,#REF!,),_xludf.Xlookup(C8,#REF!,#REF!,))</f>
        <v>#NAME?</v>
      </c>
      <c r="W8" s="30" t="e">
        <f t="array" aca="1" ref="W8" ca="1">IF($C$4="Giao", _xludf.Xlookup(C8,#REF!,#REF!,),_xludf.Xlookup(C8,#REF!,#REF!,))</f>
        <v>#NAME?</v>
      </c>
      <c r="X8" s="9" t="e">
        <f t="shared" ref="X8:X262" ca="1" si="2">W8*1.08</f>
        <v>#NAME?</v>
      </c>
      <c r="Y8" s="7"/>
      <c r="Z8" s="7"/>
    </row>
    <row r="9" spans="1:26" ht="13" x14ac:dyDescent="0.6">
      <c r="A9" s="28">
        <f t="shared" ca="1" si="1"/>
        <v>2</v>
      </c>
      <c r="B9" s="7" t="str">
        <f ca="1">IFERROR(__xludf.DUMMYFUNCTION("""COMPUTED_VALUE"""),"Huyện Bàu Bàng")</f>
        <v>Huyện Bàu Bàng</v>
      </c>
      <c r="C9" s="7" t="str">
        <f ca="1">IFERROR(__xludf.DUMMYFUNCTION("""COMPUTED_VALUE"""),"Bưu Cục Bàu Bàng-Bình Dương")</f>
        <v>Bưu Cục Bàu Bàng-Bình Dương</v>
      </c>
      <c r="D9" s="9">
        <f ca="1">IFERROR(__xludf.DUMMYFUNCTION("""COMPUTED_VALUE"""),341)</f>
        <v>341</v>
      </c>
      <c r="E9" s="9">
        <f ca="1">IFERROR(__xludf.DUMMYFUNCTION("""COMPUTED_VALUE"""),646)</f>
        <v>646</v>
      </c>
      <c r="F9" s="9">
        <f ca="1">IFERROR(__xludf.DUMMYFUNCTION("""COMPUTED_VALUE"""),363)</f>
        <v>363</v>
      </c>
      <c r="G9" s="9">
        <f ca="1">IFERROR(__xludf.DUMMYFUNCTION("""COMPUTED_VALUE"""),492)</f>
        <v>492</v>
      </c>
      <c r="H9" s="9">
        <f ca="1">IFERROR(__xludf.DUMMYFUNCTION("""COMPUTED_VALUE"""),276)</f>
        <v>276</v>
      </c>
      <c r="I9" s="9">
        <f ca="1">IFERROR(__xludf.DUMMYFUNCTION("""COMPUTED_VALUE"""),277)</f>
        <v>277</v>
      </c>
      <c r="J9" s="9">
        <f ca="1">IFERROR(__xludf.DUMMYFUNCTION("""COMPUTED_VALUE"""),291)</f>
        <v>291</v>
      </c>
      <c r="K9" s="9">
        <f ca="1">IFERROR(__xludf.DUMMYFUNCTION("""COMPUTED_VALUE"""),374)</f>
        <v>374</v>
      </c>
      <c r="L9" s="9">
        <f ca="1">IFERROR(__xludf.DUMMYFUNCTION("""COMPUTED_VALUE"""),122)</f>
        <v>122</v>
      </c>
      <c r="M9" s="9">
        <f ca="1">IFERROR(__xludf.DUMMYFUNCTION("""COMPUTED_VALUE"""),207)</f>
        <v>207</v>
      </c>
      <c r="N9" s="9">
        <f ca="1">IFERROR(__xludf.DUMMYFUNCTION("""COMPUTED_VALUE"""),432)</f>
        <v>432</v>
      </c>
      <c r="O9" s="9">
        <f ca="1">IFERROR(__xludf.DUMMYFUNCTION("""COMPUTED_VALUE"""),612)</f>
        <v>612</v>
      </c>
      <c r="P9" s="29">
        <f ca="1">IFERROR(__xludf.DUMMYFUNCTION("""COMPUTED_VALUE"""),255)</f>
        <v>255</v>
      </c>
      <c r="Q9" s="29">
        <f ca="1">IFERROR(__xludf.DUMMYFUNCTION("""COMPUTED_VALUE"""),392)</f>
        <v>392</v>
      </c>
      <c r="R9" s="7" t="str">
        <f ca="1">IFERROR(__xludf.DUMMYFUNCTION("""COMPUTED_VALUE"""),"Bình Dương")</f>
        <v>Bình Dương</v>
      </c>
      <c r="S9" s="7" t="str">
        <f ca="1">IFERROR(__xludf.DUMMYFUNCTION("""COMPUTED_VALUE"""),"Huyện Bàu Bàng")</f>
        <v>Huyện Bàu Bàng</v>
      </c>
      <c r="T9" s="7" t="str">
        <f ca="1">IFERROR(__xludf.DUMMYFUNCTION("SPARKLINE({
IF(D9="""",0,D9),
IF(F9="""",0,F9),
IF(H9="""",0,H9),
IF(J9="""",0,J9),
IF(L9="""",0,L9),
IF(N9="""",0,N9),
IF(P9="""",0,P9)
})"),"")</f>
        <v/>
      </c>
      <c r="U9" s="7" t="str">
        <f ca="1">IFERROR(__xludf.DUMMYFUNCTION("SPARKLINE({
IF(E9="""",0,E9),
IF(G9="""",0,G9),
IF(I9="""",0,I9),
IF(K9="""",0,K9),
IF(M9="""",0,M9),
IF(O9="""",0,O9),
IF(Q9="""",0,Q9)
})"),"")</f>
        <v/>
      </c>
      <c r="V9" s="30" t="e">
        <f t="array" aca="1" ref="V9" ca="1">IF($C$4="Giao",_xludf.Xlookup(C9,#REF!,#REF!,),_xludf.Xlookup(C9,#REF!,#REF!,))</f>
        <v>#NAME?</v>
      </c>
      <c r="W9" s="30" t="e">
        <f t="array" aca="1" ref="W9" ca="1">IF($C$4="Giao", _xludf.Xlookup(C9,#REF!,#REF!,),_xludf.Xlookup(C9,#REF!,#REF!,))</f>
        <v>#NAME?</v>
      </c>
      <c r="X9" s="9" t="e">
        <f t="shared" ca="1" si="2"/>
        <v>#NAME?</v>
      </c>
      <c r="Y9" s="7"/>
      <c r="Z9" s="7"/>
    </row>
    <row r="10" spans="1:26" ht="13" x14ac:dyDescent="0.6">
      <c r="A10" s="28">
        <f t="shared" ca="1" si="1"/>
        <v>3</v>
      </c>
      <c r="B10" s="7" t="str">
        <f ca="1">IFERROR(__xludf.DUMMYFUNCTION("""COMPUTED_VALUE"""),"Huyện Bình Chánh")</f>
        <v>Huyện Bình Chánh</v>
      </c>
      <c r="C10" s="7" t="str">
        <f ca="1">IFERROR(__xludf.DUMMYFUNCTION("""COMPUTED_VALUE"""),"Bưu Cục 2227 Văn Tiến Dũng-Bình Chánh-HCM")</f>
        <v>Bưu Cục 2227 Văn Tiến Dũng-Bình Chánh-HCM</v>
      </c>
      <c r="D10" s="9">
        <f ca="1">IFERROR(__xludf.DUMMYFUNCTION("""COMPUTED_VALUE"""),754)</f>
        <v>754</v>
      </c>
      <c r="E10" s="9">
        <f ca="1">IFERROR(__xludf.DUMMYFUNCTION("""COMPUTED_VALUE"""),1594)</f>
        <v>1594</v>
      </c>
      <c r="F10" s="9">
        <f ca="1">IFERROR(__xludf.DUMMYFUNCTION("""COMPUTED_VALUE"""),672)</f>
        <v>672</v>
      </c>
      <c r="G10" s="9">
        <f ca="1">IFERROR(__xludf.DUMMYFUNCTION("""COMPUTED_VALUE"""),1416)</f>
        <v>1416</v>
      </c>
      <c r="H10" s="9">
        <f ca="1">IFERROR(__xludf.DUMMYFUNCTION("""COMPUTED_VALUE"""),662)</f>
        <v>662</v>
      </c>
      <c r="I10" s="9">
        <f ca="1">IFERROR(__xludf.DUMMYFUNCTION("""COMPUTED_VALUE"""),1199)</f>
        <v>1199</v>
      </c>
      <c r="J10" s="9">
        <f ca="1">IFERROR(__xludf.DUMMYFUNCTION("""COMPUTED_VALUE"""),830)</f>
        <v>830</v>
      </c>
      <c r="K10" s="9">
        <f ca="1">IFERROR(__xludf.DUMMYFUNCTION("""COMPUTED_VALUE"""),2104)</f>
        <v>2104</v>
      </c>
      <c r="L10" s="9">
        <f ca="1">IFERROR(__xludf.DUMMYFUNCTION("""COMPUTED_VALUE"""),307)</f>
        <v>307</v>
      </c>
      <c r="M10" s="9">
        <f ca="1">IFERROR(__xludf.DUMMYFUNCTION("""COMPUTED_VALUE"""),531)</f>
        <v>531</v>
      </c>
      <c r="N10" s="9">
        <f ca="1">IFERROR(__xludf.DUMMYFUNCTION("""COMPUTED_VALUE"""),915)</f>
        <v>915</v>
      </c>
      <c r="O10" s="9">
        <f ca="1">IFERROR(__xludf.DUMMYFUNCTION("""COMPUTED_VALUE"""),1957)</f>
        <v>1957</v>
      </c>
      <c r="P10" s="29">
        <f ca="1">IFERROR(__xludf.DUMMYFUNCTION("""COMPUTED_VALUE"""),759)</f>
        <v>759</v>
      </c>
      <c r="Q10" s="29">
        <f ca="1">IFERROR(__xludf.DUMMYFUNCTION("""COMPUTED_VALUE"""),1845)</f>
        <v>1845</v>
      </c>
      <c r="R10" s="7" t="str">
        <f ca="1">IFERROR(__xludf.DUMMYFUNCTION("""COMPUTED_VALUE"""),"Hồ Chí Minh")</f>
        <v>Hồ Chí Minh</v>
      </c>
      <c r="S10" s="7" t="str">
        <f ca="1">IFERROR(__xludf.DUMMYFUNCTION("""COMPUTED_VALUE"""),"Huyện Bình Chánh")</f>
        <v>Huyện Bình Chánh</v>
      </c>
      <c r="T10" s="7" t="str">
        <f ca="1">IFERROR(__xludf.DUMMYFUNCTION("SPARKLINE({
IF(D10="""",0,D10),
IF(F10="""",0,F10),
IF(H10="""",0,H10),
IF(J10="""",0,J10),
IF(L10="""",0,L10),
IF(N10="""",0,N10),
IF(P10="""",0,P10)
})"),"")</f>
        <v/>
      </c>
      <c r="U10" s="7" t="str">
        <f ca="1">IFERROR(__xludf.DUMMYFUNCTION("SPARKLINE({
IF(E10="""",0,E10),
IF(G10="""",0,G10),
IF(I10="""",0,I10),
IF(K10="""",0,K10),
IF(M10="""",0,M10),
IF(O10="""",0,O10),
IF(Q10="""",0,Q10)
})"),"")</f>
        <v/>
      </c>
      <c r="V10" s="30" t="e">
        <f t="array" aca="1" ref="V10" ca="1">IF($C$4="Giao",_xludf.Xlookup(C10,#REF!,#REF!,),_xludf.Xlookup(C10,#REF!,#REF!,))</f>
        <v>#NAME?</v>
      </c>
      <c r="W10" s="30" t="e">
        <f t="array" aca="1" ref="W10" ca="1">IF($C$4="Giao", _xludf.Xlookup(C10,#REF!,#REF!,),_xludf.Xlookup(C10,#REF!,#REF!,))</f>
        <v>#NAME?</v>
      </c>
      <c r="X10" s="9" t="e">
        <f t="shared" ca="1" si="2"/>
        <v>#NAME?</v>
      </c>
      <c r="Y10" s="7"/>
      <c r="Z10" s="7"/>
    </row>
    <row r="11" spans="1:26" ht="13" x14ac:dyDescent="0.6">
      <c r="A11" s="28">
        <f t="shared" ca="1" si="1"/>
        <v>4</v>
      </c>
      <c r="B11" s="7" t="str">
        <f ca="1">IFERROR(__xludf.DUMMYFUNCTION("""COMPUTED_VALUE"""),"Huyện Bình Chánh")</f>
        <v>Huyện Bình Chánh</v>
      </c>
      <c r="C11" s="7" t="str">
        <f ca="1">IFERROR(__xludf.DUMMYFUNCTION("""COMPUTED_VALUE"""),"Bưu Cục 26 Bùi Thanh Khiết-Tân Túc-Bình Chánh")</f>
        <v>Bưu Cục 26 Bùi Thanh Khiết-Tân Túc-Bình Chánh</v>
      </c>
      <c r="D11" s="9">
        <f ca="1">IFERROR(__xludf.DUMMYFUNCTION("""COMPUTED_VALUE"""),867)</f>
        <v>867</v>
      </c>
      <c r="E11" s="9">
        <f ca="1">IFERROR(__xludf.DUMMYFUNCTION("""COMPUTED_VALUE"""),4389)</f>
        <v>4389</v>
      </c>
      <c r="F11" s="9">
        <f ca="1">IFERROR(__xludf.DUMMYFUNCTION("""COMPUTED_VALUE"""),755)</f>
        <v>755</v>
      </c>
      <c r="G11" s="9">
        <f ca="1">IFERROR(__xludf.DUMMYFUNCTION("""COMPUTED_VALUE"""),3743)</f>
        <v>3743</v>
      </c>
      <c r="H11" s="9">
        <f ca="1">IFERROR(__xludf.DUMMYFUNCTION("""COMPUTED_VALUE"""),901)</f>
        <v>901</v>
      </c>
      <c r="I11" s="9">
        <f ca="1">IFERROR(__xludf.DUMMYFUNCTION("""COMPUTED_VALUE"""),4068)</f>
        <v>4068</v>
      </c>
      <c r="J11" s="9">
        <f ca="1">IFERROR(__xludf.DUMMYFUNCTION("""COMPUTED_VALUE"""),960)</f>
        <v>960</v>
      </c>
      <c r="K11" s="9">
        <f ca="1">IFERROR(__xludf.DUMMYFUNCTION("""COMPUTED_VALUE"""),5794)</f>
        <v>5794</v>
      </c>
      <c r="L11" s="9">
        <f ca="1">IFERROR(__xludf.DUMMYFUNCTION("""COMPUTED_VALUE"""),373)</f>
        <v>373</v>
      </c>
      <c r="M11" s="9">
        <f ca="1">IFERROR(__xludf.DUMMYFUNCTION("""COMPUTED_VALUE"""),2018)</f>
        <v>2018</v>
      </c>
      <c r="N11" s="9">
        <f ca="1">IFERROR(__xludf.DUMMYFUNCTION("""COMPUTED_VALUE"""),1000)</f>
        <v>1000</v>
      </c>
      <c r="O11" s="9">
        <f ca="1">IFERROR(__xludf.DUMMYFUNCTION("""COMPUTED_VALUE"""),5086)</f>
        <v>5086</v>
      </c>
      <c r="P11" s="29">
        <f ca="1">IFERROR(__xludf.DUMMYFUNCTION("""COMPUTED_VALUE"""),1100)</f>
        <v>1100</v>
      </c>
      <c r="Q11" s="29">
        <f ca="1">IFERROR(__xludf.DUMMYFUNCTION("""COMPUTED_VALUE"""),4812)</f>
        <v>4812</v>
      </c>
      <c r="R11" s="7" t="str">
        <f ca="1">IFERROR(__xludf.DUMMYFUNCTION("""COMPUTED_VALUE"""),"Hồ Chí Minh")</f>
        <v>Hồ Chí Minh</v>
      </c>
      <c r="S11" s="7" t="str">
        <f ca="1">IFERROR(__xludf.DUMMYFUNCTION("""COMPUTED_VALUE"""),"Huyện Bình Chánh")</f>
        <v>Huyện Bình Chánh</v>
      </c>
      <c r="T11" s="7" t="str">
        <f ca="1">IFERROR(__xludf.DUMMYFUNCTION("SPARKLINE({
IF(D11="""",0,D11),
IF(F11="""",0,F11),
IF(H11="""",0,H11),
IF(J11="""",0,J11),
IF(L11="""",0,L11),
IF(N11="""",0,N11),
IF(P11="""",0,P11)
})"),"")</f>
        <v/>
      </c>
      <c r="U11" s="7" t="str">
        <f ca="1">IFERROR(__xludf.DUMMYFUNCTION("SPARKLINE({
IF(E11="""",0,E11),
IF(G11="""",0,G11),
IF(I11="""",0,I11),
IF(K11="""",0,K11),
IF(M11="""",0,M11),
IF(O11="""",0,O11),
IF(Q11="""",0,Q11)
})"),"")</f>
        <v/>
      </c>
      <c r="V11" s="30" t="e">
        <f t="array" aca="1" ref="V11" ca="1">IF($C$4="Giao",_xludf.Xlookup(C11,#REF!,#REF!,),_xludf.Xlookup(C11,#REF!,#REF!,))</f>
        <v>#NAME?</v>
      </c>
      <c r="W11" s="30" t="e">
        <f t="array" aca="1" ref="W11" ca="1">IF($C$4="Giao", _xludf.Xlookup(C11,#REF!,#REF!,),_xludf.Xlookup(C11,#REF!,#REF!,))</f>
        <v>#NAME?</v>
      </c>
      <c r="X11" s="9" t="e">
        <f t="shared" ca="1" si="2"/>
        <v>#NAME?</v>
      </c>
      <c r="Y11" s="7"/>
      <c r="Z11" s="7"/>
    </row>
    <row r="12" spans="1:26" ht="13" x14ac:dyDescent="0.6">
      <c r="A12" s="28">
        <f t="shared" ca="1" si="1"/>
        <v>5</v>
      </c>
      <c r="B12" s="7" t="str">
        <f ca="1">IFERROR(__xludf.DUMMYFUNCTION("""COMPUTED_VALUE"""),"Huyện Bình Chánh")</f>
        <v>Huyện Bình Chánh</v>
      </c>
      <c r="C12" s="7" t="str">
        <f ca="1">IFERROR(__xludf.DUMMYFUNCTION("""COMPUTED_VALUE"""),"Bưu Cục 692 An Phú Tây-Bình Chánh-HCM")</f>
        <v>Bưu Cục 692 An Phú Tây-Bình Chánh-HCM</v>
      </c>
      <c r="D12" s="9">
        <f ca="1">IFERROR(__xludf.DUMMYFUNCTION("""COMPUTED_VALUE"""),620)</f>
        <v>620</v>
      </c>
      <c r="E12" s="9">
        <f ca="1">IFERROR(__xludf.DUMMYFUNCTION("""COMPUTED_VALUE"""),1782)</f>
        <v>1782</v>
      </c>
      <c r="F12" s="9">
        <f ca="1">IFERROR(__xludf.DUMMYFUNCTION("""COMPUTED_VALUE"""),389)</f>
        <v>389</v>
      </c>
      <c r="G12" s="9">
        <f ca="1">IFERROR(__xludf.DUMMYFUNCTION("""COMPUTED_VALUE"""),1536)</f>
        <v>1536</v>
      </c>
      <c r="H12" s="9">
        <f ca="1">IFERROR(__xludf.DUMMYFUNCTION("""COMPUTED_VALUE"""),421)</f>
        <v>421</v>
      </c>
      <c r="I12" s="9">
        <f ca="1">IFERROR(__xludf.DUMMYFUNCTION("""COMPUTED_VALUE"""),1477)</f>
        <v>1477</v>
      </c>
      <c r="J12" s="9">
        <f ca="1">IFERROR(__xludf.DUMMYFUNCTION("""COMPUTED_VALUE"""),487)</f>
        <v>487</v>
      </c>
      <c r="K12" s="9">
        <f ca="1">IFERROR(__xludf.DUMMYFUNCTION("""COMPUTED_VALUE"""),2453)</f>
        <v>2453</v>
      </c>
      <c r="L12" s="9">
        <f ca="1">IFERROR(__xludf.DUMMYFUNCTION("""COMPUTED_VALUE"""),110)</f>
        <v>110</v>
      </c>
      <c r="M12" s="9">
        <f ca="1">IFERROR(__xludf.DUMMYFUNCTION("""COMPUTED_VALUE"""),584)</f>
        <v>584</v>
      </c>
      <c r="N12" s="9">
        <f ca="1">IFERROR(__xludf.DUMMYFUNCTION("""COMPUTED_VALUE"""),758)</f>
        <v>758</v>
      </c>
      <c r="O12" s="9">
        <f ca="1">IFERROR(__xludf.DUMMYFUNCTION("""COMPUTED_VALUE"""),2782)</f>
        <v>2782</v>
      </c>
      <c r="P12" s="29">
        <f ca="1">IFERROR(__xludf.DUMMYFUNCTION("""COMPUTED_VALUE"""),483)</f>
        <v>483</v>
      </c>
      <c r="Q12" s="29">
        <f ca="1">IFERROR(__xludf.DUMMYFUNCTION("""COMPUTED_VALUE"""),1775)</f>
        <v>1775</v>
      </c>
      <c r="R12" s="7" t="str">
        <f ca="1">IFERROR(__xludf.DUMMYFUNCTION("""COMPUTED_VALUE"""),"Hồ Chí Minh")</f>
        <v>Hồ Chí Minh</v>
      </c>
      <c r="S12" s="7" t="str">
        <f ca="1">IFERROR(__xludf.DUMMYFUNCTION("""COMPUTED_VALUE"""),"Huyện Bình Chánh")</f>
        <v>Huyện Bình Chánh</v>
      </c>
      <c r="T12" s="7" t="str">
        <f ca="1">IFERROR(__xludf.DUMMYFUNCTION("SPARKLINE({
IF(D12="""",0,D12),
IF(F12="""",0,F12),
IF(H12="""",0,H12),
IF(J12="""",0,J12),
IF(L12="""",0,L12),
IF(N12="""",0,N12),
IF(P12="""",0,P12)
})"),"")</f>
        <v/>
      </c>
      <c r="U12" s="7" t="str">
        <f ca="1">IFERROR(__xludf.DUMMYFUNCTION("SPARKLINE({
IF(E12="""",0,E12),
IF(G12="""",0,G12),
IF(I12="""",0,I12),
IF(K12="""",0,K12),
IF(M12="""",0,M12),
IF(O12="""",0,O12),
IF(Q12="""",0,Q12)
})"),"")</f>
        <v/>
      </c>
      <c r="V12" s="30" t="e">
        <f t="array" aca="1" ref="V12" ca="1">IF($C$4="Giao",_xludf.Xlookup(C12,#REF!,#REF!,),_xludf.Xlookup(C12,#REF!,#REF!,))</f>
        <v>#NAME?</v>
      </c>
      <c r="W12" s="30" t="e">
        <f t="array" aca="1" ref="W12" ca="1">IF($C$4="Giao", _xludf.Xlookup(C12,#REF!,#REF!,),_xludf.Xlookup(C12,#REF!,#REF!,))</f>
        <v>#NAME?</v>
      </c>
      <c r="X12" s="9" t="e">
        <f t="shared" ca="1" si="2"/>
        <v>#NAME?</v>
      </c>
      <c r="Y12" s="7"/>
      <c r="Z12" s="7"/>
    </row>
    <row r="13" spans="1:26" ht="13" x14ac:dyDescent="0.6">
      <c r="A13" s="28">
        <f t="shared" ca="1" si="1"/>
        <v>6</v>
      </c>
      <c r="B13" s="7" t="str">
        <f ca="1">IFERROR(__xludf.DUMMYFUNCTION("""COMPUTED_VALUE"""),"Huyện Bình Chánh")</f>
        <v>Huyện Bình Chánh</v>
      </c>
      <c r="C13" s="7" t="str">
        <f ca="1">IFERROR(__xludf.DUMMYFUNCTION("""COMPUTED_VALUE"""),"Bưu Cục 75 Đường Số 2 KDC Nguyên Sơn-Bình Hưng-Bình Chánh")</f>
        <v>Bưu Cục 75 Đường Số 2 KDC Nguyên Sơn-Bình Hưng-Bình Chánh</v>
      </c>
      <c r="D13" s="9">
        <f ca="1">IFERROR(__xludf.DUMMYFUNCTION("""COMPUTED_VALUE"""),1005)</f>
        <v>1005</v>
      </c>
      <c r="E13" s="9">
        <f ca="1">IFERROR(__xludf.DUMMYFUNCTION("""COMPUTED_VALUE"""),1612)</f>
        <v>1612</v>
      </c>
      <c r="F13" s="9">
        <f ca="1">IFERROR(__xludf.DUMMYFUNCTION("""COMPUTED_VALUE"""),751)</f>
        <v>751</v>
      </c>
      <c r="G13" s="9">
        <f ca="1">IFERROR(__xludf.DUMMYFUNCTION("""COMPUTED_VALUE"""),1462)</f>
        <v>1462</v>
      </c>
      <c r="H13" s="9">
        <f ca="1">IFERROR(__xludf.DUMMYFUNCTION("""COMPUTED_VALUE"""),863)</f>
        <v>863</v>
      </c>
      <c r="I13" s="9">
        <f ca="1">IFERROR(__xludf.DUMMYFUNCTION("""COMPUTED_VALUE"""),1936)</f>
        <v>1936</v>
      </c>
      <c r="J13" s="9">
        <f ca="1">IFERROR(__xludf.DUMMYFUNCTION("""COMPUTED_VALUE"""),1019)</f>
        <v>1019</v>
      </c>
      <c r="K13" s="9">
        <f ca="1">IFERROR(__xludf.DUMMYFUNCTION("""COMPUTED_VALUE"""),2478)</f>
        <v>2478</v>
      </c>
      <c r="L13" s="9">
        <f ca="1">IFERROR(__xludf.DUMMYFUNCTION("""COMPUTED_VALUE"""),477)</f>
        <v>477</v>
      </c>
      <c r="M13" s="9">
        <f ca="1">IFERROR(__xludf.DUMMYFUNCTION("""COMPUTED_VALUE"""),638)</f>
        <v>638</v>
      </c>
      <c r="N13" s="9">
        <f ca="1">IFERROR(__xludf.DUMMYFUNCTION("""COMPUTED_VALUE"""),979)</f>
        <v>979</v>
      </c>
      <c r="O13" s="9">
        <f ca="1">IFERROR(__xludf.DUMMYFUNCTION("""COMPUTED_VALUE"""),1614)</f>
        <v>1614</v>
      </c>
      <c r="P13" s="29">
        <f ca="1">IFERROR(__xludf.DUMMYFUNCTION("""COMPUTED_VALUE"""),924)</f>
        <v>924</v>
      </c>
      <c r="Q13" s="29">
        <f ca="1">IFERROR(__xludf.DUMMYFUNCTION("""COMPUTED_VALUE"""),1795)</f>
        <v>1795</v>
      </c>
      <c r="R13" s="7" t="str">
        <f ca="1">IFERROR(__xludf.DUMMYFUNCTION("""COMPUTED_VALUE"""),"Hồ Chí Minh")</f>
        <v>Hồ Chí Minh</v>
      </c>
      <c r="S13" s="7" t="str">
        <f ca="1">IFERROR(__xludf.DUMMYFUNCTION("""COMPUTED_VALUE"""),"Huyện Bình Chánh")</f>
        <v>Huyện Bình Chánh</v>
      </c>
      <c r="T13" s="7" t="str">
        <f ca="1">IFERROR(__xludf.DUMMYFUNCTION("SPARKLINE({
IF(D13="""",0,D13),
IF(F13="""",0,F13),
IF(H13="""",0,H13),
IF(J13="""",0,J13),
IF(L13="""",0,L13),
IF(N13="""",0,N13),
IF(P13="""",0,P13)
})"),"")</f>
        <v/>
      </c>
      <c r="U13" s="7" t="str">
        <f ca="1">IFERROR(__xludf.DUMMYFUNCTION("SPARKLINE({
IF(E13="""",0,E13),
IF(G13="""",0,G13),
IF(I13="""",0,I13),
IF(K13="""",0,K13),
IF(M13="""",0,M13),
IF(O13="""",0,O13),
IF(Q13="""",0,Q13)
})"),"")</f>
        <v/>
      </c>
      <c r="V13" s="30" t="e">
        <f t="array" aca="1" ref="V13" ca="1">IF($C$4="Giao",_xludf.Xlookup(C13,#REF!,#REF!,),_xludf.Xlookup(C13,#REF!,#REF!,))</f>
        <v>#NAME?</v>
      </c>
      <c r="W13" s="30" t="e">
        <f t="array" aca="1" ref="W13" ca="1">IF($C$4="Giao", _xludf.Xlookup(C13,#REF!,#REF!,),_xludf.Xlookup(C13,#REF!,#REF!,))</f>
        <v>#NAME?</v>
      </c>
      <c r="X13" s="9" t="e">
        <f t="shared" ca="1" si="2"/>
        <v>#NAME?</v>
      </c>
      <c r="Y13" s="7"/>
      <c r="Z13" s="7"/>
    </row>
    <row r="14" spans="1:26" ht="13" x14ac:dyDescent="0.6">
      <c r="A14" s="28">
        <f t="shared" ca="1" si="1"/>
        <v>7</v>
      </c>
      <c r="B14" s="7" t="str">
        <f ca="1">IFERROR(__xludf.DUMMYFUNCTION("""COMPUTED_VALUE"""),"Huyện Bình Chánh")</f>
        <v>Huyện Bình Chánh</v>
      </c>
      <c r="C14" s="7" t="str">
        <f ca="1">IFERROR(__xludf.DUMMYFUNCTION("""COMPUTED_VALUE"""),"Bưu Cục C1/7 Lại Hùng Cường-Vĩnh Lộc B-Bình Chánh-HCM")</f>
        <v>Bưu Cục C1/7 Lại Hùng Cường-Vĩnh Lộc B-Bình Chánh-HCM</v>
      </c>
      <c r="D14" s="9">
        <f ca="1">IFERROR(__xludf.DUMMYFUNCTION("""COMPUTED_VALUE"""),2581)</f>
        <v>2581</v>
      </c>
      <c r="E14" s="9">
        <f ca="1">IFERROR(__xludf.DUMMYFUNCTION("""COMPUTED_VALUE"""),11840)</f>
        <v>11840</v>
      </c>
      <c r="F14" s="9">
        <f ca="1">IFERROR(__xludf.DUMMYFUNCTION("""COMPUTED_VALUE"""),2007)</f>
        <v>2007</v>
      </c>
      <c r="G14" s="9">
        <f ca="1">IFERROR(__xludf.DUMMYFUNCTION("""COMPUTED_VALUE"""),9412)</f>
        <v>9412</v>
      </c>
      <c r="H14" s="9">
        <f ca="1">IFERROR(__xludf.DUMMYFUNCTION("""COMPUTED_VALUE"""),2042)</f>
        <v>2042</v>
      </c>
      <c r="I14" s="9">
        <f ca="1">IFERROR(__xludf.DUMMYFUNCTION("""COMPUTED_VALUE"""),9360)</f>
        <v>9360</v>
      </c>
      <c r="J14" s="9">
        <f ca="1">IFERROR(__xludf.DUMMYFUNCTION("""COMPUTED_VALUE"""),2257)</f>
        <v>2257</v>
      </c>
      <c r="K14" s="9">
        <f ca="1">IFERROR(__xludf.DUMMYFUNCTION("""COMPUTED_VALUE"""),10726)</f>
        <v>10726</v>
      </c>
      <c r="L14" s="9">
        <f ca="1">IFERROR(__xludf.DUMMYFUNCTION("""COMPUTED_VALUE"""),1180)</f>
        <v>1180</v>
      </c>
      <c r="M14" s="9">
        <f ca="1">IFERROR(__xludf.DUMMYFUNCTION("""COMPUTED_VALUE"""),3723)</f>
        <v>3723</v>
      </c>
      <c r="N14" s="9">
        <f ca="1">IFERROR(__xludf.DUMMYFUNCTION("""COMPUTED_VALUE"""),2738)</f>
        <v>2738</v>
      </c>
      <c r="O14" s="9">
        <f ca="1">IFERROR(__xludf.DUMMYFUNCTION("""COMPUTED_VALUE"""),13574)</f>
        <v>13574</v>
      </c>
      <c r="P14" s="29">
        <f ca="1">IFERROR(__xludf.DUMMYFUNCTION("""COMPUTED_VALUE"""),2029)</f>
        <v>2029</v>
      </c>
      <c r="Q14" s="29">
        <f ca="1">IFERROR(__xludf.DUMMYFUNCTION("""COMPUTED_VALUE"""),11301)</f>
        <v>11301</v>
      </c>
      <c r="R14" s="7" t="str">
        <f ca="1">IFERROR(__xludf.DUMMYFUNCTION("""COMPUTED_VALUE"""),"Hồ Chí Minh")</f>
        <v>Hồ Chí Minh</v>
      </c>
      <c r="S14" s="7" t="str">
        <f ca="1">IFERROR(__xludf.DUMMYFUNCTION("""COMPUTED_VALUE"""),"Huyện Bình Chánh")</f>
        <v>Huyện Bình Chánh</v>
      </c>
      <c r="T14" s="7" t="str">
        <f ca="1">IFERROR(__xludf.DUMMYFUNCTION("SPARKLINE({
IF(D14="""",0,D14),
IF(F14="""",0,F14),
IF(H14="""",0,H14),
IF(J14="""",0,J14),
IF(L14="""",0,L14),
IF(N14="""",0,N14),
IF(P14="""",0,P14)
})"),"")</f>
        <v/>
      </c>
      <c r="U14" s="7" t="str">
        <f ca="1">IFERROR(__xludf.DUMMYFUNCTION("SPARKLINE({
IF(E14="""",0,E14),
IF(G14="""",0,G14),
IF(I14="""",0,I14),
IF(K14="""",0,K14),
IF(M14="""",0,M14),
IF(O14="""",0,O14),
IF(Q14="""",0,Q14)
})"),"")</f>
        <v/>
      </c>
      <c r="V14" s="30" t="e">
        <f t="array" aca="1" ref="V14" ca="1">IF($C$4="Giao",_xludf.Xlookup(C14,#REF!,#REF!,),_xludf.Xlookup(C14,#REF!,#REF!,))</f>
        <v>#NAME?</v>
      </c>
      <c r="W14" s="30" t="e">
        <f t="array" aca="1" ref="W14" ca="1">IF($C$4="Giao", _xludf.Xlookup(C14,#REF!,#REF!,),_xludf.Xlookup(C14,#REF!,#REF!,))</f>
        <v>#NAME?</v>
      </c>
      <c r="X14" s="9" t="e">
        <f t="shared" ca="1" si="2"/>
        <v>#NAME?</v>
      </c>
      <c r="Y14" s="7"/>
      <c r="Z14" s="31" t="e">
        <f t="shared" ref="Z14:Z19" ca="1" si="3">X14-Y14</f>
        <v>#NAME?</v>
      </c>
    </row>
    <row r="15" spans="1:26" ht="13" x14ac:dyDescent="0.6">
      <c r="A15" s="28">
        <f t="shared" ca="1" si="1"/>
        <v>8</v>
      </c>
      <c r="B15" s="7" t="str">
        <f ca="1">IFERROR(__xludf.DUMMYFUNCTION("""COMPUTED_VALUE"""),"Huyện Bình Chánh")</f>
        <v>Huyện Bình Chánh</v>
      </c>
      <c r="C15" s="7" t="str">
        <f ca="1">IFERROR(__xludf.DUMMYFUNCTION("""COMPUTED_VALUE"""),"Bưu Cục F5/9A Trần Văn Giàu-Bình Chánh-HCM")</f>
        <v>Bưu Cục F5/9A Trần Văn Giàu-Bình Chánh-HCM</v>
      </c>
      <c r="D15" s="9">
        <f ca="1">IFERROR(__xludf.DUMMYFUNCTION("""COMPUTED_VALUE"""),1694)</f>
        <v>1694</v>
      </c>
      <c r="E15" s="9">
        <f ca="1">IFERROR(__xludf.DUMMYFUNCTION("""COMPUTED_VALUE"""),4446)</f>
        <v>4446</v>
      </c>
      <c r="F15" s="9">
        <f ca="1">IFERROR(__xludf.DUMMYFUNCTION("""COMPUTED_VALUE"""),1529)</f>
        <v>1529</v>
      </c>
      <c r="G15" s="9">
        <f ca="1">IFERROR(__xludf.DUMMYFUNCTION("""COMPUTED_VALUE"""),3973)</f>
        <v>3973</v>
      </c>
      <c r="H15" s="9">
        <f ca="1">IFERROR(__xludf.DUMMYFUNCTION("""COMPUTED_VALUE"""),1422)</f>
        <v>1422</v>
      </c>
      <c r="I15" s="9">
        <f ca="1">IFERROR(__xludf.DUMMYFUNCTION("""COMPUTED_VALUE"""),3672)</f>
        <v>3672</v>
      </c>
      <c r="J15" s="9">
        <f ca="1">IFERROR(__xludf.DUMMYFUNCTION("""COMPUTED_VALUE"""),1918)</f>
        <v>1918</v>
      </c>
      <c r="K15" s="9">
        <f ca="1">IFERROR(__xludf.DUMMYFUNCTION("""COMPUTED_VALUE"""),5512)</f>
        <v>5512</v>
      </c>
      <c r="L15" s="9">
        <f ca="1">IFERROR(__xludf.DUMMYFUNCTION("""COMPUTED_VALUE"""),200)</f>
        <v>200</v>
      </c>
      <c r="M15" s="9">
        <f ca="1">IFERROR(__xludf.DUMMYFUNCTION("""COMPUTED_VALUE"""),371)</f>
        <v>371</v>
      </c>
      <c r="N15" s="9">
        <f ca="1">IFERROR(__xludf.DUMMYFUNCTION("""COMPUTED_VALUE"""),3002)</f>
        <v>3002</v>
      </c>
      <c r="O15" s="9">
        <f ca="1">IFERROR(__xludf.DUMMYFUNCTION("""COMPUTED_VALUE"""),6379)</f>
        <v>6379</v>
      </c>
      <c r="P15" s="29">
        <f ca="1">IFERROR(__xludf.DUMMYFUNCTION("""COMPUTED_VALUE"""),1575)</f>
        <v>1575</v>
      </c>
      <c r="Q15" s="29">
        <f ca="1">IFERROR(__xludf.DUMMYFUNCTION("""COMPUTED_VALUE"""),3925)</f>
        <v>3925</v>
      </c>
      <c r="R15" s="7" t="str">
        <f ca="1">IFERROR(__xludf.DUMMYFUNCTION("""COMPUTED_VALUE"""),"Hồ Chí Minh")</f>
        <v>Hồ Chí Minh</v>
      </c>
      <c r="S15" s="7" t="str">
        <f ca="1">IFERROR(__xludf.DUMMYFUNCTION("""COMPUTED_VALUE"""),"Huyện Bình Chánh")</f>
        <v>Huyện Bình Chánh</v>
      </c>
      <c r="T15" s="7" t="str">
        <f ca="1">IFERROR(__xludf.DUMMYFUNCTION("SPARKLINE({
IF(D15="""",0,D15),
IF(F15="""",0,F15),
IF(H15="""",0,H15),
IF(J15="""",0,J15),
IF(L15="""",0,L15),
IF(N15="""",0,N15),
IF(P15="""",0,P15)
})"),"")</f>
        <v/>
      </c>
      <c r="U15" s="7" t="str">
        <f ca="1">IFERROR(__xludf.DUMMYFUNCTION("SPARKLINE({
IF(E15="""",0,E15),
IF(G15="""",0,G15),
IF(I15="""",0,I15),
IF(K15="""",0,K15),
IF(M15="""",0,M15),
IF(O15="""",0,O15),
IF(Q15="""",0,Q15)
})"),"")</f>
        <v/>
      </c>
      <c r="V15" s="30" t="e">
        <f t="array" aca="1" ref="V15" ca="1">IF($C$4="Giao",_xludf.Xlookup(C15,#REF!,#REF!,),_xludf.Xlookup(C15,#REF!,#REF!,))</f>
        <v>#NAME?</v>
      </c>
      <c r="W15" s="30" t="e">
        <f t="array" aca="1" ref="W15" ca="1">IF($C$4="Giao", _xludf.Xlookup(C15,#REF!,#REF!,),_xludf.Xlookup(C15,#REF!,#REF!,))</f>
        <v>#NAME?</v>
      </c>
      <c r="X15" s="9" t="e">
        <f t="shared" ca="1" si="2"/>
        <v>#NAME?</v>
      </c>
      <c r="Y15" s="7"/>
      <c r="Z15" s="31" t="e">
        <f t="shared" ca="1" si="3"/>
        <v>#NAME?</v>
      </c>
    </row>
    <row r="16" spans="1:26" ht="13" x14ac:dyDescent="0.6">
      <c r="A16" s="28">
        <f t="shared" ca="1" si="1"/>
        <v>9</v>
      </c>
      <c r="B16" s="7" t="str">
        <f ca="1">IFERROR(__xludf.DUMMYFUNCTION("""COMPUTED_VALUE"""),"Huyện Bình Chánh")</f>
        <v>Huyện Bình Chánh</v>
      </c>
      <c r="C16" s="7" t="str">
        <f ca="1">IFERROR(__xludf.DUMMYFUNCTION("""COMPUTED_VALUE"""),"Bưu Cục Tân Kiên-Bình Chánh-HCM")</f>
        <v>Bưu Cục Tân Kiên-Bình Chánh-HCM</v>
      </c>
      <c r="D16" s="9">
        <f ca="1">IFERROR(__xludf.DUMMYFUNCTION("""COMPUTED_VALUE"""),934)</f>
        <v>934</v>
      </c>
      <c r="E16" s="9">
        <f ca="1">IFERROR(__xludf.DUMMYFUNCTION("""COMPUTED_VALUE"""),4632)</f>
        <v>4632</v>
      </c>
      <c r="F16" s="9">
        <f ca="1">IFERROR(__xludf.DUMMYFUNCTION("""COMPUTED_VALUE"""),830)</f>
        <v>830</v>
      </c>
      <c r="G16" s="9">
        <f ca="1">IFERROR(__xludf.DUMMYFUNCTION("""COMPUTED_VALUE"""),4047)</f>
        <v>4047</v>
      </c>
      <c r="H16" s="9">
        <f ca="1">IFERROR(__xludf.DUMMYFUNCTION("""COMPUTED_VALUE"""),796)</f>
        <v>796</v>
      </c>
      <c r="I16" s="9">
        <f ca="1">IFERROR(__xludf.DUMMYFUNCTION("""COMPUTED_VALUE"""),3961)</f>
        <v>3961</v>
      </c>
      <c r="J16" s="9">
        <f ca="1">IFERROR(__xludf.DUMMYFUNCTION("""COMPUTED_VALUE"""),854)</f>
        <v>854</v>
      </c>
      <c r="K16" s="9">
        <f ca="1">IFERROR(__xludf.DUMMYFUNCTION("""COMPUTED_VALUE"""),4372)</f>
        <v>4372</v>
      </c>
      <c r="L16" s="9">
        <f ca="1">IFERROR(__xludf.DUMMYFUNCTION("""COMPUTED_VALUE"""),154)</f>
        <v>154</v>
      </c>
      <c r="M16" s="9">
        <f ca="1">IFERROR(__xludf.DUMMYFUNCTION("""COMPUTED_VALUE"""),543)</f>
        <v>543</v>
      </c>
      <c r="N16" s="9">
        <f ca="1">IFERROR(__xludf.DUMMYFUNCTION("""COMPUTED_VALUE"""),1190)</f>
        <v>1190</v>
      </c>
      <c r="O16" s="9">
        <f ca="1">IFERROR(__xludf.DUMMYFUNCTION("""COMPUTED_VALUE"""),5485)</f>
        <v>5485</v>
      </c>
      <c r="P16" s="29">
        <f ca="1">IFERROR(__xludf.DUMMYFUNCTION("""COMPUTED_VALUE"""),818)</f>
        <v>818</v>
      </c>
      <c r="Q16" s="29">
        <f ca="1">IFERROR(__xludf.DUMMYFUNCTION("""COMPUTED_VALUE"""),3096)</f>
        <v>3096</v>
      </c>
      <c r="R16" s="7" t="str">
        <f ca="1">IFERROR(__xludf.DUMMYFUNCTION("""COMPUTED_VALUE"""),"Hồ Chí Minh")</f>
        <v>Hồ Chí Minh</v>
      </c>
      <c r="S16" s="7" t="str">
        <f ca="1">IFERROR(__xludf.DUMMYFUNCTION("""COMPUTED_VALUE"""),"Huyện Bình Chánh")</f>
        <v>Huyện Bình Chánh</v>
      </c>
      <c r="T16" s="7" t="str">
        <f ca="1">IFERROR(__xludf.DUMMYFUNCTION("SPARKLINE({
IF(D16="""",0,D16),
IF(F16="""",0,F16),
IF(H16="""",0,H16),
IF(J16="""",0,J16),
IF(L16="""",0,L16),
IF(N16="""",0,N16),
IF(P16="""",0,P16)
})"),"")</f>
        <v/>
      </c>
      <c r="U16" s="7" t="str">
        <f ca="1">IFERROR(__xludf.DUMMYFUNCTION("SPARKLINE({
IF(E16="""",0,E16),
IF(G16="""",0,G16),
IF(I16="""",0,I16),
IF(K16="""",0,K16),
IF(M16="""",0,M16),
IF(O16="""",0,O16),
IF(Q16="""",0,Q16)
})"),"")</f>
        <v/>
      </c>
      <c r="V16" s="30" t="e">
        <f t="array" aca="1" ref="V16" ca="1">IF($C$4="Giao",_xludf.Xlookup(C16,#REF!,#REF!,),_xludf.Xlookup(C16,#REF!,#REF!,))</f>
        <v>#NAME?</v>
      </c>
      <c r="W16" s="30" t="e">
        <f t="array" aca="1" ref="W16" ca="1">IF($C$4="Giao", _xludf.Xlookup(C16,#REF!,#REF!,),_xludf.Xlookup(C16,#REF!,#REF!,))</f>
        <v>#NAME?</v>
      </c>
      <c r="X16" s="9" t="e">
        <f t="shared" ca="1" si="2"/>
        <v>#NAME?</v>
      </c>
      <c r="Y16" s="7"/>
      <c r="Z16" s="31" t="e">
        <f t="shared" ca="1" si="3"/>
        <v>#NAME?</v>
      </c>
    </row>
    <row r="17" spans="1:26" ht="13" x14ac:dyDescent="0.6">
      <c r="A17" s="28">
        <f t="shared" ca="1" si="1"/>
        <v>10</v>
      </c>
      <c r="B17" s="7" t="str">
        <f ca="1">IFERROR(__xludf.DUMMYFUNCTION("""COMPUTED_VALUE"""),"Huyện Bình Chánh")</f>
        <v>Huyện Bình Chánh</v>
      </c>
      <c r="C17" s="7" t="str">
        <f ca="1">IFERROR(__xludf.DUMMYFUNCTION("""COMPUTED_VALUE"""),"Bưu Cục Vĩnh Lộc A-Bình Chánh-HCM")</f>
        <v>Bưu Cục Vĩnh Lộc A-Bình Chánh-HCM</v>
      </c>
      <c r="D17" s="9">
        <f ca="1">IFERROR(__xludf.DUMMYFUNCTION("""COMPUTED_VALUE"""),1283)</f>
        <v>1283</v>
      </c>
      <c r="E17" s="9">
        <f ca="1">IFERROR(__xludf.DUMMYFUNCTION("""COMPUTED_VALUE"""),2928)</f>
        <v>2928</v>
      </c>
      <c r="F17" s="9">
        <f ca="1">IFERROR(__xludf.DUMMYFUNCTION("""COMPUTED_VALUE"""),911)</f>
        <v>911</v>
      </c>
      <c r="G17" s="9">
        <f ca="1">IFERROR(__xludf.DUMMYFUNCTION("""COMPUTED_VALUE"""),2172)</f>
        <v>2172</v>
      </c>
      <c r="H17" s="9">
        <f ca="1">IFERROR(__xludf.DUMMYFUNCTION("""COMPUTED_VALUE"""),1010)</f>
        <v>1010</v>
      </c>
      <c r="I17" s="9">
        <f ca="1">IFERROR(__xludf.DUMMYFUNCTION("""COMPUTED_VALUE"""),2337)</f>
        <v>2337</v>
      </c>
      <c r="J17" s="9">
        <f ca="1">IFERROR(__xludf.DUMMYFUNCTION("""COMPUTED_VALUE"""),1132)</f>
        <v>1132</v>
      </c>
      <c r="K17" s="9">
        <f ca="1">IFERROR(__xludf.DUMMYFUNCTION("""COMPUTED_VALUE"""),2963)</f>
        <v>2963</v>
      </c>
      <c r="L17" s="9">
        <f ca="1">IFERROR(__xludf.DUMMYFUNCTION("""COMPUTED_VALUE"""),566)</f>
        <v>566</v>
      </c>
      <c r="M17" s="9">
        <f ca="1">IFERROR(__xludf.DUMMYFUNCTION("""COMPUTED_VALUE"""),1058)</f>
        <v>1058</v>
      </c>
      <c r="N17" s="9">
        <f ca="1">IFERROR(__xludf.DUMMYFUNCTION("""COMPUTED_VALUE"""),1275)</f>
        <v>1275</v>
      </c>
      <c r="O17" s="9">
        <f ca="1">IFERROR(__xludf.DUMMYFUNCTION("""COMPUTED_VALUE"""),3074)</f>
        <v>3074</v>
      </c>
      <c r="P17" s="29">
        <f ca="1">IFERROR(__xludf.DUMMYFUNCTION("""COMPUTED_VALUE"""),1213)</f>
        <v>1213</v>
      </c>
      <c r="Q17" s="29">
        <f ca="1">IFERROR(__xludf.DUMMYFUNCTION("""COMPUTED_VALUE"""),3405)</f>
        <v>3405</v>
      </c>
      <c r="R17" s="7" t="str">
        <f ca="1">IFERROR(__xludf.DUMMYFUNCTION("""COMPUTED_VALUE"""),"Hồ Chí Minh")</f>
        <v>Hồ Chí Minh</v>
      </c>
      <c r="S17" s="7" t="str">
        <f ca="1">IFERROR(__xludf.DUMMYFUNCTION("""COMPUTED_VALUE"""),"Huyện Bình Chánh")</f>
        <v>Huyện Bình Chánh</v>
      </c>
      <c r="T17" s="7" t="str">
        <f ca="1">IFERROR(__xludf.DUMMYFUNCTION("SPARKLINE({
IF(D17="""",0,D17),
IF(F17="""",0,F17),
IF(H17="""",0,H17),
IF(J17="""",0,J17),
IF(L17="""",0,L17),
IF(N17="""",0,N17),
IF(P17="""",0,P17)
})"),"")</f>
        <v/>
      </c>
      <c r="U17" s="7" t="str">
        <f ca="1">IFERROR(__xludf.DUMMYFUNCTION("SPARKLINE({
IF(E17="""",0,E17),
IF(G17="""",0,G17),
IF(I17="""",0,I17),
IF(K17="""",0,K17),
IF(M17="""",0,M17),
IF(O17="""",0,O17),
IF(Q17="""",0,Q17)
})"),"")</f>
        <v/>
      </c>
      <c r="V17" s="30" t="e">
        <f t="array" aca="1" ref="V17" ca="1">IF($C$4="Giao",_xludf.Xlookup(C17,#REF!,#REF!,),_xludf.Xlookup(C17,#REF!,#REF!,))</f>
        <v>#NAME?</v>
      </c>
      <c r="W17" s="30" t="e">
        <f t="array" aca="1" ref="W17" ca="1">IF($C$4="Giao", _xludf.Xlookup(C17,#REF!,#REF!,),_xludf.Xlookup(C17,#REF!,#REF!,))</f>
        <v>#NAME?</v>
      </c>
      <c r="X17" s="9" t="e">
        <f t="shared" ca="1" si="2"/>
        <v>#NAME?</v>
      </c>
      <c r="Y17" s="7"/>
      <c r="Z17" s="31" t="e">
        <f t="shared" ca="1" si="3"/>
        <v>#NAME?</v>
      </c>
    </row>
    <row r="18" spans="1:26" ht="13" x14ac:dyDescent="0.6">
      <c r="A18" s="28">
        <f t="shared" ca="1" si="1"/>
        <v>11</v>
      </c>
      <c r="B18" s="7" t="str">
        <f ca="1">IFERROR(__xludf.DUMMYFUNCTION("""COMPUTED_VALUE"""),"Huyện Cần Giờ")</f>
        <v>Huyện Cần Giờ</v>
      </c>
      <c r="C18" s="7" t="str">
        <f ca="1">IFERROR(__xludf.DUMMYFUNCTION("""COMPUTED_VALUE"""),"Bưu Cục Cần Giờ-HCM")</f>
        <v>Bưu Cục Cần Giờ-HCM</v>
      </c>
      <c r="D18" s="9">
        <f ca="1">IFERROR(__xludf.DUMMYFUNCTION("""COMPUTED_VALUE"""),113)</f>
        <v>113</v>
      </c>
      <c r="E18" s="9">
        <f ca="1">IFERROR(__xludf.DUMMYFUNCTION("""COMPUTED_VALUE"""),40)</f>
        <v>40</v>
      </c>
      <c r="F18" s="9">
        <f ca="1">IFERROR(__xludf.DUMMYFUNCTION("""COMPUTED_VALUE"""),86)</f>
        <v>86</v>
      </c>
      <c r="G18" s="9">
        <f ca="1">IFERROR(__xludf.DUMMYFUNCTION("""COMPUTED_VALUE"""),85)</f>
        <v>85</v>
      </c>
      <c r="H18" s="9">
        <f ca="1">IFERROR(__xludf.DUMMYFUNCTION("""COMPUTED_VALUE"""),56)</f>
        <v>56</v>
      </c>
      <c r="I18" s="9">
        <f ca="1">IFERROR(__xludf.DUMMYFUNCTION("""COMPUTED_VALUE"""),41)</f>
        <v>41</v>
      </c>
      <c r="J18" s="9">
        <f ca="1">IFERROR(__xludf.DUMMYFUNCTION("""COMPUTED_VALUE"""),76)</f>
        <v>76</v>
      </c>
      <c r="K18" s="9">
        <f ca="1">IFERROR(__xludf.DUMMYFUNCTION("""COMPUTED_VALUE"""),48)</f>
        <v>48</v>
      </c>
      <c r="L18" s="9">
        <f ca="1">IFERROR(__xludf.DUMMYFUNCTION("""COMPUTED_VALUE"""),34)</f>
        <v>34</v>
      </c>
      <c r="M18" s="9">
        <f ca="1">IFERROR(__xludf.DUMMYFUNCTION("""COMPUTED_VALUE"""),17)</f>
        <v>17</v>
      </c>
      <c r="N18" s="9">
        <f ca="1">IFERROR(__xludf.DUMMYFUNCTION("""COMPUTED_VALUE"""),93)</f>
        <v>93</v>
      </c>
      <c r="O18" s="9">
        <f ca="1">IFERROR(__xludf.DUMMYFUNCTION("""COMPUTED_VALUE"""),80)</f>
        <v>80</v>
      </c>
      <c r="P18" s="29">
        <f ca="1">IFERROR(__xludf.DUMMYFUNCTION("""COMPUTED_VALUE"""),86)</f>
        <v>86</v>
      </c>
      <c r="Q18" s="29">
        <f ca="1">IFERROR(__xludf.DUMMYFUNCTION("""COMPUTED_VALUE"""),21)</f>
        <v>21</v>
      </c>
      <c r="R18" s="7" t="str">
        <f ca="1">IFERROR(__xludf.DUMMYFUNCTION("""COMPUTED_VALUE"""),"Hồ Chí Minh")</f>
        <v>Hồ Chí Minh</v>
      </c>
      <c r="S18" s="7" t="str">
        <f ca="1">IFERROR(__xludf.DUMMYFUNCTION("""COMPUTED_VALUE"""),"Huyện Cần Giờ")</f>
        <v>Huyện Cần Giờ</v>
      </c>
      <c r="T18" s="7" t="str">
        <f ca="1">IFERROR(__xludf.DUMMYFUNCTION("SPARKLINE({
IF(D18="""",0,D18),
IF(F18="""",0,F18),
IF(H18="""",0,H18),
IF(J18="""",0,J18),
IF(L18="""",0,L18),
IF(N18="""",0,N18),
IF(P18="""",0,P18)
})"),"")</f>
        <v/>
      </c>
      <c r="U18" s="7" t="str">
        <f ca="1">IFERROR(__xludf.DUMMYFUNCTION("SPARKLINE({
IF(E18="""",0,E18),
IF(G18="""",0,G18),
IF(I18="""",0,I18),
IF(K18="""",0,K18),
IF(M18="""",0,M18),
IF(O18="""",0,O18),
IF(Q18="""",0,Q18)
})"),"")</f>
        <v/>
      </c>
      <c r="V18" s="30" t="e">
        <f t="array" aca="1" ref="V18" ca="1">IF($C$4="Giao",_xludf.Xlookup(C18,#REF!,#REF!,),_xludf.Xlookup(C18,#REF!,#REF!,))</f>
        <v>#NAME?</v>
      </c>
      <c r="W18" s="30" t="e">
        <f t="array" aca="1" ref="W18" ca="1">IF($C$4="Giao", _xludf.Xlookup(C18,#REF!,#REF!,),_xludf.Xlookup(C18,#REF!,#REF!,))</f>
        <v>#NAME?</v>
      </c>
      <c r="X18" s="9" t="e">
        <f t="shared" ca="1" si="2"/>
        <v>#NAME?</v>
      </c>
      <c r="Y18" s="7"/>
      <c r="Z18" s="31" t="e">
        <f t="shared" ca="1" si="3"/>
        <v>#NAME?</v>
      </c>
    </row>
    <row r="19" spans="1:26" ht="13" x14ac:dyDescent="0.6">
      <c r="A19" s="28">
        <f t="shared" ca="1" si="1"/>
        <v>12</v>
      </c>
      <c r="B19" s="7" t="str">
        <f ca="1">IFERROR(__xludf.DUMMYFUNCTION("""COMPUTED_VALUE"""),"Huyện Châu Đức")</f>
        <v>Huyện Châu Đức</v>
      </c>
      <c r="C19" s="7" t="str">
        <f ca="1">IFERROR(__xludf.DUMMYFUNCTION("""COMPUTED_VALUE"""),"Bưu Cục 57A Hùng Vương-Xã Ngãi Giao-Bà Rịa Vũng Tàu")</f>
        <v>Bưu Cục 57A Hùng Vương-Xã Ngãi Giao-Bà Rịa Vũng Tàu</v>
      </c>
      <c r="D19" s="9">
        <f ca="1">IFERROR(__xludf.DUMMYFUNCTION("""COMPUTED_VALUE"""),318)</f>
        <v>318</v>
      </c>
      <c r="E19" s="9">
        <f ca="1">IFERROR(__xludf.DUMMYFUNCTION("""COMPUTED_VALUE"""),706)</f>
        <v>706</v>
      </c>
      <c r="F19" s="9">
        <f ca="1">IFERROR(__xludf.DUMMYFUNCTION("""COMPUTED_VALUE"""),313)</f>
        <v>313</v>
      </c>
      <c r="G19" s="9">
        <f ca="1">IFERROR(__xludf.DUMMYFUNCTION("""COMPUTED_VALUE"""),593)</f>
        <v>593</v>
      </c>
      <c r="H19" s="9">
        <f ca="1">IFERROR(__xludf.DUMMYFUNCTION("""COMPUTED_VALUE"""),273)</f>
        <v>273</v>
      </c>
      <c r="I19" s="9">
        <f ca="1">IFERROR(__xludf.DUMMYFUNCTION("""COMPUTED_VALUE"""),614)</f>
        <v>614</v>
      </c>
      <c r="J19" s="9">
        <f ca="1">IFERROR(__xludf.DUMMYFUNCTION("""COMPUTED_VALUE"""),347)</f>
        <v>347</v>
      </c>
      <c r="K19" s="9">
        <f ca="1">IFERROR(__xludf.DUMMYFUNCTION("""COMPUTED_VALUE"""),621)</f>
        <v>621</v>
      </c>
      <c r="L19" s="9">
        <f ca="1">IFERROR(__xludf.DUMMYFUNCTION("""COMPUTED_VALUE"""),285)</f>
        <v>285</v>
      </c>
      <c r="M19" s="9">
        <f ca="1">IFERROR(__xludf.DUMMYFUNCTION("""COMPUTED_VALUE"""),507)</f>
        <v>507</v>
      </c>
      <c r="N19" s="9">
        <f ca="1">IFERROR(__xludf.DUMMYFUNCTION("""COMPUTED_VALUE"""),317)</f>
        <v>317</v>
      </c>
      <c r="O19" s="9">
        <f ca="1">IFERROR(__xludf.DUMMYFUNCTION("""COMPUTED_VALUE"""),569)</f>
        <v>569</v>
      </c>
      <c r="P19" s="29">
        <f ca="1">IFERROR(__xludf.DUMMYFUNCTION("""COMPUTED_VALUE"""),337)</f>
        <v>337</v>
      </c>
      <c r="Q19" s="29">
        <f ca="1">IFERROR(__xludf.DUMMYFUNCTION("""COMPUTED_VALUE"""),326)</f>
        <v>326</v>
      </c>
      <c r="R19" s="7" t="str">
        <f ca="1">IFERROR(__xludf.DUMMYFUNCTION("""COMPUTED_VALUE"""),"Bà Rịa - Vũng Tàu")</f>
        <v>Bà Rịa - Vũng Tàu</v>
      </c>
      <c r="S19" s="7" t="str">
        <f ca="1">IFERROR(__xludf.DUMMYFUNCTION("""COMPUTED_VALUE"""),"Huyện Châu Đức")</f>
        <v>Huyện Châu Đức</v>
      </c>
      <c r="T19" s="7" t="str">
        <f ca="1">IFERROR(__xludf.DUMMYFUNCTION("SPARKLINE({
IF(D19="""",0,D19),
IF(F19="""",0,F19),
IF(H19="""",0,H19),
IF(J19="""",0,J19),
IF(L19="""",0,L19),
IF(N19="""",0,N19),
IF(P19="""",0,P19)
})"),"")</f>
        <v/>
      </c>
      <c r="U19" s="7" t="str">
        <f ca="1">IFERROR(__xludf.DUMMYFUNCTION("SPARKLINE({
IF(E19="""",0,E19),
IF(G19="""",0,G19),
IF(I19="""",0,I19),
IF(K19="""",0,K19),
IF(M19="""",0,M19),
IF(O19="""",0,O19),
IF(Q19="""",0,Q19)
})"),"")</f>
        <v/>
      </c>
      <c r="V19" s="30" t="e">
        <f t="array" aca="1" ref="V19" ca="1">IF($C$4="Giao",_xludf.Xlookup(C19,#REF!,#REF!,),_xludf.Xlookup(C19,#REF!,#REF!,))</f>
        <v>#NAME?</v>
      </c>
      <c r="W19" s="30" t="e">
        <f t="array" aca="1" ref="W19" ca="1">IF($C$4="Giao", _xludf.Xlookup(C19,#REF!,#REF!,),_xludf.Xlookup(C19,#REF!,#REF!,))</f>
        <v>#NAME?</v>
      </c>
      <c r="X19" s="9" t="e">
        <f t="shared" ca="1" si="2"/>
        <v>#NAME?</v>
      </c>
      <c r="Y19" s="7"/>
      <c r="Z19" s="31" t="e">
        <f t="shared" ca="1" si="3"/>
        <v>#NAME?</v>
      </c>
    </row>
    <row r="20" spans="1:26" ht="13" x14ac:dyDescent="0.6">
      <c r="A20" s="28">
        <f t="shared" ca="1" si="1"/>
        <v>13</v>
      </c>
      <c r="B20" s="7" t="str">
        <f ca="1">IFERROR(__xludf.DUMMYFUNCTION("""COMPUTED_VALUE"""),"Huyện Châu Đức")</f>
        <v>Huyện Châu Đức</v>
      </c>
      <c r="C20" s="7" t="str">
        <f ca="1">IFERROR(__xludf.DUMMYFUNCTION("""COMPUTED_VALUE"""),"Bưu Cục Thôn Thành Long-Châu Đức-Bà Rịa Vũng Tàu")</f>
        <v>Bưu Cục Thôn Thành Long-Châu Đức-Bà Rịa Vũng Tàu</v>
      </c>
      <c r="D20" s="9">
        <f ca="1">IFERROR(__xludf.DUMMYFUNCTION("""COMPUTED_VALUE"""),128)</f>
        <v>128</v>
      </c>
      <c r="E20" s="9">
        <f ca="1">IFERROR(__xludf.DUMMYFUNCTION("""COMPUTED_VALUE"""),528)</f>
        <v>528</v>
      </c>
      <c r="F20" s="9">
        <f ca="1">IFERROR(__xludf.DUMMYFUNCTION("""COMPUTED_VALUE"""),134)</f>
        <v>134</v>
      </c>
      <c r="G20" s="9">
        <f ca="1">IFERROR(__xludf.DUMMYFUNCTION("""COMPUTED_VALUE"""),631)</f>
        <v>631</v>
      </c>
      <c r="H20" s="9">
        <f ca="1">IFERROR(__xludf.DUMMYFUNCTION("""COMPUTED_VALUE"""),114)</f>
        <v>114</v>
      </c>
      <c r="I20" s="9">
        <f ca="1">IFERROR(__xludf.DUMMYFUNCTION("""COMPUTED_VALUE"""),304)</f>
        <v>304</v>
      </c>
      <c r="J20" s="9">
        <f ca="1">IFERROR(__xludf.DUMMYFUNCTION("""COMPUTED_VALUE"""),110)</f>
        <v>110</v>
      </c>
      <c r="K20" s="9">
        <f ca="1">IFERROR(__xludf.DUMMYFUNCTION("""COMPUTED_VALUE"""),329)</f>
        <v>329</v>
      </c>
      <c r="L20" s="9">
        <f ca="1">IFERROR(__xludf.DUMMYFUNCTION("""COMPUTED_VALUE"""),70)</f>
        <v>70</v>
      </c>
      <c r="M20" s="9">
        <f ca="1">IFERROR(__xludf.DUMMYFUNCTION("""COMPUTED_VALUE"""),220)</f>
        <v>220</v>
      </c>
      <c r="N20" s="9">
        <f ca="1">IFERROR(__xludf.DUMMYFUNCTION("""COMPUTED_VALUE"""),116)</f>
        <v>116</v>
      </c>
      <c r="O20" s="9">
        <f ca="1">IFERROR(__xludf.DUMMYFUNCTION("""COMPUTED_VALUE"""),400)</f>
        <v>400</v>
      </c>
      <c r="P20" s="29">
        <f ca="1">IFERROR(__xludf.DUMMYFUNCTION("""COMPUTED_VALUE"""),114)</f>
        <v>114</v>
      </c>
      <c r="Q20" s="29">
        <f ca="1">IFERROR(__xludf.DUMMYFUNCTION("""COMPUTED_VALUE"""),441)</f>
        <v>441</v>
      </c>
      <c r="R20" s="7" t="str">
        <f ca="1">IFERROR(__xludf.DUMMYFUNCTION("""COMPUTED_VALUE"""),"Bà Rịa - Vũng Tàu")</f>
        <v>Bà Rịa - Vũng Tàu</v>
      </c>
      <c r="S20" s="7" t="str">
        <f ca="1">IFERROR(__xludf.DUMMYFUNCTION("""COMPUTED_VALUE"""),"Huyện Châu Đức")</f>
        <v>Huyện Châu Đức</v>
      </c>
      <c r="T20" s="7" t="str">
        <f ca="1">IFERROR(__xludf.DUMMYFUNCTION("SPARKLINE({
IF(D20="""",0,D20),
IF(F20="""",0,F20),
IF(H20="""",0,H20),
IF(J20="""",0,J20),
IF(L20="""",0,L20),
IF(N20="""",0,N20),
IF(P20="""",0,P20)
})"),"")</f>
        <v/>
      </c>
      <c r="U20" s="7" t="str">
        <f ca="1">IFERROR(__xludf.DUMMYFUNCTION("SPARKLINE({
IF(E20="""",0,E20),
IF(G20="""",0,G20),
IF(I20="""",0,I20),
IF(K20="""",0,K20),
IF(M20="""",0,M20),
IF(O20="""",0,O20),
IF(Q20="""",0,Q20)
})"),"")</f>
        <v/>
      </c>
      <c r="V20" s="30" t="e">
        <f t="array" aca="1" ref="V20" ca="1">IF($C$4="Giao",_xludf.Xlookup(C20,#REF!,#REF!,),_xludf.Xlookup(C20,#REF!,#REF!,))</f>
        <v>#NAME?</v>
      </c>
      <c r="W20" s="30" t="e">
        <f t="array" aca="1" ref="W20" ca="1">IF($C$4="Giao", _xludf.Xlookup(C20,#REF!,#REF!,),_xludf.Xlookup(C20,#REF!,#REF!,))</f>
        <v>#NAME?</v>
      </c>
      <c r="X20" s="9" t="e">
        <f t="shared" ca="1" si="2"/>
        <v>#NAME?</v>
      </c>
      <c r="Y20" s="7"/>
      <c r="Z20" s="7"/>
    </row>
    <row r="21" spans="1:26" ht="13" x14ac:dyDescent="0.6">
      <c r="A21" s="28">
        <f t="shared" ca="1" si="1"/>
        <v>14</v>
      </c>
      <c r="B21" s="7" t="str">
        <f ca="1">IFERROR(__xludf.DUMMYFUNCTION("""COMPUTED_VALUE"""),"Huyện Củ Chi")</f>
        <v>Huyện Củ Chi</v>
      </c>
      <c r="C21" s="7" t="str">
        <f ca="1">IFERROR(__xludf.DUMMYFUNCTION("""COMPUTED_VALUE"""),"Bưu Cục 02 Đường Số 28 - Củ Chi - HCM")</f>
        <v>Bưu Cục 02 Đường Số 28 - Củ Chi - HCM</v>
      </c>
      <c r="D21" s="9">
        <f ca="1">IFERROR(__xludf.DUMMYFUNCTION("""COMPUTED_VALUE"""),1167)</f>
        <v>1167</v>
      </c>
      <c r="E21" s="9">
        <f ca="1">IFERROR(__xludf.DUMMYFUNCTION("""COMPUTED_VALUE"""),4618)</f>
        <v>4618</v>
      </c>
      <c r="F21" s="9">
        <f ca="1">IFERROR(__xludf.DUMMYFUNCTION("""COMPUTED_VALUE"""),1302)</f>
        <v>1302</v>
      </c>
      <c r="G21" s="9">
        <f ca="1">IFERROR(__xludf.DUMMYFUNCTION("""COMPUTED_VALUE"""),3320)</f>
        <v>3320</v>
      </c>
      <c r="H21" s="9">
        <f ca="1">IFERROR(__xludf.DUMMYFUNCTION("""COMPUTED_VALUE"""),1123)</f>
        <v>1123</v>
      </c>
      <c r="I21" s="9">
        <f ca="1">IFERROR(__xludf.DUMMYFUNCTION("""COMPUTED_VALUE"""),3703)</f>
        <v>3703</v>
      </c>
      <c r="J21" s="9">
        <f ca="1">IFERROR(__xludf.DUMMYFUNCTION("""COMPUTED_VALUE"""),1335)</f>
        <v>1335</v>
      </c>
      <c r="K21" s="9">
        <f ca="1">IFERROR(__xludf.DUMMYFUNCTION("""COMPUTED_VALUE"""),5592)</f>
        <v>5592</v>
      </c>
      <c r="L21" s="9">
        <f ca="1">IFERROR(__xludf.DUMMYFUNCTION("""COMPUTED_VALUE"""),500)</f>
        <v>500</v>
      </c>
      <c r="M21" s="9">
        <f ca="1">IFERROR(__xludf.DUMMYFUNCTION("""COMPUTED_VALUE"""),1459)</f>
        <v>1459</v>
      </c>
      <c r="N21" s="9">
        <f ca="1">IFERROR(__xludf.DUMMYFUNCTION("""COMPUTED_VALUE"""),1131)</f>
        <v>1131</v>
      </c>
      <c r="O21" s="9">
        <f ca="1">IFERROR(__xludf.DUMMYFUNCTION("""COMPUTED_VALUE"""),3530)</f>
        <v>3530</v>
      </c>
      <c r="P21" s="29">
        <f ca="1">IFERROR(__xludf.DUMMYFUNCTION("""COMPUTED_VALUE"""),918)</f>
        <v>918</v>
      </c>
      <c r="Q21" s="29">
        <f ca="1">IFERROR(__xludf.DUMMYFUNCTION("""COMPUTED_VALUE"""),4033)</f>
        <v>4033</v>
      </c>
      <c r="R21" s="7" t="str">
        <f ca="1">IFERROR(__xludf.DUMMYFUNCTION("""COMPUTED_VALUE"""),"Hồ Chí Minh")</f>
        <v>Hồ Chí Minh</v>
      </c>
      <c r="S21" s="7" t="str">
        <f ca="1">IFERROR(__xludf.DUMMYFUNCTION("""COMPUTED_VALUE"""),"Huyện Củ Chi")</f>
        <v>Huyện Củ Chi</v>
      </c>
      <c r="T21" s="7" t="str">
        <f ca="1">IFERROR(__xludf.DUMMYFUNCTION("SPARKLINE({
IF(D21="""",0,D21),
IF(F21="""",0,F21),
IF(H21="""",0,H21),
IF(J21="""",0,J21),
IF(L21="""",0,L21),
IF(N21="""",0,N21),
IF(P21="""",0,P21)
})"),"")</f>
        <v/>
      </c>
      <c r="U21" s="7" t="str">
        <f ca="1">IFERROR(__xludf.DUMMYFUNCTION("SPARKLINE({
IF(E21="""",0,E21),
IF(G21="""",0,G21),
IF(I21="""",0,I21),
IF(K21="""",0,K21),
IF(M21="""",0,M21),
IF(O21="""",0,O21),
IF(Q21="""",0,Q21)
})"),"")</f>
        <v/>
      </c>
      <c r="V21" s="30" t="e">
        <f t="array" aca="1" ref="V21" ca="1">IF($C$4="Giao",_xludf.Xlookup(C21,#REF!,#REF!,),_xludf.Xlookup(C21,#REF!,#REF!,))</f>
        <v>#NAME?</v>
      </c>
      <c r="W21" s="30" t="e">
        <f t="array" aca="1" ref="W21" ca="1">IF($C$4="Giao", _xludf.Xlookup(C21,#REF!,#REF!,),_xludf.Xlookup(C21,#REF!,#REF!,))</f>
        <v>#NAME?</v>
      </c>
      <c r="X21" s="9" t="e">
        <f t="shared" ca="1" si="2"/>
        <v>#NAME?</v>
      </c>
      <c r="Y21" s="7"/>
      <c r="Z21" s="7"/>
    </row>
    <row r="22" spans="1:26" ht="13" x14ac:dyDescent="0.6">
      <c r="A22" s="28">
        <f t="shared" ca="1" si="1"/>
        <v>15</v>
      </c>
      <c r="B22" s="7" t="str">
        <f ca="1">IFERROR(__xludf.DUMMYFUNCTION("""COMPUTED_VALUE"""),"Huyện Củ Chi")</f>
        <v>Huyện Củ Chi</v>
      </c>
      <c r="C22" s="7" t="str">
        <f ca="1">IFERROR(__xludf.DUMMYFUNCTION("""COMPUTED_VALUE"""),"Bưu Cục 242 Tỉnh Lộ 2-Củ Chi-HCM")</f>
        <v>Bưu Cục 242 Tỉnh Lộ 2-Củ Chi-HCM</v>
      </c>
      <c r="D22" s="9">
        <f ca="1">IFERROR(__xludf.DUMMYFUNCTION("""COMPUTED_VALUE"""),412)</f>
        <v>412</v>
      </c>
      <c r="E22" s="9">
        <f ca="1">IFERROR(__xludf.DUMMYFUNCTION("""COMPUTED_VALUE"""),2761)</f>
        <v>2761</v>
      </c>
      <c r="F22" s="9">
        <f ca="1">IFERROR(__xludf.DUMMYFUNCTION("""COMPUTED_VALUE"""),404)</f>
        <v>404</v>
      </c>
      <c r="G22" s="9">
        <f ca="1">IFERROR(__xludf.DUMMYFUNCTION("""COMPUTED_VALUE"""),2607)</f>
        <v>2607</v>
      </c>
      <c r="H22" s="9">
        <f ca="1">IFERROR(__xludf.DUMMYFUNCTION("""COMPUTED_VALUE"""),366)</f>
        <v>366</v>
      </c>
      <c r="I22" s="9">
        <f ca="1">IFERROR(__xludf.DUMMYFUNCTION("""COMPUTED_VALUE"""),2572)</f>
        <v>2572</v>
      </c>
      <c r="J22" s="9">
        <f ca="1">IFERROR(__xludf.DUMMYFUNCTION("""COMPUTED_VALUE"""),381)</f>
        <v>381</v>
      </c>
      <c r="K22" s="9">
        <f ca="1">IFERROR(__xludf.DUMMYFUNCTION("""COMPUTED_VALUE"""),2634)</f>
        <v>2634</v>
      </c>
      <c r="L22" s="9">
        <f ca="1">IFERROR(__xludf.DUMMYFUNCTION("""COMPUTED_VALUE"""),150)</f>
        <v>150</v>
      </c>
      <c r="M22" s="9">
        <f ca="1">IFERROR(__xludf.DUMMYFUNCTION("""COMPUTED_VALUE"""),506)</f>
        <v>506</v>
      </c>
      <c r="N22" s="9">
        <f ca="1">IFERROR(__xludf.DUMMYFUNCTION("""COMPUTED_VALUE"""),488)</f>
        <v>488</v>
      </c>
      <c r="O22" s="9">
        <f ca="1">IFERROR(__xludf.DUMMYFUNCTION("""COMPUTED_VALUE"""),3118)</f>
        <v>3118</v>
      </c>
      <c r="P22" s="29">
        <f ca="1">IFERROR(__xludf.DUMMYFUNCTION("""COMPUTED_VALUE"""),404)</f>
        <v>404</v>
      </c>
      <c r="Q22" s="29">
        <f ca="1">IFERROR(__xludf.DUMMYFUNCTION("""COMPUTED_VALUE"""),2367)</f>
        <v>2367</v>
      </c>
      <c r="R22" s="7" t="str">
        <f ca="1">IFERROR(__xludf.DUMMYFUNCTION("""COMPUTED_VALUE"""),"Hồ Chí Minh")</f>
        <v>Hồ Chí Minh</v>
      </c>
      <c r="S22" s="7" t="str">
        <f ca="1">IFERROR(__xludf.DUMMYFUNCTION("""COMPUTED_VALUE"""),"Huyện Củ Chi")</f>
        <v>Huyện Củ Chi</v>
      </c>
      <c r="T22" s="7" t="str">
        <f ca="1">IFERROR(__xludf.DUMMYFUNCTION("SPARKLINE({
IF(D22="""",0,D22),
IF(F22="""",0,F22),
IF(H22="""",0,H22),
IF(J22="""",0,J22),
IF(L22="""",0,L22),
IF(N22="""",0,N22),
IF(P22="""",0,P22)
})"),"")</f>
        <v/>
      </c>
      <c r="U22" s="7" t="str">
        <f ca="1">IFERROR(__xludf.DUMMYFUNCTION("SPARKLINE({
IF(E22="""",0,E22),
IF(G22="""",0,G22),
IF(I22="""",0,I22),
IF(K22="""",0,K22),
IF(M22="""",0,M22),
IF(O22="""",0,O22),
IF(Q22="""",0,Q22)
})"),"")</f>
        <v/>
      </c>
      <c r="V22" s="30" t="e">
        <f t="array" aca="1" ref="V22" ca="1">IF($C$4="Giao",_xludf.Xlookup(C22,#REF!,#REF!,),_xludf.Xlookup(C22,#REF!,#REF!,))</f>
        <v>#NAME?</v>
      </c>
      <c r="W22" s="30" t="e">
        <f t="array" aca="1" ref="W22" ca="1">IF($C$4="Giao", _xludf.Xlookup(C22,#REF!,#REF!,),_xludf.Xlookup(C22,#REF!,#REF!,))</f>
        <v>#NAME?</v>
      </c>
      <c r="X22" s="9" t="e">
        <f t="shared" ca="1" si="2"/>
        <v>#NAME?</v>
      </c>
      <c r="Y22" s="7"/>
      <c r="Z22" s="7"/>
    </row>
    <row r="23" spans="1:26" ht="13" x14ac:dyDescent="0.6">
      <c r="A23" s="28">
        <f t="shared" ca="1" si="1"/>
        <v>16</v>
      </c>
      <c r="B23" s="7" t="str">
        <f ca="1">IFERROR(__xludf.DUMMYFUNCTION("""COMPUTED_VALUE"""),"Huyện Củ Chi")</f>
        <v>Huyện Củ Chi</v>
      </c>
      <c r="C23" s="7" t="str">
        <f ca="1">IFERROR(__xludf.DUMMYFUNCTION("""COMPUTED_VALUE"""),"Bưu Cục 390 Nguyễn Kim Cương-Tân Thạnh Đông-Củ Chi")</f>
        <v>Bưu Cục 390 Nguyễn Kim Cương-Tân Thạnh Đông-Củ Chi</v>
      </c>
      <c r="D23" s="9">
        <f ca="1">IFERROR(__xludf.DUMMYFUNCTION("""COMPUTED_VALUE"""),1085)</f>
        <v>1085</v>
      </c>
      <c r="E23" s="9">
        <f ca="1">IFERROR(__xludf.DUMMYFUNCTION("""COMPUTED_VALUE"""),6849)</f>
        <v>6849</v>
      </c>
      <c r="F23" s="9">
        <f ca="1">IFERROR(__xludf.DUMMYFUNCTION("""COMPUTED_VALUE"""),836)</f>
        <v>836</v>
      </c>
      <c r="G23" s="9">
        <f ca="1">IFERROR(__xludf.DUMMYFUNCTION("""COMPUTED_VALUE"""),6287)</f>
        <v>6287</v>
      </c>
      <c r="H23" s="9">
        <f ca="1">IFERROR(__xludf.DUMMYFUNCTION("""COMPUTED_VALUE"""),1045)</f>
        <v>1045</v>
      </c>
      <c r="I23" s="9">
        <f ca="1">IFERROR(__xludf.DUMMYFUNCTION("""COMPUTED_VALUE"""),5658)</f>
        <v>5658</v>
      </c>
      <c r="J23" s="9">
        <f ca="1">IFERROR(__xludf.DUMMYFUNCTION("""COMPUTED_VALUE"""),1295)</f>
        <v>1295</v>
      </c>
      <c r="K23" s="9">
        <f ca="1">IFERROR(__xludf.DUMMYFUNCTION("""COMPUTED_VALUE"""),10058)</f>
        <v>10058</v>
      </c>
      <c r="L23" s="9">
        <f ca="1">IFERROR(__xludf.DUMMYFUNCTION("""COMPUTED_VALUE"""),430)</f>
        <v>430</v>
      </c>
      <c r="M23" s="9">
        <f ca="1">IFERROR(__xludf.DUMMYFUNCTION("""COMPUTED_VALUE"""),1130)</f>
        <v>1130</v>
      </c>
      <c r="N23" s="9">
        <f ca="1">IFERROR(__xludf.DUMMYFUNCTION("""COMPUTED_VALUE"""),2269)</f>
        <v>2269</v>
      </c>
      <c r="O23" s="9">
        <f ca="1">IFERROR(__xludf.DUMMYFUNCTION("""COMPUTED_VALUE"""),12328)</f>
        <v>12328</v>
      </c>
      <c r="P23" s="29">
        <f ca="1">IFERROR(__xludf.DUMMYFUNCTION("""COMPUTED_VALUE"""),1282)</f>
        <v>1282</v>
      </c>
      <c r="Q23" s="29">
        <f ca="1">IFERROR(__xludf.DUMMYFUNCTION("""COMPUTED_VALUE"""),6510)</f>
        <v>6510</v>
      </c>
      <c r="R23" s="7" t="str">
        <f ca="1">IFERROR(__xludf.DUMMYFUNCTION("""COMPUTED_VALUE"""),"Hồ Chí Minh")</f>
        <v>Hồ Chí Minh</v>
      </c>
      <c r="S23" s="7" t="str">
        <f ca="1">IFERROR(__xludf.DUMMYFUNCTION("""COMPUTED_VALUE"""),"Huyện Củ Chi")</f>
        <v>Huyện Củ Chi</v>
      </c>
      <c r="T23" s="7" t="str">
        <f ca="1">IFERROR(__xludf.DUMMYFUNCTION("SPARKLINE({
IF(D23="""",0,D23),
IF(F23="""",0,F23),
IF(H23="""",0,H23),
IF(J23="""",0,J23),
IF(L23="""",0,L23),
IF(N23="""",0,N23),
IF(P23="""",0,P23)
})"),"")</f>
        <v/>
      </c>
      <c r="U23" s="7" t="str">
        <f ca="1">IFERROR(__xludf.DUMMYFUNCTION("SPARKLINE({
IF(E23="""",0,E23),
IF(G23="""",0,G23),
IF(I23="""",0,I23),
IF(K23="""",0,K23),
IF(M23="""",0,M23),
IF(O23="""",0,O23),
IF(Q23="""",0,Q23)
})"),"")</f>
        <v/>
      </c>
      <c r="V23" s="30" t="e">
        <f t="array" aca="1" ref="V23" ca="1">IF($C$4="Giao",_xludf.Xlookup(C23,#REF!,#REF!,),_xludf.Xlookup(C23,#REF!,#REF!,))</f>
        <v>#NAME?</v>
      </c>
      <c r="W23" s="30" t="e">
        <f t="array" aca="1" ref="W23" ca="1">IF($C$4="Giao", _xludf.Xlookup(C23,#REF!,#REF!,),_xludf.Xlookup(C23,#REF!,#REF!,))</f>
        <v>#NAME?</v>
      </c>
      <c r="X23" s="9" t="e">
        <f t="shared" ca="1" si="2"/>
        <v>#NAME?</v>
      </c>
      <c r="Y23" s="7"/>
      <c r="Z23" s="7"/>
    </row>
    <row r="24" spans="1:26" ht="13" x14ac:dyDescent="0.6">
      <c r="A24" s="28">
        <f t="shared" ca="1" si="1"/>
        <v>17</v>
      </c>
      <c r="B24" s="7" t="str">
        <f ca="1">IFERROR(__xludf.DUMMYFUNCTION("""COMPUTED_VALUE"""),"Huyện Củ Chi")</f>
        <v>Huyện Củ Chi</v>
      </c>
      <c r="C24" s="7" t="str">
        <f ca="1">IFERROR(__xludf.DUMMYFUNCTION("""COMPUTED_VALUE"""),"Bưu Cục 593A Tỉnh Lộ 15-Củ Chi-HCM")</f>
        <v>Bưu Cục 593A Tỉnh Lộ 15-Củ Chi-HCM</v>
      </c>
      <c r="D24" s="9">
        <f ca="1">IFERROR(__xludf.DUMMYFUNCTION("""COMPUTED_VALUE"""),549)</f>
        <v>549</v>
      </c>
      <c r="E24" s="9">
        <f ca="1">IFERROR(__xludf.DUMMYFUNCTION("""COMPUTED_VALUE"""),3813)</f>
        <v>3813</v>
      </c>
      <c r="F24" s="9">
        <f ca="1">IFERROR(__xludf.DUMMYFUNCTION("""COMPUTED_VALUE"""),421)</f>
        <v>421</v>
      </c>
      <c r="G24" s="9">
        <f ca="1">IFERROR(__xludf.DUMMYFUNCTION("""COMPUTED_VALUE"""),3971)</f>
        <v>3971</v>
      </c>
      <c r="H24" s="9">
        <f ca="1">IFERROR(__xludf.DUMMYFUNCTION("""COMPUTED_VALUE"""),356)</f>
        <v>356</v>
      </c>
      <c r="I24" s="9">
        <f ca="1">IFERROR(__xludf.DUMMYFUNCTION("""COMPUTED_VALUE"""),3893)</f>
        <v>3893</v>
      </c>
      <c r="J24" s="9">
        <f ca="1">IFERROR(__xludf.DUMMYFUNCTION("""COMPUTED_VALUE"""),403)</f>
        <v>403</v>
      </c>
      <c r="K24" s="9">
        <f ca="1">IFERROR(__xludf.DUMMYFUNCTION("""COMPUTED_VALUE"""),3733)</f>
        <v>3733</v>
      </c>
      <c r="L24" s="9">
        <f ca="1">IFERROR(__xludf.DUMMYFUNCTION("""COMPUTED_VALUE"""),382)</f>
        <v>382</v>
      </c>
      <c r="M24" s="9">
        <f ca="1">IFERROR(__xludf.DUMMYFUNCTION("""COMPUTED_VALUE"""),2868)</f>
        <v>2868</v>
      </c>
      <c r="N24" s="9">
        <f ca="1">IFERROR(__xludf.DUMMYFUNCTION("""COMPUTED_VALUE"""),360)</f>
        <v>360</v>
      </c>
      <c r="O24" s="9">
        <f ca="1">IFERROR(__xludf.DUMMYFUNCTION("""COMPUTED_VALUE"""),3340)</f>
        <v>3340</v>
      </c>
      <c r="P24" s="29">
        <f ca="1">IFERROR(__xludf.DUMMYFUNCTION("""COMPUTED_VALUE"""),396)</f>
        <v>396</v>
      </c>
      <c r="Q24" s="29">
        <f ca="1">IFERROR(__xludf.DUMMYFUNCTION("""COMPUTED_VALUE"""),3474)</f>
        <v>3474</v>
      </c>
      <c r="R24" s="7" t="str">
        <f ca="1">IFERROR(__xludf.DUMMYFUNCTION("""COMPUTED_VALUE"""),"Hồ Chí Minh")</f>
        <v>Hồ Chí Minh</v>
      </c>
      <c r="S24" s="7" t="str">
        <f ca="1">IFERROR(__xludf.DUMMYFUNCTION("""COMPUTED_VALUE"""),"Huyện Củ Chi")</f>
        <v>Huyện Củ Chi</v>
      </c>
      <c r="T24" s="7" t="str">
        <f ca="1">IFERROR(__xludf.DUMMYFUNCTION("SPARKLINE({
IF(D24="""",0,D24),
IF(F24="""",0,F24),
IF(H24="""",0,H24),
IF(J24="""",0,J24),
IF(L24="""",0,L24),
IF(N24="""",0,N24),
IF(P24="""",0,P24)
})"),"")</f>
        <v/>
      </c>
      <c r="U24" s="7" t="str">
        <f ca="1">IFERROR(__xludf.DUMMYFUNCTION("SPARKLINE({
IF(E24="""",0,E24),
IF(G24="""",0,G24),
IF(I24="""",0,I24),
IF(K24="""",0,K24),
IF(M24="""",0,M24),
IF(O24="""",0,O24),
IF(Q24="""",0,Q24)
})"),"")</f>
        <v/>
      </c>
      <c r="V24" s="30" t="e">
        <f t="array" aca="1" ref="V24" ca="1">IF($C$4="Giao",_xludf.Xlookup(C24,#REF!,#REF!,),_xludf.Xlookup(C24,#REF!,#REF!,))</f>
        <v>#NAME?</v>
      </c>
      <c r="W24" s="30" t="e">
        <f t="array" aca="1" ref="W24" ca="1">IF($C$4="Giao", _xludf.Xlookup(C24,#REF!,#REF!,),_xludf.Xlookup(C24,#REF!,#REF!,))</f>
        <v>#NAME?</v>
      </c>
      <c r="X24" s="9" t="e">
        <f t="shared" ca="1" si="2"/>
        <v>#NAME?</v>
      </c>
      <c r="Y24" s="7"/>
      <c r="Z24" s="7"/>
    </row>
    <row r="25" spans="1:26" ht="13" x14ac:dyDescent="0.6">
      <c r="A25" s="28">
        <f t="shared" ca="1" si="1"/>
        <v>18</v>
      </c>
      <c r="B25" s="7" t="str">
        <f ca="1">IFERROR(__xludf.DUMMYFUNCTION("""COMPUTED_VALUE"""),"Huyện đảo Côn Đảo")</f>
        <v>Huyện đảo Côn Đảo</v>
      </c>
      <c r="C25" s="7" t="str">
        <f ca="1">IFERROR(__xludf.DUMMYFUNCTION("""COMPUTED_VALUE"""),"Bưu Cục Côn Đảo-Bà Rịa Vũng Tàu")</f>
        <v>Bưu Cục Côn Đảo-Bà Rịa Vũng Tàu</v>
      </c>
      <c r="D25" s="9">
        <f ca="1">IFERROR(__xludf.DUMMYFUNCTION("""COMPUTED_VALUE"""),20)</f>
        <v>20</v>
      </c>
      <c r="E25" s="9">
        <f ca="1">IFERROR(__xludf.DUMMYFUNCTION("""COMPUTED_VALUE"""),19)</f>
        <v>19</v>
      </c>
      <c r="F25" s="9">
        <f ca="1">IFERROR(__xludf.DUMMYFUNCTION("""COMPUTED_VALUE"""),20)</f>
        <v>20</v>
      </c>
      <c r="G25" s="9">
        <f ca="1">IFERROR(__xludf.DUMMYFUNCTION("""COMPUTED_VALUE"""),149)</f>
        <v>149</v>
      </c>
      <c r="H25" s="9">
        <f ca="1">IFERROR(__xludf.DUMMYFUNCTION("""COMPUTED_VALUE"""),18)</f>
        <v>18</v>
      </c>
      <c r="I25" s="9">
        <f ca="1">IFERROR(__xludf.DUMMYFUNCTION("""COMPUTED_VALUE"""),73)</f>
        <v>73</v>
      </c>
      <c r="J25" s="9">
        <f ca="1">IFERROR(__xludf.DUMMYFUNCTION("""COMPUTED_VALUE"""),14)</f>
        <v>14</v>
      </c>
      <c r="K25" s="9">
        <f ca="1">IFERROR(__xludf.DUMMYFUNCTION("""COMPUTED_VALUE"""),33)</f>
        <v>33</v>
      </c>
      <c r="L25" s="9">
        <f ca="1">IFERROR(__xludf.DUMMYFUNCTION("""COMPUTED_VALUE"""),15)</f>
        <v>15</v>
      </c>
      <c r="M25" s="9">
        <f ca="1">IFERROR(__xludf.DUMMYFUNCTION("""COMPUTED_VALUE"""),24)</f>
        <v>24</v>
      </c>
      <c r="N25" s="9">
        <f ca="1">IFERROR(__xludf.DUMMYFUNCTION("""COMPUTED_VALUE"""),13)</f>
        <v>13</v>
      </c>
      <c r="O25" s="9">
        <f ca="1">IFERROR(__xludf.DUMMYFUNCTION("""COMPUTED_VALUE"""),24)</f>
        <v>24</v>
      </c>
      <c r="P25" s="29">
        <f ca="1">IFERROR(__xludf.DUMMYFUNCTION("""COMPUTED_VALUE"""),15)</f>
        <v>15</v>
      </c>
      <c r="Q25" s="29">
        <f ca="1">IFERROR(__xludf.DUMMYFUNCTION("""COMPUTED_VALUE"""),105)</f>
        <v>105</v>
      </c>
      <c r="R25" s="7" t="str">
        <f ca="1">IFERROR(__xludf.DUMMYFUNCTION("""COMPUTED_VALUE"""),"Bà Rịa - Vũng Tàu")</f>
        <v>Bà Rịa - Vũng Tàu</v>
      </c>
      <c r="S25" s="7" t="str">
        <f ca="1">IFERROR(__xludf.DUMMYFUNCTION("""COMPUTED_VALUE"""),"Huyện đảo Côn Đảo")</f>
        <v>Huyện đảo Côn Đảo</v>
      </c>
      <c r="T25" s="7" t="str">
        <f ca="1">IFERROR(__xludf.DUMMYFUNCTION("SPARKLINE({
IF(D25="""",0,D25),
IF(F25="""",0,F25),
IF(H25="""",0,H25),
IF(J25="""",0,J25),
IF(L25="""",0,L25),
IF(N25="""",0,N25),
IF(P25="""",0,P25)
})"),"")</f>
        <v/>
      </c>
      <c r="U25" s="7" t="str">
        <f ca="1">IFERROR(__xludf.DUMMYFUNCTION("SPARKLINE({
IF(E25="""",0,E25),
IF(G25="""",0,G25),
IF(I25="""",0,I25),
IF(K25="""",0,K25),
IF(M25="""",0,M25),
IF(O25="""",0,O25),
IF(Q25="""",0,Q25)
})"),"")</f>
        <v/>
      </c>
      <c r="V25" s="30" t="e">
        <f t="array" aca="1" ref="V25" ca="1">IF($C$4="Giao",_xludf.Xlookup(C25,#REF!,#REF!,),_xludf.Xlookup(C25,#REF!,#REF!,))</f>
        <v>#NAME?</v>
      </c>
      <c r="W25" s="30" t="e">
        <f t="array" aca="1" ref="W25" ca="1">IF($C$4="Giao", _xludf.Xlookup(C25,#REF!,#REF!,),_xludf.Xlookup(C25,#REF!,#REF!,))</f>
        <v>#NAME?</v>
      </c>
      <c r="X25" s="9" t="e">
        <f t="shared" ca="1" si="2"/>
        <v>#NAME?</v>
      </c>
      <c r="Y25" s="7"/>
      <c r="Z25" s="7"/>
    </row>
    <row r="26" spans="1:26" ht="13" x14ac:dyDescent="0.6">
      <c r="A26" s="28">
        <f t="shared" ca="1" si="1"/>
        <v>19</v>
      </c>
      <c r="B26" s="7" t="str">
        <f ca="1">IFERROR(__xludf.DUMMYFUNCTION("""COMPUTED_VALUE"""),"Huyện Đất Đỏ")</f>
        <v>Huyện Đất Đỏ</v>
      </c>
      <c r="C26" s="7" t="str">
        <f ca="1">IFERROR(__xludf.DUMMYFUNCTION("""COMPUTED_VALUE"""),"Bưu Cục KP Thanh Long -Đất Đỏ-Bà Rịa Vũng Tàu")</f>
        <v>Bưu Cục KP Thanh Long -Đất Đỏ-Bà Rịa Vũng Tàu</v>
      </c>
      <c r="D26" s="9">
        <f ca="1">IFERROR(__xludf.DUMMYFUNCTION("""COMPUTED_VALUE"""),319)</f>
        <v>319</v>
      </c>
      <c r="E26" s="9">
        <f ca="1">IFERROR(__xludf.DUMMYFUNCTION("""COMPUTED_VALUE"""),426)</f>
        <v>426</v>
      </c>
      <c r="F26" s="9">
        <f ca="1">IFERROR(__xludf.DUMMYFUNCTION("""COMPUTED_VALUE"""),505)</f>
        <v>505</v>
      </c>
      <c r="G26" s="9">
        <f ca="1">IFERROR(__xludf.DUMMYFUNCTION("""COMPUTED_VALUE"""),451)</f>
        <v>451</v>
      </c>
      <c r="H26" s="9">
        <f ca="1">IFERROR(__xludf.DUMMYFUNCTION("""COMPUTED_VALUE"""),483)</f>
        <v>483</v>
      </c>
      <c r="I26" s="9">
        <f ca="1">IFERROR(__xludf.DUMMYFUNCTION("""COMPUTED_VALUE"""),440)</f>
        <v>440</v>
      </c>
      <c r="J26" s="9">
        <f ca="1">IFERROR(__xludf.DUMMYFUNCTION("""COMPUTED_VALUE"""),650)</f>
        <v>650</v>
      </c>
      <c r="K26" s="9">
        <f ca="1">IFERROR(__xludf.DUMMYFUNCTION("""COMPUTED_VALUE"""),780)</f>
        <v>780</v>
      </c>
      <c r="L26" s="9">
        <f ca="1">IFERROR(__xludf.DUMMYFUNCTION("""COMPUTED_VALUE"""),486)</f>
        <v>486</v>
      </c>
      <c r="M26" s="9">
        <f ca="1">IFERROR(__xludf.DUMMYFUNCTION("""COMPUTED_VALUE"""),515)</f>
        <v>515</v>
      </c>
      <c r="N26" s="9">
        <f ca="1">IFERROR(__xludf.DUMMYFUNCTION("""COMPUTED_VALUE"""),433)</f>
        <v>433</v>
      </c>
      <c r="O26" s="9">
        <f ca="1">IFERROR(__xludf.DUMMYFUNCTION("""COMPUTED_VALUE"""),233)</f>
        <v>233</v>
      </c>
      <c r="P26" s="29">
        <f ca="1">IFERROR(__xludf.DUMMYFUNCTION("""COMPUTED_VALUE"""),526)</f>
        <v>526</v>
      </c>
      <c r="Q26" s="29">
        <f ca="1">IFERROR(__xludf.DUMMYFUNCTION("""COMPUTED_VALUE"""),375)</f>
        <v>375</v>
      </c>
      <c r="R26" s="7" t="str">
        <f ca="1">IFERROR(__xludf.DUMMYFUNCTION("""COMPUTED_VALUE"""),"Bà Rịa - Vũng Tàu")</f>
        <v>Bà Rịa - Vũng Tàu</v>
      </c>
      <c r="S26" s="7" t="str">
        <f ca="1">IFERROR(__xludf.DUMMYFUNCTION("""COMPUTED_VALUE"""),"Huyện Đất Đỏ")</f>
        <v>Huyện Đất Đỏ</v>
      </c>
      <c r="T26" s="7" t="str">
        <f ca="1">IFERROR(__xludf.DUMMYFUNCTION("SPARKLINE({
IF(D26="""",0,D26),
IF(F26="""",0,F26),
IF(H26="""",0,H26),
IF(J26="""",0,J26),
IF(L26="""",0,L26),
IF(N26="""",0,N26),
IF(P26="""",0,P26)
})"),"")</f>
        <v/>
      </c>
      <c r="U26" s="7" t="str">
        <f ca="1">IFERROR(__xludf.DUMMYFUNCTION("SPARKLINE({
IF(E26="""",0,E26),
IF(G26="""",0,G26),
IF(I26="""",0,I26),
IF(K26="""",0,K26),
IF(M26="""",0,M26),
IF(O26="""",0,O26),
IF(Q26="""",0,Q26)
})"),"")</f>
        <v/>
      </c>
      <c r="V26" s="30" t="e">
        <f t="array" aca="1" ref="V26" ca="1">IF($C$4="Giao",_xludf.Xlookup(C26,#REF!,#REF!,),_xludf.Xlookup(C26,#REF!,#REF!,))</f>
        <v>#NAME?</v>
      </c>
      <c r="W26" s="30" t="e">
        <f t="array" aca="1" ref="W26" ca="1">IF($C$4="Giao", _xludf.Xlookup(C26,#REF!,#REF!,),_xludf.Xlookup(C26,#REF!,#REF!,))</f>
        <v>#NAME?</v>
      </c>
      <c r="X26" s="9" t="e">
        <f t="shared" ca="1" si="2"/>
        <v>#NAME?</v>
      </c>
      <c r="Y26" s="7"/>
      <c r="Z26" s="31" t="e">
        <f t="shared" ref="Z26:Z37" ca="1" si="4">X26-Y26</f>
        <v>#NAME?</v>
      </c>
    </row>
    <row r="27" spans="1:26" ht="13" x14ac:dyDescent="0.6">
      <c r="A27" s="28">
        <f t="shared" ca="1" si="1"/>
        <v>20</v>
      </c>
      <c r="B27" s="7" t="str">
        <f ca="1">IFERROR(__xludf.DUMMYFUNCTION("""COMPUTED_VALUE"""),"Huyện Dầu Tiếng")</f>
        <v>Huyện Dầu Tiếng</v>
      </c>
      <c r="C27" s="7" t="str">
        <f ca="1">IFERROR(__xludf.DUMMYFUNCTION("""COMPUTED_VALUE"""),"Bưu Cục 04 Đường 13 tháng 3-Dầu Tiếng-Bình Dương")</f>
        <v>Bưu Cục 04 Đường 13 tháng 3-Dầu Tiếng-Bình Dương</v>
      </c>
      <c r="D27" s="9">
        <f ca="1">IFERROR(__xludf.DUMMYFUNCTION("""COMPUTED_VALUE"""),54)</f>
        <v>54</v>
      </c>
      <c r="E27" s="9">
        <f ca="1">IFERROR(__xludf.DUMMYFUNCTION("""COMPUTED_VALUE"""),162)</f>
        <v>162</v>
      </c>
      <c r="F27" s="9">
        <f ca="1">IFERROR(__xludf.DUMMYFUNCTION("""COMPUTED_VALUE"""),63)</f>
        <v>63</v>
      </c>
      <c r="G27" s="9">
        <f ca="1">IFERROR(__xludf.DUMMYFUNCTION("""COMPUTED_VALUE"""),151)</f>
        <v>151</v>
      </c>
      <c r="H27" s="9">
        <f ca="1">IFERROR(__xludf.DUMMYFUNCTION("""COMPUTED_VALUE"""),83)</f>
        <v>83</v>
      </c>
      <c r="I27" s="9">
        <f ca="1">IFERROR(__xludf.DUMMYFUNCTION("""COMPUTED_VALUE"""),570)</f>
        <v>570</v>
      </c>
      <c r="J27" s="9">
        <f ca="1">IFERROR(__xludf.DUMMYFUNCTION("""COMPUTED_VALUE"""),49)</f>
        <v>49</v>
      </c>
      <c r="K27" s="9">
        <f ca="1">IFERROR(__xludf.DUMMYFUNCTION("""COMPUTED_VALUE"""),141)</f>
        <v>141</v>
      </c>
      <c r="L27" s="9">
        <f ca="1">IFERROR(__xludf.DUMMYFUNCTION("""COMPUTED_VALUE"""),28)</f>
        <v>28</v>
      </c>
      <c r="M27" s="9">
        <f ca="1">IFERROR(__xludf.DUMMYFUNCTION("""COMPUTED_VALUE"""),257)</f>
        <v>257</v>
      </c>
      <c r="N27" s="9">
        <f ca="1">IFERROR(__xludf.DUMMYFUNCTION("""COMPUTED_VALUE"""),60)</f>
        <v>60</v>
      </c>
      <c r="O27" s="9">
        <f ca="1">IFERROR(__xludf.DUMMYFUNCTION("""COMPUTED_VALUE"""),251)</f>
        <v>251</v>
      </c>
      <c r="P27" s="29">
        <f ca="1">IFERROR(__xludf.DUMMYFUNCTION("""COMPUTED_VALUE"""),62)</f>
        <v>62</v>
      </c>
      <c r="Q27" s="29">
        <f ca="1">IFERROR(__xludf.DUMMYFUNCTION("""COMPUTED_VALUE"""),239)</f>
        <v>239</v>
      </c>
      <c r="R27" s="7" t="str">
        <f ca="1">IFERROR(__xludf.DUMMYFUNCTION("""COMPUTED_VALUE"""),"Bình Dương")</f>
        <v>Bình Dương</v>
      </c>
      <c r="S27" s="7" t="str">
        <f ca="1">IFERROR(__xludf.DUMMYFUNCTION("""COMPUTED_VALUE"""),"Huyện Dầu Tiếng")</f>
        <v>Huyện Dầu Tiếng</v>
      </c>
      <c r="T27" s="7" t="str">
        <f ca="1">IFERROR(__xludf.DUMMYFUNCTION("SPARKLINE({
IF(D27="""",0,D27),
IF(F27="""",0,F27),
IF(H27="""",0,H27),
IF(J27="""",0,J27),
IF(L27="""",0,L27),
IF(N27="""",0,N27),
IF(P27="""",0,P27)
})"),"")</f>
        <v/>
      </c>
      <c r="U27" s="7" t="str">
        <f ca="1">IFERROR(__xludf.DUMMYFUNCTION("SPARKLINE({
IF(E27="""",0,E27),
IF(G27="""",0,G27),
IF(I27="""",0,I27),
IF(K27="""",0,K27),
IF(M27="""",0,M27),
IF(O27="""",0,O27),
IF(Q27="""",0,Q27)
})"),"")</f>
        <v/>
      </c>
      <c r="V27" s="30" t="e">
        <f t="array" aca="1" ref="V27" ca="1">IF($C$4="Giao",_xludf.Xlookup(C27,#REF!,#REF!,),_xludf.Xlookup(C27,#REF!,#REF!,))</f>
        <v>#NAME?</v>
      </c>
      <c r="W27" s="30" t="e">
        <f t="array" aca="1" ref="W27" ca="1">IF($C$4="Giao", _xludf.Xlookup(C27,#REF!,#REF!,),_xludf.Xlookup(C27,#REF!,#REF!,))</f>
        <v>#NAME?</v>
      </c>
      <c r="X27" s="9" t="e">
        <f t="shared" ca="1" si="2"/>
        <v>#NAME?</v>
      </c>
      <c r="Y27" s="7"/>
      <c r="Z27" s="31" t="e">
        <f t="shared" ca="1" si="4"/>
        <v>#NAME?</v>
      </c>
    </row>
    <row r="28" spans="1:26" ht="13" x14ac:dyDescent="0.6">
      <c r="A28" s="28">
        <f t="shared" ca="1" si="1"/>
        <v>21</v>
      </c>
      <c r="B28" s="7" t="str">
        <f ca="1">IFERROR(__xludf.DUMMYFUNCTION("""COMPUTED_VALUE"""),"Huyện Dầu Tiếng")</f>
        <v>Huyện Dầu Tiếng</v>
      </c>
      <c r="C28" s="7" t="str">
        <f ca="1">IFERROR(__xludf.DUMMYFUNCTION("""COMPUTED_VALUE"""),"Bưu Cục 136 Đường Huyện 704-Minh Tân-Dầu Tiếng-Bình Dương")</f>
        <v>Bưu Cục 136 Đường Huyện 704-Minh Tân-Dầu Tiếng-Bình Dương</v>
      </c>
      <c r="D28" s="9">
        <f ca="1">IFERROR(__xludf.DUMMYFUNCTION("""COMPUTED_VALUE"""),18)</f>
        <v>18</v>
      </c>
      <c r="E28" s="9">
        <f ca="1">IFERROR(__xludf.DUMMYFUNCTION("""COMPUTED_VALUE"""),28)</f>
        <v>28</v>
      </c>
      <c r="F28" s="9">
        <f ca="1">IFERROR(__xludf.DUMMYFUNCTION("""COMPUTED_VALUE"""),13)</f>
        <v>13</v>
      </c>
      <c r="G28" s="9">
        <f ca="1">IFERROR(__xludf.DUMMYFUNCTION("""COMPUTED_VALUE"""),45)</f>
        <v>45</v>
      </c>
      <c r="H28" s="9">
        <f ca="1">IFERROR(__xludf.DUMMYFUNCTION("""COMPUTED_VALUE"""),14)</f>
        <v>14</v>
      </c>
      <c r="I28" s="9">
        <f ca="1">IFERROR(__xludf.DUMMYFUNCTION("""COMPUTED_VALUE"""),3)</f>
        <v>3</v>
      </c>
      <c r="J28" s="9">
        <f ca="1">IFERROR(__xludf.DUMMYFUNCTION("""COMPUTED_VALUE"""),21)</f>
        <v>21</v>
      </c>
      <c r="K28" s="9">
        <f ca="1">IFERROR(__xludf.DUMMYFUNCTION("""COMPUTED_VALUE"""),118)</f>
        <v>118</v>
      </c>
      <c r="L28" s="9">
        <f ca="1">IFERROR(__xludf.DUMMYFUNCTION("""COMPUTED_VALUE"""),18)</f>
        <v>18</v>
      </c>
      <c r="M28" s="9">
        <f ca="1">IFERROR(__xludf.DUMMYFUNCTION("""COMPUTED_VALUE"""),19)</f>
        <v>19</v>
      </c>
      <c r="N28" s="9">
        <f ca="1">IFERROR(__xludf.DUMMYFUNCTION("""COMPUTED_VALUE"""),18)</f>
        <v>18</v>
      </c>
      <c r="O28" s="9">
        <f ca="1">IFERROR(__xludf.DUMMYFUNCTION("""COMPUTED_VALUE"""),21)</f>
        <v>21</v>
      </c>
      <c r="P28" s="29">
        <f ca="1">IFERROR(__xludf.DUMMYFUNCTION("""COMPUTED_VALUE"""),18)</f>
        <v>18</v>
      </c>
      <c r="Q28" s="29">
        <f ca="1">IFERROR(__xludf.DUMMYFUNCTION("""COMPUTED_VALUE"""),11)</f>
        <v>11</v>
      </c>
      <c r="R28" s="7" t="str">
        <f ca="1">IFERROR(__xludf.DUMMYFUNCTION("""COMPUTED_VALUE"""),"Bình Dương")</f>
        <v>Bình Dương</v>
      </c>
      <c r="S28" s="7" t="str">
        <f ca="1">IFERROR(__xludf.DUMMYFUNCTION("""COMPUTED_VALUE"""),"Huyện Dầu Tiếng")</f>
        <v>Huyện Dầu Tiếng</v>
      </c>
      <c r="T28" s="7" t="str">
        <f ca="1">IFERROR(__xludf.DUMMYFUNCTION("SPARKLINE({
IF(D28="""",0,D28),
IF(F28="""",0,F28),
IF(H28="""",0,H28),
IF(J28="""",0,J28),
IF(L28="""",0,L28),
IF(N28="""",0,N28),
IF(P28="""",0,P28)
})"),"")</f>
        <v/>
      </c>
      <c r="U28" s="7" t="str">
        <f ca="1">IFERROR(__xludf.DUMMYFUNCTION("SPARKLINE({
IF(E28="""",0,E28),
IF(G28="""",0,G28),
IF(I28="""",0,I28),
IF(K28="""",0,K28),
IF(M28="""",0,M28),
IF(O28="""",0,O28),
IF(Q28="""",0,Q28)
})"),"")</f>
        <v/>
      </c>
      <c r="V28" s="30" t="e">
        <f t="array" aca="1" ref="V28" ca="1">IF($C$4="Giao",_xludf.Xlookup(C28,#REF!,#REF!,),_xludf.Xlookup(C28,#REF!,#REF!,))</f>
        <v>#NAME?</v>
      </c>
      <c r="W28" s="30" t="e">
        <f t="array" aca="1" ref="W28" ca="1">IF($C$4="Giao", _xludf.Xlookup(C28,#REF!,#REF!,),_xludf.Xlookup(C28,#REF!,#REF!,))</f>
        <v>#NAME?</v>
      </c>
      <c r="X28" s="9" t="e">
        <f t="shared" ca="1" si="2"/>
        <v>#NAME?</v>
      </c>
      <c r="Y28" s="7"/>
      <c r="Z28" s="31" t="e">
        <f t="shared" ca="1" si="4"/>
        <v>#NAME?</v>
      </c>
    </row>
    <row r="29" spans="1:26" ht="13" x14ac:dyDescent="0.6">
      <c r="A29" s="28">
        <f t="shared" ca="1" si="1"/>
        <v>22</v>
      </c>
      <c r="B29" s="7" t="str">
        <f ca="1">IFERROR(__xludf.DUMMYFUNCTION("""COMPUTED_VALUE"""),"Huyện Hóc Môn")</f>
        <v>Huyện Hóc Môn</v>
      </c>
      <c r="C29" s="7" t="str">
        <f ca="1">IFERROR(__xludf.DUMMYFUNCTION("""COMPUTED_VALUE"""),"Bưu Cục 106/3A Tây Lân-Hóc Môn-HCM")</f>
        <v>Bưu Cục 106/3A Tây Lân-Hóc Môn-HCM</v>
      </c>
      <c r="D29" s="9">
        <f ca="1">IFERROR(__xludf.DUMMYFUNCTION("""COMPUTED_VALUE"""),2422)</f>
        <v>2422</v>
      </c>
      <c r="E29" s="9">
        <f ca="1">IFERROR(__xludf.DUMMYFUNCTION("""COMPUTED_VALUE"""),5904)</f>
        <v>5904</v>
      </c>
      <c r="F29" s="9">
        <f ca="1">IFERROR(__xludf.DUMMYFUNCTION("""COMPUTED_VALUE"""),2165)</f>
        <v>2165</v>
      </c>
      <c r="G29" s="9">
        <f ca="1">IFERROR(__xludf.DUMMYFUNCTION("""COMPUTED_VALUE"""),5660)</f>
        <v>5660</v>
      </c>
      <c r="H29" s="9">
        <f ca="1">IFERROR(__xludf.DUMMYFUNCTION("""COMPUTED_VALUE"""),2088)</f>
        <v>2088</v>
      </c>
      <c r="I29" s="9">
        <f ca="1">IFERROR(__xludf.DUMMYFUNCTION("""COMPUTED_VALUE"""),5126)</f>
        <v>5126</v>
      </c>
      <c r="J29" s="9">
        <f ca="1">IFERROR(__xludf.DUMMYFUNCTION("""COMPUTED_VALUE"""),2426)</f>
        <v>2426</v>
      </c>
      <c r="K29" s="9">
        <f ca="1">IFERROR(__xludf.DUMMYFUNCTION("""COMPUTED_VALUE"""),6800)</f>
        <v>6800</v>
      </c>
      <c r="L29" s="9">
        <f ca="1">IFERROR(__xludf.DUMMYFUNCTION("""COMPUTED_VALUE"""),1692)</f>
        <v>1692</v>
      </c>
      <c r="M29" s="9">
        <f ca="1">IFERROR(__xludf.DUMMYFUNCTION("""COMPUTED_VALUE"""),3345)</f>
        <v>3345</v>
      </c>
      <c r="N29" s="9">
        <f ca="1">IFERROR(__xludf.DUMMYFUNCTION("""COMPUTED_VALUE"""),2932)</f>
        <v>2932</v>
      </c>
      <c r="O29" s="9">
        <f ca="1">IFERROR(__xludf.DUMMYFUNCTION("""COMPUTED_VALUE"""),5648)</f>
        <v>5648</v>
      </c>
      <c r="P29" s="29">
        <f ca="1">IFERROR(__xludf.DUMMYFUNCTION("""COMPUTED_VALUE"""),3024)</f>
        <v>3024</v>
      </c>
      <c r="Q29" s="29">
        <f ca="1">IFERROR(__xludf.DUMMYFUNCTION("""COMPUTED_VALUE"""),6605)</f>
        <v>6605</v>
      </c>
      <c r="R29" s="7" t="str">
        <f ca="1">IFERROR(__xludf.DUMMYFUNCTION("""COMPUTED_VALUE"""),"Hồ Chí Minh")</f>
        <v>Hồ Chí Minh</v>
      </c>
      <c r="S29" s="7" t="str">
        <f ca="1">IFERROR(__xludf.DUMMYFUNCTION("""COMPUTED_VALUE"""),"Huyện Hóc Môn")</f>
        <v>Huyện Hóc Môn</v>
      </c>
      <c r="T29" s="7" t="str">
        <f ca="1">IFERROR(__xludf.DUMMYFUNCTION("SPARKLINE({
IF(D29="""",0,D29),
IF(F29="""",0,F29),
IF(H29="""",0,H29),
IF(J29="""",0,J29),
IF(L29="""",0,L29),
IF(N29="""",0,N29),
IF(P29="""",0,P29)
})"),"")</f>
        <v/>
      </c>
      <c r="U29" s="7" t="str">
        <f ca="1">IFERROR(__xludf.DUMMYFUNCTION("SPARKLINE({
IF(E29="""",0,E29),
IF(G29="""",0,G29),
IF(I29="""",0,I29),
IF(K29="""",0,K29),
IF(M29="""",0,M29),
IF(O29="""",0,O29),
IF(Q29="""",0,Q29)
})"),"")</f>
        <v/>
      </c>
      <c r="V29" s="30" t="e">
        <f t="array" aca="1" ref="V29" ca="1">IF($C$4="Giao",_xludf.Xlookup(C29,#REF!,#REF!,),_xludf.Xlookup(C29,#REF!,#REF!,))</f>
        <v>#NAME?</v>
      </c>
      <c r="W29" s="30" t="e">
        <f t="array" aca="1" ref="W29" ca="1">IF($C$4="Giao", _xludf.Xlookup(C29,#REF!,#REF!,),_xludf.Xlookup(C29,#REF!,#REF!,))</f>
        <v>#NAME?</v>
      </c>
      <c r="X29" s="9" t="e">
        <f t="shared" ca="1" si="2"/>
        <v>#NAME?</v>
      </c>
      <c r="Y29" s="7"/>
      <c r="Z29" s="31" t="e">
        <f t="shared" ca="1" si="4"/>
        <v>#NAME?</v>
      </c>
    </row>
    <row r="30" spans="1:26" ht="13" x14ac:dyDescent="0.6">
      <c r="A30" s="28">
        <f t="shared" ca="1" si="1"/>
        <v>23</v>
      </c>
      <c r="B30" s="7" t="str">
        <f ca="1">IFERROR(__xludf.DUMMYFUNCTION("""COMPUTED_VALUE"""),"Huyện Hóc Môn")</f>
        <v>Huyện Hóc Môn</v>
      </c>
      <c r="C30" s="7" t="str">
        <f ca="1">IFERROR(__xludf.DUMMYFUNCTION("""COMPUTED_VALUE"""),"Bưu Cục 125A Lê Lợi-Hóc Môn-HCM")</f>
        <v>Bưu Cục 125A Lê Lợi-Hóc Môn-HCM</v>
      </c>
      <c r="D30" s="9">
        <f ca="1">IFERROR(__xludf.DUMMYFUNCTION("""COMPUTED_VALUE"""),1369)</f>
        <v>1369</v>
      </c>
      <c r="E30" s="9">
        <f ca="1">IFERROR(__xludf.DUMMYFUNCTION("""COMPUTED_VALUE"""),3010)</f>
        <v>3010</v>
      </c>
      <c r="F30" s="9">
        <f ca="1">IFERROR(__xludf.DUMMYFUNCTION("""COMPUTED_VALUE"""),779)</f>
        <v>779</v>
      </c>
      <c r="G30" s="9">
        <f ca="1">IFERROR(__xludf.DUMMYFUNCTION("""COMPUTED_VALUE"""),2422)</f>
        <v>2422</v>
      </c>
      <c r="H30" s="9">
        <f ca="1">IFERROR(__xludf.DUMMYFUNCTION("""COMPUTED_VALUE"""),1240)</f>
        <v>1240</v>
      </c>
      <c r="I30" s="9">
        <f ca="1">IFERROR(__xludf.DUMMYFUNCTION("""COMPUTED_VALUE"""),2516)</f>
        <v>2516</v>
      </c>
      <c r="J30" s="9">
        <f ca="1">IFERROR(__xludf.DUMMYFUNCTION("""COMPUTED_VALUE"""),1006)</f>
        <v>1006</v>
      </c>
      <c r="K30" s="9">
        <f ca="1">IFERROR(__xludf.DUMMYFUNCTION("""COMPUTED_VALUE"""),2273)</f>
        <v>2273</v>
      </c>
      <c r="L30" s="9">
        <f ca="1">IFERROR(__xludf.DUMMYFUNCTION("""COMPUTED_VALUE"""),674)</f>
        <v>674</v>
      </c>
      <c r="M30" s="9">
        <f ca="1">IFERROR(__xludf.DUMMYFUNCTION("""COMPUTED_VALUE"""),1221)</f>
        <v>1221</v>
      </c>
      <c r="N30" s="9">
        <f ca="1">IFERROR(__xludf.DUMMYFUNCTION("""COMPUTED_VALUE"""),1254)</f>
        <v>1254</v>
      </c>
      <c r="O30" s="9">
        <f ca="1">IFERROR(__xludf.DUMMYFUNCTION("""COMPUTED_VALUE"""),2371)</f>
        <v>2371</v>
      </c>
      <c r="P30" s="29">
        <f ca="1">IFERROR(__xludf.DUMMYFUNCTION("""COMPUTED_VALUE"""),1191)</f>
        <v>1191</v>
      </c>
      <c r="Q30" s="29">
        <f ca="1">IFERROR(__xludf.DUMMYFUNCTION("""COMPUTED_VALUE"""),2379)</f>
        <v>2379</v>
      </c>
      <c r="R30" s="7" t="str">
        <f ca="1">IFERROR(__xludf.DUMMYFUNCTION("""COMPUTED_VALUE"""),"Hồ Chí Minh")</f>
        <v>Hồ Chí Minh</v>
      </c>
      <c r="S30" s="7" t="str">
        <f ca="1">IFERROR(__xludf.DUMMYFUNCTION("""COMPUTED_VALUE"""),"Huyện Hóc Môn")</f>
        <v>Huyện Hóc Môn</v>
      </c>
      <c r="T30" s="7" t="str">
        <f ca="1">IFERROR(__xludf.DUMMYFUNCTION("SPARKLINE({
IF(D30="""",0,D30),
IF(F30="""",0,F30),
IF(H30="""",0,H30),
IF(J30="""",0,J30),
IF(L30="""",0,L30),
IF(N30="""",0,N30),
IF(P30="""",0,P30)
})"),"")</f>
        <v/>
      </c>
      <c r="U30" s="7" t="str">
        <f ca="1">IFERROR(__xludf.DUMMYFUNCTION("SPARKLINE({
IF(E30="""",0,E30),
IF(G30="""",0,G30),
IF(I30="""",0,I30),
IF(K30="""",0,K30),
IF(M30="""",0,M30),
IF(O30="""",0,O30),
IF(Q30="""",0,Q30)
})"),"")</f>
        <v/>
      </c>
      <c r="V30" s="30" t="e">
        <f t="array" aca="1" ref="V30" ca="1">IF($C$4="Giao",_xludf.Xlookup(C30,#REF!,#REF!,),_xludf.Xlookup(C30,#REF!,#REF!,))</f>
        <v>#NAME?</v>
      </c>
      <c r="W30" s="30" t="e">
        <f t="array" aca="1" ref="W30" ca="1">IF($C$4="Giao", _xludf.Xlookup(C30,#REF!,#REF!,),_xludf.Xlookup(C30,#REF!,#REF!,))</f>
        <v>#NAME?</v>
      </c>
      <c r="X30" s="9" t="e">
        <f t="shared" ca="1" si="2"/>
        <v>#NAME?</v>
      </c>
      <c r="Y30" s="7"/>
      <c r="Z30" s="31" t="e">
        <f t="shared" ca="1" si="4"/>
        <v>#NAME?</v>
      </c>
    </row>
    <row r="31" spans="1:26" ht="13" x14ac:dyDescent="0.6">
      <c r="A31" s="28">
        <f t="shared" ca="1" si="1"/>
        <v>24</v>
      </c>
      <c r="B31" s="7" t="str">
        <f ca="1">IFERROR(__xludf.DUMMYFUNCTION("""COMPUTED_VALUE"""),"Huyện Hóc Môn")</f>
        <v>Huyện Hóc Môn</v>
      </c>
      <c r="C31" s="7" t="str">
        <f ca="1">IFERROR(__xludf.DUMMYFUNCTION("""COMPUTED_VALUE"""),"Bưu Cục 309 Nguyễn Thị Ngâu-Hóc Môn-HCM")</f>
        <v>Bưu Cục 309 Nguyễn Thị Ngâu-Hóc Môn-HCM</v>
      </c>
      <c r="D31" s="9">
        <f ca="1">IFERROR(__xludf.DUMMYFUNCTION("""COMPUTED_VALUE"""),5355)</f>
        <v>5355</v>
      </c>
      <c r="E31" s="9">
        <f ca="1">IFERROR(__xludf.DUMMYFUNCTION("""COMPUTED_VALUE"""),9620)</f>
        <v>9620</v>
      </c>
      <c r="F31" s="9">
        <f ca="1">IFERROR(__xludf.DUMMYFUNCTION("""COMPUTED_VALUE"""),5468)</f>
        <v>5468</v>
      </c>
      <c r="G31" s="9">
        <f ca="1">IFERROR(__xludf.DUMMYFUNCTION("""COMPUTED_VALUE"""),9014)</f>
        <v>9014</v>
      </c>
      <c r="H31" s="9">
        <f ca="1">IFERROR(__xludf.DUMMYFUNCTION("""COMPUTED_VALUE"""),5234)</f>
        <v>5234</v>
      </c>
      <c r="I31" s="9">
        <f ca="1">IFERROR(__xludf.DUMMYFUNCTION("""COMPUTED_VALUE"""),8389)</f>
        <v>8389</v>
      </c>
      <c r="J31" s="9">
        <f ca="1">IFERROR(__xludf.DUMMYFUNCTION("""COMPUTED_VALUE"""),5449)</f>
        <v>5449</v>
      </c>
      <c r="K31" s="9">
        <f ca="1">IFERROR(__xludf.DUMMYFUNCTION("""COMPUTED_VALUE"""),10297)</f>
        <v>10297</v>
      </c>
      <c r="L31" s="9">
        <f ca="1">IFERROR(__xludf.DUMMYFUNCTION("""COMPUTED_VALUE"""),1832)</f>
        <v>1832</v>
      </c>
      <c r="M31" s="9">
        <f ca="1">IFERROR(__xludf.DUMMYFUNCTION("""COMPUTED_VALUE"""),4059)</f>
        <v>4059</v>
      </c>
      <c r="N31" s="9">
        <f ca="1">IFERROR(__xludf.DUMMYFUNCTION("""COMPUTED_VALUE"""),7577)</f>
        <v>7577</v>
      </c>
      <c r="O31" s="9">
        <f ca="1">IFERROR(__xludf.DUMMYFUNCTION("""COMPUTED_VALUE"""),10298)</f>
        <v>10298</v>
      </c>
      <c r="P31" s="29">
        <f ca="1">IFERROR(__xludf.DUMMYFUNCTION("""COMPUTED_VALUE"""),4808)</f>
        <v>4808</v>
      </c>
      <c r="Q31" s="29">
        <f ca="1">IFERROR(__xludf.DUMMYFUNCTION("""COMPUTED_VALUE"""),9814)</f>
        <v>9814</v>
      </c>
      <c r="R31" s="7" t="str">
        <f ca="1">IFERROR(__xludf.DUMMYFUNCTION("""COMPUTED_VALUE"""),"Hồ Chí Minh")</f>
        <v>Hồ Chí Minh</v>
      </c>
      <c r="S31" s="7" t="str">
        <f ca="1">IFERROR(__xludf.DUMMYFUNCTION("""COMPUTED_VALUE"""),"Huyện Hóc Môn")</f>
        <v>Huyện Hóc Môn</v>
      </c>
      <c r="T31" s="7" t="str">
        <f ca="1">IFERROR(__xludf.DUMMYFUNCTION("SPARKLINE({
IF(D31="""",0,D31),
IF(F31="""",0,F31),
IF(H31="""",0,H31),
IF(J31="""",0,J31),
IF(L31="""",0,L31),
IF(N31="""",0,N31),
IF(P31="""",0,P31)
})"),"")</f>
        <v/>
      </c>
      <c r="U31" s="7" t="str">
        <f ca="1">IFERROR(__xludf.DUMMYFUNCTION("SPARKLINE({
IF(E31="""",0,E31),
IF(G31="""",0,G31),
IF(I31="""",0,I31),
IF(K31="""",0,K31),
IF(M31="""",0,M31),
IF(O31="""",0,O31),
IF(Q31="""",0,Q31)
})"),"")</f>
        <v/>
      </c>
      <c r="V31" s="30" t="e">
        <f t="array" aca="1" ref="V31" ca="1">IF($C$4="Giao",_xludf.Xlookup(C31,#REF!,#REF!,),_xludf.Xlookup(C31,#REF!,#REF!,))</f>
        <v>#NAME?</v>
      </c>
      <c r="W31" s="30" t="e">
        <f t="array" aca="1" ref="W31" ca="1">IF($C$4="Giao", _xludf.Xlookup(C31,#REF!,#REF!,),_xludf.Xlookup(C31,#REF!,#REF!,))</f>
        <v>#NAME?</v>
      </c>
      <c r="X31" s="9" t="e">
        <f t="shared" ca="1" si="2"/>
        <v>#NAME?</v>
      </c>
      <c r="Y31" s="7"/>
      <c r="Z31" s="31" t="e">
        <f t="shared" ca="1" si="4"/>
        <v>#NAME?</v>
      </c>
    </row>
    <row r="32" spans="1:26" ht="13" x14ac:dyDescent="0.6">
      <c r="A32" s="28">
        <f t="shared" ca="1" si="1"/>
        <v>25</v>
      </c>
      <c r="B32" s="7" t="str">
        <f ca="1">IFERROR(__xludf.DUMMYFUNCTION("""COMPUTED_VALUE"""),"Huyện Hóc Môn")</f>
        <v>Huyện Hóc Môn</v>
      </c>
      <c r="C32" s="7" t="str">
        <f ca="1">IFERROR(__xludf.DUMMYFUNCTION("""COMPUTED_VALUE"""),"Bưu cục Xuân Thới Thượng-Hóc Môn-HCM")</f>
        <v>Bưu cục Xuân Thới Thượng-Hóc Môn-HCM</v>
      </c>
      <c r="D32" s="9">
        <f ca="1">IFERROR(__xludf.DUMMYFUNCTION("""COMPUTED_VALUE"""),2314)</f>
        <v>2314</v>
      </c>
      <c r="E32" s="9">
        <f ca="1">IFERROR(__xludf.DUMMYFUNCTION("""COMPUTED_VALUE"""),9887)</f>
        <v>9887</v>
      </c>
      <c r="F32" s="9">
        <f ca="1">IFERROR(__xludf.DUMMYFUNCTION("""COMPUTED_VALUE"""),1837)</f>
        <v>1837</v>
      </c>
      <c r="G32" s="9">
        <f ca="1">IFERROR(__xludf.DUMMYFUNCTION("""COMPUTED_VALUE"""),8334)</f>
        <v>8334</v>
      </c>
      <c r="H32" s="9">
        <f ca="1">IFERROR(__xludf.DUMMYFUNCTION("""COMPUTED_VALUE"""),1862)</f>
        <v>1862</v>
      </c>
      <c r="I32" s="9">
        <f ca="1">IFERROR(__xludf.DUMMYFUNCTION("""COMPUTED_VALUE"""),8675)</f>
        <v>8675</v>
      </c>
      <c r="J32" s="9">
        <f ca="1">IFERROR(__xludf.DUMMYFUNCTION("""COMPUTED_VALUE"""),2242)</f>
        <v>2242</v>
      </c>
      <c r="K32" s="9">
        <f ca="1">IFERROR(__xludf.DUMMYFUNCTION("""COMPUTED_VALUE"""),11080)</f>
        <v>11080</v>
      </c>
      <c r="L32" s="9">
        <f ca="1">IFERROR(__xludf.DUMMYFUNCTION("""COMPUTED_VALUE"""),786)</f>
        <v>786</v>
      </c>
      <c r="M32" s="9">
        <f ca="1">IFERROR(__xludf.DUMMYFUNCTION("""COMPUTED_VALUE"""),3406)</f>
        <v>3406</v>
      </c>
      <c r="N32" s="9">
        <f ca="1">IFERROR(__xludf.DUMMYFUNCTION("""COMPUTED_VALUE"""),2545)</f>
        <v>2545</v>
      </c>
      <c r="O32" s="9">
        <f ca="1">IFERROR(__xludf.DUMMYFUNCTION("""COMPUTED_VALUE"""),11750)</f>
        <v>11750</v>
      </c>
      <c r="P32" s="29">
        <f ca="1">IFERROR(__xludf.DUMMYFUNCTION("""COMPUTED_VALUE"""),1944)</f>
        <v>1944</v>
      </c>
      <c r="Q32" s="29">
        <f ca="1">IFERROR(__xludf.DUMMYFUNCTION("""COMPUTED_VALUE"""),9660)</f>
        <v>9660</v>
      </c>
      <c r="R32" s="7" t="str">
        <f ca="1">IFERROR(__xludf.DUMMYFUNCTION("""COMPUTED_VALUE"""),"Hồ Chí Minh")</f>
        <v>Hồ Chí Minh</v>
      </c>
      <c r="S32" s="7" t="str">
        <f ca="1">IFERROR(__xludf.DUMMYFUNCTION("""COMPUTED_VALUE"""),"Huyện Hóc Môn")</f>
        <v>Huyện Hóc Môn</v>
      </c>
      <c r="T32" s="7" t="str">
        <f ca="1">IFERROR(__xludf.DUMMYFUNCTION("SPARKLINE({
IF(D32="""",0,D32),
IF(F32="""",0,F32),
IF(H32="""",0,H32),
IF(J32="""",0,J32),
IF(L32="""",0,L32),
IF(N32="""",0,N32),
IF(P32="""",0,P32)
})"),"")</f>
        <v/>
      </c>
      <c r="U32" s="7" t="str">
        <f ca="1">IFERROR(__xludf.DUMMYFUNCTION("SPARKLINE({
IF(E32="""",0,E32),
IF(G32="""",0,G32),
IF(I32="""",0,I32),
IF(K32="""",0,K32),
IF(M32="""",0,M32),
IF(O32="""",0,O32),
IF(Q32="""",0,Q32)
})"),"")</f>
        <v/>
      </c>
      <c r="V32" s="30" t="e">
        <f t="array" aca="1" ref="V32" ca="1">IF($C$4="Giao",_xludf.Xlookup(C32,#REF!,#REF!,),_xludf.Xlookup(C32,#REF!,#REF!,))</f>
        <v>#NAME?</v>
      </c>
      <c r="W32" s="30" t="e">
        <f t="array" aca="1" ref="W32" ca="1">IF($C$4="Giao", _xludf.Xlookup(C32,#REF!,#REF!,),_xludf.Xlookup(C32,#REF!,#REF!,))</f>
        <v>#NAME?</v>
      </c>
      <c r="X32" s="9" t="e">
        <f t="shared" ca="1" si="2"/>
        <v>#NAME?</v>
      </c>
      <c r="Y32" s="7"/>
      <c r="Z32" s="31" t="e">
        <f t="shared" ca="1" si="4"/>
        <v>#NAME?</v>
      </c>
    </row>
    <row r="33" spans="1:26" ht="13" x14ac:dyDescent="0.6">
      <c r="A33" s="28">
        <f t="shared" ca="1" si="1"/>
        <v>26</v>
      </c>
      <c r="B33" s="7" t="str">
        <f ca="1">IFERROR(__xludf.DUMMYFUNCTION("""COMPUTED_VALUE"""),"Huyện Long Điền")</f>
        <v>Huyện Long Điền</v>
      </c>
      <c r="C33" s="7" t="str">
        <f ca="1">IFERROR(__xludf.DUMMYFUNCTION("""COMPUTED_VALUE"""),"Bưu Cục 41 Nguyễn Tất Thành-Long Điền-Bà Rịa Vũng Tàu")</f>
        <v>Bưu Cục 41 Nguyễn Tất Thành-Long Điền-Bà Rịa Vũng Tàu</v>
      </c>
      <c r="D33" s="9">
        <f ca="1">IFERROR(__xludf.DUMMYFUNCTION("""COMPUTED_VALUE"""),404)</f>
        <v>404</v>
      </c>
      <c r="E33" s="9">
        <f ca="1">IFERROR(__xludf.DUMMYFUNCTION("""COMPUTED_VALUE"""),713)</f>
        <v>713</v>
      </c>
      <c r="F33" s="9">
        <f ca="1">IFERROR(__xludf.DUMMYFUNCTION("""COMPUTED_VALUE"""),578)</f>
        <v>578</v>
      </c>
      <c r="G33" s="9">
        <f ca="1">IFERROR(__xludf.DUMMYFUNCTION("""COMPUTED_VALUE"""),793)</f>
        <v>793</v>
      </c>
      <c r="H33" s="9">
        <f ca="1">IFERROR(__xludf.DUMMYFUNCTION("""COMPUTED_VALUE"""),344)</f>
        <v>344</v>
      </c>
      <c r="I33" s="9">
        <f ca="1">IFERROR(__xludf.DUMMYFUNCTION("""COMPUTED_VALUE"""),837)</f>
        <v>837</v>
      </c>
      <c r="J33" s="9">
        <f ca="1">IFERROR(__xludf.DUMMYFUNCTION("""COMPUTED_VALUE"""),461)</f>
        <v>461</v>
      </c>
      <c r="K33" s="9">
        <f ca="1">IFERROR(__xludf.DUMMYFUNCTION("""COMPUTED_VALUE"""),924)</f>
        <v>924</v>
      </c>
      <c r="L33" s="9">
        <f ca="1">IFERROR(__xludf.DUMMYFUNCTION("""COMPUTED_VALUE"""),274)</f>
        <v>274</v>
      </c>
      <c r="M33" s="9">
        <f ca="1">IFERROR(__xludf.DUMMYFUNCTION("""COMPUTED_VALUE"""),509)</f>
        <v>509</v>
      </c>
      <c r="N33" s="9">
        <f ca="1">IFERROR(__xludf.DUMMYFUNCTION("""COMPUTED_VALUE"""),406)</f>
        <v>406</v>
      </c>
      <c r="O33" s="9">
        <f ca="1">IFERROR(__xludf.DUMMYFUNCTION("""COMPUTED_VALUE"""),704)</f>
        <v>704</v>
      </c>
      <c r="P33" s="29">
        <f ca="1">IFERROR(__xludf.DUMMYFUNCTION("""COMPUTED_VALUE"""),442)</f>
        <v>442</v>
      </c>
      <c r="Q33" s="29">
        <f ca="1">IFERROR(__xludf.DUMMYFUNCTION("""COMPUTED_VALUE"""),990)</f>
        <v>990</v>
      </c>
      <c r="R33" s="7" t="str">
        <f ca="1">IFERROR(__xludf.DUMMYFUNCTION("""COMPUTED_VALUE"""),"Bà Rịa - Vũng Tàu")</f>
        <v>Bà Rịa - Vũng Tàu</v>
      </c>
      <c r="S33" s="7" t="str">
        <f ca="1">IFERROR(__xludf.DUMMYFUNCTION("""COMPUTED_VALUE"""),"Huyện Long Điền")</f>
        <v>Huyện Long Điền</v>
      </c>
      <c r="T33" s="7" t="str">
        <f ca="1">IFERROR(__xludf.DUMMYFUNCTION("SPARKLINE({
IF(D33="""",0,D33),
IF(F33="""",0,F33),
IF(H33="""",0,H33),
IF(J33="""",0,J33),
IF(L33="""",0,L33),
IF(N33="""",0,N33),
IF(P33="""",0,P33)
})"),"")</f>
        <v/>
      </c>
      <c r="U33" s="7" t="str">
        <f ca="1">IFERROR(__xludf.DUMMYFUNCTION("SPARKLINE({
IF(E33="""",0,E33),
IF(G33="""",0,G33),
IF(I33="""",0,I33),
IF(K33="""",0,K33),
IF(M33="""",0,M33),
IF(O33="""",0,O33),
IF(Q33="""",0,Q33)
})"),"")</f>
        <v/>
      </c>
      <c r="V33" s="30" t="e">
        <f t="array" aca="1" ref="V33" ca="1">IF($C$4="Giao",_xludf.Xlookup(C33,#REF!,#REF!,),_xludf.Xlookup(C33,#REF!,#REF!,))</f>
        <v>#NAME?</v>
      </c>
      <c r="W33" s="30" t="e">
        <f t="array" aca="1" ref="W33" ca="1">IF($C$4="Giao", _xludf.Xlookup(C33,#REF!,#REF!,),_xludf.Xlookup(C33,#REF!,#REF!,))</f>
        <v>#NAME?</v>
      </c>
      <c r="X33" s="9" t="e">
        <f t="shared" ca="1" si="2"/>
        <v>#NAME?</v>
      </c>
      <c r="Y33" s="7"/>
      <c r="Z33" s="31" t="e">
        <f t="shared" ca="1" si="4"/>
        <v>#NAME?</v>
      </c>
    </row>
    <row r="34" spans="1:26" ht="13" x14ac:dyDescent="0.6">
      <c r="A34" s="28">
        <f t="shared" ca="1" si="1"/>
        <v>27</v>
      </c>
      <c r="B34" s="7" t="str">
        <f ca="1">IFERROR(__xludf.DUMMYFUNCTION("""COMPUTED_VALUE"""),"Huyện Long Điền")</f>
        <v>Huyện Long Điền</v>
      </c>
      <c r="C34" s="7" t="str">
        <f ca="1">IFERROR(__xludf.DUMMYFUNCTION("""COMPUTED_VALUE"""),"Bưu Cục An Phước- An Ngãi - Bà Rịa Vũng Tàu")</f>
        <v>Bưu Cục An Phước- An Ngãi - Bà Rịa Vũng Tàu</v>
      </c>
      <c r="D34" s="9">
        <f ca="1">IFERROR(__xludf.DUMMYFUNCTION("""COMPUTED_VALUE"""),112)</f>
        <v>112</v>
      </c>
      <c r="E34" s="9">
        <f ca="1">IFERROR(__xludf.DUMMYFUNCTION("""COMPUTED_VALUE"""),131)</f>
        <v>131</v>
      </c>
      <c r="F34" s="9">
        <f ca="1">IFERROR(__xludf.DUMMYFUNCTION("""COMPUTED_VALUE"""),230)</f>
        <v>230</v>
      </c>
      <c r="G34" s="9">
        <f ca="1">IFERROR(__xludf.DUMMYFUNCTION("""COMPUTED_VALUE"""),389)</f>
        <v>389</v>
      </c>
      <c r="H34" s="9">
        <f ca="1">IFERROR(__xludf.DUMMYFUNCTION("""COMPUTED_VALUE"""),137)</f>
        <v>137</v>
      </c>
      <c r="I34" s="9">
        <f ca="1">IFERROR(__xludf.DUMMYFUNCTION("""COMPUTED_VALUE"""),230)</f>
        <v>230</v>
      </c>
      <c r="J34" s="9">
        <f ca="1">IFERROR(__xludf.DUMMYFUNCTION("""COMPUTED_VALUE"""),196)</f>
        <v>196</v>
      </c>
      <c r="K34" s="9">
        <f ca="1">IFERROR(__xludf.DUMMYFUNCTION("""COMPUTED_VALUE"""),440)</f>
        <v>440</v>
      </c>
      <c r="L34" s="9">
        <f ca="1">IFERROR(__xludf.DUMMYFUNCTION("""COMPUTED_VALUE"""),41)</f>
        <v>41</v>
      </c>
      <c r="M34" s="9">
        <f ca="1">IFERROR(__xludf.DUMMYFUNCTION("""COMPUTED_VALUE"""),168)</f>
        <v>168</v>
      </c>
      <c r="N34" s="9">
        <f ca="1">IFERROR(__xludf.DUMMYFUNCTION("""COMPUTED_VALUE"""),211)</f>
        <v>211</v>
      </c>
      <c r="O34" s="9">
        <f ca="1">IFERROR(__xludf.DUMMYFUNCTION("""COMPUTED_VALUE"""),317)</f>
        <v>317</v>
      </c>
      <c r="P34" s="29">
        <f ca="1">IFERROR(__xludf.DUMMYFUNCTION("""COMPUTED_VALUE"""),146)</f>
        <v>146</v>
      </c>
      <c r="Q34" s="29">
        <f ca="1">IFERROR(__xludf.DUMMYFUNCTION("""COMPUTED_VALUE"""),290)</f>
        <v>290</v>
      </c>
      <c r="R34" s="7" t="str">
        <f ca="1">IFERROR(__xludf.DUMMYFUNCTION("""COMPUTED_VALUE"""),"Bà Rịa - Vũng Tàu")</f>
        <v>Bà Rịa - Vũng Tàu</v>
      </c>
      <c r="S34" s="7" t="str">
        <f ca="1">IFERROR(__xludf.DUMMYFUNCTION("""COMPUTED_VALUE"""),"Huyện Long Điền")</f>
        <v>Huyện Long Điền</v>
      </c>
      <c r="T34" s="7" t="str">
        <f ca="1">IFERROR(__xludf.DUMMYFUNCTION("SPARKLINE({
IF(D34="""",0,D34),
IF(F34="""",0,F34),
IF(H34="""",0,H34),
IF(J34="""",0,J34),
IF(L34="""",0,L34),
IF(N34="""",0,N34),
IF(P34="""",0,P34)
})"),"")</f>
        <v/>
      </c>
      <c r="U34" s="7" t="str">
        <f ca="1">IFERROR(__xludf.DUMMYFUNCTION("SPARKLINE({
IF(E34="""",0,E34),
IF(G34="""",0,G34),
IF(I34="""",0,I34),
IF(K34="""",0,K34),
IF(M34="""",0,M34),
IF(O34="""",0,O34),
IF(Q34="""",0,Q34)
})"),"")</f>
        <v/>
      </c>
      <c r="V34" s="30" t="e">
        <f t="array" aca="1" ref="V34" ca="1">IF($C$4="Giao",_xludf.Xlookup(C34,#REF!,#REF!,),_xludf.Xlookup(C34,#REF!,#REF!,))</f>
        <v>#NAME?</v>
      </c>
      <c r="W34" s="30" t="e">
        <f t="array" aca="1" ref="W34" ca="1">IF($C$4="Giao", _xludf.Xlookup(C34,#REF!,#REF!,),_xludf.Xlookup(C34,#REF!,#REF!,))</f>
        <v>#NAME?</v>
      </c>
      <c r="X34" s="9" t="e">
        <f t="shared" ca="1" si="2"/>
        <v>#NAME?</v>
      </c>
      <c r="Y34" s="7"/>
      <c r="Z34" s="31" t="e">
        <f t="shared" ca="1" si="4"/>
        <v>#NAME?</v>
      </c>
    </row>
    <row r="35" spans="1:26" ht="13" x14ac:dyDescent="0.6">
      <c r="A35" s="28">
        <f t="shared" ca="1" si="1"/>
        <v>28</v>
      </c>
      <c r="B35" s="7" t="str">
        <f ca="1">IFERROR(__xludf.DUMMYFUNCTION("""COMPUTED_VALUE"""),"Huyện Nhà Bè")</f>
        <v>Huyện Nhà Bè</v>
      </c>
      <c r="C35" s="7" t="str">
        <f ca="1">IFERROR(__xludf.DUMMYFUNCTION("""COMPUTED_VALUE"""),"Bưu Cục 63 Đường Số 7-Xã Nhà Bè-HCM")</f>
        <v>Bưu Cục 63 Đường Số 7-Xã Nhà Bè-HCM</v>
      </c>
      <c r="D35" s="9">
        <f ca="1">IFERROR(__xludf.DUMMYFUNCTION("""COMPUTED_VALUE"""),418)</f>
        <v>418</v>
      </c>
      <c r="E35" s="9">
        <f ca="1">IFERROR(__xludf.DUMMYFUNCTION("""COMPUTED_VALUE"""),411)</f>
        <v>411</v>
      </c>
      <c r="F35" s="9">
        <f ca="1">IFERROR(__xludf.DUMMYFUNCTION("""COMPUTED_VALUE"""),419)</f>
        <v>419</v>
      </c>
      <c r="G35" s="9">
        <f ca="1">IFERROR(__xludf.DUMMYFUNCTION("""COMPUTED_VALUE"""),692)</f>
        <v>692</v>
      </c>
      <c r="H35" s="9">
        <f ca="1">IFERROR(__xludf.DUMMYFUNCTION("""COMPUTED_VALUE"""),414)</f>
        <v>414</v>
      </c>
      <c r="I35" s="9">
        <f ca="1">IFERROR(__xludf.DUMMYFUNCTION("""COMPUTED_VALUE"""),489)</f>
        <v>489</v>
      </c>
      <c r="J35" s="9">
        <f ca="1">IFERROR(__xludf.DUMMYFUNCTION("""COMPUTED_VALUE"""),449)</f>
        <v>449</v>
      </c>
      <c r="K35" s="9">
        <f ca="1">IFERROR(__xludf.DUMMYFUNCTION("""COMPUTED_VALUE"""),625)</f>
        <v>625</v>
      </c>
      <c r="L35" s="9">
        <f ca="1">IFERROR(__xludf.DUMMYFUNCTION("""COMPUTED_VALUE"""),182)</f>
        <v>182</v>
      </c>
      <c r="M35" s="9">
        <f ca="1">IFERROR(__xludf.DUMMYFUNCTION("""COMPUTED_VALUE"""),297)</f>
        <v>297</v>
      </c>
      <c r="N35" s="9">
        <f ca="1">IFERROR(__xludf.DUMMYFUNCTION("""COMPUTED_VALUE"""),423)</f>
        <v>423</v>
      </c>
      <c r="O35" s="9">
        <f ca="1">IFERROR(__xludf.DUMMYFUNCTION("""COMPUTED_VALUE"""),679)</f>
        <v>679</v>
      </c>
      <c r="P35" s="29">
        <f ca="1">IFERROR(__xludf.DUMMYFUNCTION("""COMPUTED_VALUE"""),366)</f>
        <v>366</v>
      </c>
      <c r="Q35" s="29">
        <f ca="1">IFERROR(__xludf.DUMMYFUNCTION("""COMPUTED_VALUE"""),396)</f>
        <v>396</v>
      </c>
      <c r="R35" s="7" t="str">
        <f ca="1">IFERROR(__xludf.DUMMYFUNCTION("""COMPUTED_VALUE"""),"Hồ Chí Minh")</f>
        <v>Hồ Chí Minh</v>
      </c>
      <c r="S35" s="7" t="str">
        <f ca="1">IFERROR(__xludf.DUMMYFUNCTION("""COMPUTED_VALUE"""),"Huyện Nhà Bè")</f>
        <v>Huyện Nhà Bè</v>
      </c>
      <c r="T35" s="7" t="str">
        <f ca="1">IFERROR(__xludf.DUMMYFUNCTION("SPARKLINE({
IF(D35="""",0,D35),
IF(F35="""",0,F35),
IF(H35="""",0,H35),
IF(J35="""",0,J35),
IF(L35="""",0,L35),
IF(N35="""",0,N35),
IF(P35="""",0,P35)
})"),"")</f>
        <v/>
      </c>
      <c r="U35" s="7" t="str">
        <f ca="1">IFERROR(__xludf.DUMMYFUNCTION("SPARKLINE({
IF(E35="""",0,E35),
IF(G35="""",0,G35),
IF(I35="""",0,I35),
IF(K35="""",0,K35),
IF(M35="""",0,M35),
IF(O35="""",0,O35),
IF(Q35="""",0,Q35)
})"),"")</f>
        <v/>
      </c>
      <c r="V35" s="30" t="e">
        <f t="array" aca="1" ref="V35" ca="1">IF($C$4="Giao",_xludf.Xlookup(C35,#REF!,#REF!,),_xludf.Xlookup(C35,#REF!,#REF!,))</f>
        <v>#NAME?</v>
      </c>
      <c r="W35" s="30" t="e">
        <f t="array" aca="1" ref="W35" ca="1">IF($C$4="Giao", _xludf.Xlookup(C35,#REF!,#REF!,),_xludf.Xlookup(C35,#REF!,#REF!,))</f>
        <v>#NAME?</v>
      </c>
      <c r="X35" s="9" t="e">
        <f t="shared" ca="1" si="2"/>
        <v>#NAME?</v>
      </c>
      <c r="Y35" s="7"/>
      <c r="Z35" s="31" t="e">
        <f t="shared" ca="1" si="4"/>
        <v>#NAME?</v>
      </c>
    </row>
    <row r="36" spans="1:26" ht="13" x14ac:dyDescent="0.6">
      <c r="A36" s="28">
        <f t="shared" ca="1" si="1"/>
        <v>29</v>
      </c>
      <c r="B36" s="7" t="str">
        <f ca="1">IFERROR(__xludf.DUMMYFUNCTION("""COMPUTED_VALUE"""),"Huyện Nhà Bè")</f>
        <v>Huyện Nhà Bè</v>
      </c>
      <c r="C36" s="7" t="str">
        <f ca="1">IFERROR(__xludf.DUMMYFUNCTION("""COMPUTED_VALUE"""),"Bưu Cục 785C Nguyễn Bình-Nhà Bè-HCM")</f>
        <v>Bưu Cục 785C Nguyễn Bình-Nhà Bè-HCM</v>
      </c>
      <c r="D36" s="9">
        <f ca="1">IFERROR(__xludf.DUMMYFUNCTION("""COMPUTED_VALUE"""),1353)</f>
        <v>1353</v>
      </c>
      <c r="E36" s="9">
        <f ca="1">IFERROR(__xludf.DUMMYFUNCTION("""COMPUTED_VALUE"""),1299)</f>
        <v>1299</v>
      </c>
      <c r="F36" s="9">
        <f ca="1">IFERROR(__xludf.DUMMYFUNCTION("""COMPUTED_VALUE"""),92)</f>
        <v>92</v>
      </c>
      <c r="G36" s="9">
        <f ca="1">IFERROR(__xludf.DUMMYFUNCTION("""COMPUTED_VALUE"""),72)</f>
        <v>72</v>
      </c>
      <c r="H36" s="9">
        <f ca="1">IFERROR(__xludf.DUMMYFUNCTION("""COMPUTED_VALUE"""),4)</f>
        <v>4</v>
      </c>
      <c r="I36" s="9">
        <f ca="1">IFERROR(__xludf.DUMMYFUNCTION("""COMPUTED_VALUE"""),51)</f>
        <v>51</v>
      </c>
      <c r="J36" s="9">
        <f ca="1">IFERROR(__xludf.DUMMYFUNCTION("""COMPUTED_VALUE"""),2)</f>
        <v>2</v>
      </c>
      <c r="K36" s="9">
        <f ca="1">IFERROR(__xludf.DUMMYFUNCTION("""COMPUTED_VALUE"""),1)</f>
        <v>1</v>
      </c>
      <c r="L36" s="9">
        <f ca="1">IFERROR(__xludf.DUMMYFUNCTION("""COMPUTED_VALUE"""),3)</f>
        <v>3</v>
      </c>
      <c r="M36" s="9">
        <f ca="1">IFERROR(__xludf.DUMMYFUNCTION("""COMPUTED_VALUE"""),22)</f>
        <v>22</v>
      </c>
      <c r="N36" s="9"/>
      <c r="O36" s="9"/>
      <c r="P36" s="29">
        <f ca="1">IFERROR(__xludf.DUMMYFUNCTION("""COMPUTED_VALUE"""),2)</f>
        <v>2</v>
      </c>
      <c r="Q36" s="29">
        <f ca="1">IFERROR(__xludf.DUMMYFUNCTION("""COMPUTED_VALUE"""),1)</f>
        <v>1</v>
      </c>
      <c r="R36" s="7" t="str">
        <f ca="1">IFERROR(__xludf.DUMMYFUNCTION("""COMPUTED_VALUE"""),"Hồ Chí Minh")</f>
        <v>Hồ Chí Minh</v>
      </c>
      <c r="S36" s="7" t="str">
        <f ca="1">IFERROR(__xludf.DUMMYFUNCTION("""COMPUTED_VALUE"""),"Huyện Nhà Bè")</f>
        <v>Huyện Nhà Bè</v>
      </c>
      <c r="T36" s="7" t="str">
        <f ca="1">IFERROR(__xludf.DUMMYFUNCTION("SPARKLINE({
IF(D36="""",0,D36),
IF(F36="""",0,F36),
IF(H36="""",0,H36),
IF(J36="""",0,J36),
IF(L36="""",0,L36),
IF(N36="""",0,N36),
IF(P36="""",0,P36)
})"),"")</f>
        <v/>
      </c>
      <c r="U36" s="7" t="str">
        <f ca="1">IFERROR(__xludf.DUMMYFUNCTION("SPARKLINE({
IF(E36="""",0,E36),
IF(G36="""",0,G36),
IF(I36="""",0,I36),
IF(K36="""",0,K36),
IF(M36="""",0,M36),
IF(O36="""",0,O36),
IF(Q36="""",0,Q36)
})"),"")</f>
        <v/>
      </c>
      <c r="V36" s="30" t="e">
        <f t="array" aca="1" ref="V36" ca="1">IF($C$4="Giao",_xludf.Xlookup(C36,#REF!,#REF!,),_xludf.Xlookup(C36,#REF!,#REF!,))</f>
        <v>#NAME?</v>
      </c>
      <c r="W36" s="30" t="e">
        <f t="array" aca="1" ref="W36" ca="1">IF($C$4="Giao", _xludf.Xlookup(C36,#REF!,#REF!,),_xludf.Xlookup(C36,#REF!,#REF!,))</f>
        <v>#NAME?</v>
      </c>
      <c r="X36" s="9" t="e">
        <f t="shared" ca="1" si="2"/>
        <v>#NAME?</v>
      </c>
      <c r="Y36" s="7"/>
      <c r="Z36" s="31" t="e">
        <f t="shared" ca="1" si="4"/>
        <v>#NAME?</v>
      </c>
    </row>
    <row r="37" spans="1:26" ht="13" x14ac:dyDescent="0.6">
      <c r="A37" s="28">
        <f t="shared" ca="1" si="1"/>
        <v>30</v>
      </c>
      <c r="B37" s="7" t="str">
        <f ca="1">IFERROR(__xludf.DUMMYFUNCTION("""COMPUTED_VALUE"""),"Huyện Nhà Bè")</f>
        <v>Huyện Nhà Bè</v>
      </c>
      <c r="C37" s="7" t="str">
        <f ca="1">IFERROR(__xludf.DUMMYFUNCTION("""COMPUTED_VALUE"""),"Bưu Cục Phước Kiển-Nhà Bè-HCM")</f>
        <v>Bưu Cục Phước Kiển-Nhà Bè-HCM</v>
      </c>
      <c r="D37" s="9">
        <f ca="1">IFERROR(__xludf.DUMMYFUNCTION("""COMPUTED_VALUE"""),576)</f>
        <v>576</v>
      </c>
      <c r="E37" s="9">
        <f ca="1">IFERROR(__xludf.DUMMYFUNCTION("""COMPUTED_VALUE"""),1189)</f>
        <v>1189</v>
      </c>
      <c r="F37" s="9">
        <f ca="1">IFERROR(__xludf.DUMMYFUNCTION("""COMPUTED_VALUE"""),453)</f>
        <v>453</v>
      </c>
      <c r="G37" s="9">
        <f ca="1">IFERROR(__xludf.DUMMYFUNCTION("""COMPUTED_VALUE"""),1053)</f>
        <v>1053</v>
      </c>
      <c r="H37" s="9">
        <f ca="1">IFERROR(__xludf.DUMMYFUNCTION("""COMPUTED_VALUE"""),503)</f>
        <v>503</v>
      </c>
      <c r="I37" s="9">
        <f ca="1">IFERROR(__xludf.DUMMYFUNCTION("""COMPUTED_VALUE"""),1453)</f>
        <v>1453</v>
      </c>
      <c r="J37" s="9">
        <f ca="1">IFERROR(__xludf.DUMMYFUNCTION("""COMPUTED_VALUE"""),510)</f>
        <v>510</v>
      </c>
      <c r="K37" s="9">
        <f ca="1">IFERROR(__xludf.DUMMYFUNCTION("""COMPUTED_VALUE"""),1160)</f>
        <v>1160</v>
      </c>
      <c r="L37" s="9">
        <f ca="1">IFERROR(__xludf.DUMMYFUNCTION("""COMPUTED_VALUE"""),492)</f>
        <v>492</v>
      </c>
      <c r="M37" s="9">
        <f ca="1">IFERROR(__xludf.DUMMYFUNCTION("""COMPUTED_VALUE"""),776)</f>
        <v>776</v>
      </c>
      <c r="N37" s="9">
        <f ca="1">IFERROR(__xludf.DUMMYFUNCTION("""COMPUTED_VALUE"""),617)</f>
        <v>617</v>
      </c>
      <c r="O37" s="9">
        <f ca="1">IFERROR(__xludf.DUMMYFUNCTION("""COMPUTED_VALUE"""),1009)</f>
        <v>1009</v>
      </c>
      <c r="P37" s="29">
        <f ca="1">IFERROR(__xludf.DUMMYFUNCTION("""COMPUTED_VALUE"""),440)</f>
        <v>440</v>
      </c>
      <c r="Q37" s="29">
        <f ca="1">IFERROR(__xludf.DUMMYFUNCTION("""COMPUTED_VALUE"""),1111)</f>
        <v>1111</v>
      </c>
      <c r="R37" s="7" t="str">
        <f ca="1">IFERROR(__xludf.DUMMYFUNCTION("""COMPUTED_VALUE"""),"Hồ Chí Minh")</f>
        <v>Hồ Chí Minh</v>
      </c>
      <c r="S37" s="7" t="str">
        <f ca="1">IFERROR(__xludf.DUMMYFUNCTION("""COMPUTED_VALUE"""),"Huyện Nhà Bè")</f>
        <v>Huyện Nhà Bè</v>
      </c>
      <c r="T37" s="7" t="str">
        <f ca="1">IFERROR(__xludf.DUMMYFUNCTION("SPARKLINE({
IF(D37="""",0,D37),
IF(F37="""",0,F37),
IF(H37="""",0,H37),
IF(J37="""",0,J37),
IF(L37="""",0,L37),
IF(N37="""",0,N37),
IF(P37="""",0,P37)
})"),"")</f>
        <v/>
      </c>
      <c r="U37" s="7" t="str">
        <f ca="1">IFERROR(__xludf.DUMMYFUNCTION("SPARKLINE({
IF(E37="""",0,E37),
IF(G37="""",0,G37),
IF(I37="""",0,I37),
IF(K37="""",0,K37),
IF(M37="""",0,M37),
IF(O37="""",0,O37),
IF(Q37="""",0,Q37)
})"),"")</f>
        <v/>
      </c>
      <c r="V37" s="30" t="e">
        <f t="array" aca="1" ref="V37" ca="1">IF($C$4="Giao",_xludf.Xlookup(C37,#REF!,#REF!,),_xludf.Xlookup(C37,#REF!,#REF!,))</f>
        <v>#NAME?</v>
      </c>
      <c r="W37" s="30" t="e">
        <f t="array" aca="1" ref="W37" ca="1">IF($C$4="Giao", _xludf.Xlookup(C37,#REF!,#REF!,),_xludf.Xlookup(C37,#REF!,#REF!,))</f>
        <v>#NAME?</v>
      </c>
      <c r="X37" s="9" t="e">
        <f t="shared" ca="1" si="2"/>
        <v>#NAME?</v>
      </c>
      <c r="Y37" s="7"/>
      <c r="Z37" s="31" t="e">
        <f t="shared" ca="1" si="4"/>
        <v>#NAME?</v>
      </c>
    </row>
    <row r="38" spans="1:26" ht="13" x14ac:dyDescent="0.6">
      <c r="A38" s="28">
        <f t="shared" ca="1" si="1"/>
        <v>31</v>
      </c>
      <c r="B38" s="7" t="str">
        <f ca="1">IFERROR(__xludf.DUMMYFUNCTION("""COMPUTED_VALUE"""),"Huyện Phú Giáo")</f>
        <v>Huyện Phú Giáo</v>
      </c>
      <c r="C38" s="7" t="str">
        <f ca="1">IFERROR(__xludf.DUMMYFUNCTION("""COMPUTED_VALUE"""),"Bưu Cục 376/38 Trảng Sắn-Phú Giáo-Bình Dương")</f>
        <v>Bưu Cục 376/38 Trảng Sắn-Phú Giáo-Bình Dương</v>
      </c>
      <c r="D38" s="9">
        <f ca="1">IFERROR(__xludf.DUMMYFUNCTION("""COMPUTED_VALUE"""),40)</f>
        <v>40</v>
      </c>
      <c r="E38" s="9">
        <f ca="1">IFERROR(__xludf.DUMMYFUNCTION("""COMPUTED_VALUE"""),115)</f>
        <v>115</v>
      </c>
      <c r="F38" s="9">
        <f ca="1">IFERROR(__xludf.DUMMYFUNCTION("""COMPUTED_VALUE"""),59)</f>
        <v>59</v>
      </c>
      <c r="G38" s="9">
        <f ca="1">IFERROR(__xludf.DUMMYFUNCTION("""COMPUTED_VALUE"""),266)</f>
        <v>266</v>
      </c>
      <c r="H38" s="9">
        <f ca="1">IFERROR(__xludf.DUMMYFUNCTION("""COMPUTED_VALUE"""),78)</f>
        <v>78</v>
      </c>
      <c r="I38" s="9">
        <f ca="1">IFERROR(__xludf.DUMMYFUNCTION("""COMPUTED_VALUE"""),364)</f>
        <v>364</v>
      </c>
      <c r="J38" s="9">
        <f ca="1">IFERROR(__xludf.DUMMYFUNCTION("""COMPUTED_VALUE"""),60)</f>
        <v>60</v>
      </c>
      <c r="K38" s="9">
        <f ca="1">IFERROR(__xludf.DUMMYFUNCTION("""COMPUTED_VALUE"""),453)</f>
        <v>453</v>
      </c>
      <c r="L38" s="9">
        <f ca="1">IFERROR(__xludf.DUMMYFUNCTION("""COMPUTED_VALUE"""),41)</f>
        <v>41</v>
      </c>
      <c r="M38" s="9">
        <f ca="1">IFERROR(__xludf.DUMMYFUNCTION("""COMPUTED_VALUE"""),242)</f>
        <v>242</v>
      </c>
      <c r="N38" s="9">
        <f ca="1">IFERROR(__xludf.DUMMYFUNCTION("""COMPUTED_VALUE"""),49)</f>
        <v>49</v>
      </c>
      <c r="O38" s="9">
        <f ca="1">IFERROR(__xludf.DUMMYFUNCTION("""COMPUTED_VALUE"""),157)</f>
        <v>157</v>
      </c>
      <c r="P38" s="29">
        <f ca="1">IFERROR(__xludf.DUMMYFUNCTION("""COMPUTED_VALUE"""),47)</f>
        <v>47</v>
      </c>
      <c r="Q38" s="29">
        <f ca="1">IFERROR(__xludf.DUMMYFUNCTION("""COMPUTED_VALUE"""),129)</f>
        <v>129</v>
      </c>
      <c r="R38" s="7" t="str">
        <f ca="1">IFERROR(__xludf.DUMMYFUNCTION("""COMPUTED_VALUE"""),"Bình Dương")</f>
        <v>Bình Dương</v>
      </c>
      <c r="S38" s="7" t="str">
        <f ca="1">IFERROR(__xludf.DUMMYFUNCTION("""COMPUTED_VALUE"""),"Huyện Phú Giáo")</f>
        <v>Huyện Phú Giáo</v>
      </c>
      <c r="T38" s="7" t="str">
        <f ca="1">IFERROR(__xludf.DUMMYFUNCTION("SPARKLINE({
IF(D38="""",0,D38),
IF(F38="""",0,F38),
IF(H38="""",0,H38),
IF(J38="""",0,J38),
IF(L38="""",0,L38),
IF(N38="""",0,N38),
IF(P38="""",0,P38)
})"),"")</f>
        <v/>
      </c>
      <c r="U38" s="7" t="str">
        <f ca="1">IFERROR(__xludf.DUMMYFUNCTION("SPARKLINE({
IF(E38="""",0,E38),
IF(G38="""",0,G38),
IF(I38="""",0,I38),
IF(K38="""",0,K38),
IF(M38="""",0,M38),
IF(O38="""",0,O38),
IF(Q38="""",0,Q38)
})"),"")</f>
        <v/>
      </c>
      <c r="V38" s="30" t="e">
        <f t="array" aca="1" ref="V38" ca="1">IF($C$4="Giao",_xludf.Xlookup(C38,#REF!,#REF!,),_xludf.Xlookup(C38,#REF!,#REF!,))</f>
        <v>#NAME?</v>
      </c>
      <c r="W38" s="30" t="e">
        <f t="array" aca="1" ref="W38" ca="1">IF($C$4="Giao", _xludf.Xlookup(C38,#REF!,#REF!,),_xludf.Xlookup(C38,#REF!,#REF!,))</f>
        <v>#NAME?</v>
      </c>
      <c r="X38" s="9" t="e">
        <f t="shared" ca="1" si="2"/>
        <v>#NAME?</v>
      </c>
      <c r="Y38" s="7"/>
      <c r="Z38" s="7"/>
    </row>
    <row r="39" spans="1:26" ht="13" x14ac:dyDescent="0.6">
      <c r="A39" s="28">
        <f t="shared" ca="1" si="1"/>
        <v>32</v>
      </c>
      <c r="B39" s="7" t="str">
        <f ca="1">IFERROR(__xludf.DUMMYFUNCTION("""COMPUTED_VALUE"""),"Huyện Phú Giáo")</f>
        <v>Huyện Phú Giáo</v>
      </c>
      <c r="C39" s="7" t="str">
        <f ca="1">IFERROR(__xludf.DUMMYFUNCTION("""COMPUTED_VALUE"""),"Bưu Cục Trừ Văn Thố-Bàu Bàng-Bình Dương")</f>
        <v>Bưu Cục Trừ Văn Thố-Bàu Bàng-Bình Dương</v>
      </c>
      <c r="D39" s="9">
        <f ca="1">IFERROR(__xludf.DUMMYFUNCTION("""COMPUTED_VALUE"""),41)</f>
        <v>41</v>
      </c>
      <c r="E39" s="9">
        <f ca="1">IFERROR(__xludf.DUMMYFUNCTION("""COMPUTED_VALUE"""),141)</f>
        <v>141</v>
      </c>
      <c r="F39" s="9">
        <f ca="1">IFERROR(__xludf.DUMMYFUNCTION("""COMPUTED_VALUE"""),33)</f>
        <v>33</v>
      </c>
      <c r="G39" s="9">
        <f ca="1">IFERROR(__xludf.DUMMYFUNCTION("""COMPUTED_VALUE"""),83)</f>
        <v>83</v>
      </c>
      <c r="H39" s="9">
        <f ca="1">IFERROR(__xludf.DUMMYFUNCTION("""COMPUTED_VALUE"""),53)</f>
        <v>53</v>
      </c>
      <c r="I39" s="9">
        <f ca="1">IFERROR(__xludf.DUMMYFUNCTION("""COMPUTED_VALUE"""),104)</f>
        <v>104</v>
      </c>
      <c r="J39" s="9">
        <f ca="1">IFERROR(__xludf.DUMMYFUNCTION("""COMPUTED_VALUE"""),22)</f>
        <v>22</v>
      </c>
      <c r="K39" s="9">
        <f ca="1">IFERROR(__xludf.DUMMYFUNCTION("""COMPUTED_VALUE"""),46)</f>
        <v>46</v>
      </c>
      <c r="L39" s="9">
        <f ca="1">IFERROR(__xludf.DUMMYFUNCTION("""COMPUTED_VALUE"""),28)</f>
        <v>28</v>
      </c>
      <c r="M39" s="9">
        <f ca="1">IFERROR(__xludf.DUMMYFUNCTION("""COMPUTED_VALUE"""),32)</f>
        <v>32</v>
      </c>
      <c r="N39" s="9">
        <f ca="1">IFERROR(__xludf.DUMMYFUNCTION("""COMPUTED_VALUE"""),38)</f>
        <v>38</v>
      </c>
      <c r="O39" s="9">
        <f ca="1">IFERROR(__xludf.DUMMYFUNCTION("""COMPUTED_VALUE"""),114)</f>
        <v>114</v>
      </c>
      <c r="P39" s="29">
        <f ca="1">IFERROR(__xludf.DUMMYFUNCTION("""COMPUTED_VALUE"""),33)</f>
        <v>33</v>
      </c>
      <c r="Q39" s="29">
        <f ca="1">IFERROR(__xludf.DUMMYFUNCTION("""COMPUTED_VALUE"""),45)</f>
        <v>45</v>
      </c>
      <c r="R39" s="7" t="str">
        <f ca="1">IFERROR(__xludf.DUMMYFUNCTION("""COMPUTED_VALUE"""),"Bình Dương")</f>
        <v>Bình Dương</v>
      </c>
      <c r="S39" s="7" t="str">
        <f ca="1">IFERROR(__xludf.DUMMYFUNCTION("""COMPUTED_VALUE"""),"Huyện Phú Giáo")</f>
        <v>Huyện Phú Giáo</v>
      </c>
      <c r="T39" s="7" t="str">
        <f ca="1">IFERROR(__xludf.DUMMYFUNCTION("SPARKLINE({
IF(D39="""",0,D39),
IF(F39="""",0,F39),
IF(H39="""",0,H39),
IF(J39="""",0,J39),
IF(L39="""",0,L39),
IF(N39="""",0,N39),
IF(P39="""",0,P39)
})"),"")</f>
        <v/>
      </c>
      <c r="U39" s="7" t="str">
        <f ca="1">IFERROR(__xludf.DUMMYFUNCTION("SPARKLINE({
IF(E39="""",0,E39),
IF(G39="""",0,G39),
IF(I39="""",0,I39),
IF(K39="""",0,K39),
IF(M39="""",0,M39),
IF(O39="""",0,O39),
IF(Q39="""",0,Q39)
})"),"")</f>
        <v/>
      </c>
      <c r="V39" s="30" t="e">
        <f t="array" aca="1" ref="V39" ca="1">IF($C$4="Giao",_xludf.Xlookup(C39,#REF!,#REF!,),_xludf.Xlookup(C39,#REF!,#REF!,))</f>
        <v>#NAME?</v>
      </c>
      <c r="W39" s="30" t="e">
        <f t="array" aca="1" ref="W39" ca="1">IF($C$4="Giao", _xludf.Xlookup(C39,#REF!,#REF!,),_xludf.Xlookup(C39,#REF!,#REF!,))</f>
        <v>#NAME?</v>
      </c>
      <c r="X39" s="9" t="e">
        <f t="shared" ca="1" si="2"/>
        <v>#NAME?</v>
      </c>
      <c r="Y39" s="7"/>
      <c r="Z39" s="7"/>
    </row>
    <row r="40" spans="1:26" ht="13" x14ac:dyDescent="0.6">
      <c r="A40" s="28">
        <f t="shared" ca="1" si="1"/>
        <v>33</v>
      </c>
      <c r="B40" s="7" t="str">
        <f ca="1">IFERROR(__xludf.DUMMYFUNCTION("""COMPUTED_VALUE"""),"Huyện Xuyên Mộc")</f>
        <v>Huyện Xuyên Mộc</v>
      </c>
      <c r="C40" s="7" t="str">
        <f ca="1">IFERROR(__xludf.DUMMYFUNCTION("""COMPUTED_VALUE"""),"Bưu Cục Ấp Phú Thọ-Xuyên Mộc-Bà Rịa Vũng Tàu")</f>
        <v>Bưu Cục Ấp Phú Thọ-Xuyên Mộc-Bà Rịa Vũng Tàu</v>
      </c>
      <c r="D40" s="9">
        <f ca="1">IFERROR(__xludf.DUMMYFUNCTION("""COMPUTED_VALUE"""),295)</f>
        <v>295</v>
      </c>
      <c r="E40" s="9">
        <f ca="1">IFERROR(__xludf.DUMMYFUNCTION("""COMPUTED_VALUE"""),158)</f>
        <v>158</v>
      </c>
      <c r="F40" s="9">
        <f ca="1">IFERROR(__xludf.DUMMYFUNCTION("""COMPUTED_VALUE"""),359)</f>
        <v>359</v>
      </c>
      <c r="G40" s="9">
        <f ca="1">IFERROR(__xludf.DUMMYFUNCTION("""COMPUTED_VALUE"""),305)</f>
        <v>305</v>
      </c>
      <c r="H40" s="9">
        <f ca="1">IFERROR(__xludf.DUMMYFUNCTION("""COMPUTED_VALUE"""),307)</f>
        <v>307</v>
      </c>
      <c r="I40" s="9">
        <f ca="1">IFERROR(__xludf.DUMMYFUNCTION("""COMPUTED_VALUE"""),361)</f>
        <v>361</v>
      </c>
      <c r="J40" s="9">
        <f ca="1">IFERROR(__xludf.DUMMYFUNCTION("""COMPUTED_VALUE"""),248)</f>
        <v>248</v>
      </c>
      <c r="K40" s="9">
        <f ca="1">IFERROR(__xludf.DUMMYFUNCTION("""COMPUTED_VALUE"""),279)</f>
        <v>279</v>
      </c>
      <c r="L40" s="9">
        <f ca="1">IFERROR(__xludf.DUMMYFUNCTION("""COMPUTED_VALUE"""),366)</f>
        <v>366</v>
      </c>
      <c r="M40" s="9">
        <f ca="1">IFERROR(__xludf.DUMMYFUNCTION("""COMPUTED_VALUE"""),286)</f>
        <v>286</v>
      </c>
      <c r="N40" s="9">
        <f ca="1">IFERROR(__xludf.DUMMYFUNCTION("""COMPUTED_VALUE"""),307)</f>
        <v>307</v>
      </c>
      <c r="O40" s="9">
        <f ca="1">IFERROR(__xludf.DUMMYFUNCTION("""COMPUTED_VALUE"""),402)</f>
        <v>402</v>
      </c>
      <c r="P40" s="29">
        <f ca="1">IFERROR(__xludf.DUMMYFUNCTION("""COMPUTED_VALUE"""),197)</f>
        <v>197</v>
      </c>
      <c r="Q40" s="29">
        <f ca="1">IFERROR(__xludf.DUMMYFUNCTION("""COMPUTED_VALUE"""),301)</f>
        <v>301</v>
      </c>
      <c r="R40" s="7" t="str">
        <f ca="1">IFERROR(__xludf.DUMMYFUNCTION("""COMPUTED_VALUE"""),"Bà Rịa - Vũng Tàu")</f>
        <v>Bà Rịa - Vũng Tàu</v>
      </c>
      <c r="S40" s="7" t="str">
        <f ca="1">IFERROR(__xludf.DUMMYFUNCTION("""COMPUTED_VALUE"""),"Huyện Xuyên Mộc")</f>
        <v>Huyện Xuyên Mộc</v>
      </c>
      <c r="T40" s="7" t="str">
        <f ca="1">IFERROR(__xludf.DUMMYFUNCTION("SPARKLINE({
IF(D40="""",0,D40),
IF(F40="""",0,F40),
IF(H40="""",0,H40),
IF(J40="""",0,J40),
IF(L40="""",0,L40),
IF(N40="""",0,N40),
IF(P40="""",0,P40)
})"),"")</f>
        <v/>
      </c>
      <c r="U40" s="7" t="str">
        <f ca="1">IFERROR(__xludf.DUMMYFUNCTION("SPARKLINE({
IF(E40="""",0,E40),
IF(G40="""",0,G40),
IF(I40="""",0,I40),
IF(K40="""",0,K40),
IF(M40="""",0,M40),
IF(O40="""",0,O40),
IF(Q40="""",0,Q40)
})"),"")</f>
        <v/>
      </c>
      <c r="V40" s="30" t="e">
        <f t="array" aca="1" ref="V40" ca="1">IF($C$4="Giao",_xludf.Xlookup(C40,#REF!,#REF!,),_xludf.Xlookup(C40,#REF!,#REF!,))</f>
        <v>#NAME?</v>
      </c>
      <c r="W40" s="30" t="e">
        <f t="array" aca="1" ref="W40" ca="1">IF($C$4="Giao", _xludf.Xlookup(C40,#REF!,#REF!,),_xludf.Xlookup(C40,#REF!,#REF!,))</f>
        <v>#NAME?</v>
      </c>
      <c r="X40" s="9" t="e">
        <f t="shared" ca="1" si="2"/>
        <v>#NAME?</v>
      </c>
      <c r="Y40" s="7"/>
      <c r="Z40" s="7"/>
    </row>
    <row r="41" spans="1:26" ht="13" x14ac:dyDescent="0.6">
      <c r="A41" s="28">
        <f t="shared" ca="1" si="1"/>
        <v>34</v>
      </c>
      <c r="B41" s="7" t="str">
        <f ca="1">IFERROR(__xludf.DUMMYFUNCTION("""COMPUTED_VALUE"""),"Huyện Xuyên Mộc")</f>
        <v>Huyện Xuyên Mộc</v>
      </c>
      <c r="C41" s="7" t="str">
        <f ca="1">IFERROR(__xludf.DUMMYFUNCTION("""COMPUTED_VALUE"""),"Bưu Cục Xuyên Mộc-Bà Rịa Vũng Tàu")</f>
        <v>Bưu Cục Xuyên Mộc-Bà Rịa Vũng Tàu</v>
      </c>
      <c r="D41" s="9">
        <f ca="1">IFERROR(__xludf.DUMMYFUNCTION("""COMPUTED_VALUE"""),528)</f>
        <v>528</v>
      </c>
      <c r="E41" s="9">
        <f ca="1">IFERROR(__xludf.DUMMYFUNCTION("""COMPUTED_VALUE"""),940)</f>
        <v>940</v>
      </c>
      <c r="F41" s="9">
        <f ca="1">IFERROR(__xludf.DUMMYFUNCTION("""COMPUTED_VALUE"""),562)</f>
        <v>562</v>
      </c>
      <c r="G41" s="9">
        <f ca="1">IFERROR(__xludf.DUMMYFUNCTION("""COMPUTED_VALUE"""),1007)</f>
        <v>1007</v>
      </c>
      <c r="H41" s="9">
        <f ca="1">IFERROR(__xludf.DUMMYFUNCTION("""COMPUTED_VALUE"""),527)</f>
        <v>527</v>
      </c>
      <c r="I41" s="9">
        <f ca="1">IFERROR(__xludf.DUMMYFUNCTION("""COMPUTED_VALUE"""),731)</f>
        <v>731</v>
      </c>
      <c r="J41" s="9">
        <f ca="1">IFERROR(__xludf.DUMMYFUNCTION("""COMPUTED_VALUE"""),463)</f>
        <v>463</v>
      </c>
      <c r="K41" s="9">
        <f ca="1">IFERROR(__xludf.DUMMYFUNCTION("""COMPUTED_VALUE"""),965)</f>
        <v>965</v>
      </c>
      <c r="L41" s="9">
        <f ca="1">IFERROR(__xludf.DUMMYFUNCTION("""COMPUTED_VALUE"""),299)</f>
        <v>299</v>
      </c>
      <c r="M41" s="9">
        <f ca="1">IFERROR(__xludf.DUMMYFUNCTION("""COMPUTED_VALUE"""),462)</f>
        <v>462</v>
      </c>
      <c r="N41" s="9">
        <f ca="1">IFERROR(__xludf.DUMMYFUNCTION("""COMPUTED_VALUE"""),543)</f>
        <v>543</v>
      </c>
      <c r="O41" s="9">
        <f ca="1">IFERROR(__xludf.DUMMYFUNCTION("""COMPUTED_VALUE"""),937)</f>
        <v>937</v>
      </c>
      <c r="P41" s="29">
        <f ca="1">IFERROR(__xludf.DUMMYFUNCTION("""COMPUTED_VALUE"""),650)</f>
        <v>650</v>
      </c>
      <c r="Q41" s="29">
        <f ca="1">IFERROR(__xludf.DUMMYFUNCTION("""COMPUTED_VALUE"""),1042)</f>
        <v>1042</v>
      </c>
      <c r="R41" s="7" t="str">
        <f ca="1">IFERROR(__xludf.DUMMYFUNCTION("""COMPUTED_VALUE"""),"Bà Rịa - Vũng Tàu")</f>
        <v>Bà Rịa - Vũng Tàu</v>
      </c>
      <c r="S41" s="7" t="str">
        <f ca="1">IFERROR(__xludf.DUMMYFUNCTION("""COMPUTED_VALUE"""),"Huyện Xuyên Mộc")</f>
        <v>Huyện Xuyên Mộc</v>
      </c>
      <c r="T41" s="7" t="str">
        <f ca="1">IFERROR(__xludf.DUMMYFUNCTION("SPARKLINE({
IF(D41="""",0,D41),
IF(F41="""",0,F41),
IF(H41="""",0,H41),
IF(J41="""",0,J41),
IF(L41="""",0,L41),
IF(N41="""",0,N41),
IF(P41="""",0,P41)
})"),"")</f>
        <v/>
      </c>
      <c r="U41" s="7" t="str">
        <f ca="1">IFERROR(__xludf.DUMMYFUNCTION("SPARKLINE({
IF(E41="""",0,E41),
IF(G41="""",0,G41),
IF(I41="""",0,I41),
IF(K41="""",0,K41),
IF(M41="""",0,M41),
IF(O41="""",0,O41),
IF(Q41="""",0,Q41)
})"),"")</f>
        <v/>
      </c>
      <c r="V41" s="30" t="e">
        <f t="array" aca="1" ref="V41" ca="1">IF($C$4="Giao",_xludf.Xlookup(C41,#REF!,#REF!,),_xludf.Xlookup(C41,#REF!,#REF!,))</f>
        <v>#NAME?</v>
      </c>
      <c r="W41" s="30" t="e">
        <f t="array" aca="1" ref="W41" ca="1">IF($C$4="Giao", _xludf.Xlookup(C41,#REF!,#REF!,),_xludf.Xlookup(C41,#REF!,#REF!,))</f>
        <v>#NAME?</v>
      </c>
      <c r="X41" s="9" t="e">
        <f t="shared" ca="1" si="2"/>
        <v>#NAME?</v>
      </c>
      <c r="Y41" s="7"/>
      <c r="Z41" s="7"/>
    </row>
    <row r="42" spans="1:26" ht="13" x14ac:dyDescent="0.6">
      <c r="A42" s="28">
        <f t="shared" ca="1" si="1"/>
        <v>35</v>
      </c>
      <c r="B42" s="7" t="str">
        <f ca="1">IFERROR(__xludf.DUMMYFUNCTION("""COMPUTED_VALUE"""),"Quận 1")</f>
        <v>Quận 1</v>
      </c>
      <c r="C42" s="7" t="str">
        <f ca="1">IFERROR(__xludf.DUMMYFUNCTION("""COMPUTED_VALUE"""),"Bưu Cục 16 Trần Nhật Duật-Q.1-HCM")</f>
        <v>Bưu Cục 16 Trần Nhật Duật-Q.1-HCM</v>
      </c>
      <c r="D42" s="9">
        <f ca="1">IFERROR(__xludf.DUMMYFUNCTION("""COMPUTED_VALUE"""),497)</f>
        <v>497</v>
      </c>
      <c r="E42" s="9">
        <f ca="1">IFERROR(__xludf.DUMMYFUNCTION("""COMPUTED_VALUE"""),804)</f>
        <v>804</v>
      </c>
      <c r="F42" s="9">
        <f ca="1">IFERROR(__xludf.DUMMYFUNCTION("""COMPUTED_VALUE"""),519)</f>
        <v>519</v>
      </c>
      <c r="G42" s="9">
        <f ca="1">IFERROR(__xludf.DUMMYFUNCTION("""COMPUTED_VALUE"""),688)</f>
        <v>688</v>
      </c>
      <c r="H42" s="9">
        <f ca="1">IFERROR(__xludf.DUMMYFUNCTION("""COMPUTED_VALUE"""),409)</f>
        <v>409</v>
      </c>
      <c r="I42" s="9">
        <f ca="1">IFERROR(__xludf.DUMMYFUNCTION("""COMPUTED_VALUE"""),547)</f>
        <v>547</v>
      </c>
      <c r="J42" s="9">
        <f ca="1">IFERROR(__xludf.DUMMYFUNCTION("""COMPUTED_VALUE"""),414)</f>
        <v>414</v>
      </c>
      <c r="K42" s="9">
        <f ca="1">IFERROR(__xludf.DUMMYFUNCTION("""COMPUTED_VALUE"""),807)</f>
        <v>807</v>
      </c>
      <c r="L42" s="9">
        <f ca="1">IFERROR(__xludf.DUMMYFUNCTION("""COMPUTED_VALUE"""),213)</f>
        <v>213</v>
      </c>
      <c r="M42" s="9">
        <f ca="1">IFERROR(__xludf.DUMMYFUNCTION("""COMPUTED_VALUE"""),189)</f>
        <v>189</v>
      </c>
      <c r="N42" s="9">
        <f ca="1">IFERROR(__xludf.DUMMYFUNCTION("""COMPUTED_VALUE"""),430)</f>
        <v>430</v>
      </c>
      <c r="O42" s="9">
        <f ca="1">IFERROR(__xludf.DUMMYFUNCTION("""COMPUTED_VALUE"""),562)</f>
        <v>562</v>
      </c>
      <c r="P42" s="29">
        <f ca="1">IFERROR(__xludf.DUMMYFUNCTION("""COMPUTED_VALUE"""),446)</f>
        <v>446</v>
      </c>
      <c r="Q42" s="29">
        <f ca="1">IFERROR(__xludf.DUMMYFUNCTION("""COMPUTED_VALUE"""),624)</f>
        <v>624</v>
      </c>
      <c r="R42" s="7" t="str">
        <f ca="1">IFERROR(__xludf.DUMMYFUNCTION("""COMPUTED_VALUE"""),"Hồ Chí Minh")</f>
        <v>Hồ Chí Minh</v>
      </c>
      <c r="S42" s="7" t="str">
        <f ca="1">IFERROR(__xludf.DUMMYFUNCTION("""COMPUTED_VALUE"""),"Quận 1")</f>
        <v>Quận 1</v>
      </c>
      <c r="T42" s="7" t="str">
        <f ca="1">IFERROR(__xludf.DUMMYFUNCTION("SPARKLINE({
IF(D42="""",0,D42),
IF(F42="""",0,F42),
IF(H42="""",0,H42),
IF(J42="""",0,J42),
IF(L42="""",0,L42),
IF(N42="""",0,N42),
IF(P42="""",0,P42)
})"),"")</f>
        <v/>
      </c>
      <c r="U42" s="7" t="str">
        <f ca="1">IFERROR(__xludf.DUMMYFUNCTION("SPARKLINE({
IF(E42="""",0,E42),
IF(G42="""",0,G42),
IF(I42="""",0,I42),
IF(K42="""",0,K42),
IF(M42="""",0,M42),
IF(O42="""",0,O42),
IF(Q42="""",0,Q42)
})"),"")</f>
        <v/>
      </c>
      <c r="V42" s="30" t="e">
        <f t="array" aca="1" ref="V42" ca="1">IF($C$4="Giao",_xludf.Xlookup(C42,#REF!,#REF!,),_xludf.Xlookup(C42,#REF!,#REF!,))</f>
        <v>#NAME?</v>
      </c>
      <c r="W42" s="30" t="e">
        <f t="array" aca="1" ref="W42" ca="1">IF($C$4="Giao", _xludf.Xlookup(C42,#REF!,#REF!,),_xludf.Xlookup(C42,#REF!,#REF!,))</f>
        <v>#NAME?</v>
      </c>
      <c r="X42" s="9" t="e">
        <f t="shared" ca="1" si="2"/>
        <v>#NAME?</v>
      </c>
      <c r="Y42" s="7"/>
      <c r="Z42" s="7"/>
    </row>
    <row r="43" spans="1:26" ht="13" x14ac:dyDescent="0.6">
      <c r="A43" s="28">
        <f t="shared" ca="1" si="1"/>
        <v>36</v>
      </c>
      <c r="B43" s="7" t="str">
        <f ca="1">IFERROR(__xludf.DUMMYFUNCTION("""COMPUTED_VALUE"""),"Quận 1")</f>
        <v>Quận 1</v>
      </c>
      <c r="C43" s="7" t="str">
        <f ca="1">IFERROR(__xludf.DUMMYFUNCTION("""COMPUTED_VALUE"""),"Bưu Cục 21 Phú Mỹ-Q.Bình Thạnh-HCM")</f>
        <v>Bưu Cục 21 Phú Mỹ-Q.Bình Thạnh-HCM</v>
      </c>
      <c r="D43" s="9">
        <f ca="1">IFERROR(__xludf.DUMMYFUNCTION("""COMPUTED_VALUE"""),218)</f>
        <v>218</v>
      </c>
      <c r="E43" s="9">
        <f ca="1">IFERROR(__xludf.DUMMYFUNCTION("""COMPUTED_VALUE"""),335)</f>
        <v>335</v>
      </c>
      <c r="F43" s="9">
        <f ca="1">IFERROR(__xludf.DUMMYFUNCTION("""COMPUTED_VALUE"""),181)</f>
        <v>181</v>
      </c>
      <c r="G43" s="9">
        <f ca="1">IFERROR(__xludf.DUMMYFUNCTION("""COMPUTED_VALUE"""),243)</f>
        <v>243</v>
      </c>
      <c r="H43" s="9">
        <f ca="1">IFERROR(__xludf.DUMMYFUNCTION("""COMPUTED_VALUE"""),224)</f>
        <v>224</v>
      </c>
      <c r="I43" s="9">
        <f ca="1">IFERROR(__xludf.DUMMYFUNCTION("""COMPUTED_VALUE"""),343)</f>
        <v>343</v>
      </c>
      <c r="J43" s="9">
        <f ca="1">IFERROR(__xludf.DUMMYFUNCTION("""COMPUTED_VALUE"""),209)</f>
        <v>209</v>
      </c>
      <c r="K43" s="9">
        <f ca="1">IFERROR(__xludf.DUMMYFUNCTION("""COMPUTED_VALUE"""),339)</f>
        <v>339</v>
      </c>
      <c r="L43" s="9">
        <f ca="1">IFERROR(__xludf.DUMMYFUNCTION("""COMPUTED_VALUE"""),69)</f>
        <v>69</v>
      </c>
      <c r="M43" s="9">
        <f ca="1">IFERROR(__xludf.DUMMYFUNCTION("""COMPUTED_VALUE"""),153)</f>
        <v>153</v>
      </c>
      <c r="N43" s="9">
        <f ca="1">IFERROR(__xludf.DUMMYFUNCTION("""COMPUTED_VALUE"""),201)</f>
        <v>201</v>
      </c>
      <c r="O43" s="9">
        <f ca="1">IFERROR(__xludf.DUMMYFUNCTION("""COMPUTED_VALUE"""),255)</f>
        <v>255</v>
      </c>
      <c r="P43" s="29">
        <f ca="1">IFERROR(__xludf.DUMMYFUNCTION("""COMPUTED_VALUE"""),213)</f>
        <v>213</v>
      </c>
      <c r="Q43" s="29">
        <f ca="1">IFERROR(__xludf.DUMMYFUNCTION("""COMPUTED_VALUE"""),319)</f>
        <v>319</v>
      </c>
      <c r="R43" s="7" t="str">
        <f ca="1">IFERROR(__xludf.DUMMYFUNCTION("""COMPUTED_VALUE"""),"Hồ Chí Minh")</f>
        <v>Hồ Chí Minh</v>
      </c>
      <c r="S43" s="7" t="str">
        <f ca="1">IFERROR(__xludf.DUMMYFUNCTION("""COMPUTED_VALUE"""),"Quận 1")</f>
        <v>Quận 1</v>
      </c>
      <c r="T43" s="7" t="str">
        <f ca="1">IFERROR(__xludf.DUMMYFUNCTION("SPARKLINE({
IF(D43="""",0,D43),
IF(F43="""",0,F43),
IF(H43="""",0,H43),
IF(J43="""",0,J43),
IF(L43="""",0,L43),
IF(N43="""",0,N43),
IF(P43="""",0,P43)
})"),"")</f>
        <v/>
      </c>
      <c r="U43" s="7" t="str">
        <f ca="1">IFERROR(__xludf.DUMMYFUNCTION("SPARKLINE({
IF(E43="""",0,E43),
IF(G43="""",0,G43),
IF(I43="""",0,I43),
IF(K43="""",0,K43),
IF(M43="""",0,M43),
IF(O43="""",0,O43),
IF(Q43="""",0,Q43)
})"),"")</f>
        <v/>
      </c>
      <c r="V43" s="30" t="e">
        <f t="array" aca="1" ref="V43" ca="1">IF($C$4="Giao",_xludf.Xlookup(C43,#REF!,#REF!,),_xludf.Xlookup(C43,#REF!,#REF!,))</f>
        <v>#NAME?</v>
      </c>
      <c r="W43" s="30" t="e">
        <f t="array" aca="1" ref="W43" ca="1">IF($C$4="Giao", _xludf.Xlookup(C43,#REF!,#REF!,),_xludf.Xlookup(C43,#REF!,#REF!,))</f>
        <v>#NAME?</v>
      </c>
      <c r="X43" s="9" t="e">
        <f t="shared" ca="1" si="2"/>
        <v>#NAME?</v>
      </c>
      <c r="Y43" s="7"/>
      <c r="Z43" s="7"/>
    </row>
    <row r="44" spans="1:26" ht="13" x14ac:dyDescent="0.6">
      <c r="A44" s="28">
        <f t="shared" ca="1" si="1"/>
        <v>37</v>
      </c>
      <c r="B44" s="7" t="str">
        <f ca="1">IFERROR(__xludf.DUMMYFUNCTION("""COMPUTED_VALUE"""),"Quận 1")</f>
        <v>Quận 1</v>
      </c>
      <c r="C44" s="7" t="str">
        <f ca="1">IFERROR(__xludf.DUMMYFUNCTION("""COMPUTED_VALUE"""),"Bưu Cục 274 Cô Bắc-Q.1-HCM")</f>
        <v>Bưu Cục 274 Cô Bắc-Q.1-HCM</v>
      </c>
      <c r="D44" s="9">
        <f ca="1">IFERROR(__xludf.DUMMYFUNCTION("""COMPUTED_VALUE"""),451)</f>
        <v>451</v>
      </c>
      <c r="E44" s="9">
        <f ca="1">IFERROR(__xludf.DUMMYFUNCTION("""COMPUTED_VALUE"""),915)</f>
        <v>915</v>
      </c>
      <c r="F44" s="9">
        <f ca="1">IFERROR(__xludf.DUMMYFUNCTION("""COMPUTED_VALUE"""),399)</f>
        <v>399</v>
      </c>
      <c r="G44" s="9">
        <f ca="1">IFERROR(__xludf.DUMMYFUNCTION("""COMPUTED_VALUE"""),1040)</f>
        <v>1040</v>
      </c>
      <c r="H44" s="9">
        <f ca="1">IFERROR(__xludf.DUMMYFUNCTION("""COMPUTED_VALUE"""),463)</f>
        <v>463</v>
      </c>
      <c r="I44" s="9">
        <f ca="1">IFERROR(__xludf.DUMMYFUNCTION("""COMPUTED_VALUE"""),932)</f>
        <v>932</v>
      </c>
      <c r="J44" s="9">
        <f ca="1">IFERROR(__xludf.DUMMYFUNCTION("""COMPUTED_VALUE"""),403)</f>
        <v>403</v>
      </c>
      <c r="K44" s="9">
        <f ca="1">IFERROR(__xludf.DUMMYFUNCTION("""COMPUTED_VALUE"""),1047)</f>
        <v>1047</v>
      </c>
      <c r="L44" s="9">
        <f ca="1">IFERROR(__xludf.DUMMYFUNCTION("""COMPUTED_VALUE"""),231)</f>
        <v>231</v>
      </c>
      <c r="M44" s="9">
        <f ca="1">IFERROR(__xludf.DUMMYFUNCTION("""COMPUTED_VALUE"""),460)</f>
        <v>460</v>
      </c>
      <c r="N44" s="9">
        <f ca="1">IFERROR(__xludf.DUMMYFUNCTION("""COMPUTED_VALUE"""),392)</f>
        <v>392</v>
      </c>
      <c r="O44" s="9">
        <f ca="1">IFERROR(__xludf.DUMMYFUNCTION("""COMPUTED_VALUE"""),1203)</f>
        <v>1203</v>
      </c>
      <c r="P44" s="29">
        <f ca="1">IFERROR(__xludf.DUMMYFUNCTION("""COMPUTED_VALUE"""),333)</f>
        <v>333</v>
      </c>
      <c r="Q44" s="29">
        <f ca="1">IFERROR(__xludf.DUMMYFUNCTION("""COMPUTED_VALUE"""),865)</f>
        <v>865</v>
      </c>
      <c r="R44" s="7" t="str">
        <f ca="1">IFERROR(__xludf.DUMMYFUNCTION("""COMPUTED_VALUE"""),"Hồ Chí Minh")</f>
        <v>Hồ Chí Minh</v>
      </c>
      <c r="S44" s="7" t="str">
        <f ca="1">IFERROR(__xludf.DUMMYFUNCTION("""COMPUTED_VALUE"""),"Quận 1")</f>
        <v>Quận 1</v>
      </c>
      <c r="T44" s="7" t="str">
        <f ca="1">IFERROR(__xludf.DUMMYFUNCTION("SPARKLINE({
IF(D44="""",0,D44),
IF(F44="""",0,F44),
IF(H44="""",0,H44),
IF(J44="""",0,J44),
IF(L44="""",0,L44),
IF(N44="""",0,N44),
IF(P44="""",0,P44)
})"),"")</f>
        <v/>
      </c>
      <c r="U44" s="7" t="str">
        <f ca="1">IFERROR(__xludf.DUMMYFUNCTION("SPARKLINE({
IF(E44="""",0,E44),
IF(G44="""",0,G44),
IF(I44="""",0,I44),
IF(K44="""",0,K44),
IF(M44="""",0,M44),
IF(O44="""",0,O44),
IF(Q44="""",0,Q44)
})"),"")</f>
        <v/>
      </c>
      <c r="V44" s="30" t="e">
        <f t="array" aca="1" ref="V44" ca="1">IF($C$4="Giao",_xludf.Xlookup(C44,#REF!,#REF!,),_xludf.Xlookup(C44,#REF!,#REF!,))</f>
        <v>#NAME?</v>
      </c>
      <c r="W44" s="30" t="e">
        <f t="array" aca="1" ref="W44" ca="1">IF($C$4="Giao", _xludf.Xlookup(C44,#REF!,#REF!,),_xludf.Xlookup(C44,#REF!,#REF!,))</f>
        <v>#NAME?</v>
      </c>
      <c r="X44" s="9" t="e">
        <f t="shared" ca="1" si="2"/>
        <v>#NAME?</v>
      </c>
      <c r="Y44" s="7"/>
      <c r="Z44" s="7"/>
    </row>
    <row r="45" spans="1:26" ht="13" x14ac:dyDescent="0.6">
      <c r="A45" s="28">
        <f t="shared" ca="1" si="1"/>
        <v>38</v>
      </c>
      <c r="B45" s="7" t="str">
        <f ca="1">IFERROR(__xludf.DUMMYFUNCTION("""COMPUTED_VALUE"""),"Quận 1")</f>
        <v>Quận 1</v>
      </c>
      <c r="C45" s="7" t="str">
        <f ca="1">IFERROR(__xludf.DUMMYFUNCTION("""COMPUTED_VALUE"""),"Bưu Cục 63A Trần Đình Xu-Q.1-HCM")</f>
        <v>Bưu Cục 63A Trần Đình Xu-Q.1-HCM</v>
      </c>
      <c r="D45" s="9">
        <f ca="1">IFERROR(__xludf.DUMMYFUNCTION("""COMPUTED_VALUE"""),518)</f>
        <v>518</v>
      </c>
      <c r="E45" s="9">
        <f ca="1">IFERROR(__xludf.DUMMYFUNCTION("""COMPUTED_VALUE"""),699)</f>
        <v>699</v>
      </c>
      <c r="F45" s="9">
        <f ca="1">IFERROR(__xludf.DUMMYFUNCTION("""COMPUTED_VALUE"""),437)</f>
        <v>437</v>
      </c>
      <c r="G45" s="9">
        <f ca="1">IFERROR(__xludf.DUMMYFUNCTION("""COMPUTED_VALUE"""),599)</f>
        <v>599</v>
      </c>
      <c r="H45" s="9">
        <f ca="1">IFERROR(__xludf.DUMMYFUNCTION("""COMPUTED_VALUE"""),473)</f>
        <v>473</v>
      </c>
      <c r="I45" s="9">
        <f ca="1">IFERROR(__xludf.DUMMYFUNCTION("""COMPUTED_VALUE"""),800)</f>
        <v>800</v>
      </c>
      <c r="J45" s="9">
        <f ca="1">IFERROR(__xludf.DUMMYFUNCTION("""COMPUTED_VALUE"""),467)</f>
        <v>467</v>
      </c>
      <c r="K45" s="9">
        <f ca="1">IFERROR(__xludf.DUMMYFUNCTION("""COMPUTED_VALUE"""),979)</f>
        <v>979</v>
      </c>
      <c r="L45" s="9">
        <f ca="1">IFERROR(__xludf.DUMMYFUNCTION("""COMPUTED_VALUE"""),286)</f>
        <v>286</v>
      </c>
      <c r="M45" s="9">
        <f ca="1">IFERROR(__xludf.DUMMYFUNCTION("""COMPUTED_VALUE"""),363)</f>
        <v>363</v>
      </c>
      <c r="N45" s="9">
        <f ca="1">IFERROR(__xludf.DUMMYFUNCTION("""COMPUTED_VALUE"""),551)</f>
        <v>551</v>
      </c>
      <c r="O45" s="9">
        <f ca="1">IFERROR(__xludf.DUMMYFUNCTION("""COMPUTED_VALUE"""),791)</f>
        <v>791</v>
      </c>
      <c r="P45" s="29">
        <f ca="1">IFERROR(__xludf.DUMMYFUNCTION("""COMPUTED_VALUE"""),507)</f>
        <v>507</v>
      </c>
      <c r="Q45" s="29">
        <f ca="1">IFERROR(__xludf.DUMMYFUNCTION("""COMPUTED_VALUE"""),708)</f>
        <v>708</v>
      </c>
      <c r="R45" s="7" t="str">
        <f ca="1">IFERROR(__xludf.DUMMYFUNCTION("""COMPUTED_VALUE"""),"Hồ Chí Minh")</f>
        <v>Hồ Chí Minh</v>
      </c>
      <c r="S45" s="7" t="str">
        <f ca="1">IFERROR(__xludf.DUMMYFUNCTION("""COMPUTED_VALUE"""),"Quận 1")</f>
        <v>Quận 1</v>
      </c>
      <c r="T45" s="7" t="str">
        <f ca="1">IFERROR(__xludf.DUMMYFUNCTION("SPARKLINE({
IF(D45="""",0,D45),
IF(F45="""",0,F45),
IF(H45="""",0,H45),
IF(J45="""",0,J45),
IF(L45="""",0,L45),
IF(N45="""",0,N45),
IF(P45="""",0,P45)
})"),"")</f>
        <v/>
      </c>
      <c r="U45" s="7" t="str">
        <f ca="1">IFERROR(__xludf.DUMMYFUNCTION("SPARKLINE({
IF(E45="""",0,E45),
IF(G45="""",0,G45),
IF(I45="""",0,I45),
IF(K45="""",0,K45),
IF(M45="""",0,M45),
IF(O45="""",0,O45),
IF(Q45="""",0,Q45)
})"),"")</f>
        <v/>
      </c>
      <c r="V45" s="30" t="e">
        <f t="array" aca="1" ref="V45" ca="1">IF($C$4="Giao",_xludf.Xlookup(C45,#REF!,#REF!,),_xludf.Xlookup(C45,#REF!,#REF!,))</f>
        <v>#NAME?</v>
      </c>
      <c r="W45" s="30" t="e">
        <f t="array" aca="1" ref="W45" ca="1">IF($C$4="Giao", _xludf.Xlookup(C45,#REF!,#REF!,),_xludf.Xlookup(C45,#REF!,#REF!,))</f>
        <v>#NAME?</v>
      </c>
      <c r="X45" s="9" t="e">
        <f t="shared" ca="1" si="2"/>
        <v>#NAME?</v>
      </c>
      <c r="Y45" s="7"/>
      <c r="Z45" s="7"/>
    </row>
    <row r="46" spans="1:26" ht="13" x14ac:dyDescent="0.6">
      <c r="A46" s="28">
        <f t="shared" ca="1" si="1"/>
        <v>39</v>
      </c>
      <c r="B46" s="7" t="str">
        <f ca="1">IFERROR(__xludf.DUMMYFUNCTION("""COMPUTED_VALUE"""),"Quận 10")</f>
        <v>Quận 10</v>
      </c>
      <c r="C46" s="7" t="str">
        <f ca="1">IFERROR(__xludf.DUMMYFUNCTION("""COMPUTED_VALUE"""),"Bưu Cục 16A Lê Hồng Phong-Q.10-HCM")</f>
        <v>Bưu Cục 16A Lê Hồng Phong-Q.10-HCM</v>
      </c>
      <c r="D46" s="9">
        <f ca="1">IFERROR(__xludf.DUMMYFUNCTION("""COMPUTED_VALUE"""),1675)</f>
        <v>1675</v>
      </c>
      <c r="E46" s="9">
        <f ca="1">IFERROR(__xludf.DUMMYFUNCTION("""COMPUTED_VALUE"""),3804)</f>
        <v>3804</v>
      </c>
      <c r="F46" s="9">
        <f ca="1">IFERROR(__xludf.DUMMYFUNCTION("""COMPUTED_VALUE"""),1596)</f>
        <v>1596</v>
      </c>
      <c r="G46" s="9">
        <f ca="1">IFERROR(__xludf.DUMMYFUNCTION("""COMPUTED_VALUE"""),3274)</f>
        <v>3274</v>
      </c>
      <c r="H46" s="9">
        <f ca="1">IFERROR(__xludf.DUMMYFUNCTION("""COMPUTED_VALUE"""),1588)</f>
        <v>1588</v>
      </c>
      <c r="I46" s="9">
        <f ca="1">IFERROR(__xludf.DUMMYFUNCTION("""COMPUTED_VALUE"""),3435)</f>
        <v>3435</v>
      </c>
      <c r="J46" s="9">
        <f ca="1">IFERROR(__xludf.DUMMYFUNCTION("""COMPUTED_VALUE"""),1563)</f>
        <v>1563</v>
      </c>
      <c r="K46" s="9">
        <f ca="1">IFERROR(__xludf.DUMMYFUNCTION("""COMPUTED_VALUE"""),4018)</f>
        <v>4018</v>
      </c>
      <c r="L46" s="9">
        <f ca="1">IFERROR(__xludf.DUMMYFUNCTION("""COMPUTED_VALUE"""),383)</f>
        <v>383</v>
      </c>
      <c r="M46" s="9">
        <f ca="1">IFERROR(__xludf.DUMMYFUNCTION("""COMPUTED_VALUE"""),1100)</f>
        <v>1100</v>
      </c>
      <c r="N46" s="9">
        <f ca="1">IFERROR(__xludf.DUMMYFUNCTION("""COMPUTED_VALUE"""),2205)</f>
        <v>2205</v>
      </c>
      <c r="O46" s="9">
        <f ca="1">IFERROR(__xludf.DUMMYFUNCTION("""COMPUTED_VALUE"""),3649)</f>
        <v>3649</v>
      </c>
      <c r="P46" s="29">
        <f ca="1">IFERROR(__xludf.DUMMYFUNCTION("""COMPUTED_VALUE"""),1853)</f>
        <v>1853</v>
      </c>
      <c r="Q46" s="29">
        <f ca="1">IFERROR(__xludf.DUMMYFUNCTION("""COMPUTED_VALUE"""),3758)</f>
        <v>3758</v>
      </c>
      <c r="R46" s="7" t="str">
        <f ca="1">IFERROR(__xludf.DUMMYFUNCTION("""COMPUTED_VALUE"""),"Hồ Chí Minh")</f>
        <v>Hồ Chí Minh</v>
      </c>
      <c r="S46" s="7" t="str">
        <f ca="1">IFERROR(__xludf.DUMMYFUNCTION("""COMPUTED_VALUE"""),"Quận 10")</f>
        <v>Quận 10</v>
      </c>
      <c r="T46" s="7" t="str">
        <f ca="1">IFERROR(__xludf.DUMMYFUNCTION("SPARKLINE({
IF(D46="""",0,D46),
IF(F46="""",0,F46),
IF(H46="""",0,H46),
IF(J46="""",0,J46),
IF(L46="""",0,L46),
IF(N46="""",0,N46),
IF(P46="""",0,P46)
})"),"")</f>
        <v/>
      </c>
      <c r="U46" s="7" t="str">
        <f ca="1">IFERROR(__xludf.DUMMYFUNCTION("SPARKLINE({
IF(E46="""",0,E46),
IF(G46="""",0,G46),
IF(I46="""",0,I46),
IF(K46="""",0,K46),
IF(M46="""",0,M46),
IF(O46="""",0,O46),
IF(Q46="""",0,Q46)
})"),"")</f>
        <v/>
      </c>
      <c r="V46" s="30" t="e">
        <f t="array" aca="1" ref="V46" ca="1">IF($C$4="Giao",_xludf.Xlookup(C46,#REF!,#REF!,),_xludf.Xlookup(C46,#REF!,#REF!,))</f>
        <v>#NAME?</v>
      </c>
      <c r="W46" s="30" t="e">
        <f t="array" aca="1" ref="W46" ca="1">IF($C$4="Giao", _xludf.Xlookup(C46,#REF!,#REF!,),_xludf.Xlookup(C46,#REF!,#REF!,))</f>
        <v>#NAME?</v>
      </c>
      <c r="X46" s="9" t="e">
        <f t="shared" ca="1" si="2"/>
        <v>#NAME?</v>
      </c>
      <c r="Y46" s="7"/>
      <c r="Z46" s="7"/>
    </row>
    <row r="47" spans="1:26" ht="13" x14ac:dyDescent="0.6">
      <c r="A47" s="28">
        <f t="shared" ca="1" si="1"/>
        <v>40</v>
      </c>
      <c r="B47" s="7" t="str">
        <f ca="1">IFERROR(__xludf.DUMMYFUNCTION("""COMPUTED_VALUE"""),"Quận 10")</f>
        <v>Quận 10</v>
      </c>
      <c r="C47" s="7" t="str">
        <f ca="1">IFERROR(__xludf.DUMMYFUNCTION("""COMPUTED_VALUE"""),"Bưu Cục 7A/3 Thành Thái-Phường Diên Hồng-HCM")</f>
        <v>Bưu Cục 7A/3 Thành Thái-Phường Diên Hồng-HCM</v>
      </c>
      <c r="D47" s="9">
        <f ca="1">IFERROR(__xludf.DUMMYFUNCTION("""COMPUTED_VALUE"""),1720)</f>
        <v>1720</v>
      </c>
      <c r="E47" s="9">
        <f ca="1">IFERROR(__xludf.DUMMYFUNCTION("""COMPUTED_VALUE"""),3978)</f>
        <v>3978</v>
      </c>
      <c r="F47" s="9">
        <f ca="1">IFERROR(__xludf.DUMMYFUNCTION("""COMPUTED_VALUE"""),1965)</f>
        <v>1965</v>
      </c>
      <c r="G47" s="9">
        <f ca="1">IFERROR(__xludf.DUMMYFUNCTION("""COMPUTED_VALUE"""),3689)</f>
        <v>3689</v>
      </c>
      <c r="H47" s="9">
        <f ca="1">IFERROR(__xludf.DUMMYFUNCTION("""COMPUTED_VALUE"""),1837)</f>
        <v>1837</v>
      </c>
      <c r="I47" s="9">
        <f ca="1">IFERROR(__xludf.DUMMYFUNCTION("""COMPUTED_VALUE"""),4460)</f>
        <v>4460</v>
      </c>
      <c r="J47" s="9">
        <f ca="1">IFERROR(__xludf.DUMMYFUNCTION("""COMPUTED_VALUE"""),1854)</f>
        <v>1854</v>
      </c>
      <c r="K47" s="9">
        <f ca="1">IFERROR(__xludf.DUMMYFUNCTION("""COMPUTED_VALUE"""),5812)</f>
        <v>5812</v>
      </c>
      <c r="L47" s="9">
        <f ca="1">IFERROR(__xludf.DUMMYFUNCTION("""COMPUTED_VALUE"""),572)</f>
        <v>572</v>
      </c>
      <c r="M47" s="9">
        <f ca="1">IFERROR(__xludf.DUMMYFUNCTION("""COMPUTED_VALUE"""),1088)</f>
        <v>1088</v>
      </c>
      <c r="N47" s="9">
        <f ca="1">IFERROR(__xludf.DUMMYFUNCTION("""COMPUTED_VALUE"""),2631)</f>
        <v>2631</v>
      </c>
      <c r="O47" s="9">
        <f ca="1">IFERROR(__xludf.DUMMYFUNCTION("""COMPUTED_VALUE"""),5698)</f>
        <v>5698</v>
      </c>
      <c r="P47" s="29">
        <f ca="1">IFERROR(__xludf.DUMMYFUNCTION("""COMPUTED_VALUE"""),2233)</f>
        <v>2233</v>
      </c>
      <c r="Q47" s="29">
        <f ca="1">IFERROR(__xludf.DUMMYFUNCTION("""COMPUTED_VALUE"""),4565)</f>
        <v>4565</v>
      </c>
      <c r="R47" s="7" t="str">
        <f ca="1">IFERROR(__xludf.DUMMYFUNCTION("""COMPUTED_VALUE"""),"Hồ Chí Minh")</f>
        <v>Hồ Chí Minh</v>
      </c>
      <c r="S47" s="7" t="str">
        <f ca="1">IFERROR(__xludf.DUMMYFUNCTION("""COMPUTED_VALUE"""),"Quận 10")</f>
        <v>Quận 10</v>
      </c>
      <c r="T47" s="7" t="str">
        <f ca="1">IFERROR(__xludf.DUMMYFUNCTION("SPARKLINE({
IF(D47="""",0,D47),
IF(F47="""",0,F47),
IF(H47="""",0,H47),
IF(J47="""",0,J47),
IF(L47="""",0,L47),
IF(N47="""",0,N47),
IF(P47="""",0,P47)
})"),"")</f>
        <v/>
      </c>
      <c r="U47" s="7" t="str">
        <f ca="1">IFERROR(__xludf.DUMMYFUNCTION("SPARKLINE({
IF(E47="""",0,E47),
IF(G47="""",0,G47),
IF(I47="""",0,I47),
IF(K47="""",0,K47),
IF(M47="""",0,M47),
IF(O47="""",0,O47),
IF(Q47="""",0,Q47)
})"),"")</f>
        <v/>
      </c>
      <c r="V47" s="30" t="e">
        <f t="array" aca="1" ref="V47" ca="1">IF($C$4="Giao",_xludf.Xlookup(C47,#REF!,#REF!,),_xludf.Xlookup(C47,#REF!,#REF!,))</f>
        <v>#NAME?</v>
      </c>
      <c r="W47" s="30" t="e">
        <f t="array" aca="1" ref="W47" ca="1">IF($C$4="Giao", _xludf.Xlookup(C47,#REF!,#REF!,),_xludf.Xlookup(C47,#REF!,#REF!,))</f>
        <v>#NAME?</v>
      </c>
      <c r="X47" s="9" t="e">
        <f t="shared" ca="1" si="2"/>
        <v>#NAME?</v>
      </c>
      <c r="Y47" s="7"/>
      <c r="Z47" s="7"/>
    </row>
    <row r="48" spans="1:26" ht="13" x14ac:dyDescent="0.6">
      <c r="A48" s="28">
        <f t="shared" ca="1" si="1"/>
        <v>41</v>
      </c>
      <c r="B48" s="7" t="str">
        <f ca="1">IFERROR(__xludf.DUMMYFUNCTION("""COMPUTED_VALUE"""),"Quận 11")</f>
        <v>Quận 11</v>
      </c>
      <c r="C48" s="7" t="str">
        <f ca="1">IFERROR(__xludf.DUMMYFUNCTION("""COMPUTED_VALUE"""),"Bưu Cục 147E Đội Cung-Q.11-HCM")</f>
        <v>Bưu Cục 147E Đội Cung-Q.11-HCM</v>
      </c>
      <c r="D48" s="9">
        <f ca="1">IFERROR(__xludf.DUMMYFUNCTION("""COMPUTED_VALUE"""),1359)</f>
        <v>1359</v>
      </c>
      <c r="E48" s="9">
        <f ca="1">IFERROR(__xludf.DUMMYFUNCTION("""COMPUTED_VALUE"""),3076)</f>
        <v>3076</v>
      </c>
      <c r="F48" s="9">
        <f ca="1">IFERROR(__xludf.DUMMYFUNCTION("""COMPUTED_VALUE"""),1138)</f>
        <v>1138</v>
      </c>
      <c r="G48" s="9">
        <f ca="1">IFERROR(__xludf.DUMMYFUNCTION("""COMPUTED_VALUE"""),3402)</f>
        <v>3402</v>
      </c>
      <c r="H48" s="9">
        <f ca="1">IFERROR(__xludf.DUMMYFUNCTION("""COMPUTED_VALUE"""),1103)</f>
        <v>1103</v>
      </c>
      <c r="I48" s="9">
        <f ca="1">IFERROR(__xludf.DUMMYFUNCTION("""COMPUTED_VALUE"""),3664)</f>
        <v>3664</v>
      </c>
      <c r="J48" s="9">
        <f ca="1">IFERROR(__xludf.DUMMYFUNCTION("""COMPUTED_VALUE"""),1397)</f>
        <v>1397</v>
      </c>
      <c r="K48" s="9">
        <f ca="1">IFERROR(__xludf.DUMMYFUNCTION("""COMPUTED_VALUE"""),4942)</f>
        <v>4942</v>
      </c>
      <c r="L48" s="9">
        <f ca="1">IFERROR(__xludf.DUMMYFUNCTION("""COMPUTED_VALUE"""),398)</f>
        <v>398</v>
      </c>
      <c r="M48" s="9">
        <f ca="1">IFERROR(__xludf.DUMMYFUNCTION("""COMPUTED_VALUE"""),1286)</f>
        <v>1286</v>
      </c>
      <c r="N48" s="9">
        <f ca="1">IFERROR(__xludf.DUMMYFUNCTION("""COMPUTED_VALUE"""),1860)</f>
        <v>1860</v>
      </c>
      <c r="O48" s="9">
        <f ca="1">IFERROR(__xludf.DUMMYFUNCTION("""COMPUTED_VALUE"""),4886)</f>
        <v>4886</v>
      </c>
      <c r="P48" s="29">
        <f ca="1">IFERROR(__xludf.DUMMYFUNCTION("""COMPUTED_VALUE"""),1148)</f>
        <v>1148</v>
      </c>
      <c r="Q48" s="29">
        <f ca="1">IFERROR(__xludf.DUMMYFUNCTION("""COMPUTED_VALUE"""),3874)</f>
        <v>3874</v>
      </c>
      <c r="R48" s="7" t="str">
        <f ca="1">IFERROR(__xludf.DUMMYFUNCTION("""COMPUTED_VALUE"""),"Hồ Chí Minh")</f>
        <v>Hồ Chí Minh</v>
      </c>
      <c r="S48" s="7" t="str">
        <f ca="1">IFERROR(__xludf.DUMMYFUNCTION("""COMPUTED_VALUE"""),"Quận 11")</f>
        <v>Quận 11</v>
      </c>
      <c r="T48" s="7" t="str">
        <f ca="1">IFERROR(__xludf.DUMMYFUNCTION("SPARKLINE({
IF(D48="""",0,D48),
IF(F48="""",0,F48),
IF(H48="""",0,H48),
IF(J48="""",0,J48),
IF(L48="""",0,L48),
IF(N48="""",0,N48),
IF(P48="""",0,P48)
})"),"")</f>
        <v/>
      </c>
      <c r="U48" s="7" t="str">
        <f ca="1">IFERROR(__xludf.DUMMYFUNCTION("SPARKLINE({
IF(E48="""",0,E48),
IF(G48="""",0,G48),
IF(I48="""",0,I48),
IF(K48="""",0,K48),
IF(M48="""",0,M48),
IF(O48="""",0,O48),
IF(Q48="""",0,Q48)
})"),"")</f>
        <v/>
      </c>
      <c r="V48" s="30" t="e">
        <f t="array" aca="1" ref="V48" ca="1">IF($C$4="Giao",_xludf.Xlookup(C48,#REF!,#REF!,),_xludf.Xlookup(C48,#REF!,#REF!,))</f>
        <v>#NAME?</v>
      </c>
      <c r="W48" s="30" t="e">
        <f t="array" aca="1" ref="W48" ca="1">IF($C$4="Giao", _xludf.Xlookup(C48,#REF!,#REF!,),_xludf.Xlookup(C48,#REF!,#REF!,))</f>
        <v>#NAME?</v>
      </c>
      <c r="X48" s="9" t="e">
        <f t="shared" ca="1" si="2"/>
        <v>#NAME?</v>
      </c>
      <c r="Y48" s="7"/>
      <c r="Z48" s="7"/>
    </row>
    <row r="49" spans="1:26" ht="13" x14ac:dyDescent="0.6">
      <c r="A49" s="28">
        <f t="shared" ca="1" si="1"/>
        <v>42</v>
      </c>
      <c r="B49" s="7" t="str">
        <f ca="1">IFERROR(__xludf.DUMMYFUNCTION("""COMPUTED_VALUE"""),"Quận 11")</f>
        <v>Quận 11</v>
      </c>
      <c r="C49" s="7" t="str">
        <f ca="1">IFERROR(__xludf.DUMMYFUNCTION("""COMPUTED_VALUE"""),"Bưu cục 215 Bình Thới-Q.11-HCM")</f>
        <v>Bưu cục 215 Bình Thới-Q.11-HCM</v>
      </c>
      <c r="D49" s="9">
        <f ca="1">IFERROR(__xludf.DUMMYFUNCTION("""COMPUTED_VALUE"""),1693)</f>
        <v>1693</v>
      </c>
      <c r="E49" s="9">
        <f ca="1">IFERROR(__xludf.DUMMYFUNCTION("""COMPUTED_VALUE"""),4726)</f>
        <v>4726</v>
      </c>
      <c r="F49" s="9">
        <f ca="1">IFERROR(__xludf.DUMMYFUNCTION("""COMPUTED_VALUE"""),1284)</f>
        <v>1284</v>
      </c>
      <c r="G49" s="9">
        <f ca="1">IFERROR(__xludf.DUMMYFUNCTION("""COMPUTED_VALUE"""),3939)</f>
        <v>3939</v>
      </c>
      <c r="H49" s="9">
        <f ca="1">IFERROR(__xludf.DUMMYFUNCTION("""COMPUTED_VALUE"""),1318)</f>
        <v>1318</v>
      </c>
      <c r="I49" s="9">
        <f ca="1">IFERROR(__xludf.DUMMYFUNCTION("""COMPUTED_VALUE"""),3692)</f>
        <v>3692</v>
      </c>
      <c r="J49" s="9">
        <f ca="1">IFERROR(__xludf.DUMMYFUNCTION("""COMPUTED_VALUE"""),1436)</f>
        <v>1436</v>
      </c>
      <c r="K49" s="9">
        <f ca="1">IFERROR(__xludf.DUMMYFUNCTION("""COMPUTED_VALUE"""),4391)</f>
        <v>4391</v>
      </c>
      <c r="L49" s="9">
        <f ca="1">IFERROR(__xludf.DUMMYFUNCTION("""COMPUTED_VALUE"""),505)</f>
        <v>505</v>
      </c>
      <c r="M49" s="9">
        <f ca="1">IFERROR(__xludf.DUMMYFUNCTION("""COMPUTED_VALUE"""),1438)</f>
        <v>1438</v>
      </c>
      <c r="N49" s="9">
        <f ca="1">IFERROR(__xludf.DUMMYFUNCTION("""COMPUTED_VALUE"""),1650)</f>
        <v>1650</v>
      </c>
      <c r="O49" s="9">
        <f ca="1">IFERROR(__xludf.DUMMYFUNCTION("""COMPUTED_VALUE"""),4293)</f>
        <v>4293</v>
      </c>
      <c r="P49" s="29">
        <f ca="1">IFERROR(__xludf.DUMMYFUNCTION("""COMPUTED_VALUE"""),1478)</f>
        <v>1478</v>
      </c>
      <c r="Q49" s="29">
        <f ca="1">IFERROR(__xludf.DUMMYFUNCTION("""COMPUTED_VALUE"""),3707)</f>
        <v>3707</v>
      </c>
      <c r="R49" s="7" t="str">
        <f ca="1">IFERROR(__xludf.DUMMYFUNCTION("""COMPUTED_VALUE"""),"Hồ Chí Minh")</f>
        <v>Hồ Chí Minh</v>
      </c>
      <c r="S49" s="7" t="str">
        <f ca="1">IFERROR(__xludf.DUMMYFUNCTION("""COMPUTED_VALUE"""),"Quận 11")</f>
        <v>Quận 11</v>
      </c>
      <c r="T49" s="7" t="str">
        <f ca="1">IFERROR(__xludf.DUMMYFUNCTION("SPARKLINE({
IF(D49="""",0,D49),
IF(F49="""",0,F49),
IF(H49="""",0,H49),
IF(J49="""",0,J49),
IF(L49="""",0,L49),
IF(N49="""",0,N49),
IF(P49="""",0,P49)
})"),"")</f>
        <v/>
      </c>
      <c r="U49" s="7" t="str">
        <f ca="1">IFERROR(__xludf.DUMMYFUNCTION("SPARKLINE({
IF(E49="""",0,E49),
IF(G49="""",0,G49),
IF(I49="""",0,I49),
IF(K49="""",0,K49),
IF(M49="""",0,M49),
IF(O49="""",0,O49),
IF(Q49="""",0,Q49)
})"),"")</f>
        <v/>
      </c>
      <c r="V49" s="30" t="e">
        <f t="array" aca="1" ref="V49" ca="1">IF($C$4="Giao",_xludf.Xlookup(C49,#REF!,#REF!,),_xludf.Xlookup(C49,#REF!,#REF!,))</f>
        <v>#NAME?</v>
      </c>
      <c r="W49" s="30" t="e">
        <f t="array" aca="1" ref="W49" ca="1">IF($C$4="Giao", _xludf.Xlookup(C49,#REF!,#REF!,),_xludf.Xlookup(C49,#REF!,#REF!,))</f>
        <v>#NAME?</v>
      </c>
      <c r="X49" s="9" t="e">
        <f t="shared" ca="1" si="2"/>
        <v>#NAME?</v>
      </c>
      <c r="Y49" s="7"/>
      <c r="Z49" s="7"/>
    </row>
    <row r="50" spans="1:26" ht="13" x14ac:dyDescent="0.6">
      <c r="A50" s="28">
        <f t="shared" ca="1" si="1"/>
        <v>43</v>
      </c>
      <c r="B50" s="7" t="str">
        <f ca="1">IFERROR(__xludf.DUMMYFUNCTION("""COMPUTED_VALUE"""),"Quận 11")</f>
        <v>Quận 11</v>
      </c>
      <c r="C50" s="7" t="str">
        <f ca="1">IFERROR(__xludf.DUMMYFUNCTION("""COMPUTED_VALUE"""),"Bưu Cục 295F Lý Thường Kiệt-Quận 11-HCM")</f>
        <v>Bưu Cục 295F Lý Thường Kiệt-Quận 11-HCM</v>
      </c>
      <c r="D50" s="9">
        <f ca="1">IFERROR(__xludf.DUMMYFUNCTION("""COMPUTED_VALUE"""),739)</f>
        <v>739</v>
      </c>
      <c r="E50" s="9">
        <f ca="1">IFERROR(__xludf.DUMMYFUNCTION("""COMPUTED_VALUE"""),2712)</f>
        <v>2712</v>
      </c>
      <c r="F50" s="9">
        <f ca="1">IFERROR(__xludf.DUMMYFUNCTION("""COMPUTED_VALUE"""),653)</f>
        <v>653</v>
      </c>
      <c r="G50" s="9">
        <f ca="1">IFERROR(__xludf.DUMMYFUNCTION("""COMPUTED_VALUE"""),3263)</f>
        <v>3263</v>
      </c>
      <c r="H50" s="9">
        <f ca="1">IFERROR(__xludf.DUMMYFUNCTION("""COMPUTED_VALUE"""),638)</f>
        <v>638</v>
      </c>
      <c r="I50" s="9">
        <f ca="1">IFERROR(__xludf.DUMMYFUNCTION("""COMPUTED_VALUE"""),3675)</f>
        <v>3675</v>
      </c>
      <c r="J50" s="9">
        <f ca="1">IFERROR(__xludf.DUMMYFUNCTION("""COMPUTED_VALUE"""),648)</f>
        <v>648</v>
      </c>
      <c r="K50" s="9">
        <f ca="1">IFERROR(__xludf.DUMMYFUNCTION("""COMPUTED_VALUE"""),3384)</f>
        <v>3384</v>
      </c>
      <c r="L50" s="9">
        <f ca="1">IFERROR(__xludf.DUMMYFUNCTION("""COMPUTED_VALUE"""),143)</f>
        <v>143</v>
      </c>
      <c r="M50" s="9">
        <f ca="1">IFERROR(__xludf.DUMMYFUNCTION("""COMPUTED_VALUE"""),678)</f>
        <v>678</v>
      </c>
      <c r="N50" s="9">
        <f ca="1">IFERROR(__xludf.DUMMYFUNCTION("""COMPUTED_VALUE"""),809)</f>
        <v>809</v>
      </c>
      <c r="O50" s="9">
        <f ca="1">IFERROR(__xludf.DUMMYFUNCTION("""COMPUTED_VALUE"""),3461)</f>
        <v>3461</v>
      </c>
      <c r="P50" s="29">
        <f ca="1">IFERROR(__xludf.DUMMYFUNCTION("""COMPUTED_VALUE"""),616)</f>
        <v>616</v>
      </c>
      <c r="Q50" s="29">
        <f ca="1">IFERROR(__xludf.DUMMYFUNCTION("""COMPUTED_VALUE"""),2775)</f>
        <v>2775</v>
      </c>
      <c r="R50" s="7" t="str">
        <f ca="1">IFERROR(__xludf.DUMMYFUNCTION("""COMPUTED_VALUE"""),"Hồ Chí Minh")</f>
        <v>Hồ Chí Minh</v>
      </c>
      <c r="S50" s="7" t="str">
        <f ca="1">IFERROR(__xludf.DUMMYFUNCTION("""COMPUTED_VALUE"""),"Quận 11")</f>
        <v>Quận 11</v>
      </c>
      <c r="T50" s="7" t="str">
        <f ca="1">IFERROR(__xludf.DUMMYFUNCTION("SPARKLINE({
IF(D50="""",0,D50),
IF(F50="""",0,F50),
IF(H50="""",0,H50),
IF(J50="""",0,J50),
IF(L50="""",0,L50),
IF(N50="""",0,N50),
IF(P50="""",0,P50)
})"),"")</f>
        <v/>
      </c>
      <c r="U50" s="7" t="str">
        <f ca="1">IFERROR(__xludf.DUMMYFUNCTION("SPARKLINE({
IF(E50="""",0,E50),
IF(G50="""",0,G50),
IF(I50="""",0,I50),
IF(K50="""",0,K50),
IF(M50="""",0,M50),
IF(O50="""",0,O50),
IF(Q50="""",0,Q50)
})"),"")</f>
        <v/>
      </c>
      <c r="V50" s="30" t="e">
        <f t="array" aca="1" ref="V50" ca="1">IF($C$4="Giao",_xludf.Xlookup(C50,#REF!,#REF!,),_xludf.Xlookup(C50,#REF!,#REF!,))</f>
        <v>#NAME?</v>
      </c>
      <c r="W50" s="30" t="e">
        <f t="array" aca="1" ref="W50" ca="1">IF($C$4="Giao", _xludf.Xlookup(C50,#REF!,#REF!,),_xludf.Xlookup(C50,#REF!,#REF!,))</f>
        <v>#NAME?</v>
      </c>
      <c r="X50" s="9" t="e">
        <f t="shared" ca="1" si="2"/>
        <v>#NAME?</v>
      </c>
      <c r="Y50" s="7"/>
      <c r="Z50" s="7"/>
    </row>
    <row r="51" spans="1:26" ht="13" x14ac:dyDescent="0.6">
      <c r="A51" s="28">
        <f t="shared" ca="1" si="1"/>
        <v>44</v>
      </c>
      <c r="B51" s="7" t="str">
        <f ca="1">IFERROR(__xludf.DUMMYFUNCTION("""COMPUTED_VALUE"""),"Quận 12")</f>
        <v>Quận 12</v>
      </c>
      <c r="C51" s="7" t="str">
        <f ca="1">IFERROR(__xludf.DUMMYFUNCTION("""COMPUTED_VALUE"""),"Bưu Cục 1130 Đông Hưng Thuận 05-Q.12-HCM")</f>
        <v>Bưu Cục 1130 Đông Hưng Thuận 05-Q.12-HCM</v>
      </c>
      <c r="D51" s="9">
        <f ca="1">IFERROR(__xludf.DUMMYFUNCTION("""COMPUTED_VALUE"""),1979)</f>
        <v>1979</v>
      </c>
      <c r="E51" s="9">
        <f ca="1">IFERROR(__xludf.DUMMYFUNCTION("""COMPUTED_VALUE"""),5815)</f>
        <v>5815</v>
      </c>
      <c r="F51" s="9">
        <f ca="1">IFERROR(__xludf.DUMMYFUNCTION("""COMPUTED_VALUE"""),1687)</f>
        <v>1687</v>
      </c>
      <c r="G51" s="9">
        <f ca="1">IFERROR(__xludf.DUMMYFUNCTION("""COMPUTED_VALUE"""),5528)</f>
        <v>5528</v>
      </c>
      <c r="H51" s="9">
        <f ca="1">IFERROR(__xludf.DUMMYFUNCTION("""COMPUTED_VALUE"""),1679)</f>
        <v>1679</v>
      </c>
      <c r="I51" s="9">
        <f ca="1">IFERROR(__xludf.DUMMYFUNCTION("""COMPUTED_VALUE"""),5082)</f>
        <v>5082</v>
      </c>
      <c r="J51" s="9">
        <f ca="1">IFERROR(__xludf.DUMMYFUNCTION("""COMPUTED_VALUE"""),1757)</f>
        <v>1757</v>
      </c>
      <c r="K51" s="9">
        <f ca="1">IFERROR(__xludf.DUMMYFUNCTION("""COMPUTED_VALUE"""),7876)</f>
        <v>7876</v>
      </c>
      <c r="L51" s="9">
        <f ca="1">IFERROR(__xludf.DUMMYFUNCTION("""COMPUTED_VALUE"""),764)</f>
        <v>764</v>
      </c>
      <c r="M51" s="9">
        <f ca="1">IFERROR(__xludf.DUMMYFUNCTION("""COMPUTED_VALUE"""),2884)</f>
        <v>2884</v>
      </c>
      <c r="N51" s="9">
        <f ca="1">IFERROR(__xludf.DUMMYFUNCTION("""COMPUTED_VALUE"""),1954)</f>
        <v>1954</v>
      </c>
      <c r="O51" s="9">
        <f ca="1">IFERROR(__xludf.DUMMYFUNCTION("""COMPUTED_VALUE"""),5210)</f>
        <v>5210</v>
      </c>
      <c r="P51" s="29">
        <f ca="1">IFERROR(__xludf.DUMMYFUNCTION("""COMPUTED_VALUE"""),1898)</f>
        <v>1898</v>
      </c>
      <c r="Q51" s="29">
        <f ca="1">IFERROR(__xludf.DUMMYFUNCTION("""COMPUTED_VALUE"""),5398)</f>
        <v>5398</v>
      </c>
      <c r="R51" s="7" t="str">
        <f ca="1">IFERROR(__xludf.DUMMYFUNCTION("""COMPUTED_VALUE"""),"Hồ Chí Minh")</f>
        <v>Hồ Chí Minh</v>
      </c>
      <c r="S51" s="7" t="str">
        <f ca="1">IFERROR(__xludf.DUMMYFUNCTION("""COMPUTED_VALUE"""),"Quận 12")</f>
        <v>Quận 12</v>
      </c>
      <c r="T51" s="7" t="str">
        <f ca="1">IFERROR(__xludf.DUMMYFUNCTION("SPARKLINE({
IF(D51="""",0,D51),
IF(F51="""",0,F51),
IF(H51="""",0,H51),
IF(J51="""",0,J51),
IF(L51="""",0,L51),
IF(N51="""",0,N51),
IF(P51="""",0,P51)
})"),"")</f>
        <v/>
      </c>
      <c r="U51" s="7" t="str">
        <f ca="1">IFERROR(__xludf.DUMMYFUNCTION("SPARKLINE({
IF(E51="""",0,E51),
IF(G51="""",0,G51),
IF(I51="""",0,I51),
IF(K51="""",0,K51),
IF(M51="""",0,M51),
IF(O51="""",0,O51),
IF(Q51="""",0,Q51)
})"),"")</f>
        <v/>
      </c>
      <c r="V51" s="30" t="e">
        <f t="array" aca="1" ref="V51" ca="1">IF($C$4="Giao",_xludf.Xlookup(C51,#REF!,#REF!,),_xludf.Xlookup(C51,#REF!,#REF!,))</f>
        <v>#NAME?</v>
      </c>
      <c r="W51" s="30" t="e">
        <f t="array" aca="1" ref="W51" ca="1">IF($C$4="Giao", _xludf.Xlookup(C51,#REF!,#REF!,),_xludf.Xlookup(C51,#REF!,#REF!,))</f>
        <v>#NAME?</v>
      </c>
      <c r="X51" s="9" t="e">
        <f t="shared" ca="1" si="2"/>
        <v>#NAME?</v>
      </c>
      <c r="Y51" s="7"/>
      <c r="Z51" s="7"/>
    </row>
    <row r="52" spans="1:26" ht="13" x14ac:dyDescent="0.6">
      <c r="A52" s="28">
        <f t="shared" ca="1" si="1"/>
        <v>45</v>
      </c>
      <c r="B52" s="7" t="str">
        <f ca="1">IFERROR(__xludf.DUMMYFUNCTION("""COMPUTED_VALUE"""),"Quận 12")</f>
        <v>Quận 12</v>
      </c>
      <c r="C52" s="7" t="str">
        <f ca="1">IFERROR(__xludf.DUMMYFUNCTION("""COMPUTED_VALUE"""),"Bưu Cục 185 Tân Thới Nhất 8-Phường Đông Hưng Thuận-HCM")</f>
        <v>Bưu Cục 185 Tân Thới Nhất 8-Phường Đông Hưng Thuận-HCM</v>
      </c>
      <c r="D52" s="9">
        <f ca="1">IFERROR(__xludf.DUMMYFUNCTION("""COMPUTED_VALUE"""),1749)</f>
        <v>1749</v>
      </c>
      <c r="E52" s="9">
        <f ca="1">IFERROR(__xludf.DUMMYFUNCTION("""COMPUTED_VALUE"""),5443)</f>
        <v>5443</v>
      </c>
      <c r="F52" s="9">
        <f ca="1">IFERROR(__xludf.DUMMYFUNCTION("""COMPUTED_VALUE"""),1618)</f>
        <v>1618</v>
      </c>
      <c r="G52" s="9">
        <f ca="1">IFERROR(__xludf.DUMMYFUNCTION("""COMPUTED_VALUE"""),4292)</f>
        <v>4292</v>
      </c>
      <c r="H52" s="9">
        <f ca="1">IFERROR(__xludf.DUMMYFUNCTION("""COMPUTED_VALUE"""),1546)</f>
        <v>1546</v>
      </c>
      <c r="I52" s="9">
        <f ca="1">IFERROR(__xludf.DUMMYFUNCTION("""COMPUTED_VALUE"""),4447)</f>
        <v>4447</v>
      </c>
      <c r="J52" s="9">
        <f ca="1">IFERROR(__xludf.DUMMYFUNCTION("""COMPUTED_VALUE"""),1755)</f>
        <v>1755</v>
      </c>
      <c r="K52" s="9">
        <f ca="1">IFERROR(__xludf.DUMMYFUNCTION("""COMPUTED_VALUE"""),5660)</f>
        <v>5660</v>
      </c>
      <c r="L52" s="9">
        <f ca="1">IFERROR(__xludf.DUMMYFUNCTION("""COMPUTED_VALUE"""),721)</f>
        <v>721</v>
      </c>
      <c r="M52" s="9">
        <f ca="1">IFERROR(__xludf.DUMMYFUNCTION("""COMPUTED_VALUE"""),2448)</f>
        <v>2448</v>
      </c>
      <c r="N52" s="9">
        <f ca="1">IFERROR(__xludf.DUMMYFUNCTION("""COMPUTED_VALUE"""),1601)</f>
        <v>1601</v>
      </c>
      <c r="O52" s="9">
        <f ca="1">IFERROR(__xludf.DUMMYFUNCTION("""COMPUTED_VALUE"""),6117)</f>
        <v>6117</v>
      </c>
      <c r="P52" s="29">
        <f ca="1">IFERROR(__xludf.DUMMYFUNCTION("""COMPUTED_VALUE"""),1828)</f>
        <v>1828</v>
      </c>
      <c r="Q52" s="29">
        <f ca="1">IFERROR(__xludf.DUMMYFUNCTION("""COMPUTED_VALUE"""),5363)</f>
        <v>5363</v>
      </c>
      <c r="R52" s="7" t="str">
        <f ca="1">IFERROR(__xludf.DUMMYFUNCTION("""COMPUTED_VALUE"""),"Hồ Chí Minh")</f>
        <v>Hồ Chí Minh</v>
      </c>
      <c r="S52" s="7" t="str">
        <f ca="1">IFERROR(__xludf.DUMMYFUNCTION("""COMPUTED_VALUE"""),"Quận 12")</f>
        <v>Quận 12</v>
      </c>
      <c r="T52" s="7" t="str">
        <f ca="1">IFERROR(__xludf.DUMMYFUNCTION("SPARKLINE({
IF(D52="""",0,D52),
IF(F52="""",0,F52),
IF(H52="""",0,H52),
IF(J52="""",0,J52),
IF(L52="""",0,L52),
IF(N52="""",0,N52),
IF(P52="""",0,P52)
})"),"")</f>
        <v/>
      </c>
      <c r="U52" s="7" t="str">
        <f ca="1">IFERROR(__xludf.DUMMYFUNCTION("SPARKLINE({
IF(E52="""",0,E52),
IF(G52="""",0,G52),
IF(I52="""",0,I52),
IF(K52="""",0,K52),
IF(M52="""",0,M52),
IF(O52="""",0,O52),
IF(Q52="""",0,Q52)
})"),"")</f>
        <v/>
      </c>
      <c r="V52" s="30" t="e">
        <f t="array" aca="1" ref="V52" ca="1">IF($C$4="Giao",_xludf.Xlookup(C52,#REF!,#REF!,),_xludf.Xlookup(C52,#REF!,#REF!,))</f>
        <v>#NAME?</v>
      </c>
      <c r="W52" s="30" t="e">
        <f t="array" aca="1" ref="W52" ca="1">IF($C$4="Giao", _xludf.Xlookup(C52,#REF!,#REF!,),_xludf.Xlookup(C52,#REF!,#REF!,))</f>
        <v>#NAME?</v>
      </c>
      <c r="X52" s="9" t="e">
        <f t="shared" ca="1" si="2"/>
        <v>#NAME?</v>
      </c>
      <c r="Y52" s="7"/>
      <c r="Z52" s="7"/>
    </row>
    <row r="53" spans="1:26" ht="13" x14ac:dyDescent="0.6">
      <c r="A53" s="28">
        <f t="shared" ca="1" si="1"/>
        <v>46</v>
      </c>
      <c r="B53" s="7" t="str">
        <f ca="1">IFERROR(__xludf.DUMMYFUNCTION("""COMPUTED_VALUE"""),"Quận 12")</f>
        <v>Quận 12</v>
      </c>
      <c r="C53" s="7" t="str">
        <f ca="1">IFERROR(__xludf.DUMMYFUNCTION("""COMPUTED_VALUE"""),"Bưu Cục 198 Thạnh Lộc 15-Q.12-HCM")</f>
        <v>Bưu Cục 198 Thạnh Lộc 15-Q.12-HCM</v>
      </c>
      <c r="D53" s="9">
        <f ca="1">IFERROR(__xludf.DUMMYFUNCTION("""COMPUTED_VALUE"""),1500)</f>
        <v>1500</v>
      </c>
      <c r="E53" s="9">
        <f ca="1">IFERROR(__xludf.DUMMYFUNCTION("""COMPUTED_VALUE"""),4373)</f>
        <v>4373</v>
      </c>
      <c r="F53" s="9">
        <f ca="1">IFERROR(__xludf.DUMMYFUNCTION("""COMPUTED_VALUE"""),1262)</f>
        <v>1262</v>
      </c>
      <c r="G53" s="9">
        <f ca="1">IFERROR(__xludf.DUMMYFUNCTION("""COMPUTED_VALUE"""),3984)</f>
        <v>3984</v>
      </c>
      <c r="H53" s="9">
        <f ca="1">IFERROR(__xludf.DUMMYFUNCTION("""COMPUTED_VALUE"""),1311)</f>
        <v>1311</v>
      </c>
      <c r="I53" s="9">
        <f ca="1">IFERROR(__xludf.DUMMYFUNCTION("""COMPUTED_VALUE"""),3868)</f>
        <v>3868</v>
      </c>
      <c r="J53" s="9">
        <f ca="1">IFERROR(__xludf.DUMMYFUNCTION("""COMPUTED_VALUE"""),1348)</f>
        <v>1348</v>
      </c>
      <c r="K53" s="9">
        <f ca="1">IFERROR(__xludf.DUMMYFUNCTION("""COMPUTED_VALUE"""),5874)</f>
        <v>5874</v>
      </c>
      <c r="L53" s="9">
        <f ca="1">IFERROR(__xludf.DUMMYFUNCTION("""COMPUTED_VALUE"""),271)</f>
        <v>271</v>
      </c>
      <c r="M53" s="9">
        <f ca="1">IFERROR(__xludf.DUMMYFUNCTION("""COMPUTED_VALUE"""),1255)</f>
        <v>1255</v>
      </c>
      <c r="N53" s="9">
        <f ca="1">IFERROR(__xludf.DUMMYFUNCTION("""COMPUTED_VALUE"""),1516)</f>
        <v>1516</v>
      </c>
      <c r="O53" s="9">
        <f ca="1">IFERROR(__xludf.DUMMYFUNCTION("""COMPUTED_VALUE"""),5800)</f>
        <v>5800</v>
      </c>
      <c r="P53" s="29">
        <f ca="1">IFERROR(__xludf.DUMMYFUNCTION("""COMPUTED_VALUE"""),1461)</f>
        <v>1461</v>
      </c>
      <c r="Q53" s="29">
        <f ca="1">IFERROR(__xludf.DUMMYFUNCTION("""COMPUTED_VALUE"""),8234)</f>
        <v>8234</v>
      </c>
      <c r="R53" s="7" t="str">
        <f ca="1">IFERROR(__xludf.DUMMYFUNCTION("""COMPUTED_VALUE"""),"Hồ Chí Minh")</f>
        <v>Hồ Chí Minh</v>
      </c>
      <c r="S53" s="7" t="str">
        <f ca="1">IFERROR(__xludf.DUMMYFUNCTION("""COMPUTED_VALUE"""),"Quận 12")</f>
        <v>Quận 12</v>
      </c>
      <c r="T53" s="7" t="str">
        <f ca="1">IFERROR(__xludf.DUMMYFUNCTION("SPARKLINE({
IF(D53="""",0,D53),
IF(F53="""",0,F53),
IF(H53="""",0,H53),
IF(J53="""",0,J53),
IF(L53="""",0,L53),
IF(N53="""",0,N53),
IF(P53="""",0,P53)
})"),"")</f>
        <v/>
      </c>
      <c r="U53" s="7" t="str">
        <f ca="1">IFERROR(__xludf.DUMMYFUNCTION("SPARKLINE({
IF(E53="""",0,E53),
IF(G53="""",0,G53),
IF(I53="""",0,I53),
IF(K53="""",0,K53),
IF(M53="""",0,M53),
IF(O53="""",0,O53),
IF(Q53="""",0,Q53)
})"),"")</f>
        <v/>
      </c>
      <c r="V53" s="30" t="e">
        <f t="array" aca="1" ref="V53" ca="1">IF($C$4="Giao",_xludf.Xlookup(C53,#REF!,#REF!,),_xludf.Xlookup(C53,#REF!,#REF!,))</f>
        <v>#NAME?</v>
      </c>
      <c r="W53" s="30" t="e">
        <f t="array" aca="1" ref="W53" ca="1">IF($C$4="Giao", _xludf.Xlookup(C53,#REF!,#REF!,),_xludf.Xlookup(C53,#REF!,#REF!,))</f>
        <v>#NAME?</v>
      </c>
      <c r="X53" s="9" t="e">
        <f t="shared" ca="1" si="2"/>
        <v>#NAME?</v>
      </c>
      <c r="Y53" s="7"/>
      <c r="Z53" s="7"/>
    </row>
    <row r="54" spans="1:26" ht="13" x14ac:dyDescent="0.6">
      <c r="A54" s="28">
        <f t="shared" ca="1" si="1"/>
        <v>47</v>
      </c>
      <c r="B54" s="7" t="str">
        <f ca="1">IFERROR(__xludf.DUMMYFUNCTION("""COMPUTED_VALUE"""),"Quận 12")</f>
        <v>Quận 12</v>
      </c>
      <c r="C54" s="7" t="str">
        <f ca="1">IFERROR(__xludf.DUMMYFUNCTION("""COMPUTED_VALUE"""),"Bưu Cục 256/59 Đường Thạnh Xuân 25-Quận 12-HCM")</f>
        <v>Bưu Cục 256/59 Đường Thạnh Xuân 25-Quận 12-HCM</v>
      </c>
      <c r="D54" s="9">
        <f ca="1">IFERROR(__xludf.DUMMYFUNCTION("""COMPUTED_VALUE"""),2227)</f>
        <v>2227</v>
      </c>
      <c r="E54" s="9">
        <f ca="1">IFERROR(__xludf.DUMMYFUNCTION("""COMPUTED_VALUE"""),7046)</f>
        <v>7046</v>
      </c>
      <c r="F54" s="9">
        <f ca="1">IFERROR(__xludf.DUMMYFUNCTION("""COMPUTED_VALUE"""),2108)</f>
        <v>2108</v>
      </c>
      <c r="G54" s="9">
        <f ca="1">IFERROR(__xludf.DUMMYFUNCTION("""COMPUTED_VALUE"""),6528)</f>
        <v>6528</v>
      </c>
      <c r="H54" s="9">
        <f ca="1">IFERROR(__xludf.DUMMYFUNCTION("""COMPUTED_VALUE"""),2590)</f>
        <v>2590</v>
      </c>
      <c r="I54" s="9">
        <f ca="1">IFERROR(__xludf.DUMMYFUNCTION("""COMPUTED_VALUE"""),6616)</f>
        <v>6616</v>
      </c>
      <c r="J54" s="9">
        <f ca="1">IFERROR(__xludf.DUMMYFUNCTION("""COMPUTED_VALUE"""),2520)</f>
        <v>2520</v>
      </c>
      <c r="K54" s="9">
        <f ca="1">IFERROR(__xludf.DUMMYFUNCTION("""COMPUTED_VALUE"""),7635)</f>
        <v>7635</v>
      </c>
      <c r="L54" s="9">
        <f ca="1">IFERROR(__xludf.DUMMYFUNCTION("""COMPUTED_VALUE"""),1079)</f>
        <v>1079</v>
      </c>
      <c r="M54" s="9">
        <f ca="1">IFERROR(__xludf.DUMMYFUNCTION("""COMPUTED_VALUE"""),1508)</f>
        <v>1508</v>
      </c>
      <c r="N54" s="9">
        <f ca="1">IFERROR(__xludf.DUMMYFUNCTION("""COMPUTED_VALUE"""),2702)</f>
        <v>2702</v>
      </c>
      <c r="O54" s="9">
        <f ca="1">IFERROR(__xludf.DUMMYFUNCTION("""COMPUTED_VALUE"""),8537)</f>
        <v>8537</v>
      </c>
      <c r="P54" s="29">
        <f ca="1">IFERROR(__xludf.DUMMYFUNCTION("""COMPUTED_VALUE"""),2445)</f>
        <v>2445</v>
      </c>
      <c r="Q54" s="29">
        <f ca="1">IFERROR(__xludf.DUMMYFUNCTION("""COMPUTED_VALUE"""),6694)</f>
        <v>6694</v>
      </c>
      <c r="R54" s="7" t="str">
        <f ca="1">IFERROR(__xludf.DUMMYFUNCTION("""COMPUTED_VALUE"""),"Hồ Chí Minh")</f>
        <v>Hồ Chí Minh</v>
      </c>
      <c r="S54" s="7" t="str">
        <f ca="1">IFERROR(__xludf.DUMMYFUNCTION("""COMPUTED_VALUE"""),"Quận 12")</f>
        <v>Quận 12</v>
      </c>
      <c r="T54" s="7" t="str">
        <f ca="1">IFERROR(__xludf.DUMMYFUNCTION("SPARKLINE({
IF(D54="""",0,D54),
IF(F54="""",0,F54),
IF(H54="""",0,H54),
IF(J54="""",0,J54),
IF(L54="""",0,L54),
IF(N54="""",0,N54),
IF(P54="""",0,P54)
})"),"")</f>
        <v/>
      </c>
      <c r="U54" s="7" t="str">
        <f ca="1">IFERROR(__xludf.DUMMYFUNCTION("SPARKLINE({
IF(E54="""",0,E54),
IF(G54="""",0,G54),
IF(I54="""",0,I54),
IF(K54="""",0,K54),
IF(M54="""",0,M54),
IF(O54="""",0,O54),
IF(Q54="""",0,Q54)
})"),"")</f>
        <v/>
      </c>
      <c r="V54" s="30" t="e">
        <f t="array" aca="1" ref="V54" ca="1">IF($C$4="Giao",_xludf.Xlookup(C54,#REF!,#REF!,),_xludf.Xlookup(C54,#REF!,#REF!,))</f>
        <v>#NAME?</v>
      </c>
      <c r="W54" s="30" t="e">
        <f t="array" aca="1" ref="W54" ca="1">IF($C$4="Giao", _xludf.Xlookup(C54,#REF!,#REF!,),_xludf.Xlookup(C54,#REF!,#REF!,))</f>
        <v>#NAME?</v>
      </c>
      <c r="X54" s="9" t="e">
        <f t="shared" ca="1" si="2"/>
        <v>#NAME?</v>
      </c>
      <c r="Y54" s="7"/>
      <c r="Z54" s="7"/>
    </row>
    <row r="55" spans="1:26" ht="13" x14ac:dyDescent="0.6">
      <c r="A55" s="28">
        <f t="shared" ca="1" si="1"/>
        <v>48</v>
      </c>
      <c r="B55" s="7" t="str">
        <f ca="1">IFERROR(__xludf.DUMMYFUNCTION("""COMPUTED_VALUE"""),"Quận 12")</f>
        <v>Quận 12</v>
      </c>
      <c r="C55" s="7" t="str">
        <f ca="1">IFERROR(__xludf.DUMMYFUNCTION("""COMPUTED_VALUE"""),"Bưu Cục 320 Nguyễn Thị Kiểu-Hiệp Thành-Quận 12-HCM")</f>
        <v>Bưu Cục 320 Nguyễn Thị Kiểu-Hiệp Thành-Quận 12-HCM</v>
      </c>
      <c r="D55" s="9">
        <f ca="1">IFERROR(__xludf.DUMMYFUNCTION("""COMPUTED_VALUE"""),1986)</f>
        <v>1986</v>
      </c>
      <c r="E55" s="9">
        <f ca="1">IFERROR(__xludf.DUMMYFUNCTION("""COMPUTED_VALUE"""),5162)</f>
        <v>5162</v>
      </c>
      <c r="F55" s="9">
        <f ca="1">IFERROR(__xludf.DUMMYFUNCTION("""COMPUTED_VALUE"""),1580)</f>
        <v>1580</v>
      </c>
      <c r="G55" s="9">
        <f ca="1">IFERROR(__xludf.DUMMYFUNCTION("""COMPUTED_VALUE"""),5065)</f>
        <v>5065</v>
      </c>
      <c r="H55" s="9">
        <f ca="1">IFERROR(__xludf.DUMMYFUNCTION("""COMPUTED_VALUE"""),1426)</f>
        <v>1426</v>
      </c>
      <c r="I55" s="9">
        <f ca="1">IFERROR(__xludf.DUMMYFUNCTION("""COMPUTED_VALUE"""),4092)</f>
        <v>4092</v>
      </c>
      <c r="J55" s="9">
        <f ca="1">IFERROR(__xludf.DUMMYFUNCTION("""COMPUTED_VALUE"""),1603)</f>
        <v>1603</v>
      </c>
      <c r="K55" s="9">
        <f ca="1">IFERROR(__xludf.DUMMYFUNCTION("""COMPUTED_VALUE"""),5038)</f>
        <v>5038</v>
      </c>
      <c r="L55" s="9">
        <f ca="1">IFERROR(__xludf.DUMMYFUNCTION("""COMPUTED_VALUE"""),739)</f>
        <v>739</v>
      </c>
      <c r="M55" s="9">
        <f ca="1">IFERROR(__xludf.DUMMYFUNCTION("""COMPUTED_VALUE"""),1928)</f>
        <v>1928</v>
      </c>
      <c r="N55" s="9">
        <f ca="1">IFERROR(__xludf.DUMMYFUNCTION("""COMPUTED_VALUE"""),1482)</f>
        <v>1482</v>
      </c>
      <c r="O55" s="9">
        <f ca="1">IFERROR(__xludf.DUMMYFUNCTION("""COMPUTED_VALUE"""),4612)</f>
        <v>4612</v>
      </c>
      <c r="P55" s="29">
        <f ca="1">IFERROR(__xludf.DUMMYFUNCTION("""COMPUTED_VALUE"""),1250)</f>
        <v>1250</v>
      </c>
      <c r="Q55" s="29">
        <f ca="1">IFERROR(__xludf.DUMMYFUNCTION("""COMPUTED_VALUE"""),3437)</f>
        <v>3437</v>
      </c>
      <c r="R55" s="7" t="str">
        <f ca="1">IFERROR(__xludf.DUMMYFUNCTION("""COMPUTED_VALUE"""),"Hồ Chí Minh")</f>
        <v>Hồ Chí Minh</v>
      </c>
      <c r="S55" s="7" t="str">
        <f ca="1">IFERROR(__xludf.DUMMYFUNCTION("""COMPUTED_VALUE"""),"Quận 12")</f>
        <v>Quận 12</v>
      </c>
      <c r="T55" s="7" t="str">
        <f ca="1">IFERROR(__xludf.DUMMYFUNCTION("SPARKLINE({
IF(D55="""",0,D55),
IF(F55="""",0,F55),
IF(H55="""",0,H55),
IF(J55="""",0,J55),
IF(L55="""",0,L55),
IF(N55="""",0,N55),
IF(P55="""",0,P55)
})"),"")</f>
        <v/>
      </c>
      <c r="U55" s="7" t="str">
        <f ca="1">IFERROR(__xludf.DUMMYFUNCTION("SPARKLINE({
IF(E55="""",0,E55),
IF(G55="""",0,G55),
IF(I55="""",0,I55),
IF(K55="""",0,K55),
IF(M55="""",0,M55),
IF(O55="""",0,O55),
IF(Q55="""",0,Q55)
})"),"")</f>
        <v/>
      </c>
      <c r="V55" s="30" t="e">
        <f t="array" aca="1" ref="V55" ca="1">IF($C$4="Giao",_xludf.Xlookup(C55,#REF!,#REF!,),_xludf.Xlookup(C55,#REF!,#REF!,))</f>
        <v>#NAME?</v>
      </c>
      <c r="W55" s="30" t="e">
        <f t="array" aca="1" ref="W55" ca="1">IF($C$4="Giao", _xludf.Xlookup(C55,#REF!,#REF!,),_xludf.Xlookup(C55,#REF!,#REF!,))</f>
        <v>#NAME?</v>
      </c>
      <c r="X55" s="9" t="e">
        <f t="shared" ca="1" si="2"/>
        <v>#NAME?</v>
      </c>
      <c r="Y55" s="7"/>
      <c r="Z55" s="7"/>
    </row>
    <row r="56" spans="1:26" ht="13" x14ac:dyDescent="0.6">
      <c r="A56" s="28">
        <f t="shared" ca="1" si="1"/>
        <v>49</v>
      </c>
      <c r="B56" s="7" t="str">
        <f ca="1">IFERROR(__xludf.DUMMYFUNCTION("""COMPUTED_VALUE"""),"Quận 12")</f>
        <v>Quận 12</v>
      </c>
      <c r="C56" s="7" t="str">
        <f ca="1">IFERROR(__xludf.DUMMYFUNCTION("""COMPUTED_VALUE"""),"Bưu Cục 47/2 Lê Văn Khương-Q.12-HCM")</f>
        <v>Bưu Cục 47/2 Lê Văn Khương-Q.12-HCM</v>
      </c>
      <c r="D56" s="9">
        <f ca="1">IFERROR(__xludf.DUMMYFUNCTION("""COMPUTED_VALUE"""),1363)</f>
        <v>1363</v>
      </c>
      <c r="E56" s="9">
        <f ca="1">IFERROR(__xludf.DUMMYFUNCTION("""COMPUTED_VALUE"""),3437)</f>
        <v>3437</v>
      </c>
      <c r="F56" s="9">
        <f ca="1">IFERROR(__xludf.DUMMYFUNCTION("""COMPUTED_VALUE"""),1057)</f>
        <v>1057</v>
      </c>
      <c r="G56" s="9">
        <f ca="1">IFERROR(__xludf.DUMMYFUNCTION("""COMPUTED_VALUE"""),3378)</f>
        <v>3378</v>
      </c>
      <c r="H56" s="9">
        <f ca="1">IFERROR(__xludf.DUMMYFUNCTION("""COMPUTED_VALUE"""),1075)</f>
        <v>1075</v>
      </c>
      <c r="I56" s="9">
        <f ca="1">IFERROR(__xludf.DUMMYFUNCTION("""COMPUTED_VALUE"""),3497)</f>
        <v>3497</v>
      </c>
      <c r="J56" s="9">
        <f ca="1">IFERROR(__xludf.DUMMYFUNCTION("""COMPUTED_VALUE"""),1528)</f>
        <v>1528</v>
      </c>
      <c r="K56" s="9">
        <f ca="1">IFERROR(__xludf.DUMMYFUNCTION("""COMPUTED_VALUE"""),4160)</f>
        <v>4160</v>
      </c>
      <c r="L56" s="9">
        <f ca="1">IFERROR(__xludf.DUMMYFUNCTION("""COMPUTED_VALUE"""),545)</f>
        <v>545</v>
      </c>
      <c r="M56" s="9">
        <f ca="1">IFERROR(__xludf.DUMMYFUNCTION("""COMPUTED_VALUE"""),1188)</f>
        <v>1188</v>
      </c>
      <c r="N56" s="9">
        <f ca="1">IFERROR(__xludf.DUMMYFUNCTION("""COMPUTED_VALUE"""),1248)</f>
        <v>1248</v>
      </c>
      <c r="O56" s="9">
        <f ca="1">IFERROR(__xludf.DUMMYFUNCTION("""COMPUTED_VALUE"""),3444)</f>
        <v>3444</v>
      </c>
      <c r="P56" s="29">
        <f ca="1">IFERROR(__xludf.DUMMYFUNCTION("""COMPUTED_VALUE"""),1195)</f>
        <v>1195</v>
      </c>
      <c r="Q56" s="29">
        <f ca="1">IFERROR(__xludf.DUMMYFUNCTION("""COMPUTED_VALUE"""),3194)</f>
        <v>3194</v>
      </c>
      <c r="R56" s="7" t="str">
        <f ca="1">IFERROR(__xludf.DUMMYFUNCTION("""COMPUTED_VALUE"""),"Hồ Chí Minh")</f>
        <v>Hồ Chí Minh</v>
      </c>
      <c r="S56" s="7" t="str">
        <f ca="1">IFERROR(__xludf.DUMMYFUNCTION("""COMPUTED_VALUE"""),"Quận 12")</f>
        <v>Quận 12</v>
      </c>
      <c r="T56" s="7" t="str">
        <f ca="1">IFERROR(__xludf.DUMMYFUNCTION("SPARKLINE({
IF(D56="""",0,D56),
IF(F56="""",0,F56),
IF(H56="""",0,H56),
IF(J56="""",0,J56),
IF(L56="""",0,L56),
IF(N56="""",0,N56),
IF(P56="""",0,P56)
})"),"")</f>
        <v/>
      </c>
      <c r="U56" s="7" t="str">
        <f ca="1">IFERROR(__xludf.DUMMYFUNCTION("SPARKLINE({
IF(E56="""",0,E56),
IF(G56="""",0,G56),
IF(I56="""",0,I56),
IF(K56="""",0,K56),
IF(M56="""",0,M56),
IF(O56="""",0,O56),
IF(Q56="""",0,Q56)
})"),"")</f>
        <v/>
      </c>
      <c r="V56" s="30" t="e">
        <f t="array" aca="1" ref="V56" ca="1">IF($C$4="Giao",_xludf.Xlookup(C56,#REF!,#REF!,),_xludf.Xlookup(C56,#REF!,#REF!,))</f>
        <v>#NAME?</v>
      </c>
      <c r="W56" s="30" t="e">
        <f t="array" aca="1" ref="W56" ca="1">IF($C$4="Giao", _xludf.Xlookup(C56,#REF!,#REF!,),_xludf.Xlookup(C56,#REF!,#REF!,))</f>
        <v>#NAME?</v>
      </c>
      <c r="X56" s="9" t="e">
        <f t="shared" ca="1" si="2"/>
        <v>#NAME?</v>
      </c>
      <c r="Y56" s="7"/>
      <c r="Z56" s="7"/>
    </row>
    <row r="57" spans="1:26" ht="13" x14ac:dyDescent="0.6">
      <c r="A57" s="28">
        <f t="shared" ca="1" si="1"/>
        <v>50</v>
      </c>
      <c r="B57" s="7" t="str">
        <f ca="1">IFERROR(__xludf.DUMMYFUNCTION("""COMPUTED_VALUE"""),"Quận 12")</f>
        <v>Quận 12</v>
      </c>
      <c r="C57" s="7" t="str">
        <f ca="1">IFERROR(__xludf.DUMMYFUNCTION("""COMPUTED_VALUE"""),"Bưu Cục 88 Võ Thị Liễu-Q.12-HCM")</f>
        <v>Bưu Cục 88 Võ Thị Liễu-Q.12-HCM</v>
      </c>
      <c r="D57" s="9">
        <f ca="1">IFERROR(__xludf.DUMMYFUNCTION("""COMPUTED_VALUE"""),1344)</f>
        <v>1344</v>
      </c>
      <c r="E57" s="9">
        <f ca="1">IFERROR(__xludf.DUMMYFUNCTION("""COMPUTED_VALUE"""),3324)</f>
        <v>3324</v>
      </c>
      <c r="F57" s="9">
        <f ca="1">IFERROR(__xludf.DUMMYFUNCTION("""COMPUTED_VALUE"""),1126)</f>
        <v>1126</v>
      </c>
      <c r="G57" s="9">
        <f ca="1">IFERROR(__xludf.DUMMYFUNCTION("""COMPUTED_VALUE"""),2994)</f>
        <v>2994</v>
      </c>
      <c r="H57" s="9">
        <f ca="1">IFERROR(__xludf.DUMMYFUNCTION("""COMPUTED_VALUE"""),1317)</f>
        <v>1317</v>
      </c>
      <c r="I57" s="9">
        <f ca="1">IFERROR(__xludf.DUMMYFUNCTION("""COMPUTED_VALUE"""),2664)</f>
        <v>2664</v>
      </c>
      <c r="J57" s="9">
        <f ca="1">IFERROR(__xludf.DUMMYFUNCTION("""COMPUTED_VALUE"""),1505)</f>
        <v>1505</v>
      </c>
      <c r="K57" s="9">
        <f ca="1">IFERROR(__xludf.DUMMYFUNCTION("""COMPUTED_VALUE"""),4036)</f>
        <v>4036</v>
      </c>
      <c r="L57" s="9">
        <f ca="1">IFERROR(__xludf.DUMMYFUNCTION("""COMPUTED_VALUE"""),540)</f>
        <v>540</v>
      </c>
      <c r="M57" s="9">
        <f ca="1">IFERROR(__xludf.DUMMYFUNCTION("""COMPUTED_VALUE"""),733)</f>
        <v>733</v>
      </c>
      <c r="N57" s="9">
        <f ca="1">IFERROR(__xludf.DUMMYFUNCTION("""COMPUTED_VALUE"""),1641)</f>
        <v>1641</v>
      </c>
      <c r="O57" s="9">
        <f ca="1">IFERROR(__xludf.DUMMYFUNCTION("""COMPUTED_VALUE"""),3947)</f>
        <v>3947</v>
      </c>
      <c r="P57" s="29">
        <f ca="1">IFERROR(__xludf.DUMMYFUNCTION("""COMPUTED_VALUE"""),1354)</f>
        <v>1354</v>
      </c>
      <c r="Q57" s="29">
        <f ca="1">IFERROR(__xludf.DUMMYFUNCTION("""COMPUTED_VALUE"""),3639)</f>
        <v>3639</v>
      </c>
      <c r="R57" s="7" t="str">
        <f ca="1">IFERROR(__xludf.DUMMYFUNCTION("""COMPUTED_VALUE"""),"Hồ Chí Minh")</f>
        <v>Hồ Chí Minh</v>
      </c>
      <c r="S57" s="7" t="str">
        <f ca="1">IFERROR(__xludf.DUMMYFUNCTION("""COMPUTED_VALUE"""),"Quận 12")</f>
        <v>Quận 12</v>
      </c>
      <c r="T57" s="7" t="str">
        <f ca="1">IFERROR(__xludf.DUMMYFUNCTION("SPARKLINE({
IF(D57="""",0,D57),
IF(F57="""",0,F57),
IF(H57="""",0,H57),
IF(J57="""",0,J57),
IF(L57="""",0,L57),
IF(N57="""",0,N57),
IF(P57="""",0,P57)
})"),"")</f>
        <v/>
      </c>
      <c r="U57" s="7" t="str">
        <f ca="1">IFERROR(__xludf.DUMMYFUNCTION("SPARKLINE({
IF(E57="""",0,E57),
IF(G57="""",0,G57),
IF(I57="""",0,I57),
IF(K57="""",0,K57),
IF(M57="""",0,M57),
IF(O57="""",0,O57),
IF(Q57="""",0,Q57)
})"),"")</f>
        <v/>
      </c>
      <c r="V57" s="30" t="e">
        <f t="array" aca="1" ref="V57" ca="1">IF($C$4="Giao",_xludf.Xlookup(C57,#REF!,#REF!,),_xludf.Xlookup(C57,#REF!,#REF!,))</f>
        <v>#NAME?</v>
      </c>
      <c r="W57" s="30" t="e">
        <f t="array" aca="1" ref="W57" ca="1">IF($C$4="Giao", _xludf.Xlookup(C57,#REF!,#REF!,),_xludf.Xlookup(C57,#REF!,#REF!,))</f>
        <v>#NAME?</v>
      </c>
      <c r="X57" s="9" t="e">
        <f t="shared" ca="1" si="2"/>
        <v>#NAME?</v>
      </c>
      <c r="Y57" s="7"/>
      <c r="Z57" s="7"/>
    </row>
    <row r="58" spans="1:26" ht="13" x14ac:dyDescent="0.6">
      <c r="A58" s="28">
        <f t="shared" ca="1" si="1"/>
        <v>51</v>
      </c>
      <c r="B58" s="7" t="str">
        <f ca="1">IFERROR(__xludf.DUMMYFUNCTION("""COMPUTED_VALUE"""),"Quận 12")</f>
        <v>Quận 12</v>
      </c>
      <c r="C58" s="7" t="str">
        <f ca="1">IFERROR(__xludf.DUMMYFUNCTION("""COMPUTED_VALUE"""),"Bưu Cục 92 Tân Chánh Hiệp 03-Tân Chánh Hiệp-Quận 12-HCM")</f>
        <v>Bưu Cục 92 Tân Chánh Hiệp 03-Tân Chánh Hiệp-Quận 12-HCM</v>
      </c>
      <c r="D58" s="9">
        <f ca="1">IFERROR(__xludf.DUMMYFUNCTION("""COMPUTED_VALUE"""),3619)</f>
        <v>3619</v>
      </c>
      <c r="E58" s="9">
        <f ca="1">IFERROR(__xludf.DUMMYFUNCTION("""COMPUTED_VALUE"""),9903)</f>
        <v>9903</v>
      </c>
      <c r="F58" s="9">
        <f ca="1">IFERROR(__xludf.DUMMYFUNCTION("""COMPUTED_VALUE"""),2953)</f>
        <v>2953</v>
      </c>
      <c r="G58" s="9">
        <f ca="1">IFERROR(__xludf.DUMMYFUNCTION("""COMPUTED_VALUE"""),7791)</f>
        <v>7791</v>
      </c>
      <c r="H58" s="9">
        <f ca="1">IFERROR(__xludf.DUMMYFUNCTION("""COMPUTED_VALUE"""),3076)</f>
        <v>3076</v>
      </c>
      <c r="I58" s="9">
        <f ca="1">IFERROR(__xludf.DUMMYFUNCTION("""COMPUTED_VALUE"""),7775)</f>
        <v>7775</v>
      </c>
      <c r="J58" s="9">
        <f ca="1">IFERROR(__xludf.DUMMYFUNCTION("""COMPUTED_VALUE"""),3517)</f>
        <v>3517</v>
      </c>
      <c r="K58" s="9">
        <f ca="1">IFERROR(__xludf.DUMMYFUNCTION("""COMPUTED_VALUE"""),10354)</f>
        <v>10354</v>
      </c>
      <c r="L58" s="9">
        <f ca="1">IFERROR(__xludf.DUMMYFUNCTION("""COMPUTED_VALUE"""),1875)</f>
        <v>1875</v>
      </c>
      <c r="M58" s="9">
        <f ca="1">IFERROR(__xludf.DUMMYFUNCTION("""COMPUTED_VALUE"""),4503)</f>
        <v>4503</v>
      </c>
      <c r="N58" s="9">
        <f ca="1">IFERROR(__xludf.DUMMYFUNCTION("""COMPUTED_VALUE"""),4081)</f>
        <v>4081</v>
      </c>
      <c r="O58" s="9">
        <f ca="1">IFERROR(__xludf.DUMMYFUNCTION("""COMPUTED_VALUE"""),9261)</f>
        <v>9261</v>
      </c>
      <c r="P58" s="29">
        <f ca="1">IFERROR(__xludf.DUMMYFUNCTION("""COMPUTED_VALUE"""),3412)</f>
        <v>3412</v>
      </c>
      <c r="Q58" s="29">
        <f ca="1">IFERROR(__xludf.DUMMYFUNCTION("""COMPUTED_VALUE"""),9060)</f>
        <v>9060</v>
      </c>
      <c r="R58" s="7" t="str">
        <f ca="1">IFERROR(__xludf.DUMMYFUNCTION("""COMPUTED_VALUE"""),"Hồ Chí Minh")</f>
        <v>Hồ Chí Minh</v>
      </c>
      <c r="S58" s="7" t="str">
        <f ca="1">IFERROR(__xludf.DUMMYFUNCTION("""COMPUTED_VALUE"""),"Quận 12")</f>
        <v>Quận 12</v>
      </c>
      <c r="T58" s="7" t="str">
        <f ca="1">IFERROR(__xludf.DUMMYFUNCTION("SPARKLINE({
IF(D58="""",0,D58),
IF(F58="""",0,F58),
IF(H58="""",0,H58),
IF(J58="""",0,J58),
IF(L58="""",0,L58),
IF(N58="""",0,N58),
IF(P58="""",0,P58)
})"),"")</f>
        <v/>
      </c>
      <c r="U58" s="7" t="str">
        <f ca="1">IFERROR(__xludf.DUMMYFUNCTION("SPARKLINE({
IF(E58="""",0,E58),
IF(G58="""",0,G58),
IF(I58="""",0,I58),
IF(K58="""",0,K58),
IF(M58="""",0,M58),
IF(O58="""",0,O58),
IF(Q58="""",0,Q58)
})"),"")</f>
        <v/>
      </c>
      <c r="V58" s="30" t="e">
        <f t="array" aca="1" ref="V58" ca="1">IF($C$4="Giao",_xludf.Xlookup(C58,#REF!,#REF!,),_xludf.Xlookup(C58,#REF!,#REF!,))</f>
        <v>#NAME?</v>
      </c>
      <c r="W58" s="30" t="e">
        <f t="array" aca="1" ref="W58" ca="1">IF($C$4="Giao", _xludf.Xlookup(C58,#REF!,#REF!,),_xludf.Xlookup(C58,#REF!,#REF!,))</f>
        <v>#NAME?</v>
      </c>
      <c r="X58" s="9" t="e">
        <f t="shared" ca="1" si="2"/>
        <v>#NAME?</v>
      </c>
      <c r="Y58" s="7"/>
      <c r="Z58" s="7"/>
    </row>
    <row r="59" spans="1:26" ht="13" x14ac:dyDescent="0.6">
      <c r="A59" s="28">
        <f t="shared" ca="1" si="1"/>
        <v>52</v>
      </c>
      <c r="B59" s="7" t="str">
        <f ca="1">IFERROR(__xludf.DUMMYFUNCTION("""COMPUTED_VALUE"""),"Quận 12")</f>
        <v>Quận 12</v>
      </c>
      <c r="C59" s="7" t="str">
        <f ca="1">IFERROR(__xludf.DUMMYFUNCTION("""COMPUTED_VALUE"""),"Bưu Cục Hàng Vừa 1130 Đông Hưng Thuận 05-Q.12-HCM")</f>
        <v>Bưu Cục Hàng Vừa 1130 Đông Hưng Thuận 05-Q.12-HCM</v>
      </c>
      <c r="D59" s="9"/>
      <c r="E59" s="9"/>
      <c r="F59" s="9">
        <f ca="1">IFERROR(__xludf.DUMMYFUNCTION("""COMPUTED_VALUE"""),1)</f>
        <v>1</v>
      </c>
      <c r="G59" s="9">
        <f ca="1">IFERROR(__xludf.DUMMYFUNCTION("""COMPUTED_VALUE"""),0)</f>
        <v>0</v>
      </c>
      <c r="H59" s="9">
        <f ca="1">IFERROR(__xludf.DUMMYFUNCTION("""COMPUTED_VALUE"""),2)</f>
        <v>2</v>
      </c>
      <c r="I59" s="9">
        <f ca="1">IFERROR(__xludf.DUMMYFUNCTION("""COMPUTED_VALUE"""),11)</f>
        <v>11</v>
      </c>
      <c r="J59" s="9">
        <f ca="1">IFERROR(__xludf.DUMMYFUNCTION("""COMPUTED_VALUE"""),35)</f>
        <v>35</v>
      </c>
      <c r="K59" s="9">
        <f ca="1">IFERROR(__xludf.DUMMYFUNCTION("""COMPUTED_VALUE"""),23)</f>
        <v>23</v>
      </c>
      <c r="L59" s="9">
        <f ca="1">IFERROR(__xludf.DUMMYFUNCTION("""COMPUTED_VALUE"""),2)</f>
        <v>2</v>
      </c>
      <c r="M59" s="9">
        <f ca="1">IFERROR(__xludf.DUMMYFUNCTION("""COMPUTED_VALUE"""),0)</f>
        <v>0</v>
      </c>
      <c r="N59" s="9"/>
      <c r="O59" s="9"/>
      <c r="P59" s="29"/>
      <c r="Q59" s="29"/>
      <c r="R59" s="7" t="str">
        <f ca="1">IFERROR(__xludf.DUMMYFUNCTION("""COMPUTED_VALUE"""),"Hồ Chí Minh")</f>
        <v>Hồ Chí Minh</v>
      </c>
      <c r="S59" s="7" t="str">
        <f ca="1">IFERROR(__xludf.DUMMYFUNCTION("""COMPUTED_VALUE"""),"Quận 12")</f>
        <v>Quận 12</v>
      </c>
      <c r="T59" s="7" t="str">
        <f ca="1">IFERROR(__xludf.DUMMYFUNCTION("SPARKLINE({
IF(D59="""",0,D59),
IF(F59="""",0,F59),
IF(H59="""",0,H59),
IF(J59="""",0,J59),
IF(L59="""",0,L59),
IF(N59="""",0,N59),
IF(P59="""",0,P59)
})"),"")</f>
        <v/>
      </c>
      <c r="U59" s="7" t="str">
        <f ca="1">IFERROR(__xludf.DUMMYFUNCTION("SPARKLINE({
IF(E59="""",0,E59),
IF(G59="""",0,G59),
IF(I59="""",0,I59),
IF(K59="""",0,K59),
IF(M59="""",0,M59),
IF(O59="""",0,O59),
IF(Q59="""",0,Q59)
})"),"")</f>
        <v/>
      </c>
      <c r="V59" s="8" t="e">
        <f t="array" aca="1" ref="V59" ca="1">IF($C$4="Giao",_xludf.Xlookup(C59,#REF!,#REF!,),_xludf.Xlookup(C59,#REF!,#REF!,))</f>
        <v>#NAME?</v>
      </c>
      <c r="W59" s="8" t="e">
        <f t="array" aca="1" ref="W59" ca="1">IF($C$4="Giao", _xludf.Xlookup(C59,#REF!,#REF!,),_xludf.Xlookup(C59,#REF!,#REF!,))</f>
        <v>#NAME?</v>
      </c>
      <c r="X59" s="9" t="e">
        <f t="shared" ca="1" si="2"/>
        <v>#NAME?</v>
      </c>
      <c r="Y59" s="7"/>
      <c r="Z59" s="7"/>
    </row>
    <row r="60" spans="1:26" ht="13" x14ac:dyDescent="0.6">
      <c r="A60" s="28">
        <f t="shared" ca="1" si="1"/>
        <v>53</v>
      </c>
      <c r="B60" s="7" t="str">
        <f ca="1">IFERROR(__xludf.DUMMYFUNCTION("""COMPUTED_VALUE"""),"Quận 12")</f>
        <v>Quận 12</v>
      </c>
      <c r="C60" s="7" t="str">
        <f ca="1">IFERROR(__xludf.DUMMYFUNCTION("""COMPUTED_VALUE"""),"Bưu Cục Hàng Vừa 198C Thạnh Lộc-Q.12-HCM")</f>
        <v>Bưu Cục Hàng Vừa 198C Thạnh Lộc-Q.12-HCM</v>
      </c>
      <c r="D60" s="9">
        <f ca="1">IFERROR(__xludf.DUMMYFUNCTION("""COMPUTED_VALUE"""),87)</f>
        <v>87</v>
      </c>
      <c r="E60" s="9">
        <f ca="1">IFERROR(__xludf.DUMMYFUNCTION("""COMPUTED_VALUE"""),1319)</f>
        <v>1319</v>
      </c>
      <c r="F60" s="9">
        <f ca="1">IFERROR(__xludf.DUMMYFUNCTION("""COMPUTED_VALUE"""),92)</f>
        <v>92</v>
      </c>
      <c r="G60" s="9">
        <f ca="1">IFERROR(__xludf.DUMMYFUNCTION("""COMPUTED_VALUE"""),1081)</f>
        <v>1081</v>
      </c>
      <c r="H60" s="9">
        <f ca="1">IFERROR(__xludf.DUMMYFUNCTION("""COMPUTED_VALUE"""),64)</f>
        <v>64</v>
      </c>
      <c r="I60" s="9">
        <f ca="1">IFERROR(__xludf.DUMMYFUNCTION("""COMPUTED_VALUE"""),945)</f>
        <v>945</v>
      </c>
      <c r="J60" s="9">
        <f ca="1">IFERROR(__xludf.DUMMYFUNCTION("""COMPUTED_VALUE"""),72)</f>
        <v>72</v>
      </c>
      <c r="K60" s="9">
        <f ca="1">IFERROR(__xludf.DUMMYFUNCTION("""COMPUTED_VALUE"""),848)</f>
        <v>848</v>
      </c>
      <c r="L60" s="9">
        <f ca="1">IFERROR(__xludf.DUMMYFUNCTION("""COMPUTED_VALUE"""),17)</f>
        <v>17</v>
      </c>
      <c r="M60" s="9">
        <f ca="1">IFERROR(__xludf.DUMMYFUNCTION("""COMPUTED_VALUE"""),486)</f>
        <v>486</v>
      </c>
      <c r="N60" s="9">
        <f ca="1">IFERROR(__xludf.DUMMYFUNCTION("""COMPUTED_VALUE"""),62)</f>
        <v>62</v>
      </c>
      <c r="O60" s="9">
        <f ca="1">IFERROR(__xludf.DUMMYFUNCTION("""COMPUTED_VALUE"""),1049)</f>
        <v>1049</v>
      </c>
      <c r="P60" s="29">
        <f ca="1">IFERROR(__xludf.DUMMYFUNCTION("""COMPUTED_VALUE"""),80)</f>
        <v>80</v>
      </c>
      <c r="Q60" s="29">
        <f ca="1">IFERROR(__xludf.DUMMYFUNCTION("""COMPUTED_VALUE"""),1310)</f>
        <v>1310</v>
      </c>
      <c r="R60" s="7" t="str">
        <f ca="1">IFERROR(__xludf.DUMMYFUNCTION("""COMPUTED_VALUE"""),"Hồ Chí Minh")</f>
        <v>Hồ Chí Minh</v>
      </c>
      <c r="S60" s="7" t="str">
        <f ca="1">IFERROR(__xludf.DUMMYFUNCTION("""COMPUTED_VALUE"""),"Quận 12")</f>
        <v>Quận 12</v>
      </c>
      <c r="T60" s="7" t="str">
        <f ca="1">IFERROR(__xludf.DUMMYFUNCTION("SPARKLINE({
IF(D60="""",0,D60),
IF(F60="""",0,F60),
IF(H60="""",0,H60),
IF(J60="""",0,J60),
IF(L60="""",0,L60),
IF(N60="""",0,N60),
IF(P60="""",0,P60)
})"),"")</f>
        <v/>
      </c>
      <c r="U60" s="7" t="str">
        <f ca="1">IFERROR(__xludf.DUMMYFUNCTION("SPARKLINE({
IF(E60="""",0,E60),
IF(G60="""",0,G60),
IF(I60="""",0,I60),
IF(K60="""",0,K60),
IF(M60="""",0,M60),
IF(O60="""",0,O60),
IF(Q60="""",0,Q60)
})"),"")</f>
        <v/>
      </c>
      <c r="V60" s="30" t="e">
        <f t="array" aca="1" ref="V60" ca="1">IF($C$4="Giao",_xludf.Xlookup(C60,#REF!,#REF!,),_xludf.Xlookup(C60,#REF!,#REF!,))</f>
        <v>#NAME?</v>
      </c>
      <c r="W60" s="30" t="e">
        <f t="array" aca="1" ref="W60" ca="1">IF($C$4="Giao", _xludf.Xlookup(C60,#REF!,#REF!,),_xludf.Xlookup(C60,#REF!,#REF!,))</f>
        <v>#NAME?</v>
      </c>
      <c r="X60" s="9" t="e">
        <f t="shared" ca="1" si="2"/>
        <v>#NAME?</v>
      </c>
      <c r="Y60" s="7"/>
      <c r="Z60" s="7"/>
    </row>
    <row r="61" spans="1:26" ht="13" x14ac:dyDescent="0.6">
      <c r="A61" s="28">
        <f t="shared" ca="1" si="1"/>
        <v>54</v>
      </c>
      <c r="B61" s="7" t="str">
        <f ca="1">IFERROR(__xludf.DUMMYFUNCTION("""COMPUTED_VALUE"""),"Quận 12")</f>
        <v>Quận 12</v>
      </c>
      <c r="C61" s="7" t="str">
        <f ca="1">IFERROR(__xludf.DUMMYFUNCTION("""COMPUTED_VALUE"""),"Bưu Cục Hàng Vừa 320 Nguyễn Thị Kiểu-Hiệp Thành-Quận 12-HCM")</f>
        <v>Bưu Cục Hàng Vừa 320 Nguyễn Thị Kiểu-Hiệp Thành-Quận 12-HCM</v>
      </c>
      <c r="D61" s="9">
        <f ca="1">IFERROR(__xludf.DUMMYFUNCTION("""COMPUTED_VALUE"""),1)</f>
        <v>1</v>
      </c>
      <c r="E61" s="9">
        <f ca="1">IFERROR(__xludf.DUMMYFUNCTION("""COMPUTED_VALUE"""),16)</f>
        <v>16</v>
      </c>
      <c r="F61" s="9">
        <f ca="1">IFERROR(__xludf.DUMMYFUNCTION("""COMPUTED_VALUE"""),1)</f>
        <v>1</v>
      </c>
      <c r="G61" s="9">
        <f ca="1">IFERROR(__xludf.DUMMYFUNCTION("""COMPUTED_VALUE"""),12)</f>
        <v>12</v>
      </c>
      <c r="H61" s="9"/>
      <c r="I61" s="9"/>
      <c r="J61" s="9"/>
      <c r="K61" s="9"/>
      <c r="L61" s="9"/>
      <c r="M61" s="9"/>
      <c r="N61" s="9"/>
      <c r="O61" s="9"/>
      <c r="P61" s="29"/>
      <c r="Q61" s="29"/>
      <c r="R61" s="7" t="str">
        <f ca="1">IFERROR(__xludf.DUMMYFUNCTION("""COMPUTED_VALUE"""),"Hồ Chí Minh")</f>
        <v>Hồ Chí Minh</v>
      </c>
      <c r="S61" s="7" t="str">
        <f ca="1">IFERROR(__xludf.DUMMYFUNCTION("""COMPUTED_VALUE"""),"Quận 12")</f>
        <v>Quận 12</v>
      </c>
      <c r="T61" s="7" t="str">
        <f ca="1">IFERROR(__xludf.DUMMYFUNCTION("SPARKLINE({
IF(D61="""",0,D61),
IF(F61="""",0,F61),
IF(H61="""",0,H61),
IF(J61="""",0,J61),
IF(L61="""",0,L61),
IF(N61="""",0,N61),
IF(P61="""",0,P61)
})"),"")</f>
        <v/>
      </c>
      <c r="U61" s="7" t="str">
        <f ca="1">IFERROR(__xludf.DUMMYFUNCTION("SPARKLINE({
IF(E61="""",0,E61),
IF(G61="""",0,G61),
IF(I61="""",0,I61),
IF(K61="""",0,K61),
IF(M61="""",0,M61),
IF(O61="""",0,O61),
IF(Q61="""",0,Q61)
})"),"")</f>
        <v/>
      </c>
      <c r="V61" s="8" t="e">
        <f t="array" aca="1" ref="V61" ca="1">IF($C$4="Giao",_xludf.Xlookup(C61,#REF!,#REF!,),_xludf.Xlookup(C61,#REF!,#REF!,))</f>
        <v>#NAME?</v>
      </c>
      <c r="W61" s="30" t="e">
        <f t="array" aca="1" ref="W61" ca="1">IF($C$4="Giao", _xludf.Xlookup(C61,#REF!,#REF!,),_xludf.Xlookup(C61,#REF!,#REF!,))</f>
        <v>#NAME?</v>
      </c>
      <c r="X61" s="9" t="e">
        <f t="shared" ca="1" si="2"/>
        <v>#NAME?</v>
      </c>
      <c r="Y61" s="7"/>
      <c r="Z61" s="7"/>
    </row>
    <row r="62" spans="1:26" ht="13" x14ac:dyDescent="0.6">
      <c r="A62" s="28">
        <f t="shared" ca="1" si="1"/>
        <v>55</v>
      </c>
      <c r="B62" s="7" t="str">
        <f ca="1">IFERROR(__xludf.DUMMYFUNCTION("""COMPUTED_VALUE"""),"Quận 2")</f>
        <v>Quận 2</v>
      </c>
      <c r="C62" s="7" t="str">
        <f ca="1">IFERROR(__xludf.DUMMYFUNCTION("""COMPUTED_VALUE"""),"Bưu Cục 29A Đường Số 5-Q.2-HCM")</f>
        <v>Bưu Cục 29A Đường Số 5-Q.2-HCM</v>
      </c>
      <c r="D62" s="9">
        <f ca="1">IFERROR(__xludf.DUMMYFUNCTION("""COMPUTED_VALUE"""),1453)</f>
        <v>1453</v>
      </c>
      <c r="E62" s="9">
        <f ca="1">IFERROR(__xludf.DUMMYFUNCTION("""COMPUTED_VALUE"""),3046)</f>
        <v>3046</v>
      </c>
      <c r="F62" s="9">
        <f ca="1">IFERROR(__xludf.DUMMYFUNCTION("""COMPUTED_VALUE"""),1203)</f>
        <v>1203</v>
      </c>
      <c r="G62" s="9">
        <f ca="1">IFERROR(__xludf.DUMMYFUNCTION("""COMPUTED_VALUE"""),2970)</f>
        <v>2970</v>
      </c>
      <c r="H62" s="9">
        <f ca="1">IFERROR(__xludf.DUMMYFUNCTION("""COMPUTED_VALUE"""),1235)</f>
        <v>1235</v>
      </c>
      <c r="I62" s="9">
        <f ca="1">IFERROR(__xludf.DUMMYFUNCTION("""COMPUTED_VALUE"""),2567)</f>
        <v>2567</v>
      </c>
      <c r="J62" s="9">
        <f ca="1">IFERROR(__xludf.DUMMYFUNCTION("""COMPUTED_VALUE"""),1473)</f>
        <v>1473</v>
      </c>
      <c r="K62" s="9">
        <f ca="1">IFERROR(__xludf.DUMMYFUNCTION("""COMPUTED_VALUE"""),3970)</f>
        <v>3970</v>
      </c>
      <c r="L62" s="9">
        <f ca="1">IFERROR(__xludf.DUMMYFUNCTION("""COMPUTED_VALUE"""),369)</f>
        <v>369</v>
      </c>
      <c r="M62" s="9">
        <f ca="1">IFERROR(__xludf.DUMMYFUNCTION("""COMPUTED_VALUE"""),1234)</f>
        <v>1234</v>
      </c>
      <c r="N62" s="9">
        <f ca="1">IFERROR(__xludf.DUMMYFUNCTION("""COMPUTED_VALUE"""),1726)</f>
        <v>1726</v>
      </c>
      <c r="O62" s="9">
        <f ca="1">IFERROR(__xludf.DUMMYFUNCTION("""COMPUTED_VALUE"""),3364)</f>
        <v>3364</v>
      </c>
      <c r="P62" s="29">
        <f ca="1">IFERROR(__xludf.DUMMYFUNCTION("""COMPUTED_VALUE"""),1584)</f>
        <v>1584</v>
      </c>
      <c r="Q62" s="29">
        <f ca="1">IFERROR(__xludf.DUMMYFUNCTION("""COMPUTED_VALUE"""),3040)</f>
        <v>3040</v>
      </c>
      <c r="R62" s="7" t="str">
        <f ca="1">IFERROR(__xludf.DUMMYFUNCTION("""COMPUTED_VALUE"""),"Hồ Chí Minh")</f>
        <v>Hồ Chí Minh</v>
      </c>
      <c r="S62" s="7" t="str">
        <f ca="1">IFERROR(__xludf.DUMMYFUNCTION("""COMPUTED_VALUE"""),"Quận 2")</f>
        <v>Quận 2</v>
      </c>
      <c r="T62" s="7" t="str">
        <f ca="1">IFERROR(__xludf.DUMMYFUNCTION("SPARKLINE({
IF(D62="""",0,D62),
IF(F62="""",0,F62),
IF(H62="""",0,H62),
IF(J62="""",0,J62),
IF(L62="""",0,L62),
IF(N62="""",0,N62),
IF(P62="""",0,P62)
})"),"")</f>
        <v/>
      </c>
      <c r="U62" s="7" t="str">
        <f ca="1">IFERROR(__xludf.DUMMYFUNCTION("SPARKLINE({
IF(E62="""",0,E62),
IF(G62="""",0,G62),
IF(I62="""",0,I62),
IF(K62="""",0,K62),
IF(M62="""",0,M62),
IF(O62="""",0,O62),
IF(Q62="""",0,Q62)
})"),"")</f>
        <v/>
      </c>
      <c r="V62" s="30" t="e">
        <f t="array" aca="1" ref="V62" ca="1">IF($C$4="Giao",_xludf.Xlookup(C62,#REF!,#REF!,),_xludf.Xlookup(C62,#REF!,#REF!,))</f>
        <v>#NAME?</v>
      </c>
      <c r="W62" s="30" t="e">
        <f t="array" aca="1" ref="W62" ca="1">IF($C$4="Giao", _xludf.Xlookup(C62,#REF!,#REF!,),_xludf.Xlookup(C62,#REF!,#REF!,))</f>
        <v>#NAME?</v>
      </c>
      <c r="X62" s="9" t="e">
        <f t="shared" ca="1" si="2"/>
        <v>#NAME?</v>
      </c>
      <c r="Y62" s="7"/>
      <c r="Z62" s="7"/>
    </row>
    <row r="63" spans="1:26" ht="13" x14ac:dyDescent="0.6">
      <c r="A63" s="28">
        <f t="shared" ca="1" si="1"/>
        <v>56</v>
      </c>
      <c r="B63" s="7" t="str">
        <f ca="1">IFERROR(__xludf.DUMMYFUNCTION("""COMPUTED_VALUE"""),"Quận 2")</f>
        <v>Quận 2</v>
      </c>
      <c r="C63" s="7" t="str">
        <f ca="1">IFERROR(__xludf.DUMMYFUNCTION("""COMPUTED_VALUE"""),"Bưu cục 58 Vũ Tông Phan-Q.2-HCM")</f>
        <v>Bưu cục 58 Vũ Tông Phan-Q.2-HCM</v>
      </c>
      <c r="D63" s="9">
        <f ca="1">IFERROR(__xludf.DUMMYFUNCTION("""COMPUTED_VALUE"""),672)</f>
        <v>672</v>
      </c>
      <c r="E63" s="9">
        <f ca="1">IFERROR(__xludf.DUMMYFUNCTION("""COMPUTED_VALUE"""),1154)</f>
        <v>1154</v>
      </c>
      <c r="F63" s="9">
        <f ca="1">IFERROR(__xludf.DUMMYFUNCTION("""COMPUTED_VALUE"""),593)</f>
        <v>593</v>
      </c>
      <c r="G63" s="9">
        <f ca="1">IFERROR(__xludf.DUMMYFUNCTION("""COMPUTED_VALUE"""),736)</f>
        <v>736</v>
      </c>
      <c r="H63" s="9">
        <f ca="1">IFERROR(__xludf.DUMMYFUNCTION("""COMPUTED_VALUE"""),487)</f>
        <v>487</v>
      </c>
      <c r="I63" s="9">
        <f ca="1">IFERROR(__xludf.DUMMYFUNCTION("""COMPUTED_VALUE"""),635)</f>
        <v>635</v>
      </c>
      <c r="J63" s="9">
        <f ca="1">IFERROR(__xludf.DUMMYFUNCTION("""COMPUTED_VALUE"""),604)</f>
        <v>604</v>
      </c>
      <c r="K63" s="9">
        <f ca="1">IFERROR(__xludf.DUMMYFUNCTION("""COMPUTED_VALUE"""),1055)</f>
        <v>1055</v>
      </c>
      <c r="L63" s="9">
        <f ca="1">IFERROR(__xludf.DUMMYFUNCTION("""COMPUTED_VALUE"""),78)</f>
        <v>78</v>
      </c>
      <c r="M63" s="9">
        <f ca="1">IFERROR(__xludf.DUMMYFUNCTION("""COMPUTED_VALUE"""),308)</f>
        <v>308</v>
      </c>
      <c r="N63" s="9">
        <f ca="1">IFERROR(__xludf.DUMMYFUNCTION("""COMPUTED_VALUE"""),515)</f>
        <v>515</v>
      </c>
      <c r="O63" s="9">
        <f ca="1">IFERROR(__xludf.DUMMYFUNCTION("""COMPUTED_VALUE"""),1007)</f>
        <v>1007</v>
      </c>
      <c r="P63" s="29">
        <f ca="1">IFERROR(__xludf.DUMMYFUNCTION("""COMPUTED_VALUE"""),814)</f>
        <v>814</v>
      </c>
      <c r="Q63" s="29">
        <f ca="1">IFERROR(__xludf.DUMMYFUNCTION("""COMPUTED_VALUE"""),1411)</f>
        <v>1411</v>
      </c>
      <c r="R63" s="7" t="str">
        <f ca="1">IFERROR(__xludf.DUMMYFUNCTION("""COMPUTED_VALUE"""),"Hồ Chí Minh")</f>
        <v>Hồ Chí Minh</v>
      </c>
      <c r="S63" s="7" t="str">
        <f ca="1">IFERROR(__xludf.DUMMYFUNCTION("""COMPUTED_VALUE"""),"Quận 2")</f>
        <v>Quận 2</v>
      </c>
      <c r="T63" s="7" t="str">
        <f ca="1">IFERROR(__xludf.DUMMYFUNCTION("SPARKLINE({
IF(D63="""",0,D63),
IF(F63="""",0,F63),
IF(H63="""",0,H63),
IF(J63="""",0,J63),
IF(L63="""",0,L63),
IF(N63="""",0,N63),
IF(P63="""",0,P63)
})"),"")</f>
        <v/>
      </c>
      <c r="U63" s="7" t="str">
        <f ca="1">IFERROR(__xludf.DUMMYFUNCTION("SPARKLINE({
IF(E63="""",0,E63),
IF(G63="""",0,G63),
IF(I63="""",0,I63),
IF(K63="""",0,K63),
IF(M63="""",0,M63),
IF(O63="""",0,O63),
IF(Q63="""",0,Q63)
})"),"")</f>
        <v/>
      </c>
      <c r="V63" s="30" t="e">
        <f t="array" aca="1" ref="V63" ca="1">IF($C$4="Giao",_xludf.Xlookup(C63,#REF!,#REF!,),_xludf.Xlookup(C63,#REF!,#REF!,))</f>
        <v>#NAME?</v>
      </c>
      <c r="W63" s="30" t="e">
        <f t="array" aca="1" ref="W63" ca="1">IF($C$4="Giao", _xludf.Xlookup(C63,#REF!,#REF!,),_xludf.Xlookup(C63,#REF!,#REF!,))</f>
        <v>#NAME?</v>
      </c>
      <c r="X63" s="9" t="e">
        <f t="shared" ca="1" si="2"/>
        <v>#NAME?</v>
      </c>
      <c r="Y63" s="7"/>
      <c r="Z63" s="7"/>
    </row>
    <row r="64" spans="1:26" ht="13" x14ac:dyDescent="0.6">
      <c r="A64" s="28">
        <f t="shared" ca="1" si="1"/>
        <v>57</v>
      </c>
      <c r="B64" s="7" t="str">
        <f ca="1">IFERROR(__xludf.DUMMYFUNCTION("""COMPUTED_VALUE"""),"Quận 2")</f>
        <v>Quận 2</v>
      </c>
      <c r="C64" s="7" t="str">
        <f ca="1">IFERROR(__xludf.DUMMYFUNCTION("""COMPUTED_VALUE"""),"Bưu Cục Hàng Vừa 367 Lương Định Của-An Phú-Q.2-HCM")</f>
        <v>Bưu Cục Hàng Vừa 367 Lương Định Của-An Phú-Q.2-HCM</v>
      </c>
      <c r="D64" s="9"/>
      <c r="E64" s="9"/>
      <c r="F64" s="9">
        <f ca="1">IFERROR(__xludf.DUMMYFUNCTION("""COMPUTED_VALUE"""),1)</f>
        <v>1</v>
      </c>
      <c r="G64" s="9">
        <f ca="1">IFERROR(__xludf.DUMMYFUNCTION("""COMPUTED_VALUE"""),6)</f>
        <v>6</v>
      </c>
      <c r="H64" s="9"/>
      <c r="I64" s="9"/>
      <c r="J64" s="9"/>
      <c r="K64" s="9"/>
      <c r="L64" s="9"/>
      <c r="M64" s="9"/>
      <c r="N64" s="9">
        <f ca="1">IFERROR(__xludf.DUMMYFUNCTION("""COMPUTED_VALUE"""),1)</f>
        <v>1</v>
      </c>
      <c r="O64" s="9">
        <f ca="1">IFERROR(__xludf.DUMMYFUNCTION("""COMPUTED_VALUE"""),6)</f>
        <v>6</v>
      </c>
      <c r="P64" s="29"/>
      <c r="Q64" s="29"/>
      <c r="R64" s="7" t="str">
        <f ca="1">IFERROR(__xludf.DUMMYFUNCTION("""COMPUTED_VALUE"""),"Hồ Chí Minh")</f>
        <v>Hồ Chí Minh</v>
      </c>
      <c r="S64" s="7" t="str">
        <f ca="1">IFERROR(__xludf.DUMMYFUNCTION("""COMPUTED_VALUE"""),"Quận 2")</f>
        <v>Quận 2</v>
      </c>
      <c r="T64" s="7" t="str">
        <f ca="1">IFERROR(__xludf.DUMMYFUNCTION("SPARKLINE({
IF(D64="""",0,D64),
IF(F64="""",0,F64),
IF(H64="""",0,H64),
IF(J64="""",0,J64),
IF(L64="""",0,L64),
IF(N64="""",0,N64),
IF(P64="""",0,P64)
})"),"")</f>
        <v/>
      </c>
      <c r="U64" s="7" t="str">
        <f ca="1">IFERROR(__xludf.DUMMYFUNCTION("SPARKLINE({
IF(E64="""",0,E64),
IF(G64="""",0,G64),
IF(I64="""",0,I64),
IF(K64="""",0,K64),
IF(M64="""",0,M64),
IF(O64="""",0,O64),
IF(Q64="""",0,Q64)
})"),"")</f>
        <v/>
      </c>
      <c r="V64" s="8" t="e">
        <f t="array" aca="1" ref="V64" ca="1">IF($C$4="Giao",_xludf.Xlookup(C64,#REF!,#REF!,),_xludf.Xlookup(C64,#REF!,#REF!,))</f>
        <v>#NAME?</v>
      </c>
      <c r="W64" s="8" t="e">
        <f t="array" aca="1" ref="W64" ca="1">IF($C$4="Giao", _xludf.Xlookup(C64,#REF!,#REF!,),_xludf.Xlookup(C64,#REF!,#REF!,))</f>
        <v>#NAME?</v>
      </c>
      <c r="X64" s="9" t="e">
        <f t="shared" ca="1" si="2"/>
        <v>#NAME?</v>
      </c>
      <c r="Y64" s="7"/>
      <c r="Z64" s="7"/>
    </row>
    <row r="65" spans="1:26" ht="13" x14ac:dyDescent="0.6">
      <c r="A65" s="28">
        <f t="shared" ca="1" si="1"/>
        <v>58</v>
      </c>
      <c r="B65" s="7" t="str">
        <f ca="1">IFERROR(__xludf.DUMMYFUNCTION("""COMPUTED_VALUE"""),"Quận 2")</f>
        <v>Quận 2</v>
      </c>
      <c r="C65" s="7" t="str">
        <f ca="1">IFERROR(__xludf.DUMMYFUNCTION("""COMPUTED_VALUE"""),"Bưu Cục Hàng Vừa Kho 02 367 Lương Định Của-Q.2-HCM")</f>
        <v>Bưu Cục Hàng Vừa Kho 02 367 Lương Định Của-Q.2-HCM</v>
      </c>
      <c r="D65" s="9">
        <f ca="1">IFERROR(__xludf.DUMMYFUNCTION("""COMPUTED_VALUE"""),1)</f>
        <v>1</v>
      </c>
      <c r="E65" s="9">
        <f ca="1">IFERROR(__xludf.DUMMYFUNCTION("""COMPUTED_VALUE"""),23)</f>
        <v>23</v>
      </c>
      <c r="F65" s="9"/>
      <c r="G65" s="9"/>
      <c r="H65" s="9"/>
      <c r="I65" s="9"/>
      <c r="J65" s="9"/>
      <c r="K65" s="9"/>
      <c r="L65" s="9"/>
      <c r="M65" s="9"/>
      <c r="N65" s="9"/>
      <c r="O65" s="9"/>
      <c r="P65" s="29"/>
      <c r="Q65" s="29"/>
      <c r="R65" s="7" t="str">
        <f ca="1">IFERROR(__xludf.DUMMYFUNCTION("""COMPUTED_VALUE"""),"Hồ Chí Minh")</f>
        <v>Hồ Chí Minh</v>
      </c>
      <c r="S65" s="7" t="str">
        <f ca="1">IFERROR(__xludf.DUMMYFUNCTION("""COMPUTED_VALUE"""),"Quận 2")</f>
        <v>Quận 2</v>
      </c>
      <c r="T65" s="7" t="str">
        <f ca="1">IFERROR(__xludf.DUMMYFUNCTION("SPARKLINE({
IF(D65="""",0,D65),
IF(F65="""",0,F65),
IF(H65="""",0,H65),
IF(J65="""",0,J65),
IF(L65="""",0,L65),
IF(N65="""",0,N65),
IF(P65="""",0,P65)
})"),"")</f>
        <v/>
      </c>
      <c r="U65" s="7" t="str">
        <f ca="1">IFERROR(__xludf.DUMMYFUNCTION("SPARKLINE({
IF(E65="""",0,E65),
IF(G65="""",0,G65),
IF(I65="""",0,I65),
IF(K65="""",0,K65),
IF(M65="""",0,M65),
IF(O65="""",0,O65),
IF(Q65="""",0,Q65)
})"),"")</f>
        <v/>
      </c>
      <c r="V65" s="8" t="e">
        <f t="array" aca="1" ref="V65" ca="1">IF($C$4="Giao",_xludf.Xlookup(C65,#REF!,#REF!,),_xludf.Xlookup(C65,#REF!,#REF!,))</f>
        <v>#NAME?</v>
      </c>
      <c r="W65" s="8" t="e">
        <f t="array" aca="1" ref="W65" ca="1">IF($C$4="Giao", _xludf.Xlookup(C65,#REF!,#REF!,),_xludf.Xlookup(C65,#REF!,#REF!,))</f>
        <v>#NAME?</v>
      </c>
      <c r="X65" s="9" t="e">
        <f t="shared" ca="1" si="2"/>
        <v>#NAME?</v>
      </c>
      <c r="Y65" s="7"/>
      <c r="Z65" s="7"/>
    </row>
    <row r="66" spans="1:26" ht="13" x14ac:dyDescent="0.6">
      <c r="A66" s="28">
        <f t="shared" ca="1" si="1"/>
        <v>59</v>
      </c>
      <c r="B66" s="7" t="str">
        <f ca="1">IFERROR(__xludf.DUMMYFUNCTION("""COMPUTED_VALUE"""),"Quận 2")</f>
        <v>Quận 2</v>
      </c>
      <c r="C66" s="7" t="str">
        <f ca="1">IFERROR(__xludf.DUMMYFUNCTION("""COMPUTED_VALUE"""),"Bưu Cục Số 25 Đường 12-An Phú-Q.2-HCM")</f>
        <v>Bưu Cục Số 25 Đường 12-An Phú-Q.2-HCM</v>
      </c>
      <c r="D66" s="9">
        <f ca="1">IFERROR(__xludf.DUMMYFUNCTION("""COMPUTED_VALUE"""),564)</f>
        <v>564</v>
      </c>
      <c r="E66" s="9">
        <f ca="1">IFERROR(__xludf.DUMMYFUNCTION("""COMPUTED_VALUE"""),1522)</f>
        <v>1522</v>
      </c>
      <c r="F66" s="9">
        <f ca="1">IFERROR(__xludf.DUMMYFUNCTION("""COMPUTED_VALUE"""),450)</f>
        <v>450</v>
      </c>
      <c r="G66" s="9">
        <f ca="1">IFERROR(__xludf.DUMMYFUNCTION("""COMPUTED_VALUE"""),1519)</f>
        <v>1519</v>
      </c>
      <c r="H66" s="9">
        <f ca="1">IFERROR(__xludf.DUMMYFUNCTION("""COMPUTED_VALUE"""),451)</f>
        <v>451</v>
      </c>
      <c r="I66" s="9">
        <f ca="1">IFERROR(__xludf.DUMMYFUNCTION("""COMPUTED_VALUE"""),1536)</f>
        <v>1536</v>
      </c>
      <c r="J66" s="9">
        <f ca="1">IFERROR(__xludf.DUMMYFUNCTION("""COMPUTED_VALUE"""),592)</f>
        <v>592</v>
      </c>
      <c r="K66" s="9">
        <f ca="1">IFERROR(__xludf.DUMMYFUNCTION("""COMPUTED_VALUE"""),1599)</f>
        <v>1599</v>
      </c>
      <c r="L66" s="9">
        <f ca="1">IFERROR(__xludf.DUMMYFUNCTION("""COMPUTED_VALUE"""),148)</f>
        <v>148</v>
      </c>
      <c r="M66" s="9">
        <f ca="1">IFERROR(__xludf.DUMMYFUNCTION("""COMPUTED_VALUE"""),348)</f>
        <v>348</v>
      </c>
      <c r="N66" s="9">
        <f ca="1">IFERROR(__xludf.DUMMYFUNCTION("""COMPUTED_VALUE"""),500)</f>
        <v>500</v>
      </c>
      <c r="O66" s="9">
        <f ca="1">IFERROR(__xludf.DUMMYFUNCTION("""COMPUTED_VALUE"""),1649)</f>
        <v>1649</v>
      </c>
      <c r="P66" s="29">
        <f ca="1">IFERROR(__xludf.DUMMYFUNCTION("""COMPUTED_VALUE"""),640)</f>
        <v>640</v>
      </c>
      <c r="Q66" s="29">
        <f ca="1">IFERROR(__xludf.DUMMYFUNCTION("""COMPUTED_VALUE"""),1854)</f>
        <v>1854</v>
      </c>
      <c r="R66" s="7" t="str">
        <f ca="1">IFERROR(__xludf.DUMMYFUNCTION("""COMPUTED_VALUE"""),"Hồ Chí Minh")</f>
        <v>Hồ Chí Minh</v>
      </c>
      <c r="S66" s="7" t="str">
        <f ca="1">IFERROR(__xludf.DUMMYFUNCTION("""COMPUTED_VALUE"""),"Quận 2")</f>
        <v>Quận 2</v>
      </c>
      <c r="T66" s="7" t="str">
        <f ca="1">IFERROR(__xludf.DUMMYFUNCTION("SPARKLINE({
IF(D66="""",0,D66),
IF(F66="""",0,F66),
IF(H66="""",0,H66),
IF(J66="""",0,J66),
IF(L66="""",0,L66),
IF(N66="""",0,N66),
IF(P66="""",0,P66)
})"),"")</f>
        <v/>
      </c>
      <c r="U66" s="7" t="str">
        <f ca="1">IFERROR(__xludf.DUMMYFUNCTION("SPARKLINE({
IF(E66="""",0,E66),
IF(G66="""",0,G66),
IF(I66="""",0,I66),
IF(K66="""",0,K66),
IF(M66="""",0,M66),
IF(O66="""",0,O66),
IF(Q66="""",0,Q66)
})"),"")</f>
        <v/>
      </c>
      <c r="V66" s="30" t="e">
        <f t="array" aca="1" ref="V66" ca="1">IF($C$4="Giao",_xludf.Xlookup(C66,#REF!,#REF!,),_xludf.Xlookup(C66,#REF!,#REF!,))</f>
        <v>#NAME?</v>
      </c>
      <c r="W66" s="30" t="e">
        <f t="array" aca="1" ref="W66" ca="1">IF($C$4="Giao", _xludf.Xlookup(C66,#REF!,#REF!,),_xludf.Xlookup(C66,#REF!,#REF!,))</f>
        <v>#NAME?</v>
      </c>
      <c r="X66" s="9" t="e">
        <f t="shared" ca="1" si="2"/>
        <v>#NAME?</v>
      </c>
      <c r="Y66" s="7"/>
      <c r="Z66" s="7"/>
    </row>
    <row r="67" spans="1:26" ht="13" x14ac:dyDescent="0.6">
      <c r="A67" s="28">
        <f t="shared" ca="1" si="1"/>
        <v>60</v>
      </c>
      <c r="B67" s="7" t="str">
        <f ca="1">IFERROR(__xludf.DUMMYFUNCTION("""COMPUTED_VALUE"""),"Quận 3")</f>
        <v>Quận 3</v>
      </c>
      <c r="C67" s="7" t="str">
        <f ca="1">IFERROR(__xludf.DUMMYFUNCTION("""COMPUTED_VALUE"""),"Bưu Cục 195B Lý Chính Thắng-Q.3-HCM")</f>
        <v>Bưu Cục 195B Lý Chính Thắng-Q.3-HCM</v>
      </c>
      <c r="D67" s="9">
        <f ca="1">IFERROR(__xludf.DUMMYFUNCTION("""COMPUTED_VALUE"""),789)</f>
        <v>789</v>
      </c>
      <c r="E67" s="9">
        <f ca="1">IFERROR(__xludf.DUMMYFUNCTION("""COMPUTED_VALUE"""),1156)</f>
        <v>1156</v>
      </c>
      <c r="F67" s="9">
        <f ca="1">IFERROR(__xludf.DUMMYFUNCTION("""COMPUTED_VALUE"""),748)</f>
        <v>748</v>
      </c>
      <c r="G67" s="9">
        <f ca="1">IFERROR(__xludf.DUMMYFUNCTION("""COMPUTED_VALUE"""),1310)</f>
        <v>1310</v>
      </c>
      <c r="H67" s="9">
        <f ca="1">IFERROR(__xludf.DUMMYFUNCTION("""COMPUTED_VALUE"""),761)</f>
        <v>761</v>
      </c>
      <c r="I67" s="9">
        <f ca="1">IFERROR(__xludf.DUMMYFUNCTION("""COMPUTED_VALUE"""),1060)</f>
        <v>1060</v>
      </c>
      <c r="J67" s="9">
        <f ca="1">IFERROR(__xludf.DUMMYFUNCTION("""COMPUTED_VALUE"""),745)</f>
        <v>745</v>
      </c>
      <c r="K67" s="9">
        <f ca="1">IFERROR(__xludf.DUMMYFUNCTION("""COMPUTED_VALUE"""),1730)</f>
        <v>1730</v>
      </c>
      <c r="L67" s="9">
        <f ca="1">IFERROR(__xludf.DUMMYFUNCTION("""COMPUTED_VALUE"""),277)</f>
        <v>277</v>
      </c>
      <c r="M67" s="9">
        <f ca="1">IFERROR(__xludf.DUMMYFUNCTION("""COMPUTED_VALUE"""),342)</f>
        <v>342</v>
      </c>
      <c r="N67" s="9">
        <f ca="1">IFERROR(__xludf.DUMMYFUNCTION("""COMPUTED_VALUE"""),726)</f>
        <v>726</v>
      </c>
      <c r="O67" s="9">
        <f ca="1">IFERROR(__xludf.DUMMYFUNCTION("""COMPUTED_VALUE"""),789)</f>
        <v>789</v>
      </c>
      <c r="P67" s="29">
        <f ca="1">IFERROR(__xludf.DUMMYFUNCTION("""COMPUTED_VALUE"""),810)</f>
        <v>810</v>
      </c>
      <c r="Q67" s="29">
        <f ca="1">IFERROR(__xludf.DUMMYFUNCTION("""COMPUTED_VALUE"""),1620)</f>
        <v>1620</v>
      </c>
      <c r="R67" s="7" t="str">
        <f ca="1">IFERROR(__xludf.DUMMYFUNCTION("""COMPUTED_VALUE"""),"Hồ Chí Minh")</f>
        <v>Hồ Chí Minh</v>
      </c>
      <c r="S67" s="7" t="str">
        <f ca="1">IFERROR(__xludf.DUMMYFUNCTION("""COMPUTED_VALUE"""),"Quận 3")</f>
        <v>Quận 3</v>
      </c>
      <c r="T67" s="7" t="str">
        <f ca="1">IFERROR(__xludf.DUMMYFUNCTION("SPARKLINE({
IF(D67="""",0,D67),
IF(F67="""",0,F67),
IF(H67="""",0,H67),
IF(J67="""",0,J67),
IF(L67="""",0,L67),
IF(N67="""",0,N67),
IF(P67="""",0,P67)
})"),"")</f>
        <v/>
      </c>
      <c r="U67" s="7" t="str">
        <f ca="1">IFERROR(__xludf.DUMMYFUNCTION("SPARKLINE({
IF(E67="""",0,E67),
IF(G67="""",0,G67),
IF(I67="""",0,I67),
IF(K67="""",0,K67),
IF(M67="""",0,M67),
IF(O67="""",0,O67),
IF(Q67="""",0,Q67)
})"),"")</f>
        <v/>
      </c>
      <c r="V67" s="30" t="e">
        <f t="array" aca="1" ref="V67" ca="1">IF($C$4="Giao",_xludf.Xlookup(C67,#REF!,#REF!,),_xludf.Xlookup(C67,#REF!,#REF!,))</f>
        <v>#NAME?</v>
      </c>
      <c r="W67" s="30" t="e">
        <f t="array" aca="1" ref="W67" ca="1">IF($C$4="Giao", _xludf.Xlookup(C67,#REF!,#REF!,),_xludf.Xlookup(C67,#REF!,#REF!,))</f>
        <v>#NAME?</v>
      </c>
      <c r="X67" s="9" t="e">
        <f t="shared" ca="1" si="2"/>
        <v>#NAME?</v>
      </c>
      <c r="Y67" s="7"/>
      <c r="Z67" s="7"/>
    </row>
    <row r="68" spans="1:26" ht="13" x14ac:dyDescent="0.6">
      <c r="A68" s="28">
        <f t="shared" ca="1" si="1"/>
        <v>61</v>
      </c>
      <c r="B68" s="7" t="str">
        <f ca="1">IFERROR(__xludf.DUMMYFUNCTION("""COMPUTED_VALUE"""),"Quận 3")</f>
        <v>Quận 3</v>
      </c>
      <c r="C68" s="7" t="str">
        <f ca="1">IFERROR(__xludf.DUMMYFUNCTION("""COMPUTED_VALUE"""),"Bưu Cục 480F Cao Thắng - Trường Sa-Q.3-HCM")</f>
        <v>Bưu Cục 480F Cao Thắng - Trường Sa-Q.3-HCM</v>
      </c>
      <c r="D68" s="9">
        <f ca="1">IFERROR(__xludf.DUMMYFUNCTION("""COMPUTED_VALUE"""),1071)</f>
        <v>1071</v>
      </c>
      <c r="E68" s="9">
        <f ca="1">IFERROR(__xludf.DUMMYFUNCTION("""COMPUTED_VALUE"""),1461)</f>
        <v>1461</v>
      </c>
      <c r="F68" s="9">
        <f ca="1">IFERROR(__xludf.DUMMYFUNCTION("""COMPUTED_VALUE"""),839)</f>
        <v>839</v>
      </c>
      <c r="G68" s="9">
        <f ca="1">IFERROR(__xludf.DUMMYFUNCTION("""COMPUTED_VALUE"""),1434)</f>
        <v>1434</v>
      </c>
      <c r="H68" s="9">
        <f ca="1">IFERROR(__xludf.DUMMYFUNCTION("""COMPUTED_VALUE"""),1069)</f>
        <v>1069</v>
      </c>
      <c r="I68" s="9">
        <f ca="1">IFERROR(__xludf.DUMMYFUNCTION("""COMPUTED_VALUE"""),1839)</f>
        <v>1839</v>
      </c>
      <c r="J68" s="9">
        <f ca="1">IFERROR(__xludf.DUMMYFUNCTION("""COMPUTED_VALUE"""),992)</f>
        <v>992</v>
      </c>
      <c r="K68" s="9">
        <f ca="1">IFERROR(__xludf.DUMMYFUNCTION("""COMPUTED_VALUE"""),1555)</f>
        <v>1555</v>
      </c>
      <c r="L68" s="9">
        <f ca="1">IFERROR(__xludf.DUMMYFUNCTION("""COMPUTED_VALUE"""),409)</f>
        <v>409</v>
      </c>
      <c r="M68" s="9">
        <f ca="1">IFERROR(__xludf.DUMMYFUNCTION("""COMPUTED_VALUE"""),502)</f>
        <v>502</v>
      </c>
      <c r="N68" s="9">
        <f ca="1">IFERROR(__xludf.DUMMYFUNCTION("""COMPUTED_VALUE"""),1147)</f>
        <v>1147</v>
      </c>
      <c r="O68" s="9">
        <f ca="1">IFERROR(__xludf.DUMMYFUNCTION("""COMPUTED_VALUE"""),1958)</f>
        <v>1958</v>
      </c>
      <c r="P68" s="29">
        <f ca="1">IFERROR(__xludf.DUMMYFUNCTION("""COMPUTED_VALUE"""),924)</f>
        <v>924</v>
      </c>
      <c r="Q68" s="29">
        <f ca="1">IFERROR(__xludf.DUMMYFUNCTION("""COMPUTED_VALUE"""),1488)</f>
        <v>1488</v>
      </c>
      <c r="R68" s="7" t="str">
        <f ca="1">IFERROR(__xludf.DUMMYFUNCTION("""COMPUTED_VALUE"""),"Hồ Chí Minh")</f>
        <v>Hồ Chí Minh</v>
      </c>
      <c r="S68" s="7" t="str">
        <f ca="1">IFERROR(__xludf.DUMMYFUNCTION("""COMPUTED_VALUE"""),"Quận 3")</f>
        <v>Quận 3</v>
      </c>
      <c r="T68" s="7" t="str">
        <f ca="1">IFERROR(__xludf.DUMMYFUNCTION("SPARKLINE({
IF(D68="""",0,D68),
IF(F68="""",0,F68),
IF(H68="""",0,H68),
IF(J68="""",0,J68),
IF(L68="""",0,L68),
IF(N68="""",0,N68),
IF(P68="""",0,P68)
})"),"")</f>
        <v/>
      </c>
      <c r="U68" s="7" t="str">
        <f ca="1">IFERROR(__xludf.DUMMYFUNCTION("SPARKLINE({
IF(E68="""",0,E68),
IF(G68="""",0,G68),
IF(I68="""",0,I68),
IF(K68="""",0,K68),
IF(M68="""",0,M68),
IF(O68="""",0,O68),
IF(Q68="""",0,Q68)
})"),"")</f>
        <v/>
      </c>
      <c r="V68" s="30" t="e">
        <f t="array" aca="1" ref="V68" ca="1">IF($C$4="Giao",_xludf.Xlookup(C68,#REF!,#REF!,),_xludf.Xlookup(C68,#REF!,#REF!,))</f>
        <v>#NAME?</v>
      </c>
      <c r="W68" s="30" t="e">
        <f t="array" aca="1" ref="W68" ca="1">IF($C$4="Giao", _xludf.Xlookup(C68,#REF!,#REF!,),_xludf.Xlookup(C68,#REF!,#REF!,))</f>
        <v>#NAME?</v>
      </c>
      <c r="X68" s="9" t="e">
        <f t="shared" ca="1" si="2"/>
        <v>#NAME?</v>
      </c>
      <c r="Y68" s="7"/>
      <c r="Z68" s="7"/>
    </row>
    <row r="69" spans="1:26" ht="13" x14ac:dyDescent="0.6">
      <c r="A69" s="28">
        <f t="shared" ca="1" si="1"/>
        <v>62</v>
      </c>
      <c r="B69" s="7" t="str">
        <f ca="1">IFERROR(__xludf.DUMMYFUNCTION("""COMPUTED_VALUE"""),"Quận 3
Quận 5")</f>
        <v>Quận 3
Quận 5</v>
      </c>
      <c r="C69" s="7" t="str">
        <f ca="1">IFERROR(__xludf.DUMMYFUNCTION("""COMPUTED_VALUE"""),"Bưu Cục Hàng Vừa Quận 3 480F Cao Thắng-Q.10-HCM")</f>
        <v>Bưu Cục Hàng Vừa Quận 3 480F Cao Thắng-Q.10-HCM</v>
      </c>
      <c r="D69" s="9"/>
      <c r="E69" s="9"/>
      <c r="F69" s="9"/>
      <c r="G69" s="9"/>
      <c r="H69" s="9"/>
      <c r="I69" s="9"/>
      <c r="J69" s="9"/>
      <c r="K69" s="9"/>
      <c r="L69" s="9"/>
      <c r="M69" s="9"/>
      <c r="N69" s="9">
        <f ca="1">IFERROR(__xludf.DUMMYFUNCTION("""COMPUTED_VALUE"""),1)</f>
        <v>1</v>
      </c>
      <c r="O69" s="9">
        <f ca="1">IFERROR(__xludf.DUMMYFUNCTION("""COMPUTED_VALUE"""),10)</f>
        <v>10</v>
      </c>
      <c r="P69" s="29"/>
      <c r="Q69" s="29"/>
      <c r="R69" s="7" t="str">
        <f ca="1">IFERROR(__xludf.DUMMYFUNCTION("""COMPUTED_VALUE"""),"Hồ Chí Minh")</f>
        <v>Hồ Chí Minh</v>
      </c>
      <c r="S69" s="7" t="str">
        <f ca="1">IFERROR(__xludf.DUMMYFUNCTION("""COMPUTED_VALUE"""),"Quận 3
Quận 5")</f>
        <v>Quận 3
Quận 5</v>
      </c>
      <c r="T69" s="7" t="str">
        <f ca="1">IFERROR(__xludf.DUMMYFUNCTION("SPARKLINE({
IF(D69="""",0,D69),
IF(F69="""",0,F69),
IF(H69="""",0,H69),
IF(J69="""",0,J69),
IF(L69="""",0,L69),
IF(N69="""",0,N69),
IF(P69="""",0,P69)
})"),"")</f>
        <v/>
      </c>
      <c r="U69" s="7" t="str">
        <f ca="1">IFERROR(__xludf.DUMMYFUNCTION("SPARKLINE({
IF(E69="""",0,E69),
IF(G69="""",0,G69),
IF(I69="""",0,I69),
IF(K69="""",0,K69),
IF(M69="""",0,M69),
IF(O69="""",0,O69),
IF(Q69="""",0,Q69)
})"),"")</f>
        <v/>
      </c>
      <c r="V69" s="8" t="e">
        <f t="array" aca="1" ref="V69" ca="1">IF($C$4="Giao",_xludf.Xlookup(C69,#REF!,#REF!,),_xludf.Xlookup(C69,#REF!,#REF!,))</f>
        <v>#NAME?</v>
      </c>
      <c r="W69" s="30" t="e">
        <f t="array" aca="1" ref="W69" ca="1">IF($C$4="Giao", _xludf.Xlookup(C69,#REF!,#REF!,),_xludf.Xlookup(C69,#REF!,#REF!,))</f>
        <v>#NAME?</v>
      </c>
      <c r="X69" s="9" t="e">
        <f t="shared" ca="1" si="2"/>
        <v>#NAME?</v>
      </c>
      <c r="Y69" s="7"/>
      <c r="Z69" s="7"/>
    </row>
    <row r="70" spans="1:26" ht="13" x14ac:dyDescent="0.6">
      <c r="A70" s="28">
        <f t="shared" ca="1" si="1"/>
        <v>63</v>
      </c>
      <c r="B70" s="7" t="str">
        <f ca="1">IFERROR(__xludf.DUMMYFUNCTION("""COMPUTED_VALUE"""),"Quận 4")</f>
        <v>Quận 4</v>
      </c>
      <c r="C70" s="7" t="str">
        <f ca="1">IFERROR(__xludf.DUMMYFUNCTION("""COMPUTED_VALUE"""),"Bưu Cục 63 Vĩnh Hội-Q.4-HCM")</f>
        <v>Bưu Cục 63 Vĩnh Hội-Q.4-HCM</v>
      </c>
      <c r="D70" s="9">
        <f ca="1">IFERROR(__xludf.DUMMYFUNCTION("""COMPUTED_VALUE"""),542)</f>
        <v>542</v>
      </c>
      <c r="E70" s="9">
        <f ca="1">IFERROR(__xludf.DUMMYFUNCTION("""COMPUTED_VALUE"""),888)</f>
        <v>888</v>
      </c>
      <c r="F70" s="9">
        <f ca="1">IFERROR(__xludf.DUMMYFUNCTION("""COMPUTED_VALUE"""),424)</f>
        <v>424</v>
      </c>
      <c r="G70" s="9">
        <f ca="1">IFERROR(__xludf.DUMMYFUNCTION("""COMPUTED_VALUE"""),730)</f>
        <v>730</v>
      </c>
      <c r="H70" s="9">
        <f ca="1">IFERROR(__xludf.DUMMYFUNCTION("""COMPUTED_VALUE"""),421)</f>
        <v>421</v>
      </c>
      <c r="I70" s="9">
        <f ca="1">IFERROR(__xludf.DUMMYFUNCTION("""COMPUTED_VALUE"""),853)</f>
        <v>853</v>
      </c>
      <c r="J70" s="9">
        <f ca="1">IFERROR(__xludf.DUMMYFUNCTION("""COMPUTED_VALUE"""),447)</f>
        <v>447</v>
      </c>
      <c r="K70" s="9">
        <f ca="1">IFERROR(__xludf.DUMMYFUNCTION("""COMPUTED_VALUE"""),913)</f>
        <v>913</v>
      </c>
      <c r="L70" s="9">
        <f ca="1">IFERROR(__xludf.DUMMYFUNCTION("""COMPUTED_VALUE"""),291)</f>
        <v>291</v>
      </c>
      <c r="M70" s="9">
        <f ca="1">IFERROR(__xludf.DUMMYFUNCTION("""COMPUTED_VALUE"""),774)</f>
        <v>774</v>
      </c>
      <c r="N70" s="9">
        <f ca="1">IFERROR(__xludf.DUMMYFUNCTION("""COMPUTED_VALUE"""),508)</f>
        <v>508</v>
      </c>
      <c r="O70" s="9">
        <f ca="1">IFERROR(__xludf.DUMMYFUNCTION("""COMPUTED_VALUE"""),1074)</f>
        <v>1074</v>
      </c>
      <c r="P70" s="29">
        <f ca="1">IFERROR(__xludf.DUMMYFUNCTION("""COMPUTED_VALUE"""),491)</f>
        <v>491</v>
      </c>
      <c r="Q70" s="29">
        <f ca="1">IFERROR(__xludf.DUMMYFUNCTION("""COMPUTED_VALUE"""),1052)</f>
        <v>1052</v>
      </c>
      <c r="R70" s="7" t="str">
        <f ca="1">IFERROR(__xludf.DUMMYFUNCTION("""COMPUTED_VALUE"""),"Hồ Chí Minh")</f>
        <v>Hồ Chí Minh</v>
      </c>
      <c r="S70" s="7" t="str">
        <f ca="1">IFERROR(__xludf.DUMMYFUNCTION("""COMPUTED_VALUE"""),"Quận 4")</f>
        <v>Quận 4</v>
      </c>
      <c r="T70" s="7" t="str">
        <f ca="1">IFERROR(__xludf.DUMMYFUNCTION("SPARKLINE({
IF(D70="""",0,D70),
IF(F70="""",0,F70),
IF(H70="""",0,H70),
IF(J70="""",0,J70),
IF(L70="""",0,L70),
IF(N70="""",0,N70),
IF(P70="""",0,P70)
})"),"")</f>
        <v/>
      </c>
      <c r="U70" s="7" t="str">
        <f ca="1">IFERROR(__xludf.DUMMYFUNCTION("SPARKLINE({
IF(E70="""",0,E70),
IF(G70="""",0,G70),
IF(I70="""",0,I70),
IF(K70="""",0,K70),
IF(M70="""",0,M70),
IF(O70="""",0,O70),
IF(Q70="""",0,Q70)
})"),"")</f>
        <v/>
      </c>
      <c r="V70" s="30" t="e">
        <f t="array" aca="1" ref="V70" ca="1">IF($C$4="Giao",_xludf.Xlookup(C70,#REF!,#REF!,),_xludf.Xlookup(C70,#REF!,#REF!,))</f>
        <v>#NAME?</v>
      </c>
      <c r="W70" s="30" t="e">
        <f t="array" aca="1" ref="W70" ca="1">IF($C$4="Giao", _xludf.Xlookup(C70,#REF!,#REF!,),_xludf.Xlookup(C70,#REF!,#REF!,))</f>
        <v>#NAME?</v>
      </c>
      <c r="X70" s="9" t="e">
        <f t="shared" ca="1" si="2"/>
        <v>#NAME?</v>
      </c>
      <c r="Y70" s="7"/>
      <c r="Z70" s="7"/>
    </row>
    <row r="71" spans="1:26" ht="13" x14ac:dyDescent="0.6">
      <c r="A71" s="28">
        <f t="shared" ca="1" si="1"/>
        <v>64</v>
      </c>
      <c r="B71" s="7" t="str">
        <f ca="1">IFERROR(__xludf.DUMMYFUNCTION("""COMPUTED_VALUE"""),"Quận 4")</f>
        <v>Quận 4</v>
      </c>
      <c r="C71" s="7" t="str">
        <f ca="1">IFERROR(__xludf.DUMMYFUNCTION("""COMPUTED_VALUE"""),"Bưu Cục T30 Nguyễn Hữu Hào-Q.4-HCM")</f>
        <v>Bưu Cục T30 Nguyễn Hữu Hào-Q.4-HCM</v>
      </c>
      <c r="D71" s="9">
        <f ca="1">IFERROR(__xludf.DUMMYFUNCTION("""COMPUTED_VALUE"""),322)</f>
        <v>322</v>
      </c>
      <c r="E71" s="9">
        <f ca="1">IFERROR(__xludf.DUMMYFUNCTION("""COMPUTED_VALUE"""),343)</f>
        <v>343</v>
      </c>
      <c r="F71" s="9">
        <f ca="1">IFERROR(__xludf.DUMMYFUNCTION("""COMPUTED_VALUE"""),226)</f>
        <v>226</v>
      </c>
      <c r="G71" s="9">
        <f ca="1">IFERROR(__xludf.DUMMYFUNCTION("""COMPUTED_VALUE"""),367)</f>
        <v>367</v>
      </c>
      <c r="H71" s="9">
        <f ca="1">IFERROR(__xludf.DUMMYFUNCTION("""COMPUTED_VALUE"""),209)</f>
        <v>209</v>
      </c>
      <c r="I71" s="9">
        <f ca="1">IFERROR(__xludf.DUMMYFUNCTION("""COMPUTED_VALUE"""),330)</f>
        <v>330</v>
      </c>
      <c r="J71" s="9">
        <f ca="1">IFERROR(__xludf.DUMMYFUNCTION("""COMPUTED_VALUE"""),227)</f>
        <v>227</v>
      </c>
      <c r="K71" s="9">
        <f ca="1">IFERROR(__xludf.DUMMYFUNCTION("""COMPUTED_VALUE"""),307)</f>
        <v>307</v>
      </c>
      <c r="L71" s="9">
        <f ca="1">IFERROR(__xludf.DUMMYFUNCTION("""COMPUTED_VALUE"""),272)</f>
        <v>272</v>
      </c>
      <c r="M71" s="9">
        <f ca="1">IFERROR(__xludf.DUMMYFUNCTION("""COMPUTED_VALUE"""),279)</f>
        <v>279</v>
      </c>
      <c r="N71" s="9">
        <f ca="1">IFERROR(__xludf.DUMMYFUNCTION("""COMPUTED_VALUE"""),239)</f>
        <v>239</v>
      </c>
      <c r="O71" s="9">
        <f ca="1">IFERROR(__xludf.DUMMYFUNCTION("""COMPUTED_VALUE"""),332)</f>
        <v>332</v>
      </c>
      <c r="P71" s="29">
        <f ca="1">IFERROR(__xludf.DUMMYFUNCTION("""COMPUTED_VALUE"""),255)</f>
        <v>255</v>
      </c>
      <c r="Q71" s="29">
        <f ca="1">IFERROR(__xludf.DUMMYFUNCTION("""COMPUTED_VALUE"""),429)</f>
        <v>429</v>
      </c>
      <c r="R71" s="7" t="str">
        <f ca="1">IFERROR(__xludf.DUMMYFUNCTION("""COMPUTED_VALUE"""),"Hồ Chí Minh")</f>
        <v>Hồ Chí Minh</v>
      </c>
      <c r="S71" s="7" t="str">
        <f ca="1">IFERROR(__xludf.DUMMYFUNCTION("""COMPUTED_VALUE"""),"Quận 4")</f>
        <v>Quận 4</v>
      </c>
      <c r="T71" s="7" t="str">
        <f ca="1">IFERROR(__xludf.DUMMYFUNCTION("SPARKLINE({
IF(D71="""",0,D71),
IF(F71="""",0,F71),
IF(H71="""",0,H71),
IF(J71="""",0,J71),
IF(L71="""",0,L71),
IF(N71="""",0,N71),
IF(P71="""",0,P71)
})"),"")</f>
        <v/>
      </c>
      <c r="U71" s="7" t="str">
        <f ca="1">IFERROR(__xludf.DUMMYFUNCTION("SPARKLINE({
IF(E71="""",0,E71),
IF(G71="""",0,G71),
IF(I71="""",0,I71),
IF(K71="""",0,K71),
IF(M71="""",0,M71),
IF(O71="""",0,O71),
IF(Q71="""",0,Q71)
})"),"")</f>
        <v/>
      </c>
      <c r="V71" s="30" t="e">
        <f t="array" aca="1" ref="V71" ca="1">IF($C$4="Giao",_xludf.Xlookup(C71,#REF!,#REF!,),_xludf.Xlookup(C71,#REF!,#REF!,))</f>
        <v>#NAME?</v>
      </c>
      <c r="W71" s="30" t="e">
        <f t="array" aca="1" ref="W71" ca="1">IF($C$4="Giao", _xludf.Xlookup(C71,#REF!,#REF!,),_xludf.Xlookup(C71,#REF!,#REF!,))</f>
        <v>#NAME?</v>
      </c>
      <c r="X71" s="9" t="e">
        <f t="shared" ca="1" si="2"/>
        <v>#NAME?</v>
      </c>
      <c r="Y71" s="7"/>
      <c r="Z71" s="7"/>
    </row>
    <row r="72" spans="1:26" ht="13" x14ac:dyDescent="0.6">
      <c r="A72" s="28">
        <f t="shared" ca="1" si="1"/>
        <v>65</v>
      </c>
      <c r="B72" s="7" t="str">
        <f ca="1">IFERROR(__xludf.DUMMYFUNCTION("""COMPUTED_VALUE"""),"Quận 5")</f>
        <v>Quận 5</v>
      </c>
      <c r="C72" s="7" t="str">
        <f ca="1">IFERROR(__xludf.DUMMYFUNCTION("""COMPUTED_VALUE"""),"Bưu Cục 117 Hùng Vương-Q.5-HCM")</f>
        <v>Bưu Cục 117 Hùng Vương-Q.5-HCM</v>
      </c>
      <c r="D72" s="9">
        <f ca="1">IFERROR(__xludf.DUMMYFUNCTION("""COMPUTED_VALUE"""),803)</f>
        <v>803</v>
      </c>
      <c r="E72" s="9">
        <f ca="1">IFERROR(__xludf.DUMMYFUNCTION("""COMPUTED_VALUE"""),1319)</f>
        <v>1319</v>
      </c>
      <c r="F72" s="9">
        <f ca="1">IFERROR(__xludf.DUMMYFUNCTION("""COMPUTED_VALUE"""),527)</f>
        <v>527</v>
      </c>
      <c r="G72" s="9">
        <f ca="1">IFERROR(__xludf.DUMMYFUNCTION("""COMPUTED_VALUE"""),867)</f>
        <v>867</v>
      </c>
      <c r="H72" s="9">
        <f ca="1">IFERROR(__xludf.DUMMYFUNCTION("""COMPUTED_VALUE"""),516)</f>
        <v>516</v>
      </c>
      <c r="I72" s="9">
        <f ca="1">IFERROR(__xludf.DUMMYFUNCTION("""COMPUTED_VALUE"""),1251)</f>
        <v>1251</v>
      </c>
      <c r="J72" s="9">
        <f ca="1">IFERROR(__xludf.DUMMYFUNCTION("""COMPUTED_VALUE"""),526)</f>
        <v>526</v>
      </c>
      <c r="K72" s="9">
        <f ca="1">IFERROR(__xludf.DUMMYFUNCTION("""COMPUTED_VALUE"""),1209)</f>
        <v>1209</v>
      </c>
      <c r="L72" s="9">
        <f ca="1">IFERROR(__xludf.DUMMYFUNCTION("""COMPUTED_VALUE"""),305)</f>
        <v>305</v>
      </c>
      <c r="M72" s="9">
        <f ca="1">IFERROR(__xludf.DUMMYFUNCTION("""COMPUTED_VALUE"""),314)</f>
        <v>314</v>
      </c>
      <c r="N72" s="9">
        <f ca="1">IFERROR(__xludf.DUMMYFUNCTION("""COMPUTED_VALUE"""),498)</f>
        <v>498</v>
      </c>
      <c r="O72" s="9">
        <f ca="1">IFERROR(__xludf.DUMMYFUNCTION("""COMPUTED_VALUE"""),1013)</f>
        <v>1013</v>
      </c>
      <c r="P72" s="29">
        <f ca="1">IFERROR(__xludf.DUMMYFUNCTION("""COMPUTED_VALUE"""),491)</f>
        <v>491</v>
      </c>
      <c r="Q72" s="29">
        <f ca="1">IFERROR(__xludf.DUMMYFUNCTION("""COMPUTED_VALUE"""),783)</f>
        <v>783</v>
      </c>
      <c r="R72" s="7" t="str">
        <f ca="1">IFERROR(__xludf.DUMMYFUNCTION("""COMPUTED_VALUE"""),"Hồ Chí Minh")</f>
        <v>Hồ Chí Minh</v>
      </c>
      <c r="S72" s="7" t="str">
        <f ca="1">IFERROR(__xludf.DUMMYFUNCTION("""COMPUTED_VALUE"""),"Quận 5")</f>
        <v>Quận 5</v>
      </c>
      <c r="T72" s="7" t="str">
        <f ca="1">IFERROR(__xludf.DUMMYFUNCTION("SPARKLINE({
IF(D72="""",0,D72),
IF(F72="""",0,F72),
IF(H72="""",0,H72),
IF(J72="""",0,J72),
IF(L72="""",0,L72),
IF(N72="""",0,N72),
IF(P72="""",0,P72)
})"),"")</f>
        <v/>
      </c>
      <c r="U72" s="7" t="str">
        <f ca="1">IFERROR(__xludf.DUMMYFUNCTION("SPARKLINE({
IF(E72="""",0,E72),
IF(G72="""",0,G72),
IF(I72="""",0,I72),
IF(K72="""",0,K72),
IF(M72="""",0,M72),
IF(O72="""",0,O72),
IF(Q72="""",0,Q72)
})"),"")</f>
        <v/>
      </c>
      <c r="V72" s="30" t="e">
        <f t="array" aca="1" ref="V72" ca="1">IF($C$4="Giao",_xludf.Xlookup(C72,#REF!,#REF!,),_xludf.Xlookup(C72,#REF!,#REF!,))</f>
        <v>#NAME?</v>
      </c>
      <c r="W72" s="30" t="e">
        <f t="array" aca="1" ref="W72" ca="1">IF($C$4="Giao", _xludf.Xlookup(C72,#REF!,#REF!,),_xludf.Xlookup(C72,#REF!,#REF!,))</f>
        <v>#NAME?</v>
      </c>
      <c r="X72" s="9" t="e">
        <f t="shared" ca="1" si="2"/>
        <v>#NAME?</v>
      </c>
      <c r="Y72" s="7"/>
      <c r="Z72" s="7"/>
    </row>
    <row r="73" spans="1:26" ht="13" x14ac:dyDescent="0.6">
      <c r="A73" s="28">
        <f t="shared" ca="1" si="1"/>
        <v>66</v>
      </c>
      <c r="B73" s="7" t="str">
        <f ca="1">IFERROR(__xludf.DUMMYFUNCTION("""COMPUTED_VALUE"""),"Quận 5")</f>
        <v>Quận 5</v>
      </c>
      <c r="C73" s="7" t="str">
        <f ca="1">IFERROR(__xludf.DUMMYFUNCTION("""COMPUTED_VALUE"""),"Bưu Cục 63 Ký Hòa-Q.5-HCM")</f>
        <v>Bưu Cục 63 Ký Hòa-Q.5-HCM</v>
      </c>
      <c r="D73" s="9">
        <f ca="1">IFERROR(__xludf.DUMMYFUNCTION("""COMPUTED_VALUE"""),1481)</f>
        <v>1481</v>
      </c>
      <c r="E73" s="9">
        <f ca="1">IFERROR(__xludf.DUMMYFUNCTION("""COMPUTED_VALUE"""),4757)</f>
        <v>4757</v>
      </c>
      <c r="F73" s="9">
        <f ca="1">IFERROR(__xludf.DUMMYFUNCTION("""COMPUTED_VALUE"""),1243)</f>
        <v>1243</v>
      </c>
      <c r="G73" s="9">
        <f ca="1">IFERROR(__xludf.DUMMYFUNCTION("""COMPUTED_VALUE"""),5480)</f>
        <v>5480</v>
      </c>
      <c r="H73" s="9">
        <f ca="1">IFERROR(__xludf.DUMMYFUNCTION("""COMPUTED_VALUE"""),1315)</f>
        <v>1315</v>
      </c>
      <c r="I73" s="9">
        <f ca="1">IFERROR(__xludf.DUMMYFUNCTION("""COMPUTED_VALUE"""),4345)</f>
        <v>4345</v>
      </c>
      <c r="J73" s="9">
        <f ca="1">IFERROR(__xludf.DUMMYFUNCTION("""COMPUTED_VALUE"""),1474)</f>
        <v>1474</v>
      </c>
      <c r="K73" s="9">
        <f ca="1">IFERROR(__xludf.DUMMYFUNCTION("""COMPUTED_VALUE"""),5711)</f>
        <v>5711</v>
      </c>
      <c r="L73" s="9">
        <f ca="1">IFERROR(__xludf.DUMMYFUNCTION("""COMPUTED_VALUE"""),611)</f>
        <v>611</v>
      </c>
      <c r="M73" s="9">
        <f ca="1">IFERROR(__xludf.DUMMYFUNCTION("""COMPUTED_VALUE"""),1365)</f>
        <v>1365</v>
      </c>
      <c r="N73" s="9">
        <f ca="1">IFERROR(__xludf.DUMMYFUNCTION("""COMPUTED_VALUE"""),1567)</f>
        <v>1567</v>
      </c>
      <c r="O73" s="9">
        <f ca="1">IFERROR(__xludf.DUMMYFUNCTION("""COMPUTED_VALUE"""),6511)</f>
        <v>6511</v>
      </c>
      <c r="P73" s="29">
        <f ca="1">IFERROR(__xludf.DUMMYFUNCTION("""COMPUTED_VALUE"""),1283)</f>
        <v>1283</v>
      </c>
      <c r="Q73" s="29">
        <f ca="1">IFERROR(__xludf.DUMMYFUNCTION("""COMPUTED_VALUE"""),4594)</f>
        <v>4594</v>
      </c>
      <c r="R73" s="7" t="str">
        <f ca="1">IFERROR(__xludf.DUMMYFUNCTION("""COMPUTED_VALUE"""),"Hồ Chí Minh")</f>
        <v>Hồ Chí Minh</v>
      </c>
      <c r="S73" s="7" t="str">
        <f ca="1">IFERROR(__xludf.DUMMYFUNCTION("""COMPUTED_VALUE"""),"Quận 5")</f>
        <v>Quận 5</v>
      </c>
      <c r="T73" s="7" t="str">
        <f ca="1">IFERROR(__xludf.DUMMYFUNCTION("SPARKLINE({
IF(D73="""",0,D73),
IF(F73="""",0,F73),
IF(H73="""",0,H73),
IF(J73="""",0,J73),
IF(L73="""",0,L73),
IF(N73="""",0,N73),
IF(P73="""",0,P73)
})"),"")</f>
        <v/>
      </c>
      <c r="U73" s="7" t="str">
        <f ca="1">IFERROR(__xludf.DUMMYFUNCTION("SPARKLINE({
IF(E73="""",0,E73),
IF(G73="""",0,G73),
IF(I73="""",0,I73),
IF(K73="""",0,K73),
IF(M73="""",0,M73),
IF(O73="""",0,O73),
IF(Q73="""",0,Q73)
})"),"")</f>
        <v/>
      </c>
      <c r="V73" s="30" t="e">
        <f t="array" aca="1" ref="V73" ca="1">IF($C$4="Giao",_xludf.Xlookup(C73,#REF!,#REF!,),_xludf.Xlookup(C73,#REF!,#REF!,))</f>
        <v>#NAME?</v>
      </c>
      <c r="W73" s="30" t="e">
        <f t="array" aca="1" ref="W73" ca="1">IF($C$4="Giao", _xludf.Xlookup(C73,#REF!,#REF!,),_xludf.Xlookup(C73,#REF!,#REF!,))</f>
        <v>#NAME?</v>
      </c>
      <c r="X73" s="9" t="e">
        <f t="shared" ca="1" si="2"/>
        <v>#NAME?</v>
      </c>
      <c r="Y73" s="7"/>
      <c r="Z73" s="7"/>
    </row>
    <row r="74" spans="1:26" ht="13" x14ac:dyDescent="0.6">
      <c r="A74" s="28">
        <f t="shared" ca="1" si="1"/>
        <v>67</v>
      </c>
      <c r="B74" s="7" t="str">
        <f ca="1">IFERROR(__xludf.DUMMYFUNCTION("""COMPUTED_VALUE"""),"Quận 6")</f>
        <v>Quận 6</v>
      </c>
      <c r="C74" s="7" t="str">
        <f ca="1">IFERROR(__xludf.DUMMYFUNCTION("""COMPUTED_VALUE"""),"Bưu Cục 116A Bà Hom-Phường 13-Quận 6-HCM")</f>
        <v>Bưu Cục 116A Bà Hom-Phường 13-Quận 6-HCM</v>
      </c>
      <c r="D74" s="9">
        <f ca="1">IFERROR(__xludf.DUMMYFUNCTION("""COMPUTED_VALUE"""),1465)</f>
        <v>1465</v>
      </c>
      <c r="E74" s="9">
        <f ca="1">IFERROR(__xludf.DUMMYFUNCTION("""COMPUTED_VALUE"""),2777)</f>
        <v>2777</v>
      </c>
      <c r="F74" s="9">
        <f ca="1">IFERROR(__xludf.DUMMYFUNCTION("""COMPUTED_VALUE"""),1605)</f>
        <v>1605</v>
      </c>
      <c r="G74" s="9">
        <f ca="1">IFERROR(__xludf.DUMMYFUNCTION("""COMPUTED_VALUE"""),3148)</f>
        <v>3148</v>
      </c>
      <c r="H74" s="9">
        <f ca="1">IFERROR(__xludf.DUMMYFUNCTION("""COMPUTED_VALUE"""),1342)</f>
        <v>1342</v>
      </c>
      <c r="I74" s="9">
        <f ca="1">IFERROR(__xludf.DUMMYFUNCTION("""COMPUTED_VALUE"""),2935)</f>
        <v>2935</v>
      </c>
      <c r="J74" s="9">
        <f ca="1">IFERROR(__xludf.DUMMYFUNCTION("""COMPUTED_VALUE"""),1209)</f>
        <v>1209</v>
      </c>
      <c r="K74" s="9">
        <f ca="1">IFERROR(__xludf.DUMMYFUNCTION("""COMPUTED_VALUE"""),3376)</f>
        <v>3376</v>
      </c>
      <c r="L74" s="9">
        <f ca="1">IFERROR(__xludf.DUMMYFUNCTION("""COMPUTED_VALUE"""),613)</f>
        <v>613</v>
      </c>
      <c r="M74" s="9">
        <f ca="1">IFERROR(__xludf.DUMMYFUNCTION("""COMPUTED_VALUE"""),737)</f>
        <v>737</v>
      </c>
      <c r="N74" s="9">
        <f ca="1">IFERROR(__xludf.DUMMYFUNCTION("""COMPUTED_VALUE"""),1387)</f>
        <v>1387</v>
      </c>
      <c r="O74" s="9">
        <f ca="1">IFERROR(__xludf.DUMMYFUNCTION("""COMPUTED_VALUE"""),2443)</f>
        <v>2443</v>
      </c>
      <c r="P74" s="29">
        <f ca="1">IFERROR(__xludf.DUMMYFUNCTION("""COMPUTED_VALUE"""),1443)</f>
        <v>1443</v>
      </c>
      <c r="Q74" s="29">
        <f ca="1">IFERROR(__xludf.DUMMYFUNCTION("""COMPUTED_VALUE"""),2668)</f>
        <v>2668</v>
      </c>
      <c r="R74" s="7" t="str">
        <f ca="1">IFERROR(__xludf.DUMMYFUNCTION("""COMPUTED_VALUE"""),"Hồ Chí Minh")</f>
        <v>Hồ Chí Minh</v>
      </c>
      <c r="S74" s="7" t="str">
        <f ca="1">IFERROR(__xludf.DUMMYFUNCTION("""COMPUTED_VALUE"""),"Quận 6")</f>
        <v>Quận 6</v>
      </c>
      <c r="T74" s="7" t="str">
        <f ca="1">IFERROR(__xludf.DUMMYFUNCTION("SPARKLINE({
IF(D74="""",0,D74),
IF(F74="""",0,F74),
IF(H74="""",0,H74),
IF(J74="""",0,J74),
IF(L74="""",0,L74),
IF(N74="""",0,N74),
IF(P74="""",0,P74)
})"),"")</f>
        <v/>
      </c>
      <c r="U74" s="7" t="str">
        <f ca="1">IFERROR(__xludf.DUMMYFUNCTION("SPARKLINE({
IF(E74="""",0,E74),
IF(G74="""",0,G74),
IF(I74="""",0,I74),
IF(K74="""",0,K74),
IF(M74="""",0,M74),
IF(O74="""",0,O74),
IF(Q74="""",0,Q74)
})"),"")</f>
        <v/>
      </c>
      <c r="V74" s="30" t="e">
        <f t="array" aca="1" ref="V74" ca="1">IF($C$4="Giao",_xludf.Xlookup(C74,#REF!,#REF!,),_xludf.Xlookup(C74,#REF!,#REF!,))</f>
        <v>#NAME?</v>
      </c>
      <c r="W74" s="30" t="e">
        <f t="array" aca="1" ref="W74" ca="1">IF($C$4="Giao", _xludf.Xlookup(C74,#REF!,#REF!,),_xludf.Xlookup(C74,#REF!,#REF!,))</f>
        <v>#NAME?</v>
      </c>
      <c r="X74" s="9" t="e">
        <f t="shared" ca="1" si="2"/>
        <v>#NAME?</v>
      </c>
      <c r="Y74" s="7"/>
      <c r="Z74" s="7"/>
    </row>
    <row r="75" spans="1:26" ht="13" x14ac:dyDescent="0.6">
      <c r="A75" s="28">
        <f t="shared" ca="1" si="1"/>
        <v>68</v>
      </c>
      <c r="B75" s="7" t="str">
        <f ca="1">IFERROR(__xludf.DUMMYFUNCTION("""COMPUTED_VALUE"""),"Quận 6")</f>
        <v>Quận 6</v>
      </c>
      <c r="C75" s="7" t="str">
        <f ca="1">IFERROR(__xludf.DUMMYFUNCTION("""COMPUTED_VALUE"""),"Bưu Cục 119 Nguyễn Văn Luông-Q.6-HCM")</f>
        <v>Bưu Cục 119 Nguyễn Văn Luông-Q.6-HCM</v>
      </c>
      <c r="D75" s="9">
        <f ca="1">IFERROR(__xludf.DUMMYFUNCTION("""COMPUTED_VALUE"""),1566)</f>
        <v>1566</v>
      </c>
      <c r="E75" s="9">
        <f ca="1">IFERROR(__xludf.DUMMYFUNCTION("""COMPUTED_VALUE"""),10061)</f>
        <v>10061</v>
      </c>
      <c r="F75" s="9">
        <f ca="1">IFERROR(__xludf.DUMMYFUNCTION("""COMPUTED_VALUE"""),1305)</f>
        <v>1305</v>
      </c>
      <c r="G75" s="9">
        <f ca="1">IFERROR(__xludf.DUMMYFUNCTION("""COMPUTED_VALUE"""),8589)</f>
        <v>8589</v>
      </c>
      <c r="H75" s="9">
        <f ca="1">IFERROR(__xludf.DUMMYFUNCTION("""COMPUTED_VALUE"""),1310)</f>
        <v>1310</v>
      </c>
      <c r="I75" s="9">
        <f ca="1">IFERROR(__xludf.DUMMYFUNCTION("""COMPUTED_VALUE"""),8129)</f>
        <v>8129</v>
      </c>
      <c r="J75" s="9">
        <f ca="1">IFERROR(__xludf.DUMMYFUNCTION("""COMPUTED_VALUE"""),1479)</f>
        <v>1479</v>
      </c>
      <c r="K75" s="9">
        <f ca="1">IFERROR(__xludf.DUMMYFUNCTION("""COMPUTED_VALUE"""),10013)</f>
        <v>10013</v>
      </c>
      <c r="L75" s="9">
        <f ca="1">IFERROR(__xludf.DUMMYFUNCTION("""COMPUTED_VALUE"""),588)</f>
        <v>588</v>
      </c>
      <c r="M75" s="9">
        <f ca="1">IFERROR(__xludf.DUMMYFUNCTION("""COMPUTED_VALUE"""),3699)</f>
        <v>3699</v>
      </c>
      <c r="N75" s="9">
        <f ca="1">IFERROR(__xludf.DUMMYFUNCTION("""COMPUTED_VALUE"""),1659)</f>
        <v>1659</v>
      </c>
      <c r="O75" s="9">
        <f ca="1">IFERROR(__xludf.DUMMYFUNCTION("""COMPUTED_VALUE"""),9153)</f>
        <v>9153</v>
      </c>
      <c r="P75" s="29">
        <f ca="1">IFERROR(__xludf.DUMMYFUNCTION("""COMPUTED_VALUE"""),1539)</f>
        <v>1539</v>
      </c>
      <c r="Q75" s="29">
        <f ca="1">IFERROR(__xludf.DUMMYFUNCTION("""COMPUTED_VALUE"""),8824)</f>
        <v>8824</v>
      </c>
      <c r="R75" s="7" t="str">
        <f ca="1">IFERROR(__xludf.DUMMYFUNCTION("""COMPUTED_VALUE"""),"Hồ Chí Minh")</f>
        <v>Hồ Chí Minh</v>
      </c>
      <c r="S75" s="7" t="str">
        <f ca="1">IFERROR(__xludf.DUMMYFUNCTION("""COMPUTED_VALUE"""),"Quận 6")</f>
        <v>Quận 6</v>
      </c>
      <c r="T75" s="7" t="str">
        <f ca="1">IFERROR(__xludf.DUMMYFUNCTION("SPARKLINE({
IF(D75="""",0,D75),
IF(F75="""",0,F75),
IF(H75="""",0,H75),
IF(J75="""",0,J75),
IF(L75="""",0,L75),
IF(N75="""",0,N75),
IF(P75="""",0,P75)
})"),"")</f>
        <v/>
      </c>
      <c r="U75" s="7" t="str">
        <f ca="1">IFERROR(__xludf.DUMMYFUNCTION("SPARKLINE({
IF(E75="""",0,E75),
IF(G75="""",0,G75),
IF(I75="""",0,I75),
IF(K75="""",0,K75),
IF(M75="""",0,M75),
IF(O75="""",0,O75),
IF(Q75="""",0,Q75)
})"),"")</f>
        <v/>
      </c>
      <c r="V75" s="30" t="e">
        <f t="array" aca="1" ref="V75" ca="1">IF($C$4="Giao",_xludf.Xlookup(C75,#REF!,#REF!,),_xludf.Xlookup(C75,#REF!,#REF!,))</f>
        <v>#NAME?</v>
      </c>
      <c r="W75" s="30" t="e">
        <f t="array" aca="1" ref="W75" ca="1">IF($C$4="Giao", _xludf.Xlookup(C75,#REF!,#REF!,),_xludf.Xlookup(C75,#REF!,#REF!,))</f>
        <v>#NAME?</v>
      </c>
      <c r="X75" s="9" t="e">
        <f t="shared" ca="1" si="2"/>
        <v>#NAME?</v>
      </c>
      <c r="Y75" s="7"/>
      <c r="Z75" s="7"/>
    </row>
    <row r="76" spans="1:26" ht="13" x14ac:dyDescent="0.6">
      <c r="A76" s="28">
        <f t="shared" ca="1" si="1"/>
        <v>69</v>
      </c>
      <c r="B76" s="7" t="str">
        <f ca="1">IFERROR(__xludf.DUMMYFUNCTION("""COMPUTED_VALUE"""),"Quận 7")</f>
        <v>Quận 7</v>
      </c>
      <c r="C76" s="7" t="str">
        <f ca="1">IFERROR(__xludf.DUMMYFUNCTION("""COMPUTED_VALUE"""),"Bưu Cục 20 Đường số 81-Q.7-HCM")</f>
        <v>Bưu Cục 20 Đường số 81-Q.7-HCM</v>
      </c>
      <c r="D76" s="9">
        <f ca="1">IFERROR(__xludf.DUMMYFUNCTION("""COMPUTED_VALUE"""),414)</f>
        <v>414</v>
      </c>
      <c r="E76" s="9">
        <f ca="1">IFERROR(__xludf.DUMMYFUNCTION("""COMPUTED_VALUE"""),2099)</f>
        <v>2099</v>
      </c>
      <c r="F76" s="9">
        <f ca="1">IFERROR(__xludf.DUMMYFUNCTION("""COMPUTED_VALUE"""),394)</f>
        <v>394</v>
      </c>
      <c r="G76" s="9">
        <f ca="1">IFERROR(__xludf.DUMMYFUNCTION("""COMPUTED_VALUE"""),2764)</f>
        <v>2764</v>
      </c>
      <c r="H76" s="9">
        <f ca="1">IFERROR(__xludf.DUMMYFUNCTION("""COMPUTED_VALUE"""),405)</f>
        <v>405</v>
      </c>
      <c r="I76" s="9">
        <f ca="1">IFERROR(__xludf.DUMMYFUNCTION("""COMPUTED_VALUE"""),2402)</f>
        <v>2402</v>
      </c>
      <c r="J76" s="9">
        <f ca="1">IFERROR(__xludf.DUMMYFUNCTION("""COMPUTED_VALUE"""),434)</f>
        <v>434</v>
      </c>
      <c r="K76" s="9">
        <f ca="1">IFERROR(__xludf.DUMMYFUNCTION("""COMPUTED_VALUE"""),5258)</f>
        <v>5258</v>
      </c>
      <c r="L76" s="9">
        <f ca="1">IFERROR(__xludf.DUMMYFUNCTION("""COMPUTED_VALUE"""),125)</f>
        <v>125</v>
      </c>
      <c r="M76" s="9">
        <f ca="1">IFERROR(__xludf.DUMMYFUNCTION("""COMPUTED_VALUE"""),355)</f>
        <v>355</v>
      </c>
      <c r="N76" s="9">
        <f ca="1">IFERROR(__xludf.DUMMYFUNCTION("""COMPUTED_VALUE"""),283)</f>
        <v>283</v>
      </c>
      <c r="O76" s="9">
        <f ca="1">IFERROR(__xludf.DUMMYFUNCTION("""COMPUTED_VALUE"""),3046)</f>
        <v>3046</v>
      </c>
      <c r="P76" s="29">
        <f ca="1">IFERROR(__xludf.DUMMYFUNCTION("""COMPUTED_VALUE"""),442)</f>
        <v>442</v>
      </c>
      <c r="Q76" s="29">
        <f ca="1">IFERROR(__xludf.DUMMYFUNCTION("""COMPUTED_VALUE"""),2804)</f>
        <v>2804</v>
      </c>
      <c r="R76" s="7" t="str">
        <f ca="1">IFERROR(__xludf.DUMMYFUNCTION("""COMPUTED_VALUE"""),"Hồ Chí Minh")</f>
        <v>Hồ Chí Minh</v>
      </c>
      <c r="S76" s="7" t="str">
        <f ca="1">IFERROR(__xludf.DUMMYFUNCTION("""COMPUTED_VALUE"""),"Quận 7")</f>
        <v>Quận 7</v>
      </c>
      <c r="T76" s="7" t="str">
        <f ca="1">IFERROR(__xludf.DUMMYFUNCTION("SPARKLINE({
IF(D76="""",0,D76),
IF(F76="""",0,F76),
IF(H76="""",0,H76),
IF(J76="""",0,J76),
IF(L76="""",0,L76),
IF(N76="""",0,N76),
IF(P76="""",0,P76)
})"),"")</f>
        <v/>
      </c>
      <c r="U76" s="7" t="str">
        <f ca="1">IFERROR(__xludf.DUMMYFUNCTION("SPARKLINE({
IF(E76="""",0,E76),
IF(G76="""",0,G76),
IF(I76="""",0,I76),
IF(K76="""",0,K76),
IF(M76="""",0,M76),
IF(O76="""",0,O76),
IF(Q76="""",0,Q76)
})"),"")</f>
        <v/>
      </c>
      <c r="V76" s="30" t="e">
        <f t="array" aca="1" ref="V76" ca="1">IF($C$4="Giao",_xludf.Xlookup(C76,#REF!,#REF!,),_xludf.Xlookup(C76,#REF!,#REF!,))</f>
        <v>#NAME?</v>
      </c>
      <c r="W76" s="30" t="e">
        <f t="array" aca="1" ref="W76" ca="1">IF($C$4="Giao", _xludf.Xlookup(C76,#REF!,#REF!,),_xludf.Xlookup(C76,#REF!,#REF!,))</f>
        <v>#NAME?</v>
      </c>
      <c r="X76" s="9" t="e">
        <f t="shared" ca="1" si="2"/>
        <v>#NAME?</v>
      </c>
      <c r="Y76" s="7"/>
      <c r="Z76" s="7"/>
    </row>
    <row r="77" spans="1:26" ht="13" x14ac:dyDescent="0.6">
      <c r="A77" s="28">
        <f t="shared" ca="1" si="1"/>
        <v>70</v>
      </c>
      <c r="B77" s="7" t="str">
        <f ca="1">IFERROR(__xludf.DUMMYFUNCTION("""COMPUTED_VALUE"""),"Quận 7")</f>
        <v>Quận 7</v>
      </c>
      <c r="C77" s="7" t="str">
        <f ca="1">IFERROR(__xludf.DUMMYFUNCTION("""COMPUTED_VALUE"""),"Bưu Cục 31-31A Lý Phục Man-Bình Thuận-Quận 7-HCM")</f>
        <v>Bưu Cục 31-31A Lý Phục Man-Bình Thuận-Quận 7-HCM</v>
      </c>
      <c r="D77" s="9">
        <f ca="1">IFERROR(__xludf.DUMMYFUNCTION("""COMPUTED_VALUE"""),2107)</f>
        <v>2107</v>
      </c>
      <c r="E77" s="9">
        <f ca="1">IFERROR(__xludf.DUMMYFUNCTION("""COMPUTED_VALUE"""),8499)</f>
        <v>8499</v>
      </c>
      <c r="F77" s="9">
        <f ca="1">IFERROR(__xludf.DUMMYFUNCTION("""COMPUTED_VALUE"""),773)</f>
        <v>773</v>
      </c>
      <c r="G77" s="9">
        <f ca="1">IFERROR(__xludf.DUMMYFUNCTION("""COMPUTED_VALUE"""),2711)</f>
        <v>2711</v>
      </c>
      <c r="H77" s="9">
        <f ca="1">IFERROR(__xludf.DUMMYFUNCTION("""COMPUTED_VALUE"""),553)</f>
        <v>553</v>
      </c>
      <c r="I77" s="9">
        <f ca="1">IFERROR(__xludf.DUMMYFUNCTION("""COMPUTED_VALUE"""),2103)</f>
        <v>2103</v>
      </c>
      <c r="J77" s="9">
        <f ca="1">IFERROR(__xludf.DUMMYFUNCTION("""COMPUTED_VALUE"""),859)</f>
        <v>859</v>
      </c>
      <c r="K77" s="9">
        <f ca="1">IFERROR(__xludf.DUMMYFUNCTION("""COMPUTED_VALUE"""),7737)</f>
        <v>7737</v>
      </c>
      <c r="L77" s="9">
        <f ca="1">IFERROR(__xludf.DUMMYFUNCTION("""COMPUTED_VALUE"""),260)</f>
        <v>260</v>
      </c>
      <c r="M77" s="9">
        <f ca="1">IFERROR(__xludf.DUMMYFUNCTION("""COMPUTED_VALUE"""),1466)</f>
        <v>1466</v>
      </c>
      <c r="N77" s="9">
        <f ca="1">IFERROR(__xludf.DUMMYFUNCTION("""COMPUTED_VALUE"""),952)</f>
        <v>952</v>
      </c>
      <c r="O77" s="9">
        <f ca="1">IFERROR(__xludf.DUMMYFUNCTION("""COMPUTED_VALUE"""),5907)</f>
        <v>5907</v>
      </c>
      <c r="P77" s="29">
        <f ca="1">IFERROR(__xludf.DUMMYFUNCTION("""COMPUTED_VALUE"""),517)</f>
        <v>517</v>
      </c>
      <c r="Q77" s="29">
        <f ca="1">IFERROR(__xludf.DUMMYFUNCTION("""COMPUTED_VALUE"""),1725)</f>
        <v>1725</v>
      </c>
      <c r="R77" s="7" t="str">
        <f ca="1">IFERROR(__xludf.DUMMYFUNCTION("""COMPUTED_VALUE"""),"Hồ Chí Minh")</f>
        <v>Hồ Chí Minh</v>
      </c>
      <c r="S77" s="7" t="str">
        <f ca="1">IFERROR(__xludf.DUMMYFUNCTION("""COMPUTED_VALUE"""),"Quận 7")</f>
        <v>Quận 7</v>
      </c>
      <c r="T77" s="7" t="str">
        <f ca="1">IFERROR(__xludf.DUMMYFUNCTION("SPARKLINE({
IF(D77="""",0,D77),
IF(F77="""",0,F77),
IF(H77="""",0,H77),
IF(J77="""",0,J77),
IF(L77="""",0,L77),
IF(N77="""",0,N77),
IF(P77="""",0,P77)
})"),"")</f>
        <v/>
      </c>
      <c r="U77" s="7" t="str">
        <f ca="1">IFERROR(__xludf.DUMMYFUNCTION("SPARKLINE({
IF(E77="""",0,E77),
IF(G77="""",0,G77),
IF(I77="""",0,I77),
IF(K77="""",0,K77),
IF(M77="""",0,M77),
IF(O77="""",0,O77),
IF(Q77="""",0,Q77)
})"),"")</f>
        <v/>
      </c>
      <c r="V77" s="30" t="e">
        <f t="array" aca="1" ref="V77" ca="1">IF($C$4="Giao",_xludf.Xlookup(C77,#REF!,#REF!,),_xludf.Xlookup(C77,#REF!,#REF!,))</f>
        <v>#NAME?</v>
      </c>
      <c r="W77" s="30" t="e">
        <f t="array" aca="1" ref="W77" ca="1">IF($C$4="Giao", _xludf.Xlookup(C77,#REF!,#REF!,),_xludf.Xlookup(C77,#REF!,#REF!,))</f>
        <v>#NAME?</v>
      </c>
      <c r="X77" s="9" t="e">
        <f t="shared" ca="1" si="2"/>
        <v>#NAME?</v>
      </c>
      <c r="Y77" s="7"/>
      <c r="Z77" s="7"/>
    </row>
    <row r="78" spans="1:26" ht="13" x14ac:dyDescent="0.6">
      <c r="A78" s="28">
        <f t="shared" ca="1" si="1"/>
        <v>71</v>
      </c>
      <c r="B78" s="7" t="str">
        <f ca="1">IFERROR(__xludf.DUMMYFUNCTION("""COMPUTED_VALUE"""),"Quận 7")</f>
        <v>Quận 7</v>
      </c>
      <c r="C78" s="7" t="str">
        <f ca="1">IFERROR(__xludf.DUMMYFUNCTION("""COMPUTED_VALUE"""),"Bưu cục 78 Đường số 4-Q.7-HCM")</f>
        <v>Bưu cục 78 Đường số 4-Q.7-HCM</v>
      </c>
      <c r="D78" s="9">
        <f ca="1">IFERROR(__xludf.DUMMYFUNCTION("""COMPUTED_VALUE"""),958)</f>
        <v>958</v>
      </c>
      <c r="E78" s="9">
        <f ca="1">IFERROR(__xludf.DUMMYFUNCTION("""COMPUTED_VALUE"""),3076)</f>
        <v>3076</v>
      </c>
      <c r="F78" s="9">
        <f ca="1">IFERROR(__xludf.DUMMYFUNCTION("""COMPUTED_VALUE"""),906)</f>
        <v>906</v>
      </c>
      <c r="G78" s="9">
        <f ca="1">IFERROR(__xludf.DUMMYFUNCTION("""COMPUTED_VALUE"""),2418)</f>
        <v>2418</v>
      </c>
      <c r="H78" s="9">
        <f ca="1">IFERROR(__xludf.DUMMYFUNCTION("""COMPUTED_VALUE"""),837)</f>
        <v>837</v>
      </c>
      <c r="I78" s="9">
        <f ca="1">IFERROR(__xludf.DUMMYFUNCTION("""COMPUTED_VALUE"""),2788)</f>
        <v>2788</v>
      </c>
      <c r="J78" s="9">
        <f ca="1">IFERROR(__xludf.DUMMYFUNCTION("""COMPUTED_VALUE"""),877)</f>
        <v>877</v>
      </c>
      <c r="K78" s="9">
        <f ca="1">IFERROR(__xludf.DUMMYFUNCTION("""COMPUTED_VALUE"""),3876)</f>
        <v>3876</v>
      </c>
      <c r="L78" s="9">
        <f ca="1">IFERROR(__xludf.DUMMYFUNCTION("""COMPUTED_VALUE"""),258)</f>
        <v>258</v>
      </c>
      <c r="M78" s="9">
        <f ca="1">IFERROR(__xludf.DUMMYFUNCTION("""COMPUTED_VALUE"""),636)</f>
        <v>636</v>
      </c>
      <c r="N78" s="9">
        <f ca="1">IFERROR(__xludf.DUMMYFUNCTION("""COMPUTED_VALUE"""),837)</f>
        <v>837</v>
      </c>
      <c r="O78" s="9">
        <f ca="1">IFERROR(__xludf.DUMMYFUNCTION("""COMPUTED_VALUE"""),2997)</f>
        <v>2997</v>
      </c>
      <c r="P78" s="29">
        <f ca="1">IFERROR(__xludf.DUMMYFUNCTION("""COMPUTED_VALUE"""),839)</f>
        <v>839</v>
      </c>
      <c r="Q78" s="29">
        <f ca="1">IFERROR(__xludf.DUMMYFUNCTION("""COMPUTED_VALUE"""),2437)</f>
        <v>2437</v>
      </c>
      <c r="R78" s="7" t="str">
        <f ca="1">IFERROR(__xludf.DUMMYFUNCTION("""COMPUTED_VALUE"""),"Hồ Chí Minh")</f>
        <v>Hồ Chí Minh</v>
      </c>
      <c r="S78" s="7" t="str">
        <f ca="1">IFERROR(__xludf.DUMMYFUNCTION("""COMPUTED_VALUE"""),"Quận 7")</f>
        <v>Quận 7</v>
      </c>
      <c r="T78" s="7" t="str">
        <f ca="1">IFERROR(__xludf.DUMMYFUNCTION("SPARKLINE({
IF(D78="""",0,D78),
IF(F78="""",0,F78),
IF(H78="""",0,H78),
IF(J78="""",0,J78),
IF(L78="""",0,L78),
IF(N78="""",0,N78),
IF(P78="""",0,P78)
})"),"")</f>
        <v/>
      </c>
      <c r="U78" s="7" t="str">
        <f ca="1">IFERROR(__xludf.DUMMYFUNCTION("SPARKLINE({
IF(E78="""",0,E78),
IF(G78="""",0,G78),
IF(I78="""",0,I78),
IF(K78="""",0,K78),
IF(M78="""",0,M78),
IF(O78="""",0,O78),
IF(Q78="""",0,Q78)
})"),"")</f>
        <v/>
      </c>
      <c r="V78" s="30" t="e">
        <f t="array" aca="1" ref="V78" ca="1">IF($C$4="Giao",_xludf.Xlookup(C78,#REF!,#REF!,),_xludf.Xlookup(C78,#REF!,#REF!,))</f>
        <v>#NAME?</v>
      </c>
      <c r="W78" s="30" t="e">
        <f t="array" aca="1" ref="W78" ca="1">IF($C$4="Giao", _xludf.Xlookup(C78,#REF!,#REF!,),_xludf.Xlookup(C78,#REF!,#REF!,))</f>
        <v>#NAME?</v>
      </c>
      <c r="X78" s="9" t="e">
        <f t="shared" ca="1" si="2"/>
        <v>#NAME?</v>
      </c>
      <c r="Y78" s="7"/>
      <c r="Z78" s="7"/>
    </row>
    <row r="79" spans="1:26" ht="13" x14ac:dyDescent="0.6">
      <c r="A79" s="28">
        <f t="shared" ca="1" si="1"/>
        <v>72</v>
      </c>
      <c r="B79" s="7" t="str">
        <f ca="1">IFERROR(__xludf.DUMMYFUNCTION("""COMPUTED_VALUE"""),"Quận 7")</f>
        <v>Quận 7</v>
      </c>
      <c r="C79" s="7" t="str">
        <f ca="1">IFERROR(__xludf.DUMMYFUNCTION("""COMPUTED_VALUE"""),"Bưu Cục 860/36 Huỳnh Tấn Phát-Q.7-HCM")</f>
        <v>Bưu Cục 860/36 Huỳnh Tấn Phát-Q.7-HCM</v>
      </c>
      <c r="D79" s="9">
        <f ca="1">IFERROR(__xludf.DUMMYFUNCTION("""COMPUTED_VALUE"""),288)</f>
        <v>288</v>
      </c>
      <c r="E79" s="9">
        <f ca="1">IFERROR(__xludf.DUMMYFUNCTION("""COMPUTED_VALUE"""),1414)</f>
        <v>1414</v>
      </c>
      <c r="F79" s="9">
        <f ca="1">IFERROR(__xludf.DUMMYFUNCTION("""COMPUTED_VALUE"""),185)</f>
        <v>185</v>
      </c>
      <c r="G79" s="9">
        <f ca="1">IFERROR(__xludf.DUMMYFUNCTION("""COMPUTED_VALUE"""),804)</f>
        <v>804</v>
      </c>
      <c r="H79" s="9">
        <f ca="1">IFERROR(__xludf.DUMMYFUNCTION("""COMPUTED_VALUE"""),162)</f>
        <v>162</v>
      </c>
      <c r="I79" s="9">
        <f ca="1">IFERROR(__xludf.DUMMYFUNCTION("""COMPUTED_VALUE"""),518)</f>
        <v>518</v>
      </c>
      <c r="J79" s="9">
        <f ca="1">IFERROR(__xludf.DUMMYFUNCTION("""COMPUTED_VALUE"""),205)</f>
        <v>205</v>
      </c>
      <c r="K79" s="9">
        <f ca="1">IFERROR(__xludf.DUMMYFUNCTION("""COMPUTED_VALUE"""),1211)</f>
        <v>1211</v>
      </c>
      <c r="L79" s="9">
        <f ca="1">IFERROR(__xludf.DUMMYFUNCTION("""COMPUTED_VALUE"""),49)</f>
        <v>49</v>
      </c>
      <c r="M79" s="9">
        <f ca="1">IFERROR(__xludf.DUMMYFUNCTION("""COMPUTED_VALUE"""),209)</f>
        <v>209</v>
      </c>
      <c r="N79" s="9">
        <f ca="1">IFERROR(__xludf.DUMMYFUNCTION("""COMPUTED_VALUE"""),137)</f>
        <v>137</v>
      </c>
      <c r="O79" s="9">
        <f ca="1">IFERROR(__xludf.DUMMYFUNCTION("""COMPUTED_VALUE"""),444)</f>
        <v>444</v>
      </c>
      <c r="P79" s="29">
        <f ca="1">IFERROR(__xludf.DUMMYFUNCTION("""COMPUTED_VALUE"""),325)</f>
        <v>325</v>
      </c>
      <c r="Q79" s="29">
        <f ca="1">IFERROR(__xludf.DUMMYFUNCTION("""COMPUTED_VALUE"""),1215)</f>
        <v>1215</v>
      </c>
      <c r="R79" s="7" t="str">
        <f ca="1">IFERROR(__xludf.DUMMYFUNCTION("""COMPUTED_VALUE"""),"Hồ Chí Minh")</f>
        <v>Hồ Chí Minh</v>
      </c>
      <c r="S79" s="7" t="str">
        <f ca="1">IFERROR(__xludf.DUMMYFUNCTION("""COMPUTED_VALUE"""),"Quận 7")</f>
        <v>Quận 7</v>
      </c>
      <c r="T79" s="7" t="str">
        <f ca="1">IFERROR(__xludf.DUMMYFUNCTION("SPARKLINE({
IF(D79="""",0,D79),
IF(F79="""",0,F79),
IF(H79="""",0,H79),
IF(J79="""",0,J79),
IF(L79="""",0,L79),
IF(N79="""",0,N79),
IF(P79="""",0,P79)
})"),"")</f>
        <v/>
      </c>
      <c r="U79" s="7" t="str">
        <f ca="1">IFERROR(__xludf.DUMMYFUNCTION("SPARKLINE({
IF(E79="""",0,E79),
IF(G79="""",0,G79),
IF(I79="""",0,I79),
IF(K79="""",0,K79),
IF(M79="""",0,M79),
IF(O79="""",0,O79),
IF(Q79="""",0,Q79)
})"),"")</f>
        <v/>
      </c>
      <c r="V79" s="30" t="e">
        <f t="array" aca="1" ref="V79" ca="1">IF($C$4="Giao",_xludf.Xlookup(C79,#REF!,#REF!,),_xludf.Xlookup(C79,#REF!,#REF!,))</f>
        <v>#NAME?</v>
      </c>
      <c r="W79" s="30" t="e">
        <f t="array" aca="1" ref="W79" ca="1">IF($C$4="Giao", _xludf.Xlookup(C79,#REF!,#REF!,),_xludf.Xlookup(C79,#REF!,#REF!,))</f>
        <v>#NAME?</v>
      </c>
      <c r="X79" s="9" t="e">
        <f t="shared" ca="1" si="2"/>
        <v>#NAME?</v>
      </c>
      <c r="Y79" s="7"/>
      <c r="Z79" s="7"/>
    </row>
    <row r="80" spans="1:26" ht="13" x14ac:dyDescent="0.6">
      <c r="A80" s="28">
        <f t="shared" ca="1" si="1"/>
        <v>73</v>
      </c>
      <c r="B80" s="7" t="str">
        <f ca="1">IFERROR(__xludf.DUMMYFUNCTION("""COMPUTED_VALUE"""),"Quận 7")</f>
        <v>Quận 7</v>
      </c>
      <c r="C80" s="7" t="str">
        <f ca="1">IFERROR(__xludf.DUMMYFUNCTION("""COMPUTED_VALUE"""),"Bưu Cục A5 KDC Tân Thuận Nam-Phú Thuận-Quận 7-HCM")</f>
        <v>Bưu Cục A5 KDC Tân Thuận Nam-Phú Thuận-Quận 7-HCM</v>
      </c>
      <c r="D80" s="9">
        <f ca="1">IFERROR(__xludf.DUMMYFUNCTION("""COMPUTED_VALUE"""),853)</f>
        <v>853</v>
      </c>
      <c r="E80" s="9">
        <f ca="1">IFERROR(__xludf.DUMMYFUNCTION("""COMPUTED_VALUE"""),5175)</f>
        <v>5175</v>
      </c>
      <c r="F80" s="9">
        <f ca="1">IFERROR(__xludf.DUMMYFUNCTION("""COMPUTED_VALUE"""),603)</f>
        <v>603</v>
      </c>
      <c r="G80" s="9">
        <f ca="1">IFERROR(__xludf.DUMMYFUNCTION("""COMPUTED_VALUE"""),4235)</f>
        <v>4235</v>
      </c>
      <c r="H80" s="9">
        <f ca="1">IFERROR(__xludf.DUMMYFUNCTION("""COMPUTED_VALUE"""),729)</f>
        <v>729</v>
      </c>
      <c r="I80" s="9">
        <f ca="1">IFERROR(__xludf.DUMMYFUNCTION("""COMPUTED_VALUE"""),5780)</f>
        <v>5780</v>
      </c>
      <c r="J80" s="9">
        <f ca="1">IFERROR(__xludf.DUMMYFUNCTION("""COMPUTED_VALUE"""),1023)</f>
        <v>1023</v>
      </c>
      <c r="K80" s="9">
        <f ca="1">IFERROR(__xludf.DUMMYFUNCTION("""COMPUTED_VALUE"""),17696)</f>
        <v>17696</v>
      </c>
      <c r="L80" s="9">
        <f ca="1">IFERROR(__xludf.DUMMYFUNCTION("""COMPUTED_VALUE"""),419)</f>
        <v>419</v>
      </c>
      <c r="M80" s="9">
        <f ca="1">IFERROR(__xludf.DUMMYFUNCTION("""COMPUTED_VALUE"""),1748)</f>
        <v>1748</v>
      </c>
      <c r="N80" s="9">
        <f ca="1">IFERROR(__xludf.DUMMYFUNCTION("""COMPUTED_VALUE"""),907)</f>
        <v>907</v>
      </c>
      <c r="O80" s="9">
        <f ca="1">IFERROR(__xludf.DUMMYFUNCTION("""COMPUTED_VALUE"""),9876)</f>
        <v>9876</v>
      </c>
      <c r="P80" s="29">
        <f ca="1">IFERROR(__xludf.DUMMYFUNCTION("""COMPUTED_VALUE"""),720)</f>
        <v>720</v>
      </c>
      <c r="Q80" s="29">
        <f ca="1">IFERROR(__xludf.DUMMYFUNCTION("""COMPUTED_VALUE"""),3807)</f>
        <v>3807</v>
      </c>
      <c r="R80" s="7" t="str">
        <f ca="1">IFERROR(__xludf.DUMMYFUNCTION("""COMPUTED_VALUE"""),"Hồ Chí Minh")</f>
        <v>Hồ Chí Minh</v>
      </c>
      <c r="S80" s="7" t="str">
        <f ca="1">IFERROR(__xludf.DUMMYFUNCTION("""COMPUTED_VALUE"""),"Quận 7")</f>
        <v>Quận 7</v>
      </c>
      <c r="T80" s="7" t="str">
        <f ca="1">IFERROR(__xludf.DUMMYFUNCTION("SPARKLINE({
IF(D80="""",0,D80),
IF(F80="""",0,F80),
IF(H80="""",0,H80),
IF(J80="""",0,J80),
IF(L80="""",0,L80),
IF(N80="""",0,N80),
IF(P80="""",0,P80)
})"),"")</f>
        <v/>
      </c>
      <c r="U80" s="7" t="str">
        <f ca="1">IFERROR(__xludf.DUMMYFUNCTION("SPARKLINE({
IF(E80="""",0,E80),
IF(G80="""",0,G80),
IF(I80="""",0,I80),
IF(K80="""",0,K80),
IF(M80="""",0,M80),
IF(O80="""",0,O80),
IF(Q80="""",0,Q80)
})"),"")</f>
        <v/>
      </c>
      <c r="V80" s="30" t="e">
        <f t="array" aca="1" ref="V80" ca="1">IF($C$4="Giao",_xludf.Xlookup(C80,#REF!,#REF!,),_xludf.Xlookup(C80,#REF!,#REF!,))</f>
        <v>#NAME?</v>
      </c>
      <c r="W80" s="30" t="e">
        <f t="array" aca="1" ref="W80" ca="1">IF($C$4="Giao", _xludf.Xlookup(C80,#REF!,#REF!,),_xludf.Xlookup(C80,#REF!,#REF!,))</f>
        <v>#NAME?</v>
      </c>
      <c r="X80" s="9" t="e">
        <f t="shared" ca="1" si="2"/>
        <v>#NAME?</v>
      </c>
      <c r="Y80" s="7"/>
      <c r="Z80" s="7"/>
    </row>
    <row r="81" spans="1:26" ht="13" x14ac:dyDescent="0.6">
      <c r="A81" s="28">
        <f t="shared" ca="1" si="1"/>
        <v>74</v>
      </c>
      <c r="B81" s="7" t="str">
        <f ca="1">IFERROR(__xludf.DUMMYFUNCTION("""COMPUTED_VALUE"""),"Quận 7")</f>
        <v>Quận 7</v>
      </c>
      <c r="C81" s="7" t="str">
        <f ca="1">IFERROR(__xludf.DUMMYFUNCTION("""COMPUTED_VALUE"""),"Bưu Cục Hàng Vừa Q.7 Kho 01 Số 860/36 Huỳnh Tấn Phát-Q.7-HCM")</f>
        <v>Bưu Cục Hàng Vừa Q.7 Kho 01 Số 860/36 Huỳnh Tấn Phát-Q.7-HCM</v>
      </c>
      <c r="D81" s="9"/>
      <c r="E81" s="9"/>
      <c r="F81" s="9"/>
      <c r="G81" s="9"/>
      <c r="H81" s="9"/>
      <c r="I81" s="9"/>
      <c r="J81" s="9"/>
      <c r="K81" s="9"/>
      <c r="L81" s="9"/>
      <c r="M81" s="9"/>
      <c r="N81" s="9"/>
      <c r="O81" s="9"/>
      <c r="P81" s="29">
        <f ca="1">IFERROR(__xludf.DUMMYFUNCTION("""COMPUTED_VALUE"""),1)</f>
        <v>1</v>
      </c>
      <c r="Q81" s="29">
        <f ca="1">IFERROR(__xludf.DUMMYFUNCTION("""COMPUTED_VALUE"""),36)</f>
        <v>36</v>
      </c>
      <c r="R81" s="7" t="str">
        <f ca="1">IFERROR(__xludf.DUMMYFUNCTION("""COMPUTED_VALUE"""),"Hồ Chí Minh")</f>
        <v>Hồ Chí Minh</v>
      </c>
      <c r="S81" s="7" t="str">
        <f ca="1">IFERROR(__xludf.DUMMYFUNCTION("""COMPUTED_VALUE"""),"Quận 7")</f>
        <v>Quận 7</v>
      </c>
      <c r="T81" s="7" t="str">
        <f ca="1">IFERROR(__xludf.DUMMYFUNCTION("SPARKLINE({
IF(D81="""",0,D81),
IF(F81="""",0,F81),
IF(H81="""",0,H81),
IF(J81="""",0,J81),
IF(L81="""",0,L81),
IF(N81="""",0,N81),
IF(P81="""",0,P81)
})"),"")</f>
        <v/>
      </c>
      <c r="U81" s="7" t="str">
        <f ca="1">IFERROR(__xludf.DUMMYFUNCTION("SPARKLINE({
IF(E81="""",0,E81),
IF(G81="""",0,G81),
IF(I81="""",0,I81),
IF(K81="""",0,K81),
IF(M81="""",0,M81),
IF(O81="""",0,O81),
IF(Q81="""",0,Q81)
})"),"")</f>
        <v/>
      </c>
      <c r="V81" s="8" t="e">
        <f t="array" aca="1" ref="V81" ca="1">IF($C$4="Giao",_xludf.Xlookup(C81,#REF!,#REF!,),_xludf.Xlookup(C81,#REF!,#REF!,))</f>
        <v>#NAME?</v>
      </c>
      <c r="W81" s="8" t="e">
        <f t="array" aca="1" ref="W81" ca="1">IF($C$4="Giao", _xludf.Xlookup(C81,#REF!,#REF!,),_xludf.Xlookup(C81,#REF!,#REF!,))</f>
        <v>#NAME?</v>
      </c>
      <c r="X81" s="9" t="e">
        <f t="shared" ca="1" si="2"/>
        <v>#NAME?</v>
      </c>
      <c r="Y81" s="7"/>
      <c r="Z81" s="7"/>
    </row>
    <row r="82" spans="1:26" ht="13" x14ac:dyDescent="0.6">
      <c r="A82" s="28">
        <f t="shared" ca="1" si="1"/>
        <v>75</v>
      </c>
      <c r="B82" s="7" t="str">
        <f ca="1">IFERROR(__xludf.DUMMYFUNCTION("""COMPUTED_VALUE"""),"Quận 8")</f>
        <v>Quận 8</v>
      </c>
      <c r="C82" s="7" t="str">
        <f ca="1">IFERROR(__xludf.DUMMYFUNCTION("""COMPUTED_VALUE"""),"Bưu Cục 291A Nguyễn Duy-Q.8-HCM")</f>
        <v>Bưu Cục 291A Nguyễn Duy-Q.8-HCM</v>
      </c>
      <c r="D82" s="9">
        <f ca="1">IFERROR(__xludf.DUMMYFUNCTION("""COMPUTED_VALUE"""),701)</f>
        <v>701</v>
      </c>
      <c r="E82" s="9">
        <f ca="1">IFERROR(__xludf.DUMMYFUNCTION("""COMPUTED_VALUE"""),2110)</f>
        <v>2110</v>
      </c>
      <c r="F82" s="9">
        <f ca="1">IFERROR(__xludf.DUMMYFUNCTION("""COMPUTED_VALUE"""),619)</f>
        <v>619</v>
      </c>
      <c r="G82" s="9">
        <f ca="1">IFERROR(__xludf.DUMMYFUNCTION("""COMPUTED_VALUE"""),1751)</f>
        <v>1751</v>
      </c>
      <c r="H82" s="9">
        <f ca="1">IFERROR(__xludf.DUMMYFUNCTION("""COMPUTED_VALUE"""),544)</f>
        <v>544</v>
      </c>
      <c r="I82" s="9">
        <f ca="1">IFERROR(__xludf.DUMMYFUNCTION("""COMPUTED_VALUE"""),1726)</f>
        <v>1726</v>
      </c>
      <c r="J82" s="9">
        <f ca="1">IFERROR(__xludf.DUMMYFUNCTION("""COMPUTED_VALUE"""),571)</f>
        <v>571</v>
      </c>
      <c r="K82" s="9">
        <f ca="1">IFERROR(__xludf.DUMMYFUNCTION("""COMPUTED_VALUE"""),1966)</f>
        <v>1966</v>
      </c>
      <c r="L82" s="9">
        <f ca="1">IFERROR(__xludf.DUMMYFUNCTION("""COMPUTED_VALUE"""),229)</f>
        <v>229</v>
      </c>
      <c r="M82" s="9">
        <f ca="1">IFERROR(__xludf.DUMMYFUNCTION("""COMPUTED_VALUE"""),770)</f>
        <v>770</v>
      </c>
      <c r="N82" s="9">
        <f ca="1">IFERROR(__xludf.DUMMYFUNCTION("""COMPUTED_VALUE"""),637)</f>
        <v>637</v>
      </c>
      <c r="O82" s="9">
        <f ca="1">IFERROR(__xludf.DUMMYFUNCTION("""COMPUTED_VALUE"""),2480)</f>
        <v>2480</v>
      </c>
      <c r="P82" s="29">
        <f ca="1">IFERROR(__xludf.DUMMYFUNCTION("""COMPUTED_VALUE"""),516)</f>
        <v>516</v>
      </c>
      <c r="Q82" s="29">
        <f ca="1">IFERROR(__xludf.DUMMYFUNCTION("""COMPUTED_VALUE"""),1641)</f>
        <v>1641</v>
      </c>
      <c r="R82" s="7" t="str">
        <f ca="1">IFERROR(__xludf.DUMMYFUNCTION("""COMPUTED_VALUE"""),"Hồ Chí Minh")</f>
        <v>Hồ Chí Minh</v>
      </c>
      <c r="S82" s="7" t="str">
        <f ca="1">IFERROR(__xludf.DUMMYFUNCTION("""COMPUTED_VALUE"""),"Quận 8")</f>
        <v>Quận 8</v>
      </c>
      <c r="T82" s="7" t="str">
        <f ca="1">IFERROR(__xludf.DUMMYFUNCTION("SPARKLINE({
IF(D82="""",0,D82),
IF(F82="""",0,F82),
IF(H82="""",0,H82),
IF(J82="""",0,J82),
IF(L82="""",0,L82),
IF(N82="""",0,N82),
IF(P82="""",0,P82)
})"),"")</f>
        <v/>
      </c>
      <c r="U82" s="7" t="str">
        <f ca="1">IFERROR(__xludf.DUMMYFUNCTION("SPARKLINE({
IF(E82="""",0,E82),
IF(G82="""",0,G82),
IF(I82="""",0,I82),
IF(K82="""",0,K82),
IF(M82="""",0,M82),
IF(O82="""",0,O82),
IF(Q82="""",0,Q82)
})"),"")</f>
        <v/>
      </c>
      <c r="V82" s="30" t="e">
        <f t="array" aca="1" ref="V82" ca="1">IF($C$4="Giao",_xludf.Xlookup(C82,#REF!,#REF!,),_xludf.Xlookup(C82,#REF!,#REF!,))</f>
        <v>#NAME?</v>
      </c>
      <c r="W82" s="30" t="e">
        <f t="array" aca="1" ref="W82" ca="1">IF($C$4="Giao", _xludf.Xlookup(C82,#REF!,#REF!,),_xludf.Xlookup(C82,#REF!,#REF!,))</f>
        <v>#NAME?</v>
      </c>
      <c r="X82" s="9" t="e">
        <f t="shared" ca="1" si="2"/>
        <v>#NAME?</v>
      </c>
      <c r="Y82" s="7"/>
      <c r="Z82" s="7"/>
    </row>
    <row r="83" spans="1:26" ht="13" x14ac:dyDescent="0.6">
      <c r="A83" s="28">
        <f t="shared" ca="1" si="1"/>
        <v>76</v>
      </c>
      <c r="B83" s="7" t="str">
        <f ca="1">IFERROR(__xludf.DUMMYFUNCTION("""COMPUTED_VALUE"""),"Quận 8")</f>
        <v>Quận 8</v>
      </c>
      <c r="C83" s="7" t="str">
        <f ca="1">IFERROR(__xludf.DUMMYFUNCTION("""COMPUTED_VALUE"""),"Bưu Cục 2999 Phạm Thế Hiển-Q.8-HCM")</f>
        <v>Bưu Cục 2999 Phạm Thế Hiển-Q.8-HCM</v>
      </c>
      <c r="D83" s="9">
        <f ca="1">IFERROR(__xludf.DUMMYFUNCTION("""COMPUTED_VALUE"""),1710)</f>
        <v>1710</v>
      </c>
      <c r="E83" s="9">
        <f ca="1">IFERROR(__xludf.DUMMYFUNCTION("""COMPUTED_VALUE"""),3078)</f>
        <v>3078</v>
      </c>
      <c r="F83" s="9">
        <f ca="1">IFERROR(__xludf.DUMMYFUNCTION("""COMPUTED_VALUE"""),1786)</f>
        <v>1786</v>
      </c>
      <c r="G83" s="9">
        <f ca="1">IFERROR(__xludf.DUMMYFUNCTION("""COMPUTED_VALUE"""),3055)</f>
        <v>3055</v>
      </c>
      <c r="H83" s="9">
        <f ca="1">IFERROR(__xludf.DUMMYFUNCTION("""COMPUTED_VALUE"""),1727)</f>
        <v>1727</v>
      </c>
      <c r="I83" s="9">
        <f ca="1">IFERROR(__xludf.DUMMYFUNCTION("""COMPUTED_VALUE"""),2790)</f>
        <v>2790</v>
      </c>
      <c r="J83" s="9">
        <f ca="1">IFERROR(__xludf.DUMMYFUNCTION("""COMPUTED_VALUE"""),2320)</f>
        <v>2320</v>
      </c>
      <c r="K83" s="9">
        <f ca="1">IFERROR(__xludf.DUMMYFUNCTION("""COMPUTED_VALUE"""),3208)</f>
        <v>3208</v>
      </c>
      <c r="L83" s="9">
        <f ca="1">IFERROR(__xludf.DUMMYFUNCTION("""COMPUTED_VALUE"""),1069)</f>
        <v>1069</v>
      </c>
      <c r="M83" s="9">
        <f ca="1">IFERROR(__xludf.DUMMYFUNCTION("""COMPUTED_VALUE"""),1232)</f>
        <v>1232</v>
      </c>
      <c r="N83" s="9">
        <f ca="1">IFERROR(__xludf.DUMMYFUNCTION("""COMPUTED_VALUE"""),1932)</f>
        <v>1932</v>
      </c>
      <c r="O83" s="9">
        <f ca="1">IFERROR(__xludf.DUMMYFUNCTION("""COMPUTED_VALUE"""),3039)</f>
        <v>3039</v>
      </c>
      <c r="P83" s="29">
        <f ca="1">IFERROR(__xludf.DUMMYFUNCTION("""COMPUTED_VALUE"""),1931)</f>
        <v>1931</v>
      </c>
      <c r="Q83" s="29">
        <f ca="1">IFERROR(__xludf.DUMMYFUNCTION("""COMPUTED_VALUE"""),2723)</f>
        <v>2723</v>
      </c>
      <c r="R83" s="7" t="str">
        <f ca="1">IFERROR(__xludf.DUMMYFUNCTION("""COMPUTED_VALUE"""),"Hồ Chí Minh")</f>
        <v>Hồ Chí Minh</v>
      </c>
      <c r="S83" s="7" t="str">
        <f ca="1">IFERROR(__xludf.DUMMYFUNCTION("""COMPUTED_VALUE"""),"Quận 8")</f>
        <v>Quận 8</v>
      </c>
      <c r="T83" s="7" t="str">
        <f ca="1">IFERROR(__xludf.DUMMYFUNCTION("SPARKLINE({
IF(D83="""",0,D83),
IF(F83="""",0,F83),
IF(H83="""",0,H83),
IF(J83="""",0,J83),
IF(L83="""",0,L83),
IF(N83="""",0,N83),
IF(P83="""",0,P83)
})"),"")</f>
        <v/>
      </c>
      <c r="U83" s="7" t="str">
        <f ca="1">IFERROR(__xludf.DUMMYFUNCTION("SPARKLINE({
IF(E83="""",0,E83),
IF(G83="""",0,G83),
IF(I83="""",0,I83),
IF(K83="""",0,K83),
IF(M83="""",0,M83),
IF(O83="""",0,O83),
IF(Q83="""",0,Q83)
})"),"")</f>
        <v/>
      </c>
      <c r="V83" s="30" t="e">
        <f t="array" aca="1" ref="V83" ca="1">IF($C$4="Giao",_xludf.Xlookup(C83,#REF!,#REF!,),_xludf.Xlookup(C83,#REF!,#REF!,))</f>
        <v>#NAME?</v>
      </c>
      <c r="W83" s="30" t="e">
        <f t="array" aca="1" ref="W83" ca="1">IF($C$4="Giao", _xludf.Xlookup(C83,#REF!,#REF!,),_xludf.Xlookup(C83,#REF!,#REF!,))</f>
        <v>#NAME?</v>
      </c>
      <c r="X83" s="9" t="e">
        <f t="shared" ca="1" si="2"/>
        <v>#NAME?</v>
      </c>
      <c r="Y83" s="7"/>
      <c r="Z83" s="7"/>
    </row>
    <row r="84" spans="1:26" ht="13" x14ac:dyDescent="0.6">
      <c r="A84" s="28">
        <f t="shared" ca="1" si="1"/>
        <v>77</v>
      </c>
      <c r="B84" s="7" t="str">
        <f ca="1">IFERROR(__xludf.DUMMYFUNCTION("""COMPUTED_VALUE"""),"Quận 8")</f>
        <v>Quận 8</v>
      </c>
      <c r="C84" s="7" t="str">
        <f ca="1">IFERROR(__xludf.DUMMYFUNCTION("""COMPUTED_VALUE"""),"Bưu Cục 903B Tạ Quang Bửu-Q.8-HCM")</f>
        <v>Bưu Cục 903B Tạ Quang Bửu-Q.8-HCM</v>
      </c>
      <c r="D84" s="9">
        <f ca="1">IFERROR(__xludf.DUMMYFUNCTION("""COMPUTED_VALUE"""),2517)</f>
        <v>2517</v>
      </c>
      <c r="E84" s="9">
        <f ca="1">IFERROR(__xludf.DUMMYFUNCTION("""COMPUTED_VALUE"""),5703)</f>
        <v>5703</v>
      </c>
      <c r="F84" s="9">
        <f ca="1">IFERROR(__xludf.DUMMYFUNCTION("""COMPUTED_VALUE"""),1907)</f>
        <v>1907</v>
      </c>
      <c r="G84" s="9">
        <f ca="1">IFERROR(__xludf.DUMMYFUNCTION("""COMPUTED_VALUE"""),5678)</f>
        <v>5678</v>
      </c>
      <c r="H84" s="9">
        <f ca="1">IFERROR(__xludf.DUMMYFUNCTION("""COMPUTED_VALUE"""),1775)</f>
        <v>1775</v>
      </c>
      <c r="I84" s="9">
        <f ca="1">IFERROR(__xludf.DUMMYFUNCTION("""COMPUTED_VALUE"""),5749)</f>
        <v>5749</v>
      </c>
      <c r="J84" s="9">
        <f ca="1">IFERROR(__xludf.DUMMYFUNCTION("""COMPUTED_VALUE"""),2332)</f>
        <v>2332</v>
      </c>
      <c r="K84" s="9">
        <f ca="1">IFERROR(__xludf.DUMMYFUNCTION("""COMPUTED_VALUE"""),7982)</f>
        <v>7982</v>
      </c>
      <c r="L84" s="9">
        <f ca="1">IFERROR(__xludf.DUMMYFUNCTION("""COMPUTED_VALUE"""),478)</f>
        <v>478</v>
      </c>
      <c r="M84" s="9">
        <f ca="1">IFERROR(__xludf.DUMMYFUNCTION("""COMPUTED_VALUE"""),1386)</f>
        <v>1386</v>
      </c>
      <c r="N84" s="9">
        <f ca="1">IFERROR(__xludf.DUMMYFUNCTION("""COMPUTED_VALUE"""),2690)</f>
        <v>2690</v>
      </c>
      <c r="O84" s="9">
        <f ca="1">IFERROR(__xludf.DUMMYFUNCTION("""COMPUTED_VALUE"""),5254)</f>
        <v>5254</v>
      </c>
      <c r="P84" s="29">
        <f ca="1">IFERROR(__xludf.DUMMYFUNCTION("""COMPUTED_VALUE"""),1886)</f>
        <v>1886</v>
      </c>
      <c r="Q84" s="29">
        <f ca="1">IFERROR(__xludf.DUMMYFUNCTION("""COMPUTED_VALUE"""),4866)</f>
        <v>4866</v>
      </c>
      <c r="R84" s="7" t="str">
        <f ca="1">IFERROR(__xludf.DUMMYFUNCTION("""COMPUTED_VALUE"""),"Hồ Chí Minh")</f>
        <v>Hồ Chí Minh</v>
      </c>
      <c r="S84" s="7" t="str">
        <f ca="1">IFERROR(__xludf.DUMMYFUNCTION("""COMPUTED_VALUE"""),"Quận 8")</f>
        <v>Quận 8</v>
      </c>
      <c r="T84" s="7" t="str">
        <f ca="1">IFERROR(__xludf.DUMMYFUNCTION("SPARKLINE({
IF(D84="""",0,D84),
IF(F84="""",0,F84),
IF(H84="""",0,H84),
IF(J84="""",0,J84),
IF(L84="""",0,L84),
IF(N84="""",0,N84),
IF(P84="""",0,P84)
})"),"")</f>
        <v/>
      </c>
      <c r="U84" s="7" t="str">
        <f ca="1">IFERROR(__xludf.DUMMYFUNCTION("SPARKLINE({
IF(E84="""",0,E84),
IF(G84="""",0,G84),
IF(I84="""",0,I84),
IF(K84="""",0,K84),
IF(M84="""",0,M84),
IF(O84="""",0,O84),
IF(Q84="""",0,Q84)
})"),"")</f>
        <v/>
      </c>
      <c r="V84" s="30" t="e">
        <f t="array" aca="1" ref="V84" ca="1">IF($C$4="Giao",_xludf.Xlookup(C84,#REF!,#REF!,),_xludf.Xlookup(C84,#REF!,#REF!,))</f>
        <v>#NAME?</v>
      </c>
      <c r="W84" s="30" t="e">
        <f t="array" aca="1" ref="W84" ca="1">IF($C$4="Giao", _xludf.Xlookup(C84,#REF!,#REF!,),_xludf.Xlookup(C84,#REF!,#REF!,))</f>
        <v>#NAME?</v>
      </c>
      <c r="X84" s="9" t="e">
        <f t="shared" ca="1" si="2"/>
        <v>#NAME?</v>
      </c>
      <c r="Y84" s="7"/>
      <c r="Z84" s="7"/>
    </row>
    <row r="85" spans="1:26" ht="13" x14ac:dyDescent="0.6">
      <c r="A85" s="28">
        <f t="shared" ca="1" si="1"/>
        <v>78</v>
      </c>
      <c r="B85" s="7" t="str">
        <f ca="1">IFERROR(__xludf.DUMMYFUNCTION("""COMPUTED_VALUE"""),"Quận 9")</f>
        <v>Quận 9</v>
      </c>
      <c r="C85" s="7" t="str">
        <f ca="1">IFERROR(__xludf.DUMMYFUNCTION("""COMPUTED_VALUE"""),"Bưu Cục 01 Đường Số 6-Long Bình-Q.9-HCM")</f>
        <v>Bưu Cục 01 Đường Số 6-Long Bình-Q.9-HCM</v>
      </c>
      <c r="D85" s="9">
        <f ca="1">IFERROR(__xludf.DUMMYFUNCTION("""COMPUTED_VALUE"""),25)</f>
        <v>25</v>
      </c>
      <c r="E85" s="9">
        <f ca="1">IFERROR(__xludf.DUMMYFUNCTION("""COMPUTED_VALUE"""),34)</f>
        <v>34</v>
      </c>
      <c r="F85" s="9">
        <f ca="1">IFERROR(__xludf.DUMMYFUNCTION("""COMPUTED_VALUE"""),8)</f>
        <v>8</v>
      </c>
      <c r="G85" s="9">
        <f ca="1">IFERROR(__xludf.DUMMYFUNCTION("""COMPUTED_VALUE"""),26)</f>
        <v>26</v>
      </c>
      <c r="H85" s="9">
        <f ca="1">IFERROR(__xludf.DUMMYFUNCTION("""COMPUTED_VALUE"""),9)</f>
        <v>9</v>
      </c>
      <c r="I85" s="9">
        <f ca="1">IFERROR(__xludf.DUMMYFUNCTION("""COMPUTED_VALUE"""),16)</f>
        <v>16</v>
      </c>
      <c r="J85" s="9">
        <f ca="1">IFERROR(__xludf.DUMMYFUNCTION("""COMPUTED_VALUE"""),14)</f>
        <v>14</v>
      </c>
      <c r="K85" s="9">
        <f ca="1">IFERROR(__xludf.DUMMYFUNCTION("""COMPUTED_VALUE"""),10)</f>
        <v>10</v>
      </c>
      <c r="L85" s="9">
        <f ca="1">IFERROR(__xludf.DUMMYFUNCTION("""COMPUTED_VALUE"""),8)</f>
        <v>8</v>
      </c>
      <c r="M85" s="9">
        <f ca="1">IFERROR(__xludf.DUMMYFUNCTION("""COMPUTED_VALUE"""),76)</f>
        <v>76</v>
      </c>
      <c r="N85" s="9">
        <f ca="1">IFERROR(__xludf.DUMMYFUNCTION("""COMPUTED_VALUE"""),9)</f>
        <v>9</v>
      </c>
      <c r="O85" s="9">
        <f ca="1">IFERROR(__xludf.DUMMYFUNCTION("""COMPUTED_VALUE"""),10)</f>
        <v>10</v>
      </c>
      <c r="P85" s="29">
        <f ca="1">IFERROR(__xludf.DUMMYFUNCTION("""COMPUTED_VALUE"""),5)</f>
        <v>5</v>
      </c>
      <c r="Q85" s="29">
        <f ca="1">IFERROR(__xludf.DUMMYFUNCTION("""COMPUTED_VALUE"""),13)</f>
        <v>13</v>
      </c>
      <c r="R85" s="7" t="str">
        <f ca="1">IFERROR(__xludf.DUMMYFUNCTION("""COMPUTED_VALUE"""),"Hồ Chí Minh")</f>
        <v>Hồ Chí Minh</v>
      </c>
      <c r="S85" s="7" t="str">
        <f ca="1">IFERROR(__xludf.DUMMYFUNCTION("""COMPUTED_VALUE"""),"Quận 9")</f>
        <v>Quận 9</v>
      </c>
      <c r="T85" s="7" t="str">
        <f ca="1">IFERROR(__xludf.DUMMYFUNCTION("SPARKLINE({
IF(D85="""",0,D85),
IF(F85="""",0,F85),
IF(H85="""",0,H85),
IF(J85="""",0,J85),
IF(L85="""",0,L85),
IF(N85="""",0,N85),
IF(P85="""",0,P85)
})"),"")</f>
        <v/>
      </c>
      <c r="U85" s="7" t="str">
        <f ca="1">IFERROR(__xludf.DUMMYFUNCTION("SPARKLINE({
IF(E85="""",0,E85),
IF(G85="""",0,G85),
IF(I85="""",0,I85),
IF(K85="""",0,K85),
IF(M85="""",0,M85),
IF(O85="""",0,O85),
IF(Q85="""",0,Q85)
})"),"")</f>
        <v/>
      </c>
      <c r="V85" s="30" t="e">
        <f t="array" aca="1" ref="V85" ca="1">IF($C$4="Giao",_xludf.Xlookup(C85,#REF!,#REF!,),_xludf.Xlookup(C85,#REF!,#REF!,))</f>
        <v>#NAME?</v>
      </c>
      <c r="W85" s="8" t="e">
        <f t="array" aca="1" ref="W85" ca="1">IF($C$4="Giao", _xludf.Xlookup(C85,#REF!,#REF!,),_xludf.Xlookup(C85,#REF!,#REF!,))</f>
        <v>#NAME?</v>
      </c>
      <c r="X85" s="9" t="e">
        <f t="shared" ca="1" si="2"/>
        <v>#NAME?</v>
      </c>
      <c r="Y85" s="7"/>
      <c r="Z85" s="7"/>
    </row>
    <row r="86" spans="1:26" ht="13" x14ac:dyDescent="0.6">
      <c r="A86" s="28">
        <f t="shared" ca="1" si="1"/>
        <v>79</v>
      </c>
      <c r="B86" s="7" t="str">
        <f ca="1">IFERROR(__xludf.DUMMYFUNCTION("""COMPUTED_VALUE"""),"Quận 9")</f>
        <v>Quận 9</v>
      </c>
      <c r="C86" s="7" t="str">
        <f ca="1">IFERROR(__xludf.DUMMYFUNCTION("""COMPUTED_VALUE"""),"Bưu Cục 47 Đường 882-Phú Hữu-Q.9-HCM")</f>
        <v>Bưu Cục 47 Đường 882-Phú Hữu-Q.9-HCM</v>
      </c>
      <c r="D86" s="9">
        <f ca="1">IFERROR(__xludf.DUMMYFUNCTION("""COMPUTED_VALUE"""),732)</f>
        <v>732</v>
      </c>
      <c r="E86" s="9">
        <f ca="1">IFERROR(__xludf.DUMMYFUNCTION("""COMPUTED_VALUE"""),1968)</f>
        <v>1968</v>
      </c>
      <c r="F86" s="9">
        <f ca="1">IFERROR(__xludf.DUMMYFUNCTION("""COMPUTED_VALUE"""),758)</f>
        <v>758</v>
      </c>
      <c r="G86" s="9">
        <f ca="1">IFERROR(__xludf.DUMMYFUNCTION("""COMPUTED_VALUE"""),1858)</f>
        <v>1858</v>
      </c>
      <c r="H86" s="9">
        <f ca="1">IFERROR(__xludf.DUMMYFUNCTION("""COMPUTED_VALUE"""),670)</f>
        <v>670</v>
      </c>
      <c r="I86" s="9">
        <f ca="1">IFERROR(__xludf.DUMMYFUNCTION("""COMPUTED_VALUE"""),1836)</f>
        <v>1836</v>
      </c>
      <c r="J86" s="9">
        <f ca="1">IFERROR(__xludf.DUMMYFUNCTION("""COMPUTED_VALUE"""),668)</f>
        <v>668</v>
      </c>
      <c r="K86" s="9">
        <f ca="1">IFERROR(__xludf.DUMMYFUNCTION("""COMPUTED_VALUE"""),1992)</f>
        <v>1992</v>
      </c>
      <c r="L86" s="9">
        <f ca="1">IFERROR(__xludf.DUMMYFUNCTION("""COMPUTED_VALUE"""),446)</f>
        <v>446</v>
      </c>
      <c r="M86" s="9">
        <f ca="1">IFERROR(__xludf.DUMMYFUNCTION("""COMPUTED_VALUE"""),694)</f>
        <v>694</v>
      </c>
      <c r="N86" s="9">
        <f ca="1">IFERROR(__xludf.DUMMYFUNCTION("""COMPUTED_VALUE"""),689)</f>
        <v>689</v>
      </c>
      <c r="O86" s="9">
        <f ca="1">IFERROR(__xludf.DUMMYFUNCTION("""COMPUTED_VALUE"""),1437)</f>
        <v>1437</v>
      </c>
      <c r="P86" s="29">
        <f ca="1">IFERROR(__xludf.DUMMYFUNCTION("""COMPUTED_VALUE"""),767)</f>
        <v>767</v>
      </c>
      <c r="Q86" s="29">
        <f ca="1">IFERROR(__xludf.DUMMYFUNCTION("""COMPUTED_VALUE"""),1962)</f>
        <v>1962</v>
      </c>
      <c r="R86" s="7" t="str">
        <f ca="1">IFERROR(__xludf.DUMMYFUNCTION("""COMPUTED_VALUE"""),"Hồ Chí Minh")</f>
        <v>Hồ Chí Minh</v>
      </c>
      <c r="S86" s="7" t="str">
        <f ca="1">IFERROR(__xludf.DUMMYFUNCTION("""COMPUTED_VALUE"""),"Quận 9")</f>
        <v>Quận 9</v>
      </c>
      <c r="T86" s="7" t="str">
        <f ca="1">IFERROR(__xludf.DUMMYFUNCTION("SPARKLINE({
IF(D86="""",0,D86),
IF(F86="""",0,F86),
IF(H86="""",0,H86),
IF(J86="""",0,J86),
IF(L86="""",0,L86),
IF(N86="""",0,N86),
IF(P86="""",0,P86)
})"),"")</f>
        <v/>
      </c>
      <c r="U86" s="7" t="str">
        <f ca="1">IFERROR(__xludf.DUMMYFUNCTION("SPARKLINE({
IF(E86="""",0,E86),
IF(G86="""",0,G86),
IF(I86="""",0,I86),
IF(K86="""",0,K86),
IF(M86="""",0,M86),
IF(O86="""",0,O86),
IF(Q86="""",0,Q86)
})"),"")</f>
        <v/>
      </c>
      <c r="V86" s="30" t="e">
        <f t="array" aca="1" ref="V86" ca="1">IF($C$4="Giao",_xludf.Xlookup(C86,#REF!,#REF!,),_xludf.Xlookup(C86,#REF!,#REF!,))</f>
        <v>#NAME?</v>
      </c>
      <c r="W86" s="30" t="e">
        <f t="array" aca="1" ref="W86" ca="1">IF($C$4="Giao", _xludf.Xlookup(C86,#REF!,#REF!,),_xludf.Xlookup(C86,#REF!,#REF!,))</f>
        <v>#NAME?</v>
      </c>
      <c r="X86" s="9" t="e">
        <f t="shared" ca="1" si="2"/>
        <v>#NAME?</v>
      </c>
      <c r="Y86" s="7"/>
      <c r="Z86" s="7"/>
    </row>
    <row r="87" spans="1:26" ht="13" x14ac:dyDescent="0.6">
      <c r="A87" s="28">
        <f t="shared" ca="1" si="1"/>
        <v>80</v>
      </c>
      <c r="B87" s="7" t="str">
        <f ca="1">IFERROR(__xludf.DUMMYFUNCTION("""COMPUTED_VALUE"""),"Quận 9")</f>
        <v>Quận 9</v>
      </c>
      <c r="C87" s="7" t="str">
        <f ca="1">IFERROR(__xludf.DUMMYFUNCTION("""COMPUTED_VALUE"""),"Bưu Cục Chuyên Lấy 01 Đường Số 6-Long Bình-Q.9-HCM")</f>
        <v>Bưu Cục Chuyên Lấy 01 Đường Số 6-Long Bình-Q.9-HCM</v>
      </c>
      <c r="D87" s="9">
        <f ca="1">IFERROR(__xludf.DUMMYFUNCTION("""COMPUTED_VALUE"""),1858)</f>
        <v>1858</v>
      </c>
      <c r="E87" s="9">
        <f ca="1">IFERROR(__xludf.DUMMYFUNCTION("""COMPUTED_VALUE"""),1469)</f>
        <v>1469</v>
      </c>
      <c r="F87" s="9">
        <f ca="1">IFERROR(__xludf.DUMMYFUNCTION("""COMPUTED_VALUE"""),1823)</f>
        <v>1823</v>
      </c>
      <c r="G87" s="9">
        <f ca="1">IFERROR(__xludf.DUMMYFUNCTION("""COMPUTED_VALUE"""),1621)</f>
        <v>1621</v>
      </c>
      <c r="H87" s="9">
        <f ca="1">IFERROR(__xludf.DUMMYFUNCTION("""COMPUTED_VALUE"""),2066)</f>
        <v>2066</v>
      </c>
      <c r="I87" s="9">
        <f ca="1">IFERROR(__xludf.DUMMYFUNCTION("""COMPUTED_VALUE"""),1735)</f>
        <v>1735</v>
      </c>
      <c r="J87" s="9">
        <f ca="1">IFERROR(__xludf.DUMMYFUNCTION("""COMPUTED_VALUE"""),2440)</f>
        <v>2440</v>
      </c>
      <c r="K87" s="9">
        <f ca="1">IFERROR(__xludf.DUMMYFUNCTION("""COMPUTED_VALUE"""),2166)</f>
        <v>2166</v>
      </c>
      <c r="L87" s="9">
        <f ca="1">IFERROR(__xludf.DUMMYFUNCTION("""COMPUTED_VALUE"""),1967)</f>
        <v>1967</v>
      </c>
      <c r="M87" s="9">
        <f ca="1">IFERROR(__xludf.DUMMYFUNCTION("""COMPUTED_VALUE"""),1136)</f>
        <v>1136</v>
      </c>
      <c r="N87" s="9">
        <f ca="1">IFERROR(__xludf.DUMMYFUNCTION("""COMPUTED_VALUE"""),2561)</f>
        <v>2561</v>
      </c>
      <c r="O87" s="9">
        <f ca="1">IFERROR(__xludf.DUMMYFUNCTION("""COMPUTED_VALUE"""),1558)</f>
        <v>1558</v>
      </c>
      <c r="P87" s="29">
        <f ca="1">IFERROR(__xludf.DUMMYFUNCTION("""COMPUTED_VALUE"""),2340)</f>
        <v>2340</v>
      </c>
      <c r="Q87" s="29">
        <f ca="1">IFERROR(__xludf.DUMMYFUNCTION("""COMPUTED_VALUE"""),1675)</f>
        <v>1675</v>
      </c>
      <c r="R87" s="7" t="str">
        <f ca="1">IFERROR(__xludf.DUMMYFUNCTION("""COMPUTED_VALUE"""),"Hồ Chí Minh")</f>
        <v>Hồ Chí Minh</v>
      </c>
      <c r="S87" s="7" t="str">
        <f ca="1">IFERROR(__xludf.DUMMYFUNCTION("""COMPUTED_VALUE"""),"Quận 9")</f>
        <v>Quận 9</v>
      </c>
      <c r="T87" s="7" t="str">
        <f ca="1">IFERROR(__xludf.DUMMYFUNCTION("SPARKLINE({
IF(D87="""",0,D87),
IF(F87="""",0,F87),
IF(H87="""",0,H87),
IF(J87="""",0,J87),
IF(L87="""",0,L87),
IF(N87="""",0,N87),
IF(P87="""",0,P87)
})"),"")</f>
        <v/>
      </c>
      <c r="U87" s="7" t="str">
        <f ca="1">IFERROR(__xludf.DUMMYFUNCTION("SPARKLINE({
IF(E87="""",0,E87),
IF(G87="""",0,G87),
IF(I87="""",0,I87),
IF(K87="""",0,K87),
IF(M87="""",0,M87),
IF(O87="""",0,O87),
IF(Q87="""",0,Q87)
})"),"")</f>
        <v/>
      </c>
      <c r="V87" s="30" t="e">
        <f t="array" aca="1" ref="V87" ca="1">IF($C$4="Giao",_xludf.Xlookup(C87,#REF!,#REF!,),_xludf.Xlookup(C87,#REF!,#REF!,))</f>
        <v>#NAME?</v>
      </c>
      <c r="W87" s="30" t="e">
        <f t="array" aca="1" ref="W87" ca="1">IF($C$4="Giao", _xludf.Xlookup(C87,#REF!,#REF!,),_xludf.Xlookup(C87,#REF!,#REF!,))</f>
        <v>#NAME?</v>
      </c>
      <c r="X87" s="9" t="e">
        <f t="shared" ca="1" si="2"/>
        <v>#NAME?</v>
      </c>
      <c r="Y87" s="7"/>
      <c r="Z87" s="7"/>
    </row>
    <row r="88" spans="1:26" ht="13" x14ac:dyDescent="0.6">
      <c r="A88" s="28">
        <f t="shared" ca="1" si="1"/>
        <v>81</v>
      </c>
      <c r="B88" s="7" t="str">
        <f ca="1">IFERROR(__xludf.DUMMYFUNCTION("""COMPUTED_VALUE"""),"Quận 9")</f>
        <v>Quận 9</v>
      </c>
      <c r="C88" s="7" t="str">
        <f ca="1">IFERROR(__xludf.DUMMYFUNCTION("""COMPUTED_VALUE"""),"Bưu Cục Đường 268 Đỗ Xuân Hợp-Phường Phước Long-HCM")</f>
        <v>Bưu Cục Đường 268 Đỗ Xuân Hợp-Phường Phước Long-HCM</v>
      </c>
      <c r="D88" s="9">
        <f ca="1">IFERROR(__xludf.DUMMYFUNCTION("""COMPUTED_VALUE"""),1731)</f>
        <v>1731</v>
      </c>
      <c r="E88" s="9">
        <f ca="1">IFERROR(__xludf.DUMMYFUNCTION("""COMPUTED_VALUE"""),3602)</f>
        <v>3602</v>
      </c>
      <c r="F88" s="9">
        <f ca="1">IFERROR(__xludf.DUMMYFUNCTION("""COMPUTED_VALUE"""),1361)</f>
        <v>1361</v>
      </c>
      <c r="G88" s="9">
        <f ca="1">IFERROR(__xludf.DUMMYFUNCTION("""COMPUTED_VALUE"""),2926)</f>
        <v>2926</v>
      </c>
      <c r="H88" s="9">
        <f ca="1">IFERROR(__xludf.DUMMYFUNCTION("""COMPUTED_VALUE"""),1353)</f>
        <v>1353</v>
      </c>
      <c r="I88" s="9">
        <f ca="1">IFERROR(__xludf.DUMMYFUNCTION("""COMPUTED_VALUE"""),3715)</f>
        <v>3715</v>
      </c>
      <c r="J88" s="9">
        <f ca="1">IFERROR(__xludf.DUMMYFUNCTION("""COMPUTED_VALUE"""),2771)</f>
        <v>2771</v>
      </c>
      <c r="K88" s="9">
        <f ca="1">IFERROR(__xludf.DUMMYFUNCTION("""COMPUTED_VALUE"""),5469)</f>
        <v>5469</v>
      </c>
      <c r="L88" s="9">
        <f ca="1">IFERROR(__xludf.DUMMYFUNCTION("""COMPUTED_VALUE"""),775)</f>
        <v>775</v>
      </c>
      <c r="M88" s="9">
        <f ca="1">IFERROR(__xludf.DUMMYFUNCTION("""COMPUTED_VALUE"""),2281)</f>
        <v>2281</v>
      </c>
      <c r="N88" s="9">
        <f ca="1">IFERROR(__xludf.DUMMYFUNCTION("""COMPUTED_VALUE"""),1910)</f>
        <v>1910</v>
      </c>
      <c r="O88" s="9">
        <f ca="1">IFERROR(__xludf.DUMMYFUNCTION("""COMPUTED_VALUE"""),3722)</f>
        <v>3722</v>
      </c>
      <c r="P88" s="29">
        <f ca="1">IFERROR(__xludf.DUMMYFUNCTION("""COMPUTED_VALUE"""),1350)</f>
        <v>1350</v>
      </c>
      <c r="Q88" s="29">
        <f ca="1">IFERROR(__xludf.DUMMYFUNCTION("""COMPUTED_VALUE"""),3129)</f>
        <v>3129</v>
      </c>
      <c r="R88" s="7" t="str">
        <f ca="1">IFERROR(__xludf.DUMMYFUNCTION("""COMPUTED_VALUE"""),"Hồ Chí Minh")</f>
        <v>Hồ Chí Minh</v>
      </c>
      <c r="S88" s="7" t="str">
        <f ca="1">IFERROR(__xludf.DUMMYFUNCTION("""COMPUTED_VALUE"""),"Quận 9")</f>
        <v>Quận 9</v>
      </c>
      <c r="T88" s="7" t="str">
        <f ca="1">IFERROR(__xludf.DUMMYFUNCTION("SPARKLINE({
IF(D88="""",0,D88),
IF(F88="""",0,F88),
IF(H88="""",0,H88),
IF(J88="""",0,J88),
IF(L88="""",0,L88),
IF(N88="""",0,N88),
IF(P88="""",0,P88)
})"),"")</f>
        <v/>
      </c>
      <c r="U88" s="7" t="str">
        <f ca="1">IFERROR(__xludf.DUMMYFUNCTION("SPARKLINE({
IF(E88="""",0,E88),
IF(G88="""",0,G88),
IF(I88="""",0,I88),
IF(K88="""",0,K88),
IF(M88="""",0,M88),
IF(O88="""",0,O88),
IF(Q88="""",0,Q88)
})"),"")</f>
        <v/>
      </c>
      <c r="V88" s="30" t="e">
        <f t="array" aca="1" ref="V88" ca="1">IF($C$4="Giao",_xludf.Xlookup(C88,#REF!,#REF!,),_xludf.Xlookup(C88,#REF!,#REF!,))</f>
        <v>#NAME?</v>
      </c>
      <c r="W88" s="30" t="e">
        <f t="array" aca="1" ref="W88" ca="1">IF($C$4="Giao", _xludf.Xlookup(C88,#REF!,#REF!,),_xludf.Xlookup(C88,#REF!,#REF!,))</f>
        <v>#NAME?</v>
      </c>
      <c r="X88" s="9" t="e">
        <f t="shared" ca="1" si="2"/>
        <v>#NAME?</v>
      </c>
      <c r="Y88" s="7"/>
      <c r="Z88" s="7"/>
    </row>
    <row r="89" spans="1:26" ht="13" x14ac:dyDescent="0.6">
      <c r="A89" s="28">
        <f t="shared" ca="1" si="1"/>
        <v>82</v>
      </c>
      <c r="B89" s="7" t="str">
        <f ca="1">IFERROR(__xludf.DUMMYFUNCTION("""COMPUTED_VALUE"""),"Quận 9")</f>
        <v>Quận 9</v>
      </c>
      <c r="C89" s="7" t="str">
        <f ca="1">IFERROR(__xludf.DUMMYFUNCTION("""COMPUTED_VALUE"""),"Bưu Cục Hàng Vừa 20A Đường 12-Q.9-HCM")</f>
        <v>Bưu Cục Hàng Vừa 20A Đường 12-Q.9-HCM</v>
      </c>
      <c r="D89" s="9"/>
      <c r="E89" s="9"/>
      <c r="F89" s="9">
        <f ca="1">IFERROR(__xludf.DUMMYFUNCTION("""COMPUTED_VALUE"""),2)</f>
        <v>2</v>
      </c>
      <c r="G89" s="9">
        <f ca="1">IFERROR(__xludf.DUMMYFUNCTION("""COMPUTED_VALUE"""),1)</f>
        <v>1</v>
      </c>
      <c r="H89" s="9"/>
      <c r="I89" s="9"/>
      <c r="J89" s="9"/>
      <c r="K89" s="9"/>
      <c r="L89" s="9">
        <f ca="1">IFERROR(__xludf.DUMMYFUNCTION("""COMPUTED_VALUE"""),1)</f>
        <v>1</v>
      </c>
      <c r="M89" s="9">
        <f ca="1">IFERROR(__xludf.DUMMYFUNCTION("""COMPUTED_VALUE"""),0)</f>
        <v>0</v>
      </c>
      <c r="N89" s="9">
        <f ca="1">IFERROR(__xludf.DUMMYFUNCTION("""COMPUTED_VALUE"""),1)</f>
        <v>1</v>
      </c>
      <c r="O89" s="9">
        <f ca="1">IFERROR(__xludf.DUMMYFUNCTION("""COMPUTED_VALUE"""),12)</f>
        <v>12</v>
      </c>
      <c r="P89" s="29"/>
      <c r="Q89" s="29"/>
      <c r="R89" s="7" t="str">
        <f ca="1">IFERROR(__xludf.DUMMYFUNCTION("""COMPUTED_VALUE"""),"Hồ Chí Minh")</f>
        <v>Hồ Chí Minh</v>
      </c>
      <c r="S89" s="7" t="str">
        <f ca="1">IFERROR(__xludf.DUMMYFUNCTION("""COMPUTED_VALUE"""),"Quận 9")</f>
        <v>Quận 9</v>
      </c>
      <c r="T89" s="7" t="str">
        <f ca="1">IFERROR(__xludf.DUMMYFUNCTION("SPARKLINE({
IF(D89="""",0,D89),
IF(F89="""",0,F89),
IF(H89="""",0,H89),
IF(J89="""",0,J89),
IF(L89="""",0,L89),
IF(N89="""",0,N89),
IF(P89="""",0,P89)
})"),"")</f>
        <v/>
      </c>
      <c r="U89" s="7" t="str">
        <f ca="1">IFERROR(__xludf.DUMMYFUNCTION("SPARKLINE({
IF(E89="""",0,E89),
IF(G89="""",0,G89),
IF(I89="""",0,I89),
IF(K89="""",0,K89),
IF(M89="""",0,M89),
IF(O89="""",0,O89),
IF(Q89="""",0,Q89)
})"),"")</f>
        <v/>
      </c>
      <c r="V89" s="8" t="e">
        <f t="array" aca="1" ref="V89" ca="1">IF($C$4="Giao",_xludf.Xlookup(C89,#REF!,#REF!,),_xludf.Xlookup(C89,#REF!,#REF!,))</f>
        <v>#NAME?</v>
      </c>
      <c r="W89" s="8" t="e">
        <f t="array" aca="1" ref="W89" ca="1">IF($C$4="Giao", _xludf.Xlookup(C89,#REF!,#REF!,),_xludf.Xlookup(C89,#REF!,#REF!,))</f>
        <v>#NAME?</v>
      </c>
      <c r="X89" s="9" t="e">
        <f t="shared" ca="1" si="2"/>
        <v>#NAME?</v>
      </c>
      <c r="Y89" s="7"/>
      <c r="Z89" s="7"/>
    </row>
    <row r="90" spans="1:26" ht="13" x14ac:dyDescent="0.6">
      <c r="A90" s="28">
        <f t="shared" ca="1" si="1"/>
        <v>83</v>
      </c>
      <c r="B90" s="7" t="str">
        <f ca="1">IFERROR(__xludf.DUMMYFUNCTION("""COMPUTED_VALUE"""),"Quận 9")</f>
        <v>Quận 9</v>
      </c>
      <c r="C90" s="7" t="str">
        <f ca="1">IFERROR(__xludf.DUMMYFUNCTION("""COMPUTED_VALUE"""),"Bưu Cục Hàng Vừa Đường 268 Đỗ Xuân Hợp-Q.9-HCM")</f>
        <v>Bưu Cục Hàng Vừa Đường 268 Đỗ Xuân Hợp-Q.9-HCM</v>
      </c>
      <c r="D90" s="9"/>
      <c r="E90" s="9"/>
      <c r="F90" s="9"/>
      <c r="G90" s="9"/>
      <c r="H90" s="9">
        <f ca="1">IFERROR(__xludf.DUMMYFUNCTION("""COMPUTED_VALUE"""),1)</f>
        <v>1</v>
      </c>
      <c r="I90" s="9">
        <f ca="1">IFERROR(__xludf.DUMMYFUNCTION("""COMPUTED_VALUE"""),13)</f>
        <v>13</v>
      </c>
      <c r="J90" s="9"/>
      <c r="K90" s="9"/>
      <c r="L90" s="9"/>
      <c r="M90" s="9"/>
      <c r="N90" s="9"/>
      <c r="O90" s="9"/>
      <c r="P90" s="29"/>
      <c r="Q90" s="29"/>
      <c r="R90" s="7" t="str">
        <f ca="1">IFERROR(__xludf.DUMMYFUNCTION("""COMPUTED_VALUE"""),"Hồ Chí Minh")</f>
        <v>Hồ Chí Minh</v>
      </c>
      <c r="S90" s="7" t="str">
        <f ca="1">IFERROR(__xludf.DUMMYFUNCTION("""COMPUTED_VALUE"""),"Quận 9")</f>
        <v>Quận 9</v>
      </c>
      <c r="T90" s="7" t="str">
        <f ca="1">IFERROR(__xludf.DUMMYFUNCTION("SPARKLINE({
IF(D90="""",0,D90),
IF(F90="""",0,F90),
IF(H90="""",0,H90),
IF(J90="""",0,J90),
IF(L90="""",0,L90),
IF(N90="""",0,N90),
IF(P90="""",0,P90)
})"),"")</f>
        <v/>
      </c>
      <c r="U90" s="7" t="str">
        <f ca="1">IFERROR(__xludf.DUMMYFUNCTION("SPARKLINE({
IF(E90="""",0,E90),
IF(G90="""",0,G90),
IF(I90="""",0,I90),
IF(K90="""",0,K90),
IF(M90="""",0,M90),
IF(O90="""",0,O90),
IF(Q90="""",0,Q90)
})"),"")</f>
        <v/>
      </c>
      <c r="V90" s="8" t="e">
        <f t="array" aca="1" ref="V90" ca="1">IF($C$4="Giao",_xludf.Xlookup(C90,#REF!,#REF!,),_xludf.Xlookup(C90,#REF!,#REF!,))</f>
        <v>#NAME?</v>
      </c>
      <c r="W90" s="8" t="e">
        <f t="array" aca="1" ref="W90" ca="1">IF($C$4="Giao", _xludf.Xlookup(C90,#REF!,#REF!,),_xludf.Xlookup(C90,#REF!,#REF!,))</f>
        <v>#NAME?</v>
      </c>
      <c r="X90" s="9" t="e">
        <f t="shared" ca="1" si="2"/>
        <v>#NAME?</v>
      </c>
      <c r="Y90" s="7"/>
      <c r="Z90" s="7"/>
    </row>
    <row r="91" spans="1:26" ht="13" x14ac:dyDescent="0.6">
      <c r="A91" s="28">
        <f t="shared" ca="1" si="1"/>
        <v>84</v>
      </c>
      <c r="B91" s="7" t="str">
        <f ca="1">IFERROR(__xludf.DUMMYFUNCTION("""COMPUTED_VALUE"""),"Quận 9")</f>
        <v>Quận 9</v>
      </c>
      <c r="C91" s="7" t="str">
        <f ca="1">IFERROR(__xludf.DUMMYFUNCTION("""COMPUTED_VALUE"""),"Bưu cục Long Thạnh Mỹ-Q9-HCM")</f>
        <v>Bưu cục Long Thạnh Mỹ-Q9-HCM</v>
      </c>
      <c r="D91" s="9">
        <f ca="1">IFERROR(__xludf.DUMMYFUNCTION("""COMPUTED_VALUE"""),1058)</f>
        <v>1058</v>
      </c>
      <c r="E91" s="9">
        <f ca="1">IFERROR(__xludf.DUMMYFUNCTION("""COMPUTED_VALUE"""),2470)</f>
        <v>2470</v>
      </c>
      <c r="F91" s="9">
        <f ca="1">IFERROR(__xludf.DUMMYFUNCTION("""COMPUTED_VALUE"""),924)</f>
        <v>924</v>
      </c>
      <c r="G91" s="9">
        <f ca="1">IFERROR(__xludf.DUMMYFUNCTION("""COMPUTED_VALUE"""),1950)</f>
        <v>1950</v>
      </c>
      <c r="H91" s="9">
        <f ca="1">IFERROR(__xludf.DUMMYFUNCTION("""COMPUTED_VALUE"""),909)</f>
        <v>909</v>
      </c>
      <c r="I91" s="9">
        <f ca="1">IFERROR(__xludf.DUMMYFUNCTION("""COMPUTED_VALUE"""),1874)</f>
        <v>1874</v>
      </c>
      <c r="J91" s="9">
        <f ca="1">IFERROR(__xludf.DUMMYFUNCTION("""COMPUTED_VALUE"""),841)</f>
        <v>841</v>
      </c>
      <c r="K91" s="9">
        <f ca="1">IFERROR(__xludf.DUMMYFUNCTION("""COMPUTED_VALUE"""),1958)</f>
        <v>1958</v>
      </c>
      <c r="L91" s="9">
        <f ca="1">IFERROR(__xludf.DUMMYFUNCTION("""COMPUTED_VALUE"""),446)</f>
        <v>446</v>
      </c>
      <c r="M91" s="9">
        <f ca="1">IFERROR(__xludf.DUMMYFUNCTION("""COMPUTED_VALUE"""),783)</f>
        <v>783</v>
      </c>
      <c r="N91" s="9">
        <f ca="1">IFERROR(__xludf.DUMMYFUNCTION("""COMPUTED_VALUE"""),1099)</f>
        <v>1099</v>
      </c>
      <c r="O91" s="9">
        <f ca="1">IFERROR(__xludf.DUMMYFUNCTION("""COMPUTED_VALUE"""),2328)</f>
        <v>2328</v>
      </c>
      <c r="P91" s="29">
        <f ca="1">IFERROR(__xludf.DUMMYFUNCTION("""COMPUTED_VALUE"""),923)</f>
        <v>923</v>
      </c>
      <c r="Q91" s="29">
        <f ca="1">IFERROR(__xludf.DUMMYFUNCTION("""COMPUTED_VALUE"""),1896)</f>
        <v>1896</v>
      </c>
      <c r="R91" s="7" t="str">
        <f ca="1">IFERROR(__xludf.DUMMYFUNCTION("""COMPUTED_VALUE"""),"Hồ Chí Minh")</f>
        <v>Hồ Chí Minh</v>
      </c>
      <c r="S91" s="7" t="str">
        <f ca="1">IFERROR(__xludf.DUMMYFUNCTION("""COMPUTED_VALUE"""),"Quận 9")</f>
        <v>Quận 9</v>
      </c>
      <c r="T91" s="7" t="str">
        <f ca="1">IFERROR(__xludf.DUMMYFUNCTION("SPARKLINE({
IF(D91="""",0,D91),
IF(F91="""",0,F91),
IF(H91="""",0,H91),
IF(J91="""",0,J91),
IF(L91="""",0,L91),
IF(N91="""",0,N91),
IF(P91="""",0,P91)
})"),"")</f>
        <v/>
      </c>
      <c r="U91" s="7" t="str">
        <f ca="1">IFERROR(__xludf.DUMMYFUNCTION("SPARKLINE({
IF(E91="""",0,E91),
IF(G91="""",0,G91),
IF(I91="""",0,I91),
IF(K91="""",0,K91),
IF(M91="""",0,M91),
IF(O91="""",0,O91),
IF(Q91="""",0,Q91)
})"),"")</f>
        <v/>
      </c>
      <c r="V91" s="30" t="e">
        <f t="array" aca="1" ref="V91" ca="1">IF($C$4="Giao",_xludf.Xlookup(C91,#REF!,#REF!,),_xludf.Xlookup(C91,#REF!,#REF!,))</f>
        <v>#NAME?</v>
      </c>
      <c r="W91" s="30" t="e">
        <f t="array" aca="1" ref="W91" ca="1">IF($C$4="Giao", _xludf.Xlookup(C91,#REF!,#REF!,),_xludf.Xlookup(C91,#REF!,#REF!,))</f>
        <v>#NAME?</v>
      </c>
      <c r="X91" s="9" t="e">
        <f t="shared" ca="1" si="2"/>
        <v>#NAME?</v>
      </c>
      <c r="Y91" s="7"/>
      <c r="Z91" s="7"/>
    </row>
    <row r="92" spans="1:26" ht="13" x14ac:dyDescent="0.6">
      <c r="A92" s="28">
        <f t="shared" ca="1" si="1"/>
        <v>85</v>
      </c>
      <c r="B92" s="7" t="str">
        <f ca="1">IFERROR(__xludf.DUMMYFUNCTION("""COMPUTED_VALUE"""),"Quận 9")</f>
        <v>Quận 9</v>
      </c>
      <c r="C92" s="7" t="str">
        <f ca="1">IFERROR(__xludf.DUMMYFUNCTION("""COMPUTED_VALUE"""),"Bưu Cục Phường Long Trường-Q9-HCM")</f>
        <v>Bưu Cục Phường Long Trường-Q9-HCM</v>
      </c>
      <c r="D92" s="9">
        <f ca="1">IFERROR(__xludf.DUMMYFUNCTION("""COMPUTED_VALUE"""),1550)</f>
        <v>1550</v>
      </c>
      <c r="E92" s="9">
        <f ca="1">IFERROR(__xludf.DUMMYFUNCTION("""COMPUTED_VALUE"""),4204)</f>
        <v>4204</v>
      </c>
      <c r="F92" s="9">
        <f ca="1">IFERROR(__xludf.DUMMYFUNCTION("""COMPUTED_VALUE"""),1425)</f>
        <v>1425</v>
      </c>
      <c r="G92" s="9">
        <f ca="1">IFERROR(__xludf.DUMMYFUNCTION("""COMPUTED_VALUE"""),4931)</f>
        <v>4931</v>
      </c>
      <c r="H92" s="9">
        <f ca="1">IFERROR(__xludf.DUMMYFUNCTION("""COMPUTED_VALUE"""),1577)</f>
        <v>1577</v>
      </c>
      <c r="I92" s="9">
        <f ca="1">IFERROR(__xludf.DUMMYFUNCTION("""COMPUTED_VALUE"""),3948)</f>
        <v>3948</v>
      </c>
      <c r="J92" s="9">
        <f ca="1">IFERROR(__xludf.DUMMYFUNCTION("""COMPUTED_VALUE"""),1520)</f>
        <v>1520</v>
      </c>
      <c r="K92" s="9">
        <f ca="1">IFERROR(__xludf.DUMMYFUNCTION("""COMPUTED_VALUE"""),3549)</f>
        <v>3549</v>
      </c>
      <c r="L92" s="9">
        <f ca="1">IFERROR(__xludf.DUMMYFUNCTION("""COMPUTED_VALUE"""),350)</f>
        <v>350</v>
      </c>
      <c r="M92" s="9">
        <f ca="1">IFERROR(__xludf.DUMMYFUNCTION("""COMPUTED_VALUE"""),1367)</f>
        <v>1367</v>
      </c>
      <c r="N92" s="9">
        <f ca="1">IFERROR(__xludf.DUMMYFUNCTION("""COMPUTED_VALUE"""),1486)</f>
        <v>1486</v>
      </c>
      <c r="O92" s="9">
        <f ca="1">IFERROR(__xludf.DUMMYFUNCTION("""COMPUTED_VALUE"""),3353)</f>
        <v>3353</v>
      </c>
      <c r="P92" s="29">
        <f ca="1">IFERROR(__xludf.DUMMYFUNCTION("""COMPUTED_VALUE"""),1176)</f>
        <v>1176</v>
      </c>
      <c r="Q92" s="29">
        <f ca="1">IFERROR(__xludf.DUMMYFUNCTION("""COMPUTED_VALUE"""),3119)</f>
        <v>3119</v>
      </c>
      <c r="R92" s="7" t="str">
        <f ca="1">IFERROR(__xludf.DUMMYFUNCTION("""COMPUTED_VALUE"""),"Hồ Chí Minh")</f>
        <v>Hồ Chí Minh</v>
      </c>
      <c r="S92" s="7" t="str">
        <f ca="1">IFERROR(__xludf.DUMMYFUNCTION("""COMPUTED_VALUE"""),"Quận 9")</f>
        <v>Quận 9</v>
      </c>
      <c r="T92" s="7" t="str">
        <f ca="1">IFERROR(__xludf.DUMMYFUNCTION("SPARKLINE({
IF(D92="""",0,D92),
IF(F92="""",0,F92),
IF(H92="""",0,H92),
IF(J92="""",0,J92),
IF(L92="""",0,L92),
IF(N92="""",0,N92),
IF(P92="""",0,P92)
})"),"")</f>
        <v/>
      </c>
      <c r="U92" s="7" t="str">
        <f ca="1">IFERROR(__xludf.DUMMYFUNCTION("SPARKLINE({
IF(E92="""",0,E92),
IF(G92="""",0,G92),
IF(I92="""",0,I92),
IF(K92="""",0,K92),
IF(M92="""",0,M92),
IF(O92="""",0,O92),
IF(Q92="""",0,Q92)
})"),"")</f>
        <v/>
      </c>
      <c r="V92" s="30" t="e">
        <f t="array" aca="1" ref="V92" ca="1">IF($C$4="Giao",_xludf.Xlookup(C92,#REF!,#REF!,),_xludf.Xlookup(C92,#REF!,#REF!,))</f>
        <v>#NAME?</v>
      </c>
      <c r="W92" s="30" t="e">
        <f t="array" aca="1" ref="W92" ca="1">IF($C$4="Giao", _xludf.Xlookup(C92,#REF!,#REF!,),_xludf.Xlookup(C92,#REF!,#REF!,))</f>
        <v>#NAME?</v>
      </c>
      <c r="X92" s="9" t="e">
        <f t="shared" ca="1" si="2"/>
        <v>#NAME?</v>
      </c>
      <c r="Y92" s="7"/>
      <c r="Z92" s="7"/>
    </row>
    <row r="93" spans="1:26" ht="13" x14ac:dyDescent="0.6">
      <c r="A93" s="28">
        <f t="shared" ca="1" si="1"/>
        <v>86</v>
      </c>
      <c r="B93" s="7" t="str">
        <f ca="1">IFERROR(__xludf.DUMMYFUNCTION("""COMPUTED_VALUE"""),"Quận 9")</f>
        <v>Quận 9</v>
      </c>
      <c r="C93" s="7" t="str">
        <f ca="1">IFERROR(__xludf.DUMMYFUNCTION("""COMPUTED_VALUE"""),"Bưu Cục Tăng Nhơn Phú B-Q.9-HCM")</f>
        <v>Bưu Cục Tăng Nhơn Phú B-Q.9-HCM</v>
      </c>
      <c r="D93" s="9">
        <f ca="1">IFERROR(__xludf.DUMMYFUNCTION("""COMPUTED_VALUE"""),1751)</f>
        <v>1751</v>
      </c>
      <c r="E93" s="9">
        <f ca="1">IFERROR(__xludf.DUMMYFUNCTION("""COMPUTED_VALUE"""),4669)</f>
        <v>4669</v>
      </c>
      <c r="F93" s="9">
        <f ca="1">IFERROR(__xludf.DUMMYFUNCTION("""COMPUTED_VALUE"""),1380)</f>
        <v>1380</v>
      </c>
      <c r="G93" s="9">
        <f ca="1">IFERROR(__xludf.DUMMYFUNCTION("""COMPUTED_VALUE"""),3615)</f>
        <v>3615</v>
      </c>
      <c r="H93" s="9">
        <f ca="1">IFERROR(__xludf.DUMMYFUNCTION("""COMPUTED_VALUE"""),1575)</f>
        <v>1575</v>
      </c>
      <c r="I93" s="9">
        <f ca="1">IFERROR(__xludf.DUMMYFUNCTION("""COMPUTED_VALUE"""),3995)</f>
        <v>3995</v>
      </c>
      <c r="J93" s="9">
        <f ca="1">IFERROR(__xludf.DUMMYFUNCTION("""COMPUTED_VALUE"""),1512)</f>
        <v>1512</v>
      </c>
      <c r="K93" s="9">
        <f ca="1">IFERROR(__xludf.DUMMYFUNCTION("""COMPUTED_VALUE"""),4219)</f>
        <v>4219</v>
      </c>
      <c r="L93" s="9">
        <f ca="1">IFERROR(__xludf.DUMMYFUNCTION("""COMPUTED_VALUE"""),612)</f>
        <v>612</v>
      </c>
      <c r="M93" s="9">
        <f ca="1">IFERROR(__xludf.DUMMYFUNCTION("""COMPUTED_VALUE"""),1448)</f>
        <v>1448</v>
      </c>
      <c r="N93" s="9">
        <f ca="1">IFERROR(__xludf.DUMMYFUNCTION("""COMPUTED_VALUE"""),1897)</f>
        <v>1897</v>
      </c>
      <c r="O93" s="9">
        <f ca="1">IFERROR(__xludf.DUMMYFUNCTION("""COMPUTED_VALUE"""),4981)</f>
        <v>4981</v>
      </c>
      <c r="P93" s="29">
        <f ca="1">IFERROR(__xludf.DUMMYFUNCTION("""COMPUTED_VALUE"""),1666)</f>
        <v>1666</v>
      </c>
      <c r="Q93" s="29">
        <f ca="1">IFERROR(__xludf.DUMMYFUNCTION("""COMPUTED_VALUE"""),5036)</f>
        <v>5036</v>
      </c>
      <c r="R93" s="7" t="str">
        <f ca="1">IFERROR(__xludf.DUMMYFUNCTION("""COMPUTED_VALUE"""),"Hồ Chí Minh")</f>
        <v>Hồ Chí Minh</v>
      </c>
      <c r="S93" s="7" t="str">
        <f ca="1">IFERROR(__xludf.DUMMYFUNCTION("""COMPUTED_VALUE"""),"Quận 9")</f>
        <v>Quận 9</v>
      </c>
      <c r="T93" s="7" t="str">
        <f ca="1">IFERROR(__xludf.DUMMYFUNCTION("SPARKLINE({
IF(D93="""",0,D93),
IF(F93="""",0,F93),
IF(H93="""",0,H93),
IF(J93="""",0,J93),
IF(L93="""",0,L93),
IF(N93="""",0,N93),
IF(P93="""",0,P93)
})"),"")</f>
        <v/>
      </c>
      <c r="U93" s="7" t="str">
        <f ca="1">IFERROR(__xludf.DUMMYFUNCTION("SPARKLINE({
IF(E93="""",0,E93),
IF(G93="""",0,G93),
IF(I93="""",0,I93),
IF(K93="""",0,K93),
IF(M93="""",0,M93),
IF(O93="""",0,O93),
IF(Q93="""",0,Q93)
})"),"")</f>
        <v/>
      </c>
      <c r="V93" s="30" t="e">
        <f t="array" aca="1" ref="V93" ca="1">IF($C$4="Giao",_xludf.Xlookup(C93,#REF!,#REF!,),_xludf.Xlookup(C93,#REF!,#REF!,))</f>
        <v>#NAME?</v>
      </c>
      <c r="W93" s="30" t="e">
        <f t="array" aca="1" ref="W93" ca="1">IF($C$4="Giao", _xludf.Xlookup(C93,#REF!,#REF!,),_xludf.Xlookup(C93,#REF!,#REF!,))</f>
        <v>#NAME?</v>
      </c>
      <c r="X93" s="9" t="e">
        <f t="shared" ca="1" si="2"/>
        <v>#NAME?</v>
      </c>
      <c r="Y93" s="7"/>
      <c r="Z93" s="7"/>
    </row>
    <row r="94" spans="1:26" ht="13" x14ac:dyDescent="0.6">
      <c r="A94" s="28">
        <f t="shared" ca="1" si="1"/>
        <v>87</v>
      </c>
      <c r="B94" s="7" t="str">
        <f ca="1">IFERROR(__xludf.DUMMYFUNCTION("""COMPUTED_VALUE"""),"Quận Bình Tân")</f>
        <v>Quận Bình Tân</v>
      </c>
      <c r="C94" s="7" t="str">
        <f ca="1">IFERROR(__xludf.DUMMYFUNCTION("""COMPUTED_VALUE"""),"Bưu Cục 107 Đường 3D-Bình Hưng Hòa B-Bình Tân-HCM")</f>
        <v>Bưu Cục 107 Đường 3D-Bình Hưng Hòa B-Bình Tân-HCM</v>
      </c>
      <c r="D94" s="9">
        <f ca="1">IFERROR(__xludf.DUMMYFUNCTION("""COMPUTED_VALUE"""),2060)</f>
        <v>2060</v>
      </c>
      <c r="E94" s="9">
        <f ca="1">IFERROR(__xludf.DUMMYFUNCTION("""COMPUTED_VALUE"""),5021)</f>
        <v>5021</v>
      </c>
      <c r="F94" s="9">
        <f ca="1">IFERROR(__xludf.DUMMYFUNCTION("""COMPUTED_VALUE"""),2209)</f>
        <v>2209</v>
      </c>
      <c r="G94" s="9">
        <f ca="1">IFERROR(__xludf.DUMMYFUNCTION("""COMPUTED_VALUE"""),6052)</f>
        <v>6052</v>
      </c>
      <c r="H94" s="9">
        <f ca="1">IFERROR(__xludf.DUMMYFUNCTION("""COMPUTED_VALUE"""),2268)</f>
        <v>2268</v>
      </c>
      <c r="I94" s="9">
        <f ca="1">IFERROR(__xludf.DUMMYFUNCTION("""COMPUTED_VALUE"""),5672)</f>
        <v>5672</v>
      </c>
      <c r="J94" s="9">
        <f ca="1">IFERROR(__xludf.DUMMYFUNCTION("""COMPUTED_VALUE"""),2786)</f>
        <v>2786</v>
      </c>
      <c r="K94" s="9">
        <f ca="1">IFERROR(__xludf.DUMMYFUNCTION("""COMPUTED_VALUE"""),6738)</f>
        <v>6738</v>
      </c>
      <c r="L94" s="9">
        <f ca="1">IFERROR(__xludf.DUMMYFUNCTION("""COMPUTED_VALUE"""),1784)</f>
        <v>1784</v>
      </c>
      <c r="M94" s="9">
        <f ca="1">IFERROR(__xludf.DUMMYFUNCTION("""COMPUTED_VALUE"""),2507)</f>
        <v>2507</v>
      </c>
      <c r="N94" s="9">
        <f ca="1">IFERROR(__xludf.DUMMYFUNCTION("""COMPUTED_VALUE"""),3080)</f>
        <v>3080</v>
      </c>
      <c r="O94" s="9">
        <f ca="1">IFERROR(__xludf.DUMMYFUNCTION("""COMPUTED_VALUE"""),6558)</f>
        <v>6558</v>
      </c>
      <c r="P94" s="29">
        <f ca="1">IFERROR(__xludf.DUMMYFUNCTION("""COMPUTED_VALUE"""),2437)</f>
        <v>2437</v>
      </c>
      <c r="Q94" s="29">
        <f ca="1">IFERROR(__xludf.DUMMYFUNCTION("""COMPUTED_VALUE"""),5600)</f>
        <v>5600</v>
      </c>
      <c r="R94" s="7" t="str">
        <f ca="1">IFERROR(__xludf.DUMMYFUNCTION("""COMPUTED_VALUE"""),"Hồ Chí Minh")</f>
        <v>Hồ Chí Minh</v>
      </c>
      <c r="S94" s="7" t="str">
        <f ca="1">IFERROR(__xludf.DUMMYFUNCTION("""COMPUTED_VALUE"""),"Quận Bình Tân")</f>
        <v>Quận Bình Tân</v>
      </c>
      <c r="T94" s="7" t="str">
        <f ca="1">IFERROR(__xludf.DUMMYFUNCTION("SPARKLINE({
IF(D94="""",0,D94),
IF(F94="""",0,F94),
IF(H94="""",0,H94),
IF(J94="""",0,J94),
IF(L94="""",0,L94),
IF(N94="""",0,N94),
IF(P94="""",0,P94)
})"),"")</f>
        <v/>
      </c>
      <c r="U94" s="7" t="str">
        <f ca="1">IFERROR(__xludf.DUMMYFUNCTION("SPARKLINE({
IF(E94="""",0,E94),
IF(G94="""",0,G94),
IF(I94="""",0,I94),
IF(K94="""",0,K94),
IF(M94="""",0,M94),
IF(O94="""",0,O94),
IF(Q94="""",0,Q94)
})"),"")</f>
        <v/>
      </c>
      <c r="V94" s="30" t="e">
        <f t="array" aca="1" ref="V94" ca="1">IF($C$4="Giao",_xludf.Xlookup(C94,#REF!,#REF!,),_xludf.Xlookup(C94,#REF!,#REF!,))</f>
        <v>#NAME?</v>
      </c>
      <c r="W94" s="30" t="e">
        <f t="array" aca="1" ref="W94" ca="1">IF($C$4="Giao", _xludf.Xlookup(C94,#REF!,#REF!,),_xludf.Xlookup(C94,#REF!,#REF!,))</f>
        <v>#NAME?</v>
      </c>
      <c r="X94" s="9" t="e">
        <f t="shared" ca="1" si="2"/>
        <v>#NAME?</v>
      </c>
      <c r="Y94" s="7"/>
      <c r="Z94" s="7"/>
    </row>
    <row r="95" spans="1:26" ht="13" x14ac:dyDescent="0.6">
      <c r="A95" s="28">
        <f t="shared" ca="1" si="1"/>
        <v>88</v>
      </c>
      <c r="B95" s="7" t="str">
        <f ca="1">IFERROR(__xludf.DUMMYFUNCTION("""COMPUTED_VALUE"""),"Quận Bình Tân")</f>
        <v>Quận Bình Tân</v>
      </c>
      <c r="C95" s="7" t="str">
        <f ca="1">IFERROR(__xludf.DUMMYFUNCTION("""COMPUTED_VALUE"""),"Bưu Cục 1440/1 Tỉnh Lộ 10-Tân Tạo-Bình Tân-HCM")</f>
        <v>Bưu Cục 1440/1 Tỉnh Lộ 10-Tân Tạo-Bình Tân-HCM</v>
      </c>
      <c r="D95" s="9">
        <f ca="1">IFERROR(__xludf.DUMMYFUNCTION("""COMPUTED_VALUE"""),1352)</f>
        <v>1352</v>
      </c>
      <c r="E95" s="9">
        <f ca="1">IFERROR(__xludf.DUMMYFUNCTION("""COMPUTED_VALUE"""),1847)</f>
        <v>1847</v>
      </c>
      <c r="F95" s="9">
        <f ca="1">IFERROR(__xludf.DUMMYFUNCTION("""COMPUTED_VALUE"""),1151)</f>
        <v>1151</v>
      </c>
      <c r="G95" s="9">
        <f ca="1">IFERROR(__xludf.DUMMYFUNCTION("""COMPUTED_VALUE"""),1932)</f>
        <v>1932</v>
      </c>
      <c r="H95" s="9">
        <f ca="1">IFERROR(__xludf.DUMMYFUNCTION("""COMPUTED_VALUE"""),1197)</f>
        <v>1197</v>
      </c>
      <c r="I95" s="9">
        <f ca="1">IFERROR(__xludf.DUMMYFUNCTION("""COMPUTED_VALUE"""),1697)</f>
        <v>1697</v>
      </c>
      <c r="J95" s="9">
        <f ca="1">IFERROR(__xludf.DUMMYFUNCTION("""COMPUTED_VALUE"""),1318)</f>
        <v>1318</v>
      </c>
      <c r="K95" s="9">
        <f ca="1">IFERROR(__xludf.DUMMYFUNCTION("""COMPUTED_VALUE"""),2815)</f>
        <v>2815</v>
      </c>
      <c r="L95" s="9">
        <f ca="1">IFERROR(__xludf.DUMMYFUNCTION("""COMPUTED_VALUE"""),420)</f>
        <v>420</v>
      </c>
      <c r="M95" s="9">
        <f ca="1">IFERROR(__xludf.DUMMYFUNCTION("""COMPUTED_VALUE"""),655)</f>
        <v>655</v>
      </c>
      <c r="N95" s="9">
        <f ca="1">IFERROR(__xludf.DUMMYFUNCTION("""COMPUTED_VALUE"""),1959)</f>
        <v>1959</v>
      </c>
      <c r="O95" s="9">
        <f ca="1">IFERROR(__xludf.DUMMYFUNCTION("""COMPUTED_VALUE"""),3388)</f>
        <v>3388</v>
      </c>
      <c r="P95" s="29">
        <f ca="1">IFERROR(__xludf.DUMMYFUNCTION("""COMPUTED_VALUE"""),2009)</f>
        <v>2009</v>
      </c>
      <c r="Q95" s="29">
        <f ca="1">IFERROR(__xludf.DUMMYFUNCTION("""COMPUTED_VALUE"""),3820)</f>
        <v>3820</v>
      </c>
      <c r="R95" s="7" t="str">
        <f ca="1">IFERROR(__xludf.DUMMYFUNCTION("""COMPUTED_VALUE"""),"Hồ Chí Minh")</f>
        <v>Hồ Chí Minh</v>
      </c>
      <c r="S95" s="7" t="str">
        <f ca="1">IFERROR(__xludf.DUMMYFUNCTION("""COMPUTED_VALUE"""),"Quận Bình Tân")</f>
        <v>Quận Bình Tân</v>
      </c>
      <c r="T95" s="7" t="str">
        <f ca="1">IFERROR(__xludf.DUMMYFUNCTION("SPARKLINE({
IF(D95="""",0,D95),
IF(F95="""",0,F95),
IF(H95="""",0,H95),
IF(J95="""",0,J95),
IF(L95="""",0,L95),
IF(N95="""",0,N95),
IF(P95="""",0,P95)
})"),"")</f>
        <v/>
      </c>
      <c r="U95" s="7" t="str">
        <f ca="1">IFERROR(__xludf.DUMMYFUNCTION("SPARKLINE({
IF(E95="""",0,E95),
IF(G95="""",0,G95),
IF(I95="""",0,I95),
IF(K95="""",0,K95),
IF(M95="""",0,M95),
IF(O95="""",0,O95),
IF(Q95="""",0,Q95)
})"),"")</f>
        <v/>
      </c>
      <c r="V95" s="30" t="e">
        <f t="array" aca="1" ref="V95" ca="1">IF($C$4="Giao",_xludf.Xlookup(C95,#REF!,#REF!,),_xludf.Xlookup(C95,#REF!,#REF!,))</f>
        <v>#NAME?</v>
      </c>
      <c r="W95" s="30" t="e">
        <f t="array" aca="1" ref="W95" ca="1">IF($C$4="Giao", _xludf.Xlookup(C95,#REF!,#REF!,),_xludf.Xlookup(C95,#REF!,#REF!,))</f>
        <v>#NAME?</v>
      </c>
      <c r="X95" s="9" t="e">
        <f t="shared" ca="1" si="2"/>
        <v>#NAME?</v>
      </c>
      <c r="Y95" s="7"/>
      <c r="Z95" s="7"/>
    </row>
    <row r="96" spans="1:26" ht="13" x14ac:dyDescent="0.6">
      <c r="A96" s="28">
        <f t="shared" ca="1" si="1"/>
        <v>89</v>
      </c>
      <c r="B96" s="7" t="str">
        <f ca="1">IFERROR(__xludf.DUMMYFUNCTION("""COMPUTED_VALUE"""),"Quận Bình Tân")</f>
        <v>Quận Bình Tân</v>
      </c>
      <c r="C96" s="7" t="str">
        <f ca="1">IFERROR(__xludf.DUMMYFUNCTION("""COMPUTED_VALUE"""),"Bưu Cục 235 Hồ Học Lãm-Q.Bình Tân-HCM")</f>
        <v>Bưu Cục 235 Hồ Học Lãm-Q.Bình Tân-HCM</v>
      </c>
      <c r="D96" s="9">
        <f ca="1">IFERROR(__xludf.DUMMYFUNCTION("""COMPUTED_VALUE"""),252)</f>
        <v>252</v>
      </c>
      <c r="E96" s="9">
        <f ca="1">IFERROR(__xludf.DUMMYFUNCTION("""COMPUTED_VALUE"""),2063)</f>
        <v>2063</v>
      </c>
      <c r="F96" s="9">
        <f ca="1">IFERROR(__xludf.DUMMYFUNCTION("""COMPUTED_VALUE"""),261)</f>
        <v>261</v>
      </c>
      <c r="G96" s="9">
        <f ca="1">IFERROR(__xludf.DUMMYFUNCTION("""COMPUTED_VALUE"""),1834)</f>
        <v>1834</v>
      </c>
      <c r="H96" s="9">
        <f ca="1">IFERROR(__xludf.DUMMYFUNCTION("""COMPUTED_VALUE"""),235)</f>
        <v>235</v>
      </c>
      <c r="I96" s="9">
        <f ca="1">IFERROR(__xludf.DUMMYFUNCTION("""COMPUTED_VALUE"""),1832)</f>
        <v>1832</v>
      </c>
      <c r="J96" s="9">
        <f ca="1">IFERROR(__xludf.DUMMYFUNCTION("""COMPUTED_VALUE"""),280)</f>
        <v>280</v>
      </c>
      <c r="K96" s="9">
        <f ca="1">IFERROR(__xludf.DUMMYFUNCTION("""COMPUTED_VALUE"""),2417)</f>
        <v>2417</v>
      </c>
      <c r="L96" s="9">
        <f ca="1">IFERROR(__xludf.DUMMYFUNCTION("""COMPUTED_VALUE"""),109)</f>
        <v>109</v>
      </c>
      <c r="M96" s="9">
        <f ca="1">IFERROR(__xludf.DUMMYFUNCTION("""COMPUTED_VALUE"""),468)</f>
        <v>468</v>
      </c>
      <c r="N96" s="9">
        <f ca="1">IFERROR(__xludf.DUMMYFUNCTION("""COMPUTED_VALUE"""),236)</f>
        <v>236</v>
      </c>
      <c r="O96" s="9">
        <f ca="1">IFERROR(__xludf.DUMMYFUNCTION("""COMPUTED_VALUE"""),1777)</f>
        <v>1777</v>
      </c>
      <c r="P96" s="29">
        <f ca="1">IFERROR(__xludf.DUMMYFUNCTION("""COMPUTED_VALUE"""),506)</f>
        <v>506</v>
      </c>
      <c r="Q96" s="29">
        <f ca="1">IFERROR(__xludf.DUMMYFUNCTION("""COMPUTED_VALUE"""),3375)</f>
        <v>3375</v>
      </c>
      <c r="R96" s="7" t="str">
        <f ca="1">IFERROR(__xludf.DUMMYFUNCTION("""COMPUTED_VALUE"""),"Hồ Chí Minh")</f>
        <v>Hồ Chí Minh</v>
      </c>
      <c r="S96" s="7" t="str">
        <f ca="1">IFERROR(__xludf.DUMMYFUNCTION("""COMPUTED_VALUE"""),"Quận Bình Tân")</f>
        <v>Quận Bình Tân</v>
      </c>
      <c r="T96" s="7" t="str">
        <f ca="1">IFERROR(__xludf.DUMMYFUNCTION("SPARKLINE({
IF(D96="""",0,D96),
IF(F96="""",0,F96),
IF(H96="""",0,H96),
IF(J96="""",0,J96),
IF(L96="""",0,L96),
IF(N96="""",0,N96),
IF(P96="""",0,P96)
})"),"")</f>
        <v/>
      </c>
      <c r="U96" s="7" t="str">
        <f ca="1">IFERROR(__xludf.DUMMYFUNCTION("SPARKLINE({
IF(E96="""",0,E96),
IF(G96="""",0,G96),
IF(I96="""",0,I96),
IF(K96="""",0,K96),
IF(M96="""",0,M96),
IF(O96="""",0,O96),
IF(Q96="""",0,Q96)
})"),"")</f>
        <v/>
      </c>
      <c r="V96" s="30" t="e">
        <f t="array" aca="1" ref="V96" ca="1">IF($C$4="Giao",_xludf.Xlookup(C96,#REF!,#REF!,),_xludf.Xlookup(C96,#REF!,#REF!,))</f>
        <v>#NAME?</v>
      </c>
      <c r="W96" s="30" t="e">
        <f t="array" aca="1" ref="W96" ca="1">IF($C$4="Giao", _xludf.Xlookup(C96,#REF!,#REF!,),_xludf.Xlookup(C96,#REF!,#REF!,))</f>
        <v>#NAME?</v>
      </c>
      <c r="X96" s="9" t="e">
        <f t="shared" ca="1" si="2"/>
        <v>#NAME?</v>
      </c>
      <c r="Y96" s="7"/>
      <c r="Z96" s="7"/>
    </row>
    <row r="97" spans="1:26" ht="13" x14ac:dyDescent="0.6">
      <c r="A97" s="28">
        <f t="shared" ca="1" si="1"/>
        <v>90</v>
      </c>
      <c r="B97" s="7" t="str">
        <f ca="1">IFERROR(__xludf.DUMMYFUNCTION("""COMPUTED_VALUE"""),"Quận Bình Tân")</f>
        <v>Quận Bình Tân</v>
      </c>
      <c r="C97" s="7" t="str">
        <f ca="1">IFERROR(__xludf.DUMMYFUNCTION("""COMPUTED_VALUE"""),"Bưu Cục 38 Đường Số 3-Q.Bình Tân-HCM")</f>
        <v>Bưu Cục 38 Đường Số 3-Q.Bình Tân-HCM</v>
      </c>
      <c r="D97" s="9">
        <f ca="1">IFERROR(__xludf.DUMMYFUNCTION("""COMPUTED_VALUE"""),2519)</f>
        <v>2519</v>
      </c>
      <c r="E97" s="9">
        <f ca="1">IFERROR(__xludf.DUMMYFUNCTION("""COMPUTED_VALUE"""),5518)</f>
        <v>5518</v>
      </c>
      <c r="F97" s="9">
        <f ca="1">IFERROR(__xludf.DUMMYFUNCTION("""COMPUTED_VALUE"""),1887)</f>
        <v>1887</v>
      </c>
      <c r="G97" s="9">
        <f ca="1">IFERROR(__xludf.DUMMYFUNCTION("""COMPUTED_VALUE"""),4649)</f>
        <v>4649</v>
      </c>
      <c r="H97" s="9">
        <f ca="1">IFERROR(__xludf.DUMMYFUNCTION("""COMPUTED_VALUE"""),1844)</f>
        <v>1844</v>
      </c>
      <c r="I97" s="9">
        <f ca="1">IFERROR(__xludf.DUMMYFUNCTION("""COMPUTED_VALUE"""),4103)</f>
        <v>4103</v>
      </c>
      <c r="J97" s="9">
        <f ca="1">IFERROR(__xludf.DUMMYFUNCTION("""COMPUTED_VALUE"""),2546)</f>
        <v>2546</v>
      </c>
      <c r="K97" s="9">
        <f ca="1">IFERROR(__xludf.DUMMYFUNCTION("""COMPUTED_VALUE"""),5870)</f>
        <v>5870</v>
      </c>
      <c r="L97" s="9">
        <f ca="1">IFERROR(__xludf.DUMMYFUNCTION("""COMPUTED_VALUE"""),945)</f>
        <v>945</v>
      </c>
      <c r="M97" s="9">
        <f ca="1">IFERROR(__xludf.DUMMYFUNCTION("""COMPUTED_VALUE"""),1803)</f>
        <v>1803</v>
      </c>
      <c r="N97" s="9">
        <f ca="1">IFERROR(__xludf.DUMMYFUNCTION("""COMPUTED_VALUE"""),2760)</f>
        <v>2760</v>
      </c>
      <c r="O97" s="9">
        <f ca="1">IFERROR(__xludf.DUMMYFUNCTION("""COMPUTED_VALUE"""),6649)</f>
        <v>6649</v>
      </c>
      <c r="P97" s="29">
        <f ca="1">IFERROR(__xludf.DUMMYFUNCTION("""COMPUTED_VALUE"""),1991)</f>
        <v>1991</v>
      </c>
      <c r="Q97" s="29">
        <f ca="1">IFERROR(__xludf.DUMMYFUNCTION("""COMPUTED_VALUE"""),4477)</f>
        <v>4477</v>
      </c>
      <c r="R97" s="7" t="str">
        <f ca="1">IFERROR(__xludf.DUMMYFUNCTION("""COMPUTED_VALUE"""),"Hồ Chí Minh")</f>
        <v>Hồ Chí Minh</v>
      </c>
      <c r="S97" s="7" t="str">
        <f ca="1">IFERROR(__xludf.DUMMYFUNCTION("""COMPUTED_VALUE"""),"Quận Bình Tân")</f>
        <v>Quận Bình Tân</v>
      </c>
      <c r="T97" s="7" t="str">
        <f ca="1">IFERROR(__xludf.DUMMYFUNCTION("SPARKLINE({
IF(D97="""",0,D97),
IF(F97="""",0,F97),
IF(H97="""",0,H97),
IF(J97="""",0,J97),
IF(L97="""",0,L97),
IF(N97="""",0,N97),
IF(P97="""",0,P97)
})"),"")</f>
        <v/>
      </c>
      <c r="U97" s="7" t="str">
        <f ca="1">IFERROR(__xludf.DUMMYFUNCTION("SPARKLINE({
IF(E97="""",0,E97),
IF(G97="""",0,G97),
IF(I97="""",0,I97),
IF(K97="""",0,K97),
IF(M97="""",0,M97),
IF(O97="""",0,O97),
IF(Q97="""",0,Q97)
})"),"")</f>
        <v/>
      </c>
      <c r="V97" s="30" t="e">
        <f t="array" aca="1" ref="V97" ca="1">IF($C$4="Giao",_xludf.Xlookup(C97,#REF!,#REF!,),_xludf.Xlookup(C97,#REF!,#REF!,))</f>
        <v>#NAME?</v>
      </c>
      <c r="W97" s="30" t="e">
        <f t="array" aca="1" ref="W97" ca="1">IF($C$4="Giao", _xludf.Xlookup(C97,#REF!,#REF!,),_xludf.Xlookup(C97,#REF!,#REF!,))</f>
        <v>#NAME?</v>
      </c>
      <c r="X97" s="9" t="e">
        <f t="shared" ca="1" si="2"/>
        <v>#NAME?</v>
      </c>
      <c r="Y97" s="7"/>
      <c r="Z97" s="7"/>
    </row>
    <row r="98" spans="1:26" ht="13" x14ac:dyDescent="0.6">
      <c r="A98" s="28">
        <f t="shared" ca="1" si="1"/>
        <v>91</v>
      </c>
      <c r="B98" s="7" t="str">
        <f ca="1">IFERROR(__xludf.DUMMYFUNCTION("""COMPUTED_VALUE"""),"Quận Bình Tân")</f>
        <v>Quận Bình Tân</v>
      </c>
      <c r="C98" s="7" t="str">
        <f ca="1">IFERROR(__xludf.DUMMYFUNCTION("""COMPUTED_VALUE"""),"Bưu Cục 59 Trương Phước Phan-Q.Bình Tân-HCM")</f>
        <v>Bưu Cục 59 Trương Phước Phan-Q.Bình Tân-HCM</v>
      </c>
      <c r="D98" s="9">
        <f ca="1">IFERROR(__xludf.DUMMYFUNCTION("""COMPUTED_VALUE"""),3011)</f>
        <v>3011</v>
      </c>
      <c r="E98" s="9">
        <f ca="1">IFERROR(__xludf.DUMMYFUNCTION("""COMPUTED_VALUE"""),4515)</f>
        <v>4515</v>
      </c>
      <c r="F98" s="9">
        <f ca="1">IFERROR(__xludf.DUMMYFUNCTION("""COMPUTED_VALUE"""),2873)</f>
        <v>2873</v>
      </c>
      <c r="G98" s="9">
        <f ca="1">IFERROR(__xludf.DUMMYFUNCTION("""COMPUTED_VALUE"""),3829)</f>
        <v>3829</v>
      </c>
      <c r="H98" s="9">
        <f ca="1">IFERROR(__xludf.DUMMYFUNCTION("""COMPUTED_VALUE"""),2934)</f>
        <v>2934</v>
      </c>
      <c r="I98" s="9">
        <f ca="1">IFERROR(__xludf.DUMMYFUNCTION("""COMPUTED_VALUE"""),4100)</f>
        <v>4100</v>
      </c>
      <c r="J98" s="9">
        <f ca="1">IFERROR(__xludf.DUMMYFUNCTION("""COMPUTED_VALUE"""),2788)</f>
        <v>2788</v>
      </c>
      <c r="K98" s="9">
        <f ca="1">IFERROR(__xludf.DUMMYFUNCTION("""COMPUTED_VALUE"""),5825)</f>
        <v>5825</v>
      </c>
      <c r="L98" s="9">
        <f ca="1">IFERROR(__xludf.DUMMYFUNCTION("""COMPUTED_VALUE"""),1801)</f>
        <v>1801</v>
      </c>
      <c r="M98" s="9">
        <f ca="1">IFERROR(__xludf.DUMMYFUNCTION("""COMPUTED_VALUE"""),1437)</f>
        <v>1437</v>
      </c>
      <c r="N98" s="9">
        <f ca="1">IFERROR(__xludf.DUMMYFUNCTION("""COMPUTED_VALUE"""),3151)</f>
        <v>3151</v>
      </c>
      <c r="O98" s="9">
        <f ca="1">IFERROR(__xludf.DUMMYFUNCTION("""COMPUTED_VALUE"""),5411)</f>
        <v>5411</v>
      </c>
      <c r="P98" s="29">
        <f ca="1">IFERROR(__xludf.DUMMYFUNCTION("""COMPUTED_VALUE"""),3012)</f>
        <v>3012</v>
      </c>
      <c r="Q98" s="29">
        <f ca="1">IFERROR(__xludf.DUMMYFUNCTION("""COMPUTED_VALUE"""),4046)</f>
        <v>4046</v>
      </c>
      <c r="R98" s="7" t="str">
        <f ca="1">IFERROR(__xludf.DUMMYFUNCTION("""COMPUTED_VALUE"""),"Hồ Chí Minh")</f>
        <v>Hồ Chí Minh</v>
      </c>
      <c r="S98" s="7" t="str">
        <f ca="1">IFERROR(__xludf.DUMMYFUNCTION("""COMPUTED_VALUE"""),"Quận Bình Tân")</f>
        <v>Quận Bình Tân</v>
      </c>
      <c r="T98" s="7" t="str">
        <f ca="1">IFERROR(__xludf.DUMMYFUNCTION("SPARKLINE({
IF(D98="""",0,D98),
IF(F98="""",0,F98),
IF(H98="""",0,H98),
IF(J98="""",0,J98),
IF(L98="""",0,L98),
IF(N98="""",0,N98),
IF(P98="""",0,P98)
})"),"")</f>
        <v/>
      </c>
      <c r="U98" s="7" t="str">
        <f ca="1">IFERROR(__xludf.DUMMYFUNCTION("SPARKLINE({
IF(E98="""",0,E98),
IF(G98="""",0,G98),
IF(I98="""",0,I98),
IF(K98="""",0,K98),
IF(M98="""",0,M98),
IF(O98="""",0,O98),
IF(Q98="""",0,Q98)
})"),"")</f>
        <v/>
      </c>
      <c r="V98" s="30" t="e">
        <f t="array" aca="1" ref="V98" ca="1">IF($C$4="Giao",_xludf.Xlookup(C98,#REF!,#REF!,),_xludf.Xlookup(C98,#REF!,#REF!,))</f>
        <v>#NAME?</v>
      </c>
      <c r="W98" s="30" t="e">
        <f t="array" aca="1" ref="W98" ca="1">IF($C$4="Giao", _xludf.Xlookup(C98,#REF!,#REF!,),_xludf.Xlookup(C98,#REF!,#REF!,))</f>
        <v>#NAME?</v>
      </c>
      <c r="X98" s="9" t="e">
        <f t="shared" ca="1" si="2"/>
        <v>#NAME?</v>
      </c>
      <c r="Y98" s="7"/>
      <c r="Z98" s="7"/>
    </row>
    <row r="99" spans="1:26" ht="13" x14ac:dyDescent="0.6">
      <c r="A99" s="28">
        <f t="shared" ca="1" si="1"/>
        <v>92</v>
      </c>
      <c r="B99" s="7" t="str">
        <f ca="1">IFERROR(__xludf.DUMMYFUNCTION("""COMPUTED_VALUE"""),"Quận Bình Tân")</f>
        <v>Quận Bình Tân</v>
      </c>
      <c r="C99" s="7" t="str">
        <f ca="1">IFERROR(__xludf.DUMMYFUNCTION("""COMPUTED_VALUE"""),"Bưu Cục 8F Gò Xoài-Bình Hưng Hòa A-Bình Tân-HCM")</f>
        <v>Bưu Cục 8F Gò Xoài-Bình Hưng Hòa A-Bình Tân-HCM</v>
      </c>
      <c r="D99" s="9">
        <f ca="1">IFERROR(__xludf.DUMMYFUNCTION("""COMPUTED_VALUE"""),4600)</f>
        <v>4600</v>
      </c>
      <c r="E99" s="9">
        <f ca="1">IFERROR(__xludf.DUMMYFUNCTION("""COMPUTED_VALUE"""),7704)</f>
        <v>7704</v>
      </c>
      <c r="F99" s="9">
        <f ca="1">IFERROR(__xludf.DUMMYFUNCTION("""COMPUTED_VALUE"""),4325)</f>
        <v>4325</v>
      </c>
      <c r="G99" s="9">
        <f ca="1">IFERROR(__xludf.DUMMYFUNCTION("""COMPUTED_VALUE"""),7805)</f>
        <v>7805</v>
      </c>
      <c r="H99" s="9">
        <f ca="1">IFERROR(__xludf.DUMMYFUNCTION("""COMPUTED_VALUE"""),4740)</f>
        <v>4740</v>
      </c>
      <c r="I99" s="9">
        <f ca="1">IFERROR(__xludf.DUMMYFUNCTION("""COMPUTED_VALUE"""),7371)</f>
        <v>7371</v>
      </c>
      <c r="J99" s="9">
        <f ca="1">IFERROR(__xludf.DUMMYFUNCTION("""COMPUTED_VALUE"""),5608)</f>
        <v>5608</v>
      </c>
      <c r="K99" s="9">
        <f ca="1">IFERROR(__xludf.DUMMYFUNCTION("""COMPUTED_VALUE"""),9336)</f>
        <v>9336</v>
      </c>
      <c r="L99" s="9">
        <f ca="1">IFERROR(__xludf.DUMMYFUNCTION("""COMPUTED_VALUE"""),3233)</f>
        <v>3233</v>
      </c>
      <c r="M99" s="9">
        <f ca="1">IFERROR(__xludf.DUMMYFUNCTION("""COMPUTED_VALUE"""),4652)</f>
        <v>4652</v>
      </c>
      <c r="N99" s="9">
        <f ca="1">IFERROR(__xludf.DUMMYFUNCTION("""COMPUTED_VALUE"""),6027)</f>
        <v>6027</v>
      </c>
      <c r="O99" s="9">
        <f ca="1">IFERROR(__xludf.DUMMYFUNCTION("""COMPUTED_VALUE"""),8854)</f>
        <v>8854</v>
      </c>
      <c r="P99" s="29">
        <f ca="1">IFERROR(__xludf.DUMMYFUNCTION("""COMPUTED_VALUE"""),5260)</f>
        <v>5260</v>
      </c>
      <c r="Q99" s="29">
        <f ca="1">IFERROR(__xludf.DUMMYFUNCTION("""COMPUTED_VALUE"""),7037)</f>
        <v>7037</v>
      </c>
      <c r="R99" s="7" t="str">
        <f ca="1">IFERROR(__xludf.DUMMYFUNCTION("""COMPUTED_VALUE"""),"Hồ Chí Minh")</f>
        <v>Hồ Chí Minh</v>
      </c>
      <c r="S99" s="7" t="str">
        <f ca="1">IFERROR(__xludf.DUMMYFUNCTION("""COMPUTED_VALUE"""),"Quận Bình Tân")</f>
        <v>Quận Bình Tân</v>
      </c>
      <c r="T99" s="7" t="str">
        <f ca="1">IFERROR(__xludf.DUMMYFUNCTION("SPARKLINE({
IF(D99="""",0,D99),
IF(F99="""",0,F99),
IF(H99="""",0,H99),
IF(J99="""",0,J99),
IF(L99="""",0,L99),
IF(N99="""",0,N99),
IF(P99="""",0,P99)
})"),"")</f>
        <v/>
      </c>
      <c r="U99" s="7" t="str">
        <f ca="1">IFERROR(__xludf.DUMMYFUNCTION("SPARKLINE({
IF(E99="""",0,E99),
IF(G99="""",0,G99),
IF(I99="""",0,I99),
IF(K99="""",0,K99),
IF(M99="""",0,M99),
IF(O99="""",0,O99),
IF(Q99="""",0,Q99)
})"),"")</f>
        <v/>
      </c>
      <c r="V99" s="30" t="e">
        <f t="array" aca="1" ref="V99" ca="1">IF($C$4="Giao",_xludf.Xlookup(C99,#REF!,#REF!,),_xludf.Xlookup(C99,#REF!,#REF!,))</f>
        <v>#NAME?</v>
      </c>
      <c r="W99" s="30" t="e">
        <f t="array" aca="1" ref="W99" ca="1">IF($C$4="Giao", _xludf.Xlookup(C99,#REF!,#REF!,),_xludf.Xlookup(C99,#REF!,#REF!,))</f>
        <v>#NAME?</v>
      </c>
      <c r="X99" s="9" t="e">
        <f t="shared" ca="1" si="2"/>
        <v>#NAME?</v>
      </c>
      <c r="Y99" s="7"/>
      <c r="Z99" s="7"/>
    </row>
    <row r="100" spans="1:26" ht="13" x14ac:dyDescent="0.6">
      <c r="A100" s="28">
        <f t="shared" ca="1" si="1"/>
        <v>93</v>
      </c>
      <c r="B100" s="7" t="str">
        <f ca="1">IFERROR(__xludf.DUMMYFUNCTION("""COMPUTED_VALUE"""),"Quận Bình Tân")</f>
        <v>Quận Bình Tân</v>
      </c>
      <c r="C100" s="7" t="str">
        <f ca="1">IFERROR(__xludf.DUMMYFUNCTION("""COMPUTED_VALUE"""),"Bưu Cục Chuyên Lấy 1162/6A Tỉnh Lộ 10-Q.Bình Tân-HCM")</f>
        <v>Bưu Cục Chuyên Lấy 1162/6A Tỉnh Lộ 10-Q.Bình Tân-HCM</v>
      </c>
      <c r="D100" s="9">
        <f ca="1">IFERROR(__xludf.DUMMYFUNCTION("""COMPUTED_VALUE"""),1211)</f>
        <v>1211</v>
      </c>
      <c r="E100" s="9">
        <f ca="1">IFERROR(__xludf.DUMMYFUNCTION("""COMPUTED_VALUE"""),1943)</f>
        <v>1943</v>
      </c>
      <c r="F100" s="9">
        <f ca="1">IFERROR(__xludf.DUMMYFUNCTION("""COMPUTED_VALUE"""),1582)</f>
        <v>1582</v>
      </c>
      <c r="G100" s="9">
        <f ca="1">IFERROR(__xludf.DUMMYFUNCTION("""COMPUTED_VALUE"""),2240)</f>
        <v>2240</v>
      </c>
      <c r="H100" s="9">
        <f ca="1">IFERROR(__xludf.DUMMYFUNCTION("""COMPUTED_VALUE"""),2008)</f>
        <v>2008</v>
      </c>
      <c r="I100" s="9">
        <f ca="1">IFERROR(__xludf.DUMMYFUNCTION("""COMPUTED_VALUE"""),2425)</f>
        <v>2425</v>
      </c>
      <c r="J100" s="9">
        <f ca="1">IFERROR(__xludf.DUMMYFUNCTION("""COMPUTED_VALUE"""),1985)</f>
        <v>1985</v>
      </c>
      <c r="K100" s="9">
        <f ca="1">IFERROR(__xludf.DUMMYFUNCTION("""COMPUTED_VALUE"""),3418)</f>
        <v>3418</v>
      </c>
      <c r="L100" s="9">
        <f ca="1">IFERROR(__xludf.DUMMYFUNCTION("""COMPUTED_VALUE"""),1588)</f>
        <v>1588</v>
      </c>
      <c r="M100" s="9">
        <f ca="1">IFERROR(__xludf.DUMMYFUNCTION("""COMPUTED_VALUE"""),1501)</f>
        <v>1501</v>
      </c>
      <c r="N100" s="9">
        <f ca="1">IFERROR(__xludf.DUMMYFUNCTION("""COMPUTED_VALUE"""),2022)</f>
        <v>2022</v>
      </c>
      <c r="O100" s="9">
        <f ca="1">IFERROR(__xludf.DUMMYFUNCTION("""COMPUTED_VALUE"""),3469)</f>
        <v>3469</v>
      </c>
      <c r="P100" s="29">
        <f ca="1">IFERROR(__xludf.DUMMYFUNCTION("""COMPUTED_VALUE"""),2179)</f>
        <v>2179</v>
      </c>
      <c r="Q100" s="29">
        <f ca="1">IFERROR(__xludf.DUMMYFUNCTION("""COMPUTED_VALUE"""),3237)</f>
        <v>3237</v>
      </c>
      <c r="R100" s="7" t="str">
        <f ca="1">IFERROR(__xludf.DUMMYFUNCTION("""COMPUTED_VALUE"""),"Hồ Chí Minh")</f>
        <v>Hồ Chí Minh</v>
      </c>
      <c r="S100" s="7" t="str">
        <f ca="1">IFERROR(__xludf.DUMMYFUNCTION("""COMPUTED_VALUE"""),"Quận Bình Tân")</f>
        <v>Quận Bình Tân</v>
      </c>
      <c r="T100" s="7" t="str">
        <f ca="1">IFERROR(__xludf.DUMMYFUNCTION("SPARKLINE({
IF(D100="""",0,D100),
IF(F100="""",0,F100),
IF(H100="""",0,H100),
IF(J100="""",0,J100),
IF(L100="""",0,L100),
IF(N100="""",0,N100),
IF(P100="""",0,P100)
})"),"")</f>
        <v/>
      </c>
      <c r="U100" s="7" t="str">
        <f ca="1">IFERROR(__xludf.DUMMYFUNCTION("SPARKLINE({
IF(E100="""",0,E100),
IF(G100="""",0,G100),
IF(I100="""",0,I100),
IF(K100="""",0,K100),
IF(M100="""",0,M100),
IF(O100="""",0,O100),
IF(Q100="""",0,Q100)
})"),"")</f>
        <v/>
      </c>
      <c r="V100" s="30" t="e">
        <f t="array" aca="1" ref="V100" ca="1">IF($C$4="Giao",_xludf.Xlookup(C100,#REF!,#REF!,),_xludf.Xlookup(C100,#REF!,#REF!,))</f>
        <v>#NAME?</v>
      </c>
      <c r="W100" s="30" t="e">
        <f t="array" aca="1" ref="W100" ca="1">IF($C$4="Giao", _xludf.Xlookup(C100,#REF!,#REF!,),_xludf.Xlookup(C100,#REF!,#REF!,))</f>
        <v>#NAME?</v>
      </c>
      <c r="X100" s="9" t="e">
        <f t="shared" ca="1" si="2"/>
        <v>#NAME?</v>
      </c>
      <c r="Y100" s="7"/>
      <c r="Z100" s="7"/>
    </row>
    <row r="101" spans="1:26" ht="13" x14ac:dyDescent="0.6">
      <c r="A101" s="28">
        <f t="shared" ca="1" si="1"/>
        <v>94</v>
      </c>
      <c r="B101" s="7" t="str">
        <f ca="1">IFERROR(__xludf.DUMMYFUNCTION("""COMPUTED_VALUE"""),"Quận Bình Tân")</f>
        <v>Quận Bình Tân</v>
      </c>
      <c r="C101" s="7" t="str">
        <f ca="1">IFERROR(__xludf.DUMMYFUNCTION("""COMPUTED_VALUE"""),"Bưu Cục Hàng Vừa Bình Tân Kho 01 1162/6A Tỉnh Lộ 10-HCM")</f>
        <v>Bưu Cục Hàng Vừa Bình Tân Kho 01 1162/6A Tỉnh Lộ 10-HCM</v>
      </c>
      <c r="D101" s="9">
        <f ca="1">IFERROR(__xludf.DUMMYFUNCTION("""COMPUTED_VALUE"""),1)</f>
        <v>1</v>
      </c>
      <c r="E101" s="9">
        <f ca="1">IFERROR(__xludf.DUMMYFUNCTION("""COMPUTED_VALUE"""),12)</f>
        <v>12</v>
      </c>
      <c r="F101" s="9">
        <f ca="1">IFERROR(__xludf.DUMMYFUNCTION("""COMPUTED_VALUE"""),1)</f>
        <v>1</v>
      </c>
      <c r="G101" s="9">
        <f ca="1">IFERROR(__xludf.DUMMYFUNCTION("""COMPUTED_VALUE"""),0)</f>
        <v>0</v>
      </c>
      <c r="H101" s="9">
        <f ca="1">IFERROR(__xludf.DUMMYFUNCTION("""COMPUTED_VALUE"""),6)</f>
        <v>6</v>
      </c>
      <c r="I101" s="9">
        <f ca="1">IFERROR(__xludf.DUMMYFUNCTION("""COMPUTED_VALUE"""),37)</f>
        <v>37</v>
      </c>
      <c r="J101" s="9">
        <f ca="1">IFERROR(__xludf.DUMMYFUNCTION("""COMPUTED_VALUE"""),3)</f>
        <v>3</v>
      </c>
      <c r="K101" s="9">
        <f ca="1">IFERROR(__xludf.DUMMYFUNCTION("""COMPUTED_VALUE"""),162)</f>
        <v>162</v>
      </c>
      <c r="L101" s="9">
        <f ca="1">IFERROR(__xludf.DUMMYFUNCTION("""COMPUTED_VALUE"""),1)</f>
        <v>1</v>
      </c>
      <c r="M101" s="9">
        <f ca="1">IFERROR(__xludf.DUMMYFUNCTION("""COMPUTED_VALUE"""),0)</f>
        <v>0</v>
      </c>
      <c r="N101" s="9"/>
      <c r="O101" s="9"/>
      <c r="P101" s="29"/>
      <c r="Q101" s="29"/>
      <c r="R101" s="7" t="str">
        <f ca="1">IFERROR(__xludf.DUMMYFUNCTION("""COMPUTED_VALUE"""),"Hồ Chí Minh")</f>
        <v>Hồ Chí Minh</v>
      </c>
      <c r="S101" s="7" t="str">
        <f ca="1">IFERROR(__xludf.DUMMYFUNCTION("""COMPUTED_VALUE"""),"Quận Bình Tân")</f>
        <v>Quận Bình Tân</v>
      </c>
      <c r="T101" s="7" t="str">
        <f ca="1">IFERROR(__xludf.DUMMYFUNCTION("SPARKLINE({
IF(D101="""",0,D101),
IF(F101="""",0,F101),
IF(H101="""",0,H101),
IF(J101="""",0,J101),
IF(L101="""",0,L101),
IF(N101="""",0,N101),
IF(P101="""",0,P101)
})"),"")</f>
        <v/>
      </c>
      <c r="U101" s="7" t="str">
        <f ca="1">IFERROR(__xludf.DUMMYFUNCTION("SPARKLINE({
IF(E101="""",0,E101),
IF(G101="""",0,G101),
IF(I101="""",0,I101),
IF(K101="""",0,K101),
IF(M101="""",0,M101),
IF(O101="""",0,O101),
IF(Q101="""",0,Q101)
})"),"")</f>
        <v/>
      </c>
      <c r="V101" s="8" t="e">
        <f t="array" aca="1" ref="V101" ca="1">IF($C$4="Giao",_xludf.Xlookup(C101,#REF!,#REF!,),_xludf.Xlookup(C101,#REF!,#REF!,))</f>
        <v>#NAME?</v>
      </c>
      <c r="W101" s="8" t="e">
        <f t="array" aca="1" ref="W101" ca="1">IF($C$4="Giao", _xludf.Xlookup(C101,#REF!,#REF!,),_xludf.Xlookup(C101,#REF!,#REF!,))</f>
        <v>#NAME?</v>
      </c>
      <c r="X101" s="9" t="e">
        <f t="shared" ca="1" si="2"/>
        <v>#NAME?</v>
      </c>
      <c r="Y101" s="7"/>
      <c r="Z101" s="7"/>
    </row>
    <row r="102" spans="1:26" ht="13" x14ac:dyDescent="0.6">
      <c r="A102" s="28">
        <f t="shared" ca="1" si="1"/>
        <v>95</v>
      </c>
      <c r="B102" s="7" t="str">
        <f ca="1">IFERROR(__xludf.DUMMYFUNCTION("""COMPUTED_VALUE"""),"Quận Bình Tân")</f>
        <v>Quận Bình Tân</v>
      </c>
      <c r="C102" s="7" t="str">
        <f ca="1">IFERROR(__xludf.DUMMYFUNCTION("""COMPUTED_VALUE"""),"Bưu Cục Hàng Vừa Bình Tân Kho 02 1162/6A Tỉnh Lộ 10-HCM")</f>
        <v>Bưu Cục Hàng Vừa Bình Tân Kho 02 1162/6A Tỉnh Lộ 10-HCM</v>
      </c>
      <c r="D102" s="9"/>
      <c r="E102" s="9"/>
      <c r="F102" s="9">
        <f ca="1">IFERROR(__xludf.DUMMYFUNCTION("""COMPUTED_VALUE"""),1)</f>
        <v>1</v>
      </c>
      <c r="G102" s="9">
        <f ca="1">IFERROR(__xludf.DUMMYFUNCTION("""COMPUTED_VALUE"""),5)</f>
        <v>5</v>
      </c>
      <c r="H102" s="9"/>
      <c r="I102" s="9"/>
      <c r="J102" s="9">
        <f ca="1">IFERROR(__xludf.DUMMYFUNCTION("""COMPUTED_VALUE"""),11)</f>
        <v>11</v>
      </c>
      <c r="K102" s="9">
        <f ca="1">IFERROR(__xludf.DUMMYFUNCTION("""COMPUTED_VALUE"""),35)</f>
        <v>35</v>
      </c>
      <c r="L102" s="9">
        <f ca="1">IFERROR(__xludf.DUMMYFUNCTION("""COMPUTED_VALUE"""),1)</f>
        <v>1</v>
      </c>
      <c r="M102" s="9">
        <f ca="1">IFERROR(__xludf.DUMMYFUNCTION("""COMPUTED_VALUE"""),5)</f>
        <v>5</v>
      </c>
      <c r="N102" s="9"/>
      <c r="O102" s="9"/>
      <c r="P102" s="29"/>
      <c r="Q102" s="29"/>
      <c r="R102" s="7" t="str">
        <f ca="1">IFERROR(__xludf.DUMMYFUNCTION("""COMPUTED_VALUE"""),"Hồ Chí Minh")</f>
        <v>Hồ Chí Minh</v>
      </c>
      <c r="S102" s="7" t="str">
        <f ca="1">IFERROR(__xludf.DUMMYFUNCTION("""COMPUTED_VALUE"""),"Quận Bình Tân")</f>
        <v>Quận Bình Tân</v>
      </c>
      <c r="T102" s="7" t="str">
        <f ca="1">IFERROR(__xludf.DUMMYFUNCTION("SPARKLINE({
IF(D102="""",0,D102),
IF(F102="""",0,F102),
IF(H102="""",0,H102),
IF(J102="""",0,J102),
IF(L102="""",0,L102),
IF(N102="""",0,N102),
IF(P102="""",0,P102)
})"),"")</f>
        <v/>
      </c>
      <c r="U102" s="7" t="str">
        <f ca="1">IFERROR(__xludf.DUMMYFUNCTION("SPARKLINE({
IF(E102="""",0,E102),
IF(G102="""",0,G102),
IF(I102="""",0,I102),
IF(K102="""",0,K102),
IF(M102="""",0,M102),
IF(O102="""",0,O102),
IF(Q102="""",0,Q102)
})"),"")</f>
        <v/>
      </c>
      <c r="V102" s="8" t="e">
        <f t="array" aca="1" ref="V102" ca="1">IF($C$4="Giao",_xludf.Xlookup(C102,#REF!,#REF!,),_xludf.Xlookup(C102,#REF!,#REF!,))</f>
        <v>#NAME?</v>
      </c>
      <c r="W102" s="30" t="e">
        <f t="array" aca="1" ref="W102" ca="1">IF($C$4="Giao", _xludf.Xlookup(C102,#REF!,#REF!,),_xludf.Xlookup(C102,#REF!,#REF!,))</f>
        <v>#NAME?</v>
      </c>
      <c r="X102" s="9" t="e">
        <f t="shared" ca="1" si="2"/>
        <v>#NAME?</v>
      </c>
      <c r="Y102" s="7"/>
      <c r="Z102" s="7"/>
    </row>
    <row r="103" spans="1:26" ht="13" x14ac:dyDescent="0.6">
      <c r="A103" s="28">
        <f t="shared" ca="1" si="1"/>
        <v>96</v>
      </c>
      <c r="B103" s="7" t="str">
        <f ca="1">IFERROR(__xludf.DUMMYFUNCTION("""COMPUTED_VALUE"""),"Quận Bình Tân")</f>
        <v>Quận Bình Tân</v>
      </c>
      <c r="C103" s="7" t="str">
        <f ca="1">IFERROR(__xludf.DUMMYFUNCTION("""COMPUTED_VALUE"""),"Bưu Cục Hương Lộ 2-Bình Trị Đông A-Bình Tân")</f>
        <v>Bưu Cục Hương Lộ 2-Bình Trị Đông A-Bình Tân</v>
      </c>
      <c r="D103" s="9">
        <f ca="1">IFERROR(__xludf.DUMMYFUNCTION("""COMPUTED_VALUE"""),2215)</f>
        <v>2215</v>
      </c>
      <c r="E103" s="9">
        <f ca="1">IFERROR(__xludf.DUMMYFUNCTION("""COMPUTED_VALUE"""),6563)</f>
        <v>6563</v>
      </c>
      <c r="F103" s="9">
        <f ca="1">IFERROR(__xludf.DUMMYFUNCTION("""COMPUTED_VALUE"""),2207)</f>
        <v>2207</v>
      </c>
      <c r="G103" s="9">
        <f ca="1">IFERROR(__xludf.DUMMYFUNCTION("""COMPUTED_VALUE"""),5741)</f>
        <v>5741</v>
      </c>
      <c r="H103" s="9">
        <f ca="1">IFERROR(__xludf.DUMMYFUNCTION("""COMPUTED_VALUE"""),1825)</f>
        <v>1825</v>
      </c>
      <c r="I103" s="9">
        <f ca="1">IFERROR(__xludf.DUMMYFUNCTION("""COMPUTED_VALUE"""),5220)</f>
        <v>5220</v>
      </c>
      <c r="J103" s="9">
        <f ca="1">IFERROR(__xludf.DUMMYFUNCTION("""COMPUTED_VALUE"""),2271)</f>
        <v>2271</v>
      </c>
      <c r="K103" s="9">
        <f ca="1">IFERROR(__xludf.DUMMYFUNCTION("""COMPUTED_VALUE"""),7287)</f>
        <v>7287</v>
      </c>
      <c r="L103" s="9">
        <f ca="1">IFERROR(__xludf.DUMMYFUNCTION("""COMPUTED_VALUE"""),878)</f>
        <v>878</v>
      </c>
      <c r="M103" s="9">
        <f ca="1">IFERROR(__xludf.DUMMYFUNCTION("""COMPUTED_VALUE"""),2290)</f>
        <v>2290</v>
      </c>
      <c r="N103" s="9">
        <f ca="1">IFERROR(__xludf.DUMMYFUNCTION("""COMPUTED_VALUE"""),3278)</f>
        <v>3278</v>
      </c>
      <c r="O103" s="9">
        <f ca="1">IFERROR(__xludf.DUMMYFUNCTION("""COMPUTED_VALUE"""),8354)</f>
        <v>8354</v>
      </c>
      <c r="P103" s="29">
        <f ca="1">IFERROR(__xludf.DUMMYFUNCTION("""COMPUTED_VALUE"""),2334)</f>
        <v>2334</v>
      </c>
      <c r="Q103" s="29">
        <f ca="1">IFERROR(__xludf.DUMMYFUNCTION("""COMPUTED_VALUE"""),5442)</f>
        <v>5442</v>
      </c>
      <c r="R103" s="7" t="str">
        <f ca="1">IFERROR(__xludf.DUMMYFUNCTION("""COMPUTED_VALUE"""),"Hồ Chí Minh")</f>
        <v>Hồ Chí Minh</v>
      </c>
      <c r="S103" s="7" t="str">
        <f ca="1">IFERROR(__xludf.DUMMYFUNCTION("""COMPUTED_VALUE"""),"Quận Bình Tân")</f>
        <v>Quận Bình Tân</v>
      </c>
      <c r="T103" s="7" t="str">
        <f ca="1">IFERROR(__xludf.DUMMYFUNCTION("SPARKLINE({
IF(D103="""",0,D103),
IF(F103="""",0,F103),
IF(H103="""",0,H103),
IF(J103="""",0,J103),
IF(L103="""",0,L103),
IF(N103="""",0,N103),
IF(P103="""",0,P103)
})"),"")</f>
        <v/>
      </c>
      <c r="U103" s="7" t="str">
        <f ca="1">IFERROR(__xludf.DUMMYFUNCTION("SPARKLINE({
IF(E103="""",0,E103),
IF(G103="""",0,G103),
IF(I103="""",0,I103),
IF(K103="""",0,K103),
IF(M103="""",0,M103),
IF(O103="""",0,O103),
IF(Q103="""",0,Q103)
})"),"")</f>
        <v/>
      </c>
      <c r="V103" s="30" t="e">
        <f t="array" aca="1" ref="V103" ca="1">IF($C$4="Giao",_xludf.Xlookup(C103,#REF!,#REF!,),_xludf.Xlookup(C103,#REF!,#REF!,))</f>
        <v>#NAME?</v>
      </c>
      <c r="W103" s="30" t="e">
        <f t="array" aca="1" ref="W103" ca="1">IF($C$4="Giao", _xludf.Xlookup(C103,#REF!,#REF!,),_xludf.Xlookup(C103,#REF!,#REF!,))</f>
        <v>#NAME?</v>
      </c>
      <c r="X103" s="9" t="e">
        <f t="shared" ca="1" si="2"/>
        <v>#NAME?</v>
      </c>
      <c r="Y103" s="7"/>
      <c r="Z103" s="7"/>
    </row>
    <row r="104" spans="1:26" ht="13" x14ac:dyDescent="0.6">
      <c r="A104" s="28">
        <f t="shared" ca="1" si="1"/>
        <v>97</v>
      </c>
      <c r="B104" s="7" t="str">
        <f ca="1">IFERROR(__xludf.DUMMYFUNCTION("""COMPUTED_VALUE"""),"Quận Bình Tân")</f>
        <v>Quận Bình Tân</v>
      </c>
      <c r="C104" s="7" t="str">
        <f ca="1">IFERROR(__xludf.DUMMYFUNCTION("""COMPUTED_VALUE"""),"Bưu Cục Số 17 Đường Hoàng Văn Hợp-An Lạc A-Bình Tân-HCM")</f>
        <v>Bưu Cục Số 17 Đường Hoàng Văn Hợp-An Lạc A-Bình Tân-HCM</v>
      </c>
      <c r="D104" s="9">
        <f ca="1">IFERROR(__xludf.DUMMYFUNCTION("""COMPUTED_VALUE"""),1650)</f>
        <v>1650</v>
      </c>
      <c r="E104" s="9">
        <f ca="1">IFERROR(__xludf.DUMMYFUNCTION("""COMPUTED_VALUE"""),4428)</f>
        <v>4428</v>
      </c>
      <c r="F104" s="9">
        <f ca="1">IFERROR(__xludf.DUMMYFUNCTION("""COMPUTED_VALUE"""),1485)</f>
        <v>1485</v>
      </c>
      <c r="G104" s="9">
        <f ca="1">IFERROR(__xludf.DUMMYFUNCTION("""COMPUTED_VALUE"""),4405)</f>
        <v>4405</v>
      </c>
      <c r="H104" s="9">
        <f ca="1">IFERROR(__xludf.DUMMYFUNCTION("""COMPUTED_VALUE"""),1564)</f>
        <v>1564</v>
      </c>
      <c r="I104" s="9">
        <f ca="1">IFERROR(__xludf.DUMMYFUNCTION("""COMPUTED_VALUE"""),4066)</f>
        <v>4066</v>
      </c>
      <c r="J104" s="9">
        <f ca="1">IFERROR(__xludf.DUMMYFUNCTION("""COMPUTED_VALUE"""),1826)</f>
        <v>1826</v>
      </c>
      <c r="K104" s="9">
        <f ca="1">IFERROR(__xludf.DUMMYFUNCTION("""COMPUTED_VALUE"""),6476)</f>
        <v>6476</v>
      </c>
      <c r="L104" s="9">
        <f ca="1">IFERROR(__xludf.DUMMYFUNCTION("""COMPUTED_VALUE"""),1141)</f>
        <v>1141</v>
      </c>
      <c r="M104" s="9">
        <f ca="1">IFERROR(__xludf.DUMMYFUNCTION("""COMPUTED_VALUE"""),1687)</f>
        <v>1687</v>
      </c>
      <c r="N104" s="9">
        <f ca="1">IFERROR(__xludf.DUMMYFUNCTION("""COMPUTED_VALUE"""),2001)</f>
        <v>2001</v>
      </c>
      <c r="O104" s="9">
        <f ca="1">IFERROR(__xludf.DUMMYFUNCTION("""COMPUTED_VALUE"""),4879)</f>
        <v>4879</v>
      </c>
      <c r="P104" s="29">
        <f ca="1">IFERROR(__xludf.DUMMYFUNCTION("""COMPUTED_VALUE"""),1531)</f>
        <v>1531</v>
      </c>
      <c r="Q104" s="29">
        <f ca="1">IFERROR(__xludf.DUMMYFUNCTION("""COMPUTED_VALUE"""),4689)</f>
        <v>4689</v>
      </c>
      <c r="R104" s="7" t="str">
        <f ca="1">IFERROR(__xludf.DUMMYFUNCTION("""COMPUTED_VALUE"""),"Hồ Chí Minh")</f>
        <v>Hồ Chí Minh</v>
      </c>
      <c r="S104" s="7" t="str">
        <f ca="1">IFERROR(__xludf.DUMMYFUNCTION("""COMPUTED_VALUE"""),"Quận Bình Tân")</f>
        <v>Quận Bình Tân</v>
      </c>
      <c r="T104" s="7" t="str">
        <f ca="1">IFERROR(__xludf.DUMMYFUNCTION("SPARKLINE({
IF(D104="""",0,D104),
IF(F104="""",0,F104),
IF(H104="""",0,H104),
IF(J104="""",0,J104),
IF(L104="""",0,L104),
IF(N104="""",0,N104),
IF(P104="""",0,P104)
})"),"")</f>
        <v/>
      </c>
      <c r="U104" s="7" t="str">
        <f ca="1">IFERROR(__xludf.DUMMYFUNCTION("SPARKLINE({
IF(E104="""",0,E104),
IF(G104="""",0,G104),
IF(I104="""",0,I104),
IF(K104="""",0,K104),
IF(M104="""",0,M104),
IF(O104="""",0,O104),
IF(Q104="""",0,Q104)
})"),"")</f>
        <v/>
      </c>
      <c r="V104" s="30" t="e">
        <f t="array" aca="1" ref="V104" ca="1">IF($C$4="Giao",_xludf.Xlookup(C104,#REF!,#REF!,),_xludf.Xlookup(C104,#REF!,#REF!,))</f>
        <v>#NAME?</v>
      </c>
      <c r="W104" s="30" t="e">
        <f t="array" aca="1" ref="W104" ca="1">IF($C$4="Giao", _xludf.Xlookup(C104,#REF!,#REF!,),_xludf.Xlookup(C104,#REF!,#REF!,))</f>
        <v>#NAME?</v>
      </c>
      <c r="X104" s="9" t="e">
        <f t="shared" ca="1" si="2"/>
        <v>#NAME?</v>
      </c>
      <c r="Y104" s="7"/>
      <c r="Z104" s="7"/>
    </row>
    <row r="105" spans="1:26" ht="13" x14ac:dyDescent="0.6">
      <c r="A105" s="28">
        <f t="shared" ca="1" si="1"/>
        <v>98</v>
      </c>
      <c r="B105" s="7" t="str">
        <f ca="1">IFERROR(__xludf.DUMMYFUNCTION("""COMPUTED_VALUE"""),"Quận Bình Thạnh")</f>
        <v>Quận Bình Thạnh</v>
      </c>
      <c r="C105" s="7" t="str">
        <f ca="1">IFERROR(__xludf.DUMMYFUNCTION("""COMPUTED_VALUE"""),"Bưu Cục 104 Lương Ngọc Quyến-Q.Bình Thạnh-HCM")</f>
        <v>Bưu Cục 104 Lương Ngọc Quyến-Q.Bình Thạnh-HCM</v>
      </c>
      <c r="D105" s="9">
        <f ca="1">IFERROR(__xludf.DUMMYFUNCTION("""COMPUTED_VALUE"""),1503)</f>
        <v>1503</v>
      </c>
      <c r="E105" s="9">
        <f ca="1">IFERROR(__xludf.DUMMYFUNCTION("""COMPUTED_VALUE"""),2872)</f>
        <v>2872</v>
      </c>
      <c r="F105" s="9">
        <f ca="1">IFERROR(__xludf.DUMMYFUNCTION("""COMPUTED_VALUE"""),1044)</f>
        <v>1044</v>
      </c>
      <c r="G105" s="9">
        <f ca="1">IFERROR(__xludf.DUMMYFUNCTION("""COMPUTED_VALUE"""),2734)</f>
        <v>2734</v>
      </c>
      <c r="H105" s="9">
        <f ca="1">IFERROR(__xludf.DUMMYFUNCTION("""COMPUTED_VALUE"""),1143)</f>
        <v>1143</v>
      </c>
      <c r="I105" s="9">
        <f ca="1">IFERROR(__xludf.DUMMYFUNCTION("""COMPUTED_VALUE"""),2730)</f>
        <v>2730</v>
      </c>
      <c r="J105" s="9">
        <f ca="1">IFERROR(__xludf.DUMMYFUNCTION("""COMPUTED_VALUE"""),1325)</f>
        <v>1325</v>
      </c>
      <c r="K105" s="9">
        <f ca="1">IFERROR(__xludf.DUMMYFUNCTION("""COMPUTED_VALUE"""),3468)</f>
        <v>3468</v>
      </c>
      <c r="L105" s="9">
        <f ca="1">IFERROR(__xludf.DUMMYFUNCTION("""COMPUTED_VALUE"""),398)</f>
        <v>398</v>
      </c>
      <c r="M105" s="9">
        <f ca="1">IFERROR(__xludf.DUMMYFUNCTION("""COMPUTED_VALUE"""),837)</f>
        <v>837</v>
      </c>
      <c r="N105" s="9">
        <f ca="1">IFERROR(__xludf.DUMMYFUNCTION("""COMPUTED_VALUE"""),1849)</f>
        <v>1849</v>
      </c>
      <c r="O105" s="9">
        <f ca="1">IFERROR(__xludf.DUMMYFUNCTION("""COMPUTED_VALUE"""),3697)</f>
        <v>3697</v>
      </c>
      <c r="P105" s="29">
        <f ca="1">IFERROR(__xludf.DUMMYFUNCTION("""COMPUTED_VALUE"""),1596)</f>
        <v>1596</v>
      </c>
      <c r="Q105" s="29">
        <f ca="1">IFERROR(__xludf.DUMMYFUNCTION("""COMPUTED_VALUE"""),2746)</f>
        <v>2746</v>
      </c>
      <c r="R105" s="7" t="str">
        <f ca="1">IFERROR(__xludf.DUMMYFUNCTION("""COMPUTED_VALUE"""),"Hồ Chí Minh")</f>
        <v>Hồ Chí Minh</v>
      </c>
      <c r="S105" s="7" t="str">
        <f ca="1">IFERROR(__xludf.DUMMYFUNCTION("""COMPUTED_VALUE"""),"Quận Bình Thạnh")</f>
        <v>Quận Bình Thạnh</v>
      </c>
      <c r="T105" s="7" t="str">
        <f ca="1">IFERROR(__xludf.DUMMYFUNCTION("SPARKLINE({
IF(D105="""",0,D105),
IF(F105="""",0,F105),
IF(H105="""",0,H105),
IF(J105="""",0,J105),
IF(L105="""",0,L105),
IF(N105="""",0,N105),
IF(P105="""",0,P105)
})"),"")</f>
        <v/>
      </c>
      <c r="U105" s="7" t="str">
        <f ca="1">IFERROR(__xludf.DUMMYFUNCTION("SPARKLINE({
IF(E105="""",0,E105),
IF(G105="""",0,G105),
IF(I105="""",0,I105),
IF(K105="""",0,K105),
IF(M105="""",0,M105),
IF(O105="""",0,O105),
IF(Q105="""",0,Q105)
})"),"")</f>
        <v/>
      </c>
      <c r="V105" s="30" t="e">
        <f t="array" aca="1" ref="V105" ca="1">IF($C$4="Giao",_xludf.Xlookup(C105,#REF!,#REF!,),_xludf.Xlookup(C105,#REF!,#REF!,))</f>
        <v>#NAME?</v>
      </c>
      <c r="W105" s="30" t="e">
        <f t="array" aca="1" ref="W105" ca="1">IF($C$4="Giao", _xludf.Xlookup(C105,#REF!,#REF!,),_xludf.Xlookup(C105,#REF!,#REF!,))</f>
        <v>#NAME?</v>
      </c>
      <c r="X105" s="9" t="e">
        <f t="shared" ca="1" si="2"/>
        <v>#NAME?</v>
      </c>
      <c r="Y105" s="7"/>
      <c r="Z105" s="7"/>
    </row>
    <row r="106" spans="1:26" ht="13" x14ac:dyDescent="0.6">
      <c r="A106" s="28">
        <f t="shared" ca="1" si="1"/>
        <v>99</v>
      </c>
      <c r="B106" s="7" t="str">
        <f ca="1">IFERROR(__xludf.DUMMYFUNCTION("""COMPUTED_VALUE"""),"Quận Bình Thạnh")</f>
        <v>Quận Bình Thạnh</v>
      </c>
      <c r="C106" s="7" t="str">
        <f ca="1">IFERROR(__xludf.DUMMYFUNCTION("""COMPUTED_VALUE"""),"Bưu Cục 248A Nơ Trang Long-Q.Bình Thạnh-HCM")</f>
        <v>Bưu Cục 248A Nơ Trang Long-Q.Bình Thạnh-HCM</v>
      </c>
      <c r="D106" s="9">
        <f ca="1">IFERROR(__xludf.DUMMYFUNCTION("""COMPUTED_VALUE"""),1480)</f>
        <v>1480</v>
      </c>
      <c r="E106" s="9">
        <f ca="1">IFERROR(__xludf.DUMMYFUNCTION("""COMPUTED_VALUE"""),4707)</f>
        <v>4707</v>
      </c>
      <c r="F106" s="9">
        <f ca="1">IFERROR(__xludf.DUMMYFUNCTION("""COMPUTED_VALUE"""),1228)</f>
        <v>1228</v>
      </c>
      <c r="G106" s="9">
        <f ca="1">IFERROR(__xludf.DUMMYFUNCTION("""COMPUTED_VALUE"""),3550)</f>
        <v>3550</v>
      </c>
      <c r="H106" s="9">
        <f ca="1">IFERROR(__xludf.DUMMYFUNCTION("""COMPUTED_VALUE"""),1233)</f>
        <v>1233</v>
      </c>
      <c r="I106" s="9">
        <f ca="1">IFERROR(__xludf.DUMMYFUNCTION("""COMPUTED_VALUE"""),3304)</f>
        <v>3304</v>
      </c>
      <c r="J106" s="9">
        <f ca="1">IFERROR(__xludf.DUMMYFUNCTION("""COMPUTED_VALUE"""),1359)</f>
        <v>1359</v>
      </c>
      <c r="K106" s="9">
        <f ca="1">IFERROR(__xludf.DUMMYFUNCTION("""COMPUTED_VALUE"""),3899)</f>
        <v>3899</v>
      </c>
      <c r="L106" s="9">
        <f ca="1">IFERROR(__xludf.DUMMYFUNCTION("""COMPUTED_VALUE"""),762)</f>
        <v>762</v>
      </c>
      <c r="M106" s="9">
        <f ca="1">IFERROR(__xludf.DUMMYFUNCTION("""COMPUTED_VALUE"""),2026)</f>
        <v>2026</v>
      </c>
      <c r="N106" s="9">
        <f ca="1">IFERROR(__xludf.DUMMYFUNCTION("""COMPUTED_VALUE"""),1465)</f>
        <v>1465</v>
      </c>
      <c r="O106" s="9">
        <f ca="1">IFERROR(__xludf.DUMMYFUNCTION("""COMPUTED_VALUE"""),3099)</f>
        <v>3099</v>
      </c>
      <c r="P106" s="29">
        <f ca="1">IFERROR(__xludf.DUMMYFUNCTION("""COMPUTED_VALUE"""),1414)</f>
        <v>1414</v>
      </c>
      <c r="Q106" s="29">
        <f ca="1">IFERROR(__xludf.DUMMYFUNCTION("""COMPUTED_VALUE"""),3464)</f>
        <v>3464</v>
      </c>
      <c r="R106" s="7" t="str">
        <f ca="1">IFERROR(__xludf.DUMMYFUNCTION("""COMPUTED_VALUE"""),"Hồ Chí Minh")</f>
        <v>Hồ Chí Minh</v>
      </c>
      <c r="S106" s="7" t="str">
        <f ca="1">IFERROR(__xludf.DUMMYFUNCTION("""COMPUTED_VALUE"""),"Quận Bình Thạnh")</f>
        <v>Quận Bình Thạnh</v>
      </c>
      <c r="T106" s="7" t="str">
        <f ca="1">IFERROR(__xludf.DUMMYFUNCTION("SPARKLINE({
IF(D106="""",0,D106),
IF(F106="""",0,F106),
IF(H106="""",0,H106),
IF(J106="""",0,J106),
IF(L106="""",0,L106),
IF(N106="""",0,N106),
IF(P106="""",0,P106)
})"),"")</f>
        <v/>
      </c>
      <c r="U106" s="7" t="str">
        <f ca="1">IFERROR(__xludf.DUMMYFUNCTION("SPARKLINE({
IF(E106="""",0,E106),
IF(G106="""",0,G106),
IF(I106="""",0,I106),
IF(K106="""",0,K106),
IF(M106="""",0,M106),
IF(O106="""",0,O106),
IF(Q106="""",0,Q106)
})"),"")</f>
        <v/>
      </c>
      <c r="V106" s="30" t="e">
        <f t="array" aca="1" ref="V106" ca="1">IF($C$4="Giao",_xludf.Xlookup(C106,#REF!,#REF!,),_xludf.Xlookup(C106,#REF!,#REF!,))</f>
        <v>#NAME?</v>
      </c>
      <c r="W106" s="30" t="e">
        <f t="array" aca="1" ref="W106" ca="1">IF($C$4="Giao", _xludf.Xlookup(C106,#REF!,#REF!,),_xludf.Xlookup(C106,#REF!,#REF!,))</f>
        <v>#NAME?</v>
      </c>
      <c r="X106" s="9" t="e">
        <f t="shared" ca="1" si="2"/>
        <v>#NAME?</v>
      </c>
      <c r="Y106" s="7"/>
      <c r="Z106" s="7"/>
    </row>
    <row r="107" spans="1:26" ht="13" x14ac:dyDescent="0.6">
      <c r="A107" s="28">
        <f t="shared" ca="1" si="1"/>
        <v>100</v>
      </c>
      <c r="B107" s="7" t="str">
        <f ca="1">IFERROR(__xludf.DUMMYFUNCTION("""COMPUTED_VALUE"""),"Quận Bình Thạnh")</f>
        <v>Quận Bình Thạnh</v>
      </c>
      <c r="C107" s="7" t="str">
        <f ca="1">IFERROR(__xludf.DUMMYFUNCTION("""COMPUTED_VALUE"""),"Bưu Cục 27 Nguyễn Xí-Q.Bình Thạnh-HCM")</f>
        <v>Bưu Cục 27 Nguyễn Xí-Q.Bình Thạnh-HCM</v>
      </c>
      <c r="D107" s="9">
        <f ca="1">IFERROR(__xludf.DUMMYFUNCTION("""COMPUTED_VALUE"""),798)</f>
        <v>798</v>
      </c>
      <c r="E107" s="9">
        <f ca="1">IFERROR(__xludf.DUMMYFUNCTION("""COMPUTED_VALUE"""),1181)</f>
        <v>1181</v>
      </c>
      <c r="F107" s="9">
        <f ca="1">IFERROR(__xludf.DUMMYFUNCTION("""COMPUTED_VALUE"""),687)</f>
        <v>687</v>
      </c>
      <c r="G107" s="9">
        <f ca="1">IFERROR(__xludf.DUMMYFUNCTION("""COMPUTED_VALUE"""),940)</f>
        <v>940</v>
      </c>
      <c r="H107" s="9">
        <f ca="1">IFERROR(__xludf.DUMMYFUNCTION("""COMPUTED_VALUE"""),838)</f>
        <v>838</v>
      </c>
      <c r="I107" s="9">
        <f ca="1">IFERROR(__xludf.DUMMYFUNCTION("""COMPUTED_VALUE"""),884)</f>
        <v>884</v>
      </c>
      <c r="J107" s="9">
        <f ca="1">IFERROR(__xludf.DUMMYFUNCTION("""COMPUTED_VALUE"""),897)</f>
        <v>897</v>
      </c>
      <c r="K107" s="9">
        <f ca="1">IFERROR(__xludf.DUMMYFUNCTION("""COMPUTED_VALUE"""),1007)</f>
        <v>1007</v>
      </c>
      <c r="L107" s="9">
        <f ca="1">IFERROR(__xludf.DUMMYFUNCTION("""COMPUTED_VALUE"""),210)</f>
        <v>210</v>
      </c>
      <c r="M107" s="9">
        <f ca="1">IFERROR(__xludf.DUMMYFUNCTION("""COMPUTED_VALUE"""),484)</f>
        <v>484</v>
      </c>
      <c r="N107" s="9">
        <f ca="1">IFERROR(__xludf.DUMMYFUNCTION("""COMPUTED_VALUE"""),959)</f>
        <v>959</v>
      </c>
      <c r="O107" s="9">
        <f ca="1">IFERROR(__xludf.DUMMYFUNCTION("""COMPUTED_VALUE"""),813)</f>
        <v>813</v>
      </c>
      <c r="P107" s="29">
        <f ca="1">IFERROR(__xludf.DUMMYFUNCTION("""COMPUTED_VALUE"""),896)</f>
        <v>896</v>
      </c>
      <c r="Q107" s="29">
        <f ca="1">IFERROR(__xludf.DUMMYFUNCTION("""COMPUTED_VALUE"""),1081)</f>
        <v>1081</v>
      </c>
      <c r="R107" s="7" t="str">
        <f ca="1">IFERROR(__xludf.DUMMYFUNCTION("""COMPUTED_VALUE"""),"Hồ Chí Minh")</f>
        <v>Hồ Chí Minh</v>
      </c>
      <c r="S107" s="7" t="str">
        <f ca="1">IFERROR(__xludf.DUMMYFUNCTION("""COMPUTED_VALUE"""),"Quận Bình Thạnh")</f>
        <v>Quận Bình Thạnh</v>
      </c>
      <c r="T107" s="7" t="str">
        <f ca="1">IFERROR(__xludf.DUMMYFUNCTION("SPARKLINE({
IF(D107="""",0,D107),
IF(F107="""",0,F107),
IF(H107="""",0,H107),
IF(J107="""",0,J107),
IF(L107="""",0,L107),
IF(N107="""",0,N107),
IF(P107="""",0,P107)
})"),"")</f>
        <v/>
      </c>
      <c r="U107" s="7" t="str">
        <f ca="1">IFERROR(__xludf.DUMMYFUNCTION("SPARKLINE({
IF(E107="""",0,E107),
IF(G107="""",0,G107),
IF(I107="""",0,I107),
IF(K107="""",0,K107),
IF(M107="""",0,M107),
IF(O107="""",0,O107),
IF(Q107="""",0,Q107)
})"),"")</f>
        <v/>
      </c>
      <c r="V107" s="30" t="e">
        <f t="array" aca="1" ref="V107" ca="1">IF($C$4="Giao",_xludf.Xlookup(C107,#REF!,#REF!,),_xludf.Xlookup(C107,#REF!,#REF!,))</f>
        <v>#NAME?</v>
      </c>
      <c r="W107" s="30" t="e">
        <f t="array" aca="1" ref="W107" ca="1">IF($C$4="Giao", _xludf.Xlookup(C107,#REF!,#REF!,),_xludf.Xlookup(C107,#REF!,#REF!,))</f>
        <v>#NAME?</v>
      </c>
      <c r="X107" s="9" t="e">
        <f t="shared" ca="1" si="2"/>
        <v>#NAME?</v>
      </c>
      <c r="Y107" s="7"/>
      <c r="Z107" s="7"/>
    </row>
    <row r="108" spans="1:26" ht="13" x14ac:dyDescent="0.6">
      <c r="A108" s="28">
        <f t="shared" ca="1" si="1"/>
        <v>101</v>
      </c>
      <c r="B108" s="7" t="str">
        <f ca="1">IFERROR(__xludf.DUMMYFUNCTION("""COMPUTED_VALUE"""),"Quận Bình Thạnh")</f>
        <v>Quận Bình Thạnh</v>
      </c>
      <c r="C108" s="7" t="str">
        <f ca="1">IFERROR(__xludf.DUMMYFUNCTION("""COMPUTED_VALUE"""),"Bưu Cục 374 Xô Viết Nghệ Tĩnh-Q.Bình Thạnh-HCM")</f>
        <v>Bưu Cục 374 Xô Viết Nghệ Tĩnh-Q.Bình Thạnh-HCM</v>
      </c>
      <c r="D108" s="9">
        <f ca="1">IFERROR(__xludf.DUMMYFUNCTION("""COMPUTED_VALUE"""),542)</f>
        <v>542</v>
      </c>
      <c r="E108" s="9">
        <f ca="1">IFERROR(__xludf.DUMMYFUNCTION("""COMPUTED_VALUE"""),878)</f>
        <v>878</v>
      </c>
      <c r="F108" s="9">
        <f ca="1">IFERROR(__xludf.DUMMYFUNCTION("""COMPUTED_VALUE"""),427)</f>
        <v>427</v>
      </c>
      <c r="G108" s="9">
        <f ca="1">IFERROR(__xludf.DUMMYFUNCTION("""COMPUTED_VALUE"""),719)</f>
        <v>719</v>
      </c>
      <c r="H108" s="9">
        <f ca="1">IFERROR(__xludf.DUMMYFUNCTION("""COMPUTED_VALUE"""),378)</f>
        <v>378</v>
      </c>
      <c r="I108" s="9">
        <f ca="1">IFERROR(__xludf.DUMMYFUNCTION("""COMPUTED_VALUE"""),746)</f>
        <v>746</v>
      </c>
      <c r="J108" s="9">
        <f ca="1">IFERROR(__xludf.DUMMYFUNCTION("""COMPUTED_VALUE"""),521)</f>
        <v>521</v>
      </c>
      <c r="K108" s="9">
        <f ca="1">IFERROR(__xludf.DUMMYFUNCTION("""COMPUTED_VALUE"""),1025)</f>
        <v>1025</v>
      </c>
      <c r="L108" s="9">
        <f ca="1">IFERROR(__xludf.DUMMYFUNCTION("""COMPUTED_VALUE"""),157)</f>
        <v>157</v>
      </c>
      <c r="M108" s="9">
        <f ca="1">IFERROR(__xludf.DUMMYFUNCTION("""COMPUTED_VALUE"""),393)</f>
        <v>393</v>
      </c>
      <c r="N108" s="9">
        <f ca="1">IFERROR(__xludf.DUMMYFUNCTION("""COMPUTED_VALUE"""),549)</f>
        <v>549</v>
      </c>
      <c r="O108" s="9">
        <f ca="1">IFERROR(__xludf.DUMMYFUNCTION("""COMPUTED_VALUE"""),957)</f>
        <v>957</v>
      </c>
      <c r="P108" s="29">
        <f ca="1">IFERROR(__xludf.DUMMYFUNCTION("""COMPUTED_VALUE"""),496)</f>
        <v>496</v>
      </c>
      <c r="Q108" s="29">
        <f ca="1">IFERROR(__xludf.DUMMYFUNCTION("""COMPUTED_VALUE"""),1119)</f>
        <v>1119</v>
      </c>
      <c r="R108" s="7" t="str">
        <f ca="1">IFERROR(__xludf.DUMMYFUNCTION("""COMPUTED_VALUE"""),"Hồ Chí Minh")</f>
        <v>Hồ Chí Minh</v>
      </c>
      <c r="S108" s="7" t="str">
        <f ca="1">IFERROR(__xludf.DUMMYFUNCTION("""COMPUTED_VALUE"""),"Quận Bình Thạnh")</f>
        <v>Quận Bình Thạnh</v>
      </c>
      <c r="T108" s="7" t="str">
        <f ca="1">IFERROR(__xludf.DUMMYFUNCTION("SPARKLINE({
IF(D108="""",0,D108),
IF(F108="""",0,F108),
IF(H108="""",0,H108),
IF(J108="""",0,J108),
IF(L108="""",0,L108),
IF(N108="""",0,N108),
IF(P108="""",0,P108)
})"),"")</f>
        <v/>
      </c>
      <c r="U108" s="7" t="str">
        <f ca="1">IFERROR(__xludf.DUMMYFUNCTION("SPARKLINE({
IF(E108="""",0,E108),
IF(G108="""",0,G108),
IF(I108="""",0,I108),
IF(K108="""",0,K108),
IF(M108="""",0,M108),
IF(O108="""",0,O108),
IF(Q108="""",0,Q108)
})"),"")</f>
        <v/>
      </c>
      <c r="V108" s="30" t="e">
        <f t="array" aca="1" ref="V108" ca="1">IF($C$4="Giao",_xludf.Xlookup(C108,#REF!,#REF!,),_xludf.Xlookup(C108,#REF!,#REF!,))</f>
        <v>#NAME?</v>
      </c>
      <c r="W108" s="30" t="e">
        <f t="array" aca="1" ref="W108" ca="1">IF($C$4="Giao", _xludf.Xlookup(C108,#REF!,#REF!,),_xludf.Xlookup(C108,#REF!,#REF!,))</f>
        <v>#NAME?</v>
      </c>
      <c r="X108" s="9" t="e">
        <f t="shared" ca="1" si="2"/>
        <v>#NAME?</v>
      </c>
      <c r="Y108" s="7"/>
      <c r="Z108" s="7"/>
    </row>
    <row r="109" spans="1:26" ht="13" x14ac:dyDescent="0.6">
      <c r="A109" s="28">
        <f t="shared" ca="1" si="1"/>
        <v>102</v>
      </c>
      <c r="B109" s="7" t="str">
        <f ca="1">IFERROR(__xludf.DUMMYFUNCTION("""COMPUTED_VALUE"""),"Quận Bình Thạnh")</f>
        <v>Quận Bình Thạnh</v>
      </c>
      <c r="C109" s="7" t="str">
        <f ca="1">IFERROR(__xludf.DUMMYFUNCTION("""COMPUTED_VALUE"""),"Bưu Cục 602/26 Điện Biên Phủ-Phường 12-Bình Thạnh-HCM")</f>
        <v>Bưu Cục 602/26 Điện Biên Phủ-Phường 12-Bình Thạnh-HCM</v>
      </c>
      <c r="D109" s="9">
        <f ca="1">IFERROR(__xludf.DUMMYFUNCTION("""COMPUTED_VALUE"""),781)</f>
        <v>781</v>
      </c>
      <c r="E109" s="9">
        <f ca="1">IFERROR(__xludf.DUMMYFUNCTION("""COMPUTED_VALUE"""),2590)</f>
        <v>2590</v>
      </c>
      <c r="F109" s="9">
        <f ca="1">IFERROR(__xludf.DUMMYFUNCTION("""COMPUTED_VALUE"""),624)</f>
        <v>624</v>
      </c>
      <c r="G109" s="9">
        <f ca="1">IFERROR(__xludf.DUMMYFUNCTION("""COMPUTED_VALUE"""),1756)</f>
        <v>1756</v>
      </c>
      <c r="H109" s="9">
        <f ca="1">IFERROR(__xludf.DUMMYFUNCTION("""COMPUTED_VALUE"""),614)</f>
        <v>614</v>
      </c>
      <c r="I109" s="9">
        <f ca="1">IFERROR(__xludf.DUMMYFUNCTION("""COMPUTED_VALUE"""),1574)</f>
        <v>1574</v>
      </c>
      <c r="J109" s="9">
        <f ca="1">IFERROR(__xludf.DUMMYFUNCTION("""COMPUTED_VALUE"""),769)</f>
        <v>769</v>
      </c>
      <c r="K109" s="9">
        <f ca="1">IFERROR(__xludf.DUMMYFUNCTION("""COMPUTED_VALUE"""),2589)</f>
        <v>2589</v>
      </c>
      <c r="L109" s="9">
        <f ca="1">IFERROR(__xludf.DUMMYFUNCTION("""COMPUTED_VALUE"""),169)</f>
        <v>169</v>
      </c>
      <c r="M109" s="9">
        <f ca="1">IFERROR(__xludf.DUMMYFUNCTION("""COMPUTED_VALUE"""),560)</f>
        <v>560</v>
      </c>
      <c r="N109" s="9">
        <f ca="1">IFERROR(__xludf.DUMMYFUNCTION("""COMPUTED_VALUE"""),1019)</f>
        <v>1019</v>
      </c>
      <c r="O109" s="9">
        <f ca="1">IFERROR(__xludf.DUMMYFUNCTION("""COMPUTED_VALUE"""),2513)</f>
        <v>2513</v>
      </c>
      <c r="P109" s="29">
        <f ca="1">IFERROR(__xludf.DUMMYFUNCTION("""COMPUTED_VALUE"""),770)</f>
        <v>770</v>
      </c>
      <c r="Q109" s="29">
        <f ca="1">IFERROR(__xludf.DUMMYFUNCTION("""COMPUTED_VALUE"""),2055)</f>
        <v>2055</v>
      </c>
      <c r="R109" s="7" t="str">
        <f ca="1">IFERROR(__xludf.DUMMYFUNCTION("""COMPUTED_VALUE"""),"Hồ Chí Minh")</f>
        <v>Hồ Chí Minh</v>
      </c>
      <c r="S109" s="7" t="str">
        <f ca="1">IFERROR(__xludf.DUMMYFUNCTION("""COMPUTED_VALUE"""),"Quận Bình Thạnh")</f>
        <v>Quận Bình Thạnh</v>
      </c>
      <c r="T109" s="7" t="str">
        <f ca="1">IFERROR(__xludf.DUMMYFUNCTION("SPARKLINE({
IF(D109="""",0,D109),
IF(F109="""",0,F109),
IF(H109="""",0,H109),
IF(J109="""",0,J109),
IF(L109="""",0,L109),
IF(N109="""",0,N109),
IF(P109="""",0,P109)
})"),"")</f>
        <v/>
      </c>
      <c r="U109" s="7" t="str">
        <f ca="1">IFERROR(__xludf.DUMMYFUNCTION("SPARKLINE({
IF(E109="""",0,E109),
IF(G109="""",0,G109),
IF(I109="""",0,I109),
IF(K109="""",0,K109),
IF(M109="""",0,M109),
IF(O109="""",0,O109),
IF(Q109="""",0,Q109)
})"),"")</f>
        <v/>
      </c>
      <c r="V109" s="30" t="e">
        <f t="array" aca="1" ref="V109" ca="1">IF($C$4="Giao",_xludf.Xlookup(C109,#REF!,#REF!,),_xludf.Xlookup(C109,#REF!,#REF!,))</f>
        <v>#NAME?</v>
      </c>
      <c r="W109" s="30" t="e">
        <f t="array" aca="1" ref="W109" ca="1">IF($C$4="Giao", _xludf.Xlookup(C109,#REF!,#REF!,),_xludf.Xlookup(C109,#REF!,#REF!,))</f>
        <v>#NAME?</v>
      </c>
      <c r="X109" s="9" t="e">
        <f t="shared" ca="1" si="2"/>
        <v>#NAME?</v>
      </c>
      <c r="Y109" s="7"/>
      <c r="Z109" s="7"/>
    </row>
    <row r="110" spans="1:26" ht="13" x14ac:dyDescent="0.6">
      <c r="A110" s="28">
        <f t="shared" ca="1" si="1"/>
        <v>103</v>
      </c>
      <c r="B110" s="7" t="str">
        <f ca="1">IFERROR(__xludf.DUMMYFUNCTION("""COMPUTED_VALUE"""),"Quận Bình Thạnh")</f>
        <v>Quận Bình Thạnh</v>
      </c>
      <c r="C110" s="7" t="str">
        <f ca="1">IFERROR(__xludf.DUMMYFUNCTION("""COMPUTED_VALUE"""),"Bưu Cục 9 Hồng Bàng-Q.Bình Thạnh-HCM")</f>
        <v>Bưu Cục 9 Hồng Bàng-Q.Bình Thạnh-HCM</v>
      </c>
      <c r="D110" s="9">
        <f ca="1">IFERROR(__xludf.DUMMYFUNCTION("""COMPUTED_VALUE"""),49)</f>
        <v>49</v>
      </c>
      <c r="E110" s="9">
        <f ca="1">IFERROR(__xludf.DUMMYFUNCTION("""COMPUTED_VALUE"""),42)</f>
        <v>42</v>
      </c>
      <c r="F110" s="9">
        <f ca="1">IFERROR(__xludf.DUMMYFUNCTION("""COMPUTED_VALUE"""),41)</f>
        <v>41</v>
      </c>
      <c r="G110" s="9">
        <f ca="1">IFERROR(__xludf.DUMMYFUNCTION("""COMPUTED_VALUE"""),28)</f>
        <v>28</v>
      </c>
      <c r="H110" s="9">
        <f ca="1">IFERROR(__xludf.DUMMYFUNCTION("""COMPUTED_VALUE"""),30)</f>
        <v>30</v>
      </c>
      <c r="I110" s="9">
        <f ca="1">IFERROR(__xludf.DUMMYFUNCTION("""COMPUTED_VALUE"""),48)</f>
        <v>48</v>
      </c>
      <c r="J110" s="9">
        <f ca="1">IFERROR(__xludf.DUMMYFUNCTION("""COMPUTED_VALUE"""),28)</f>
        <v>28</v>
      </c>
      <c r="K110" s="9">
        <f ca="1">IFERROR(__xludf.DUMMYFUNCTION("""COMPUTED_VALUE"""),30)</f>
        <v>30</v>
      </c>
      <c r="L110" s="9">
        <f ca="1">IFERROR(__xludf.DUMMYFUNCTION("""COMPUTED_VALUE"""),52)</f>
        <v>52</v>
      </c>
      <c r="M110" s="9">
        <f ca="1">IFERROR(__xludf.DUMMYFUNCTION("""COMPUTED_VALUE"""),166)</f>
        <v>166</v>
      </c>
      <c r="N110" s="9">
        <f ca="1">IFERROR(__xludf.DUMMYFUNCTION("""COMPUTED_VALUE"""),8)</f>
        <v>8</v>
      </c>
      <c r="O110" s="9">
        <f ca="1">IFERROR(__xludf.DUMMYFUNCTION("""COMPUTED_VALUE"""),0)</f>
        <v>0</v>
      </c>
      <c r="P110" s="29">
        <f ca="1">IFERROR(__xludf.DUMMYFUNCTION("""COMPUTED_VALUE"""),13)</f>
        <v>13</v>
      </c>
      <c r="Q110" s="29">
        <f ca="1">IFERROR(__xludf.DUMMYFUNCTION("""COMPUTED_VALUE"""),7)</f>
        <v>7</v>
      </c>
      <c r="R110" s="7" t="str">
        <f ca="1">IFERROR(__xludf.DUMMYFUNCTION("""COMPUTED_VALUE"""),"Hồ Chí Minh")</f>
        <v>Hồ Chí Minh</v>
      </c>
      <c r="S110" s="7" t="str">
        <f ca="1">IFERROR(__xludf.DUMMYFUNCTION("""COMPUTED_VALUE"""),"Quận Bình Thạnh")</f>
        <v>Quận Bình Thạnh</v>
      </c>
      <c r="T110" s="7" t="str">
        <f ca="1">IFERROR(__xludf.DUMMYFUNCTION("SPARKLINE({
IF(D110="""",0,D110),
IF(F110="""",0,F110),
IF(H110="""",0,H110),
IF(J110="""",0,J110),
IF(L110="""",0,L110),
IF(N110="""",0,N110),
IF(P110="""",0,P110)
})"),"")</f>
        <v/>
      </c>
      <c r="U110" s="7" t="str">
        <f ca="1">IFERROR(__xludf.DUMMYFUNCTION("SPARKLINE({
IF(E110="""",0,E110),
IF(G110="""",0,G110),
IF(I110="""",0,I110),
IF(K110="""",0,K110),
IF(M110="""",0,M110),
IF(O110="""",0,O110),
IF(Q110="""",0,Q110)
})"),"")</f>
        <v/>
      </c>
      <c r="V110" s="30" t="e">
        <f t="array" aca="1" ref="V110" ca="1">IF($C$4="Giao",_xludf.Xlookup(C110,#REF!,#REF!,),_xludf.Xlookup(C110,#REF!,#REF!,))</f>
        <v>#NAME?</v>
      </c>
      <c r="W110" s="30" t="e">
        <f t="array" aca="1" ref="W110" ca="1">IF($C$4="Giao", _xludf.Xlookup(C110,#REF!,#REF!,),_xludf.Xlookup(C110,#REF!,#REF!,))</f>
        <v>#NAME?</v>
      </c>
      <c r="X110" s="9" t="e">
        <f t="shared" ca="1" si="2"/>
        <v>#NAME?</v>
      </c>
      <c r="Y110" s="7"/>
      <c r="Z110" s="7"/>
    </row>
    <row r="111" spans="1:26" ht="13" x14ac:dyDescent="0.6">
      <c r="A111" s="28">
        <f t="shared" ca="1" si="1"/>
        <v>104</v>
      </c>
      <c r="B111" s="7" t="str">
        <f ca="1">IFERROR(__xludf.DUMMYFUNCTION("""COMPUTED_VALUE"""),"Quận Đặc Biệt")</f>
        <v>Quận Đặc Biệt</v>
      </c>
      <c r="C111" s="7" t="str">
        <f ca="1">IFERROR(__xludf.DUMMYFUNCTION("""COMPUTED_VALUE"""),"Key Account Warehouse Ho Chi Minh")</f>
        <v>Key Account Warehouse Ho Chi Minh</v>
      </c>
      <c r="D111" s="9">
        <f ca="1">IFERROR(__xludf.DUMMYFUNCTION("""COMPUTED_VALUE"""),24783)</f>
        <v>24783</v>
      </c>
      <c r="E111" s="9">
        <f ca="1">IFERROR(__xludf.DUMMYFUNCTION("""COMPUTED_VALUE"""),160114)</f>
        <v>160114</v>
      </c>
      <c r="F111" s="9">
        <f ca="1">IFERROR(__xludf.DUMMYFUNCTION("""COMPUTED_VALUE"""),24570)</f>
        <v>24570</v>
      </c>
      <c r="G111" s="9">
        <f ca="1">IFERROR(__xludf.DUMMYFUNCTION("""COMPUTED_VALUE"""),157996)</f>
        <v>157996</v>
      </c>
      <c r="H111" s="9">
        <f ca="1">IFERROR(__xludf.DUMMYFUNCTION("""COMPUTED_VALUE"""),28684)</f>
        <v>28684</v>
      </c>
      <c r="I111" s="9">
        <f ca="1">IFERROR(__xludf.DUMMYFUNCTION("""COMPUTED_VALUE"""),173083)</f>
        <v>173083</v>
      </c>
      <c r="J111" s="9">
        <f ca="1">IFERROR(__xludf.DUMMYFUNCTION("""COMPUTED_VALUE"""),32210)</f>
        <v>32210</v>
      </c>
      <c r="K111" s="9">
        <f ca="1">IFERROR(__xludf.DUMMYFUNCTION("""COMPUTED_VALUE"""),303342)</f>
        <v>303342</v>
      </c>
      <c r="L111" s="9">
        <f ca="1">IFERROR(__xludf.DUMMYFUNCTION("""COMPUTED_VALUE"""),13801)</f>
        <v>13801</v>
      </c>
      <c r="M111" s="9">
        <f ca="1">IFERROR(__xludf.DUMMYFUNCTION("""COMPUTED_VALUE"""),115203)</f>
        <v>115203</v>
      </c>
      <c r="N111" s="9">
        <f ca="1">IFERROR(__xludf.DUMMYFUNCTION("""COMPUTED_VALUE"""),29635)</f>
        <v>29635</v>
      </c>
      <c r="O111" s="9">
        <f ca="1">IFERROR(__xludf.DUMMYFUNCTION("""COMPUTED_VALUE"""),164749)</f>
        <v>164749</v>
      </c>
      <c r="P111" s="29">
        <f ca="1">IFERROR(__xludf.DUMMYFUNCTION("""COMPUTED_VALUE"""),29700)</f>
        <v>29700</v>
      </c>
      <c r="Q111" s="29">
        <f ca="1">IFERROR(__xludf.DUMMYFUNCTION("""COMPUTED_VALUE"""),157262)</f>
        <v>157262</v>
      </c>
      <c r="R111" s="7" t="str">
        <f ca="1">IFERROR(__xludf.DUMMYFUNCTION("""COMPUTED_VALUE"""),"Hồ Chí Minh")</f>
        <v>Hồ Chí Minh</v>
      </c>
      <c r="S111" s="7" t="str">
        <f ca="1">IFERROR(__xludf.DUMMYFUNCTION("""COMPUTED_VALUE"""),"Quận Đặc Biệt")</f>
        <v>Quận Đặc Biệt</v>
      </c>
      <c r="T111" s="7" t="str">
        <f ca="1">IFERROR(__xludf.DUMMYFUNCTION("SPARKLINE({
IF(D111="""",0,D111),
IF(F111="""",0,F111),
IF(H111="""",0,H111),
IF(J111="""",0,J111),
IF(L111="""",0,L111),
IF(N111="""",0,N111),
IF(P111="""",0,P111)
})"),"")</f>
        <v/>
      </c>
      <c r="U111" s="7" t="str">
        <f ca="1">IFERROR(__xludf.DUMMYFUNCTION("SPARKLINE({
IF(E111="""",0,E111),
IF(G111="""",0,G111),
IF(I111="""",0,I111),
IF(K111="""",0,K111),
IF(M111="""",0,M111),
IF(O111="""",0,O111),
IF(Q111="""",0,Q111)
})"),"")</f>
        <v/>
      </c>
      <c r="V111" s="8" t="e">
        <f t="array" aca="1" ref="V111" ca="1">IF($C$4="Giao",_xludf.Xlookup(C111,#REF!,#REF!,),_xludf.Xlookup(C111,#REF!,#REF!,))</f>
        <v>#NAME?</v>
      </c>
      <c r="W111" s="8" t="e">
        <f t="array" aca="1" ref="W111" ca="1">IF($C$4="Giao", _xludf.Xlookup(C111,#REF!,#REF!,),_xludf.Xlookup(C111,#REF!,#REF!,))</f>
        <v>#NAME?</v>
      </c>
      <c r="X111" s="9" t="e">
        <f t="shared" ca="1" si="2"/>
        <v>#NAME?</v>
      </c>
      <c r="Y111" s="7"/>
      <c r="Z111" s="7"/>
    </row>
    <row r="112" spans="1:26" ht="13" x14ac:dyDescent="0.6">
      <c r="A112" s="28">
        <f t="shared" ca="1" si="1"/>
        <v>105</v>
      </c>
      <c r="B112" s="7" t="str">
        <f ca="1">IFERROR(__xludf.DUMMYFUNCTION("""COMPUTED_VALUE"""),"Quận Gò Vấp")</f>
        <v>Quận Gò Vấp</v>
      </c>
      <c r="C112" s="7" t="str">
        <f ca="1">IFERROR(__xludf.DUMMYFUNCTION("""COMPUTED_VALUE"""),"Bưu Cục 1135 Phan Văn Trị-Q.Gò Vấp-HCM")</f>
        <v>Bưu Cục 1135 Phan Văn Trị-Q.Gò Vấp-HCM</v>
      </c>
      <c r="D112" s="9">
        <f ca="1">IFERROR(__xludf.DUMMYFUNCTION("""COMPUTED_VALUE"""),993)</f>
        <v>993</v>
      </c>
      <c r="E112" s="9">
        <f ca="1">IFERROR(__xludf.DUMMYFUNCTION("""COMPUTED_VALUE"""),1812)</f>
        <v>1812</v>
      </c>
      <c r="F112" s="9">
        <f ca="1">IFERROR(__xludf.DUMMYFUNCTION("""COMPUTED_VALUE"""),791)</f>
        <v>791</v>
      </c>
      <c r="G112" s="9">
        <f ca="1">IFERROR(__xludf.DUMMYFUNCTION("""COMPUTED_VALUE"""),1433)</f>
        <v>1433</v>
      </c>
      <c r="H112" s="9">
        <f ca="1">IFERROR(__xludf.DUMMYFUNCTION("""COMPUTED_VALUE"""),812)</f>
        <v>812</v>
      </c>
      <c r="I112" s="9">
        <f ca="1">IFERROR(__xludf.DUMMYFUNCTION("""COMPUTED_VALUE"""),1596)</f>
        <v>1596</v>
      </c>
      <c r="J112" s="9">
        <f ca="1">IFERROR(__xludf.DUMMYFUNCTION("""COMPUTED_VALUE"""),858)</f>
        <v>858</v>
      </c>
      <c r="K112" s="9">
        <f ca="1">IFERROR(__xludf.DUMMYFUNCTION("""COMPUTED_VALUE"""),1710)</f>
        <v>1710</v>
      </c>
      <c r="L112" s="9">
        <f ca="1">IFERROR(__xludf.DUMMYFUNCTION("""COMPUTED_VALUE"""),562)</f>
        <v>562</v>
      </c>
      <c r="M112" s="9">
        <f ca="1">IFERROR(__xludf.DUMMYFUNCTION("""COMPUTED_VALUE"""),762)</f>
        <v>762</v>
      </c>
      <c r="N112" s="9">
        <f ca="1">IFERROR(__xludf.DUMMYFUNCTION("""COMPUTED_VALUE"""),1065)</f>
        <v>1065</v>
      </c>
      <c r="O112" s="9">
        <f ca="1">IFERROR(__xludf.DUMMYFUNCTION("""COMPUTED_VALUE"""),1347)</f>
        <v>1347</v>
      </c>
      <c r="P112" s="29">
        <f ca="1">IFERROR(__xludf.DUMMYFUNCTION("""COMPUTED_VALUE"""),1130)</f>
        <v>1130</v>
      </c>
      <c r="Q112" s="29">
        <f ca="1">IFERROR(__xludf.DUMMYFUNCTION("""COMPUTED_VALUE"""),1682)</f>
        <v>1682</v>
      </c>
      <c r="R112" s="7" t="str">
        <f ca="1">IFERROR(__xludf.DUMMYFUNCTION("""COMPUTED_VALUE"""),"Hồ Chí Minh")</f>
        <v>Hồ Chí Minh</v>
      </c>
      <c r="S112" s="7" t="str">
        <f ca="1">IFERROR(__xludf.DUMMYFUNCTION("""COMPUTED_VALUE"""),"Quận Gò Vấp")</f>
        <v>Quận Gò Vấp</v>
      </c>
      <c r="T112" s="7" t="str">
        <f ca="1">IFERROR(__xludf.DUMMYFUNCTION("SPARKLINE({
IF(D112="""",0,D112),
IF(F112="""",0,F112),
IF(H112="""",0,H112),
IF(J112="""",0,J112),
IF(L112="""",0,L112),
IF(N112="""",0,N112),
IF(P112="""",0,P112)
})"),"")</f>
        <v/>
      </c>
      <c r="U112" s="7" t="str">
        <f ca="1">IFERROR(__xludf.DUMMYFUNCTION("SPARKLINE({
IF(E112="""",0,E112),
IF(G112="""",0,G112),
IF(I112="""",0,I112),
IF(K112="""",0,K112),
IF(M112="""",0,M112),
IF(O112="""",0,O112),
IF(Q112="""",0,Q112)
})"),"")</f>
        <v/>
      </c>
      <c r="V112" s="30" t="e">
        <f t="array" aca="1" ref="V112" ca="1">IF($C$4="Giao",_xludf.Xlookup(C112,#REF!,#REF!,),_xludf.Xlookup(C112,#REF!,#REF!,))</f>
        <v>#NAME?</v>
      </c>
      <c r="W112" s="30" t="e">
        <f t="array" aca="1" ref="W112" ca="1">IF($C$4="Giao", _xludf.Xlookup(C112,#REF!,#REF!,),_xludf.Xlookup(C112,#REF!,#REF!,))</f>
        <v>#NAME?</v>
      </c>
      <c r="X112" s="9" t="e">
        <f t="shared" ca="1" si="2"/>
        <v>#NAME?</v>
      </c>
      <c r="Y112" s="7"/>
      <c r="Z112" s="7"/>
    </row>
    <row r="113" spans="1:26" ht="13" x14ac:dyDescent="0.6">
      <c r="A113" s="28">
        <f t="shared" ca="1" si="1"/>
        <v>106</v>
      </c>
      <c r="B113" s="7" t="str">
        <f ca="1">IFERROR(__xludf.DUMMYFUNCTION("""COMPUTED_VALUE"""),"Quận Gò Vấp")</f>
        <v>Quận Gò Vấp</v>
      </c>
      <c r="C113" s="7" t="str">
        <f ca="1">IFERROR(__xludf.DUMMYFUNCTION("""COMPUTED_VALUE"""),"Bưu Cục 119 Đường Số 1-Phường 11-Gò Vấp-HCM")</f>
        <v>Bưu Cục 119 Đường Số 1-Phường 11-Gò Vấp-HCM</v>
      </c>
      <c r="D113" s="9">
        <f ca="1">IFERROR(__xludf.DUMMYFUNCTION("""COMPUTED_VALUE"""),1651)</f>
        <v>1651</v>
      </c>
      <c r="E113" s="9">
        <f ca="1">IFERROR(__xludf.DUMMYFUNCTION("""COMPUTED_VALUE"""),6395)</f>
        <v>6395</v>
      </c>
      <c r="F113" s="9">
        <f ca="1">IFERROR(__xludf.DUMMYFUNCTION("""COMPUTED_VALUE"""),1357)</f>
        <v>1357</v>
      </c>
      <c r="G113" s="9">
        <f ca="1">IFERROR(__xludf.DUMMYFUNCTION("""COMPUTED_VALUE"""),3493)</f>
        <v>3493</v>
      </c>
      <c r="H113" s="9">
        <f ca="1">IFERROR(__xludf.DUMMYFUNCTION("""COMPUTED_VALUE"""),1560)</f>
        <v>1560</v>
      </c>
      <c r="I113" s="9">
        <f ca="1">IFERROR(__xludf.DUMMYFUNCTION("""COMPUTED_VALUE"""),7122)</f>
        <v>7122</v>
      </c>
      <c r="J113" s="9">
        <f ca="1">IFERROR(__xludf.DUMMYFUNCTION("""COMPUTED_VALUE"""),1647)</f>
        <v>1647</v>
      </c>
      <c r="K113" s="9">
        <f ca="1">IFERROR(__xludf.DUMMYFUNCTION("""COMPUTED_VALUE"""),6680)</f>
        <v>6680</v>
      </c>
      <c r="L113" s="9">
        <f ca="1">IFERROR(__xludf.DUMMYFUNCTION("""COMPUTED_VALUE"""),491)</f>
        <v>491</v>
      </c>
      <c r="M113" s="9">
        <f ca="1">IFERROR(__xludf.DUMMYFUNCTION("""COMPUTED_VALUE"""),3973)</f>
        <v>3973</v>
      </c>
      <c r="N113" s="9">
        <f ca="1">IFERROR(__xludf.DUMMYFUNCTION("""COMPUTED_VALUE"""),1621)</f>
        <v>1621</v>
      </c>
      <c r="O113" s="9">
        <f ca="1">IFERROR(__xludf.DUMMYFUNCTION("""COMPUTED_VALUE"""),4811)</f>
        <v>4811</v>
      </c>
      <c r="P113" s="29">
        <f ca="1">IFERROR(__xludf.DUMMYFUNCTION("""COMPUTED_VALUE"""),1368)</f>
        <v>1368</v>
      </c>
      <c r="Q113" s="29">
        <f ca="1">IFERROR(__xludf.DUMMYFUNCTION("""COMPUTED_VALUE"""),5010)</f>
        <v>5010</v>
      </c>
      <c r="R113" s="7" t="str">
        <f ca="1">IFERROR(__xludf.DUMMYFUNCTION("""COMPUTED_VALUE"""),"Hồ Chí Minh")</f>
        <v>Hồ Chí Minh</v>
      </c>
      <c r="S113" s="7" t="str">
        <f ca="1">IFERROR(__xludf.DUMMYFUNCTION("""COMPUTED_VALUE"""),"Quận Gò Vấp")</f>
        <v>Quận Gò Vấp</v>
      </c>
      <c r="T113" s="7" t="str">
        <f ca="1">IFERROR(__xludf.DUMMYFUNCTION("SPARKLINE({
IF(D113="""",0,D113),
IF(F113="""",0,F113),
IF(H113="""",0,H113),
IF(J113="""",0,J113),
IF(L113="""",0,L113),
IF(N113="""",0,N113),
IF(P113="""",0,P113)
})"),"")</f>
        <v/>
      </c>
      <c r="U113" s="7" t="str">
        <f ca="1">IFERROR(__xludf.DUMMYFUNCTION("SPARKLINE({
IF(E113="""",0,E113),
IF(G113="""",0,G113),
IF(I113="""",0,I113),
IF(K113="""",0,K113),
IF(M113="""",0,M113),
IF(O113="""",0,O113),
IF(Q113="""",0,Q113)
})"),"")</f>
        <v/>
      </c>
      <c r="V113" s="30" t="e">
        <f t="array" aca="1" ref="V113" ca="1">IF($C$4="Giao",_xludf.Xlookup(C113,#REF!,#REF!,),_xludf.Xlookup(C113,#REF!,#REF!,))</f>
        <v>#NAME?</v>
      </c>
      <c r="W113" s="30" t="e">
        <f t="array" aca="1" ref="W113" ca="1">IF($C$4="Giao", _xludf.Xlookup(C113,#REF!,#REF!,),_xludf.Xlookup(C113,#REF!,#REF!,))</f>
        <v>#NAME?</v>
      </c>
      <c r="X113" s="9" t="e">
        <f t="shared" ca="1" si="2"/>
        <v>#NAME?</v>
      </c>
      <c r="Y113" s="7"/>
      <c r="Z113" s="7"/>
    </row>
    <row r="114" spans="1:26" ht="13" x14ac:dyDescent="0.6">
      <c r="A114" s="28">
        <f t="shared" ca="1" si="1"/>
        <v>107</v>
      </c>
      <c r="B114" s="7" t="str">
        <f ca="1">IFERROR(__xludf.DUMMYFUNCTION("""COMPUTED_VALUE"""),"Quận Gò Vấp")</f>
        <v>Quận Gò Vấp</v>
      </c>
      <c r="C114" s="7" t="str">
        <f ca="1">IFERROR(__xludf.DUMMYFUNCTION("""COMPUTED_VALUE"""),"Bưu Cục 183 Nguyễn Oanh-Phường 17-Gò Vấp-HCM")</f>
        <v>Bưu Cục 183 Nguyễn Oanh-Phường 17-Gò Vấp-HCM</v>
      </c>
      <c r="D114" s="9">
        <f ca="1">IFERROR(__xludf.DUMMYFUNCTION("""COMPUTED_VALUE"""),1380)</f>
        <v>1380</v>
      </c>
      <c r="E114" s="9">
        <f ca="1">IFERROR(__xludf.DUMMYFUNCTION("""COMPUTED_VALUE"""),2928)</f>
        <v>2928</v>
      </c>
      <c r="F114" s="9">
        <f ca="1">IFERROR(__xludf.DUMMYFUNCTION("""COMPUTED_VALUE"""),1259)</f>
        <v>1259</v>
      </c>
      <c r="G114" s="9">
        <f ca="1">IFERROR(__xludf.DUMMYFUNCTION("""COMPUTED_VALUE"""),2943)</f>
        <v>2943</v>
      </c>
      <c r="H114" s="9">
        <f ca="1">IFERROR(__xludf.DUMMYFUNCTION("""COMPUTED_VALUE"""),1140)</f>
        <v>1140</v>
      </c>
      <c r="I114" s="9">
        <f ca="1">IFERROR(__xludf.DUMMYFUNCTION("""COMPUTED_VALUE"""),2762)</f>
        <v>2762</v>
      </c>
      <c r="J114" s="9">
        <f ca="1">IFERROR(__xludf.DUMMYFUNCTION("""COMPUTED_VALUE"""),1202)</f>
        <v>1202</v>
      </c>
      <c r="K114" s="9">
        <f ca="1">IFERROR(__xludf.DUMMYFUNCTION("""COMPUTED_VALUE"""),3480)</f>
        <v>3480</v>
      </c>
      <c r="L114" s="9">
        <f ca="1">IFERROR(__xludf.DUMMYFUNCTION("""COMPUTED_VALUE"""),518)</f>
        <v>518</v>
      </c>
      <c r="M114" s="9">
        <f ca="1">IFERROR(__xludf.DUMMYFUNCTION("""COMPUTED_VALUE"""),1208)</f>
        <v>1208</v>
      </c>
      <c r="N114" s="9">
        <f ca="1">IFERROR(__xludf.DUMMYFUNCTION("""COMPUTED_VALUE"""),1507)</f>
        <v>1507</v>
      </c>
      <c r="O114" s="9">
        <f ca="1">IFERROR(__xludf.DUMMYFUNCTION("""COMPUTED_VALUE"""),2855)</f>
        <v>2855</v>
      </c>
      <c r="P114" s="29">
        <f ca="1">IFERROR(__xludf.DUMMYFUNCTION("""COMPUTED_VALUE"""),1320)</f>
        <v>1320</v>
      </c>
      <c r="Q114" s="29">
        <f ca="1">IFERROR(__xludf.DUMMYFUNCTION("""COMPUTED_VALUE"""),2577)</f>
        <v>2577</v>
      </c>
      <c r="R114" s="7" t="str">
        <f ca="1">IFERROR(__xludf.DUMMYFUNCTION("""COMPUTED_VALUE"""),"Hồ Chí Minh")</f>
        <v>Hồ Chí Minh</v>
      </c>
      <c r="S114" s="7" t="str">
        <f ca="1">IFERROR(__xludf.DUMMYFUNCTION("""COMPUTED_VALUE"""),"Quận Gò Vấp")</f>
        <v>Quận Gò Vấp</v>
      </c>
      <c r="T114" s="7" t="str">
        <f ca="1">IFERROR(__xludf.DUMMYFUNCTION("SPARKLINE({
IF(D114="""",0,D114),
IF(F114="""",0,F114),
IF(H114="""",0,H114),
IF(J114="""",0,J114),
IF(L114="""",0,L114),
IF(N114="""",0,N114),
IF(P114="""",0,P114)
})"),"")</f>
        <v/>
      </c>
      <c r="U114" s="7" t="str">
        <f ca="1">IFERROR(__xludf.DUMMYFUNCTION("SPARKLINE({
IF(E114="""",0,E114),
IF(G114="""",0,G114),
IF(I114="""",0,I114),
IF(K114="""",0,K114),
IF(M114="""",0,M114),
IF(O114="""",0,O114),
IF(Q114="""",0,Q114)
})"),"")</f>
        <v/>
      </c>
      <c r="V114" s="30" t="e">
        <f t="array" aca="1" ref="V114" ca="1">IF($C$4="Giao",_xludf.Xlookup(C114,#REF!,#REF!,),_xludf.Xlookup(C114,#REF!,#REF!,))</f>
        <v>#NAME?</v>
      </c>
      <c r="W114" s="30" t="e">
        <f t="array" aca="1" ref="W114" ca="1">IF($C$4="Giao", _xludf.Xlookup(C114,#REF!,#REF!,),_xludf.Xlookup(C114,#REF!,#REF!,))</f>
        <v>#NAME?</v>
      </c>
      <c r="X114" s="9" t="e">
        <f t="shared" ca="1" si="2"/>
        <v>#NAME?</v>
      </c>
      <c r="Y114" s="7"/>
      <c r="Z114" s="7"/>
    </row>
    <row r="115" spans="1:26" ht="13" x14ac:dyDescent="0.6">
      <c r="A115" s="28">
        <f t="shared" ca="1" si="1"/>
        <v>108</v>
      </c>
      <c r="B115" s="7" t="str">
        <f ca="1">IFERROR(__xludf.DUMMYFUNCTION("""COMPUTED_VALUE"""),"Quận Gò Vấp")</f>
        <v>Quận Gò Vấp</v>
      </c>
      <c r="C115" s="7" t="str">
        <f ca="1">IFERROR(__xludf.DUMMYFUNCTION("""COMPUTED_VALUE"""),"Bưu Cục 371 Nguyễn Kiệm-Q.Gò Vấp-HCM")</f>
        <v>Bưu Cục 371 Nguyễn Kiệm-Q.Gò Vấp-HCM</v>
      </c>
      <c r="D115" s="9">
        <f ca="1">IFERROR(__xludf.DUMMYFUNCTION("""COMPUTED_VALUE"""),769)</f>
        <v>769</v>
      </c>
      <c r="E115" s="9">
        <f ca="1">IFERROR(__xludf.DUMMYFUNCTION("""COMPUTED_VALUE"""),1946)</f>
        <v>1946</v>
      </c>
      <c r="F115" s="9">
        <f ca="1">IFERROR(__xludf.DUMMYFUNCTION("""COMPUTED_VALUE"""),744)</f>
        <v>744</v>
      </c>
      <c r="G115" s="9">
        <f ca="1">IFERROR(__xludf.DUMMYFUNCTION("""COMPUTED_VALUE"""),2081)</f>
        <v>2081</v>
      </c>
      <c r="H115" s="9">
        <f ca="1">IFERROR(__xludf.DUMMYFUNCTION("""COMPUTED_VALUE"""),627)</f>
        <v>627</v>
      </c>
      <c r="I115" s="9">
        <f ca="1">IFERROR(__xludf.DUMMYFUNCTION("""COMPUTED_VALUE"""),1737)</f>
        <v>1737</v>
      </c>
      <c r="J115" s="9">
        <f ca="1">IFERROR(__xludf.DUMMYFUNCTION("""COMPUTED_VALUE"""),796)</f>
        <v>796</v>
      </c>
      <c r="K115" s="9">
        <f ca="1">IFERROR(__xludf.DUMMYFUNCTION("""COMPUTED_VALUE"""),2378)</f>
        <v>2378</v>
      </c>
      <c r="L115" s="9">
        <f ca="1">IFERROR(__xludf.DUMMYFUNCTION("""COMPUTED_VALUE"""),474)</f>
        <v>474</v>
      </c>
      <c r="M115" s="9">
        <f ca="1">IFERROR(__xludf.DUMMYFUNCTION("""COMPUTED_VALUE"""),981)</f>
        <v>981</v>
      </c>
      <c r="N115" s="9">
        <f ca="1">IFERROR(__xludf.DUMMYFUNCTION("""COMPUTED_VALUE"""),919)</f>
        <v>919</v>
      </c>
      <c r="O115" s="9">
        <f ca="1">IFERROR(__xludf.DUMMYFUNCTION("""COMPUTED_VALUE"""),1996)</f>
        <v>1996</v>
      </c>
      <c r="P115" s="29">
        <f ca="1">IFERROR(__xludf.DUMMYFUNCTION("""COMPUTED_VALUE"""),668)</f>
        <v>668</v>
      </c>
      <c r="Q115" s="29">
        <f ca="1">IFERROR(__xludf.DUMMYFUNCTION("""COMPUTED_VALUE"""),1740)</f>
        <v>1740</v>
      </c>
      <c r="R115" s="7" t="str">
        <f ca="1">IFERROR(__xludf.DUMMYFUNCTION("""COMPUTED_VALUE"""),"Hồ Chí Minh")</f>
        <v>Hồ Chí Minh</v>
      </c>
      <c r="S115" s="7" t="str">
        <f ca="1">IFERROR(__xludf.DUMMYFUNCTION("""COMPUTED_VALUE"""),"Quận Gò Vấp")</f>
        <v>Quận Gò Vấp</v>
      </c>
      <c r="T115" s="7" t="str">
        <f ca="1">IFERROR(__xludf.DUMMYFUNCTION("SPARKLINE({
IF(D115="""",0,D115),
IF(F115="""",0,F115),
IF(H115="""",0,H115),
IF(J115="""",0,J115),
IF(L115="""",0,L115),
IF(N115="""",0,N115),
IF(P115="""",0,P115)
})"),"")</f>
        <v/>
      </c>
      <c r="U115" s="7" t="str">
        <f ca="1">IFERROR(__xludf.DUMMYFUNCTION("SPARKLINE({
IF(E115="""",0,E115),
IF(G115="""",0,G115),
IF(I115="""",0,I115),
IF(K115="""",0,K115),
IF(M115="""",0,M115),
IF(O115="""",0,O115),
IF(Q115="""",0,Q115)
})"),"")</f>
        <v/>
      </c>
      <c r="V115" s="30" t="e">
        <f t="array" aca="1" ref="V115" ca="1">IF($C$4="Giao",_xludf.Xlookup(C115,#REF!,#REF!,),_xludf.Xlookup(C115,#REF!,#REF!,))</f>
        <v>#NAME?</v>
      </c>
      <c r="W115" s="30" t="e">
        <f t="array" aca="1" ref="W115" ca="1">IF($C$4="Giao", _xludf.Xlookup(C115,#REF!,#REF!,),_xludf.Xlookup(C115,#REF!,#REF!,))</f>
        <v>#NAME?</v>
      </c>
      <c r="X115" s="9" t="e">
        <f t="shared" ca="1" si="2"/>
        <v>#NAME?</v>
      </c>
      <c r="Y115" s="7"/>
      <c r="Z115" s="7"/>
    </row>
    <row r="116" spans="1:26" ht="13" x14ac:dyDescent="0.6">
      <c r="A116" s="28">
        <f t="shared" ca="1" si="1"/>
        <v>109</v>
      </c>
      <c r="B116" s="7" t="str">
        <f ca="1">IFERROR(__xludf.DUMMYFUNCTION("""COMPUTED_VALUE"""),"Quận Gò Vấp")</f>
        <v>Quận Gò Vấp</v>
      </c>
      <c r="C116" s="7" t="str">
        <f ca="1">IFERROR(__xludf.DUMMYFUNCTION("""COMPUTED_VALUE"""),"Bưu Cục 608 Phan Văn Trị-Gò Vấp-HCM")</f>
        <v>Bưu Cục 608 Phan Văn Trị-Gò Vấp-HCM</v>
      </c>
      <c r="D116" s="9">
        <f ca="1">IFERROR(__xludf.DUMMYFUNCTION("""COMPUTED_VALUE"""),1167)</f>
        <v>1167</v>
      </c>
      <c r="E116" s="9">
        <f ca="1">IFERROR(__xludf.DUMMYFUNCTION("""COMPUTED_VALUE"""),2472)</f>
        <v>2472</v>
      </c>
      <c r="F116" s="9">
        <f ca="1">IFERROR(__xludf.DUMMYFUNCTION("""COMPUTED_VALUE"""),871)</f>
        <v>871</v>
      </c>
      <c r="G116" s="9">
        <f ca="1">IFERROR(__xludf.DUMMYFUNCTION("""COMPUTED_VALUE"""),2213)</f>
        <v>2213</v>
      </c>
      <c r="H116" s="9">
        <f ca="1">IFERROR(__xludf.DUMMYFUNCTION("""COMPUTED_VALUE"""),983)</f>
        <v>983</v>
      </c>
      <c r="I116" s="9">
        <f ca="1">IFERROR(__xludf.DUMMYFUNCTION("""COMPUTED_VALUE"""),2080)</f>
        <v>2080</v>
      </c>
      <c r="J116" s="9">
        <f ca="1">IFERROR(__xludf.DUMMYFUNCTION("""COMPUTED_VALUE"""),1234)</f>
        <v>1234</v>
      </c>
      <c r="K116" s="9">
        <f ca="1">IFERROR(__xludf.DUMMYFUNCTION("""COMPUTED_VALUE"""),3289)</f>
        <v>3289</v>
      </c>
      <c r="L116" s="9">
        <f ca="1">IFERROR(__xludf.DUMMYFUNCTION("""COMPUTED_VALUE"""),382)</f>
        <v>382</v>
      </c>
      <c r="M116" s="9">
        <f ca="1">IFERROR(__xludf.DUMMYFUNCTION("""COMPUTED_VALUE"""),1991)</f>
        <v>1991</v>
      </c>
      <c r="N116" s="9">
        <f ca="1">IFERROR(__xludf.DUMMYFUNCTION("""COMPUTED_VALUE"""),1772)</f>
        <v>1772</v>
      </c>
      <c r="O116" s="9">
        <f ca="1">IFERROR(__xludf.DUMMYFUNCTION("""COMPUTED_VALUE"""),2748)</f>
        <v>2748</v>
      </c>
      <c r="P116" s="29">
        <f ca="1">IFERROR(__xludf.DUMMYFUNCTION("""COMPUTED_VALUE"""),1393)</f>
        <v>1393</v>
      </c>
      <c r="Q116" s="29">
        <f ca="1">IFERROR(__xludf.DUMMYFUNCTION("""COMPUTED_VALUE"""),2207)</f>
        <v>2207</v>
      </c>
      <c r="R116" s="7" t="str">
        <f ca="1">IFERROR(__xludf.DUMMYFUNCTION("""COMPUTED_VALUE"""),"Hồ Chí Minh")</f>
        <v>Hồ Chí Minh</v>
      </c>
      <c r="S116" s="7" t="str">
        <f ca="1">IFERROR(__xludf.DUMMYFUNCTION("""COMPUTED_VALUE"""),"Quận Gò Vấp")</f>
        <v>Quận Gò Vấp</v>
      </c>
      <c r="T116" s="7" t="str">
        <f ca="1">IFERROR(__xludf.DUMMYFUNCTION("SPARKLINE({
IF(D116="""",0,D116),
IF(F116="""",0,F116),
IF(H116="""",0,H116),
IF(J116="""",0,J116),
IF(L116="""",0,L116),
IF(N116="""",0,N116),
IF(P116="""",0,P116)
})"),"")</f>
        <v/>
      </c>
      <c r="U116" s="7" t="str">
        <f ca="1">IFERROR(__xludf.DUMMYFUNCTION("SPARKLINE({
IF(E116="""",0,E116),
IF(G116="""",0,G116),
IF(I116="""",0,I116),
IF(K116="""",0,K116),
IF(M116="""",0,M116),
IF(O116="""",0,O116),
IF(Q116="""",0,Q116)
})"),"")</f>
        <v/>
      </c>
      <c r="V116" s="30" t="e">
        <f t="array" aca="1" ref="V116" ca="1">IF($C$4="Giao",_xludf.Xlookup(C116,#REF!,#REF!,),_xludf.Xlookup(C116,#REF!,#REF!,))</f>
        <v>#NAME?</v>
      </c>
      <c r="W116" s="30" t="e">
        <f t="array" aca="1" ref="W116" ca="1">IF($C$4="Giao", _xludf.Xlookup(C116,#REF!,#REF!,),_xludf.Xlookup(C116,#REF!,#REF!,))</f>
        <v>#NAME?</v>
      </c>
      <c r="X116" s="9" t="e">
        <f t="shared" ca="1" si="2"/>
        <v>#NAME?</v>
      </c>
      <c r="Y116" s="7"/>
      <c r="Z116" s="7"/>
    </row>
    <row r="117" spans="1:26" ht="13" x14ac:dyDescent="0.6">
      <c r="A117" s="28">
        <f t="shared" ca="1" si="1"/>
        <v>110</v>
      </c>
      <c r="B117" s="7" t="str">
        <f ca="1">IFERROR(__xludf.DUMMYFUNCTION("""COMPUTED_VALUE"""),"Quận Gò Vấp")</f>
        <v>Quận Gò Vấp</v>
      </c>
      <c r="C117" s="7" t="str">
        <f ca="1">IFERROR(__xludf.DUMMYFUNCTION("""COMPUTED_VALUE"""),"Bưu Cục Đường 21-Phường 08-Gò Vấp-HCM")</f>
        <v>Bưu Cục Đường 21-Phường 08-Gò Vấp-HCM</v>
      </c>
      <c r="D117" s="9">
        <f ca="1">IFERROR(__xludf.DUMMYFUNCTION("""COMPUTED_VALUE"""),3717)</f>
        <v>3717</v>
      </c>
      <c r="E117" s="9">
        <f ca="1">IFERROR(__xludf.DUMMYFUNCTION("""COMPUTED_VALUE"""),5172)</f>
        <v>5172</v>
      </c>
      <c r="F117" s="9">
        <f ca="1">IFERROR(__xludf.DUMMYFUNCTION("""COMPUTED_VALUE"""),3154)</f>
        <v>3154</v>
      </c>
      <c r="G117" s="9">
        <f ca="1">IFERROR(__xludf.DUMMYFUNCTION("""COMPUTED_VALUE"""),4376)</f>
        <v>4376</v>
      </c>
      <c r="H117" s="9">
        <f ca="1">IFERROR(__xludf.DUMMYFUNCTION("""COMPUTED_VALUE"""),3275)</f>
        <v>3275</v>
      </c>
      <c r="I117" s="9">
        <f ca="1">IFERROR(__xludf.DUMMYFUNCTION("""COMPUTED_VALUE"""),5071)</f>
        <v>5071</v>
      </c>
      <c r="J117" s="9">
        <f ca="1">IFERROR(__xludf.DUMMYFUNCTION("""COMPUTED_VALUE"""),3630)</f>
        <v>3630</v>
      </c>
      <c r="K117" s="9">
        <f ca="1">IFERROR(__xludf.DUMMYFUNCTION("""COMPUTED_VALUE"""),5083)</f>
        <v>5083</v>
      </c>
      <c r="L117" s="9">
        <f ca="1">IFERROR(__xludf.DUMMYFUNCTION("""COMPUTED_VALUE"""),891)</f>
        <v>891</v>
      </c>
      <c r="M117" s="9">
        <f ca="1">IFERROR(__xludf.DUMMYFUNCTION("""COMPUTED_VALUE"""),1645)</f>
        <v>1645</v>
      </c>
      <c r="N117" s="9">
        <f ca="1">IFERROR(__xludf.DUMMYFUNCTION("""COMPUTED_VALUE"""),4993)</f>
        <v>4993</v>
      </c>
      <c r="O117" s="9">
        <f ca="1">IFERROR(__xludf.DUMMYFUNCTION("""COMPUTED_VALUE"""),5566)</f>
        <v>5566</v>
      </c>
      <c r="P117" s="29">
        <f ca="1">IFERROR(__xludf.DUMMYFUNCTION("""COMPUTED_VALUE"""),3396)</f>
        <v>3396</v>
      </c>
      <c r="Q117" s="29">
        <f ca="1">IFERROR(__xludf.DUMMYFUNCTION("""COMPUTED_VALUE"""),5982)</f>
        <v>5982</v>
      </c>
      <c r="R117" s="7" t="str">
        <f ca="1">IFERROR(__xludf.DUMMYFUNCTION("""COMPUTED_VALUE"""),"Hồ Chí Minh")</f>
        <v>Hồ Chí Minh</v>
      </c>
      <c r="S117" s="7" t="str">
        <f ca="1">IFERROR(__xludf.DUMMYFUNCTION("""COMPUTED_VALUE"""),"Quận Gò Vấp")</f>
        <v>Quận Gò Vấp</v>
      </c>
      <c r="T117" s="7" t="str">
        <f ca="1">IFERROR(__xludf.DUMMYFUNCTION("SPARKLINE({
IF(D117="""",0,D117),
IF(F117="""",0,F117),
IF(H117="""",0,H117),
IF(J117="""",0,J117),
IF(L117="""",0,L117),
IF(N117="""",0,N117),
IF(P117="""",0,P117)
})"),"")</f>
        <v/>
      </c>
      <c r="U117" s="7" t="str">
        <f ca="1">IFERROR(__xludf.DUMMYFUNCTION("SPARKLINE({
IF(E117="""",0,E117),
IF(G117="""",0,G117),
IF(I117="""",0,I117),
IF(K117="""",0,K117),
IF(M117="""",0,M117),
IF(O117="""",0,O117),
IF(Q117="""",0,Q117)
})"),"")</f>
        <v/>
      </c>
      <c r="V117" s="30" t="e">
        <f t="array" aca="1" ref="V117" ca="1">IF($C$4="Giao",_xludf.Xlookup(C117,#REF!,#REF!,),_xludf.Xlookup(C117,#REF!,#REF!,))</f>
        <v>#NAME?</v>
      </c>
      <c r="W117" s="30" t="e">
        <f t="array" aca="1" ref="W117" ca="1">IF($C$4="Giao", _xludf.Xlookup(C117,#REF!,#REF!,),_xludf.Xlookup(C117,#REF!,#REF!,))</f>
        <v>#NAME?</v>
      </c>
      <c r="X117" s="9" t="e">
        <f t="shared" ca="1" si="2"/>
        <v>#NAME?</v>
      </c>
      <c r="Y117" s="7"/>
      <c r="Z117" s="7"/>
    </row>
    <row r="118" spans="1:26" ht="13" x14ac:dyDescent="0.6">
      <c r="A118" s="28">
        <f t="shared" ca="1" si="1"/>
        <v>111</v>
      </c>
      <c r="B118" s="7" t="str">
        <f ca="1">IFERROR(__xludf.DUMMYFUNCTION("""COMPUTED_VALUE"""),"Quận Gò Vấp")</f>
        <v>Quận Gò Vấp</v>
      </c>
      <c r="C118" s="7" t="str">
        <f ca="1">IFERROR(__xludf.DUMMYFUNCTION("""COMPUTED_VALUE"""),"Bưu Cục Hàng Vừa 971 Nguyễn Kiệm-Q.Gò Vấp-HCM")</f>
        <v>Bưu Cục Hàng Vừa 971 Nguyễn Kiệm-Q.Gò Vấp-HCM</v>
      </c>
      <c r="D118" s="9">
        <f ca="1">IFERROR(__xludf.DUMMYFUNCTION("""COMPUTED_VALUE"""),1)</f>
        <v>1</v>
      </c>
      <c r="E118" s="9">
        <f ca="1">IFERROR(__xludf.DUMMYFUNCTION("""COMPUTED_VALUE"""),0)</f>
        <v>0</v>
      </c>
      <c r="F118" s="9">
        <f ca="1">IFERROR(__xludf.DUMMYFUNCTION("""COMPUTED_VALUE"""),1)</f>
        <v>1</v>
      </c>
      <c r="G118" s="9">
        <f ca="1">IFERROR(__xludf.DUMMYFUNCTION("""COMPUTED_VALUE"""),5)</f>
        <v>5</v>
      </c>
      <c r="H118" s="9">
        <f ca="1">IFERROR(__xludf.DUMMYFUNCTION("""COMPUTED_VALUE"""),1)</f>
        <v>1</v>
      </c>
      <c r="I118" s="9">
        <f ca="1">IFERROR(__xludf.DUMMYFUNCTION("""COMPUTED_VALUE"""),18)</f>
        <v>18</v>
      </c>
      <c r="J118" s="9">
        <f ca="1">IFERROR(__xludf.DUMMYFUNCTION("""COMPUTED_VALUE"""),3)</f>
        <v>3</v>
      </c>
      <c r="K118" s="9">
        <f ca="1">IFERROR(__xludf.DUMMYFUNCTION("""COMPUTED_VALUE"""),11)</f>
        <v>11</v>
      </c>
      <c r="L118" s="9"/>
      <c r="M118" s="9"/>
      <c r="N118" s="9"/>
      <c r="O118" s="9"/>
      <c r="P118" s="29">
        <f ca="1">IFERROR(__xludf.DUMMYFUNCTION("""COMPUTED_VALUE"""),1)</f>
        <v>1</v>
      </c>
      <c r="Q118" s="29">
        <f ca="1">IFERROR(__xludf.DUMMYFUNCTION("""COMPUTED_VALUE"""),10)</f>
        <v>10</v>
      </c>
      <c r="R118" s="7" t="str">
        <f ca="1">IFERROR(__xludf.DUMMYFUNCTION("""COMPUTED_VALUE"""),"Hồ Chí Minh")</f>
        <v>Hồ Chí Minh</v>
      </c>
      <c r="S118" s="7" t="str">
        <f ca="1">IFERROR(__xludf.DUMMYFUNCTION("""COMPUTED_VALUE"""),"Quận Gò Vấp")</f>
        <v>Quận Gò Vấp</v>
      </c>
      <c r="T118" s="7" t="str">
        <f ca="1">IFERROR(__xludf.DUMMYFUNCTION("SPARKLINE({
IF(D118="""",0,D118),
IF(F118="""",0,F118),
IF(H118="""",0,H118),
IF(J118="""",0,J118),
IF(L118="""",0,L118),
IF(N118="""",0,N118),
IF(P118="""",0,P118)
})"),"")</f>
        <v/>
      </c>
      <c r="U118" s="7" t="str">
        <f ca="1">IFERROR(__xludf.DUMMYFUNCTION("SPARKLINE({
IF(E118="""",0,E118),
IF(G118="""",0,G118),
IF(I118="""",0,I118),
IF(K118="""",0,K118),
IF(M118="""",0,M118),
IF(O118="""",0,O118),
IF(Q118="""",0,Q118)
})"),"")</f>
        <v/>
      </c>
      <c r="V118" s="30" t="e">
        <f t="array" aca="1" ref="V118" ca="1">IF($C$4="Giao",_xludf.Xlookup(C118,#REF!,#REF!,),_xludf.Xlookup(C118,#REF!,#REF!,))</f>
        <v>#NAME?</v>
      </c>
      <c r="W118" s="8" t="e">
        <f t="array" aca="1" ref="W118" ca="1">IF($C$4="Giao", _xludf.Xlookup(C118,#REF!,#REF!,),_xludf.Xlookup(C118,#REF!,#REF!,))</f>
        <v>#NAME?</v>
      </c>
      <c r="X118" s="9" t="e">
        <f t="shared" ca="1" si="2"/>
        <v>#NAME?</v>
      </c>
      <c r="Y118" s="7"/>
      <c r="Z118" s="7"/>
    </row>
    <row r="119" spans="1:26" ht="13" x14ac:dyDescent="0.6">
      <c r="A119" s="28">
        <f t="shared" ca="1" si="1"/>
        <v>112</v>
      </c>
      <c r="B119" s="7" t="str">
        <f ca="1">IFERROR(__xludf.DUMMYFUNCTION("""COMPUTED_VALUE"""),"Quận Gò Vấp")</f>
        <v>Quận Gò Vấp</v>
      </c>
      <c r="C119" s="7" t="str">
        <f ca="1">IFERROR(__xludf.DUMMYFUNCTION("""COMPUTED_VALUE"""),"Bưu Cục Phan Huy Ích-Gò Vấp-HCM")</f>
        <v>Bưu Cục Phan Huy Ích-Gò Vấp-HCM</v>
      </c>
      <c r="D119" s="9">
        <f ca="1">IFERROR(__xludf.DUMMYFUNCTION("""COMPUTED_VALUE"""),2355)</f>
        <v>2355</v>
      </c>
      <c r="E119" s="9">
        <f ca="1">IFERROR(__xludf.DUMMYFUNCTION("""COMPUTED_VALUE"""),2781)</f>
        <v>2781</v>
      </c>
      <c r="F119" s="9">
        <f ca="1">IFERROR(__xludf.DUMMYFUNCTION("""COMPUTED_VALUE"""),2064)</f>
        <v>2064</v>
      </c>
      <c r="G119" s="9">
        <f ca="1">IFERROR(__xludf.DUMMYFUNCTION("""COMPUTED_VALUE"""),2172)</f>
        <v>2172</v>
      </c>
      <c r="H119" s="9">
        <f ca="1">IFERROR(__xludf.DUMMYFUNCTION("""COMPUTED_VALUE"""),2522)</f>
        <v>2522</v>
      </c>
      <c r="I119" s="9">
        <f ca="1">IFERROR(__xludf.DUMMYFUNCTION("""COMPUTED_VALUE"""),2611)</f>
        <v>2611</v>
      </c>
      <c r="J119" s="9">
        <f ca="1">IFERROR(__xludf.DUMMYFUNCTION("""COMPUTED_VALUE"""),2208)</f>
        <v>2208</v>
      </c>
      <c r="K119" s="9">
        <f ca="1">IFERROR(__xludf.DUMMYFUNCTION("""COMPUTED_VALUE"""),2489)</f>
        <v>2489</v>
      </c>
      <c r="L119" s="9">
        <f ca="1">IFERROR(__xludf.DUMMYFUNCTION("""COMPUTED_VALUE"""),584)</f>
        <v>584</v>
      </c>
      <c r="M119" s="9">
        <f ca="1">IFERROR(__xludf.DUMMYFUNCTION("""COMPUTED_VALUE"""),1036)</f>
        <v>1036</v>
      </c>
      <c r="N119" s="9">
        <f ca="1">IFERROR(__xludf.DUMMYFUNCTION("""COMPUTED_VALUE"""),3343)</f>
        <v>3343</v>
      </c>
      <c r="O119" s="9">
        <f ca="1">IFERROR(__xludf.DUMMYFUNCTION("""COMPUTED_VALUE"""),3147)</f>
        <v>3147</v>
      </c>
      <c r="P119" s="29">
        <f ca="1">IFERROR(__xludf.DUMMYFUNCTION("""COMPUTED_VALUE"""),2020)</f>
        <v>2020</v>
      </c>
      <c r="Q119" s="29">
        <f ca="1">IFERROR(__xludf.DUMMYFUNCTION("""COMPUTED_VALUE"""),2637)</f>
        <v>2637</v>
      </c>
      <c r="R119" s="7" t="str">
        <f ca="1">IFERROR(__xludf.DUMMYFUNCTION("""COMPUTED_VALUE"""),"Hồ Chí Minh")</f>
        <v>Hồ Chí Minh</v>
      </c>
      <c r="S119" s="7" t="str">
        <f ca="1">IFERROR(__xludf.DUMMYFUNCTION("""COMPUTED_VALUE"""),"Quận Gò Vấp")</f>
        <v>Quận Gò Vấp</v>
      </c>
      <c r="T119" s="7" t="str">
        <f ca="1">IFERROR(__xludf.DUMMYFUNCTION("SPARKLINE({
IF(D119="""",0,D119),
IF(F119="""",0,F119),
IF(H119="""",0,H119),
IF(J119="""",0,J119),
IF(L119="""",0,L119),
IF(N119="""",0,N119),
IF(P119="""",0,P119)
})"),"")</f>
        <v/>
      </c>
      <c r="U119" s="7" t="str">
        <f ca="1">IFERROR(__xludf.DUMMYFUNCTION("SPARKLINE({
IF(E119="""",0,E119),
IF(G119="""",0,G119),
IF(I119="""",0,I119),
IF(K119="""",0,K119),
IF(M119="""",0,M119),
IF(O119="""",0,O119),
IF(Q119="""",0,Q119)
})"),"")</f>
        <v/>
      </c>
      <c r="V119" s="30" t="e">
        <f t="array" aca="1" ref="V119" ca="1">IF($C$4="Giao",_xludf.Xlookup(C119,#REF!,#REF!,),_xludf.Xlookup(C119,#REF!,#REF!,))</f>
        <v>#NAME?</v>
      </c>
      <c r="W119" s="30" t="e">
        <f t="array" aca="1" ref="W119" ca="1">IF($C$4="Giao", _xludf.Xlookup(C119,#REF!,#REF!,),_xludf.Xlookup(C119,#REF!,#REF!,))</f>
        <v>#NAME?</v>
      </c>
      <c r="X119" s="9" t="e">
        <f t="shared" ca="1" si="2"/>
        <v>#NAME?</v>
      </c>
      <c r="Y119" s="7"/>
      <c r="Z119" s="7"/>
    </row>
    <row r="120" spans="1:26" ht="13" x14ac:dyDescent="0.6">
      <c r="A120" s="28">
        <f t="shared" ca="1" si="1"/>
        <v>113</v>
      </c>
      <c r="B120" s="7" t="str">
        <f ca="1">IFERROR(__xludf.DUMMYFUNCTION("""COMPUTED_VALUE"""),"Quận Phú Nhuận")</f>
        <v>Quận Phú Nhuận</v>
      </c>
      <c r="C120" s="7" t="str">
        <f ca="1">IFERROR(__xludf.DUMMYFUNCTION("""COMPUTED_VALUE"""),"Bưu Cục 456 Nguyễn Kiệm-Q.Phú Nhuận-HCM")</f>
        <v>Bưu Cục 456 Nguyễn Kiệm-Q.Phú Nhuận-HCM</v>
      </c>
      <c r="D120" s="9">
        <f ca="1">IFERROR(__xludf.DUMMYFUNCTION("""COMPUTED_VALUE"""),1408)</f>
        <v>1408</v>
      </c>
      <c r="E120" s="9">
        <f ca="1">IFERROR(__xludf.DUMMYFUNCTION("""COMPUTED_VALUE"""),2172)</f>
        <v>2172</v>
      </c>
      <c r="F120" s="9">
        <f ca="1">IFERROR(__xludf.DUMMYFUNCTION("""COMPUTED_VALUE"""),1235)</f>
        <v>1235</v>
      </c>
      <c r="G120" s="9">
        <f ca="1">IFERROR(__xludf.DUMMYFUNCTION("""COMPUTED_VALUE"""),2758)</f>
        <v>2758</v>
      </c>
      <c r="H120" s="9">
        <f ca="1">IFERROR(__xludf.DUMMYFUNCTION("""COMPUTED_VALUE"""),1349)</f>
        <v>1349</v>
      </c>
      <c r="I120" s="9">
        <f ca="1">IFERROR(__xludf.DUMMYFUNCTION("""COMPUTED_VALUE"""),2310)</f>
        <v>2310</v>
      </c>
      <c r="J120" s="9">
        <f ca="1">IFERROR(__xludf.DUMMYFUNCTION("""COMPUTED_VALUE"""),1176)</f>
        <v>1176</v>
      </c>
      <c r="K120" s="9">
        <f ca="1">IFERROR(__xludf.DUMMYFUNCTION("""COMPUTED_VALUE"""),2584)</f>
        <v>2584</v>
      </c>
      <c r="L120" s="9">
        <f ca="1">IFERROR(__xludf.DUMMYFUNCTION("""COMPUTED_VALUE"""),506)</f>
        <v>506</v>
      </c>
      <c r="M120" s="9">
        <f ca="1">IFERROR(__xludf.DUMMYFUNCTION("""COMPUTED_VALUE"""),805)</f>
        <v>805</v>
      </c>
      <c r="N120" s="9">
        <f ca="1">IFERROR(__xludf.DUMMYFUNCTION("""COMPUTED_VALUE"""),1790)</f>
        <v>1790</v>
      </c>
      <c r="O120" s="9">
        <f ca="1">IFERROR(__xludf.DUMMYFUNCTION("""COMPUTED_VALUE"""),2427)</f>
        <v>2427</v>
      </c>
      <c r="P120" s="29">
        <f ca="1">IFERROR(__xludf.DUMMYFUNCTION("""COMPUTED_VALUE"""),1720)</f>
        <v>1720</v>
      </c>
      <c r="Q120" s="29">
        <f ca="1">IFERROR(__xludf.DUMMYFUNCTION("""COMPUTED_VALUE"""),2289)</f>
        <v>2289</v>
      </c>
      <c r="R120" s="7" t="str">
        <f ca="1">IFERROR(__xludf.DUMMYFUNCTION("""COMPUTED_VALUE"""),"Hồ Chí Minh")</f>
        <v>Hồ Chí Minh</v>
      </c>
      <c r="S120" s="7" t="str">
        <f ca="1">IFERROR(__xludf.DUMMYFUNCTION("""COMPUTED_VALUE"""),"Quận Phú Nhuận")</f>
        <v>Quận Phú Nhuận</v>
      </c>
      <c r="T120" s="7" t="str">
        <f ca="1">IFERROR(__xludf.DUMMYFUNCTION("SPARKLINE({
IF(D120="""",0,D120),
IF(F120="""",0,F120),
IF(H120="""",0,H120),
IF(J120="""",0,J120),
IF(L120="""",0,L120),
IF(N120="""",0,N120),
IF(P120="""",0,P120)
})"),"")</f>
        <v/>
      </c>
      <c r="U120" s="7" t="str">
        <f ca="1">IFERROR(__xludf.DUMMYFUNCTION("SPARKLINE({
IF(E120="""",0,E120),
IF(G120="""",0,G120),
IF(I120="""",0,I120),
IF(K120="""",0,K120),
IF(M120="""",0,M120),
IF(O120="""",0,O120),
IF(Q120="""",0,Q120)
})"),"")</f>
        <v/>
      </c>
      <c r="V120" s="30" t="e">
        <f t="array" aca="1" ref="V120" ca="1">IF($C$4="Giao",_xludf.Xlookup(C120,#REF!,#REF!,),_xludf.Xlookup(C120,#REF!,#REF!,))</f>
        <v>#NAME?</v>
      </c>
      <c r="W120" s="30" t="e">
        <f t="array" aca="1" ref="W120" ca="1">IF($C$4="Giao", _xludf.Xlookup(C120,#REF!,#REF!,),_xludf.Xlookup(C120,#REF!,#REF!,))</f>
        <v>#NAME?</v>
      </c>
      <c r="X120" s="9" t="e">
        <f t="shared" ca="1" si="2"/>
        <v>#NAME?</v>
      </c>
      <c r="Y120" s="7"/>
      <c r="Z120" s="7"/>
    </row>
    <row r="121" spans="1:26" ht="13" x14ac:dyDescent="0.6">
      <c r="A121" s="28">
        <f t="shared" ca="1" si="1"/>
        <v>114</v>
      </c>
      <c r="B121" s="7" t="str">
        <f ca="1">IFERROR(__xludf.DUMMYFUNCTION("""COMPUTED_VALUE"""),"Quận Phú Nhuận")</f>
        <v>Quận Phú Nhuận</v>
      </c>
      <c r="C121" s="7" t="str">
        <f ca="1">IFERROR(__xludf.DUMMYFUNCTION("""COMPUTED_VALUE"""),"Bưu Cục 58 Trương Quốc Dung-Q.Phú Nhuận-HCM")</f>
        <v>Bưu Cục 58 Trương Quốc Dung-Q.Phú Nhuận-HCM</v>
      </c>
      <c r="D121" s="9">
        <f ca="1">IFERROR(__xludf.DUMMYFUNCTION("""COMPUTED_VALUE"""),1218)</f>
        <v>1218</v>
      </c>
      <c r="E121" s="9">
        <f ca="1">IFERROR(__xludf.DUMMYFUNCTION("""COMPUTED_VALUE"""),1425)</f>
        <v>1425</v>
      </c>
      <c r="F121" s="9">
        <f ca="1">IFERROR(__xludf.DUMMYFUNCTION("""COMPUTED_VALUE"""),1019)</f>
        <v>1019</v>
      </c>
      <c r="G121" s="9">
        <f ca="1">IFERROR(__xludf.DUMMYFUNCTION("""COMPUTED_VALUE"""),1549)</f>
        <v>1549</v>
      </c>
      <c r="H121" s="9">
        <f ca="1">IFERROR(__xludf.DUMMYFUNCTION("""COMPUTED_VALUE"""),1089)</f>
        <v>1089</v>
      </c>
      <c r="I121" s="9">
        <f ca="1">IFERROR(__xludf.DUMMYFUNCTION("""COMPUTED_VALUE"""),1199)</f>
        <v>1199</v>
      </c>
      <c r="J121" s="9">
        <f ca="1">IFERROR(__xludf.DUMMYFUNCTION("""COMPUTED_VALUE"""),993)</f>
        <v>993</v>
      </c>
      <c r="K121" s="9">
        <f ca="1">IFERROR(__xludf.DUMMYFUNCTION("""COMPUTED_VALUE"""),1499)</f>
        <v>1499</v>
      </c>
      <c r="L121" s="9">
        <f ca="1">IFERROR(__xludf.DUMMYFUNCTION("""COMPUTED_VALUE"""),612)</f>
        <v>612</v>
      </c>
      <c r="M121" s="9">
        <f ca="1">IFERROR(__xludf.DUMMYFUNCTION("""COMPUTED_VALUE"""),812)</f>
        <v>812</v>
      </c>
      <c r="N121" s="9">
        <f ca="1">IFERROR(__xludf.DUMMYFUNCTION("""COMPUTED_VALUE"""),1072)</f>
        <v>1072</v>
      </c>
      <c r="O121" s="9">
        <f ca="1">IFERROR(__xludf.DUMMYFUNCTION("""COMPUTED_VALUE"""),1030)</f>
        <v>1030</v>
      </c>
      <c r="P121" s="29">
        <f ca="1">IFERROR(__xludf.DUMMYFUNCTION("""COMPUTED_VALUE"""),1037)</f>
        <v>1037</v>
      </c>
      <c r="Q121" s="29">
        <f ca="1">IFERROR(__xludf.DUMMYFUNCTION("""COMPUTED_VALUE"""),1617)</f>
        <v>1617</v>
      </c>
      <c r="R121" s="7" t="str">
        <f ca="1">IFERROR(__xludf.DUMMYFUNCTION("""COMPUTED_VALUE"""),"Hồ Chí Minh")</f>
        <v>Hồ Chí Minh</v>
      </c>
      <c r="S121" s="7" t="str">
        <f ca="1">IFERROR(__xludf.DUMMYFUNCTION("""COMPUTED_VALUE"""),"Quận Phú Nhuận")</f>
        <v>Quận Phú Nhuận</v>
      </c>
      <c r="T121" s="7" t="str">
        <f ca="1">IFERROR(__xludf.DUMMYFUNCTION("SPARKLINE({
IF(D121="""",0,D121),
IF(F121="""",0,F121),
IF(H121="""",0,H121),
IF(J121="""",0,J121),
IF(L121="""",0,L121),
IF(N121="""",0,N121),
IF(P121="""",0,P121)
})"),"")</f>
        <v/>
      </c>
      <c r="U121" s="7" t="str">
        <f ca="1">IFERROR(__xludf.DUMMYFUNCTION("SPARKLINE({
IF(E121="""",0,E121),
IF(G121="""",0,G121),
IF(I121="""",0,I121),
IF(K121="""",0,K121),
IF(M121="""",0,M121),
IF(O121="""",0,O121),
IF(Q121="""",0,Q121)
})"),"")</f>
        <v/>
      </c>
      <c r="V121" s="30" t="e">
        <f t="array" aca="1" ref="V121" ca="1">IF($C$4="Giao",_xludf.Xlookup(C121,#REF!,#REF!,),_xludf.Xlookup(C121,#REF!,#REF!,))</f>
        <v>#NAME?</v>
      </c>
      <c r="W121" s="30" t="e">
        <f t="array" aca="1" ref="W121" ca="1">IF($C$4="Giao", _xludf.Xlookup(C121,#REF!,#REF!,),_xludf.Xlookup(C121,#REF!,#REF!,))</f>
        <v>#NAME?</v>
      </c>
      <c r="X121" s="9" t="e">
        <f t="shared" ca="1" si="2"/>
        <v>#NAME?</v>
      </c>
      <c r="Y121" s="7"/>
      <c r="Z121" s="7"/>
    </row>
    <row r="122" spans="1:26" ht="13" x14ac:dyDescent="0.6">
      <c r="A122" s="28">
        <f t="shared" ca="1" si="1"/>
        <v>115</v>
      </c>
      <c r="B122" s="7" t="str">
        <f ca="1">IFERROR(__xludf.DUMMYFUNCTION("""COMPUTED_VALUE"""),"Quận Tân Bình")</f>
        <v>Quận Tân Bình</v>
      </c>
      <c r="C122" s="7" t="str">
        <f ca="1">IFERROR(__xludf.DUMMYFUNCTION("""COMPUTED_VALUE"""),"Bưu Cục 04 Nhất Chi Mai-Q.Tân Bình-HCM")</f>
        <v>Bưu Cục 04 Nhất Chi Mai-Q.Tân Bình-HCM</v>
      </c>
      <c r="D122" s="9">
        <f ca="1">IFERROR(__xludf.DUMMYFUNCTION("""COMPUTED_VALUE"""),1261)</f>
        <v>1261</v>
      </c>
      <c r="E122" s="9">
        <f ca="1">IFERROR(__xludf.DUMMYFUNCTION("""COMPUTED_VALUE"""),3093)</f>
        <v>3093</v>
      </c>
      <c r="F122" s="9">
        <f ca="1">IFERROR(__xludf.DUMMYFUNCTION("""COMPUTED_VALUE"""),1058)</f>
        <v>1058</v>
      </c>
      <c r="G122" s="9">
        <f ca="1">IFERROR(__xludf.DUMMYFUNCTION("""COMPUTED_VALUE"""),3211)</f>
        <v>3211</v>
      </c>
      <c r="H122" s="9">
        <f ca="1">IFERROR(__xludf.DUMMYFUNCTION("""COMPUTED_VALUE"""),1163)</f>
        <v>1163</v>
      </c>
      <c r="I122" s="9">
        <f ca="1">IFERROR(__xludf.DUMMYFUNCTION("""COMPUTED_VALUE"""),3335)</f>
        <v>3335</v>
      </c>
      <c r="J122" s="9">
        <f ca="1">IFERROR(__xludf.DUMMYFUNCTION("""COMPUTED_VALUE"""),1142)</f>
        <v>1142</v>
      </c>
      <c r="K122" s="9">
        <f ca="1">IFERROR(__xludf.DUMMYFUNCTION("""COMPUTED_VALUE"""),3956)</f>
        <v>3956</v>
      </c>
      <c r="L122" s="9">
        <f ca="1">IFERROR(__xludf.DUMMYFUNCTION("""COMPUTED_VALUE"""),390)</f>
        <v>390</v>
      </c>
      <c r="M122" s="9">
        <f ca="1">IFERROR(__xludf.DUMMYFUNCTION("""COMPUTED_VALUE"""),1121)</f>
        <v>1121</v>
      </c>
      <c r="N122" s="9">
        <f ca="1">IFERROR(__xludf.DUMMYFUNCTION("""COMPUTED_VALUE"""),1148)</f>
        <v>1148</v>
      </c>
      <c r="O122" s="9">
        <f ca="1">IFERROR(__xludf.DUMMYFUNCTION("""COMPUTED_VALUE"""),2774)</f>
        <v>2774</v>
      </c>
      <c r="P122" s="29">
        <f ca="1">IFERROR(__xludf.DUMMYFUNCTION("""COMPUTED_VALUE"""),1207)</f>
        <v>1207</v>
      </c>
      <c r="Q122" s="29">
        <f ca="1">IFERROR(__xludf.DUMMYFUNCTION("""COMPUTED_VALUE"""),4016)</f>
        <v>4016</v>
      </c>
      <c r="R122" s="7" t="str">
        <f ca="1">IFERROR(__xludf.DUMMYFUNCTION("""COMPUTED_VALUE"""),"Hồ Chí Minh")</f>
        <v>Hồ Chí Minh</v>
      </c>
      <c r="S122" s="7" t="str">
        <f ca="1">IFERROR(__xludf.DUMMYFUNCTION("""COMPUTED_VALUE"""),"Quận Tân Bình")</f>
        <v>Quận Tân Bình</v>
      </c>
      <c r="T122" s="7" t="str">
        <f ca="1">IFERROR(__xludf.DUMMYFUNCTION("SPARKLINE({
IF(D122="""",0,D122),
IF(F122="""",0,F122),
IF(H122="""",0,H122),
IF(J122="""",0,J122),
IF(L122="""",0,L122),
IF(N122="""",0,N122),
IF(P122="""",0,P122)
})"),"")</f>
        <v/>
      </c>
      <c r="U122" s="7" t="str">
        <f ca="1">IFERROR(__xludf.DUMMYFUNCTION("SPARKLINE({
IF(E122="""",0,E122),
IF(G122="""",0,G122),
IF(I122="""",0,I122),
IF(K122="""",0,K122),
IF(M122="""",0,M122),
IF(O122="""",0,O122),
IF(Q122="""",0,Q122)
})"),"")</f>
        <v/>
      </c>
      <c r="V122" s="30" t="e">
        <f t="array" aca="1" ref="V122" ca="1">IF($C$4="Giao",_xludf.Xlookup(C122,#REF!,#REF!,),_xludf.Xlookup(C122,#REF!,#REF!,))</f>
        <v>#NAME?</v>
      </c>
      <c r="W122" s="30" t="e">
        <f t="array" aca="1" ref="W122" ca="1">IF($C$4="Giao", _xludf.Xlookup(C122,#REF!,#REF!,),_xludf.Xlookup(C122,#REF!,#REF!,))</f>
        <v>#NAME?</v>
      </c>
      <c r="X122" s="9" t="e">
        <f t="shared" ca="1" si="2"/>
        <v>#NAME?</v>
      </c>
      <c r="Y122" s="7"/>
      <c r="Z122" s="7"/>
    </row>
    <row r="123" spans="1:26" ht="13" x14ac:dyDescent="0.6">
      <c r="A123" s="28">
        <f t="shared" ca="1" si="1"/>
        <v>116</v>
      </c>
      <c r="B123" s="7" t="str">
        <f ca="1">IFERROR(__xludf.DUMMYFUNCTION("""COMPUTED_VALUE"""),"Quận Tân Bình")</f>
        <v>Quận Tân Bình</v>
      </c>
      <c r="C123" s="7" t="str">
        <f ca="1">IFERROR(__xludf.DUMMYFUNCTION("""COMPUTED_VALUE"""),"Bưu Cục 6 Phạm Văn Hai-Q.Tân Bình-HCM")</f>
        <v>Bưu Cục 6 Phạm Văn Hai-Q.Tân Bình-HCM</v>
      </c>
      <c r="D123" s="9">
        <f ca="1">IFERROR(__xludf.DUMMYFUNCTION("""COMPUTED_VALUE"""),855)</f>
        <v>855</v>
      </c>
      <c r="E123" s="9">
        <f ca="1">IFERROR(__xludf.DUMMYFUNCTION("""COMPUTED_VALUE"""),1660)</f>
        <v>1660</v>
      </c>
      <c r="F123" s="9">
        <f ca="1">IFERROR(__xludf.DUMMYFUNCTION("""COMPUTED_VALUE"""),734)</f>
        <v>734</v>
      </c>
      <c r="G123" s="9">
        <f ca="1">IFERROR(__xludf.DUMMYFUNCTION("""COMPUTED_VALUE"""),1380)</f>
        <v>1380</v>
      </c>
      <c r="H123" s="9">
        <f ca="1">IFERROR(__xludf.DUMMYFUNCTION("""COMPUTED_VALUE"""),699)</f>
        <v>699</v>
      </c>
      <c r="I123" s="9">
        <f ca="1">IFERROR(__xludf.DUMMYFUNCTION("""COMPUTED_VALUE"""),1148)</f>
        <v>1148</v>
      </c>
      <c r="J123" s="9">
        <f ca="1">IFERROR(__xludf.DUMMYFUNCTION("""COMPUTED_VALUE"""),757)</f>
        <v>757</v>
      </c>
      <c r="K123" s="9">
        <f ca="1">IFERROR(__xludf.DUMMYFUNCTION("""COMPUTED_VALUE"""),1886)</f>
        <v>1886</v>
      </c>
      <c r="L123" s="9">
        <f ca="1">IFERROR(__xludf.DUMMYFUNCTION("""COMPUTED_VALUE"""),314)</f>
        <v>314</v>
      </c>
      <c r="M123" s="9">
        <f ca="1">IFERROR(__xludf.DUMMYFUNCTION("""COMPUTED_VALUE"""),454)</f>
        <v>454</v>
      </c>
      <c r="N123" s="9">
        <f ca="1">IFERROR(__xludf.DUMMYFUNCTION("""COMPUTED_VALUE"""),807)</f>
        <v>807</v>
      </c>
      <c r="O123" s="9">
        <f ca="1">IFERROR(__xludf.DUMMYFUNCTION("""COMPUTED_VALUE"""),1340)</f>
        <v>1340</v>
      </c>
      <c r="P123" s="29">
        <f ca="1">IFERROR(__xludf.DUMMYFUNCTION("""COMPUTED_VALUE"""),656)</f>
        <v>656</v>
      </c>
      <c r="Q123" s="29">
        <f ca="1">IFERROR(__xludf.DUMMYFUNCTION("""COMPUTED_VALUE"""),1274)</f>
        <v>1274</v>
      </c>
      <c r="R123" s="7" t="str">
        <f ca="1">IFERROR(__xludf.DUMMYFUNCTION("""COMPUTED_VALUE"""),"Hồ Chí Minh")</f>
        <v>Hồ Chí Minh</v>
      </c>
      <c r="S123" s="7" t="str">
        <f ca="1">IFERROR(__xludf.DUMMYFUNCTION("""COMPUTED_VALUE"""),"Quận Tân Bình")</f>
        <v>Quận Tân Bình</v>
      </c>
      <c r="T123" s="7" t="str">
        <f ca="1">IFERROR(__xludf.DUMMYFUNCTION("SPARKLINE({
IF(D123="""",0,D123),
IF(F123="""",0,F123),
IF(H123="""",0,H123),
IF(J123="""",0,J123),
IF(L123="""",0,L123),
IF(N123="""",0,N123),
IF(P123="""",0,P123)
})"),"")</f>
        <v/>
      </c>
      <c r="U123" s="7" t="str">
        <f ca="1">IFERROR(__xludf.DUMMYFUNCTION("SPARKLINE({
IF(E123="""",0,E123),
IF(G123="""",0,G123),
IF(I123="""",0,I123),
IF(K123="""",0,K123),
IF(M123="""",0,M123),
IF(O123="""",0,O123),
IF(Q123="""",0,Q123)
})"),"")</f>
        <v/>
      </c>
      <c r="V123" s="30" t="e">
        <f t="array" aca="1" ref="V123" ca="1">IF($C$4="Giao",_xludf.Xlookup(C123,#REF!,#REF!,),_xludf.Xlookup(C123,#REF!,#REF!,))</f>
        <v>#NAME?</v>
      </c>
      <c r="W123" s="30" t="e">
        <f t="array" aca="1" ref="W123" ca="1">IF($C$4="Giao", _xludf.Xlookup(C123,#REF!,#REF!,),_xludf.Xlookup(C123,#REF!,#REF!,))</f>
        <v>#NAME?</v>
      </c>
      <c r="X123" s="9" t="e">
        <f t="shared" ca="1" si="2"/>
        <v>#NAME?</v>
      </c>
      <c r="Y123" s="7"/>
      <c r="Z123" s="7"/>
    </row>
    <row r="124" spans="1:26" ht="13" x14ac:dyDescent="0.6">
      <c r="A124" s="28">
        <f t="shared" ca="1" si="1"/>
        <v>117</v>
      </c>
      <c r="B124" s="7" t="str">
        <f ca="1">IFERROR(__xludf.DUMMYFUNCTION("""COMPUTED_VALUE"""),"Quận Tân Bình")</f>
        <v>Quận Tân Bình</v>
      </c>
      <c r="C124" s="7" t="str">
        <f ca="1">IFERROR(__xludf.DUMMYFUNCTION("""COMPUTED_VALUE"""),"Bưu Cục 78 Nguyễn Minh Hoàng-Phường 12-Q.Tân Bình-HCM")</f>
        <v>Bưu Cục 78 Nguyễn Minh Hoàng-Phường 12-Q.Tân Bình-HCM</v>
      </c>
      <c r="D124" s="9">
        <f ca="1">IFERROR(__xludf.DUMMYFUNCTION("""COMPUTED_VALUE"""),2136)</f>
        <v>2136</v>
      </c>
      <c r="E124" s="9">
        <f ca="1">IFERROR(__xludf.DUMMYFUNCTION("""COMPUTED_VALUE"""),3557)</f>
        <v>3557</v>
      </c>
      <c r="F124" s="9">
        <f ca="1">IFERROR(__xludf.DUMMYFUNCTION("""COMPUTED_VALUE"""),1544)</f>
        <v>1544</v>
      </c>
      <c r="G124" s="9">
        <f ca="1">IFERROR(__xludf.DUMMYFUNCTION("""COMPUTED_VALUE"""),3316)</f>
        <v>3316</v>
      </c>
      <c r="H124" s="9">
        <f ca="1">IFERROR(__xludf.DUMMYFUNCTION("""COMPUTED_VALUE"""),1715)</f>
        <v>1715</v>
      </c>
      <c r="I124" s="9">
        <f ca="1">IFERROR(__xludf.DUMMYFUNCTION("""COMPUTED_VALUE"""),3124)</f>
        <v>3124</v>
      </c>
      <c r="J124" s="9">
        <f ca="1">IFERROR(__xludf.DUMMYFUNCTION("""COMPUTED_VALUE"""),1899)</f>
        <v>1899</v>
      </c>
      <c r="K124" s="9">
        <f ca="1">IFERROR(__xludf.DUMMYFUNCTION("""COMPUTED_VALUE"""),4963)</f>
        <v>4963</v>
      </c>
      <c r="L124" s="9">
        <f ca="1">IFERROR(__xludf.DUMMYFUNCTION("""COMPUTED_VALUE"""),931)</f>
        <v>931</v>
      </c>
      <c r="M124" s="9">
        <f ca="1">IFERROR(__xludf.DUMMYFUNCTION("""COMPUTED_VALUE"""),2649)</f>
        <v>2649</v>
      </c>
      <c r="N124" s="9">
        <f ca="1">IFERROR(__xludf.DUMMYFUNCTION("""COMPUTED_VALUE"""),1695)</f>
        <v>1695</v>
      </c>
      <c r="O124" s="9">
        <f ca="1">IFERROR(__xludf.DUMMYFUNCTION("""COMPUTED_VALUE"""),2927)</f>
        <v>2927</v>
      </c>
      <c r="P124" s="29">
        <f ca="1">IFERROR(__xludf.DUMMYFUNCTION("""COMPUTED_VALUE"""),2031)</f>
        <v>2031</v>
      </c>
      <c r="Q124" s="29">
        <f ca="1">IFERROR(__xludf.DUMMYFUNCTION("""COMPUTED_VALUE"""),3538)</f>
        <v>3538</v>
      </c>
      <c r="R124" s="7" t="str">
        <f ca="1">IFERROR(__xludf.DUMMYFUNCTION("""COMPUTED_VALUE"""),"Hồ Chí Minh")</f>
        <v>Hồ Chí Minh</v>
      </c>
      <c r="S124" s="7" t="str">
        <f ca="1">IFERROR(__xludf.DUMMYFUNCTION("""COMPUTED_VALUE"""),"Quận Tân Bình")</f>
        <v>Quận Tân Bình</v>
      </c>
      <c r="T124" s="7" t="str">
        <f ca="1">IFERROR(__xludf.DUMMYFUNCTION("SPARKLINE({
IF(D124="""",0,D124),
IF(F124="""",0,F124),
IF(H124="""",0,H124),
IF(J124="""",0,J124),
IF(L124="""",0,L124),
IF(N124="""",0,N124),
IF(P124="""",0,P124)
})"),"")</f>
        <v/>
      </c>
      <c r="U124" s="7" t="str">
        <f ca="1">IFERROR(__xludf.DUMMYFUNCTION("SPARKLINE({
IF(E124="""",0,E124),
IF(G124="""",0,G124),
IF(I124="""",0,I124),
IF(K124="""",0,K124),
IF(M124="""",0,M124),
IF(O124="""",0,O124),
IF(Q124="""",0,Q124)
})"),"")</f>
        <v/>
      </c>
      <c r="V124" s="30" t="e">
        <f t="array" aca="1" ref="V124" ca="1">IF($C$4="Giao",_xludf.Xlookup(C124,#REF!,#REF!,),_xludf.Xlookup(C124,#REF!,#REF!,))</f>
        <v>#NAME?</v>
      </c>
      <c r="W124" s="30" t="e">
        <f t="array" aca="1" ref="W124" ca="1">IF($C$4="Giao", _xludf.Xlookup(C124,#REF!,#REF!,),_xludf.Xlookup(C124,#REF!,#REF!,))</f>
        <v>#NAME?</v>
      </c>
      <c r="X124" s="9" t="e">
        <f t="shared" ca="1" si="2"/>
        <v>#NAME?</v>
      </c>
      <c r="Y124" s="7"/>
      <c r="Z124" s="7"/>
    </row>
    <row r="125" spans="1:26" ht="13" x14ac:dyDescent="0.6">
      <c r="A125" s="28">
        <f t="shared" ca="1" si="1"/>
        <v>118</v>
      </c>
      <c r="B125" s="7" t="str">
        <f ca="1">IFERROR(__xludf.DUMMYFUNCTION("""COMPUTED_VALUE"""),"Quận Tân Bình")</f>
        <v>Quận Tân Bình</v>
      </c>
      <c r="C125" s="7" t="str">
        <f ca="1">IFERROR(__xludf.DUMMYFUNCTION("""COMPUTED_VALUE"""),"Bưu Cục 82 Nguyễn Sỹ Sách-Q.Tân Bình-HCM")</f>
        <v>Bưu Cục 82 Nguyễn Sỹ Sách-Q.Tân Bình-HCM</v>
      </c>
      <c r="D125" s="9">
        <f ca="1">IFERROR(__xludf.DUMMYFUNCTION("""COMPUTED_VALUE"""),1685)</f>
        <v>1685</v>
      </c>
      <c r="E125" s="9">
        <f ca="1">IFERROR(__xludf.DUMMYFUNCTION("""COMPUTED_VALUE"""),5872)</f>
        <v>5872</v>
      </c>
      <c r="F125" s="9">
        <f ca="1">IFERROR(__xludf.DUMMYFUNCTION("""COMPUTED_VALUE"""),1532)</f>
        <v>1532</v>
      </c>
      <c r="G125" s="9">
        <f ca="1">IFERROR(__xludf.DUMMYFUNCTION("""COMPUTED_VALUE"""),5792)</f>
        <v>5792</v>
      </c>
      <c r="H125" s="9">
        <f ca="1">IFERROR(__xludf.DUMMYFUNCTION("""COMPUTED_VALUE"""),1523)</f>
        <v>1523</v>
      </c>
      <c r="I125" s="9">
        <f ca="1">IFERROR(__xludf.DUMMYFUNCTION("""COMPUTED_VALUE"""),5100)</f>
        <v>5100</v>
      </c>
      <c r="J125" s="9">
        <f ca="1">IFERROR(__xludf.DUMMYFUNCTION("""COMPUTED_VALUE"""),1588)</f>
        <v>1588</v>
      </c>
      <c r="K125" s="9">
        <f ca="1">IFERROR(__xludf.DUMMYFUNCTION("""COMPUTED_VALUE"""),6377)</f>
        <v>6377</v>
      </c>
      <c r="L125" s="9">
        <f ca="1">IFERROR(__xludf.DUMMYFUNCTION("""COMPUTED_VALUE"""),571)</f>
        <v>571</v>
      </c>
      <c r="M125" s="9">
        <f ca="1">IFERROR(__xludf.DUMMYFUNCTION("""COMPUTED_VALUE"""),2163)</f>
        <v>2163</v>
      </c>
      <c r="N125" s="9">
        <f ca="1">IFERROR(__xludf.DUMMYFUNCTION("""COMPUTED_VALUE"""),1681)</f>
        <v>1681</v>
      </c>
      <c r="O125" s="9">
        <f ca="1">IFERROR(__xludf.DUMMYFUNCTION("""COMPUTED_VALUE"""),6090)</f>
        <v>6090</v>
      </c>
      <c r="P125" s="29">
        <f ca="1">IFERROR(__xludf.DUMMYFUNCTION("""COMPUTED_VALUE"""),1418)</f>
        <v>1418</v>
      </c>
      <c r="Q125" s="29">
        <f ca="1">IFERROR(__xludf.DUMMYFUNCTION("""COMPUTED_VALUE"""),4644)</f>
        <v>4644</v>
      </c>
      <c r="R125" s="7" t="str">
        <f ca="1">IFERROR(__xludf.DUMMYFUNCTION("""COMPUTED_VALUE"""),"Hồ Chí Minh")</f>
        <v>Hồ Chí Minh</v>
      </c>
      <c r="S125" s="7" t="str">
        <f ca="1">IFERROR(__xludf.DUMMYFUNCTION("""COMPUTED_VALUE"""),"Quận Tân Bình")</f>
        <v>Quận Tân Bình</v>
      </c>
      <c r="T125" s="7" t="str">
        <f ca="1">IFERROR(__xludf.DUMMYFUNCTION("SPARKLINE({
IF(D125="""",0,D125),
IF(F125="""",0,F125),
IF(H125="""",0,H125),
IF(J125="""",0,J125),
IF(L125="""",0,L125),
IF(N125="""",0,N125),
IF(P125="""",0,P125)
})"),"")</f>
        <v/>
      </c>
      <c r="U125" s="7" t="str">
        <f ca="1">IFERROR(__xludf.DUMMYFUNCTION("SPARKLINE({
IF(E125="""",0,E125),
IF(G125="""",0,G125),
IF(I125="""",0,I125),
IF(K125="""",0,K125),
IF(M125="""",0,M125),
IF(O125="""",0,O125),
IF(Q125="""",0,Q125)
})"),"")</f>
        <v/>
      </c>
      <c r="V125" s="30" t="e">
        <f t="array" aca="1" ref="V125" ca="1">IF($C$4="Giao",_xludf.Xlookup(C125,#REF!,#REF!,),_xludf.Xlookup(C125,#REF!,#REF!,))</f>
        <v>#NAME?</v>
      </c>
      <c r="W125" s="30" t="e">
        <f t="array" aca="1" ref="W125" ca="1">IF($C$4="Giao", _xludf.Xlookup(C125,#REF!,#REF!,),_xludf.Xlookup(C125,#REF!,#REF!,))</f>
        <v>#NAME?</v>
      </c>
      <c r="X125" s="9" t="e">
        <f t="shared" ca="1" si="2"/>
        <v>#NAME?</v>
      </c>
      <c r="Y125" s="7"/>
      <c r="Z125" s="7"/>
    </row>
    <row r="126" spans="1:26" ht="13" x14ac:dyDescent="0.6">
      <c r="A126" s="28">
        <f t="shared" ca="1" si="1"/>
        <v>119</v>
      </c>
      <c r="B126" s="7" t="str">
        <f ca="1">IFERROR(__xludf.DUMMYFUNCTION("""COMPUTED_VALUE"""),"Quận Tân Bình")</f>
        <v>Quận Tân Bình</v>
      </c>
      <c r="C126" s="7" t="str">
        <f ca="1">IFERROR(__xludf.DUMMYFUNCTION("""COMPUTED_VALUE"""),"Bưu Cục 88/21 Phan Sào Nam-Q.Tân Bình-HCM")</f>
        <v>Bưu Cục 88/21 Phan Sào Nam-Q.Tân Bình-HCM</v>
      </c>
      <c r="D126" s="9">
        <f ca="1">IFERROR(__xludf.DUMMYFUNCTION("""COMPUTED_VALUE"""),3282)</f>
        <v>3282</v>
      </c>
      <c r="E126" s="9">
        <f ca="1">IFERROR(__xludf.DUMMYFUNCTION("""COMPUTED_VALUE"""),5521)</f>
        <v>5521</v>
      </c>
      <c r="F126" s="9">
        <f ca="1">IFERROR(__xludf.DUMMYFUNCTION("""COMPUTED_VALUE"""),2313)</f>
        <v>2313</v>
      </c>
      <c r="G126" s="9">
        <f ca="1">IFERROR(__xludf.DUMMYFUNCTION("""COMPUTED_VALUE"""),4699)</f>
        <v>4699</v>
      </c>
      <c r="H126" s="9">
        <f ca="1">IFERROR(__xludf.DUMMYFUNCTION("""COMPUTED_VALUE"""),2369)</f>
        <v>2369</v>
      </c>
      <c r="I126" s="9">
        <f ca="1">IFERROR(__xludf.DUMMYFUNCTION("""COMPUTED_VALUE"""),4925)</f>
        <v>4925</v>
      </c>
      <c r="J126" s="9">
        <f ca="1">IFERROR(__xludf.DUMMYFUNCTION("""COMPUTED_VALUE"""),2464)</f>
        <v>2464</v>
      </c>
      <c r="K126" s="9">
        <f ca="1">IFERROR(__xludf.DUMMYFUNCTION("""COMPUTED_VALUE"""),5634)</f>
        <v>5634</v>
      </c>
      <c r="L126" s="9">
        <f ca="1">IFERROR(__xludf.DUMMYFUNCTION("""COMPUTED_VALUE"""),1449)</f>
        <v>1449</v>
      </c>
      <c r="M126" s="9">
        <f ca="1">IFERROR(__xludf.DUMMYFUNCTION("""COMPUTED_VALUE"""),2452)</f>
        <v>2452</v>
      </c>
      <c r="N126" s="9">
        <f ca="1">IFERROR(__xludf.DUMMYFUNCTION("""COMPUTED_VALUE"""),3113)</f>
        <v>3113</v>
      </c>
      <c r="O126" s="9">
        <f ca="1">IFERROR(__xludf.DUMMYFUNCTION("""COMPUTED_VALUE"""),5036)</f>
        <v>5036</v>
      </c>
      <c r="P126" s="29">
        <f ca="1">IFERROR(__xludf.DUMMYFUNCTION("""COMPUTED_VALUE"""),2599)</f>
        <v>2599</v>
      </c>
      <c r="Q126" s="29">
        <f ca="1">IFERROR(__xludf.DUMMYFUNCTION("""COMPUTED_VALUE"""),4300)</f>
        <v>4300</v>
      </c>
      <c r="R126" s="7" t="str">
        <f ca="1">IFERROR(__xludf.DUMMYFUNCTION("""COMPUTED_VALUE"""),"Hồ Chí Minh")</f>
        <v>Hồ Chí Minh</v>
      </c>
      <c r="S126" s="7" t="str">
        <f ca="1">IFERROR(__xludf.DUMMYFUNCTION("""COMPUTED_VALUE"""),"Quận Tân Bình")</f>
        <v>Quận Tân Bình</v>
      </c>
      <c r="T126" s="7" t="str">
        <f ca="1">IFERROR(__xludf.DUMMYFUNCTION("SPARKLINE({
IF(D126="""",0,D126),
IF(F126="""",0,F126),
IF(H126="""",0,H126),
IF(J126="""",0,J126),
IF(L126="""",0,L126),
IF(N126="""",0,N126),
IF(P126="""",0,P126)
})"),"")</f>
        <v/>
      </c>
      <c r="U126" s="7" t="str">
        <f ca="1">IFERROR(__xludf.DUMMYFUNCTION("SPARKLINE({
IF(E126="""",0,E126),
IF(G126="""",0,G126),
IF(I126="""",0,I126),
IF(K126="""",0,K126),
IF(M126="""",0,M126),
IF(O126="""",0,O126),
IF(Q126="""",0,Q126)
})"),"")</f>
        <v/>
      </c>
      <c r="V126" s="30" t="e">
        <f t="array" aca="1" ref="V126" ca="1">IF($C$4="Giao",_xludf.Xlookup(C126,#REF!,#REF!,),_xludf.Xlookup(C126,#REF!,#REF!,))</f>
        <v>#NAME?</v>
      </c>
      <c r="W126" s="30" t="e">
        <f t="array" aca="1" ref="W126" ca="1">IF($C$4="Giao", _xludf.Xlookup(C126,#REF!,#REF!,),_xludf.Xlookup(C126,#REF!,#REF!,))</f>
        <v>#NAME?</v>
      </c>
      <c r="X126" s="9" t="e">
        <f t="shared" ca="1" si="2"/>
        <v>#NAME?</v>
      </c>
      <c r="Y126" s="7"/>
      <c r="Z126" s="7"/>
    </row>
    <row r="127" spans="1:26" ht="13" x14ac:dyDescent="0.6">
      <c r="A127" s="28">
        <f t="shared" ca="1" si="1"/>
        <v>120</v>
      </c>
      <c r="B127" s="7" t="str">
        <f ca="1">IFERROR(__xludf.DUMMYFUNCTION("""COMPUTED_VALUE"""),"Quận Tân Bình")</f>
        <v>Quận Tân Bình</v>
      </c>
      <c r="C127" s="7" t="str">
        <f ca="1">IFERROR(__xludf.DUMMYFUNCTION("""COMPUTED_VALUE"""),"Bưu Cục Hàng Vừa 6 Phạm Văn Hai-Q.Tân Bình-HCM")</f>
        <v>Bưu Cục Hàng Vừa 6 Phạm Văn Hai-Q.Tân Bình-HCM</v>
      </c>
      <c r="D127" s="9"/>
      <c r="E127" s="9"/>
      <c r="F127" s="9"/>
      <c r="G127" s="9"/>
      <c r="H127" s="9">
        <f ca="1">IFERROR(__xludf.DUMMYFUNCTION("""COMPUTED_VALUE"""),1)</f>
        <v>1</v>
      </c>
      <c r="I127" s="9">
        <f ca="1">IFERROR(__xludf.DUMMYFUNCTION("""COMPUTED_VALUE"""),0)</f>
        <v>0</v>
      </c>
      <c r="J127" s="9"/>
      <c r="K127" s="9"/>
      <c r="L127" s="9">
        <f ca="1">IFERROR(__xludf.DUMMYFUNCTION("""COMPUTED_VALUE"""),1)</f>
        <v>1</v>
      </c>
      <c r="M127" s="9">
        <f ca="1">IFERROR(__xludf.DUMMYFUNCTION("""COMPUTED_VALUE"""),0)</f>
        <v>0</v>
      </c>
      <c r="N127" s="9"/>
      <c r="O127" s="9"/>
      <c r="P127" s="29"/>
      <c r="Q127" s="29"/>
      <c r="R127" s="7" t="str">
        <f ca="1">IFERROR(__xludf.DUMMYFUNCTION("""COMPUTED_VALUE"""),"Hồ Chí Minh")</f>
        <v>Hồ Chí Minh</v>
      </c>
      <c r="S127" s="7" t="str">
        <f ca="1">IFERROR(__xludf.DUMMYFUNCTION("""COMPUTED_VALUE"""),"Quận Tân Bình")</f>
        <v>Quận Tân Bình</v>
      </c>
      <c r="T127" s="7" t="str">
        <f ca="1">IFERROR(__xludf.DUMMYFUNCTION("SPARKLINE({
IF(D127="""",0,D127),
IF(F127="""",0,F127),
IF(H127="""",0,H127),
IF(J127="""",0,J127),
IF(L127="""",0,L127),
IF(N127="""",0,N127),
IF(P127="""",0,P127)
})"),"")</f>
        <v/>
      </c>
      <c r="U127" s="7" t="str">
        <f ca="1">IFERROR(__xludf.DUMMYFUNCTION("SPARKLINE({
IF(E127="""",0,E127),
IF(G127="""",0,G127),
IF(I127="""",0,I127),
IF(K127="""",0,K127),
IF(M127="""",0,M127),
IF(O127="""",0,O127),
IF(Q127="""",0,Q127)
})"),"")</f>
        <v/>
      </c>
      <c r="V127" s="8" t="e">
        <f t="array" aca="1" ref="V127" ca="1">IF($C$4="Giao",_xludf.Xlookup(C127,#REF!,#REF!,),_xludf.Xlookup(C127,#REF!,#REF!,))</f>
        <v>#NAME?</v>
      </c>
      <c r="W127" s="8" t="e">
        <f t="array" aca="1" ref="W127" ca="1">IF($C$4="Giao", _xludf.Xlookup(C127,#REF!,#REF!,),_xludf.Xlookup(C127,#REF!,#REF!,))</f>
        <v>#NAME?</v>
      </c>
      <c r="X127" s="9" t="e">
        <f t="shared" ca="1" si="2"/>
        <v>#NAME?</v>
      </c>
      <c r="Y127" s="7"/>
      <c r="Z127" s="7"/>
    </row>
    <row r="128" spans="1:26" ht="13" x14ac:dyDescent="0.6">
      <c r="A128" s="28">
        <f t="shared" ca="1" si="1"/>
        <v>121</v>
      </c>
      <c r="B128" s="7" t="str">
        <f ca="1">IFERROR(__xludf.DUMMYFUNCTION("""COMPUTED_VALUE"""),"Quận Tân Phú")</f>
        <v>Quận Tân Phú</v>
      </c>
      <c r="C128" s="7" t="str">
        <f ca="1">IFERROR(__xludf.DUMMYFUNCTION("""COMPUTED_VALUE"""),"Bưu Cục 197 Lê Cao Lãng-Phú Thạnh-Tân Phú-HCM")</f>
        <v>Bưu Cục 197 Lê Cao Lãng-Phú Thạnh-Tân Phú-HCM</v>
      </c>
      <c r="D128" s="9">
        <f ca="1">IFERROR(__xludf.DUMMYFUNCTION("""COMPUTED_VALUE"""),2674)</f>
        <v>2674</v>
      </c>
      <c r="E128" s="9">
        <f ca="1">IFERROR(__xludf.DUMMYFUNCTION("""COMPUTED_VALUE"""),6525)</f>
        <v>6525</v>
      </c>
      <c r="F128" s="9">
        <f ca="1">IFERROR(__xludf.DUMMYFUNCTION("""COMPUTED_VALUE"""),2234)</f>
        <v>2234</v>
      </c>
      <c r="G128" s="9">
        <f ca="1">IFERROR(__xludf.DUMMYFUNCTION("""COMPUTED_VALUE"""),6295)</f>
        <v>6295</v>
      </c>
      <c r="H128" s="9">
        <f ca="1">IFERROR(__xludf.DUMMYFUNCTION("""COMPUTED_VALUE"""),2217)</f>
        <v>2217</v>
      </c>
      <c r="I128" s="9">
        <f ca="1">IFERROR(__xludf.DUMMYFUNCTION("""COMPUTED_VALUE"""),6671)</f>
        <v>6671</v>
      </c>
      <c r="J128" s="9">
        <f ca="1">IFERROR(__xludf.DUMMYFUNCTION("""COMPUTED_VALUE"""),2486)</f>
        <v>2486</v>
      </c>
      <c r="K128" s="9">
        <f ca="1">IFERROR(__xludf.DUMMYFUNCTION("""COMPUTED_VALUE"""),8078)</f>
        <v>8078</v>
      </c>
      <c r="L128" s="9">
        <f ca="1">IFERROR(__xludf.DUMMYFUNCTION("""COMPUTED_VALUE"""),815)</f>
        <v>815</v>
      </c>
      <c r="M128" s="9">
        <f ca="1">IFERROR(__xludf.DUMMYFUNCTION("""COMPUTED_VALUE"""),2005)</f>
        <v>2005</v>
      </c>
      <c r="N128" s="9">
        <f ca="1">IFERROR(__xludf.DUMMYFUNCTION("""COMPUTED_VALUE"""),3052)</f>
        <v>3052</v>
      </c>
      <c r="O128" s="9">
        <f ca="1">IFERROR(__xludf.DUMMYFUNCTION("""COMPUTED_VALUE"""),6852)</f>
        <v>6852</v>
      </c>
      <c r="P128" s="29">
        <f ca="1">IFERROR(__xludf.DUMMYFUNCTION("""COMPUTED_VALUE"""),2769)</f>
        <v>2769</v>
      </c>
      <c r="Q128" s="29">
        <f ca="1">IFERROR(__xludf.DUMMYFUNCTION("""COMPUTED_VALUE"""),6692)</f>
        <v>6692</v>
      </c>
      <c r="R128" s="7" t="str">
        <f ca="1">IFERROR(__xludf.DUMMYFUNCTION("""COMPUTED_VALUE"""),"Hồ Chí Minh")</f>
        <v>Hồ Chí Minh</v>
      </c>
      <c r="S128" s="7" t="str">
        <f ca="1">IFERROR(__xludf.DUMMYFUNCTION("""COMPUTED_VALUE"""),"Quận Tân Phú")</f>
        <v>Quận Tân Phú</v>
      </c>
      <c r="T128" s="7" t="str">
        <f ca="1">IFERROR(__xludf.DUMMYFUNCTION("SPARKLINE({
IF(D128="""",0,D128),
IF(F128="""",0,F128),
IF(H128="""",0,H128),
IF(J128="""",0,J128),
IF(L128="""",0,L128),
IF(N128="""",0,N128),
IF(P128="""",0,P128)
})"),"")</f>
        <v/>
      </c>
      <c r="U128" s="7" t="str">
        <f ca="1">IFERROR(__xludf.DUMMYFUNCTION("SPARKLINE({
IF(E128="""",0,E128),
IF(G128="""",0,G128),
IF(I128="""",0,I128),
IF(K128="""",0,K128),
IF(M128="""",0,M128),
IF(O128="""",0,O128),
IF(Q128="""",0,Q128)
})"),"")</f>
        <v/>
      </c>
      <c r="V128" s="30" t="e">
        <f t="array" aca="1" ref="V128" ca="1">IF($C$4="Giao",_xludf.Xlookup(C128,#REF!,#REF!,),_xludf.Xlookup(C128,#REF!,#REF!,))</f>
        <v>#NAME?</v>
      </c>
      <c r="W128" s="30" t="e">
        <f t="array" aca="1" ref="W128" ca="1">IF($C$4="Giao", _xludf.Xlookup(C128,#REF!,#REF!,),_xludf.Xlookup(C128,#REF!,#REF!,))</f>
        <v>#NAME?</v>
      </c>
      <c r="X128" s="9" t="e">
        <f t="shared" ca="1" si="2"/>
        <v>#NAME?</v>
      </c>
      <c r="Y128" s="7"/>
      <c r="Z128" s="7"/>
    </row>
    <row r="129" spans="1:26" ht="13" x14ac:dyDescent="0.6">
      <c r="A129" s="28">
        <f t="shared" ca="1" si="1"/>
        <v>122</v>
      </c>
      <c r="B129" s="7" t="str">
        <f ca="1">IFERROR(__xludf.DUMMYFUNCTION("""COMPUTED_VALUE"""),"Quận Tân Phú")</f>
        <v>Quận Tân Phú</v>
      </c>
      <c r="C129" s="7" t="str">
        <f ca="1">IFERROR(__xludf.DUMMYFUNCTION("""COMPUTED_VALUE"""),"Bưu Cục 20/48A Bờ Bao Tân Thắng-Q.Tân Phú-HCM")</f>
        <v>Bưu Cục 20/48A Bờ Bao Tân Thắng-Q.Tân Phú-HCM</v>
      </c>
      <c r="D129" s="9">
        <f ca="1">IFERROR(__xludf.DUMMYFUNCTION("""COMPUTED_VALUE"""),1776)</f>
        <v>1776</v>
      </c>
      <c r="E129" s="9">
        <f ca="1">IFERROR(__xludf.DUMMYFUNCTION("""COMPUTED_VALUE"""),4853)</f>
        <v>4853</v>
      </c>
      <c r="F129" s="9">
        <f ca="1">IFERROR(__xludf.DUMMYFUNCTION("""COMPUTED_VALUE"""),1342)</f>
        <v>1342</v>
      </c>
      <c r="G129" s="9">
        <f ca="1">IFERROR(__xludf.DUMMYFUNCTION("""COMPUTED_VALUE"""),4749)</f>
        <v>4749</v>
      </c>
      <c r="H129" s="9">
        <f ca="1">IFERROR(__xludf.DUMMYFUNCTION("""COMPUTED_VALUE"""),1403)</f>
        <v>1403</v>
      </c>
      <c r="I129" s="9">
        <f ca="1">IFERROR(__xludf.DUMMYFUNCTION("""COMPUTED_VALUE"""),4158)</f>
        <v>4158</v>
      </c>
      <c r="J129" s="9">
        <f ca="1">IFERROR(__xludf.DUMMYFUNCTION("""COMPUTED_VALUE"""),1709)</f>
        <v>1709</v>
      </c>
      <c r="K129" s="9">
        <f ca="1">IFERROR(__xludf.DUMMYFUNCTION("""COMPUTED_VALUE"""),5439)</f>
        <v>5439</v>
      </c>
      <c r="L129" s="9">
        <f ca="1">IFERROR(__xludf.DUMMYFUNCTION("""COMPUTED_VALUE"""),589)</f>
        <v>589</v>
      </c>
      <c r="M129" s="9">
        <f ca="1">IFERROR(__xludf.DUMMYFUNCTION("""COMPUTED_VALUE"""),2175)</f>
        <v>2175</v>
      </c>
      <c r="N129" s="9">
        <f ca="1">IFERROR(__xludf.DUMMYFUNCTION("""COMPUTED_VALUE"""),2364)</f>
        <v>2364</v>
      </c>
      <c r="O129" s="9">
        <f ca="1">IFERROR(__xludf.DUMMYFUNCTION("""COMPUTED_VALUE"""),5049)</f>
        <v>5049</v>
      </c>
      <c r="P129" s="29">
        <f ca="1">IFERROR(__xludf.DUMMYFUNCTION("""COMPUTED_VALUE"""),1667)</f>
        <v>1667</v>
      </c>
      <c r="Q129" s="29">
        <f ca="1">IFERROR(__xludf.DUMMYFUNCTION("""COMPUTED_VALUE"""),4720)</f>
        <v>4720</v>
      </c>
      <c r="R129" s="7" t="str">
        <f ca="1">IFERROR(__xludf.DUMMYFUNCTION("""COMPUTED_VALUE"""),"Hồ Chí Minh")</f>
        <v>Hồ Chí Minh</v>
      </c>
      <c r="S129" s="7" t="str">
        <f ca="1">IFERROR(__xludf.DUMMYFUNCTION("""COMPUTED_VALUE"""),"Quận Tân Phú")</f>
        <v>Quận Tân Phú</v>
      </c>
      <c r="T129" s="7" t="str">
        <f ca="1">IFERROR(__xludf.DUMMYFUNCTION("SPARKLINE({
IF(D129="""",0,D129),
IF(F129="""",0,F129),
IF(H129="""",0,H129),
IF(J129="""",0,J129),
IF(L129="""",0,L129),
IF(N129="""",0,N129),
IF(P129="""",0,P129)
})"),"")</f>
        <v/>
      </c>
      <c r="U129" s="7" t="str">
        <f ca="1">IFERROR(__xludf.DUMMYFUNCTION("SPARKLINE({
IF(E129="""",0,E129),
IF(G129="""",0,G129),
IF(I129="""",0,I129),
IF(K129="""",0,K129),
IF(M129="""",0,M129),
IF(O129="""",0,O129),
IF(Q129="""",0,Q129)
})"),"")</f>
        <v/>
      </c>
      <c r="V129" s="30" t="e">
        <f t="array" aca="1" ref="V129" ca="1">IF($C$4="Giao",_xludf.Xlookup(C129,#REF!,#REF!,),_xludf.Xlookup(C129,#REF!,#REF!,))</f>
        <v>#NAME?</v>
      </c>
      <c r="W129" s="30" t="e">
        <f t="array" aca="1" ref="W129" ca="1">IF($C$4="Giao", _xludf.Xlookup(C129,#REF!,#REF!,),_xludf.Xlookup(C129,#REF!,#REF!,))</f>
        <v>#NAME?</v>
      </c>
      <c r="X129" s="9" t="e">
        <f t="shared" ca="1" si="2"/>
        <v>#NAME?</v>
      </c>
      <c r="Y129" s="7"/>
      <c r="Z129" s="7"/>
    </row>
    <row r="130" spans="1:26" ht="13" x14ac:dyDescent="0.6">
      <c r="A130" s="28">
        <f t="shared" ca="1" si="1"/>
        <v>123</v>
      </c>
      <c r="B130" s="7" t="str">
        <f ca="1">IFERROR(__xludf.DUMMYFUNCTION("""COMPUTED_VALUE"""),"Quận Tân Phú")</f>
        <v>Quận Tân Phú</v>
      </c>
      <c r="C130" s="7" t="str">
        <f ca="1">IFERROR(__xludf.DUMMYFUNCTION("""COMPUTED_VALUE"""),"Bưu Cục 58 Lê Thúc Hoạch-Q.Tân Phú-HCM")</f>
        <v>Bưu Cục 58 Lê Thúc Hoạch-Q.Tân Phú-HCM</v>
      </c>
      <c r="D130" s="9">
        <f ca="1">IFERROR(__xludf.DUMMYFUNCTION("""COMPUTED_VALUE"""),1101)</f>
        <v>1101</v>
      </c>
      <c r="E130" s="9">
        <f ca="1">IFERROR(__xludf.DUMMYFUNCTION("""COMPUTED_VALUE"""),2774)</f>
        <v>2774</v>
      </c>
      <c r="F130" s="9">
        <f ca="1">IFERROR(__xludf.DUMMYFUNCTION("""COMPUTED_VALUE"""),910)</f>
        <v>910</v>
      </c>
      <c r="G130" s="9">
        <f ca="1">IFERROR(__xludf.DUMMYFUNCTION("""COMPUTED_VALUE"""),2662)</f>
        <v>2662</v>
      </c>
      <c r="H130" s="9">
        <f ca="1">IFERROR(__xludf.DUMMYFUNCTION("""COMPUTED_VALUE"""),1116)</f>
        <v>1116</v>
      </c>
      <c r="I130" s="9">
        <f ca="1">IFERROR(__xludf.DUMMYFUNCTION("""COMPUTED_VALUE"""),2641)</f>
        <v>2641</v>
      </c>
      <c r="J130" s="9">
        <f ca="1">IFERROR(__xludf.DUMMYFUNCTION("""COMPUTED_VALUE"""),1604)</f>
        <v>1604</v>
      </c>
      <c r="K130" s="9">
        <f ca="1">IFERROR(__xludf.DUMMYFUNCTION("""COMPUTED_VALUE"""),3351)</f>
        <v>3351</v>
      </c>
      <c r="L130" s="9">
        <f ca="1">IFERROR(__xludf.DUMMYFUNCTION("""COMPUTED_VALUE"""),1104)</f>
        <v>1104</v>
      </c>
      <c r="M130" s="9">
        <f ca="1">IFERROR(__xludf.DUMMYFUNCTION("""COMPUTED_VALUE"""),1754)</f>
        <v>1754</v>
      </c>
      <c r="N130" s="9">
        <f ca="1">IFERROR(__xludf.DUMMYFUNCTION("""COMPUTED_VALUE"""),1390)</f>
        <v>1390</v>
      </c>
      <c r="O130" s="9">
        <f ca="1">IFERROR(__xludf.DUMMYFUNCTION("""COMPUTED_VALUE"""),3075)</f>
        <v>3075</v>
      </c>
      <c r="P130" s="29">
        <f ca="1">IFERROR(__xludf.DUMMYFUNCTION("""COMPUTED_VALUE"""),1831)</f>
        <v>1831</v>
      </c>
      <c r="Q130" s="29">
        <f ca="1">IFERROR(__xludf.DUMMYFUNCTION("""COMPUTED_VALUE"""),3076)</f>
        <v>3076</v>
      </c>
      <c r="R130" s="7" t="str">
        <f ca="1">IFERROR(__xludf.DUMMYFUNCTION("""COMPUTED_VALUE"""),"Hồ Chí Minh")</f>
        <v>Hồ Chí Minh</v>
      </c>
      <c r="S130" s="7" t="str">
        <f ca="1">IFERROR(__xludf.DUMMYFUNCTION("""COMPUTED_VALUE"""),"Quận Tân Phú")</f>
        <v>Quận Tân Phú</v>
      </c>
      <c r="T130" s="7" t="str">
        <f ca="1">IFERROR(__xludf.DUMMYFUNCTION("SPARKLINE({
IF(D130="""",0,D130),
IF(F130="""",0,F130),
IF(H130="""",0,H130),
IF(J130="""",0,J130),
IF(L130="""",0,L130),
IF(N130="""",0,N130),
IF(P130="""",0,P130)
})"),"")</f>
        <v/>
      </c>
      <c r="U130" s="7" t="str">
        <f ca="1">IFERROR(__xludf.DUMMYFUNCTION("SPARKLINE({
IF(E130="""",0,E130),
IF(G130="""",0,G130),
IF(I130="""",0,I130),
IF(K130="""",0,K130),
IF(M130="""",0,M130),
IF(O130="""",0,O130),
IF(Q130="""",0,Q130)
})"),"")</f>
        <v/>
      </c>
      <c r="V130" s="30" t="e">
        <f t="array" aca="1" ref="V130" ca="1">IF($C$4="Giao",_xludf.Xlookup(C130,#REF!,#REF!,),_xludf.Xlookup(C130,#REF!,#REF!,))</f>
        <v>#NAME?</v>
      </c>
      <c r="W130" s="30" t="e">
        <f t="array" aca="1" ref="W130" ca="1">IF($C$4="Giao", _xludf.Xlookup(C130,#REF!,#REF!,),_xludf.Xlookup(C130,#REF!,#REF!,))</f>
        <v>#NAME?</v>
      </c>
      <c r="X130" s="9" t="e">
        <f t="shared" ca="1" si="2"/>
        <v>#NAME?</v>
      </c>
      <c r="Y130" s="7"/>
      <c r="Z130" s="7"/>
    </row>
    <row r="131" spans="1:26" ht="13" x14ac:dyDescent="0.6">
      <c r="A131" s="28">
        <f t="shared" ca="1" si="1"/>
        <v>124</v>
      </c>
      <c r="B131" s="7" t="str">
        <f ca="1">IFERROR(__xludf.DUMMYFUNCTION("""COMPUTED_VALUE"""),"Quận Tân Phú")</f>
        <v>Quận Tân Phú</v>
      </c>
      <c r="C131" s="7" t="str">
        <f ca="1">IFERROR(__xludf.DUMMYFUNCTION("""COMPUTED_VALUE"""),"Bưu Cục 85 Cao Văn Ngọc-Phường Tân Phú-HCM")</f>
        <v>Bưu Cục 85 Cao Văn Ngọc-Phường Tân Phú-HCM</v>
      </c>
      <c r="D131" s="9">
        <f ca="1">IFERROR(__xludf.DUMMYFUNCTION("""COMPUTED_VALUE"""),3831)</f>
        <v>3831</v>
      </c>
      <c r="E131" s="9">
        <f ca="1">IFERROR(__xludf.DUMMYFUNCTION("""COMPUTED_VALUE"""),8260)</f>
        <v>8260</v>
      </c>
      <c r="F131" s="9">
        <f ca="1">IFERROR(__xludf.DUMMYFUNCTION("""COMPUTED_VALUE"""),3430)</f>
        <v>3430</v>
      </c>
      <c r="G131" s="9">
        <f ca="1">IFERROR(__xludf.DUMMYFUNCTION("""COMPUTED_VALUE"""),7405)</f>
        <v>7405</v>
      </c>
      <c r="H131" s="9">
        <f ca="1">IFERROR(__xludf.DUMMYFUNCTION("""COMPUTED_VALUE"""),3464)</f>
        <v>3464</v>
      </c>
      <c r="I131" s="9">
        <f ca="1">IFERROR(__xludf.DUMMYFUNCTION("""COMPUTED_VALUE"""),7747)</f>
        <v>7747</v>
      </c>
      <c r="J131" s="9">
        <f ca="1">IFERROR(__xludf.DUMMYFUNCTION("""COMPUTED_VALUE"""),3994)</f>
        <v>3994</v>
      </c>
      <c r="K131" s="9">
        <f ca="1">IFERROR(__xludf.DUMMYFUNCTION("""COMPUTED_VALUE"""),9207)</f>
        <v>9207</v>
      </c>
      <c r="L131" s="9">
        <f ca="1">IFERROR(__xludf.DUMMYFUNCTION("""COMPUTED_VALUE"""),1761)</f>
        <v>1761</v>
      </c>
      <c r="M131" s="9">
        <f ca="1">IFERROR(__xludf.DUMMYFUNCTION("""COMPUTED_VALUE"""),4096)</f>
        <v>4096</v>
      </c>
      <c r="N131" s="9">
        <f ca="1">IFERROR(__xludf.DUMMYFUNCTION("""COMPUTED_VALUE"""),5138)</f>
        <v>5138</v>
      </c>
      <c r="O131" s="9">
        <f ca="1">IFERROR(__xludf.DUMMYFUNCTION("""COMPUTED_VALUE"""),10429)</f>
        <v>10429</v>
      </c>
      <c r="P131" s="29">
        <f ca="1">IFERROR(__xludf.DUMMYFUNCTION("""COMPUTED_VALUE"""),3835)</f>
        <v>3835</v>
      </c>
      <c r="Q131" s="29">
        <f ca="1">IFERROR(__xludf.DUMMYFUNCTION("""COMPUTED_VALUE"""),8079)</f>
        <v>8079</v>
      </c>
      <c r="R131" s="7" t="str">
        <f ca="1">IFERROR(__xludf.DUMMYFUNCTION("""COMPUTED_VALUE"""),"Hồ Chí Minh")</f>
        <v>Hồ Chí Minh</v>
      </c>
      <c r="S131" s="7" t="str">
        <f ca="1">IFERROR(__xludf.DUMMYFUNCTION("""COMPUTED_VALUE"""),"Quận Tân Phú")</f>
        <v>Quận Tân Phú</v>
      </c>
      <c r="T131" s="7" t="str">
        <f ca="1">IFERROR(__xludf.DUMMYFUNCTION("SPARKLINE({
IF(D131="""",0,D131),
IF(F131="""",0,F131),
IF(H131="""",0,H131),
IF(J131="""",0,J131),
IF(L131="""",0,L131),
IF(N131="""",0,N131),
IF(P131="""",0,P131)
})"),"")</f>
        <v/>
      </c>
      <c r="U131" s="7" t="str">
        <f ca="1">IFERROR(__xludf.DUMMYFUNCTION("SPARKLINE({
IF(E131="""",0,E131),
IF(G131="""",0,G131),
IF(I131="""",0,I131),
IF(K131="""",0,K131),
IF(M131="""",0,M131),
IF(O131="""",0,O131),
IF(Q131="""",0,Q131)
})"),"")</f>
        <v/>
      </c>
      <c r="V131" s="30" t="e">
        <f t="array" aca="1" ref="V131" ca="1">IF($C$4="Giao",_xludf.Xlookup(C131,#REF!,#REF!,),_xludf.Xlookup(C131,#REF!,#REF!,))</f>
        <v>#NAME?</v>
      </c>
      <c r="W131" s="30" t="e">
        <f t="array" aca="1" ref="W131" ca="1">IF($C$4="Giao", _xludf.Xlookup(C131,#REF!,#REF!,),_xludf.Xlookup(C131,#REF!,#REF!,))</f>
        <v>#NAME?</v>
      </c>
      <c r="X131" s="9" t="e">
        <f t="shared" ca="1" si="2"/>
        <v>#NAME?</v>
      </c>
      <c r="Y131" s="7"/>
      <c r="Z131" s="7"/>
    </row>
    <row r="132" spans="1:26" ht="13" x14ac:dyDescent="0.6">
      <c r="A132" s="28">
        <f t="shared" ca="1" si="1"/>
        <v>125</v>
      </c>
      <c r="B132" s="7" t="str">
        <f ca="1">IFERROR(__xludf.DUMMYFUNCTION("""COMPUTED_VALUE"""),"Quận Tân Phú")</f>
        <v>Quận Tân Phú</v>
      </c>
      <c r="C132" s="7" t="str">
        <f ca="1">IFERROR(__xludf.DUMMYFUNCTION("""COMPUTED_VALUE"""),"Bưu Cục Hàng Vừa 85 Cao Văn Ngọc-Q.Tân Phú-HCM")</f>
        <v>Bưu Cục Hàng Vừa 85 Cao Văn Ngọc-Q.Tân Phú-HCM</v>
      </c>
      <c r="D132" s="9"/>
      <c r="E132" s="9"/>
      <c r="F132" s="9"/>
      <c r="G132" s="9"/>
      <c r="H132" s="9">
        <f ca="1">IFERROR(__xludf.DUMMYFUNCTION("""COMPUTED_VALUE"""),1)</f>
        <v>1</v>
      </c>
      <c r="I132" s="9">
        <f ca="1">IFERROR(__xludf.DUMMYFUNCTION("""COMPUTED_VALUE"""),5)</f>
        <v>5</v>
      </c>
      <c r="J132" s="9">
        <f ca="1">IFERROR(__xludf.DUMMYFUNCTION("""COMPUTED_VALUE"""),3)</f>
        <v>3</v>
      </c>
      <c r="K132" s="9">
        <f ca="1">IFERROR(__xludf.DUMMYFUNCTION("""COMPUTED_VALUE"""),1)</f>
        <v>1</v>
      </c>
      <c r="L132" s="9"/>
      <c r="M132" s="9"/>
      <c r="N132" s="9">
        <f ca="1">IFERROR(__xludf.DUMMYFUNCTION("""COMPUTED_VALUE"""),1)</f>
        <v>1</v>
      </c>
      <c r="O132" s="9">
        <f ca="1">IFERROR(__xludf.DUMMYFUNCTION("""COMPUTED_VALUE"""),1)</f>
        <v>1</v>
      </c>
      <c r="P132" s="29">
        <f ca="1">IFERROR(__xludf.DUMMYFUNCTION("""COMPUTED_VALUE"""),2)</f>
        <v>2</v>
      </c>
      <c r="Q132" s="29">
        <f ca="1">IFERROR(__xludf.DUMMYFUNCTION("""COMPUTED_VALUE"""),1)</f>
        <v>1</v>
      </c>
      <c r="R132" s="7" t="str">
        <f ca="1">IFERROR(__xludf.DUMMYFUNCTION("""COMPUTED_VALUE"""),"Hồ Chí Minh")</f>
        <v>Hồ Chí Minh</v>
      </c>
      <c r="S132" s="7" t="str">
        <f ca="1">IFERROR(__xludf.DUMMYFUNCTION("""COMPUTED_VALUE"""),"Quận Tân Phú")</f>
        <v>Quận Tân Phú</v>
      </c>
      <c r="T132" s="7" t="str">
        <f ca="1">IFERROR(__xludf.DUMMYFUNCTION("SPARKLINE({
IF(D132="""",0,D132),
IF(F132="""",0,F132),
IF(H132="""",0,H132),
IF(J132="""",0,J132),
IF(L132="""",0,L132),
IF(N132="""",0,N132),
IF(P132="""",0,P132)
})"),"")</f>
        <v/>
      </c>
      <c r="U132" s="7" t="str">
        <f ca="1">IFERROR(__xludf.DUMMYFUNCTION("SPARKLINE({
IF(E132="""",0,E132),
IF(G132="""",0,G132),
IF(I132="""",0,I132),
IF(K132="""",0,K132),
IF(M132="""",0,M132),
IF(O132="""",0,O132),
IF(Q132="""",0,Q132)
})"),"")</f>
        <v/>
      </c>
      <c r="V132" s="8" t="e">
        <f t="array" aca="1" ref="V132" ca="1">IF($C$4="Giao",_xludf.Xlookup(C132,#REF!,#REF!,),_xludf.Xlookup(C132,#REF!,#REF!,))</f>
        <v>#NAME?</v>
      </c>
      <c r="W132" s="8" t="e">
        <f t="array" aca="1" ref="W132" ca="1">IF($C$4="Giao", _xludf.Xlookup(C132,#REF!,#REF!,),_xludf.Xlookup(C132,#REF!,#REF!,))</f>
        <v>#NAME?</v>
      </c>
      <c r="X132" s="9" t="e">
        <f t="shared" ca="1" si="2"/>
        <v>#NAME?</v>
      </c>
      <c r="Y132" s="7"/>
      <c r="Z132" s="7"/>
    </row>
    <row r="133" spans="1:26" ht="13" x14ac:dyDescent="0.6">
      <c r="A133" s="28">
        <f t="shared" ca="1" si="1"/>
        <v>126</v>
      </c>
      <c r="B133" s="7" t="str">
        <f ca="1">IFERROR(__xludf.DUMMYFUNCTION("""COMPUTED_VALUE"""),"Quận Tân Phú")</f>
        <v>Quận Tân Phú</v>
      </c>
      <c r="C133" s="7" t="str">
        <f ca="1">IFERROR(__xludf.DUMMYFUNCTION("""COMPUTED_VALUE"""),"Bưu Cục Phường Tây Thạnh-Tân Phú-HCM")</f>
        <v>Bưu Cục Phường Tây Thạnh-Tân Phú-HCM</v>
      </c>
      <c r="D133" s="9">
        <f ca="1">IFERROR(__xludf.DUMMYFUNCTION("""COMPUTED_VALUE"""),1532)</f>
        <v>1532</v>
      </c>
      <c r="E133" s="9">
        <f ca="1">IFERROR(__xludf.DUMMYFUNCTION("""COMPUTED_VALUE"""),2927)</f>
        <v>2927</v>
      </c>
      <c r="F133" s="9">
        <f ca="1">IFERROR(__xludf.DUMMYFUNCTION("""COMPUTED_VALUE"""),1360)</f>
        <v>1360</v>
      </c>
      <c r="G133" s="9">
        <f ca="1">IFERROR(__xludf.DUMMYFUNCTION("""COMPUTED_VALUE"""),3172)</f>
        <v>3172</v>
      </c>
      <c r="H133" s="9">
        <f ca="1">IFERROR(__xludf.DUMMYFUNCTION("""COMPUTED_VALUE"""),1274)</f>
        <v>1274</v>
      </c>
      <c r="I133" s="9">
        <f ca="1">IFERROR(__xludf.DUMMYFUNCTION("""COMPUTED_VALUE"""),2874)</f>
        <v>2874</v>
      </c>
      <c r="J133" s="9">
        <f ca="1">IFERROR(__xludf.DUMMYFUNCTION("""COMPUTED_VALUE"""),1411)</f>
        <v>1411</v>
      </c>
      <c r="K133" s="9">
        <f ca="1">IFERROR(__xludf.DUMMYFUNCTION("""COMPUTED_VALUE"""),3373)</f>
        <v>3373</v>
      </c>
      <c r="L133" s="9">
        <f ca="1">IFERROR(__xludf.DUMMYFUNCTION("""COMPUTED_VALUE"""),538)</f>
        <v>538</v>
      </c>
      <c r="M133" s="9">
        <f ca="1">IFERROR(__xludf.DUMMYFUNCTION("""COMPUTED_VALUE"""),1005)</f>
        <v>1005</v>
      </c>
      <c r="N133" s="9">
        <f ca="1">IFERROR(__xludf.DUMMYFUNCTION("""COMPUTED_VALUE"""),1782)</f>
        <v>1782</v>
      </c>
      <c r="O133" s="9">
        <f ca="1">IFERROR(__xludf.DUMMYFUNCTION("""COMPUTED_VALUE"""),2687)</f>
        <v>2687</v>
      </c>
      <c r="P133" s="29">
        <f ca="1">IFERROR(__xludf.DUMMYFUNCTION("""COMPUTED_VALUE"""),1529)</f>
        <v>1529</v>
      </c>
      <c r="Q133" s="29">
        <f ca="1">IFERROR(__xludf.DUMMYFUNCTION("""COMPUTED_VALUE"""),3129)</f>
        <v>3129</v>
      </c>
      <c r="R133" s="7" t="str">
        <f ca="1">IFERROR(__xludf.DUMMYFUNCTION("""COMPUTED_VALUE"""),"Hồ Chí Minh")</f>
        <v>Hồ Chí Minh</v>
      </c>
      <c r="S133" s="7" t="str">
        <f ca="1">IFERROR(__xludf.DUMMYFUNCTION("""COMPUTED_VALUE"""),"Quận Tân Phú")</f>
        <v>Quận Tân Phú</v>
      </c>
      <c r="T133" s="7" t="str">
        <f ca="1">IFERROR(__xludf.DUMMYFUNCTION("SPARKLINE({
IF(D133="""",0,D133),
IF(F133="""",0,F133),
IF(H133="""",0,H133),
IF(J133="""",0,J133),
IF(L133="""",0,L133),
IF(N133="""",0,N133),
IF(P133="""",0,P133)
})"),"")</f>
        <v/>
      </c>
      <c r="U133" s="7" t="str">
        <f ca="1">IFERROR(__xludf.DUMMYFUNCTION("SPARKLINE({
IF(E133="""",0,E133),
IF(G133="""",0,G133),
IF(I133="""",0,I133),
IF(K133="""",0,K133),
IF(M133="""",0,M133),
IF(O133="""",0,O133),
IF(Q133="""",0,Q133)
})"),"")</f>
        <v/>
      </c>
      <c r="V133" s="30" t="e">
        <f t="array" aca="1" ref="V133" ca="1">IF($C$4="Giao",_xludf.Xlookup(C133,#REF!,#REF!,),_xludf.Xlookup(C133,#REF!,#REF!,))</f>
        <v>#NAME?</v>
      </c>
      <c r="W133" s="30" t="e">
        <f t="array" aca="1" ref="W133" ca="1">IF($C$4="Giao", _xludf.Xlookup(C133,#REF!,#REF!,),_xludf.Xlookup(C133,#REF!,#REF!,))</f>
        <v>#NAME?</v>
      </c>
      <c r="X133" s="9" t="e">
        <f t="shared" ca="1" si="2"/>
        <v>#NAME?</v>
      </c>
      <c r="Y133" s="7"/>
      <c r="Z133" s="7"/>
    </row>
    <row r="134" spans="1:26" ht="13" x14ac:dyDescent="0.6">
      <c r="A134" s="28">
        <f t="shared" ca="1" si="1"/>
        <v>127</v>
      </c>
      <c r="B134" s="7" t="str">
        <f ca="1">IFERROR(__xludf.DUMMYFUNCTION("""COMPUTED_VALUE"""),"Quận Thủ Đức")</f>
        <v>Quận Thủ Đức</v>
      </c>
      <c r="C134" s="7" t="str">
        <f ca="1">IFERROR(__xludf.DUMMYFUNCTION("""COMPUTED_VALUE"""),"Bưu Cục 155 Quốc lộ 1A-Bình Chiểu-Thủ Đức-HCM")</f>
        <v>Bưu Cục 155 Quốc lộ 1A-Bình Chiểu-Thủ Đức-HCM</v>
      </c>
      <c r="D134" s="9">
        <f ca="1">IFERROR(__xludf.DUMMYFUNCTION("""COMPUTED_VALUE"""),2441)</f>
        <v>2441</v>
      </c>
      <c r="E134" s="9">
        <f ca="1">IFERROR(__xludf.DUMMYFUNCTION("""COMPUTED_VALUE"""),6089)</f>
        <v>6089</v>
      </c>
      <c r="F134" s="9">
        <f ca="1">IFERROR(__xludf.DUMMYFUNCTION("""COMPUTED_VALUE"""),2063)</f>
        <v>2063</v>
      </c>
      <c r="G134" s="9">
        <f ca="1">IFERROR(__xludf.DUMMYFUNCTION("""COMPUTED_VALUE"""),4158)</f>
        <v>4158</v>
      </c>
      <c r="H134" s="9">
        <f ca="1">IFERROR(__xludf.DUMMYFUNCTION("""COMPUTED_VALUE"""),2469)</f>
        <v>2469</v>
      </c>
      <c r="I134" s="9">
        <f ca="1">IFERROR(__xludf.DUMMYFUNCTION("""COMPUTED_VALUE"""),4973)</f>
        <v>4973</v>
      </c>
      <c r="J134" s="9">
        <f ca="1">IFERROR(__xludf.DUMMYFUNCTION("""COMPUTED_VALUE"""),3263)</f>
        <v>3263</v>
      </c>
      <c r="K134" s="9">
        <f ca="1">IFERROR(__xludf.DUMMYFUNCTION("""COMPUTED_VALUE"""),5971)</f>
        <v>5971</v>
      </c>
      <c r="L134" s="9">
        <f ca="1">IFERROR(__xludf.DUMMYFUNCTION("""COMPUTED_VALUE"""),950)</f>
        <v>950</v>
      </c>
      <c r="M134" s="9">
        <f ca="1">IFERROR(__xludf.DUMMYFUNCTION("""COMPUTED_VALUE"""),3162)</f>
        <v>3162</v>
      </c>
      <c r="N134" s="9">
        <f ca="1">IFERROR(__xludf.DUMMYFUNCTION("""COMPUTED_VALUE"""),4939)</f>
        <v>4939</v>
      </c>
      <c r="O134" s="9">
        <f ca="1">IFERROR(__xludf.DUMMYFUNCTION("""COMPUTED_VALUE"""),7529)</f>
        <v>7529</v>
      </c>
      <c r="P134" s="29">
        <f ca="1">IFERROR(__xludf.DUMMYFUNCTION("""COMPUTED_VALUE"""),4912)</f>
        <v>4912</v>
      </c>
      <c r="Q134" s="29">
        <f ca="1">IFERROR(__xludf.DUMMYFUNCTION("""COMPUTED_VALUE"""),8551)</f>
        <v>8551</v>
      </c>
      <c r="R134" s="7" t="str">
        <f ca="1">IFERROR(__xludf.DUMMYFUNCTION("""COMPUTED_VALUE"""),"Hồ Chí Minh")</f>
        <v>Hồ Chí Minh</v>
      </c>
      <c r="S134" s="7" t="str">
        <f ca="1">IFERROR(__xludf.DUMMYFUNCTION("""COMPUTED_VALUE"""),"Quận Thủ Đức")</f>
        <v>Quận Thủ Đức</v>
      </c>
      <c r="T134" s="7" t="str">
        <f ca="1">IFERROR(__xludf.DUMMYFUNCTION("SPARKLINE({
IF(D134="""",0,D134),
IF(F134="""",0,F134),
IF(H134="""",0,H134),
IF(J134="""",0,J134),
IF(L134="""",0,L134),
IF(N134="""",0,N134),
IF(P134="""",0,P134)
})"),"")</f>
        <v/>
      </c>
      <c r="U134" s="7" t="str">
        <f ca="1">IFERROR(__xludf.DUMMYFUNCTION("SPARKLINE({
IF(E134="""",0,E134),
IF(G134="""",0,G134),
IF(I134="""",0,I134),
IF(K134="""",0,K134),
IF(M134="""",0,M134),
IF(O134="""",0,O134),
IF(Q134="""",0,Q134)
})"),"")</f>
        <v/>
      </c>
      <c r="V134" s="30" t="e">
        <f t="array" aca="1" ref="V134" ca="1">IF($C$4="Giao",_xludf.Xlookup(C134,#REF!,#REF!,),_xludf.Xlookup(C134,#REF!,#REF!,))</f>
        <v>#NAME?</v>
      </c>
      <c r="W134" s="30" t="e">
        <f t="array" aca="1" ref="W134" ca="1">IF($C$4="Giao", _xludf.Xlookup(C134,#REF!,#REF!,),_xludf.Xlookup(C134,#REF!,#REF!,))</f>
        <v>#NAME?</v>
      </c>
      <c r="X134" s="9" t="e">
        <f t="shared" ca="1" si="2"/>
        <v>#NAME?</v>
      </c>
      <c r="Y134" s="7"/>
      <c r="Z134" s="7"/>
    </row>
    <row r="135" spans="1:26" ht="13" x14ac:dyDescent="0.6">
      <c r="A135" s="28">
        <f t="shared" ca="1" si="1"/>
        <v>128</v>
      </c>
      <c r="B135" s="7" t="str">
        <f ca="1">IFERROR(__xludf.DUMMYFUNCTION("""COMPUTED_VALUE"""),"Quận Thủ Đức")</f>
        <v>Quận Thủ Đức</v>
      </c>
      <c r="C135" s="7" t="str">
        <f ca="1">IFERROR(__xludf.DUMMYFUNCTION("""COMPUTED_VALUE"""),"Bưu Cục 46 Tam Bình-Hiệp Bình Chánh-Q.Thủ Đức-HCM")</f>
        <v>Bưu Cục 46 Tam Bình-Hiệp Bình Chánh-Q.Thủ Đức-HCM</v>
      </c>
      <c r="D135" s="9">
        <f ca="1">IFERROR(__xludf.DUMMYFUNCTION("""COMPUTED_VALUE"""),1764)</f>
        <v>1764</v>
      </c>
      <c r="E135" s="9">
        <f ca="1">IFERROR(__xludf.DUMMYFUNCTION("""COMPUTED_VALUE"""),4065)</f>
        <v>4065</v>
      </c>
      <c r="F135" s="9">
        <f ca="1">IFERROR(__xludf.DUMMYFUNCTION("""COMPUTED_VALUE"""),1437)</f>
        <v>1437</v>
      </c>
      <c r="G135" s="9">
        <f ca="1">IFERROR(__xludf.DUMMYFUNCTION("""COMPUTED_VALUE"""),3384)</f>
        <v>3384</v>
      </c>
      <c r="H135" s="9">
        <f ca="1">IFERROR(__xludf.DUMMYFUNCTION("""COMPUTED_VALUE"""),1314)</f>
        <v>1314</v>
      </c>
      <c r="I135" s="9">
        <f ca="1">IFERROR(__xludf.DUMMYFUNCTION("""COMPUTED_VALUE"""),2709)</f>
        <v>2709</v>
      </c>
      <c r="J135" s="9">
        <f ca="1">IFERROR(__xludf.DUMMYFUNCTION("""COMPUTED_VALUE"""),1925)</f>
        <v>1925</v>
      </c>
      <c r="K135" s="9">
        <f ca="1">IFERROR(__xludf.DUMMYFUNCTION("""COMPUTED_VALUE"""),4255)</f>
        <v>4255</v>
      </c>
      <c r="L135" s="9">
        <f ca="1">IFERROR(__xludf.DUMMYFUNCTION("""COMPUTED_VALUE"""),647)</f>
        <v>647</v>
      </c>
      <c r="M135" s="9">
        <f ca="1">IFERROR(__xludf.DUMMYFUNCTION("""COMPUTED_VALUE"""),1548)</f>
        <v>1548</v>
      </c>
      <c r="N135" s="9">
        <f ca="1">IFERROR(__xludf.DUMMYFUNCTION("""COMPUTED_VALUE"""),2007)</f>
        <v>2007</v>
      </c>
      <c r="O135" s="9">
        <f ca="1">IFERROR(__xludf.DUMMYFUNCTION("""COMPUTED_VALUE"""),4069)</f>
        <v>4069</v>
      </c>
      <c r="P135" s="29">
        <f ca="1">IFERROR(__xludf.DUMMYFUNCTION("""COMPUTED_VALUE"""),1969)</f>
        <v>1969</v>
      </c>
      <c r="Q135" s="29">
        <f ca="1">IFERROR(__xludf.DUMMYFUNCTION("""COMPUTED_VALUE"""),3994)</f>
        <v>3994</v>
      </c>
      <c r="R135" s="7" t="str">
        <f ca="1">IFERROR(__xludf.DUMMYFUNCTION("""COMPUTED_VALUE"""),"Hồ Chí Minh")</f>
        <v>Hồ Chí Minh</v>
      </c>
      <c r="S135" s="7" t="str">
        <f ca="1">IFERROR(__xludf.DUMMYFUNCTION("""COMPUTED_VALUE"""),"Quận Thủ Đức")</f>
        <v>Quận Thủ Đức</v>
      </c>
      <c r="T135" s="7" t="str">
        <f ca="1">IFERROR(__xludf.DUMMYFUNCTION("SPARKLINE({
IF(D135="""",0,D135),
IF(F135="""",0,F135),
IF(H135="""",0,H135),
IF(J135="""",0,J135),
IF(L135="""",0,L135),
IF(N135="""",0,N135),
IF(P135="""",0,P135)
})"),"")</f>
        <v/>
      </c>
      <c r="U135" s="7" t="str">
        <f ca="1">IFERROR(__xludf.DUMMYFUNCTION("SPARKLINE({
IF(E135="""",0,E135),
IF(G135="""",0,G135),
IF(I135="""",0,I135),
IF(K135="""",0,K135),
IF(M135="""",0,M135),
IF(O135="""",0,O135),
IF(Q135="""",0,Q135)
})"),"")</f>
        <v/>
      </c>
      <c r="V135" s="30" t="e">
        <f t="array" aca="1" ref="V135" ca="1">IF($C$4="Giao",_xludf.Xlookup(C135,#REF!,#REF!,),_xludf.Xlookup(C135,#REF!,#REF!,))</f>
        <v>#NAME?</v>
      </c>
      <c r="W135" s="30" t="e">
        <f t="array" aca="1" ref="W135" ca="1">IF($C$4="Giao", _xludf.Xlookup(C135,#REF!,#REF!,),_xludf.Xlookup(C135,#REF!,#REF!,))</f>
        <v>#NAME?</v>
      </c>
      <c r="X135" s="9" t="e">
        <f t="shared" ca="1" si="2"/>
        <v>#NAME?</v>
      </c>
      <c r="Y135" s="7"/>
      <c r="Z135" s="7"/>
    </row>
    <row r="136" spans="1:26" ht="13" x14ac:dyDescent="0.6">
      <c r="A136" s="28">
        <f t="shared" ca="1" si="1"/>
        <v>129</v>
      </c>
      <c r="B136" s="7" t="str">
        <f ca="1">IFERROR(__xludf.DUMMYFUNCTION("""COMPUTED_VALUE"""),"Quận Thủ Đức")</f>
        <v>Quận Thủ Đức</v>
      </c>
      <c r="C136" s="7" t="str">
        <f ca="1">IFERROR(__xludf.DUMMYFUNCTION("""COMPUTED_VALUE"""),"Bưu Cục 53 Đường 22-Linh Đông-Thủ Đức-HCM")</f>
        <v>Bưu Cục 53 Đường 22-Linh Đông-Thủ Đức-HCM</v>
      </c>
      <c r="D136" s="9">
        <f ca="1">IFERROR(__xludf.DUMMYFUNCTION("""COMPUTED_VALUE"""),3109)</f>
        <v>3109</v>
      </c>
      <c r="E136" s="9">
        <f ca="1">IFERROR(__xludf.DUMMYFUNCTION("""COMPUTED_VALUE"""),8184)</f>
        <v>8184</v>
      </c>
      <c r="F136" s="9">
        <f ca="1">IFERROR(__xludf.DUMMYFUNCTION("""COMPUTED_VALUE"""),2631)</f>
        <v>2631</v>
      </c>
      <c r="G136" s="9">
        <f ca="1">IFERROR(__xludf.DUMMYFUNCTION("""COMPUTED_VALUE"""),7324)</f>
        <v>7324</v>
      </c>
      <c r="H136" s="9">
        <f ca="1">IFERROR(__xludf.DUMMYFUNCTION("""COMPUTED_VALUE"""),2604)</f>
        <v>2604</v>
      </c>
      <c r="I136" s="9">
        <f ca="1">IFERROR(__xludf.DUMMYFUNCTION("""COMPUTED_VALUE"""),8332)</f>
        <v>8332</v>
      </c>
      <c r="J136" s="9">
        <f ca="1">IFERROR(__xludf.DUMMYFUNCTION("""COMPUTED_VALUE"""),2761)</f>
        <v>2761</v>
      </c>
      <c r="K136" s="9">
        <f ca="1">IFERROR(__xludf.DUMMYFUNCTION("""COMPUTED_VALUE"""),9614)</f>
        <v>9614</v>
      </c>
      <c r="L136" s="9">
        <f ca="1">IFERROR(__xludf.DUMMYFUNCTION("""COMPUTED_VALUE"""),1377)</f>
        <v>1377</v>
      </c>
      <c r="M136" s="9">
        <f ca="1">IFERROR(__xludf.DUMMYFUNCTION("""COMPUTED_VALUE"""),4498)</f>
        <v>4498</v>
      </c>
      <c r="N136" s="9">
        <f ca="1">IFERROR(__xludf.DUMMYFUNCTION("""COMPUTED_VALUE"""),3072)</f>
        <v>3072</v>
      </c>
      <c r="O136" s="9">
        <f ca="1">IFERROR(__xludf.DUMMYFUNCTION("""COMPUTED_VALUE"""),7973)</f>
        <v>7973</v>
      </c>
      <c r="P136" s="29">
        <f ca="1">IFERROR(__xludf.DUMMYFUNCTION("""COMPUTED_VALUE"""),2875)</f>
        <v>2875</v>
      </c>
      <c r="Q136" s="29">
        <f ca="1">IFERROR(__xludf.DUMMYFUNCTION("""COMPUTED_VALUE"""),8682)</f>
        <v>8682</v>
      </c>
      <c r="R136" s="7" t="str">
        <f ca="1">IFERROR(__xludf.DUMMYFUNCTION("""COMPUTED_VALUE"""),"Hồ Chí Minh")</f>
        <v>Hồ Chí Minh</v>
      </c>
      <c r="S136" s="7" t="str">
        <f ca="1">IFERROR(__xludf.DUMMYFUNCTION("""COMPUTED_VALUE"""),"Quận Thủ Đức")</f>
        <v>Quận Thủ Đức</v>
      </c>
      <c r="T136" s="7" t="str">
        <f ca="1">IFERROR(__xludf.DUMMYFUNCTION("SPARKLINE({
IF(D136="""",0,D136),
IF(F136="""",0,F136),
IF(H136="""",0,H136),
IF(J136="""",0,J136),
IF(L136="""",0,L136),
IF(N136="""",0,N136),
IF(P136="""",0,P136)
})"),"")</f>
        <v/>
      </c>
      <c r="U136" s="7" t="str">
        <f ca="1">IFERROR(__xludf.DUMMYFUNCTION("SPARKLINE({
IF(E136="""",0,E136),
IF(G136="""",0,G136),
IF(I136="""",0,I136),
IF(K136="""",0,K136),
IF(M136="""",0,M136),
IF(O136="""",0,O136),
IF(Q136="""",0,Q136)
})"),"")</f>
        <v/>
      </c>
      <c r="V136" s="30" t="e">
        <f t="array" aca="1" ref="V136" ca="1">IF($C$4="Giao",_xludf.Xlookup(C136,#REF!,#REF!,),_xludf.Xlookup(C136,#REF!,#REF!,))</f>
        <v>#NAME?</v>
      </c>
      <c r="W136" s="30" t="e">
        <f t="array" aca="1" ref="W136" ca="1">IF($C$4="Giao", _xludf.Xlookup(C136,#REF!,#REF!,),_xludf.Xlookup(C136,#REF!,#REF!,))</f>
        <v>#NAME?</v>
      </c>
      <c r="X136" s="9" t="e">
        <f t="shared" ca="1" si="2"/>
        <v>#NAME?</v>
      </c>
      <c r="Y136" s="7"/>
      <c r="Z136" s="7"/>
    </row>
    <row r="137" spans="1:26" ht="13" x14ac:dyDescent="0.6">
      <c r="A137" s="28">
        <f t="shared" ca="1" si="1"/>
        <v>130</v>
      </c>
      <c r="B137" s="7" t="str">
        <f ca="1">IFERROR(__xludf.DUMMYFUNCTION("""COMPUTED_VALUE"""),"Quận Thủ Đức")</f>
        <v>Quận Thủ Đức</v>
      </c>
      <c r="C137" s="7" t="str">
        <f ca="1">IFERROR(__xludf.DUMMYFUNCTION("""COMPUTED_VALUE"""),"Bưu Cục 53A2 Đường 5-Linh Tây-Q.Thủ Đức-HCM")</f>
        <v>Bưu Cục 53A2 Đường 5-Linh Tây-Q.Thủ Đức-HCM</v>
      </c>
      <c r="D137" s="9">
        <f ca="1">IFERROR(__xludf.DUMMYFUNCTION("""COMPUTED_VALUE"""),892)</f>
        <v>892</v>
      </c>
      <c r="E137" s="9">
        <f ca="1">IFERROR(__xludf.DUMMYFUNCTION("""COMPUTED_VALUE"""),1912)</f>
        <v>1912</v>
      </c>
      <c r="F137" s="9">
        <f ca="1">IFERROR(__xludf.DUMMYFUNCTION("""COMPUTED_VALUE"""),756)</f>
        <v>756</v>
      </c>
      <c r="G137" s="9">
        <f ca="1">IFERROR(__xludf.DUMMYFUNCTION("""COMPUTED_VALUE"""),1452)</f>
        <v>1452</v>
      </c>
      <c r="H137" s="9">
        <f ca="1">IFERROR(__xludf.DUMMYFUNCTION("""COMPUTED_VALUE"""),728)</f>
        <v>728</v>
      </c>
      <c r="I137" s="9">
        <f ca="1">IFERROR(__xludf.DUMMYFUNCTION("""COMPUTED_VALUE"""),1467)</f>
        <v>1467</v>
      </c>
      <c r="J137" s="9">
        <f ca="1">IFERROR(__xludf.DUMMYFUNCTION("""COMPUTED_VALUE"""),723)</f>
        <v>723</v>
      </c>
      <c r="K137" s="9">
        <f ca="1">IFERROR(__xludf.DUMMYFUNCTION("""COMPUTED_VALUE"""),2077)</f>
        <v>2077</v>
      </c>
      <c r="L137" s="9">
        <f ca="1">IFERROR(__xludf.DUMMYFUNCTION("""COMPUTED_VALUE"""),451)</f>
        <v>451</v>
      </c>
      <c r="M137" s="9">
        <f ca="1">IFERROR(__xludf.DUMMYFUNCTION("""COMPUTED_VALUE"""),1214)</f>
        <v>1214</v>
      </c>
      <c r="N137" s="9">
        <f ca="1">IFERROR(__xludf.DUMMYFUNCTION("""COMPUTED_VALUE"""),799)</f>
        <v>799</v>
      </c>
      <c r="O137" s="9">
        <f ca="1">IFERROR(__xludf.DUMMYFUNCTION("""COMPUTED_VALUE"""),1584)</f>
        <v>1584</v>
      </c>
      <c r="P137" s="29">
        <f ca="1">IFERROR(__xludf.DUMMYFUNCTION("""COMPUTED_VALUE"""),742)</f>
        <v>742</v>
      </c>
      <c r="Q137" s="29">
        <f ca="1">IFERROR(__xludf.DUMMYFUNCTION("""COMPUTED_VALUE"""),1281)</f>
        <v>1281</v>
      </c>
      <c r="R137" s="7" t="str">
        <f ca="1">IFERROR(__xludf.DUMMYFUNCTION("""COMPUTED_VALUE"""),"Hồ Chí Minh")</f>
        <v>Hồ Chí Minh</v>
      </c>
      <c r="S137" s="7" t="str">
        <f ca="1">IFERROR(__xludf.DUMMYFUNCTION("""COMPUTED_VALUE"""),"Quận Thủ Đức")</f>
        <v>Quận Thủ Đức</v>
      </c>
      <c r="T137" s="7" t="str">
        <f ca="1">IFERROR(__xludf.DUMMYFUNCTION("SPARKLINE({
IF(D137="""",0,D137),
IF(F137="""",0,F137),
IF(H137="""",0,H137),
IF(J137="""",0,J137),
IF(L137="""",0,L137),
IF(N137="""",0,N137),
IF(P137="""",0,P137)
})"),"")</f>
        <v/>
      </c>
      <c r="U137" s="7" t="str">
        <f ca="1">IFERROR(__xludf.DUMMYFUNCTION("SPARKLINE({
IF(E137="""",0,E137),
IF(G137="""",0,G137),
IF(I137="""",0,I137),
IF(K137="""",0,K137),
IF(M137="""",0,M137),
IF(O137="""",0,O137),
IF(Q137="""",0,Q137)
})"),"")</f>
        <v/>
      </c>
      <c r="V137" s="30" t="e">
        <f t="array" aca="1" ref="V137" ca="1">IF($C$4="Giao",_xludf.Xlookup(C137,#REF!,#REF!,),_xludf.Xlookup(C137,#REF!,#REF!,))</f>
        <v>#NAME?</v>
      </c>
      <c r="W137" s="30" t="e">
        <f t="array" aca="1" ref="W137" ca="1">IF($C$4="Giao", _xludf.Xlookup(C137,#REF!,#REF!,),_xludf.Xlookup(C137,#REF!,#REF!,))</f>
        <v>#NAME?</v>
      </c>
      <c r="X137" s="9" t="e">
        <f t="shared" ca="1" si="2"/>
        <v>#NAME?</v>
      </c>
      <c r="Y137" s="7"/>
      <c r="Z137" s="7"/>
    </row>
    <row r="138" spans="1:26" ht="13" x14ac:dyDescent="0.6">
      <c r="A138" s="28">
        <f t="shared" ca="1" si="1"/>
        <v>131</v>
      </c>
      <c r="B138" s="7" t="str">
        <f ca="1">IFERROR(__xludf.DUMMYFUNCTION("""COMPUTED_VALUE"""),"Thành phố Bà Rịa")</f>
        <v>Thành phố Bà Rịa</v>
      </c>
      <c r="C138" s="7" t="str">
        <f ca="1">IFERROR(__xludf.DUMMYFUNCTION("""COMPUTED_VALUE"""),"Bưu Cục 1855 Võ Văn Kiệt-Hoà Long-Bà Rịa Vũng Tàu")</f>
        <v>Bưu Cục 1855 Võ Văn Kiệt-Hoà Long-Bà Rịa Vũng Tàu</v>
      </c>
      <c r="D138" s="9">
        <f ca="1">IFERROR(__xludf.DUMMYFUNCTION("""COMPUTED_VALUE"""),155)</f>
        <v>155</v>
      </c>
      <c r="E138" s="9">
        <f ca="1">IFERROR(__xludf.DUMMYFUNCTION("""COMPUTED_VALUE"""),320)</f>
        <v>320</v>
      </c>
      <c r="F138" s="9">
        <f ca="1">IFERROR(__xludf.DUMMYFUNCTION("""COMPUTED_VALUE"""),154)</f>
        <v>154</v>
      </c>
      <c r="G138" s="9">
        <f ca="1">IFERROR(__xludf.DUMMYFUNCTION("""COMPUTED_VALUE"""),332)</f>
        <v>332</v>
      </c>
      <c r="H138" s="9">
        <f ca="1">IFERROR(__xludf.DUMMYFUNCTION("""COMPUTED_VALUE"""),131)</f>
        <v>131</v>
      </c>
      <c r="I138" s="9">
        <f ca="1">IFERROR(__xludf.DUMMYFUNCTION("""COMPUTED_VALUE"""),265)</f>
        <v>265</v>
      </c>
      <c r="J138" s="9">
        <f ca="1">IFERROR(__xludf.DUMMYFUNCTION("""COMPUTED_VALUE"""),248)</f>
        <v>248</v>
      </c>
      <c r="K138" s="9">
        <f ca="1">IFERROR(__xludf.DUMMYFUNCTION("""COMPUTED_VALUE"""),316)</f>
        <v>316</v>
      </c>
      <c r="L138" s="9">
        <f ca="1">IFERROR(__xludf.DUMMYFUNCTION("""COMPUTED_VALUE"""),214)</f>
        <v>214</v>
      </c>
      <c r="M138" s="9">
        <f ca="1">IFERROR(__xludf.DUMMYFUNCTION("""COMPUTED_VALUE"""),242)</f>
        <v>242</v>
      </c>
      <c r="N138" s="9">
        <f ca="1">IFERROR(__xludf.DUMMYFUNCTION("""COMPUTED_VALUE"""),327)</f>
        <v>327</v>
      </c>
      <c r="O138" s="9">
        <f ca="1">IFERROR(__xludf.DUMMYFUNCTION("""COMPUTED_VALUE"""),361)</f>
        <v>361</v>
      </c>
      <c r="P138" s="29">
        <f ca="1">IFERROR(__xludf.DUMMYFUNCTION("""COMPUTED_VALUE"""),333)</f>
        <v>333</v>
      </c>
      <c r="Q138" s="29">
        <f ca="1">IFERROR(__xludf.DUMMYFUNCTION("""COMPUTED_VALUE"""),538)</f>
        <v>538</v>
      </c>
      <c r="R138" s="7" t="str">
        <f ca="1">IFERROR(__xludf.DUMMYFUNCTION("""COMPUTED_VALUE"""),"Bà Rịa - Vũng Tàu")</f>
        <v>Bà Rịa - Vũng Tàu</v>
      </c>
      <c r="S138" s="7" t="str">
        <f ca="1">IFERROR(__xludf.DUMMYFUNCTION("""COMPUTED_VALUE"""),"Thành phố Bà Rịa")</f>
        <v>Thành phố Bà Rịa</v>
      </c>
      <c r="T138" s="7" t="str">
        <f ca="1">IFERROR(__xludf.DUMMYFUNCTION("SPARKLINE({
IF(D138="""",0,D138),
IF(F138="""",0,F138),
IF(H138="""",0,H138),
IF(J138="""",0,J138),
IF(L138="""",0,L138),
IF(N138="""",0,N138),
IF(P138="""",0,P138)
})"),"")</f>
        <v/>
      </c>
      <c r="U138" s="7" t="str">
        <f ca="1">IFERROR(__xludf.DUMMYFUNCTION("SPARKLINE({
IF(E138="""",0,E138),
IF(G138="""",0,G138),
IF(I138="""",0,I138),
IF(K138="""",0,K138),
IF(M138="""",0,M138),
IF(O138="""",0,O138),
IF(Q138="""",0,Q138)
})"),"")</f>
        <v/>
      </c>
      <c r="V138" s="30" t="e">
        <f t="array" aca="1" ref="V138" ca="1">IF($C$4="Giao",_xludf.Xlookup(C138,#REF!,#REF!,),_xludf.Xlookup(C138,#REF!,#REF!,))</f>
        <v>#NAME?</v>
      </c>
      <c r="W138" s="30" t="e">
        <f t="array" aca="1" ref="W138" ca="1">IF($C$4="Giao", _xludf.Xlookup(C138,#REF!,#REF!,),_xludf.Xlookup(C138,#REF!,#REF!,))</f>
        <v>#NAME?</v>
      </c>
      <c r="X138" s="9" t="e">
        <f t="shared" ca="1" si="2"/>
        <v>#NAME?</v>
      </c>
      <c r="Y138" s="7"/>
      <c r="Z138" s="7"/>
    </row>
    <row r="139" spans="1:26" ht="13" x14ac:dyDescent="0.6">
      <c r="A139" s="28">
        <f t="shared" ca="1" si="1"/>
        <v>132</v>
      </c>
      <c r="B139" s="7" t="str">
        <f ca="1">IFERROR(__xludf.DUMMYFUNCTION("""COMPUTED_VALUE"""),"Thành phố Bà Rịa")</f>
        <v>Thành phố Bà Rịa</v>
      </c>
      <c r="C139" s="7" t="str">
        <f ca="1">IFERROR(__xludf.DUMMYFUNCTION("""COMPUTED_VALUE"""),"Bưu Cục 39 Tôn Đức Thắng-TP.Bà Rịa")</f>
        <v>Bưu Cục 39 Tôn Đức Thắng-TP.Bà Rịa</v>
      </c>
      <c r="D139" s="9">
        <f ca="1">IFERROR(__xludf.DUMMYFUNCTION("""COMPUTED_VALUE"""),125)</f>
        <v>125</v>
      </c>
      <c r="E139" s="9">
        <f ca="1">IFERROR(__xludf.DUMMYFUNCTION("""COMPUTED_VALUE"""),379)</f>
        <v>379</v>
      </c>
      <c r="F139" s="9">
        <f ca="1">IFERROR(__xludf.DUMMYFUNCTION("""COMPUTED_VALUE"""),117)</f>
        <v>117</v>
      </c>
      <c r="G139" s="9">
        <f ca="1">IFERROR(__xludf.DUMMYFUNCTION("""COMPUTED_VALUE"""),385)</f>
        <v>385</v>
      </c>
      <c r="H139" s="9">
        <f ca="1">IFERROR(__xludf.DUMMYFUNCTION("""COMPUTED_VALUE"""),146)</f>
        <v>146</v>
      </c>
      <c r="I139" s="9">
        <f ca="1">IFERROR(__xludf.DUMMYFUNCTION("""COMPUTED_VALUE"""),268)</f>
        <v>268</v>
      </c>
      <c r="J139" s="9">
        <f ca="1">IFERROR(__xludf.DUMMYFUNCTION("""COMPUTED_VALUE"""),142)</f>
        <v>142</v>
      </c>
      <c r="K139" s="9">
        <f ca="1">IFERROR(__xludf.DUMMYFUNCTION("""COMPUTED_VALUE"""),315)</f>
        <v>315</v>
      </c>
      <c r="L139" s="9">
        <f ca="1">IFERROR(__xludf.DUMMYFUNCTION("""COMPUTED_VALUE"""),93)</f>
        <v>93</v>
      </c>
      <c r="M139" s="9">
        <f ca="1">IFERROR(__xludf.DUMMYFUNCTION("""COMPUTED_VALUE"""),203)</f>
        <v>203</v>
      </c>
      <c r="N139" s="9">
        <f ca="1">IFERROR(__xludf.DUMMYFUNCTION("""COMPUTED_VALUE"""),106)</f>
        <v>106</v>
      </c>
      <c r="O139" s="9">
        <f ca="1">IFERROR(__xludf.DUMMYFUNCTION("""COMPUTED_VALUE"""),340)</f>
        <v>340</v>
      </c>
      <c r="P139" s="29">
        <f ca="1">IFERROR(__xludf.DUMMYFUNCTION("""COMPUTED_VALUE"""),137)</f>
        <v>137</v>
      </c>
      <c r="Q139" s="29">
        <f ca="1">IFERROR(__xludf.DUMMYFUNCTION("""COMPUTED_VALUE"""),209)</f>
        <v>209</v>
      </c>
      <c r="R139" s="7" t="str">
        <f ca="1">IFERROR(__xludf.DUMMYFUNCTION("""COMPUTED_VALUE"""),"Bà Rịa - Vũng Tàu")</f>
        <v>Bà Rịa - Vũng Tàu</v>
      </c>
      <c r="S139" s="7" t="str">
        <f ca="1">IFERROR(__xludf.DUMMYFUNCTION("""COMPUTED_VALUE"""),"Thành phố Bà Rịa")</f>
        <v>Thành phố Bà Rịa</v>
      </c>
      <c r="T139" s="7" t="str">
        <f ca="1">IFERROR(__xludf.DUMMYFUNCTION("SPARKLINE({
IF(D139="""",0,D139),
IF(F139="""",0,F139),
IF(H139="""",0,H139),
IF(J139="""",0,J139),
IF(L139="""",0,L139),
IF(N139="""",0,N139),
IF(P139="""",0,P139)
})"),"")</f>
        <v/>
      </c>
      <c r="U139" s="7" t="str">
        <f ca="1">IFERROR(__xludf.DUMMYFUNCTION("SPARKLINE({
IF(E139="""",0,E139),
IF(G139="""",0,G139),
IF(I139="""",0,I139),
IF(K139="""",0,K139),
IF(M139="""",0,M139),
IF(O139="""",0,O139),
IF(Q139="""",0,Q139)
})"),"")</f>
        <v/>
      </c>
      <c r="V139" s="30" t="e">
        <f t="array" aca="1" ref="V139" ca="1">IF($C$4="Giao",_xludf.Xlookup(C139,#REF!,#REF!,),_xludf.Xlookup(C139,#REF!,#REF!,))</f>
        <v>#NAME?</v>
      </c>
      <c r="W139" s="30" t="e">
        <f t="array" aca="1" ref="W139" ca="1">IF($C$4="Giao", _xludf.Xlookup(C139,#REF!,#REF!,),_xludf.Xlookup(C139,#REF!,#REF!,))</f>
        <v>#NAME?</v>
      </c>
      <c r="X139" s="9" t="e">
        <f t="shared" ca="1" si="2"/>
        <v>#NAME?</v>
      </c>
      <c r="Y139" s="7"/>
      <c r="Z139" s="7"/>
    </row>
    <row r="140" spans="1:26" ht="13" x14ac:dyDescent="0.6">
      <c r="A140" s="28">
        <f t="shared" ca="1" si="1"/>
        <v>133</v>
      </c>
      <c r="B140" s="7" t="str">
        <f ca="1">IFERROR(__xludf.DUMMYFUNCTION("""COMPUTED_VALUE"""),"Thành phố Dĩ An")</f>
        <v>Thành phố Dĩ An</v>
      </c>
      <c r="C140" s="7" t="str">
        <f ca="1">IFERROR(__xludf.DUMMYFUNCTION("""COMPUTED_VALUE"""),"Bưu Cục 150 Đường DT743A-TP.Dĩ An-Bình Dương")</f>
        <v>Bưu Cục 150 Đường DT743A-TP.Dĩ An-Bình Dương</v>
      </c>
      <c r="D140" s="9">
        <f ca="1">IFERROR(__xludf.DUMMYFUNCTION("""COMPUTED_VALUE"""),320)</f>
        <v>320</v>
      </c>
      <c r="E140" s="9">
        <f ca="1">IFERROR(__xludf.DUMMYFUNCTION("""COMPUTED_VALUE"""),519)</f>
        <v>519</v>
      </c>
      <c r="F140" s="9">
        <f ca="1">IFERROR(__xludf.DUMMYFUNCTION("""COMPUTED_VALUE"""),295)</f>
        <v>295</v>
      </c>
      <c r="G140" s="9">
        <f ca="1">IFERROR(__xludf.DUMMYFUNCTION("""COMPUTED_VALUE"""),478)</f>
        <v>478</v>
      </c>
      <c r="H140" s="9">
        <f ca="1">IFERROR(__xludf.DUMMYFUNCTION("""COMPUTED_VALUE"""),365)</f>
        <v>365</v>
      </c>
      <c r="I140" s="9">
        <f ca="1">IFERROR(__xludf.DUMMYFUNCTION("""COMPUTED_VALUE"""),690)</f>
        <v>690</v>
      </c>
      <c r="J140" s="9">
        <f ca="1">IFERROR(__xludf.DUMMYFUNCTION("""COMPUTED_VALUE"""),423)</f>
        <v>423</v>
      </c>
      <c r="K140" s="9">
        <f ca="1">IFERROR(__xludf.DUMMYFUNCTION("""COMPUTED_VALUE"""),856)</f>
        <v>856</v>
      </c>
      <c r="L140" s="9">
        <f ca="1">IFERROR(__xludf.DUMMYFUNCTION("""COMPUTED_VALUE"""),358)</f>
        <v>358</v>
      </c>
      <c r="M140" s="9">
        <f ca="1">IFERROR(__xludf.DUMMYFUNCTION("""COMPUTED_VALUE"""),551)</f>
        <v>551</v>
      </c>
      <c r="N140" s="9">
        <f ca="1">IFERROR(__xludf.DUMMYFUNCTION("""COMPUTED_VALUE"""),494)</f>
        <v>494</v>
      </c>
      <c r="O140" s="9">
        <f ca="1">IFERROR(__xludf.DUMMYFUNCTION("""COMPUTED_VALUE"""),573)</f>
        <v>573</v>
      </c>
      <c r="P140" s="29">
        <f ca="1">IFERROR(__xludf.DUMMYFUNCTION("""COMPUTED_VALUE"""),427)</f>
        <v>427</v>
      </c>
      <c r="Q140" s="29">
        <f ca="1">IFERROR(__xludf.DUMMYFUNCTION("""COMPUTED_VALUE"""),877)</f>
        <v>877</v>
      </c>
      <c r="R140" s="7" t="str">
        <f ca="1">IFERROR(__xludf.DUMMYFUNCTION("""COMPUTED_VALUE"""),"Bình Dương")</f>
        <v>Bình Dương</v>
      </c>
      <c r="S140" s="7" t="str">
        <f ca="1">IFERROR(__xludf.DUMMYFUNCTION("""COMPUTED_VALUE"""),"Thành phố Dĩ An")</f>
        <v>Thành phố Dĩ An</v>
      </c>
      <c r="T140" s="7" t="str">
        <f ca="1">IFERROR(__xludf.DUMMYFUNCTION("SPARKLINE({
IF(D140="""",0,D140),
IF(F140="""",0,F140),
IF(H140="""",0,H140),
IF(J140="""",0,J140),
IF(L140="""",0,L140),
IF(N140="""",0,N140),
IF(P140="""",0,P140)
})"),"")</f>
        <v/>
      </c>
      <c r="U140" s="7" t="str">
        <f ca="1">IFERROR(__xludf.DUMMYFUNCTION("SPARKLINE({
IF(E140="""",0,E140),
IF(G140="""",0,G140),
IF(I140="""",0,I140),
IF(K140="""",0,K140),
IF(M140="""",0,M140),
IF(O140="""",0,O140),
IF(Q140="""",0,Q140)
})"),"")</f>
        <v/>
      </c>
      <c r="V140" s="30" t="e">
        <f t="array" aca="1" ref="V140" ca="1">IF($C$4="Giao",_xludf.Xlookup(C140,#REF!,#REF!,),_xludf.Xlookup(C140,#REF!,#REF!,))</f>
        <v>#NAME?</v>
      </c>
      <c r="W140" s="30" t="e">
        <f t="array" aca="1" ref="W140" ca="1">IF($C$4="Giao", _xludf.Xlookup(C140,#REF!,#REF!,),_xludf.Xlookup(C140,#REF!,#REF!,))</f>
        <v>#NAME?</v>
      </c>
      <c r="X140" s="9" t="e">
        <f t="shared" ca="1" si="2"/>
        <v>#NAME?</v>
      </c>
      <c r="Y140" s="7"/>
      <c r="Z140" s="7"/>
    </row>
    <row r="141" spans="1:26" ht="13" x14ac:dyDescent="0.6">
      <c r="A141" s="28">
        <f t="shared" ca="1" si="1"/>
        <v>134</v>
      </c>
      <c r="B141" s="7" t="str">
        <f ca="1">IFERROR(__xludf.DUMMYFUNCTION("""COMPUTED_VALUE"""),"Thành phố Dĩ An")</f>
        <v>Thành phố Dĩ An</v>
      </c>
      <c r="C141" s="7" t="str">
        <f ca="1">IFERROR(__xludf.DUMMYFUNCTION("""COMPUTED_VALUE"""),"Bưu Cục 182 Xuyên Á-TP.Dĩ An-Bình Dương")</f>
        <v>Bưu Cục 182 Xuyên Á-TP.Dĩ An-Bình Dương</v>
      </c>
      <c r="D141" s="9">
        <f ca="1">IFERROR(__xludf.DUMMYFUNCTION("""COMPUTED_VALUE"""),466)</f>
        <v>466</v>
      </c>
      <c r="E141" s="9">
        <f ca="1">IFERROR(__xludf.DUMMYFUNCTION("""COMPUTED_VALUE"""),1235)</f>
        <v>1235</v>
      </c>
      <c r="F141" s="9">
        <f ca="1">IFERROR(__xludf.DUMMYFUNCTION("""COMPUTED_VALUE"""),480)</f>
        <v>480</v>
      </c>
      <c r="G141" s="9">
        <f ca="1">IFERROR(__xludf.DUMMYFUNCTION("""COMPUTED_VALUE"""),1468)</f>
        <v>1468</v>
      </c>
      <c r="H141" s="9">
        <f ca="1">IFERROR(__xludf.DUMMYFUNCTION("""COMPUTED_VALUE"""),551)</f>
        <v>551</v>
      </c>
      <c r="I141" s="9">
        <f ca="1">IFERROR(__xludf.DUMMYFUNCTION("""COMPUTED_VALUE"""),1552)</f>
        <v>1552</v>
      </c>
      <c r="J141" s="9">
        <f ca="1">IFERROR(__xludf.DUMMYFUNCTION("""COMPUTED_VALUE"""),667)</f>
        <v>667</v>
      </c>
      <c r="K141" s="9">
        <f ca="1">IFERROR(__xludf.DUMMYFUNCTION("""COMPUTED_VALUE"""),2412)</f>
        <v>2412</v>
      </c>
      <c r="L141" s="9">
        <f ca="1">IFERROR(__xludf.DUMMYFUNCTION("""COMPUTED_VALUE"""),345)</f>
        <v>345</v>
      </c>
      <c r="M141" s="9">
        <f ca="1">IFERROR(__xludf.DUMMYFUNCTION("""COMPUTED_VALUE"""),896)</f>
        <v>896</v>
      </c>
      <c r="N141" s="9">
        <f ca="1">IFERROR(__xludf.DUMMYFUNCTION("""COMPUTED_VALUE"""),613)</f>
        <v>613</v>
      </c>
      <c r="O141" s="9">
        <f ca="1">IFERROR(__xludf.DUMMYFUNCTION("""COMPUTED_VALUE"""),1957)</f>
        <v>1957</v>
      </c>
      <c r="P141" s="29">
        <f ca="1">IFERROR(__xludf.DUMMYFUNCTION("""COMPUTED_VALUE"""),583)</f>
        <v>583</v>
      </c>
      <c r="Q141" s="29">
        <f ca="1">IFERROR(__xludf.DUMMYFUNCTION("""COMPUTED_VALUE"""),1264)</f>
        <v>1264</v>
      </c>
      <c r="R141" s="7" t="str">
        <f ca="1">IFERROR(__xludf.DUMMYFUNCTION("""COMPUTED_VALUE"""),"Bình Dương")</f>
        <v>Bình Dương</v>
      </c>
      <c r="S141" s="7" t="str">
        <f ca="1">IFERROR(__xludf.DUMMYFUNCTION("""COMPUTED_VALUE"""),"Thành phố Dĩ An")</f>
        <v>Thành phố Dĩ An</v>
      </c>
      <c r="T141" s="7" t="str">
        <f ca="1">IFERROR(__xludf.DUMMYFUNCTION("SPARKLINE({
IF(D141="""",0,D141),
IF(F141="""",0,F141),
IF(H141="""",0,H141),
IF(J141="""",0,J141),
IF(L141="""",0,L141),
IF(N141="""",0,N141),
IF(P141="""",0,P141)
})"),"")</f>
        <v/>
      </c>
      <c r="U141" s="7" t="str">
        <f ca="1">IFERROR(__xludf.DUMMYFUNCTION("SPARKLINE({
IF(E141="""",0,E141),
IF(G141="""",0,G141),
IF(I141="""",0,I141),
IF(K141="""",0,K141),
IF(M141="""",0,M141),
IF(O141="""",0,O141),
IF(Q141="""",0,Q141)
})"),"")</f>
        <v/>
      </c>
      <c r="V141" s="30" t="e">
        <f t="array" aca="1" ref="V141" ca="1">IF($C$4="Giao",_xludf.Xlookup(C141,#REF!,#REF!,),_xludf.Xlookup(C141,#REF!,#REF!,))</f>
        <v>#NAME?</v>
      </c>
      <c r="W141" s="30" t="e">
        <f t="array" aca="1" ref="W141" ca="1">IF($C$4="Giao", _xludf.Xlookup(C141,#REF!,#REF!,),_xludf.Xlookup(C141,#REF!,#REF!,))</f>
        <v>#NAME?</v>
      </c>
      <c r="X141" s="9" t="e">
        <f t="shared" ca="1" si="2"/>
        <v>#NAME?</v>
      </c>
      <c r="Y141" s="7"/>
      <c r="Z141" s="7"/>
    </row>
    <row r="142" spans="1:26" ht="13" x14ac:dyDescent="0.6">
      <c r="A142" s="28">
        <f t="shared" ca="1" si="1"/>
        <v>135</v>
      </c>
      <c r="B142" s="7" t="str">
        <f ca="1">IFERROR(__xludf.DUMMYFUNCTION("""COMPUTED_VALUE"""),"Thành phố Dĩ An")</f>
        <v>Thành phố Dĩ An</v>
      </c>
      <c r="C142" s="7" t="str">
        <f ca="1">IFERROR(__xludf.DUMMYFUNCTION("""COMPUTED_VALUE"""),"Bưu Cục 95 Nguyễn Thị Tươi-Tân Bình-Dĩ An-Bình Dương")</f>
        <v>Bưu Cục 95 Nguyễn Thị Tươi-Tân Bình-Dĩ An-Bình Dương</v>
      </c>
      <c r="D142" s="9">
        <f ca="1">IFERROR(__xludf.DUMMYFUNCTION("""COMPUTED_VALUE"""),683)</f>
        <v>683</v>
      </c>
      <c r="E142" s="9">
        <f ca="1">IFERROR(__xludf.DUMMYFUNCTION("""COMPUTED_VALUE"""),2495)</f>
        <v>2495</v>
      </c>
      <c r="F142" s="9">
        <f ca="1">IFERROR(__xludf.DUMMYFUNCTION("""COMPUTED_VALUE"""),634)</f>
        <v>634</v>
      </c>
      <c r="G142" s="9">
        <f ca="1">IFERROR(__xludf.DUMMYFUNCTION("""COMPUTED_VALUE"""),2041)</f>
        <v>2041</v>
      </c>
      <c r="H142" s="9">
        <f ca="1">IFERROR(__xludf.DUMMYFUNCTION("""COMPUTED_VALUE"""),612)</f>
        <v>612</v>
      </c>
      <c r="I142" s="9">
        <f ca="1">IFERROR(__xludf.DUMMYFUNCTION("""COMPUTED_VALUE"""),3396)</f>
        <v>3396</v>
      </c>
      <c r="J142" s="9">
        <f ca="1">IFERROR(__xludf.DUMMYFUNCTION("""COMPUTED_VALUE"""),582)</f>
        <v>582</v>
      </c>
      <c r="K142" s="9">
        <f ca="1">IFERROR(__xludf.DUMMYFUNCTION("""COMPUTED_VALUE"""),2163)</f>
        <v>2163</v>
      </c>
      <c r="L142" s="9">
        <f ca="1">IFERROR(__xludf.DUMMYFUNCTION("""COMPUTED_VALUE"""),211)</f>
        <v>211</v>
      </c>
      <c r="M142" s="9">
        <f ca="1">IFERROR(__xludf.DUMMYFUNCTION("""COMPUTED_VALUE"""),926)</f>
        <v>926</v>
      </c>
      <c r="N142" s="9">
        <f ca="1">IFERROR(__xludf.DUMMYFUNCTION("""COMPUTED_VALUE"""),615)</f>
        <v>615</v>
      </c>
      <c r="O142" s="9">
        <f ca="1">IFERROR(__xludf.DUMMYFUNCTION("""COMPUTED_VALUE"""),1363)</f>
        <v>1363</v>
      </c>
      <c r="P142" s="29">
        <f ca="1">IFERROR(__xludf.DUMMYFUNCTION("""COMPUTED_VALUE"""),691)</f>
        <v>691</v>
      </c>
      <c r="Q142" s="29">
        <f ca="1">IFERROR(__xludf.DUMMYFUNCTION("""COMPUTED_VALUE"""),2879)</f>
        <v>2879</v>
      </c>
      <c r="R142" s="7" t="str">
        <f ca="1">IFERROR(__xludf.DUMMYFUNCTION("""COMPUTED_VALUE"""),"Bình Dương")</f>
        <v>Bình Dương</v>
      </c>
      <c r="S142" s="7" t="str">
        <f ca="1">IFERROR(__xludf.DUMMYFUNCTION("""COMPUTED_VALUE"""),"Thành phố Dĩ An")</f>
        <v>Thành phố Dĩ An</v>
      </c>
      <c r="T142" s="7" t="str">
        <f ca="1">IFERROR(__xludf.DUMMYFUNCTION("SPARKLINE({
IF(D142="""",0,D142),
IF(F142="""",0,F142),
IF(H142="""",0,H142),
IF(J142="""",0,J142),
IF(L142="""",0,L142),
IF(N142="""",0,N142),
IF(P142="""",0,P142)
})"),"")</f>
        <v/>
      </c>
      <c r="U142" s="7" t="str">
        <f ca="1">IFERROR(__xludf.DUMMYFUNCTION("SPARKLINE({
IF(E142="""",0,E142),
IF(G142="""",0,G142),
IF(I142="""",0,I142),
IF(K142="""",0,K142),
IF(M142="""",0,M142),
IF(O142="""",0,O142),
IF(Q142="""",0,Q142)
})"),"")</f>
        <v/>
      </c>
      <c r="V142" s="30" t="e">
        <f t="array" aca="1" ref="V142" ca="1">IF($C$4="Giao",_xludf.Xlookup(C142,#REF!,#REF!,),_xludf.Xlookup(C142,#REF!,#REF!,))</f>
        <v>#NAME?</v>
      </c>
      <c r="W142" s="30" t="e">
        <f t="array" aca="1" ref="W142" ca="1">IF($C$4="Giao", _xludf.Xlookup(C142,#REF!,#REF!,),_xludf.Xlookup(C142,#REF!,#REF!,))</f>
        <v>#NAME?</v>
      </c>
      <c r="X142" s="9" t="e">
        <f t="shared" ca="1" si="2"/>
        <v>#NAME?</v>
      </c>
      <c r="Y142" s="7"/>
      <c r="Z142" s="7"/>
    </row>
    <row r="143" spans="1:26" ht="13" x14ac:dyDescent="0.6">
      <c r="A143" s="28">
        <f t="shared" ca="1" si="1"/>
        <v>136</v>
      </c>
      <c r="B143" s="7" t="str">
        <f ca="1">IFERROR(__xludf.DUMMYFUNCTION("""COMPUTED_VALUE"""),"Thành phố Dĩ An")</f>
        <v>Thành phố Dĩ An</v>
      </c>
      <c r="C143" s="7" t="str">
        <f ca="1">IFERROR(__xludf.DUMMYFUNCTION("""COMPUTED_VALUE"""),"Bưu Cục Đông Chiêu-Tân Đông Hiệp-Dĩ An-Bình Dương")</f>
        <v>Bưu Cục Đông Chiêu-Tân Đông Hiệp-Dĩ An-Bình Dương</v>
      </c>
      <c r="D143" s="9">
        <f ca="1">IFERROR(__xludf.DUMMYFUNCTION("""COMPUTED_VALUE"""),1209)</f>
        <v>1209</v>
      </c>
      <c r="E143" s="9">
        <f ca="1">IFERROR(__xludf.DUMMYFUNCTION("""COMPUTED_VALUE"""),4204)</f>
        <v>4204</v>
      </c>
      <c r="F143" s="9">
        <f ca="1">IFERROR(__xludf.DUMMYFUNCTION("""COMPUTED_VALUE"""),1041)</f>
        <v>1041</v>
      </c>
      <c r="G143" s="9">
        <f ca="1">IFERROR(__xludf.DUMMYFUNCTION("""COMPUTED_VALUE"""),3812)</f>
        <v>3812</v>
      </c>
      <c r="H143" s="9">
        <f ca="1">IFERROR(__xludf.DUMMYFUNCTION("""COMPUTED_VALUE"""),1209)</f>
        <v>1209</v>
      </c>
      <c r="I143" s="9">
        <f ca="1">IFERROR(__xludf.DUMMYFUNCTION("""COMPUTED_VALUE"""),2130)</f>
        <v>2130</v>
      </c>
      <c r="J143" s="9">
        <f ca="1">IFERROR(__xludf.DUMMYFUNCTION("""COMPUTED_VALUE"""),1227)</f>
        <v>1227</v>
      </c>
      <c r="K143" s="9">
        <f ca="1">IFERROR(__xludf.DUMMYFUNCTION("""COMPUTED_VALUE"""),2853)</f>
        <v>2853</v>
      </c>
      <c r="L143" s="9">
        <f ca="1">IFERROR(__xludf.DUMMYFUNCTION("""COMPUTED_VALUE"""),645)</f>
        <v>645</v>
      </c>
      <c r="M143" s="9">
        <f ca="1">IFERROR(__xludf.DUMMYFUNCTION("""COMPUTED_VALUE"""),886)</f>
        <v>886</v>
      </c>
      <c r="N143" s="9">
        <f ca="1">IFERROR(__xludf.DUMMYFUNCTION("""COMPUTED_VALUE"""),1139)</f>
        <v>1139</v>
      </c>
      <c r="O143" s="9">
        <f ca="1">IFERROR(__xludf.DUMMYFUNCTION("""COMPUTED_VALUE"""),2880)</f>
        <v>2880</v>
      </c>
      <c r="P143" s="29">
        <f ca="1">IFERROR(__xludf.DUMMYFUNCTION("""COMPUTED_VALUE"""),1112)</f>
        <v>1112</v>
      </c>
      <c r="Q143" s="29">
        <f ca="1">IFERROR(__xludf.DUMMYFUNCTION("""COMPUTED_VALUE"""),3003)</f>
        <v>3003</v>
      </c>
      <c r="R143" s="7" t="str">
        <f ca="1">IFERROR(__xludf.DUMMYFUNCTION("""COMPUTED_VALUE"""),"Bình Dương")</f>
        <v>Bình Dương</v>
      </c>
      <c r="S143" s="7" t="str">
        <f ca="1">IFERROR(__xludf.DUMMYFUNCTION("""COMPUTED_VALUE"""),"Thành phố Dĩ An")</f>
        <v>Thành phố Dĩ An</v>
      </c>
      <c r="T143" s="7" t="str">
        <f ca="1">IFERROR(__xludf.DUMMYFUNCTION("SPARKLINE({
IF(D143="""",0,D143),
IF(F143="""",0,F143),
IF(H143="""",0,H143),
IF(J143="""",0,J143),
IF(L143="""",0,L143),
IF(N143="""",0,N143),
IF(P143="""",0,P143)
})"),"")</f>
        <v/>
      </c>
      <c r="U143" s="7" t="str">
        <f ca="1">IFERROR(__xludf.DUMMYFUNCTION("SPARKLINE({
IF(E143="""",0,E143),
IF(G143="""",0,G143),
IF(I143="""",0,I143),
IF(K143="""",0,K143),
IF(M143="""",0,M143),
IF(O143="""",0,O143),
IF(Q143="""",0,Q143)
})"),"")</f>
        <v/>
      </c>
      <c r="V143" s="30" t="e">
        <f t="array" aca="1" ref="V143" ca="1">IF($C$4="Giao",_xludf.Xlookup(C143,#REF!,#REF!,),_xludf.Xlookup(C143,#REF!,#REF!,))</f>
        <v>#NAME?</v>
      </c>
      <c r="W143" s="30" t="e">
        <f t="array" aca="1" ref="W143" ca="1">IF($C$4="Giao", _xludf.Xlookup(C143,#REF!,#REF!,),_xludf.Xlookup(C143,#REF!,#REF!,))</f>
        <v>#NAME?</v>
      </c>
      <c r="X143" s="9" t="e">
        <f t="shared" ca="1" si="2"/>
        <v>#NAME?</v>
      </c>
      <c r="Y143" s="7"/>
      <c r="Z143" s="7"/>
    </row>
    <row r="144" spans="1:26" ht="13" x14ac:dyDescent="0.6">
      <c r="A144" s="28">
        <f t="shared" ca="1" si="1"/>
        <v>137</v>
      </c>
      <c r="B144" s="7" t="str">
        <f ca="1">IFERROR(__xludf.DUMMYFUNCTION("""COMPUTED_VALUE"""),"Thành phố Tân Uyên")</f>
        <v>Thành phố Tân Uyên</v>
      </c>
      <c r="C144" s="7" t="str">
        <f ca="1">IFERROR(__xludf.DUMMYFUNCTION("""COMPUTED_VALUE"""),"Bưu Cục 1417 Đường N4-D2 KDC Thanh Duy-TP.Tân Uyên-Bình Dương")</f>
        <v>Bưu Cục 1417 Đường N4-D2 KDC Thanh Duy-TP.Tân Uyên-Bình Dương</v>
      </c>
      <c r="D144" s="9">
        <f ca="1">IFERROR(__xludf.DUMMYFUNCTION("""COMPUTED_VALUE"""),163)</f>
        <v>163</v>
      </c>
      <c r="E144" s="9">
        <f ca="1">IFERROR(__xludf.DUMMYFUNCTION("""COMPUTED_VALUE"""),313)</f>
        <v>313</v>
      </c>
      <c r="F144" s="9">
        <f ca="1">IFERROR(__xludf.DUMMYFUNCTION("""COMPUTED_VALUE"""),116)</f>
        <v>116</v>
      </c>
      <c r="G144" s="9">
        <f ca="1">IFERROR(__xludf.DUMMYFUNCTION("""COMPUTED_VALUE"""),701)</f>
        <v>701</v>
      </c>
      <c r="H144" s="9">
        <f ca="1">IFERROR(__xludf.DUMMYFUNCTION("""COMPUTED_VALUE"""),148)</f>
        <v>148</v>
      </c>
      <c r="I144" s="9">
        <f ca="1">IFERROR(__xludf.DUMMYFUNCTION("""COMPUTED_VALUE"""),374)</f>
        <v>374</v>
      </c>
      <c r="J144" s="9">
        <f ca="1">IFERROR(__xludf.DUMMYFUNCTION("""COMPUTED_VALUE"""),181)</f>
        <v>181</v>
      </c>
      <c r="K144" s="9">
        <f ca="1">IFERROR(__xludf.DUMMYFUNCTION("""COMPUTED_VALUE"""),549)</f>
        <v>549</v>
      </c>
      <c r="L144" s="9">
        <f ca="1">IFERROR(__xludf.DUMMYFUNCTION("""COMPUTED_VALUE"""),143)</f>
        <v>143</v>
      </c>
      <c r="M144" s="9">
        <f ca="1">IFERROR(__xludf.DUMMYFUNCTION("""COMPUTED_VALUE"""),107)</f>
        <v>107</v>
      </c>
      <c r="N144" s="9">
        <f ca="1">IFERROR(__xludf.DUMMYFUNCTION("""COMPUTED_VALUE"""),238)</f>
        <v>238</v>
      </c>
      <c r="O144" s="9">
        <f ca="1">IFERROR(__xludf.DUMMYFUNCTION("""COMPUTED_VALUE"""),689)</f>
        <v>689</v>
      </c>
      <c r="P144" s="29">
        <f ca="1">IFERROR(__xludf.DUMMYFUNCTION("""COMPUTED_VALUE"""),246)</f>
        <v>246</v>
      </c>
      <c r="Q144" s="29">
        <f ca="1">IFERROR(__xludf.DUMMYFUNCTION("""COMPUTED_VALUE"""),479)</f>
        <v>479</v>
      </c>
      <c r="R144" s="7" t="str">
        <f ca="1">IFERROR(__xludf.DUMMYFUNCTION("""COMPUTED_VALUE"""),"Bình Dương")</f>
        <v>Bình Dương</v>
      </c>
      <c r="S144" s="7" t="str">
        <f ca="1">IFERROR(__xludf.DUMMYFUNCTION("""COMPUTED_VALUE"""),"Thành phố Tân Uyên")</f>
        <v>Thành phố Tân Uyên</v>
      </c>
      <c r="T144" s="7" t="str">
        <f ca="1">IFERROR(__xludf.DUMMYFUNCTION("SPARKLINE({
IF(D144="""",0,D144),
IF(F144="""",0,F144),
IF(H144="""",0,H144),
IF(J144="""",0,J144),
IF(L144="""",0,L144),
IF(N144="""",0,N144),
IF(P144="""",0,P144)
})"),"")</f>
        <v/>
      </c>
      <c r="U144" s="7" t="str">
        <f ca="1">IFERROR(__xludf.DUMMYFUNCTION("SPARKLINE({
IF(E144="""",0,E144),
IF(G144="""",0,G144),
IF(I144="""",0,I144),
IF(K144="""",0,K144),
IF(M144="""",0,M144),
IF(O144="""",0,O144),
IF(Q144="""",0,Q144)
})"),"")</f>
        <v/>
      </c>
      <c r="V144" s="30" t="e">
        <f t="array" aca="1" ref="V144" ca="1">IF($C$4="Giao",_xludf.Xlookup(C144,#REF!,#REF!,),_xludf.Xlookup(C144,#REF!,#REF!,))</f>
        <v>#NAME?</v>
      </c>
      <c r="W144" s="30" t="e">
        <f t="array" aca="1" ref="W144" ca="1">IF($C$4="Giao", _xludf.Xlookup(C144,#REF!,#REF!,),_xludf.Xlookup(C144,#REF!,#REF!,))</f>
        <v>#NAME?</v>
      </c>
      <c r="X144" s="9" t="e">
        <f t="shared" ca="1" si="2"/>
        <v>#NAME?</v>
      </c>
      <c r="Y144" s="7"/>
      <c r="Z144" s="7"/>
    </row>
    <row r="145" spans="1:26" ht="13" x14ac:dyDescent="0.6">
      <c r="A145" s="28">
        <f t="shared" ca="1" si="1"/>
        <v>138</v>
      </c>
      <c r="B145" s="7" t="str">
        <f ca="1">IFERROR(__xludf.DUMMYFUNCTION("""COMPUTED_VALUE"""),"Thành phố Tân Uyên")</f>
        <v>Thành phố Tân Uyên</v>
      </c>
      <c r="C145" s="7" t="str">
        <f ca="1">IFERROR(__xludf.DUMMYFUNCTION("""COMPUTED_VALUE"""),"Bưu Cục Đường Số 2 KDC Genimex-TP.Tân Uyên-Bình Dương")</f>
        <v>Bưu Cục Đường Số 2 KDC Genimex-TP.Tân Uyên-Bình Dương</v>
      </c>
      <c r="D145" s="9">
        <f ca="1">IFERROR(__xludf.DUMMYFUNCTION("""COMPUTED_VALUE"""),80)</f>
        <v>80</v>
      </c>
      <c r="E145" s="9">
        <f ca="1">IFERROR(__xludf.DUMMYFUNCTION("""COMPUTED_VALUE"""),293)</f>
        <v>293</v>
      </c>
      <c r="F145" s="9">
        <f ca="1">IFERROR(__xludf.DUMMYFUNCTION("""COMPUTED_VALUE"""),80)</f>
        <v>80</v>
      </c>
      <c r="G145" s="9">
        <f ca="1">IFERROR(__xludf.DUMMYFUNCTION("""COMPUTED_VALUE"""),179)</f>
        <v>179</v>
      </c>
      <c r="H145" s="9">
        <f ca="1">IFERROR(__xludf.DUMMYFUNCTION("""COMPUTED_VALUE"""),91)</f>
        <v>91</v>
      </c>
      <c r="I145" s="9">
        <f ca="1">IFERROR(__xludf.DUMMYFUNCTION("""COMPUTED_VALUE"""),139)</f>
        <v>139</v>
      </c>
      <c r="J145" s="9">
        <f ca="1">IFERROR(__xludf.DUMMYFUNCTION("""COMPUTED_VALUE"""),80)</f>
        <v>80</v>
      </c>
      <c r="K145" s="9">
        <f ca="1">IFERROR(__xludf.DUMMYFUNCTION("""COMPUTED_VALUE"""),155)</f>
        <v>155</v>
      </c>
      <c r="L145" s="9">
        <f ca="1">IFERROR(__xludf.DUMMYFUNCTION("""COMPUTED_VALUE"""),94)</f>
        <v>94</v>
      </c>
      <c r="M145" s="9">
        <f ca="1">IFERROR(__xludf.DUMMYFUNCTION("""COMPUTED_VALUE"""),171)</f>
        <v>171</v>
      </c>
      <c r="N145" s="9">
        <f ca="1">IFERROR(__xludf.DUMMYFUNCTION("""COMPUTED_VALUE"""),132)</f>
        <v>132</v>
      </c>
      <c r="O145" s="9">
        <f ca="1">IFERROR(__xludf.DUMMYFUNCTION("""COMPUTED_VALUE"""),264)</f>
        <v>264</v>
      </c>
      <c r="P145" s="29">
        <f ca="1">IFERROR(__xludf.DUMMYFUNCTION("""COMPUTED_VALUE"""),100)</f>
        <v>100</v>
      </c>
      <c r="Q145" s="29">
        <f ca="1">IFERROR(__xludf.DUMMYFUNCTION("""COMPUTED_VALUE"""),213)</f>
        <v>213</v>
      </c>
      <c r="R145" s="7" t="str">
        <f ca="1">IFERROR(__xludf.DUMMYFUNCTION("""COMPUTED_VALUE"""),"Bình Dương")</f>
        <v>Bình Dương</v>
      </c>
      <c r="S145" s="7" t="str">
        <f ca="1">IFERROR(__xludf.DUMMYFUNCTION("""COMPUTED_VALUE"""),"Thành phố Tân Uyên")</f>
        <v>Thành phố Tân Uyên</v>
      </c>
      <c r="T145" s="7" t="str">
        <f ca="1">IFERROR(__xludf.DUMMYFUNCTION("SPARKLINE({
IF(D145="""",0,D145),
IF(F145="""",0,F145),
IF(H145="""",0,H145),
IF(J145="""",0,J145),
IF(L145="""",0,L145),
IF(N145="""",0,N145),
IF(P145="""",0,P145)
})"),"")</f>
        <v/>
      </c>
      <c r="U145" s="7" t="str">
        <f ca="1">IFERROR(__xludf.DUMMYFUNCTION("SPARKLINE({
IF(E145="""",0,E145),
IF(G145="""",0,G145),
IF(I145="""",0,I145),
IF(K145="""",0,K145),
IF(M145="""",0,M145),
IF(O145="""",0,O145),
IF(Q145="""",0,Q145)
})"),"")</f>
        <v/>
      </c>
      <c r="V145" s="30" t="e">
        <f t="array" aca="1" ref="V145" ca="1">IF($C$4="Giao",_xludf.Xlookup(C145,#REF!,#REF!,),_xludf.Xlookup(C145,#REF!,#REF!,))</f>
        <v>#NAME?</v>
      </c>
      <c r="W145" s="30" t="e">
        <f t="array" aca="1" ref="W145" ca="1">IF($C$4="Giao", _xludf.Xlookup(C145,#REF!,#REF!,),_xludf.Xlookup(C145,#REF!,#REF!,))</f>
        <v>#NAME?</v>
      </c>
      <c r="X145" s="9" t="e">
        <f t="shared" ca="1" si="2"/>
        <v>#NAME?</v>
      </c>
      <c r="Y145" s="7"/>
      <c r="Z145" s="7"/>
    </row>
    <row r="146" spans="1:26" ht="13" x14ac:dyDescent="0.6">
      <c r="A146" s="28">
        <f t="shared" ca="1" si="1"/>
        <v>139</v>
      </c>
      <c r="B146" s="7" t="str">
        <f ca="1">IFERROR(__xludf.DUMMYFUNCTION("""COMPUTED_VALUE"""),"Thành phố Tân Uyên")</f>
        <v>Thành phố Tân Uyên</v>
      </c>
      <c r="C146" s="7" t="str">
        <f ca="1">IFERROR(__xludf.DUMMYFUNCTION("""COMPUTED_VALUE"""),"Bưu cục Hội Nghĩa-Tân Uyên-Bình Dương")</f>
        <v>Bưu cục Hội Nghĩa-Tân Uyên-Bình Dương</v>
      </c>
      <c r="D146" s="9">
        <f ca="1">IFERROR(__xludf.DUMMYFUNCTION("""COMPUTED_VALUE"""),180)</f>
        <v>180</v>
      </c>
      <c r="E146" s="9">
        <f ca="1">IFERROR(__xludf.DUMMYFUNCTION("""COMPUTED_VALUE"""),259)</f>
        <v>259</v>
      </c>
      <c r="F146" s="9">
        <f ca="1">IFERROR(__xludf.DUMMYFUNCTION("""COMPUTED_VALUE"""),149)</f>
        <v>149</v>
      </c>
      <c r="G146" s="9">
        <f ca="1">IFERROR(__xludf.DUMMYFUNCTION("""COMPUTED_VALUE"""),198)</f>
        <v>198</v>
      </c>
      <c r="H146" s="9">
        <f ca="1">IFERROR(__xludf.DUMMYFUNCTION("""COMPUTED_VALUE"""),115)</f>
        <v>115</v>
      </c>
      <c r="I146" s="9">
        <f ca="1">IFERROR(__xludf.DUMMYFUNCTION("""COMPUTED_VALUE"""),193)</f>
        <v>193</v>
      </c>
      <c r="J146" s="9">
        <f ca="1">IFERROR(__xludf.DUMMYFUNCTION("""COMPUTED_VALUE"""),133)</f>
        <v>133</v>
      </c>
      <c r="K146" s="9">
        <f ca="1">IFERROR(__xludf.DUMMYFUNCTION("""COMPUTED_VALUE"""),230)</f>
        <v>230</v>
      </c>
      <c r="L146" s="9">
        <f ca="1">IFERROR(__xludf.DUMMYFUNCTION("""COMPUTED_VALUE"""),36)</f>
        <v>36</v>
      </c>
      <c r="M146" s="9">
        <f ca="1">IFERROR(__xludf.DUMMYFUNCTION("""COMPUTED_VALUE"""),42)</f>
        <v>42</v>
      </c>
      <c r="N146" s="9">
        <f ca="1">IFERROR(__xludf.DUMMYFUNCTION("""COMPUTED_VALUE"""),163)</f>
        <v>163</v>
      </c>
      <c r="O146" s="9">
        <f ca="1">IFERROR(__xludf.DUMMYFUNCTION("""COMPUTED_VALUE"""),280)</f>
        <v>280</v>
      </c>
      <c r="P146" s="29">
        <f ca="1">IFERROR(__xludf.DUMMYFUNCTION("""COMPUTED_VALUE"""),126)</f>
        <v>126</v>
      </c>
      <c r="Q146" s="29">
        <f ca="1">IFERROR(__xludf.DUMMYFUNCTION("""COMPUTED_VALUE"""),249)</f>
        <v>249</v>
      </c>
      <c r="R146" s="7" t="str">
        <f ca="1">IFERROR(__xludf.DUMMYFUNCTION("""COMPUTED_VALUE"""),"Bình Dương")</f>
        <v>Bình Dương</v>
      </c>
      <c r="S146" s="7" t="str">
        <f ca="1">IFERROR(__xludf.DUMMYFUNCTION("""COMPUTED_VALUE"""),"Thành phố Tân Uyên")</f>
        <v>Thành phố Tân Uyên</v>
      </c>
      <c r="T146" s="7" t="str">
        <f ca="1">IFERROR(__xludf.DUMMYFUNCTION("SPARKLINE({
IF(D146="""",0,D146),
IF(F146="""",0,F146),
IF(H146="""",0,H146),
IF(J146="""",0,J146),
IF(L146="""",0,L146),
IF(N146="""",0,N146),
IF(P146="""",0,P146)
})"),"")</f>
        <v/>
      </c>
      <c r="U146" s="7" t="str">
        <f ca="1">IFERROR(__xludf.DUMMYFUNCTION("SPARKLINE({
IF(E146="""",0,E146),
IF(G146="""",0,G146),
IF(I146="""",0,I146),
IF(K146="""",0,K146),
IF(M146="""",0,M146),
IF(O146="""",0,O146),
IF(Q146="""",0,Q146)
})"),"")</f>
        <v/>
      </c>
      <c r="V146" s="30" t="e">
        <f t="array" aca="1" ref="V146" ca="1">IF($C$4="Giao",_xludf.Xlookup(C146,#REF!,#REF!,),_xludf.Xlookup(C146,#REF!,#REF!,))</f>
        <v>#NAME?</v>
      </c>
      <c r="W146" s="30" t="e">
        <f t="array" aca="1" ref="W146" ca="1">IF($C$4="Giao", _xludf.Xlookup(C146,#REF!,#REF!,),_xludf.Xlookup(C146,#REF!,#REF!,))</f>
        <v>#NAME?</v>
      </c>
      <c r="X146" s="9" t="e">
        <f t="shared" ca="1" si="2"/>
        <v>#NAME?</v>
      </c>
      <c r="Y146" s="7"/>
      <c r="Z146" s="7"/>
    </row>
    <row r="147" spans="1:26" ht="13" x14ac:dyDescent="0.6">
      <c r="A147" s="28">
        <f t="shared" ca="1" si="1"/>
        <v>140</v>
      </c>
      <c r="B147" s="7" t="str">
        <f ca="1">IFERROR(__xludf.DUMMYFUNCTION("""COMPUTED_VALUE"""),"Thành phố Tân Uyên")</f>
        <v>Thành phố Tân Uyên</v>
      </c>
      <c r="C147" s="7" t="str">
        <f ca="1">IFERROR(__xludf.DUMMYFUNCTION("""COMPUTED_VALUE"""),"Bưu Cục KP6 Vĩnh Tân-Tân Uyên-Bình Dương")</f>
        <v>Bưu Cục KP6 Vĩnh Tân-Tân Uyên-Bình Dương</v>
      </c>
      <c r="D147" s="9">
        <f ca="1">IFERROR(__xludf.DUMMYFUNCTION("""COMPUTED_VALUE"""),136)</f>
        <v>136</v>
      </c>
      <c r="E147" s="9">
        <f ca="1">IFERROR(__xludf.DUMMYFUNCTION("""COMPUTED_VALUE"""),242)</f>
        <v>242</v>
      </c>
      <c r="F147" s="9">
        <f ca="1">IFERROR(__xludf.DUMMYFUNCTION("""COMPUTED_VALUE"""),142)</f>
        <v>142</v>
      </c>
      <c r="G147" s="9">
        <f ca="1">IFERROR(__xludf.DUMMYFUNCTION("""COMPUTED_VALUE"""),195)</f>
        <v>195</v>
      </c>
      <c r="H147" s="9">
        <f ca="1">IFERROR(__xludf.DUMMYFUNCTION("""COMPUTED_VALUE"""),120)</f>
        <v>120</v>
      </c>
      <c r="I147" s="9">
        <f ca="1">IFERROR(__xludf.DUMMYFUNCTION("""COMPUTED_VALUE"""),762)</f>
        <v>762</v>
      </c>
      <c r="J147" s="9">
        <f ca="1">IFERROR(__xludf.DUMMYFUNCTION("""COMPUTED_VALUE"""),147)</f>
        <v>147</v>
      </c>
      <c r="K147" s="9">
        <f ca="1">IFERROR(__xludf.DUMMYFUNCTION("""COMPUTED_VALUE"""),835)</f>
        <v>835</v>
      </c>
      <c r="L147" s="9">
        <f ca="1">IFERROR(__xludf.DUMMYFUNCTION("""COMPUTED_VALUE"""),263)</f>
        <v>263</v>
      </c>
      <c r="M147" s="9">
        <f ca="1">IFERROR(__xludf.DUMMYFUNCTION("""COMPUTED_VALUE"""),508)</f>
        <v>508</v>
      </c>
      <c r="N147" s="9">
        <f ca="1">IFERROR(__xludf.DUMMYFUNCTION("""COMPUTED_VALUE"""),171)</f>
        <v>171</v>
      </c>
      <c r="O147" s="9">
        <f ca="1">IFERROR(__xludf.DUMMYFUNCTION("""COMPUTED_VALUE"""),1110)</f>
        <v>1110</v>
      </c>
      <c r="P147" s="29">
        <f ca="1">IFERROR(__xludf.DUMMYFUNCTION("""COMPUTED_VALUE"""),112)</f>
        <v>112</v>
      </c>
      <c r="Q147" s="29">
        <f ca="1">IFERROR(__xludf.DUMMYFUNCTION("""COMPUTED_VALUE"""),1176)</f>
        <v>1176</v>
      </c>
      <c r="R147" s="7" t="str">
        <f ca="1">IFERROR(__xludf.DUMMYFUNCTION("""COMPUTED_VALUE"""),"Bình Dương")</f>
        <v>Bình Dương</v>
      </c>
      <c r="S147" s="7" t="str">
        <f ca="1">IFERROR(__xludf.DUMMYFUNCTION("""COMPUTED_VALUE"""),"Thành phố Tân Uyên")</f>
        <v>Thành phố Tân Uyên</v>
      </c>
      <c r="T147" s="7" t="str">
        <f ca="1">IFERROR(__xludf.DUMMYFUNCTION("SPARKLINE({
IF(D147="""",0,D147),
IF(F147="""",0,F147),
IF(H147="""",0,H147),
IF(J147="""",0,J147),
IF(L147="""",0,L147),
IF(N147="""",0,N147),
IF(P147="""",0,P147)
})"),"")</f>
        <v/>
      </c>
      <c r="U147" s="7" t="str">
        <f ca="1">IFERROR(__xludf.DUMMYFUNCTION("SPARKLINE({
IF(E147="""",0,E147),
IF(G147="""",0,G147),
IF(I147="""",0,I147),
IF(K147="""",0,K147),
IF(M147="""",0,M147),
IF(O147="""",0,O147),
IF(Q147="""",0,Q147)
})"),"")</f>
        <v/>
      </c>
      <c r="V147" s="30" t="e">
        <f t="array" aca="1" ref="V147" ca="1">IF($C$4="Giao",_xludf.Xlookup(C147,#REF!,#REF!,),_xludf.Xlookup(C147,#REF!,#REF!,))</f>
        <v>#NAME?</v>
      </c>
      <c r="W147" s="30" t="e">
        <f t="array" aca="1" ref="W147" ca="1">IF($C$4="Giao", _xludf.Xlookup(C147,#REF!,#REF!,),_xludf.Xlookup(C147,#REF!,#REF!,))</f>
        <v>#NAME?</v>
      </c>
      <c r="X147" s="9" t="e">
        <f t="shared" ca="1" si="2"/>
        <v>#NAME?</v>
      </c>
      <c r="Y147" s="7"/>
      <c r="Z147" s="7"/>
    </row>
    <row r="148" spans="1:26" ht="13" x14ac:dyDescent="0.6">
      <c r="A148" s="28">
        <f t="shared" ca="1" si="1"/>
        <v>141</v>
      </c>
      <c r="B148" s="7" t="str">
        <f ca="1">IFERROR(__xludf.DUMMYFUNCTION("""COMPUTED_VALUE"""),"Thành phố Tân Uyên")</f>
        <v>Thành phố Tân Uyên</v>
      </c>
      <c r="C148" s="7" t="str">
        <f ca="1">IFERROR(__xludf.DUMMYFUNCTION("""COMPUTED_VALUE"""),"Bưu cục Số 54/1 Đường Tân Phước Khánh 13-Tân Uyên-Bình Dương")</f>
        <v>Bưu cục Số 54/1 Đường Tân Phước Khánh 13-Tân Uyên-Bình Dương</v>
      </c>
      <c r="D148" s="9">
        <f ca="1">IFERROR(__xludf.DUMMYFUNCTION("""COMPUTED_VALUE"""),379)</f>
        <v>379</v>
      </c>
      <c r="E148" s="9">
        <f ca="1">IFERROR(__xludf.DUMMYFUNCTION("""COMPUTED_VALUE"""),1392)</f>
        <v>1392</v>
      </c>
      <c r="F148" s="9">
        <f ca="1">IFERROR(__xludf.DUMMYFUNCTION("""COMPUTED_VALUE"""),365)</f>
        <v>365</v>
      </c>
      <c r="G148" s="9">
        <f ca="1">IFERROR(__xludf.DUMMYFUNCTION("""COMPUTED_VALUE"""),2013)</f>
        <v>2013</v>
      </c>
      <c r="H148" s="9">
        <f ca="1">IFERROR(__xludf.DUMMYFUNCTION("""COMPUTED_VALUE"""),386)</f>
        <v>386</v>
      </c>
      <c r="I148" s="9">
        <f ca="1">IFERROR(__xludf.DUMMYFUNCTION("""COMPUTED_VALUE"""),1224)</f>
        <v>1224</v>
      </c>
      <c r="J148" s="9">
        <f ca="1">IFERROR(__xludf.DUMMYFUNCTION("""COMPUTED_VALUE"""),468)</f>
        <v>468</v>
      </c>
      <c r="K148" s="9">
        <f ca="1">IFERROR(__xludf.DUMMYFUNCTION("""COMPUTED_VALUE"""),1351)</f>
        <v>1351</v>
      </c>
      <c r="L148" s="9">
        <f ca="1">IFERROR(__xludf.DUMMYFUNCTION("""COMPUTED_VALUE"""),288)</f>
        <v>288</v>
      </c>
      <c r="M148" s="9">
        <f ca="1">IFERROR(__xludf.DUMMYFUNCTION("""COMPUTED_VALUE"""),1007)</f>
        <v>1007</v>
      </c>
      <c r="N148" s="9">
        <f ca="1">IFERROR(__xludf.DUMMYFUNCTION("""COMPUTED_VALUE"""),518)</f>
        <v>518</v>
      </c>
      <c r="O148" s="9">
        <f ca="1">IFERROR(__xludf.DUMMYFUNCTION("""COMPUTED_VALUE"""),1534)</f>
        <v>1534</v>
      </c>
      <c r="P148" s="29">
        <f ca="1">IFERROR(__xludf.DUMMYFUNCTION("""COMPUTED_VALUE"""),438)</f>
        <v>438</v>
      </c>
      <c r="Q148" s="29">
        <f ca="1">IFERROR(__xludf.DUMMYFUNCTION("""COMPUTED_VALUE"""),1170)</f>
        <v>1170</v>
      </c>
      <c r="R148" s="7" t="str">
        <f ca="1">IFERROR(__xludf.DUMMYFUNCTION("""COMPUTED_VALUE"""),"Bình Dương")</f>
        <v>Bình Dương</v>
      </c>
      <c r="S148" s="7" t="str">
        <f ca="1">IFERROR(__xludf.DUMMYFUNCTION("""COMPUTED_VALUE"""),"Thành phố Tân Uyên")</f>
        <v>Thành phố Tân Uyên</v>
      </c>
      <c r="T148" s="7" t="str">
        <f ca="1">IFERROR(__xludf.DUMMYFUNCTION("SPARKLINE({
IF(D148="""",0,D148),
IF(F148="""",0,F148),
IF(H148="""",0,H148),
IF(J148="""",0,J148),
IF(L148="""",0,L148),
IF(N148="""",0,N148),
IF(P148="""",0,P148)
})"),"")</f>
        <v/>
      </c>
      <c r="U148" s="7" t="str">
        <f ca="1">IFERROR(__xludf.DUMMYFUNCTION("SPARKLINE({
IF(E148="""",0,E148),
IF(G148="""",0,G148),
IF(I148="""",0,I148),
IF(K148="""",0,K148),
IF(M148="""",0,M148),
IF(O148="""",0,O148),
IF(Q148="""",0,Q148)
})"),"")</f>
        <v/>
      </c>
      <c r="V148" s="30" t="e">
        <f t="array" aca="1" ref="V148" ca="1">IF($C$4="Giao",_xludf.Xlookup(C148,#REF!,#REF!,),_xludf.Xlookup(C148,#REF!,#REF!,))</f>
        <v>#NAME?</v>
      </c>
      <c r="W148" s="30" t="e">
        <f t="array" aca="1" ref="W148" ca="1">IF($C$4="Giao", _xludf.Xlookup(C148,#REF!,#REF!,),_xludf.Xlookup(C148,#REF!,#REF!,))</f>
        <v>#NAME?</v>
      </c>
      <c r="X148" s="9" t="e">
        <f t="shared" ca="1" si="2"/>
        <v>#NAME?</v>
      </c>
      <c r="Y148" s="7"/>
      <c r="Z148" s="7"/>
    </row>
    <row r="149" spans="1:26" ht="13" x14ac:dyDescent="0.6">
      <c r="A149" s="28">
        <f t="shared" ca="1" si="1"/>
        <v>142</v>
      </c>
      <c r="B149" s="7" t="str">
        <f ca="1">IFERROR(__xludf.DUMMYFUNCTION("""COMPUTED_VALUE"""),"Thành phố Tân Uyên")</f>
        <v>Thành phố Tân Uyên</v>
      </c>
      <c r="C149" s="7" t="str">
        <f ca="1">IFERROR(__xludf.DUMMYFUNCTION("""COMPUTED_VALUE"""),"Bưu Cục Tân Hiệp 04-Tân Uyên-Bình Dương")</f>
        <v>Bưu Cục Tân Hiệp 04-Tân Uyên-Bình Dương</v>
      </c>
      <c r="D149" s="9">
        <f ca="1">IFERROR(__xludf.DUMMYFUNCTION("""COMPUTED_VALUE"""),269)</f>
        <v>269</v>
      </c>
      <c r="E149" s="9">
        <f ca="1">IFERROR(__xludf.DUMMYFUNCTION("""COMPUTED_VALUE"""),776)</f>
        <v>776</v>
      </c>
      <c r="F149" s="9">
        <f ca="1">IFERROR(__xludf.DUMMYFUNCTION("""COMPUTED_VALUE"""),219)</f>
        <v>219</v>
      </c>
      <c r="G149" s="9">
        <f ca="1">IFERROR(__xludf.DUMMYFUNCTION("""COMPUTED_VALUE"""),651)</f>
        <v>651</v>
      </c>
      <c r="H149" s="9">
        <f ca="1">IFERROR(__xludf.DUMMYFUNCTION("""COMPUTED_VALUE"""),211)</f>
        <v>211</v>
      </c>
      <c r="I149" s="9">
        <f ca="1">IFERROR(__xludf.DUMMYFUNCTION("""COMPUTED_VALUE"""),1065)</f>
        <v>1065</v>
      </c>
      <c r="J149" s="9">
        <f ca="1">IFERROR(__xludf.DUMMYFUNCTION("""COMPUTED_VALUE"""),200)</f>
        <v>200</v>
      </c>
      <c r="K149" s="9">
        <f ca="1">IFERROR(__xludf.DUMMYFUNCTION("""COMPUTED_VALUE"""),631)</f>
        <v>631</v>
      </c>
      <c r="L149" s="9">
        <f ca="1">IFERROR(__xludf.DUMMYFUNCTION("""COMPUTED_VALUE"""),102)</f>
        <v>102</v>
      </c>
      <c r="M149" s="9">
        <f ca="1">IFERROR(__xludf.DUMMYFUNCTION("""COMPUTED_VALUE"""),395)</f>
        <v>395</v>
      </c>
      <c r="N149" s="9">
        <f ca="1">IFERROR(__xludf.DUMMYFUNCTION("""COMPUTED_VALUE"""),199)</f>
        <v>199</v>
      </c>
      <c r="O149" s="9">
        <f ca="1">IFERROR(__xludf.DUMMYFUNCTION("""COMPUTED_VALUE"""),730)</f>
        <v>730</v>
      </c>
      <c r="P149" s="29">
        <f ca="1">IFERROR(__xludf.DUMMYFUNCTION("""COMPUTED_VALUE"""),226)</f>
        <v>226</v>
      </c>
      <c r="Q149" s="29">
        <f ca="1">IFERROR(__xludf.DUMMYFUNCTION("""COMPUTED_VALUE"""),667)</f>
        <v>667</v>
      </c>
      <c r="R149" s="7" t="str">
        <f ca="1">IFERROR(__xludf.DUMMYFUNCTION("""COMPUTED_VALUE"""),"Bình Dương")</f>
        <v>Bình Dương</v>
      </c>
      <c r="S149" s="7" t="str">
        <f ca="1">IFERROR(__xludf.DUMMYFUNCTION("""COMPUTED_VALUE"""),"Thành phố Tân Uyên")</f>
        <v>Thành phố Tân Uyên</v>
      </c>
      <c r="T149" s="7" t="str">
        <f ca="1">IFERROR(__xludf.DUMMYFUNCTION("SPARKLINE({
IF(D149="""",0,D149),
IF(F149="""",0,F149),
IF(H149="""",0,H149),
IF(J149="""",0,J149),
IF(L149="""",0,L149),
IF(N149="""",0,N149),
IF(P149="""",0,P149)
})"),"")</f>
        <v/>
      </c>
      <c r="U149" s="7" t="str">
        <f ca="1">IFERROR(__xludf.DUMMYFUNCTION("SPARKLINE({
IF(E149="""",0,E149),
IF(G149="""",0,G149),
IF(I149="""",0,I149),
IF(K149="""",0,K149),
IF(M149="""",0,M149),
IF(O149="""",0,O149),
IF(Q149="""",0,Q149)
})"),"")</f>
        <v/>
      </c>
      <c r="V149" s="30" t="e">
        <f t="array" aca="1" ref="V149" ca="1">IF($C$4="Giao",_xludf.Xlookup(C149,#REF!,#REF!,),_xludf.Xlookup(C149,#REF!,#REF!,))</f>
        <v>#NAME?</v>
      </c>
      <c r="W149" s="30" t="e">
        <f t="array" aca="1" ref="W149" ca="1">IF($C$4="Giao", _xludf.Xlookup(C149,#REF!,#REF!,),_xludf.Xlookup(C149,#REF!,#REF!,))</f>
        <v>#NAME?</v>
      </c>
      <c r="X149" s="9" t="e">
        <f t="shared" ca="1" si="2"/>
        <v>#NAME?</v>
      </c>
      <c r="Y149" s="7"/>
      <c r="Z149" s="7"/>
    </row>
    <row r="150" spans="1:26" ht="13" x14ac:dyDescent="0.6">
      <c r="A150" s="28">
        <f t="shared" ca="1" si="1"/>
        <v>143</v>
      </c>
      <c r="B150" s="7" t="str">
        <f ca="1">IFERROR(__xludf.DUMMYFUNCTION("""COMPUTED_VALUE"""),"Thành phố Thủ Dầu Một")</f>
        <v>Thành phố Thủ Dầu Một</v>
      </c>
      <c r="C150" s="7" t="str">
        <f ca="1">IFERROR(__xludf.DUMMYFUNCTION("""COMPUTED_VALUE"""),"Bưu Cục 265 Lào Cai-Chánh Nghĩa-Thủ Dầu Một-Bình Dương")</f>
        <v>Bưu Cục 265 Lào Cai-Chánh Nghĩa-Thủ Dầu Một-Bình Dương</v>
      </c>
      <c r="D150" s="9">
        <f ca="1">IFERROR(__xludf.DUMMYFUNCTION("""COMPUTED_VALUE"""),428)</f>
        <v>428</v>
      </c>
      <c r="E150" s="9">
        <f ca="1">IFERROR(__xludf.DUMMYFUNCTION("""COMPUTED_VALUE"""),2843)</f>
        <v>2843</v>
      </c>
      <c r="F150" s="9">
        <f ca="1">IFERROR(__xludf.DUMMYFUNCTION("""COMPUTED_VALUE"""),430)</f>
        <v>430</v>
      </c>
      <c r="G150" s="9">
        <f ca="1">IFERROR(__xludf.DUMMYFUNCTION("""COMPUTED_VALUE"""),1921)</f>
        <v>1921</v>
      </c>
      <c r="H150" s="9">
        <f ca="1">IFERROR(__xludf.DUMMYFUNCTION("""COMPUTED_VALUE"""),402)</f>
        <v>402</v>
      </c>
      <c r="I150" s="9">
        <f ca="1">IFERROR(__xludf.DUMMYFUNCTION("""COMPUTED_VALUE"""),1654)</f>
        <v>1654</v>
      </c>
      <c r="J150" s="9">
        <f ca="1">IFERROR(__xludf.DUMMYFUNCTION("""COMPUTED_VALUE"""),452)</f>
        <v>452</v>
      </c>
      <c r="K150" s="9">
        <f ca="1">IFERROR(__xludf.DUMMYFUNCTION("""COMPUTED_VALUE"""),1810)</f>
        <v>1810</v>
      </c>
      <c r="L150" s="9">
        <f ca="1">IFERROR(__xludf.DUMMYFUNCTION("""COMPUTED_VALUE"""),195)</f>
        <v>195</v>
      </c>
      <c r="M150" s="9">
        <f ca="1">IFERROR(__xludf.DUMMYFUNCTION("""COMPUTED_VALUE"""),428)</f>
        <v>428</v>
      </c>
      <c r="N150" s="9">
        <f ca="1">IFERROR(__xludf.DUMMYFUNCTION("""COMPUTED_VALUE"""),323)</f>
        <v>323</v>
      </c>
      <c r="O150" s="9">
        <f ca="1">IFERROR(__xludf.DUMMYFUNCTION("""COMPUTED_VALUE"""),1134)</f>
        <v>1134</v>
      </c>
      <c r="P150" s="29">
        <f ca="1">IFERROR(__xludf.DUMMYFUNCTION("""COMPUTED_VALUE"""),348)</f>
        <v>348</v>
      </c>
      <c r="Q150" s="29">
        <f ca="1">IFERROR(__xludf.DUMMYFUNCTION("""COMPUTED_VALUE"""),1402)</f>
        <v>1402</v>
      </c>
      <c r="R150" s="7" t="str">
        <f ca="1">IFERROR(__xludf.DUMMYFUNCTION("""COMPUTED_VALUE"""),"Bình Dương")</f>
        <v>Bình Dương</v>
      </c>
      <c r="S150" s="7" t="str">
        <f ca="1">IFERROR(__xludf.DUMMYFUNCTION("""COMPUTED_VALUE"""),"Thành phố Thủ Dầu Một")</f>
        <v>Thành phố Thủ Dầu Một</v>
      </c>
      <c r="T150" s="7" t="str">
        <f ca="1">IFERROR(__xludf.DUMMYFUNCTION("SPARKLINE({
IF(D150="""",0,D150),
IF(F150="""",0,F150),
IF(H150="""",0,H150),
IF(J150="""",0,J150),
IF(L150="""",0,L150),
IF(N150="""",0,N150),
IF(P150="""",0,P150)
})"),"")</f>
        <v/>
      </c>
      <c r="U150" s="7" t="str">
        <f ca="1">IFERROR(__xludf.DUMMYFUNCTION("SPARKLINE({
IF(E150="""",0,E150),
IF(G150="""",0,G150),
IF(I150="""",0,I150),
IF(K150="""",0,K150),
IF(M150="""",0,M150),
IF(O150="""",0,O150),
IF(Q150="""",0,Q150)
})"),"")</f>
        <v/>
      </c>
      <c r="V150" s="30" t="e">
        <f t="array" aca="1" ref="V150" ca="1">IF($C$4="Giao",_xludf.Xlookup(C150,#REF!,#REF!,),_xludf.Xlookup(C150,#REF!,#REF!,))</f>
        <v>#NAME?</v>
      </c>
      <c r="W150" s="30" t="e">
        <f t="array" aca="1" ref="W150" ca="1">IF($C$4="Giao", _xludf.Xlookup(C150,#REF!,#REF!,),_xludf.Xlookup(C150,#REF!,#REF!,))</f>
        <v>#NAME?</v>
      </c>
      <c r="X150" s="9" t="e">
        <f t="shared" ca="1" si="2"/>
        <v>#NAME?</v>
      </c>
      <c r="Y150" s="7"/>
      <c r="Z150" s="7"/>
    </row>
    <row r="151" spans="1:26" ht="13" x14ac:dyDescent="0.6">
      <c r="A151" s="28">
        <f t="shared" ca="1" si="1"/>
        <v>144</v>
      </c>
      <c r="B151" s="7" t="str">
        <f ca="1">IFERROR(__xludf.DUMMYFUNCTION("""COMPUTED_VALUE"""),"Thành phố Thủ Dầu Một")</f>
        <v>Thành phố Thủ Dầu Một</v>
      </c>
      <c r="C151" s="7" t="str">
        <f ca="1">IFERROR(__xludf.DUMMYFUNCTION("""COMPUTED_VALUE"""),"Bưu Cục 733 Đại Lộ Bình Dương-Thủ Dầu Một-Bình Dương")</f>
        <v>Bưu Cục 733 Đại Lộ Bình Dương-Thủ Dầu Một-Bình Dương</v>
      </c>
      <c r="D151" s="9">
        <f ca="1">IFERROR(__xludf.DUMMYFUNCTION("""COMPUTED_VALUE"""),978)</f>
        <v>978</v>
      </c>
      <c r="E151" s="9">
        <f ca="1">IFERROR(__xludf.DUMMYFUNCTION("""COMPUTED_VALUE"""),1808)</f>
        <v>1808</v>
      </c>
      <c r="F151" s="9">
        <f ca="1">IFERROR(__xludf.DUMMYFUNCTION("""COMPUTED_VALUE"""),1283)</f>
        <v>1283</v>
      </c>
      <c r="G151" s="9">
        <f ca="1">IFERROR(__xludf.DUMMYFUNCTION("""COMPUTED_VALUE"""),1874)</f>
        <v>1874</v>
      </c>
      <c r="H151" s="9">
        <f ca="1">IFERROR(__xludf.DUMMYFUNCTION("""COMPUTED_VALUE"""),1735)</f>
        <v>1735</v>
      </c>
      <c r="I151" s="9">
        <f ca="1">IFERROR(__xludf.DUMMYFUNCTION("""COMPUTED_VALUE"""),1671)</f>
        <v>1671</v>
      </c>
      <c r="J151" s="9">
        <f ca="1">IFERROR(__xludf.DUMMYFUNCTION("""COMPUTED_VALUE"""),1968)</f>
        <v>1968</v>
      </c>
      <c r="K151" s="9">
        <f ca="1">IFERROR(__xludf.DUMMYFUNCTION("""COMPUTED_VALUE"""),2404)</f>
        <v>2404</v>
      </c>
      <c r="L151" s="9">
        <f ca="1">IFERROR(__xludf.DUMMYFUNCTION("""COMPUTED_VALUE"""),2101)</f>
        <v>2101</v>
      </c>
      <c r="M151" s="9">
        <f ca="1">IFERROR(__xludf.DUMMYFUNCTION("""COMPUTED_VALUE"""),1065)</f>
        <v>1065</v>
      </c>
      <c r="N151" s="9">
        <f ca="1">IFERROR(__xludf.DUMMYFUNCTION("""COMPUTED_VALUE"""),1470)</f>
        <v>1470</v>
      </c>
      <c r="O151" s="9">
        <f ca="1">IFERROR(__xludf.DUMMYFUNCTION("""COMPUTED_VALUE"""),1454)</f>
        <v>1454</v>
      </c>
      <c r="P151" s="29">
        <f ca="1">IFERROR(__xludf.DUMMYFUNCTION("""COMPUTED_VALUE"""),5)</f>
        <v>5</v>
      </c>
      <c r="Q151" s="29">
        <f ca="1">IFERROR(__xludf.DUMMYFUNCTION("""COMPUTED_VALUE"""),3)</f>
        <v>3</v>
      </c>
      <c r="R151" s="7" t="str">
        <f ca="1">IFERROR(__xludf.DUMMYFUNCTION("""COMPUTED_VALUE"""),"Bình Dương")</f>
        <v>Bình Dương</v>
      </c>
      <c r="S151" s="7" t="str">
        <f ca="1">IFERROR(__xludf.DUMMYFUNCTION("""COMPUTED_VALUE"""),"Thành phố Thủ Dầu Một")</f>
        <v>Thành phố Thủ Dầu Một</v>
      </c>
      <c r="T151" s="7" t="str">
        <f ca="1">IFERROR(__xludf.DUMMYFUNCTION("SPARKLINE({
IF(D151="""",0,D151),
IF(F151="""",0,F151),
IF(H151="""",0,H151),
IF(J151="""",0,J151),
IF(L151="""",0,L151),
IF(N151="""",0,N151),
IF(P151="""",0,P151)
})"),"")</f>
        <v/>
      </c>
      <c r="U151" s="7" t="str">
        <f ca="1">IFERROR(__xludf.DUMMYFUNCTION("SPARKLINE({
IF(E151="""",0,E151),
IF(G151="""",0,G151),
IF(I151="""",0,I151),
IF(K151="""",0,K151),
IF(M151="""",0,M151),
IF(O151="""",0,O151),
IF(Q151="""",0,Q151)
})"),"")</f>
        <v/>
      </c>
      <c r="V151" s="30" t="e">
        <f t="array" aca="1" ref="V151" ca="1">IF($C$4="Giao",_xludf.Xlookup(C151,#REF!,#REF!,),_xludf.Xlookup(C151,#REF!,#REF!,))</f>
        <v>#NAME?</v>
      </c>
      <c r="W151" s="30" t="e">
        <f t="array" aca="1" ref="W151" ca="1">IF($C$4="Giao", _xludf.Xlookup(C151,#REF!,#REF!,),_xludf.Xlookup(C151,#REF!,#REF!,))</f>
        <v>#NAME?</v>
      </c>
      <c r="X151" s="9" t="e">
        <f t="shared" ca="1" si="2"/>
        <v>#NAME?</v>
      </c>
      <c r="Y151" s="7"/>
      <c r="Z151" s="7"/>
    </row>
    <row r="152" spans="1:26" ht="13" x14ac:dyDescent="0.6">
      <c r="A152" s="28">
        <f t="shared" ca="1" si="1"/>
        <v>145</v>
      </c>
      <c r="B152" s="7" t="str">
        <f ca="1">IFERROR(__xludf.DUMMYFUNCTION("""COMPUTED_VALUE"""),"Thành phố Thủ Dầu Một")</f>
        <v>Thành phố Thủ Dầu Một</v>
      </c>
      <c r="C152" s="7" t="str">
        <f ca="1">IFERROR(__xludf.DUMMYFUNCTION("""COMPUTED_VALUE"""),"Bưu Cục 870 Huỳnh Văn Lũy-Thủ Dầu Một-Bình Dương")</f>
        <v>Bưu Cục 870 Huỳnh Văn Lũy-Thủ Dầu Một-Bình Dương</v>
      </c>
      <c r="D152" s="9">
        <f ca="1">IFERROR(__xludf.DUMMYFUNCTION("""COMPUTED_VALUE"""),573)</f>
        <v>573</v>
      </c>
      <c r="E152" s="9">
        <f ca="1">IFERROR(__xludf.DUMMYFUNCTION("""COMPUTED_VALUE"""),3999)</f>
        <v>3999</v>
      </c>
      <c r="F152" s="9">
        <f ca="1">IFERROR(__xludf.DUMMYFUNCTION("""COMPUTED_VALUE"""),515)</f>
        <v>515</v>
      </c>
      <c r="G152" s="9">
        <f ca="1">IFERROR(__xludf.DUMMYFUNCTION("""COMPUTED_VALUE"""),4253)</f>
        <v>4253</v>
      </c>
      <c r="H152" s="9">
        <f ca="1">IFERROR(__xludf.DUMMYFUNCTION("""COMPUTED_VALUE"""),509)</f>
        <v>509</v>
      </c>
      <c r="I152" s="9">
        <f ca="1">IFERROR(__xludf.DUMMYFUNCTION("""COMPUTED_VALUE"""),4845)</f>
        <v>4845</v>
      </c>
      <c r="J152" s="9">
        <f ca="1">IFERROR(__xludf.DUMMYFUNCTION("""COMPUTED_VALUE"""),645)</f>
        <v>645</v>
      </c>
      <c r="K152" s="9">
        <f ca="1">IFERROR(__xludf.DUMMYFUNCTION("""COMPUTED_VALUE"""),6043)</f>
        <v>6043</v>
      </c>
      <c r="L152" s="9">
        <f ca="1">IFERROR(__xludf.DUMMYFUNCTION("""COMPUTED_VALUE"""),593)</f>
        <v>593</v>
      </c>
      <c r="M152" s="9">
        <f ca="1">IFERROR(__xludf.DUMMYFUNCTION("""COMPUTED_VALUE"""),3855)</f>
        <v>3855</v>
      </c>
      <c r="N152" s="9">
        <f ca="1">IFERROR(__xludf.DUMMYFUNCTION("""COMPUTED_VALUE"""),923)</f>
        <v>923</v>
      </c>
      <c r="O152" s="9">
        <f ca="1">IFERROR(__xludf.DUMMYFUNCTION("""COMPUTED_VALUE"""),3713)</f>
        <v>3713</v>
      </c>
      <c r="P152" s="29">
        <f ca="1">IFERROR(__xludf.DUMMYFUNCTION("""COMPUTED_VALUE"""),639)</f>
        <v>639</v>
      </c>
      <c r="Q152" s="29">
        <f ca="1">IFERROR(__xludf.DUMMYFUNCTION("""COMPUTED_VALUE"""),4431)</f>
        <v>4431</v>
      </c>
      <c r="R152" s="7" t="str">
        <f ca="1">IFERROR(__xludf.DUMMYFUNCTION("""COMPUTED_VALUE"""),"Bình Dương")</f>
        <v>Bình Dương</v>
      </c>
      <c r="S152" s="7" t="str">
        <f ca="1">IFERROR(__xludf.DUMMYFUNCTION("""COMPUTED_VALUE"""),"Thành phố Thủ Dầu Một")</f>
        <v>Thành phố Thủ Dầu Một</v>
      </c>
      <c r="T152" s="7" t="str">
        <f ca="1">IFERROR(__xludf.DUMMYFUNCTION("SPARKLINE({
IF(D152="""",0,D152),
IF(F152="""",0,F152),
IF(H152="""",0,H152),
IF(J152="""",0,J152),
IF(L152="""",0,L152),
IF(N152="""",0,N152),
IF(P152="""",0,P152)
})"),"")</f>
        <v/>
      </c>
      <c r="U152" s="7" t="str">
        <f ca="1">IFERROR(__xludf.DUMMYFUNCTION("SPARKLINE({
IF(E152="""",0,E152),
IF(G152="""",0,G152),
IF(I152="""",0,I152),
IF(K152="""",0,K152),
IF(M152="""",0,M152),
IF(O152="""",0,O152),
IF(Q152="""",0,Q152)
})"),"")</f>
        <v/>
      </c>
      <c r="V152" s="30" t="e">
        <f t="array" aca="1" ref="V152" ca="1">IF($C$4="Giao",_xludf.Xlookup(C152,#REF!,#REF!,),_xludf.Xlookup(C152,#REF!,#REF!,))</f>
        <v>#NAME?</v>
      </c>
      <c r="W152" s="30" t="e">
        <f t="array" aca="1" ref="W152" ca="1">IF($C$4="Giao", _xludf.Xlookup(C152,#REF!,#REF!,),_xludf.Xlookup(C152,#REF!,#REF!,))</f>
        <v>#NAME?</v>
      </c>
      <c r="X152" s="9" t="e">
        <f t="shared" ca="1" si="2"/>
        <v>#NAME?</v>
      </c>
      <c r="Y152" s="7"/>
      <c r="Z152" s="7"/>
    </row>
    <row r="153" spans="1:26" ht="13" x14ac:dyDescent="0.6">
      <c r="A153" s="28">
        <f t="shared" ca="1" si="1"/>
        <v>146</v>
      </c>
      <c r="B153" s="7" t="str">
        <f ca="1">IFERROR(__xludf.DUMMYFUNCTION("""COMPUTED_VALUE"""),"Thành phố Thủ Dầu Một")</f>
        <v>Thành phố Thủ Dầu Một</v>
      </c>
      <c r="C153" s="7" t="str">
        <f ca="1">IFERROR(__xludf.DUMMYFUNCTION("""COMPUTED_VALUE"""),"Bưu Cục Đường NH17-Hòa Phú-Thủ Dầu Một-Bình Dương")</f>
        <v>Bưu Cục Đường NH17-Hòa Phú-Thủ Dầu Một-Bình Dương</v>
      </c>
      <c r="D153" s="9">
        <f ca="1">IFERROR(__xludf.DUMMYFUNCTION("""COMPUTED_VALUE"""),2403)</f>
        <v>2403</v>
      </c>
      <c r="E153" s="9">
        <f ca="1">IFERROR(__xludf.DUMMYFUNCTION("""COMPUTED_VALUE"""),3407)</f>
        <v>3407</v>
      </c>
      <c r="F153" s="9">
        <f ca="1">IFERROR(__xludf.DUMMYFUNCTION("""COMPUTED_VALUE"""),2210)</f>
        <v>2210</v>
      </c>
      <c r="G153" s="9">
        <f ca="1">IFERROR(__xludf.DUMMYFUNCTION("""COMPUTED_VALUE"""),2889)</f>
        <v>2889</v>
      </c>
      <c r="H153" s="9">
        <f ca="1">IFERROR(__xludf.DUMMYFUNCTION("""COMPUTED_VALUE"""),2241)</f>
        <v>2241</v>
      </c>
      <c r="I153" s="9">
        <f ca="1">IFERROR(__xludf.DUMMYFUNCTION("""COMPUTED_VALUE"""),3478)</f>
        <v>3478</v>
      </c>
      <c r="J153" s="9">
        <f ca="1">IFERROR(__xludf.DUMMYFUNCTION("""COMPUTED_VALUE"""),2464)</f>
        <v>2464</v>
      </c>
      <c r="K153" s="9">
        <f ca="1">IFERROR(__xludf.DUMMYFUNCTION("""COMPUTED_VALUE"""),4243)</f>
        <v>4243</v>
      </c>
      <c r="L153" s="9">
        <f ca="1">IFERROR(__xludf.DUMMYFUNCTION("""COMPUTED_VALUE"""),1621)</f>
        <v>1621</v>
      </c>
      <c r="M153" s="9">
        <f ca="1">IFERROR(__xludf.DUMMYFUNCTION("""COMPUTED_VALUE"""),2333)</f>
        <v>2333</v>
      </c>
      <c r="N153" s="9">
        <f ca="1">IFERROR(__xludf.DUMMYFUNCTION("""COMPUTED_VALUE"""),1804)</f>
        <v>1804</v>
      </c>
      <c r="O153" s="9">
        <f ca="1">IFERROR(__xludf.DUMMYFUNCTION("""COMPUTED_VALUE"""),1672)</f>
        <v>1672</v>
      </c>
      <c r="P153" s="29">
        <f ca="1">IFERROR(__xludf.DUMMYFUNCTION("""COMPUTED_VALUE"""),3511)</f>
        <v>3511</v>
      </c>
      <c r="Q153" s="29">
        <f ca="1">IFERROR(__xludf.DUMMYFUNCTION("""COMPUTED_VALUE"""),3611)</f>
        <v>3611</v>
      </c>
      <c r="R153" s="7" t="str">
        <f ca="1">IFERROR(__xludf.DUMMYFUNCTION("""COMPUTED_VALUE"""),"Bình Dương")</f>
        <v>Bình Dương</v>
      </c>
      <c r="S153" s="7" t="str">
        <f ca="1">IFERROR(__xludf.DUMMYFUNCTION("""COMPUTED_VALUE"""),"Thành phố Thủ Dầu Một")</f>
        <v>Thành phố Thủ Dầu Một</v>
      </c>
      <c r="T153" s="7" t="str">
        <f ca="1">IFERROR(__xludf.DUMMYFUNCTION("SPARKLINE({
IF(D153="""",0,D153),
IF(F153="""",0,F153),
IF(H153="""",0,H153),
IF(J153="""",0,J153),
IF(L153="""",0,L153),
IF(N153="""",0,N153),
IF(P153="""",0,P153)
})"),"")</f>
        <v/>
      </c>
      <c r="U153" s="7" t="str">
        <f ca="1">IFERROR(__xludf.DUMMYFUNCTION("SPARKLINE({
IF(E153="""",0,E153),
IF(G153="""",0,G153),
IF(I153="""",0,I153),
IF(K153="""",0,K153),
IF(M153="""",0,M153),
IF(O153="""",0,O153),
IF(Q153="""",0,Q153)
})"),"")</f>
        <v/>
      </c>
      <c r="V153" s="30" t="e">
        <f t="array" aca="1" ref="V153" ca="1">IF($C$4="Giao",_xludf.Xlookup(C153,#REF!,#REF!,),_xludf.Xlookup(C153,#REF!,#REF!,))</f>
        <v>#NAME?</v>
      </c>
      <c r="W153" s="30" t="e">
        <f t="array" aca="1" ref="W153" ca="1">IF($C$4="Giao", _xludf.Xlookup(C153,#REF!,#REF!,),_xludf.Xlookup(C153,#REF!,#REF!,))</f>
        <v>#NAME?</v>
      </c>
      <c r="X153" s="9" t="e">
        <f t="shared" ca="1" si="2"/>
        <v>#NAME?</v>
      </c>
      <c r="Y153" s="7"/>
      <c r="Z153" s="7"/>
    </row>
    <row r="154" spans="1:26" ht="13" x14ac:dyDescent="0.6">
      <c r="A154" s="28">
        <f t="shared" ca="1" si="1"/>
        <v>147</v>
      </c>
      <c r="B154" s="7" t="str">
        <f ca="1">IFERROR(__xludf.DUMMYFUNCTION("""COMPUTED_VALUE"""),"Thành phố Thủ Dầu Một")</f>
        <v>Thành phố Thủ Dầu Một</v>
      </c>
      <c r="C154" s="7" t="str">
        <f ca="1">IFERROR(__xludf.DUMMYFUNCTION("""COMPUTED_VALUE"""),"Bưu Cục Phú Lợi-TP.Thủ Dầu Một-Bình Dương")</f>
        <v>Bưu Cục Phú Lợi-TP.Thủ Dầu Một-Bình Dương</v>
      </c>
      <c r="D154" s="9">
        <f ca="1">IFERROR(__xludf.DUMMYFUNCTION("""COMPUTED_VALUE"""),742)</f>
        <v>742</v>
      </c>
      <c r="E154" s="9">
        <f ca="1">IFERROR(__xludf.DUMMYFUNCTION("""COMPUTED_VALUE"""),1804)</f>
        <v>1804</v>
      </c>
      <c r="F154" s="9">
        <f ca="1">IFERROR(__xludf.DUMMYFUNCTION("""COMPUTED_VALUE"""),667)</f>
        <v>667</v>
      </c>
      <c r="G154" s="9">
        <f ca="1">IFERROR(__xludf.DUMMYFUNCTION("""COMPUTED_VALUE"""),1312)</f>
        <v>1312</v>
      </c>
      <c r="H154" s="9">
        <f ca="1">IFERROR(__xludf.DUMMYFUNCTION("""COMPUTED_VALUE"""),757)</f>
        <v>757</v>
      </c>
      <c r="I154" s="9">
        <f ca="1">IFERROR(__xludf.DUMMYFUNCTION("""COMPUTED_VALUE"""),1280)</f>
        <v>1280</v>
      </c>
      <c r="J154" s="9">
        <f ca="1">IFERROR(__xludf.DUMMYFUNCTION("""COMPUTED_VALUE"""),682)</f>
        <v>682</v>
      </c>
      <c r="K154" s="9">
        <f ca="1">IFERROR(__xludf.DUMMYFUNCTION("""COMPUTED_VALUE"""),1534)</f>
        <v>1534</v>
      </c>
      <c r="L154" s="9">
        <f ca="1">IFERROR(__xludf.DUMMYFUNCTION("""COMPUTED_VALUE"""),656)</f>
        <v>656</v>
      </c>
      <c r="M154" s="9">
        <f ca="1">IFERROR(__xludf.DUMMYFUNCTION("""COMPUTED_VALUE"""),1534)</f>
        <v>1534</v>
      </c>
      <c r="N154" s="9">
        <f ca="1">IFERROR(__xludf.DUMMYFUNCTION("""COMPUTED_VALUE"""),831)</f>
        <v>831</v>
      </c>
      <c r="O154" s="9">
        <f ca="1">IFERROR(__xludf.DUMMYFUNCTION("""COMPUTED_VALUE"""),1760)</f>
        <v>1760</v>
      </c>
      <c r="P154" s="29">
        <f ca="1">IFERROR(__xludf.DUMMYFUNCTION("""COMPUTED_VALUE"""),649)</f>
        <v>649</v>
      </c>
      <c r="Q154" s="29">
        <f ca="1">IFERROR(__xludf.DUMMYFUNCTION("""COMPUTED_VALUE"""),1504)</f>
        <v>1504</v>
      </c>
      <c r="R154" s="7" t="str">
        <f ca="1">IFERROR(__xludf.DUMMYFUNCTION("""COMPUTED_VALUE"""),"Bình Dương")</f>
        <v>Bình Dương</v>
      </c>
      <c r="S154" s="7" t="str">
        <f ca="1">IFERROR(__xludf.DUMMYFUNCTION("""COMPUTED_VALUE"""),"Thành phố Thủ Dầu Một")</f>
        <v>Thành phố Thủ Dầu Một</v>
      </c>
      <c r="T154" s="7" t="str">
        <f ca="1">IFERROR(__xludf.DUMMYFUNCTION("SPARKLINE({
IF(D154="""",0,D154),
IF(F154="""",0,F154),
IF(H154="""",0,H154),
IF(J154="""",0,J154),
IF(L154="""",0,L154),
IF(N154="""",0,N154),
IF(P154="""",0,P154)
})"),"")</f>
        <v/>
      </c>
      <c r="U154" s="7" t="str">
        <f ca="1">IFERROR(__xludf.DUMMYFUNCTION("SPARKLINE({
IF(E154="""",0,E154),
IF(G154="""",0,G154),
IF(I154="""",0,I154),
IF(K154="""",0,K154),
IF(M154="""",0,M154),
IF(O154="""",0,O154),
IF(Q154="""",0,Q154)
})"),"")</f>
        <v/>
      </c>
      <c r="V154" s="30" t="e">
        <f t="array" aca="1" ref="V154" ca="1">IF($C$4="Giao",_xludf.Xlookup(C154,#REF!,#REF!,),_xludf.Xlookup(C154,#REF!,#REF!,))</f>
        <v>#NAME?</v>
      </c>
      <c r="W154" s="30" t="e">
        <f t="array" aca="1" ref="W154" ca="1">IF($C$4="Giao", _xludf.Xlookup(C154,#REF!,#REF!,),_xludf.Xlookup(C154,#REF!,#REF!,))</f>
        <v>#NAME?</v>
      </c>
      <c r="X154" s="9" t="e">
        <f t="shared" ca="1" si="2"/>
        <v>#NAME?</v>
      </c>
      <c r="Y154" s="7"/>
      <c r="Z154" s="7"/>
    </row>
    <row r="155" spans="1:26" ht="13" x14ac:dyDescent="0.6">
      <c r="A155" s="28">
        <f t="shared" ca="1" si="1"/>
        <v>148</v>
      </c>
      <c r="B155" s="7" t="str">
        <f ca="1">IFERROR(__xludf.DUMMYFUNCTION("""COMPUTED_VALUE"""),"Thành phố Thủ Dầu Một")</f>
        <v>Thành phố Thủ Dầu Một</v>
      </c>
      <c r="C155" s="7" t="str">
        <f ca="1">IFERROR(__xludf.DUMMYFUNCTION("""COMPUTED_VALUE"""),"Bưu Cục Số 8 Lê Chí Dân-Thủ Dầu Một-Bình Dương")</f>
        <v>Bưu Cục Số 8 Lê Chí Dân-Thủ Dầu Một-Bình Dương</v>
      </c>
      <c r="D155" s="9">
        <f ca="1">IFERROR(__xludf.DUMMYFUNCTION("""COMPUTED_VALUE"""),673)</f>
        <v>673</v>
      </c>
      <c r="E155" s="9">
        <f ca="1">IFERROR(__xludf.DUMMYFUNCTION("""COMPUTED_VALUE"""),2568)</f>
        <v>2568</v>
      </c>
      <c r="F155" s="9">
        <f ca="1">IFERROR(__xludf.DUMMYFUNCTION("""COMPUTED_VALUE"""),524)</f>
        <v>524</v>
      </c>
      <c r="G155" s="9">
        <f ca="1">IFERROR(__xludf.DUMMYFUNCTION("""COMPUTED_VALUE"""),1962)</f>
        <v>1962</v>
      </c>
      <c r="H155" s="9">
        <f ca="1">IFERROR(__xludf.DUMMYFUNCTION("""COMPUTED_VALUE"""),476)</f>
        <v>476</v>
      </c>
      <c r="I155" s="9">
        <f ca="1">IFERROR(__xludf.DUMMYFUNCTION("""COMPUTED_VALUE"""),1630)</f>
        <v>1630</v>
      </c>
      <c r="J155" s="9">
        <f ca="1">IFERROR(__xludf.DUMMYFUNCTION("""COMPUTED_VALUE"""),639)</f>
        <v>639</v>
      </c>
      <c r="K155" s="9">
        <f ca="1">IFERROR(__xludf.DUMMYFUNCTION("""COMPUTED_VALUE"""),2717)</f>
        <v>2717</v>
      </c>
      <c r="L155" s="9">
        <f ca="1">IFERROR(__xludf.DUMMYFUNCTION("""COMPUTED_VALUE"""),301)</f>
        <v>301</v>
      </c>
      <c r="M155" s="9">
        <f ca="1">IFERROR(__xludf.DUMMYFUNCTION("""COMPUTED_VALUE"""),1353)</f>
        <v>1353</v>
      </c>
      <c r="N155" s="9">
        <f ca="1">IFERROR(__xludf.DUMMYFUNCTION("""COMPUTED_VALUE"""),792)</f>
        <v>792</v>
      </c>
      <c r="O155" s="9">
        <f ca="1">IFERROR(__xludf.DUMMYFUNCTION("""COMPUTED_VALUE"""),2060)</f>
        <v>2060</v>
      </c>
      <c r="P155" s="29">
        <f ca="1">IFERROR(__xludf.DUMMYFUNCTION("""COMPUTED_VALUE"""),701)</f>
        <v>701</v>
      </c>
      <c r="Q155" s="29">
        <f ca="1">IFERROR(__xludf.DUMMYFUNCTION("""COMPUTED_VALUE"""),1783)</f>
        <v>1783</v>
      </c>
      <c r="R155" s="7" t="str">
        <f ca="1">IFERROR(__xludf.DUMMYFUNCTION("""COMPUTED_VALUE"""),"Bình Dương")</f>
        <v>Bình Dương</v>
      </c>
      <c r="S155" s="7" t="str">
        <f ca="1">IFERROR(__xludf.DUMMYFUNCTION("""COMPUTED_VALUE"""),"Thành phố Thủ Dầu Một")</f>
        <v>Thành phố Thủ Dầu Một</v>
      </c>
      <c r="T155" s="7" t="str">
        <f ca="1">IFERROR(__xludf.DUMMYFUNCTION("SPARKLINE({
IF(D155="""",0,D155),
IF(F155="""",0,F155),
IF(H155="""",0,H155),
IF(J155="""",0,J155),
IF(L155="""",0,L155),
IF(N155="""",0,N155),
IF(P155="""",0,P155)
})"),"")</f>
        <v/>
      </c>
      <c r="U155" s="7" t="str">
        <f ca="1">IFERROR(__xludf.DUMMYFUNCTION("SPARKLINE({
IF(E155="""",0,E155),
IF(G155="""",0,G155),
IF(I155="""",0,I155),
IF(K155="""",0,K155),
IF(M155="""",0,M155),
IF(O155="""",0,O155),
IF(Q155="""",0,Q155)
})"),"")</f>
        <v/>
      </c>
      <c r="V155" s="30" t="e">
        <f t="array" aca="1" ref="V155" ca="1">IF($C$4="Giao",_xludf.Xlookup(C155,#REF!,#REF!,),_xludf.Xlookup(C155,#REF!,#REF!,))</f>
        <v>#NAME?</v>
      </c>
      <c r="W155" s="30" t="e">
        <f t="array" aca="1" ref="W155" ca="1">IF($C$4="Giao", _xludf.Xlookup(C155,#REF!,#REF!,),_xludf.Xlookup(C155,#REF!,#REF!,))</f>
        <v>#NAME?</v>
      </c>
      <c r="X155" s="9" t="e">
        <f t="shared" ca="1" si="2"/>
        <v>#NAME?</v>
      </c>
      <c r="Y155" s="7"/>
      <c r="Z155" s="7"/>
    </row>
    <row r="156" spans="1:26" ht="13" x14ac:dyDescent="0.6">
      <c r="A156" s="28">
        <f t="shared" ca="1" si="1"/>
        <v>149</v>
      </c>
      <c r="B156" s="7" t="str">
        <f ca="1">IFERROR(__xludf.DUMMYFUNCTION("""COMPUTED_VALUE"""),"Thành phố Thủ Đức")</f>
        <v>Thành phố Thủ Đức</v>
      </c>
      <c r="C156" s="7" t="str">
        <f ca="1">IFERROR(__xludf.DUMMYFUNCTION("""COMPUTED_VALUE"""),"Bưu Cục Hàng Vừa Q.Thủ Đức Kho 01 13 Đường Số 8-HCM")</f>
        <v>Bưu Cục Hàng Vừa Q.Thủ Đức Kho 01 13 Đường Số 8-HCM</v>
      </c>
      <c r="D156" s="9">
        <f ca="1">IFERROR(__xludf.DUMMYFUNCTION("""COMPUTED_VALUE"""),9)</f>
        <v>9</v>
      </c>
      <c r="E156" s="9">
        <f ca="1">IFERROR(__xludf.DUMMYFUNCTION("""COMPUTED_VALUE"""),30)</f>
        <v>30</v>
      </c>
      <c r="F156" s="9"/>
      <c r="G156" s="9"/>
      <c r="H156" s="9"/>
      <c r="I156" s="9"/>
      <c r="J156" s="9">
        <f ca="1">IFERROR(__xludf.DUMMYFUNCTION("""COMPUTED_VALUE"""),1)</f>
        <v>1</v>
      </c>
      <c r="K156" s="9">
        <f ca="1">IFERROR(__xludf.DUMMYFUNCTION("""COMPUTED_VALUE"""),4)</f>
        <v>4</v>
      </c>
      <c r="L156" s="9">
        <f ca="1">IFERROR(__xludf.DUMMYFUNCTION("""COMPUTED_VALUE"""),1)</f>
        <v>1</v>
      </c>
      <c r="M156" s="9">
        <f ca="1">IFERROR(__xludf.DUMMYFUNCTION("""COMPUTED_VALUE"""),10)</f>
        <v>10</v>
      </c>
      <c r="N156" s="9"/>
      <c r="O156" s="9"/>
      <c r="P156" s="29">
        <f ca="1">IFERROR(__xludf.DUMMYFUNCTION("""COMPUTED_VALUE"""),1)</f>
        <v>1</v>
      </c>
      <c r="Q156" s="29">
        <f ca="1">IFERROR(__xludf.DUMMYFUNCTION("""COMPUTED_VALUE"""),2)</f>
        <v>2</v>
      </c>
      <c r="R156" s="7" t="str">
        <f ca="1">IFERROR(__xludf.DUMMYFUNCTION("""COMPUTED_VALUE"""),"Hồ Chí Minh")</f>
        <v>Hồ Chí Minh</v>
      </c>
      <c r="S156" s="7" t="str">
        <f ca="1">IFERROR(__xludf.DUMMYFUNCTION("""COMPUTED_VALUE"""),"Thành phố Thủ Đức")</f>
        <v>Thành phố Thủ Đức</v>
      </c>
      <c r="T156" s="7" t="str">
        <f ca="1">IFERROR(__xludf.DUMMYFUNCTION("SPARKLINE({
IF(D156="""",0,D156),
IF(F156="""",0,F156),
IF(H156="""",0,H156),
IF(J156="""",0,J156),
IF(L156="""",0,L156),
IF(N156="""",0,N156),
IF(P156="""",0,P156)
})"),"")</f>
        <v/>
      </c>
      <c r="U156" s="7" t="str">
        <f ca="1">IFERROR(__xludf.DUMMYFUNCTION("SPARKLINE({
IF(E156="""",0,E156),
IF(G156="""",0,G156),
IF(I156="""",0,I156),
IF(K156="""",0,K156),
IF(M156="""",0,M156),
IF(O156="""",0,O156),
IF(Q156="""",0,Q156)
})"),"")</f>
        <v/>
      </c>
      <c r="V156" s="30" t="e">
        <f t="array" aca="1" ref="V156" ca="1">IF($C$4="Giao",_xludf.Xlookup(C156,#REF!,#REF!,),_xludf.Xlookup(C156,#REF!,#REF!,))</f>
        <v>#NAME?</v>
      </c>
      <c r="W156" s="8" t="e">
        <f t="array" aca="1" ref="W156" ca="1">IF($C$4="Giao", _xludf.Xlookup(C156,#REF!,#REF!,),_xludf.Xlookup(C156,#REF!,#REF!,))</f>
        <v>#NAME?</v>
      </c>
      <c r="X156" s="9" t="e">
        <f t="shared" ca="1" si="2"/>
        <v>#NAME?</v>
      </c>
      <c r="Y156" s="7"/>
      <c r="Z156" s="7"/>
    </row>
    <row r="157" spans="1:26" ht="13" x14ac:dyDescent="0.6">
      <c r="A157" s="28">
        <f t="shared" ca="1" si="1"/>
        <v>150</v>
      </c>
      <c r="B157" s="7" t="str">
        <f ca="1">IFERROR(__xludf.DUMMYFUNCTION("""COMPUTED_VALUE"""),"Thành phố Thuận An")</f>
        <v>Thành phố Thuận An</v>
      </c>
      <c r="C157" s="7" t="str">
        <f ca="1">IFERROR(__xludf.DUMMYFUNCTION("""COMPUTED_VALUE"""),"Bưu Cục 503/16 Lê Thị Trung-Bình Chuẩn-TP.Thuận An-Bình Dương")</f>
        <v>Bưu Cục 503/16 Lê Thị Trung-Bình Chuẩn-TP.Thuận An-Bình Dương</v>
      </c>
      <c r="D157" s="9">
        <f ca="1">IFERROR(__xludf.DUMMYFUNCTION("""COMPUTED_VALUE"""),842)</f>
        <v>842</v>
      </c>
      <c r="E157" s="9">
        <f ca="1">IFERROR(__xludf.DUMMYFUNCTION("""COMPUTED_VALUE"""),2075)</f>
        <v>2075</v>
      </c>
      <c r="F157" s="9">
        <f ca="1">IFERROR(__xludf.DUMMYFUNCTION("""COMPUTED_VALUE"""),741)</f>
        <v>741</v>
      </c>
      <c r="G157" s="9">
        <f ca="1">IFERROR(__xludf.DUMMYFUNCTION("""COMPUTED_VALUE"""),1971)</f>
        <v>1971</v>
      </c>
      <c r="H157" s="9">
        <f ca="1">IFERROR(__xludf.DUMMYFUNCTION("""COMPUTED_VALUE"""),725)</f>
        <v>725</v>
      </c>
      <c r="I157" s="9">
        <f ca="1">IFERROR(__xludf.DUMMYFUNCTION("""COMPUTED_VALUE"""),2182)</f>
        <v>2182</v>
      </c>
      <c r="J157" s="9">
        <f ca="1">IFERROR(__xludf.DUMMYFUNCTION("""COMPUTED_VALUE"""),761)</f>
        <v>761</v>
      </c>
      <c r="K157" s="9">
        <f ca="1">IFERROR(__xludf.DUMMYFUNCTION("""COMPUTED_VALUE"""),2435)</f>
        <v>2435</v>
      </c>
      <c r="L157" s="9">
        <f ca="1">IFERROR(__xludf.DUMMYFUNCTION("""COMPUTED_VALUE"""),371)</f>
        <v>371</v>
      </c>
      <c r="M157" s="9">
        <f ca="1">IFERROR(__xludf.DUMMYFUNCTION("""COMPUTED_VALUE"""),641)</f>
        <v>641</v>
      </c>
      <c r="N157" s="9">
        <f ca="1">IFERROR(__xludf.DUMMYFUNCTION("""COMPUTED_VALUE"""),960)</f>
        <v>960</v>
      </c>
      <c r="O157" s="9">
        <f ca="1">IFERROR(__xludf.DUMMYFUNCTION("""COMPUTED_VALUE"""),2878)</f>
        <v>2878</v>
      </c>
      <c r="P157" s="29">
        <f ca="1">IFERROR(__xludf.DUMMYFUNCTION("""COMPUTED_VALUE"""),681)</f>
        <v>681</v>
      </c>
      <c r="Q157" s="29">
        <f ca="1">IFERROR(__xludf.DUMMYFUNCTION("""COMPUTED_VALUE"""),1770)</f>
        <v>1770</v>
      </c>
      <c r="R157" s="7" t="str">
        <f ca="1">IFERROR(__xludf.DUMMYFUNCTION("""COMPUTED_VALUE"""),"Bình Dương")</f>
        <v>Bình Dương</v>
      </c>
      <c r="S157" s="7" t="str">
        <f ca="1">IFERROR(__xludf.DUMMYFUNCTION("""COMPUTED_VALUE"""),"Thành phố Thuận An")</f>
        <v>Thành phố Thuận An</v>
      </c>
      <c r="T157" s="7" t="str">
        <f ca="1">IFERROR(__xludf.DUMMYFUNCTION("SPARKLINE({
IF(D157="""",0,D157),
IF(F157="""",0,F157),
IF(H157="""",0,H157),
IF(J157="""",0,J157),
IF(L157="""",0,L157),
IF(N157="""",0,N157),
IF(P157="""",0,P157)
})"),"")</f>
        <v/>
      </c>
      <c r="U157" s="7" t="str">
        <f ca="1">IFERROR(__xludf.DUMMYFUNCTION("SPARKLINE({
IF(E157="""",0,E157),
IF(G157="""",0,G157),
IF(I157="""",0,I157),
IF(K157="""",0,K157),
IF(M157="""",0,M157),
IF(O157="""",0,O157),
IF(Q157="""",0,Q157)
})"),"")</f>
        <v/>
      </c>
      <c r="V157" s="30" t="e">
        <f t="array" aca="1" ref="V157" ca="1">IF($C$4="Giao",_xludf.Xlookup(C157,#REF!,#REF!,),_xludf.Xlookup(C157,#REF!,#REF!,))</f>
        <v>#NAME?</v>
      </c>
      <c r="W157" s="30" t="e">
        <f t="array" aca="1" ref="W157" ca="1">IF($C$4="Giao", _xludf.Xlookup(C157,#REF!,#REF!,),_xludf.Xlookup(C157,#REF!,#REF!,))</f>
        <v>#NAME?</v>
      </c>
      <c r="X157" s="9" t="e">
        <f t="shared" ca="1" si="2"/>
        <v>#NAME?</v>
      </c>
      <c r="Y157" s="7"/>
      <c r="Z157" s="7"/>
    </row>
    <row r="158" spans="1:26" ht="13" x14ac:dyDescent="0.6">
      <c r="A158" s="28">
        <f t="shared" ca="1" si="1"/>
        <v>151</v>
      </c>
      <c r="B158" s="7" t="str">
        <f ca="1">IFERROR(__xludf.DUMMYFUNCTION("""COMPUTED_VALUE"""),"Thành phố Thuận An")</f>
        <v>Thành phố Thuận An</v>
      </c>
      <c r="C158" s="7" t="str">
        <f ca="1">IFERROR(__xludf.DUMMYFUNCTION("""COMPUTED_VALUE"""),"Bưu Cục 575 Đường 22/12-Thuận An-Bình Dương")</f>
        <v>Bưu Cục 575 Đường 22/12-Thuận An-Bình Dương</v>
      </c>
      <c r="D158" s="9">
        <f ca="1">IFERROR(__xludf.DUMMYFUNCTION("""COMPUTED_VALUE"""),495)</f>
        <v>495</v>
      </c>
      <c r="E158" s="9">
        <f ca="1">IFERROR(__xludf.DUMMYFUNCTION("""COMPUTED_VALUE"""),2934)</f>
        <v>2934</v>
      </c>
      <c r="F158" s="9">
        <f ca="1">IFERROR(__xludf.DUMMYFUNCTION("""COMPUTED_VALUE"""),394)</f>
        <v>394</v>
      </c>
      <c r="G158" s="9">
        <f ca="1">IFERROR(__xludf.DUMMYFUNCTION("""COMPUTED_VALUE"""),2447)</f>
        <v>2447</v>
      </c>
      <c r="H158" s="9">
        <f ca="1">IFERROR(__xludf.DUMMYFUNCTION("""COMPUTED_VALUE"""),448)</f>
        <v>448</v>
      </c>
      <c r="I158" s="9">
        <f ca="1">IFERROR(__xludf.DUMMYFUNCTION("""COMPUTED_VALUE"""),2022)</f>
        <v>2022</v>
      </c>
      <c r="J158" s="9">
        <f ca="1">IFERROR(__xludf.DUMMYFUNCTION("""COMPUTED_VALUE"""),515)</f>
        <v>515</v>
      </c>
      <c r="K158" s="9">
        <f ca="1">IFERROR(__xludf.DUMMYFUNCTION("""COMPUTED_VALUE"""),4278)</f>
        <v>4278</v>
      </c>
      <c r="L158" s="9">
        <f ca="1">IFERROR(__xludf.DUMMYFUNCTION("""COMPUTED_VALUE"""),263)</f>
        <v>263</v>
      </c>
      <c r="M158" s="9">
        <f ca="1">IFERROR(__xludf.DUMMYFUNCTION("""COMPUTED_VALUE"""),2152)</f>
        <v>2152</v>
      </c>
      <c r="N158" s="9">
        <f ca="1">IFERROR(__xludf.DUMMYFUNCTION("""COMPUTED_VALUE"""),500)</f>
        <v>500</v>
      </c>
      <c r="O158" s="9">
        <f ca="1">IFERROR(__xludf.DUMMYFUNCTION("""COMPUTED_VALUE"""),2742)</f>
        <v>2742</v>
      </c>
      <c r="P158" s="29">
        <f ca="1">IFERROR(__xludf.DUMMYFUNCTION("""COMPUTED_VALUE"""),340)</f>
        <v>340</v>
      </c>
      <c r="Q158" s="29">
        <f ca="1">IFERROR(__xludf.DUMMYFUNCTION("""COMPUTED_VALUE"""),1631)</f>
        <v>1631</v>
      </c>
      <c r="R158" s="7" t="str">
        <f ca="1">IFERROR(__xludf.DUMMYFUNCTION("""COMPUTED_VALUE"""),"Bình Dương")</f>
        <v>Bình Dương</v>
      </c>
      <c r="S158" s="7" t="str">
        <f ca="1">IFERROR(__xludf.DUMMYFUNCTION("""COMPUTED_VALUE"""),"Thành phố Thuận An")</f>
        <v>Thành phố Thuận An</v>
      </c>
      <c r="T158" s="7" t="str">
        <f ca="1">IFERROR(__xludf.DUMMYFUNCTION("SPARKLINE({
IF(D158="""",0,D158),
IF(F158="""",0,F158),
IF(H158="""",0,H158),
IF(J158="""",0,J158),
IF(L158="""",0,L158),
IF(N158="""",0,N158),
IF(P158="""",0,P158)
})"),"")</f>
        <v/>
      </c>
      <c r="U158" s="7" t="str">
        <f ca="1">IFERROR(__xludf.DUMMYFUNCTION("SPARKLINE({
IF(E158="""",0,E158),
IF(G158="""",0,G158),
IF(I158="""",0,I158),
IF(K158="""",0,K158),
IF(M158="""",0,M158),
IF(O158="""",0,O158),
IF(Q158="""",0,Q158)
})"),"")</f>
        <v/>
      </c>
      <c r="V158" s="30" t="e">
        <f t="array" aca="1" ref="V158" ca="1">IF($C$4="Giao",_xludf.Xlookup(C158,#REF!,#REF!,),_xludf.Xlookup(C158,#REF!,#REF!,))</f>
        <v>#NAME?</v>
      </c>
      <c r="W158" s="30" t="e">
        <f t="array" aca="1" ref="W158" ca="1">IF($C$4="Giao", _xludf.Xlookup(C158,#REF!,#REF!,),_xludf.Xlookup(C158,#REF!,#REF!,))</f>
        <v>#NAME?</v>
      </c>
      <c r="X158" s="9" t="e">
        <f t="shared" ca="1" si="2"/>
        <v>#NAME?</v>
      </c>
      <c r="Y158" s="7"/>
      <c r="Z158" s="7"/>
    </row>
    <row r="159" spans="1:26" ht="13" x14ac:dyDescent="0.6">
      <c r="A159" s="28">
        <f t="shared" ca="1" si="1"/>
        <v>152</v>
      </c>
      <c r="B159" s="7" t="str">
        <f ca="1">IFERROR(__xludf.DUMMYFUNCTION("""COMPUTED_VALUE"""),"Thành phố Thuận An")</f>
        <v>Thành phố Thuận An</v>
      </c>
      <c r="C159" s="7" t="str">
        <f ca="1">IFERROR(__xludf.DUMMYFUNCTION("""COMPUTED_VALUE"""),"Bưu Cục A4/18 Đường D10-Thuận An-Bình Dương")</f>
        <v>Bưu Cục A4/18 Đường D10-Thuận An-Bình Dương</v>
      </c>
      <c r="D159" s="9">
        <f ca="1">IFERROR(__xludf.DUMMYFUNCTION("""COMPUTED_VALUE"""),1163)</f>
        <v>1163</v>
      </c>
      <c r="E159" s="9">
        <f ca="1">IFERROR(__xludf.DUMMYFUNCTION("""COMPUTED_VALUE"""),1745)</f>
        <v>1745</v>
      </c>
      <c r="F159" s="9">
        <f ca="1">IFERROR(__xludf.DUMMYFUNCTION("""COMPUTED_VALUE"""),1029)</f>
        <v>1029</v>
      </c>
      <c r="G159" s="9">
        <f ca="1">IFERROR(__xludf.DUMMYFUNCTION("""COMPUTED_VALUE"""),2076)</f>
        <v>2076</v>
      </c>
      <c r="H159" s="9">
        <f ca="1">IFERROR(__xludf.DUMMYFUNCTION("""COMPUTED_VALUE"""),1103)</f>
        <v>1103</v>
      </c>
      <c r="I159" s="9">
        <f ca="1">IFERROR(__xludf.DUMMYFUNCTION("""COMPUTED_VALUE"""),2326)</f>
        <v>2326</v>
      </c>
      <c r="J159" s="9">
        <f ca="1">IFERROR(__xludf.DUMMYFUNCTION("""COMPUTED_VALUE"""),1216)</f>
        <v>1216</v>
      </c>
      <c r="K159" s="9">
        <f ca="1">IFERROR(__xludf.DUMMYFUNCTION("""COMPUTED_VALUE"""),2139)</f>
        <v>2139</v>
      </c>
      <c r="L159" s="9">
        <f ca="1">IFERROR(__xludf.DUMMYFUNCTION("""COMPUTED_VALUE"""),599)</f>
        <v>599</v>
      </c>
      <c r="M159" s="9">
        <f ca="1">IFERROR(__xludf.DUMMYFUNCTION("""COMPUTED_VALUE"""),1351)</f>
        <v>1351</v>
      </c>
      <c r="N159" s="9">
        <f ca="1">IFERROR(__xludf.DUMMYFUNCTION("""COMPUTED_VALUE"""),1311)</f>
        <v>1311</v>
      </c>
      <c r="O159" s="9">
        <f ca="1">IFERROR(__xludf.DUMMYFUNCTION("""COMPUTED_VALUE"""),2209)</f>
        <v>2209</v>
      </c>
      <c r="P159" s="29">
        <f ca="1">IFERROR(__xludf.DUMMYFUNCTION("""COMPUTED_VALUE"""),1230)</f>
        <v>1230</v>
      </c>
      <c r="Q159" s="29">
        <f ca="1">IFERROR(__xludf.DUMMYFUNCTION("""COMPUTED_VALUE"""),2586)</f>
        <v>2586</v>
      </c>
      <c r="R159" s="7" t="str">
        <f ca="1">IFERROR(__xludf.DUMMYFUNCTION("""COMPUTED_VALUE"""),"Bình Dương")</f>
        <v>Bình Dương</v>
      </c>
      <c r="S159" s="7" t="str">
        <f ca="1">IFERROR(__xludf.DUMMYFUNCTION("""COMPUTED_VALUE"""),"Thành phố Thuận An")</f>
        <v>Thành phố Thuận An</v>
      </c>
      <c r="T159" s="7" t="str">
        <f ca="1">IFERROR(__xludf.DUMMYFUNCTION("SPARKLINE({
IF(D159="""",0,D159),
IF(F159="""",0,F159),
IF(H159="""",0,H159),
IF(J159="""",0,J159),
IF(L159="""",0,L159),
IF(N159="""",0,N159),
IF(P159="""",0,P159)
})"),"")</f>
        <v/>
      </c>
      <c r="U159" s="7" t="str">
        <f ca="1">IFERROR(__xludf.DUMMYFUNCTION("SPARKLINE({
IF(E159="""",0,E159),
IF(G159="""",0,G159),
IF(I159="""",0,I159),
IF(K159="""",0,K159),
IF(M159="""",0,M159),
IF(O159="""",0,O159),
IF(Q159="""",0,Q159)
})"),"")</f>
        <v/>
      </c>
      <c r="V159" s="30" t="e">
        <f t="array" aca="1" ref="V159" ca="1">IF($C$4="Giao",_xludf.Xlookup(C159,#REF!,#REF!,),_xludf.Xlookup(C159,#REF!,#REF!,))</f>
        <v>#NAME?</v>
      </c>
      <c r="W159" s="30" t="e">
        <f t="array" aca="1" ref="W159" ca="1">IF($C$4="Giao", _xludf.Xlookup(C159,#REF!,#REF!,),_xludf.Xlookup(C159,#REF!,#REF!,))</f>
        <v>#NAME?</v>
      </c>
      <c r="X159" s="9" t="e">
        <f t="shared" ca="1" si="2"/>
        <v>#NAME?</v>
      </c>
      <c r="Y159" s="7"/>
      <c r="Z159" s="7"/>
    </row>
    <row r="160" spans="1:26" ht="13" x14ac:dyDescent="0.6">
      <c r="A160" s="28">
        <f t="shared" ca="1" si="1"/>
        <v>153</v>
      </c>
      <c r="B160" s="7" t="str">
        <f ca="1">IFERROR(__xludf.DUMMYFUNCTION("""COMPUTED_VALUE"""),"Thành phố Thuận An")</f>
        <v>Thành phố Thuận An</v>
      </c>
      <c r="C160" s="7" t="str">
        <f ca="1">IFERROR(__xludf.DUMMYFUNCTION("""COMPUTED_VALUE"""),"Bưu cục D1-D39 KDC VietSing-An Phú-Thuận An-Bình Dương")</f>
        <v>Bưu cục D1-D39 KDC VietSing-An Phú-Thuận An-Bình Dương</v>
      </c>
      <c r="D160" s="9">
        <f ca="1">IFERROR(__xludf.DUMMYFUNCTION("""COMPUTED_VALUE"""),368)</f>
        <v>368</v>
      </c>
      <c r="E160" s="9">
        <f ca="1">IFERROR(__xludf.DUMMYFUNCTION("""COMPUTED_VALUE"""),820)</f>
        <v>820</v>
      </c>
      <c r="F160" s="9">
        <f ca="1">IFERROR(__xludf.DUMMYFUNCTION("""COMPUTED_VALUE"""),301)</f>
        <v>301</v>
      </c>
      <c r="G160" s="9">
        <f ca="1">IFERROR(__xludf.DUMMYFUNCTION("""COMPUTED_VALUE"""),635)</f>
        <v>635</v>
      </c>
      <c r="H160" s="9">
        <f ca="1">IFERROR(__xludf.DUMMYFUNCTION("""COMPUTED_VALUE"""),308)</f>
        <v>308</v>
      </c>
      <c r="I160" s="9">
        <f ca="1">IFERROR(__xludf.DUMMYFUNCTION("""COMPUTED_VALUE"""),767)</f>
        <v>767</v>
      </c>
      <c r="J160" s="9">
        <f ca="1">IFERROR(__xludf.DUMMYFUNCTION("""COMPUTED_VALUE"""),330)</f>
        <v>330</v>
      </c>
      <c r="K160" s="9">
        <f ca="1">IFERROR(__xludf.DUMMYFUNCTION("""COMPUTED_VALUE"""),970)</f>
        <v>970</v>
      </c>
      <c r="L160" s="9">
        <f ca="1">IFERROR(__xludf.DUMMYFUNCTION("""COMPUTED_VALUE"""),188)</f>
        <v>188</v>
      </c>
      <c r="M160" s="9">
        <f ca="1">IFERROR(__xludf.DUMMYFUNCTION("""COMPUTED_VALUE"""),388)</f>
        <v>388</v>
      </c>
      <c r="N160" s="9">
        <f ca="1">IFERROR(__xludf.DUMMYFUNCTION("""COMPUTED_VALUE"""),300)</f>
        <v>300</v>
      </c>
      <c r="O160" s="9">
        <f ca="1">IFERROR(__xludf.DUMMYFUNCTION("""COMPUTED_VALUE"""),666)</f>
        <v>666</v>
      </c>
      <c r="P160" s="29">
        <f ca="1">IFERROR(__xludf.DUMMYFUNCTION("""COMPUTED_VALUE"""),361)</f>
        <v>361</v>
      </c>
      <c r="Q160" s="29">
        <f ca="1">IFERROR(__xludf.DUMMYFUNCTION("""COMPUTED_VALUE"""),908)</f>
        <v>908</v>
      </c>
      <c r="R160" s="7" t="str">
        <f ca="1">IFERROR(__xludf.DUMMYFUNCTION("""COMPUTED_VALUE"""),"Bình Dương")</f>
        <v>Bình Dương</v>
      </c>
      <c r="S160" s="7" t="str">
        <f ca="1">IFERROR(__xludf.DUMMYFUNCTION("""COMPUTED_VALUE"""),"Thành phố Thuận An")</f>
        <v>Thành phố Thuận An</v>
      </c>
      <c r="T160" s="7" t="str">
        <f ca="1">IFERROR(__xludf.DUMMYFUNCTION("SPARKLINE({
IF(D160="""",0,D160),
IF(F160="""",0,F160),
IF(H160="""",0,H160),
IF(J160="""",0,J160),
IF(L160="""",0,L160),
IF(N160="""",0,N160),
IF(P160="""",0,P160)
})"),"")</f>
        <v/>
      </c>
      <c r="U160" s="7" t="str">
        <f ca="1">IFERROR(__xludf.DUMMYFUNCTION("SPARKLINE({
IF(E160="""",0,E160),
IF(G160="""",0,G160),
IF(I160="""",0,I160),
IF(K160="""",0,K160),
IF(M160="""",0,M160),
IF(O160="""",0,O160),
IF(Q160="""",0,Q160)
})"),"")</f>
        <v/>
      </c>
      <c r="V160" s="30" t="e">
        <f t="array" aca="1" ref="V160" ca="1">IF($C$4="Giao",_xludf.Xlookup(C160,#REF!,#REF!,),_xludf.Xlookup(C160,#REF!,#REF!,))</f>
        <v>#NAME?</v>
      </c>
      <c r="W160" s="30" t="e">
        <f t="array" aca="1" ref="W160" ca="1">IF($C$4="Giao", _xludf.Xlookup(C160,#REF!,#REF!,),_xludf.Xlookup(C160,#REF!,#REF!,))</f>
        <v>#NAME?</v>
      </c>
      <c r="X160" s="9" t="e">
        <f t="shared" ca="1" si="2"/>
        <v>#NAME?</v>
      </c>
      <c r="Y160" s="7"/>
      <c r="Z160" s="7"/>
    </row>
    <row r="161" spans="1:26" ht="13" x14ac:dyDescent="0.6">
      <c r="A161" s="28">
        <f t="shared" ca="1" si="1"/>
        <v>154</v>
      </c>
      <c r="B161" s="7" t="str">
        <f ca="1">IFERROR(__xludf.DUMMYFUNCTION("""COMPUTED_VALUE"""),"Thành phố Thuận An")</f>
        <v>Thành phố Thuận An</v>
      </c>
      <c r="C161" s="7" t="str">
        <f ca="1">IFERROR(__xludf.DUMMYFUNCTION("""COMPUTED_VALUE"""),"Bưu Cục Đường 743B-Thuận An-Bình Dương")</f>
        <v>Bưu Cục Đường 743B-Thuận An-Bình Dương</v>
      </c>
      <c r="D161" s="9">
        <f ca="1">IFERROR(__xludf.DUMMYFUNCTION("""COMPUTED_VALUE"""),571)</f>
        <v>571</v>
      </c>
      <c r="E161" s="9">
        <f ca="1">IFERROR(__xludf.DUMMYFUNCTION("""COMPUTED_VALUE"""),947)</f>
        <v>947</v>
      </c>
      <c r="F161" s="9">
        <f ca="1">IFERROR(__xludf.DUMMYFUNCTION("""COMPUTED_VALUE"""),629)</f>
        <v>629</v>
      </c>
      <c r="G161" s="9">
        <f ca="1">IFERROR(__xludf.DUMMYFUNCTION("""COMPUTED_VALUE"""),905)</f>
        <v>905</v>
      </c>
      <c r="H161" s="9">
        <f ca="1">IFERROR(__xludf.DUMMYFUNCTION("""COMPUTED_VALUE"""),588)</f>
        <v>588</v>
      </c>
      <c r="I161" s="9">
        <f ca="1">IFERROR(__xludf.DUMMYFUNCTION("""COMPUTED_VALUE"""),805)</f>
        <v>805</v>
      </c>
      <c r="J161" s="9">
        <f ca="1">IFERROR(__xludf.DUMMYFUNCTION("""COMPUTED_VALUE"""),687)</f>
        <v>687</v>
      </c>
      <c r="K161" s="9">
        <f ca="1">IFERROR(__xludf.DUMMYFUNCTION("""COMPUTED_VALUE"""),934)</f>
        <v>934</v>
      </c>
      <c r="L161" s="9">
        <f ca="1">IFERROR(__xludf.DUMMYFUNCTION("""COMPUTED_VALUE"""),283)</f>
        <v>283</v>
      </c>
      <c r="M161" s="9">
        <f ca="1">IFERROR(__xludf.DUMMYFUNCTION("""COMPUTED_VALUE"""),268)</f>
        <v>268</v>
      </c>
      <c r="N161" s="9">
        <f ca="1">IFERROR(__xludf.DUMMYFUNCTION("""COMPUTED_VALUE"""),536)</f>
        <v>536</v>
      </c>
      <c r="O161" s="9">
        <f ca="1">IFERROR(__xludf.DUMMYFUNCTION("""COMPUTED_VALUE"""),729)</f>
        <v>729</v>
      </c>
      <c r="P161" s="29">
        <f ca="1">IFERROR(__xludf.DUMMYFUNCTION("""COMPUTED_VALUE"""),902)</f>
        <v>902</v>
      </c>
      <c r="Q161" s="29">
        <f ca="1">IFERROR(__xludf.DUMMYFUNCTION("""COMPUTED_VALUE"""),1085)</f>
        <v>1085</v>
      </c>
      <c r="R161" s="7" t="str">
        <f ca="1">IFERROR(__xludf.DUMMYFUNCTION("""COMPUTED_VALUE"""),"Bình Dương")</f>
        <v>Bình Dương</v>
      </c>
      <c r="S161" s="7" t="str">
        <f ca="1">IFERROR(__xludf.DUMMYFUNCTION("""COMPUTED_VALUE"""),"Thành phố Thuận An")</f>
        <v>Thành phố Thuận An</v>
      </c>
      <c r="T161" s="7" t="str">
        <f ca="1">IFERROR(__xludf.DUMMYFUNCTION("SPARKLINE({
IF(D161="""",0,D161),
IF(F161="""",0,F161),
IF(H161="""",0,H161),
IF(J161="""",0,J161),
IF(L161="""",0,L161),
IF(N161="""",0,N161),
IF(P161="""",0,P161)
})"),"")</f>
        <v/>
      </c>
      <c r="U161" s="7" t="str">
        <f ca="1">IFERROR(__xludf.DUMMYFUNCTION("SPARKLINE({
IF(E161="""",0,E161),
IF(G161="""",0,G161),
IF(I161="""",0,I161),
IF(K161="""",0,K161),
IF(M161="""",0,M161),
IF(O161="""",0,O161),
IF(Q161="""",0,Q161)
})"),"")</f>
        <v/>
      </c>
      <c r="V161" s="30" t="e">
        <f t="array" aca="1" ref="V161" ca="1">IF($C$4="Giao",_xludf.Xlookup(C161,#REF!,#REF!,),_xludf.Xlookup(C161,#REF!,#REF!,))</f>
        <v>#NAME?</v>
      </c>
      <c r="W161" s="30" t="e">
        <f t="array" aca="1" ref="W161" ca="1">IF($C$4="Giao", _xludf.Xlookup(C161,#REF!,#REF!,),_xludf.Xlookup(C161,#REF!,#REF!,))</f>
        <v>#NAME?</v>
      </c>
      <c r="X161" s="9" t="e">
        <f t="shared" ca="1" si="2"/>
        <v>#NAME?</v>
      </c>
      <c r="Y161" s="7"/>
      <c r="Z161" s="7"/>
    </row>
    <row r="162" spans="1:26" ht="13" x14ac:dyDescent="0.6">
      <c r="A162" s="28">
        <f t="shared" ca="1" si="1"/>
        <v>155</v>
      </c>
      <c r="B162" s="7" t="str">
        <f ca="1">IFERROR(__xludf.DUMMYFUNCTION("""COMPUTED_VALUE"""),"Thành phố Thuận An")</f>
        <v>Thành phố Thuận An</v>
      </c>
      <c r="C162" s="7" t="str">
        <f ca="1">IFERROR(__xludf.DUMMYFUNCTION("""COMPUTED_VALUE"""),"Bưu Cục Phường Lái Thiêu-Thuận An-Bình Dương")</f>
        <v>Bưu Cục Phường Lái Thiêu-Thuận An-Bình Dương</v>
      </c>
      <c r="D162" s="9">
        <f ca="1">IFERROR(__xludf.DUMMYFUNCTION("""COMPUTED_VALUE"""),1659)</f>
        <v>1659</v>
      </c>
      <c r="E162" s="9">
        <f ca="1">IFERROR(__xludf.DUMMYFUNCTION("""COMPUTED_VALUE"""),4434)</f>
        <v>4434</v>
      </c>
      <c r="F162" s="9">
        <f ca="1">IFERROR(__xludf.DUMMYFUNCTION("""COMPUTED_VALUE"""),1330)</f>
        <v>1330</v>
      </c>
      <c r="G162" s="9">
        <f ca="1">IFERROR(__xludf.DUMMYFUNCTION("""COMPUTED_VALUE"""),4669)</f>
        <v>4669</v>
      </c>
      <c r="H162" s="9">
        <f ca="1">IFERROR(__xludf.DUMMYFUNCTION("""COMPUTED_VALUE"""),1364)</f>
        <v>1364</v>
      </c>
      <c r="I162" s="9">
        <f ca="1">IFERROR(__xludf.DUMMYFUNCTION("""COMPUTED_VALUE"""),4488)</f>
        <v>4488</v>
      </c>
      <c r="J162" s="9">
        <f ca="1">IFERROR(__xludf.DUMMYFUNCTION("""COMPUTED_VALUE"""),1491)</f>
        <v>1491</v>
      </c>
      <c r="K162" s="9">
        <f ca="1">IFERROR(__xludf.DUMMYFUNCTION("""COMPUTED_VALUE"""),4168)</f>
        <v>4168</v>
      </c>
      <c r="L162" s="9">
        <f ca="1">IFERROR(__xludf.DUMMYFUNCTION("""COMPUTED_VALUE"""),801)</f>
        <v>801</v>
      </c>
      <c r="M162" s="9">
        <f ca="1">IFERROR(__xludf.DUMMYFUNCTION("""COMPUTED_VALUE"""),2428)</f>
        <v>2428</v>
      </c>
      <c r="N162" s="9">
        <f ca="1">IFERROR(__xludf.DUMMYFUNCTION("""COMPUTED_VALUE"""),1650)</f>
        <v>1650</v>
      </c>
      <c r="O162" s="9">
        <f ca="1">IFERROR(__xludf.DUMMYFUNCTION("""COMPUTED_VALUE"""),3660)</f>
        <v>3660</v>
      </c>
      <c r="P162" s="29">
        <f ca="1">IFERROR(__xludf.DUMMYFUNCTION("""COMPUTED_VALUE"""),1220)</f>
        <v>1220</v>
      </c>
      <c r="Q162" s="29">
        <f ca="1">IFERROR(__xludf.DUMMYFUNCTION("""COMPUTED_VALUE"""),3167)</f>
        <v>3167</v>
      </c>
      <c r="R162" s="7" t="str">
        <f ca="1">IFERROR(__xludf.DUMMYFUNCTION("""COMPUTED_VALUE"""),"Bình Dương")</f>
        <v>Bình Dương</v>
      </c>
      <c r="S162" s="7" t="str">
        <f ca="1">IFERROR(__xludf.DUMMYFUNCTION("""COMPUTED_VALUE"""),"Thành phố Thuận An")</f>
        <v>Thành phố Thuận An</v>
      </c>
      <c r="T162" s="7" t="str">
        <f ca="1">IFERROR(__xludf.DUMMYFUNCTION("SPARKLINE({
IF(D162="""",0,D162),
IF(F162="""",0,F162),
IF(H162="""",0,H162),
IF(J162="""",0,J162),
IF(L162="""",0,L162),
IF(N162="""",0,N162),
IF(P162="""",0,P162)
})"),"")</f>
        <v/>
      </c>
      <c r="U162" s="7" t="str">
        <f ca="1">IFERROR(__xludf.DUMMYFUNCTION("SPARKLINE({
IF(E162="""",0,E162),
IF(G162="""",0,G162),
IF(I162="""",0,I162),
IF(K162="""",0,K162),
IF(M162="""",0,M162),
IF(O162="""",0,O162),
IF(Q162="""",0,Q162)
})"),"")</f>
        <v/>
      </c>
      <c r="V162" s="30" t="e">
        <f t="array" aca="1" ref="V162" ca="1">IF($C$4="Giao",_xludf.Xlookup(C162,#REF!,#REF!,),_xludf.Xlookup(C162,#REF!,#REF!,))</f>
        <v>#NAME?</v>
      </c>
      <c r="W162" s="30" t="e">
        <f t="array" aca="1" ref="W162" ca="1">IF($C$4="Giao", _xludf.Xlookup(C162,#REF!,#REF!,),_xludf.Xlookup(C162,#REF!,#REF!,))</f>
        <v>#NAME?</v>
      </c>
      <c r="X162" s="9" t="e">
        <f t="shared" ca="1" si="2"/>
        <v>#NAME?</v>
      </c>
      <c r="Y162" s="7"/>
      <c r="Z162" s="7"/>
    </row>
    <row r="163" spans="1:26" ht="13" x14ac:dyDescent="0.6">
      <c r="A163" s="28">
        <f t="shared" ca="1" si="1"/>
        <v>156</v>
      </c>
      <c r="B163" s="7" t="str">
        <f ca="1">IFERROR(__xludf.DUMMYFUNCTION("""COMPUTED_VALUE"""),"Thành phố Vũng Tàu")</f>
        <v>Thành phố Vũng Tàu</v>
      </c>
      <c r="C163" s="7" t="str">
        <f ca="1">IFERROR(__xludf.DUMMYFUNCTION("""COMPUTED_VALUE"""),"Bưu Cục 1459 Đường 30/4-Vũng Tàu-Bà Rịa Vũng Tàu")</f>
        <v>Bưu Cục 1459 Đường 30/4-Vũng Tàu-Bà Rịa Vũng Tàu</v>
      </c>
      <c r="D163" s="9">
        <f ca="1">IFERROR(__xludf.DUMMYFUNCTION("""COMPUTED_VALUE"""),163)</f>
        <v>163</v>
      </c>
      <c r="E163" s="9">
        <f ca="1">IFERROR(__xludf.DUMMYFUNCTION("""COMPUTED_VALUE"""),475)</f>
        <v>475</v>
      </c>
      <c r="F163" s="9">
        <f ca="1">IFERROR(__xludf.DUMMYFUNCTION("""COMPUTED_VALUE"""),205)</f>
        <v>205</v>
      </c>
      <c r="G163" s="9">
        <f ca="1">IFERROR(__xludf.DUMMYFUNCTION("""COMPUTED_VALUE"""),539)</f>
        <v>539</v>
      </c>
      <c r="H163" s="9">
        <f ca="1">IFERROR(__xludf.DUMMYFUNCTION("""COMPUTED_VALUE"""),155)</f>
        <v>155</v>
      </c>
      <c r="I163" s="9">
        <f ca="1">IFERROR(__xludf.DUMMYFUNCTION("""COMPUTED_VALUE"""),458)</f>
        <v>458</v>
      </c>
      <c r="J163" s="9">
        <f ca="1">IFERROR(__xludf.DUMMYFUNCTION("""COMPUTED_VALUE"""),151)</f>
        <v>151</v>
      </c>
      <c r="K163" s="9">
        <f ca="1">IFERROR(__xludf.DUMMYFUNCTION("""COMPUTED_VALUE"""),494)</f>
        <v>494</v>
      </c>
      <c r="L163" s="9">
        <f ca="1">IFERROR(__xludf.DUMMYFUNCTION("""COMPUTED_VALUE"""),132)</f>
        <v>132</v>
      </c>
      <c r="M163" s="9">
        <f ca="1">IFERROR(__xludf.DUMMYFUNCTION("""COMPUTED_VALUE"""),272)</f>
        <v>272</v>
      </c>
      <c r="N163" s="9">
        <f ca="1">IFERROR(__xludf.DUMMYFUNCTION("""COMPUTED_VALUE"""),138)</f>
        <v>138</v>
      </c>
      <c r="O163" s="9">
        <f ca="1">IFERROR(__xludf.DUMMYFUNCTION("""COMPUTED_VALUE"""),346)</f>
        <v>346</v>
      </c>
      <c r="P163" s="29">
        <f ca="1">IFERROR(__xludf.DUMMYFUNCTION("""COMPUTED_VALUE"""),160)</f>
        <v>160</v>
      </c>
      <c r="Q163" s="29">
        <f ca="1">IFERROR(__xludf.DUMMYFUNCTION("""COMPUTED_VALUE"""),292)</f>
        <v>292</v>
      </c>
      <c r="R163" s="7" t="str">
        <f ca="1">IFERROR(__xludf.DUMMYFUNCTION("""COMPUTED_VALUE"""),"Bà Rịa - Vũng Tàu")</f>
        <v>Bà Rịa - Vũng Tàu</v>
      </c>
      <c r="S163" s="7" t="str">
        <f ca="1">IFERROR(__xludf.DUMMYFUNCTION("""COMPUTED_VALUE"""),"Thành phố Vũng Tàu")</f>
        <v>Thành phố Vũng Tàu</v>
      </c>
      <c r="T163" s="7" t="str">
        <f ca="1">IFERROR(__xludf.DUMMYFUNCTION("SPARKLINE({
IF(D163="""",0,D163),
IF(F163="""",0,F163),
IF(H163="""",0,H163),
IF(J163="""",0,J163),
IF(L163="""",0,L163),
IF(N163="""",0,N163),
IF(P163="""",0,P163)
})"),"")</f>
        <v/>
      </c>
      <c r="U163" s="7" t="str">
        <f ca="1">IFERROR(__xludf.DUMMYFUNCTION("SPARKLINE({
IF(E163="""",0,E163),
IF(G163="""",0,G163),
IF(I163="""",0,I163),
IF(K163="""",0,K163),
IF(M163="""",0,M163),
IF(O163="""",0,O163),
IF(Q163="""",0,Q163)
})"),"")</f>
        <v/>
      </c>
      <c r="V163" s="30" t="e">
        <f t="array" aca="1" ref="V163" ca="1">IF($C$4="Giao",_xludf.Xlookup(C163,#REF!,#REF!,),_xludf.Xlookup(C163,#REF!,#REF!,))</f>
        <v>#NAME?</v>
      </c>
      <c r="W163" s="30" t="e">
        <f t="array" aca="1" ref="W163" ca="1">IF($C$4="Giao", _xludf.Xlookup(C163,#REF!,#REF!,),_xludf.Xlookup(C163,#REF!,#REF!,))</f>
        <v>#NAME?</v>
      </c>
      <c r="X163" s="9" t="e">
        <f t="shared" ca="1" si="2"/>
        <v>#NAME?</v>
      </c>
      <c r="Y163" s="7"/>
      <c r="Z163" s="7"/>
    </row>
    <row r="164" spans="1:26" ht="13" x14ac:dyDescent="0.6">
      <c r="A164" s="28">
        <f t="shared" ca="1" si="1"/>
        <v>157</v>
      </c>
      <c r="B164" s="7" t="str">
        <f ca="1">IFERROR(__xludf.DUMMYFUNCTION("""COMPUTED_VALUE"""),"Thành phố Vũng Tàu")</f>
        <v>Thành phố Vũng Tàu</v>
      </c>
      <c r="C164" s="7" t="str">
        <f ca="1">IFERROR(__xludf.DUMMYFUNCTION("""COMPUTED_VALUE"""),"Bưu Cục 24B Nguyễn Du-Phường 1-TP.Vũng Tàu-Bà Rịa Vũng Tàu")</f>
        <v>Bưu Cục 24B Nguyễn Du-Phường 1-TP.Vũng Tàu-Bà Rịa Vũng Tàu</v>
      </c>
      <c r="D164" s="9">
        <f ca="1">IFERROR(__xludf.DUMMYFUNCTION("""COMPUTED_VALUE"""),137)</f>
        <v>137</v>
      </c>
      <c r="E164" s="9">
        <f ca="1">IFERROR(__xludf.DUMMYFUNCTION("""COMPUTED_VALUE"""),255)</f>
        <v>255</v>
      </c>
      <c r="F164" s="9">
        <f ca="1">IFERROR(__xludf.DUMMYFUNCTION("""COMPUTED_VALUE"""),156)</f>
        <v>156</v>
      </c>
      <c r="G164" s="9">
        <f ca="1">IFERROR(__xludf.DUMMYFUNCTION("""COMPUTED_VALUE"""),249)</f>
        <v>249</v>
      </c>
      <c r="H164" s="9">
        <f ca="1">IFERROR(__xludf.DUMMYFUNCTION("""COMPUTED_VALUE"""),136)</f>
        <v>136</v>
      </c>
      <c r="I164" s="9">
        <f ca="1">IFERROR(__xludf.DUMMYFUNCTION("""COMPUTED_VALUE"""),219)</f>
        <v>219</v>
      </c>
      <c r="J164" s="9">
        <f ca="1">IFERROR(__xludf.DUMMYFUNCTION("""COMPUTED_VALUE"""),235)</f>
        <v>235</v>
      </c>
      <c r="K164" s="9">
        <f ca="1">IFERROR(__xludf.DUMMYFUNCTION("""COMPUTED_VALUE"""),176)</f>
        <v>176</v>
      </c>
      <c r="L164" s="9">
        <f ca="1">IFERROR(__xludf.DUMMYFUNCTION("""COMPUTED_VALUE"""),107)</f>
        <v>107</v>
      </c>
      <c r="M164" s="9">
        <f ca="1">IFERROR(__xludf.DUMMYFUNCTION("""COMPUTED_VALUE"""),122)</f>
        <v>122</v>
      </c>
      <c r="N164" s="9">
        <f ca="1">IFERROR(__xludf.DUMMYFUNCTION("""COMPUTED_VALUE"""),153)</f>
        <v>153</v>
      </c>
      <c r="O164" s="9">
        <f ca="1">IFERROR(__xludf.DUMMYFUNCTION("""COMPUTED_VALUE"""),169)</f>
        <v>169</v>
      </c>
      <c r="P164" s="29">
        <f ca="1">IFERROR(__xludf.DUMMYFUNCTION("""COMPUTED_VALUE"""),132)</f>
        <v>132</v>
      </c>
      <c r="Q164" s="29">
        <f ca="1">IFERROR(__xludf.DUMMYFUNCTION("""COMPUTED_VALUE"""),182)</f>
        <v>182</v>
      </c>
      <c r="R164" s="7" t="str">
        <f ca="1">IFERROR(__xludf.DUMMYFUNCTION("""COMPUTED_VALUE"""),"Bà Rịa - Vũng Tàu")</f>
        <v>Bà Rịa - Vũng Tàu</v>
      </c>
      <c r="S164" s="7" t="str">
        <f ca="1">IFERROR(__xludf.DUMMYFUNCTION("""COMPUTED_VALUE"""),"Thành phố Vũng Tàu")</f>
        <v>Thành phố Vũng Tàu</v>
      </c>
      <c r="T164" s="7" t="str">
        <f ca="1">IFERROR(__xludf.DUMMYFUNCTION("SPARKLINE({
IF(D164="""",0,D164),
IF(F164="""",0,F164),
IF(H164="""",0,H164),
IF(J164="""",0,J164),
IF(L164="""",0,L164),
IF(N164="""",0,N164),
IF(P164="""",0,P164)
})"),"")</f>
        <v/>
      </c>
      <c r="U164" s="7" t="str">
        <f ca="1">IFERROR(__xludf.DUMMYFUNCTION("SPARKLINE({
IF(E164="""",0,E164),
IF(G164="""",0,G164),
IF(I164="""",0,I164),
IF(K164="""",0,K164),
IF(M164="""",0,M164),
IF(O164="""",0,O164),
IF(Q164="""",0,Q164)
})"),"")</f>
        <v/>
      </c>
      <c r="V164" s="30" t="e">
        <f t="array" aca="1" ref="V164" ca="1">IF($C$4="Giao",_xludf.Xlookup(C164,#REF!,#REF!,),_xludf.Xlookup(C164,#REF!,#REF!,))</f>
        <v>#NAME?</v>
      </c>
      <c r="W164" s="30" t="e">
        <f t="array" aca="1" ref="W164" ca="1">IF($C$4="Giao", _xludf.Xlookup(C164,#REF!,#REF!,),_xludf.Xlookup(C164,#REF!,#REF!,))</f>
        <v>#NAME?</v>
      </c>
      <c r="X164" s="9" t="e">
        <f t="shared" ca="1" si="2"/>
        <v>#NAME?</v>
      </c>
      <c r="Y164" s="7"/>
      <c r="Z164" s="7"/>
    </row>
    <row r="165" spans="1:26" ht="13" x14ac:dyDescent="0.6">
      <c r="A165" s="28">
        <f t="shared" ca="1" si="1"/>
        <v>158</v>
      </c>
      <c r="B165" s="7" t="str">
        <f ca="1">IFERROR(__xludf.DUMMYFUNCTION("""COMPUTED_VALUE"""),"Thành phố Vũng Tàu")</f>
        <v>Thành phố Vũng Tàu</v>
      </c>
      <c r="C165" s="7" t="str">
        <f ca="1">IFERROR(__xludf.DUMMYFUNCTION("""COMPUTED_VALUE"""),"Bưu Cục 473A Bình Giã-TP.Vũng Tàu")</f>
        <v>Bưu Cục 473A Bình Giã-TP.Vũng Tàu</v>
      </c>
      <c r="D165" s="9">
        <f ca="1">IFERROR(__xludf.DUMMYFUNCTION("""COMPUTED_VALUE"""),376)</f>
        <v>376</v>
      </c>
      <c r="E165" s="9">
        <f ca="1">IFERROR(__xludf.DUMMYFUNCTION("""COMPUTED_VALUE"""),495)</f>
        <v>495</v>
      </c>
      <c r="F165" s="9">
        <f ca="1">IFERROR(__xludf.DUMMYFUNCTION("""COMPUTED_VALUE"""),292)</f>
        <v>292</v>
      </c>
      <c r="G165" s="9">
        <f ca="1">IFERROR(__xludf.DUMMYFUNCTION("""COMPUTED_VALUE"""),535)</f>
        <v>535</v>
      </c>
      <c r="H165" s="9">
        <f ca="1">IFERROR(__xludf.DUMMYFUNCTION("""COMPUTED_VALUE"""),486)</f>
        <v>486</v>
      </c>
      <c r="I165" s="9">
        <f ca="1">IFERROR(__xludf.DUMMYFUNCTION("""COMPUTED_VALUE"""),555)</f>
        <v>555</v>
      </c>
      <c r="J165" s="9">
        <f ca="1">IFERROR(__xludf.DUMMYFUNCTION("""COMPUTED_VALUE"""),369)</f>
        <v>369</v>
      </c>
      <c r="K165" s="9">
        <f ca="1">IFERROR(__xludf.DUMMYFUNCTION("""COMPUTED_VALUE"""),487)</f>
        <v>487</v>
      </c>
      <c r="L165" s="9">
        <f ca="1">IFERROR(__xludf.DUMMYFUNCTION("""COMPUTED_VALUE"""),220)</f>
        <v>220</v>
      </c>
      <c r="M165" s="9">
        <f ca="1">IFERROR(__xludf.DUMMYFUNCTION("""COMPUTED_VALUE"""),292)</f>
        <v>292</v>
      </c>
      <c r="N165" s="9">
        <f ca="1">IFERROR(__xludf.DUMMYFUNCTION("""COMPUTED_VALUE"""),324)</f>
        <v>324</v>
      </c>
      <c r="O165" s="9">
        <f ca="1">IFERROR(__xludf.DUMMYFUNCTION("""COMPUTED_VALUE"""),394)</f>
        <v>394</v>
      </c>
      <c r="P165" s="29">
        <f ca="1">IFERROR(__xludf.DUMMYFUNCTION("""COMPUTED_VALUE"""),304)</f>
        <v>304</v>
      </c>
      <c r="Q165" s="29">
        <f ca="1">IFERROR(__xludf.DUMMYFUNCTION("""COMPUTED_VALUE"""),572)</f>
        <v>572</v>
      </c>
      <c r="R165" s="7" t="str">
        <f ca="1">IFERROR(__xludf.DUMMYFUNCTION("""COMPUTED_VALUE"""),"Bà Rịa - Vũng Tàu")</f>
        <v>Bà Rịa - Vũng Tàu</v>
      </c>
      <c r="S165" s="7" t="str">
        <f ca="1">IFERROR(__xludf.DUMMYFUNCTION("""COMPUTED_VALUE"""),"Thành phố Vũng Tàu")</f>
        <v>Thành phố Vũng Tàu</v>
      </c>
      <c r="T165" s="7" t="str">
        <f ca="1">IFERROR(__xludf.DUMMYFUNCTION("SPARKLINE({
IF(D165="""",0,D165),
IF(F165="""",0,F165),
IF(H165="""",0,H165),
IF(J165="""",0,J165),
IF(L165="""",0,L165),
IF(N165="""",0,N165),
IF(P165="""",0,P165)
})"),"")</f>
        <v/>
      </c>
      <c r="U165" s="7" t="str">
        <f ca="1">IFERROR(__xludf.DUMMYFUNCTION("SPARKLINE({
IF(E165="""",0,E165),
IF(G165="""",0,G165),
IF(I165="""",0,I165),
IF(K165="""",0,K165),
IF(M165="""",0,M165),
IF(O165="""",0,O165),
IF(Q165="""",0,Q165)
})"),"")</f>
        <v/>
      </c>
      <c r="V165" s="30" t="e">
        <f t="array" aca="1" ref="V165" ca="1">IF($C$4="Giao",_xludf.Xlookup(C165,#REF!,#REF!,),_xludf.Xlookup(C165,#REF!,#REF!,))</f>
        <v>#NAME?</v>
      </c>
      <c r="W165" s="30" t="e">
        <f t="array" aca="1" ref="W165" ca="1">IF($C$4="Giao", _xludf.Xlookup(C165,#REF!,#REF!,),_xludf.Xlookup(C165,#REF!,#REF!,))</f>
        <v>#NAME?</v>
      </c>
      <c r="X165" s="9" t="e">
        <f t="shared" ca="1" si="2"/>
        <v>#NAME?</v>
      </c>
      <c r="Y165" s="7"/>
      <c r="Z165" s="7"/>
    </row>
    <row r="166" spans="1:26" ht="13" x14ac:dyDescent="0.6">
      <c r="A166" s="28">
        <f t="shared" ca="1" si="1"/>
        <v>159</v>
      </c>
      <c r="B166" s="7" t="str">
        <f ca="1">IFERROR(__xludf.DUMMYFUNCTION("""COMPUTED_VALUE"""),"Thành phố Vũng Tàu")</f>
        <v>Thành phố Vũng Tàu</v>
      </c>
      <c r="C166" s="7" t="str">
        <f ca="1">IFERROR(__xludf.DUMMYFUNCTION("""COMPUTED_VALUE"""),"Bưu Cục 87 Nguyễn An Ninh-Tp.Vũng Tàu-Bà Rịa-Vũng Tàu")</f>
        <v>Bưu Cục 87 Nguyễn An Ninh-Tp.Vũng Tàu-Bà Rịa-Vũng Tàu</v>
      </c>
      <c r="D166" s="9">
        <f ca="1">IFERROR(__xludf.DUMMYFUNCTION("""COMPUTED_VALUE"""),186)</f>
        <v>186</v>
      </c>
      <c r="E166" s="9">
        <f ca="1">IFERROR(__xludf.DUMMYFUNCTION("""COMPUTED_VALUE"""),743)</f>
        <v>743</v>
      </c>
      <c r="F166" s="9">
        <f ca="1">IFERROR(__xludf.DUMMYFUNCTION("""COMPUTED_VALUE"""),160)</f>
        <v>160</v>
      </c>
      <c r="G166" s="9">
        <f ca="1">IFERROR(__xludf.DUMMYFUNCTION("""COMPUTED_VALUE"""),949)</f>
        <v>949</v>
      </c>
      <c r="H166" s="9">
        <f ca="1">IFERROR(__xludf.DUMMYFUNCTION("""COMPUTED_VALUE"""),140)</f>
        <v>140</v>
      </c>
      <c r="I166" s="9">
        <f ca="1">IFERROR(__xludf.DUMMYFUNCTION("""COMPUTED_VALUE"""),658)</f>
        <v>658</v>
      </c>
      <c r="J166" s="9">
        <f ca="1">IFERROR(__xludf.DUMMYFUNCTION("""COMPUTED_VALUE"""),183)</f>
        <v>183</v>
      </c>
      <c r="K166" s="9">
        <f ca="1">IFERROR(__xludf.DUMMYFUNCTION("""COMPUTED_VALUE"""),1024)</f>
        <v>1024</v>
      </c>
      <c r="L166" s="9">
        <f ca="1">IFERROR(__xludf.DUMMYFUNCTION("""COMPUTED_VALUE"""),120)</f>
        <v>120</v>
      </c>
      <c r="M166" s="9">
        <f ca="1">IFERROR(__xludf.DUMMYFUNCTION("""COMPUTED_VALUE"""),525)</f>
        <v>525</v>
      </c>
      <c r="N166" s="9">
        <f ca="1">IFERROR(__xludf.DUMMYFUNCTION("""COMPUTED_VALUE"""),357)</f>
        <v>357</v>
      </c>
      <c r="O166" s="9">
        <f ca="1">IFERROR(__xludf.DUMMYFUNCTION("""COMPUTED_VALUE"""),1036)</f>
        <v>1036</v>
      </c>
      <c r="P166" s="29">
        <f ca="1">IFERROR(__xludf.DUMMYFUNCTION("""COMPUTED_VALUE"""),309)</f>
        <v>309</v>
      </c>
      <c r="Q166" s="29">
        <f ca="1">IFERROR(__xludf.DUMMYFUNCTION("""COMPUTED_VALUE"""),1168)</f>
        <v>1168</v>
      </c>
      <c r="R166" s="7" t="str">
        <f ca="1">IFERROR(__xludf.DUMMYFUNCTION("""COMPUTED_VALUE"""),"Bà Rịa - Vũng Tàu")</f>
        <v>Bà Rịa - Vũng Tàu</v>
      </c>
      <c r="S166" s="7" t="str">
        <f ca="1">IFERROR(__xludf.DUMMYFUNCTION("""COMPUTED_VALUE"""),"Thành phố Vũng Tàu")</f>
        <v>Thành phố Vũng Tàu</v>
      </c>
      <c r="T166" s="7" t="str">
        <f ca="1">IFERROR(__xludf.DUMMYFUNCTION("SPARKLINE({
IF(D166="""",0,D166),
IF(F166="""",0,F166),
IF(H166="""",0,H166),
IF(J166="""",0,J166),
IF(L166="""",0,L166),
IF(N166="""",0,N166),
IF(P166="""",0,P166)
})"),"")</f>
        <v/>
      </c>
      <c r="U166" s="7" t="str">
        <f ca="1">IFERROR(__xludf.DUMMYFUNCTION("SPARKLINE({
IF(E166="""",0,E166),
IF(G166="""",0,G166),
IF(I166="""",0,I166),
IF(K166="""",0,K166),
IF(M166="""",0,M166),
IF(O166="""",0,O166),
IF(Q166="""",0,Q166)
})"),"")</f>
        <v/>
      </c>
      <c r="V166" s="30" t="e">
        <f t="array" aca="1" ref="V166" ca="1">IF($C$4="Giao",_xludf.Xlookup(C166,#REF!,#REF!,),_xludf.Xlookup(C166,#REF!,#REF!,))</f>
        <v>#NAME?</v>
      </c>
      <c r="W166" s="30" t="e">
        <f t="array" aca="1" ref="W166" ca="1">IF($C$4="Giao", _xludf.Xlookup(C166,#REF!,#REF!,),_xludf.Xlookup(C166,#REF!,#REF!,))</f>
        <v>#NAME?</v>
      </c>
      <c r="X166" s="9" t="e">
        <f t="shared" ca="1" si="2"/>
        <v>#NAME?</v>
      </c>
      <c r="Y166" s="7"/>
      <c r="Z166" s="7"/>
    </row>
    <row r="167" spans="1:26" ht="13" x14ac:dyDescent="0.6">
      <c r="A167" s="28">
        <f t="shared" ca="1" si="1"/>
        <v>160</v>
      </c>
      <c r="B167" s="7" t="str">
        <f ca="1">IFERROR(__xludf.DUMMYFUNCTION("""COMPUTED_VALUE"""),"Thị xã Bến Cát")</f>
        <v>Thị xã Bến Cát</v>
      </c>
      <c r="C167" s="7" t="str">
        <f ca="1">IFERROR(__xludf.DUMMYFUNCTION("""COMPUTED_VALUE"""),"Bưu Cục 178 Đường DT741-Bến Cát-Bình Dương")</f>
        <v>Bưu Cục 178 Đường DT741-Bến Cát-Bình Dương</v>
      </c>
      <c r="D167" s="9">
        <f ca="1">IFERROR(__xludf.DUMMYFUNCTION("""COMPUTED_VALUE"""),80)</f>
        <v>80</v>
      </c>
      <c r="E167" s="9">
        <f ca="1">IFERROR(__xludf.DUMMYFUNCTION("""COMPUTED_VALUE"""),210)</f>
        <v>210</v>
      </c>
      <c r="F167" s="9">
        <f ca="1">IFERROR(__xludf.DUMMYFUNCTION("""COMPUTED_VALUE"""),61)</f>
        <v>61</v>
      </c>
      <c r="G167" s="9">
        <f ca="1">IFERROR(__xludf.DUMMYFUNCTION("""COMPUTED_VALUE"""),347)</f>
        <v>347</v>
      </c>
      <c r="H167" s="9">
        <f ca="1">IFERROR(__xludf.DUMMYFUNCTION("""COMPUTED_VALUE"""),96)</f>
        <v>96</v>
      </c>
      <c r="I167" s="9">
        <f ca="1">IFERROR(__xludf.DUMMYFUNCTION("""COMPUTED_VALUE"""),317)</f>
        <v>317</v>
      </c>
      <c r="J167" s="9">
        <f ca="1">IFERROR(__xludf.DUMMYFUNCTION("""COMPUTED_VALUE"""),107)</f>
        <v>107</v>
      </c>
      <c r="K167" s="9">
        <f ca="1">IFERROR(__xludf.DUMMYFUNCTION("""COMPUTED_VALUE"""),323)</f>
        <v>323</v>
      </c>
      <c r="L167" s="9">
        <f ca="1">IFERROR(__xludf.DUMMYFUNCTION("""COMPUTED_VALUE"""),42)</f>
        <v>42</v>
      </c>
      <c r="M167" s="9">
        <f ca="1">IFERROR(__xludf.DUMMYFUNCTION("""COMPUTED_VALUE"""),231)</f>
        <v>231</v>
      </c>
      <c r="N167" s="9">
        <f ca="1">IFERROR(__xludf.DUMMYFUNCTION("""COMPUTED_VALUE"""),54)</f>
        <v>54</v>
      </c>
      <c r="O167" s="9">
        <f ca="1">IFERROR(__xludf.DUMMYFUNCTION("""COMPUTED_VALUE"""),276)</f>
        <v>276</v>
      </c>
      <c r="P167" s="29">
        <f ca="1">IFERROR(__xludf.DUMMYFUNCTION("""COMPUTED_VALUE"""),57)</f>
        <v>57</v>
      </c>
      <c r="Q167" s="29">
        <f ca="1">IFERROR(__xludf.DUMMYFUNCTION("""COMPUTED_VALUE"""),284)</f>
        <v>284</v>
      </c>
      <c r="R167" s="7" t="str">
        <f ca="1">IFERROR(__xludf.DUMMYFUNCTION("""COMPUTED_VALUE"""),"Bình Dương")</f>
        <v>Bình Dương</v>
      </c>
      <c r="S167" s="7" t="str">
        <f ca="1">IFERROR(__xludf.DUMMYFUNCTION("""COMPUTED_VALUE"""),"Thị xã Bến Cát")</f>
        <v>Thị xã Bến Cát</v>
      </c>
      <c r="T167" s="7" t="str">
        <f ca="1">IFERROR(__xludf.DUMMYFUNCTION("SPARKLINE({
IF(D167="""",0,D167),
IF(F167="""",0,F167),
IF(H167="""",0,H167),
IF(J167="""",0,J167),
IF(L167="""",0,L167),
IF(N167="""",0,N167),
IF(P167="""",0,P167)
})"),"")</f>
        <v/>
      </c>
      <c r="U167" s="7" t="str">
        <f ca="1">IFERROR(__xludf.DUMMYFUNCTION("SPARKLINE({
IF(E167="""",0,E167),
IF(G167="""",0,G167),
IF(I167="""",0,I167),
IF(K167="""",0,K167),
IF(M167="""",0,M167),
IF(O167="""",0,O167),
IF(Q167="""",0,Q167)
})"),"")</f>
        <v/>
      </c>
      <c r="V167" s="30" t="e">
        <f t="array" aca="1" ref="V167" ca="1">IF($C$4="Giao",_xludf.Xlookup(C167,#REF!,#REF!,),_xludf.Xlookup(C167,#REF!,#REF!,))</f>
        <v>#NAME?</v>
      </c>
      <c r="W167" s="30" t="e">
        <f t="array" aca="1" ref="W167" ca="1">IF($C$4="Giao", _xludf.Xlookup(C167,#REF!,#REF!,),_xludf.Xlookup(C167,#REF!,#REF!,))</f>
        <v>#NAME?</v>
      </c>
      <c r="X167" s="9" t="e">
        <f t="shared" ca="1" si="2"/>
        <v>#NAME?</v>
      </c>
      <c r="Y167" s="7"/>
      <c r="Z167" s="7"/>
    </row>
    <row r="168" spans="1:26" ht="13" x14ac:dyDescent="0.6">
      <c r="A168" s="28">
        <f t="shared" ca="1" si="1"/>
        <v>161</v>
      </c>
      <c r="B168" s="7" t="str">
        <f ca="1">IFERROR(__xludf.DUMMYFUNCTION("""COMPUTED_VALUE"""),"Thị xã Bến Cát")</f>
        <v>Thị xã Bến Cát</v>
      </c>
      <c r="C168" s="7" t="str">
        <f ca="1">IFERROR(__xludf.DUMMYFUNCTION("""COMPUTED_VALUE"""),"Bưu Cục DA 1-1 Mỹ Phước-Bến Cát-Bình Dương")</f>
        <v>Bưu Cục DA 1-1 Mỹ Phước-Bến Cát-Bình Dương</v>
      </c>
      <c r="D168" s="9">
        <f ca="1">IFERROR(__xludf.DUMMYFUNCTION("""COMPUTED_VALUE"""),318)</f>
        <v>318</v>
      </c>
      <c r="E168" s="9">
        <f ca="1">IFERROR(__xludf.DUMMYFUNCTION("""COMPUTED_VALUE"""),405)</f>
        <v>405</v>
      </c>
      <c r="F168" s="9">
        <f ca="1">IFERROR(__xludf.DUMMYFUNCTION("""COMPUTED_VALUE"""),391)</f>
        <v>391</v>
      </c>
      <c r="G168" s="9">
        <f ca="1">IFERROR(__xludf.DUMMYFUNCTION("""COMPUTED_VALUE"""),1471)</f>
        <v>1471</v>
      </c>
      <c r="H168" s="9">
        <f ca="1">IFERROR(__xludf.DUMMYFUNCTION("""COMPUTED_VALUE"""),355)</f>
        <v>355</v>
      </c>
      <c r="I168" s="9">
        <f ca="1">IFERROR(__xludf.DUMMYFUNCTION("""COMPUTED_VALUE"""),1323)</f>
        <v>1323</v>
      </c>
      <c r="J168" s="9">
        <f ca="1">IFERROR(__xludf.DUMMYFUNCTION("""COMPUTED_VALUE"""),395)</f>
        <v>395</v>
      </c>
      <c r="K168" s="9">
        <f ca="1">IFERROR(__xludf.DUMMYFUNCTION("""COMPUTED_VALUE"""),1881)</f>
        <v>1881</v>
      </c>
      <c r="L168" s="9">
        <f ca="1">IFERROR(__xludf.DUMMYFUNCTION("""COMPUTED_VALUE"""),155)</f>
        <v>155</v>
      </c>
      <c r="M168" s="9">
        <f ca="1">IFERROR(__xludf.DUMMYFUNCTION("""COMPUTED_VALUE"""),635)</f>
        <v>635</v>
      </c>
      <c r="N168" s="9">
        <f ca="1">IFERROR(__xludf.DUMMYFUNCTION("""COMPUTED_VALUE"""),470)</f>
        <v>470</v>
      </c>
      <c r="O168" s="9">
        <f ca="1">IFERROR(__xludf.DUMMYFUNCTION("""COMPUTED_VALUE"""),1622)</f>
        <v>1622</v>
      </c>
      <c r="P168" s="29">
        <f ca="1">IFERROR(__xludf.DUMMYFUNCTION("""COMPUTED_VALUE"""),336)</f>
        <v>336</v>
      </c>
      <c r="Q168" s="29">
        <f ca="1">IFERROR(__xludf.DUMMYFUNCTION("""COMPUTED_VALUE"""),1586)</f>
        <v>1586</v>
      </c>
      <c r="R168" s="7" t="str">
        <f ca="1">IFERROR(__xludf.DUMMYFUNCTION("""COMPUTED_VALUE"""),"Bình Dương")</f>
        <v>Bình Dương</v>
      </c>
      <c r="S168" s="7" t="str">
        <f ca="1">IFERROR(__xludf.DUMMYFUNCTION("""COMPUTED_VALUE"""),"Thị xã Bến Cát")</f>
        <v>Thị xã Bến Cát</v>
      </c>
      <c r="T168" s="7" t="str">
        <f ca="1">IFERROR(__xludf.DUMMYFUNCTION("SPARKLINE({
IF(D168="""",0,D168),
IF(F168="""",0,F168),
IF(H168="""",0,H168),
IF(J168="""",0,J168),
IF(L168="""",0,L168),
IF(N168="""",0,N168),
IF(P168="""",0,P168)
})"),"")</f>
        <v/>
      </c>
      <c r="U168" s="7" t="str">
        <f ca="1">IFERROR(__xludf.DUMMYFUNCTION("SPARKLINE({
IF(E168="""",0,E168),
IF(G168="""",0,G168),
IF(I168="""",0,I168),
IF(K168="""",0,K168),
IF(M168="""",0,M168),
IF(O168="""",0,O168),
IF(Q168="""",0,Q168)
})"),"")</f>
        <v/>
      </c>
      <c r="V168" s="30" t="e">
        <f t="array" aca="1" ref="V168" ca="1">IF($C$4="Giao",_xludf.Xlookup(C168,#REF!,#REF!,),_xludf.Xlookup(C168,#REF!,#REF!,))</f>
        <v>#NAME?</v>
      </c>
      <c r="W168" s="30" t="e">
        <f t="array" aca="1" ref="W168" ca="1">IF($C$4="Giao", _xludf.Xlookup(C168,#REF!,#REF!,),_xludf.Xlookup(C168,#REF!,#REF!,))</f>
        <v>#NAME?</v>
      </c>
      <c r="X168" s="9" t="e">
        <f t="shared" ca="1" si="2"/>
        <v>#NAME?</v>
      </c>
      <c r="Y168" s="7"/>
      <c r="Z168" s="7"/>
    </row>
    <row r="169" spans="1:26" ht="13" x14ac:dyDescent="0.6">
      <c r="A169" s="28">
        <f t="shared" ca="1" si="1"/>
        <v>162</v>
      </c>
      <c r="B169" s="7" t="str">
        <f ca="1">IFERROR(__xludf.DUMMYFUNCTION("""COMPUTED_VALUE"""),"Thị xã Bến Cát")</f>
        <v>Thị xã Bến Cát</v>
      </c>
      <c r="C169" s="7" t="str">
        <f ca="1">IFERROR(__xludf.DUMMYFUNCTION("""COMPUTED_VALUE"""),"Bưu Cục DT 744-An Tây-Bến Cát-Bình Dương")</f>
        <v>Bưu Cục DT 744-An Tây-Bến Cát-Bình Dương</v>
      </c>
      <c r="D169" s="9">
        <f ca="1">IFERROR(__xludf.DUMMYFUNCTION("""COMPUTED_VALUE"""),150)</f>
        <v>150</v>
      </c>
      <c r="E169" s="9">
        <f ca="1">IFERROR(__xludf.DUMMYFUNCTION("""COMPUTED_VALUE"""),296)</f>
        <v>296</v>
      </c>
      <c r="F169" s="9">
        <f ca="1">IFERROR(__xludf.DUMMYFUNCTION("""COMPUTED_VALUE"""),147)</f>
        <v>147</v>
      </c>
      <c r="G169" s="9">
        <f ca="1">IFERROR(__xludf.DUMMYFUNCTION("""COMPUTED_VALUE"""),360)</f>
        <v>360</v>
      </c>
      <c r="H169" s="9">
        <f ca="1">IFERROR(__xludf.DUMMYFUNCTION("""COMPUTED_VALUE"""),143)</f>
        <v>143</v>
      </c>
      <c r="I169" s="9">
        <f ca="1">IFERROR(__xludf.DUMMYFUNCTION("""COMPUTED_VALUE"""),564)</f>
        <v>564</v>
      </c>
      <c r="J169" s="9">
        <f ca="1">IFERROR(__xludf.DUMMYFUNCTION("""COMPUTED_VALUE"""),193)</f>
        <v>193</v>
      </c>
      <c r="K169" s="9">
        <f ca="1">IFERROR(__xludf.DUMMYFUNCTION("""COMPUTED_VALUE"""),489)</f>
        <v>489</v>
      </c>
      <c r="L169" s="9">
        <f ca="1">IFERROR(__xludf.DUMMYFUNCTION("""COMPUTED_VALUE"""),93)</f>
        <v>93</v>
      </c>
      <c r="M169" s="9">
        <f ca="1">IFERROR(__xludf.DUMMYFUNCTION("""COMPUTED_VALUE"""),132)</f>
        <v>132</v>
      </c>
      <c r="N169" s="9">
        <f ca="1">IFERROR(__xludf.DUMMYFUNCTION("""COMPUTED_VALUE"""),150)</f>
        <v>150</v>
      </c>
      <c r="O169" s="9">
        <f ca="1">IFERROR(__xludf.DUMMYFUNCTION("""COMPUTED_VALUE"""),650)</f>
        <v>650</v>
      </c>
      <c r="P169" s="29">
        <f ca="1">IFERROR(__xludf.DUMMYFUNCTION("""COMPUTED_VALUE"""),119)</f>
        <v>119</v>
      </c>
      <c r="Q169" s="29">
        <f ca="1">IFERROR(__xludf.DUMMYFUNCTION("""COMPUTED_VALUE"""),249)</f>
        <v>249</v>
      </c>
      <c r="R169" s="7" t="str">
        <f ca="1">IFERROR(__xludf.DUMMYFUNCTION("""COMPUTED_VALUE"""),"Bình Dương")</f>
        <v>Bình Dương</v>
      </c>
      <c r="S169" s="7" t="str">
        <f ca="1">IFERROR(__xludf.DUMMYFUNCTION("""COMPUTED_VALUE"""),"Thị xã Bến Cát")</f>
        <v>Thị xã Bến Cát</v>
      </c>
      <c r="T169" s="7" t="str">
        <f ca="1">IFERROR(__xludf.DUMMYFUNCTION("SPARKLINE({
IF(D169="""",0,D169),
IF(F169="""",0,F169),
IF(H169="""",0,H169),
IF(J169="""",0,J169),
IF(L169="""",0,L169),
IF(N169="""",0,N169),
IF(P169="""",0,P169)
})"),"")</f>
        <v/>
      </c>
      <c r="U169" s="7" t="str">
        <f ca="1">IFERROR(__xludf.DUMMYFUNCTION("SPARKLINE({
IF(E169="""",0,E169),
IF(G169="""",0,G169),
IF(I169="""",0,I169),
IF(K169="""",0,K169),
IF(M169="""",0,M169),
IF(O169="""",0,O169),
IF(Q169="""",0,Q169)
})"),"")</f>
        <v/>
      </c>
      <c r="V169" s="30" t="e">
        <f t="array" aca="1" ref="V169" ca="1">IF($C$4="Giao",_xludf.Xlookup(C169,#REF!,#REF!,),_xludf.Xlookup(C169,#REF!,#REF!,))</f>
        <v>#NAME?</v>
      </c>
      <c r="W169" s="30" t="e">
        <f t="array" aca="1" ref="W169" ca="1">IF($C$4="Giao", _xludf.Xlookup(C169,#REF!,#REF!,),_xludf.Xlookup(C169,#REF!,#REF!,))</f>
        <v>#NAME?</v>
      </c>
      <c r="X169" s="9" t="e">
        <f t="shared" ca="1" si="2"/>
        <v>#NAME?</v>
      </c>
      <c r="Y169" s="7"/>
      <c r="Z169" s="7"/>
    </row>
    <row r="170" spans="1:26" ht="13" x14ac:dyDescent="0.6">
      <c r="A170" s="28">
        <f t="shared" ca="1" si="1"/>
        <v>163</v>
      </c>
      <c r="B170" s="7" t="str">
        <f ca="1">IFERROR(__xludf.DUMMYFUNCTION("""COMPUTED_VALUE"""),"Thị xã Bến Cát")</f>
        <v>Thị xã Bến Cát</v>
      </c>
      <c r="C170" s="7" t="str">
        <f ca="1">IFERROR(__xludf.DUMMYFUNCTION("""COMPUTED_VALUE"""),"Bưu Cục Đường NL12-Phường Thới Hòa-Bình Dương")</f>
        <v>Bưu Cục Đường NL12-Phường Thới Hòa-Bình Dương</v>
      </c>
      <c r="D170" s="9">
        <f ca="1">IFERROR(__xludf.DUMMYFUNCTION("""COMPUTED_VALUE"""),916)</f>
        <v>916</v>
      </c>
      <c r="E170" s="9">
        <f ca="1">IFERROR(__xludf.DUMMYFUNCTION("""COMPUTED_VALUE"""),4729)</f>
        <v>4729</v>
      </c>
      <c r="F170" s="9">
        <f ca="1">IFERROR(__xludf.DUMMYFUNCTION("""COMPUTED_VALUE"""),817)</f>
        <v>817</v>
      </c>
      <c r="G170" s="9">
        <f ca="1">IFERROR(__xludf.DUMMYFUNCTION("""COMPUTED_VALUE"""),4766)</f>
        <v>4766</v>
      </c>
      <c r="H170" s="9">
        <f ca="1">IFERROR(__xludf.DUMMYFUNCTION("""COMPUTED_VALUE"""),1011)</f>
        <v>1011</v>
      </c>
      <c r="I170" s="9">
        <f ca="1">IFERROR(__xludf.DUMMYFUNCTION("""COMPUTED_VALUE"""),5207)</f>
        <v>5207</v>
      </c>
      <c r="J170" s="9">
        <f ca="1">IFERROR(__xludf.DUMMYFUNCTION("""COMPUTED_VALUE"""),974)</f>
        <v>974</v>
      </c>
      <c r="K170" s="9">
        <f ca="1">IFERROR(__xludf.DUMMYFUNCTION("""COMPUTED_VALUE"""),4673)</f>
        <v>4673</v>
      </c>
      <c r="L170" s="9">
        <f ca="1">IFERROR(__xludf.DUMMYFUNCTION("""COMPUTED_VALUE"""),849)</f>
        <v>849</v>
      </c>
      <c r="M170" s="9">
        <f ca="1">IFERROR(__xludf.DUMMYFUNCTION("""COMPUTED_VALUE"""),4381)</f>
        <v>4381</v>
      </c>
      <c r="N170" s="9">
        <f ca="1">IFERROR(__xludf.DUMMYFUNCTION("""COMPUTED_VALUE"""),950)</f>
        <v>950</v>
      </c>
      <c r="O170" s="9">
        <f ca="1">IFERROR(__xludf.DUMMYFUNCTION("""COMPUTED_VALUE"""),5742)</f>
        <v>5742</v>
      </c>
      <c r="P170" s="29">
        <f ca="1">IFERROR(__xludf.DUMMYFUNCTION("""COMPUTED_VALUE"""),486)</f>
        <v>486</v>
      </c>
      <c r="Q170" s="29">
        <f ca="1">IFERROR(__xludf.DUMMYFUNCTION("""COMPUTED_VALUE"""),3426)</f>
        <v>3426</v>
      </c>
      <c r="R170" s="7" t="str">
        <f ca="1">IFERROR(__xludf.DUMMYFUNCTION("""COMPUTED_VALUE"""),"Bình Dương")</f>
        <v>Bình Dương</v>
      </c>
      <c r="S170" s="7" t="str">
        <f ca="1">IFERROR(__xludf.DUMMYFUNCTION("""COMPUTED_VALUE"""),"Thị xã Bến Cát")</f>
        <v>Thị xã Bến Cát</v>
      </c>
      <c r="T170" s="7" t="str">
        <f ca="1">IFERROR(__xludf.DUMMYFUNCTION("SPARKLINE({
IF(D170="""",0,D170),
IF(F170="""",0,F170),
IF(H170="""",0,H170),
IF(J170="""",0,J170),
IF(L170="""",0,L170),
IF(N170="""",0,N170),
IF(P170="""",0,P170)
})"),"")</f>
        <v/>
      </c>
      <c r="U170" s="7" t="str">
        <f ca="1">IFERROR(__xludf.DUMMYFUNCTION("SPARKLINE({
IF(E170="""",0,E170),
IF(G170="""",0,G170),
IF(I170="""",0,I170),
IF(K170="""",0,K170),
IF(M170="""",0,M170),
IF(O170="""",0,O170),
IF(Q170="""",0,Q170)
})"),"")</f>
        <v/>
      </c>
      <c r="V170" s="30" t="e">
        <f t="array" aca="1" ref="V170" ca="1">IF($C$4="Giao",_xludf.Xlookup(C170,#REF!,#REF!,),_xludf.Xlookup(C170,#REF!,#REF!,))</f>
        <v>#NAME?</v>
      </c>
      <c r="W170" s="30" t="e">
        <f t="array" aca="1" ref="W170" ca="1">IF($C$4="Giao", _xludf.Xlookup(C170,#REF!,#REF!,),_xludf.Xlookup(C170,#REF!,#REF!,))</f>
        <v>#NAME?</v>
      </c>
      <c r="X170" s="9" t="e">
        <f t="shared" ca="1" si="2"/>
        <v>#NAME?</v>
      </c>
      <c r="Y170" s="7"/>
      <c r="Z170" s="7"/>
    </row>
    <row r="171" spans="1:26" ht="13" x14ac:dyDescent="0.6">
      <c r="A171" s="28">
        <f t="shared" ca="1" si="1"/>
        <v>164</v>
      </c>
      <c r="B171" s="7" t="str">
        <f ca="1">IFERROR(__xludf.DUMMYFUNCTION("""COMPUTED_VALUE"""),"Thị Xã Phú Mỹ")</f>
        <v>Thị Xã Phú Mỹ</v>
      </c>
      <c r="C171" s="7" t="str">
        <f ca="1">IFERROR(__xludf.DUMMYFUNCTION("""COMPUTED_VALUE"""),"Bưu Cục Ấp Phước Sơn-Phú Mỹ-Bà Rịa Vũng Tàu")</f>
        <v>Bưu Cục Ấp Phước Sơn-Phú Mỹ-Bà Rịa Vũng Tàu</v>
      </c>
      <c r="D171" s="9">
        <f ca="1">IFERROR(__xludf.DUMMYFUNCTION("""COMPUTED_VALUE"""),311)</f>
        <v>311</v>
      </c>
      <c r="E171" s="9">
        <f ca="1">IFERROR(__xludf.DUMMYFUNCTION("""COMPUTED_VALUE"""),370)</f>
        <v>370</v>
      </c>
      <c r="F171" s="9">
        <f ca="1">IFERROR(__xludf.DUMMYFUNCTION("""COMPUTED_VALUE"""),188)</f>
        <v>188</v>
      </c>
      <c r="G171" s="9">
        <f ca="1">IFERROR(__xludf.DUMMYFUNCTION("""COMPUTED_VALUE"""),209)</f>
        <v>209</v>
      </c>
      <c r="H171" s="9">
        <f ca="1">IFERROR(__xludf.DUMMYFUNCTION("""COMPUTED_VALUE"""),245)</f>
        <v>245</v>
      </c>
      <c r="I171" s="9">
        <f ca="1">IFERROR(__xludf.DUMMYFUNCTION("""COMPUTED_VALUE"""),232)</f>
        <v>232</v>
      </c>
      <c r="J171" s="9">
        <f ca="1">IFERROR(__xludf.DUMMYFUNCTION("""COMPUTED_VALUE"""),201)</f>
        <v>201</v>
      </c>
      <c r="K171" s="9">
        <f ca="1">IFERROR(__xludf.DUMMYFUNCTION("""COMPUTED_VALUE"""),355)</f>
        <v>355</v>
      </c>
      <c r="L171" s="9">
        <f ca="1">IFERROR(__xludf.DUMMYFUNCTION("""COMPUTED_VALUE"""),326)</f>
        <v>326</v>
      </c>
      <c r="M171" s="9">
        <f ca="1">IFERROR(__xludf.DUMMYFUNCTION("""COMPUTED_VALUE"""),151)</f>
        <v>151</v>
      </c>
      <c r="N171" s="9">
        <f ca="1">IFERROR(__xludf.DUMMYFUNCTION("""COMPUTED_VALUE"""),293)</f>
        <v>293</v>
      </c>
      <c r="O171" s="9">
        <f ca="1">IFERROR(__xludf.DUMMYFUNCTION("""COMPUTED_VALUE"""),430)</f>
        <v>430</v>
      </c>
      <c r="P171" s="29">
        <f ca="1">IFERROR(__xludf.DUMMYFUNCTION("""COMPUTED_VALUE"""),329)</f>
        <v>329</v>
      </c>
      <c r="Q171" s="29">
        <f ca="1">IFERROR(__xludf.DUMMYFUNCTION("""COMPUTED_VALUE"""),378)</f>
        <v>378</v>
      </c>
      <c r="R171" s="7" t="str">
        <f ca="1">IFERROR(__xludf.DUMMYFUNCTION("""COMPUTED_VALUE"""),"Bà Rịa - Vũng Tàu")</f>
        <v>Bà Rịa - Vũng Tàu</v>
      </c>
      <c r="S171" s="7" t="str">
        <f ca="1">IFERROR(__xludf.DUMMYFUNCTION("""COMPUTED_VALUE"""),"Thị Xã Phú Mỹ")</f>
        <v>Thị Xã Phú Mỹ</v>
      </c>
      <c r="T171" s="7" t="str">
        <f ca="1">IFERROR(__xludf.DUMMYFUNCTION("SPARKLINE({
IF(D171="""",0,D171),
IF(F171="""",0,F171),
IF(H171="""",0,H171),
IF(J171="""",0,J171),
IF(L171="""",0,L171),
IF(N171="""",0,N171),
IF(P171="""",0,P171)
})"),"")</f>
        <v/>
      </c>
      <c r="U171" s="7" t="str">
        <f ca="1">IFERROR(__xludf.DUMMYFUNCTION("SPARKLINE({
IF(E171="""",0,E171),
IF(G171="""",0,G171),
IF(I171="""",0,I171),
IF(K171="""",0,K171),
IF(M171="""",0,M171),
IF(O171="""",0,O171),
IF(Q171="""",0,Q171)
})"),"")</f>
        <v/>
      </c>
      <c r="V171" s="30" t="e">
        <f t="array" aca="1" ref="V171" ca="1">IF($C$4="Giao",_xludf.Xlookup(C171,#REF!,#REF!,),_xludf.Xlookup(C171,#REF!,#REF!,))</f>
        <v>#NAME?</v>
      </c>
      <c r="W171" s="30" t="e">
        <f t="array" aca="1" ref="W171" ca="1">IF($C$4="Giao", _xludf.Xlookup(C171,#REF!,#REF!,),_xludf.Xlookup(C171,#REF!,#REF!,))</f>
        <v>#NAME?</v>
      </c>
      <c r="X171" s="9" t="e">
        <f t="shared" ca="1" si="2"/>
        <v>#NAME?</v>
      </c>
      <c r="Y171" s="7"/>
      <c r="Z171" s="7"/>
    </row>
    <row r="172" spans="1:26" ht="13" x14ac:dyDescent="0.6">
      <c r="A172" s="28">
        <f t="shared" ca="1" si="1"/>
        <v>165</v>
      </c>
      <c r="B172" s="7" t="str">
        <f ca="1">IFERROR(__xludf.DUMMYFUNCTION("""COMPUTED_VALUE"""),"Thị Xã Phú Mỹ")</f>
        <v>Thị Xã Phú Mỹ</v>
      </c>
      <c r="C172" s="7" t="str">
        <f ca="1">IFERROR(__xludf.DUMMYFUNCTION("""COMPUTED_VALUE"""),"Bưu Cục Khu Phố Vạn Hạnh-Phú Mỹ-Bà Rịa Vũng Tàu")</f>
        <v>Bưu Cục Khu Phố Vạn Hạnh-Phú Mỹ-Bà Rịa Vũng Tàu</v>
      </c>
      <c r="D172" s="9">
        <f ca="1">IFERROR(__xludf.DUMMYFUNCTION("""COMPUTED_VALUE"""),178)</f>
        <v>178</v>
      </c>
      <c r="E172" s="9">
        <f ca="1">IFERROR(__xludf.DUMMYFUNCTION("""COMPUTED_VALUE"""),589)</f>
        <v>589</v>
      </c>
      <c r="F172" s="9">
        <f ca="1">IFERROR(__xludf.DUMMYFUNCTION("""COMPUTED_VALUE"""),183)</f>
        <v>183</v>
      </c>
      <c r="G172" s="9">
        <f ca="1">IFERROR(__xludf.DUMMYFUNCTION("""COMPUTED_VALUE"""),268)</f>
        <v>268</v>
      </c>
      <c r="H172" s="9">
        <f ca="1">IFERROR(__xludf.DUMMYFUNCTION("""COMPUTED_VALUE"""),178)</f>
        <v>178</v>
      </c>
      <c r="I172" s="9">
        <f ca="1">IFERROR(__xludf.DUMMYFUNCTION("""COMPUTED_VALUE"""),434)</f>
        <v>434</v>
      </c>
      <c r="J172" s="9">
        <f ca="1">IFERROR(__xludf.DUMMYFUNCTION("""COMPUTED_VALUE"""),239)</f>
        <v>239</v>
      </c>
      <c r="K172" s="9">
        <f ca="1">IFERROR(__xludf.DUMMYFUNCTION("""COMPUTED_VALUE"""),538)</f>
        <v>538</v>
      </c>
      <c r="L172" s="9">
        <f ca="1">IFERROR(__xludf.DUMMYFUNCTION("""COMPUTED_VALUE"""),214)</f>
        <v>214</v>
      </c>
      <c r="M172" s="9">
        <f ca="1">IFERROR(__xludf.DUMMYFUNCTION("""COMPUTED_VALUE"""),209)</f>
        <v>209</v>
      </c>
      <c r="N172" s="9">
        <f ca="1">IFERROR(__xludf.DUMMYFUNCTION("""COMPUTED_VALUE"""),180)</f>
        <v>180</v>
      </c>
      <c r="O172" s="9">
        <f ca="1">IFERROR(__xludf.DUMMYFUNCTION("""COMPUTED_VALUE"""),244)</f>
        <v>244</v>
      </c>
      <c r="P172" s="29">
        <f ca="1">IFERROR(__xludf.DUMMYFUNCTION("""COMPUTED_VALUE"""),152)</f>
        <v>152</v>
      </c>
      <c r="Q172" s="29">
        <f ca="1">IFERROR(__xludf.DUMMYFUNCTION("""COMPUTED_VALUE"""),193)</f>
        <v>193</v>
      </c>
      <c r="R172" s="7" t="str">
        <f ca="1">IFERROR(__xludf.DUMMYFUNCTION("""COMPUTED_VALUE"""),"Bà Rịa - Vũng Tàu")</f>
        <v>Bà Rịa - Vũng Tàu</v>
      </c>
      <c r="S172" s="7" t="str">
        <f ca="1">IFERROR(__xludf.DUMMYFUNCTION("""COMPUTED_VALUE"""),"Thị Xã Phú Mỹ")</f>
        <v>Thị Xã Phú Mỹ</v>
      </c>
      <c r="T172" s="7" t="str">
        <f ca="1">IFERROR(__xludf.DUMMYFUNCTION("SPARKLINE({
IF(D172="""",0,D172),
IF(F172="""",0,F172),
IF(H172="""",0,H172),
IF(J172="""",0,J172),
IF(L172="""",0,L172),
IF(N172="""",0,N172),
IF(P172="""",0,P172)
})"),"")</f>
        <v/>
      </c>
      <c r="U172" s="7" t="str">
        <f ca="1">IFERROR(__xludf.DUMMYFUNCTION("SPARKLINE({
IF(E172="""",0,E172),
IF(G172="""",0,G172),
IF(I172="""",0,I172),
IF(K172="""",0,K172),
IF(M172="""",0,M172),
IF(O172="""",0,O172),
IF(Q172="""",0,Q172)
})"),"")</f>
        <v/>
      </c>
      <c r="V172" s="30" t="e">
        <f t="array" aca="1" ref="V172" ca="1">IF($C$4="Giao",_xludf.Xlookup(C172,#REF!,#REF!,),_xludf.Xlookup(C172,#REF!,#REF!,))</f>
        <v>#NAME?</v>
      </c>
      <c r="W172" s="30" t="e">
        <f t="array" aca="1" ref="W172" ca="1">IF($C$4="Giao", _xludf.Xlookup(C172,#REF!,#REF!,),_xludf.Xlookup(C172,#REF!,#REF!,))</f>
        <v>#NAME?</v>
      </c>
      <c r="X172" s="9" t="e">
        <f t="shared" ca="1" si="2"/>
        <v>#NAME?</v>
      </c>
      <c r="Y172" s="7"/>
      <c r="Z172" s="7"/>
    </row>
    <row r="173" spans="1:26" ht="13" x14ac:dyDescent="0.6">
      <c r="A173" s="28">
        <f t="shared" ca="1" si="1"/>
        <v>166</v>
      </c>
      <c r="B173" s="7" t="str">
        <f ca="1">IFERROR(__xludf.DUMMYFUNCTION("""COMPUTED_VALUE"""),"Thị Xã Phú Mỹ")</f>
        <v>Thị Xã Phú Mỹ</v>
      </c>
      <c r="C173" s="7" t="str">
        <f ca="1">IFERROR(__xludf.DUMMYFUNCTION("""COMPUTED_VALUE"""),"Bưu Cục KP Trảng Lớn-Phú Mỹ-Hắc Dịch-Bà Rịa Vũng Tàu")</f>
        <v>Bưu Cục KP Trảng Lớn-Phú Mỹ-Hắc Dịch-Bà Rịa Vũng Tàu</v>
      </c>
      <c r="D173" s="9">
        <f ca="1">IFERROR(__xludf.DUMMYFUNCTION("""COMPUTED_VALUE"""),296)</f>
        <v>296</v>
      </c>
      <c r="E173" s="9">
        <f ca="1">IFERROR(__xludf.DUMMYFUNCTION("""COMPUTED_VALUE"""),639)</f>
        <v>639</v>
      </c>
      <c r="F173" s="9">
        <f ca="1">IFERROR(__xludf.DUMMYFUNCTION("""COMPUTED_VALUE"""),227)</f>
        <v>227</v>
      </c>
      <c r="G173" s="9">
        <f ca="1">IFERROR(__xludf.DUMMYFUNCTION("""COMPUTED_VALUE"""),616)</f>
        <v>616</v>
      </c>
      <c r="H173" s="9">
        <f ca="1">IFERROR(__xludf.DUMMYFUNCTION("""COMPUTED_VALUE"""),237)</f>
        <v>237</v>
      </c>
      <c r="I173" s="9">
        <f ca="1">IFERROR(__xludf.DUMMYFUNCTION("""COMPUTED_VALUE"""),517)</f>
        <v>517</v>
      </c>
      <c r="J173" s="9">
        <f ca="1">IFERROR(__xludf.DUMMYFUNCTION("""COMPUTED_VALUE"""),248)</f>
        <v>248</v>
      </c>
      <c r="K173" s="9">
        <f ca="1">IFERROR(__xludf.DUMMYFUNCTION("""COMPUTED_VALUE"""),479)</f>
        <v>479</v>
      </c>
      <c r="L173" s="9">
        <f ca="1">IFERROR(__xludf.DUMMYFUNCTION("""COMPUTED_VALUE"""),79)</f>
        <v>79</v>
      </c>
      <c r="M173" s="9">
        <f ca="1">IFERROR(__xludf.DUMMYFUNCTION("""COMPUTED_VALUE"""),192)</f>
        <v>192</v>
      </c>
      <c r="N173" s="9">
        <f ca="1">IFERROR(__xludf.DUMMYFUNCTION("""COMPUTED_VALUE"""),374)</f>
        <v>374</v>
      </c>
      <c r="O173" s="9">
        <f ca="1">IFERROR(__xludf.DUMMYFUNCTION("""COMPUTED_VALUE"""),571)</f>
        <v>571</v>
      </c>
      <c r="P173" s="29">
        <f ca="1">IFERROR(__xludf.DUMMYFUNCTION("""COMPUTED_VALUE"""),249)</f>
        <v>249</v>
      </c>
      <c r="Q173" s="29">
        <f ca="1">IFERROR(__xludf.DUMMYFUNCTION("""COMPUTED_VALUE"""),635)</f>
        <v>635</v>
      </c>
      <c r="R173" s="7" t="str">
        <f ca="1">IFERROR(__xludf.DUMMYFUNCTION("""COMPUTED_VALUE"""),"Bà Rịa - Vũng Tàu")</f>
        <v>Bà Rịa - Vũng Tàu</v>
      </c>
      <c r="S173" s="7" t="str">
        <f ca="1">IFERROR(__xludf.DUMMYFUNCTION("""COMPUTED_VALUE"""),"Thị Xã Phú Mỹ")</f>
        <v>Thị Xã Phú Mỹ</v>
      </c>
      <c r="T173" s="7" t="str">
        <f ca="1">IFERROR(__xludf.DUMMYFUNCTION("SPARKLINE({
IF(D173="""",0,D173),
IF(F173="""",0,F173),
IF(H173="""",0,H173),
IF(J173="""",0,J173),
IF(L173="""",0,L173),
IF(N173="""",0,N173),
IF(P173="""",0,P173)
})"),"")</f>
        <v/>
      </c>
      <c r="U173" s="7" t="str">
        <f ca="1">IFERROR(__xludf.DUMMYFUNCTION("SPARKLINE({
IF(E173="""",0,E173),
IF(G173="""",0,G173),
IF(I173="""",0,I173),
IF(K173="""",0,K173),
IF(M173="""",0,M173),
IF(O173="""",0,O173),
IF(Q173="""",0,Q173)
})"),"")</f>
        <v/>
      </c>
      <c r="V173" s="30" t="e">
        <f t="array" aca="1" ref="V173" ca="1">IF($C$4="Giao",_xludf.Xlookup(C173,#REF!,#REF!,),_xludf.Xlookup(C173,#REF!,#REF!,))</f>
        <v>#NAME?</v>
      </c>
      <c r="W173" s="30" t="e">
        <f t="array" aca="1" ref="W173" ca="1">IF($C$4="Giao", _xludf.Xlookup(C173,#REF!,#REF!,),_xludf.Xlookup(C173,#REF!,#REF!,))</f>
        <v>#NAME?</v>
      </c>
      <c r="X173" s="9" t="e">
        <f t="shared" ca="1" si="2"/>
        <v>#NAME?</v>
      </c>
      <c r="Y173" s="7"/>
      <c r="Z173" s="7"/>
    </row>
    <row r="174" spans="1:26" ht="13" x14ac:dyDescent="0.6">
      <c r="A174" s="28" t="str">
        <f t="shared" si="1"/>
        <v/>
      </c>
      <c r="B174" s="7"/>
      <c r="C174" s="7"/>
      <c r="D174" s="9"/>
      <c r="E174" s="9"/>
      <c r="F174" s="9"/>
      <c r="G174" s="9"/>
      <c r="H174" s="9"/>
      <c r="I174" s="9"/>
      <c r="J174" s="9"/>
      <c r="K174" s="9"/>
      <c r="L174" s="9"/>
      <c r="M174" s="9"/>
      <c r="N174" s="9"/>
      <c r="O174" s="9"/>
      <c r="P174" s="29"/>
      <c r="Q174" s="29"/>
      <c r="R174" s="7"/>
      <c r="S174" s="7"/>
      <c r="T174" s="7" t="str">
        <f ca="1">IFERROR(__xludf.DUMMYFUNCTION("SPARKLINE({
IF(D174="""",0,D174),
IF(F174="""",0,F174),
IF(H174="""",0,H174),
IF(J174="""",0,J174),
IF(L174="""",0,L174),
IF(N174="""",0,N174),
IF(P174="""",0,P174)
})"),"")</f>
        <v/>
      </c>
      <c r="U174" s="7" t="str">
        <f ca="1">IFERROR(__xludf.DUMMYFUNCTION("SPARKLINE({
IF(E174="""",0,E174),
IF(G174="""",0,G174),
IF(I174="""",0,I174),
IF(K174="""",0,K174),
IF(M174="""",0,M174),
IF(O174="""",0,O174),
IF(Q174="""",0,Q174)
})"),"")</f>
        <v/>
      </c>
      <c r="V174" s="8" t="e">
        <f t="array" aca="1" ref="V174" ca="1">IF($C$4="Giao",_xludf.Xlookup(C174,#REF!,#REF!,),_xludf.Xlookup(C174,#REF!,#REF!,))</f>
        <v>#NAME?</v>
      </c>
      <c r="W174" s="8" t="e">
        <f t="array" aca="1" ref="W174" ca="1">IF($C$4="Giao", _xludf.Xlookup(C174,#REF!,#REF!,),_xludf.Xlookup(C174,#REF!,#REF!,))</f>
        <v>#NAME?</v>
      </c>
      <c r="X174" s="9" t="e">
        <f t="shared" ca="1" si="2"/>
        <v>#NAME?</v>
      </c>
      <c r="Y174" s="7"/>
      <c r="Z174" s="7"/>
    </row>
    <row r="175" spans="1:26" ht="13" x14ac:dyDescent="0.6">
      <c r="A175" s="28" t="str">
        <f t="shared" si="1"/>
        <v/>
      </c>
      <c r="B175" s="7"/>
      <c r="C175" s="7"/>
      <c r="D175" s="9"/>
      <c r="E175" s="9"/>
      <c r="F175" s="9"/>
      <c r="G175" s="9"/>
      <c r="H175" s="9"/>
      <c r="I175" s="9"/>
      <c r="J175" s="9"/>
      <c r="K175" s="9"/>
      <c r="L175" s="9"/>
      <c r="M175" s="9"/>
      <c r="N175" s="9"/>
      <c r="O175" s="9"/>
      <c r="P175" s="29"/>
      <c r="Q175" s="29"/>
      <c r="R175" s="7"/>
      <c r="S175" s="7"/>
      <c r="T175" s="7" t="str">
        <f ca="1">IFERROR(__xludf.DUMMYFUNCTION("SPARKLINE({
IF(D175="""",0,D175),
IF(F175="""",0,F175),
IF(H175="""",0,H175),
IF(J175="""",0,J175),
IF(L175="""",0,L175),
IF(N175="""",0,N175),
IF(P175="""",0,P175)
})"),"")</f>
        <v/>
      </c>
      <c r="U175" s="7" t="str">
        <f ca="1">IFERROR(__xludf.DUMMYFUNCTION("SPARKLINE({
IF(E175="""",0,E175),
IF(G175="""",0,G175),
IF(I175="""",0,I175),
IF(K175="""",0,K175),
IF(M175="""",0,M175),
IF(O175="""",0,O175),
IF(Q175="""",0,Q175)
})"),"")</f>
        <v/>
      </c>
      <c r="V175" s="8" t="e">
        <f t="array" aca="1" ref="V175" ca="1">IF($C$4="Giao",_xludf.Xlookup(C175,#REF!,#REF!,),_xludf.Xlookup(C175,#REF!,#REF!,))</f>
        <v>#NAME?</v>
      </c>
      <c r="W175" s="8" t="e">
        <f t="array" aca="1" ref="W175" ca="1">IF($C$4="Giao", _xludf.Xlookup(C175,#REF!,#REF!,),_xludf.Xlookup(C175,#REF!,#REF!,))</f>
        <v>#NAME?</v>
      </c>
      <c r="X175" s="9" t="e">
        <f t="shared" ca="1" si="2"/>
        <v>#NAME?</v>
      </c>
      <c r="Y175" s="7"/>
      <c r="Z175" s="7"/>
    </row>
    <row r="176" spans="1:26" ht="13" x14ac:dyDescent="0.6">
      <c r="A176" s="28" t="str">
        <f t="shared" si="1"/>
        <v/>
      </c>
      <c r="B176" s="7"/>
      <c r="C176" s="7"/>
      <c r="D176" s="9"/>
      <c r="E176" s="9"/>
      <c r="F176" s="9"/>
      <c r="G176" s="9"/>
      <c r="H176" s="9"/>
      <c r="I176" s="9"/>
      <c r="J176" s="9"/>
      <c r="K176" s="9"/>
      <c r="L176" s="9"/>
      <c r="M176" s="9"/>
      <c r="N176" s="9"/>
      <c r="O176" s="9"/>
      <c r="P176" s="29"/>
      <c r="Q176" s="29"/>
      <c r="R176" s="7"/>
      <c r="S176" s="7"/>
      <c r="T176" s="7" t="str">
        <f ca="1">IFERROR(__xludf.DUMMYFUNCTION("SPARKLINE({
IF(D176="""",0,D176),
IF(F176="""",0,F176),
IF(H176="""",0,H176),
IF(J176="""",0,J176),
IF(L176="""",0,L176),
IF(N176="""",0,N176),
IF(P176="""",0,P176)
})"),"")</f>
        <v/>
      </c>
      <c r="U176" s="7" t="str">
        <f ca="1">IFERROR(__xludf.DUMMYFUNCTION("SPARKLINE({
IF(E176="""",0,E176),
IF(G176="""",0,G176),
IF(I176="""",0,I176),
IF(K176="""",0,K176),
IF(M176="""",0,M176),
IF(O176="""",0,O176),
IF(Q176="""",0,Q176)
})"),"")</f>
        <v/>
      </c>
      <c r="V176" s="8" t="e">
        <f t="array" aca="1" ref="V176" ca="1">IF($C$4="Giao",_xludf.Xlookup(C176,#REF!,#REF!,),_xludf.Xlookup(C176,#REF!,#REF!,))</f>
        <v>#NAME?</v>
      </c>
      <c r="W176" s="8" t="e">
        <f t="array" aca="1" ref="W176" ca="1">IF($C$4="Giao", _xludf.Xlookup(C176,#REF!,#REF!,),_xludf.Xlookup(C176,#REF!,#REF!,))</f>
        <v>#NAME?</v>
      </c>
      <c r="X176" s="9" t="e">
        <f t="shared" ca="1" si="2"/>
        <v>#NAME?</v>
      </c>
      <c r="Y176" s="7"/>
      <c r="Z176" s="7"/>
    </row>
    <row r="177" spans="1:26" ht="13" x14ac:dyDescent="0.6">
      <c r="A177" s="28" t="str">
        <f t="shared" si="1"/>
        <v/>
      </c>
      <c r="B177" s="7"/>
      <c r="C177" s="7"/>
      <c r="D177" s="9"/>
      <c r="E177" s="9"/>
      <c r="F177" s="9"/>
      <c r="G177" s="9"/>
      <c r="H177" s="9"/>
      <c r="I177" s="9"/>
      <c r="J177" s="9"/>
      <c r="K177" s="9"/>
      <c r="L177" s="9"/>
      <c r="M177" s="9"/>
      <c r="N177" s="9"/>
      <c r="O177" s="9"/>
      <c r="P177" s="29"/>
      <c r="Q177" s="29"/>
      <c r="R177" s="7"/>
      <c r="S177" s="7"/>
      <c r="T177" s="7" t="str">
        <f ca="1">IFERROR(__xludf.DUMMYFUNCTION("SPARKLINE({
IF(D177="""",0,D177),
IF(F177="""",0,F177),
IF(H177="""",0,H177),
IF(J177="""",0,J177),
IF(L177="""",0,L177),
IF(N177="""",0,N177),
IF(P177="""",0,P177)
})"),"")</f>
        <v/>
      </c>
      <c r="U177" s="7" t="str">
        <f ca="1">IFERROR(__xludf.DUMMYFUNCTION("SPARKLINE({
IF(E177="""",0,E177),
IF(G177="""",0,G177),
IF(I177="""",0,I177),
IF(K177="""",0,K177),
IF(M177="""",0,M177),
IF(O177="""",0,O177),
IF(Q177="""",0,Q177)
})"),"")</f>
        <v/>
      </c>
      <c r="V177" s="8" t="e">
        <f t="array" aca="1" ref="V177" ca="1">IF($C$4="Giao",_xludf.Xlookup(C177,#REF!,#REF!,),_xludf.Xlookup(C177,#REF!,#REF!,))</f>
        <v>#NAME?</v>
      </c>
      <c r="W177" s="8" t="e">
        <f t="array" aca="1" ref="W177" ca="1">IF($C$4="Giao", _xludf.Xlookup(C177,#REF!,#REF!,),_xludf.Xlookup(C177,#REF!,#REF!,))</f>
        <v>#NAME?</v>
      </c>
      <c r="X177" s="9" t="e">
        <f t="shared" ca="1" si="2"/>
        <v>#NAME?</v>
      </c>
      <c r="Y177" s="7"/>
      <c r="Z177" s="7"/>
    </row>
    <row r="178" spans="1:26" ht="13" x14ac:dyDescent="0.6">
      <c r="A178" s="28" t="str">
        <f t="shared" si="1"/>
        <v/>
      </c>
      <c r="B178" s="7"/>
      <c r="C178" s="7"/>
      <c r="D178" s="9"/>
      <c r="E178" s="9"/>
      <c r="F178" s="9"/>
      <c r="G178" s="9"/>
      <c r="H178" s="9"/>
      <c r="I178" s="9"/>
      <c r="J178" s="9"/>
      <c r="K178" s="9"/>
      <c r="L178" s="9"/>
      <c r="M178" s="9"/>
      <c r="N178" s="9"/>
      <c r="O178" s="9"/>
      <c r="P178" s="29"/>
      <c r="Q178" s="29"/>
      <c r="R178" s="7"/>
      <c r="S178" s="7"/>
      <c r="T178" s="7" t="str">
        <f ca="1">IFERROR(__xludf.DUMMYFUNCTION("SPARKLINE({
IF(D178="""",0,D178),
IF(F178="""",0,F178),
IF(H178="""",0,H178),
IF(J178="""",0,J178),
IF(L178="""",0,L178),
IF(N178="""",0,N178),
IF(P178="""",0,P178)
})"),"")</f>
        <v/>
      </c>
      <c r="U178" s="7" t="str">
        <f ca="1">IFERROR(__xludf.DUMMYFUNCTION("SPARKLINE({
IF(E178="""",0,E178),
IF(G178="""",0,G178),
IF(I178="""",0,I178),
IF(K178="""",0,K178),
IF(M178="""",0,M178),
IF(O178="""",0,O178),
IF(Q178="""",0,Q178)
})"),"")</f>
        <v/>
      </c>
      <c r="V178" s="8" t="e">
        <f t="array" aca="1" ref="V178" ca="1">IF($C$4="Giao",_xludf.Xlookup(C178,#REF!,#REF!,),_xludf.Xlookup(C178,#REF!,#REF!,))</f>
        <v>#NAME?</v>
      </c>
      <c r="W178" s="8" t="e">
        <f t="array" aca="1" ref="W178" ca="1">IF($C$4="Giao", _xludf.Xlookup(C178,#REF!,#REF!,),_xludf.Xlookup(C178,#REF!,#REF!,))</f>
        <v>#NAME?</v>
      </c>
      <c r="X178" s="9" t="e">
        <f t="shared" ca="1" si="2"/>
        <v>#NAME?</v>
      </c>
      <c r="Y178" s="7"/>
      <c r="Z178" s="7"/>
    </row>
    <row r="179" spans="1:26" ht="13" x14ac:dyDescent="0.6">
      <c r="A179" s="28" t="str">
        <f t="shared" si="1"/>
        <v/>
      </c>
      <c r="B179" s="7"/>
      <c r="C179" s="7"/>
      <c r="D179" s="9"/>
      <c r="E179" s="9"/>
      <c r="F179" s="9"/>
      <c r="G179" s="9"/>
      <c r="H179" s="9"/>
      <c r="I179" s="9"/>
      <c r="J179" s="9"/>
      <c r="K179" s="9"/>
      <c r="L179" s="9"/>
      <c r="M179" s="9"/>
      <c r="N179" s="9"/>
      <c r="O179" s="9"/>
      <c r="P179" s="29"/>
      <c r="Q179" s="29"/>
      <c r="R179" s="7"/>
      <c r="S179" s="7"/>
      <c r="T179" s="7" t="str">
        <f ca="1">IFERROR(__xludf.DUMMYFUNCTION("SPARKLINE({
IF(D179="""",0,D179),
IF(F179="""",0,F179),
IF(H179="""",0,H179),
IF(J179="""",0,J179),
IF(L179="""",0,L179),
IF(N179="""",0,N179),
IF(P179="""",0,P179)
})"),"")</f>
        <v/>
      </c>
      <c r="U179" s="7" t="str">
        <f ca="1">IFERROR(__xludf.DUMMYFUNCTION("SPARKLINE({
IF(E179="""",0,E179),
IF(G179="""",0,G179),
IF(I179="""",0,I179),
IF(K179="""",0,K179),
IF(M179="""",0,M179),
IF(O179="""",0,O179),
IF(Q179="""",0,Q179)
})"),"")</f>
        <v/>
      </c>
      <c r="V179" s="8" t="e">
        <f t="array" aca="1" ref="V179" ca="1">IF($C$4="Giao",_xludf.Xlookup(C179,#REF!,#REF!,),_xludf.Xlookup(C179,#REF!,#REF!,))</f>
        <v>#NAME?</v>
      </c>
      <c r="W179" s="8" t="e">
        <f t="array" aca="1" ref="W179" ca="1">IF($C$4="Giao", _xludf.Xlookup(C179,#REF!,#REF!,),_xludf.Xlookup(C179,#REF!,#REF!,))</f>
        <v>#NAME?</v>
      </c>
      <c r="X179" s="9" t="e">
        <f t="shared" ca="1" si="2"/>
        <v>#NAME?</v>
      </c>
      <c r="Y179" s="7"/>
      <c r="Z179" s="7"/>
    </row>
    <row r="180" spans="1:26" ht="13" x14ac:dyDescent="0.6">
      <c r="A180" s="28" t="str">
        <f t="shared" si="1"/>
        <v/>
      </c>
      <c r="B180" s="7"/>
      <c r="C180" s="7"/>
      <c r="D180" s="9"/>
      <c r="E180" s="9"/>
      <c r="F180" s="9"/>
      <c r="G180" s="9"/>
      <c r="H180" s="9"/>
      <c r="I180" s="9"/>
      <c r="J180" s="9"/>
      <c r="K180" s="9"/>
      <c r="L180" s="9"/>
      <c r="M180" s="9"/>
      <c r="N180" s="9"/>
      <c r="O180" s="9"/>
      <c r="P180" s="29"/>
      <c r="Q180" s="29"/>
      <c r="R180" s="7"/>
      <c r="S180" s="7"/>
      <c r="T180" s="7" t="str">
        <f ca="1">IFERROR(__xludf.DUMMYFUNCTION("SPARKLINE({
IF(D180="""",0,D180),
IF(F180="""",0,F180),
IF(H180="""",0,H180),
IF(J180="""",0,J180),
IF(L180="""",0,L180),
IF(N180="""",0,N180),
IF(P180="""",0,P180)
})"),"")</f>
        <v/>
      </c>
      <c r="U180" s="7" t="str">
        <f ca="1">IFERROR(__xludf.DUMMYFUNCTION("SPARKLINE({
IF(E180="""",0,E180),
IF(G180="""",0,G180),
IF(I180="""",0,I180),
IF(K180="""",0,K180),
IF(M180="""",0,M180),
IF(O180="""",0,O180),
IF(Q180="""",0,Q180)
})"),"")</f>
        <v/>
      </c>
      <c r="V180" s="8" t="e">
        <f t="array" aca="1" ref="V180" ca="1">IF($C$4="Giao",_xludf.Xlookup(C180,#REF!,#REF!,),_xludf.Xlookup(C180,#REF!,#REF!,))</f>
        <v>#NAME?</v>
      </c>
      <c r="W180" s="8" t="e">
        <f t="array" aca="1" ref="W180" ca="1">IF($C$4="Giao", _xludf.Xlookup(C180,#REF!,#REF!,),_xludf.Xlookup(C180,#REF!,#REF!,))</f>
        <v>#NAME?</v>
      </c>
      <c r="X180" s="9" t="e">
        <f t="shared" ca="1" si="2"/>
        <v>#NAME?</v>
      </c>
      <c r="Y180" s="7"/>
      <c r="Z180" s="7"/>
    </row>
    <row r="181" spans="1:26" ht="13" x14ac:dyDescent="0.6">
      <c r="A181" s="28" t="str">
        <f t="shared" si="1"/>
        <v/>
      </c>
      <c r="B181" s="7"/>
      <c r="C181" s="7"/>
      <c r="D181" s="9"/>
      <c r="E181" s="9"/>
      <c r="F181" s="9"/>
      <c r="G181" s="9"/>
      <c r="H181" s="9"/>
      <c r="I181" s="9"/>
      <c r="J181" s="9"/>
      <c r="K181" s="9"/>
      <c r="L181" s="9"/>
      <c r="M181" s="9"/>
      <c r="N181" s="9"/>
      <c r="O181" s="9"/>
      <c r="P181" s="29"/>
      <c r="Q181" s="29"/>
      <c r="R181" s="7"/>
      <c r="S181" s="7"/>
      <c r="T181" s="7" t="str">
        <f ca="1">IFERROR(__xludf.DUMMYFUNCTION("SPARKLINE({
IF(D181="""",0,D181),
IF(F181="""",0,F181),
IF(H181="""",0,H181),
IF(J181="""",0,J181),
IF(L181="""",0,L181),
IF(N181="""",0,N181),
IF(P181="""",0,P181)
})"),"")</f>
        <v/>
      </c>
      <c r="U181" s="7" t="str">
        <f ca="1">IFERROR(__xludf.DUMMYFUNCTION("SPARKLINE({
IF(E181="""",0,E181),
IF(G181="""",0,G181),
IF(I181="""",0,I181),
IF(K181="""",0,K181),
IF(M181="""",0,M181),
IF(O181="""",0,O181),
IF(Q181="""",0,Q181)
})"),"")</f>
        <v/>
      </c>
      <c r="V181" s="8" t="e">
        <f t="array" aca="1" ref="V181" ca="1">IF($C$4="Giao",_xludf.Xlookup(C181,#REF!,#REF!,),_xludf.Xlookup(C181,#REF!,#REF!,))</f>
        <v>#NAME?</v>
      </c>
      <c r="W181" s="8">
        <f t="array" ref="W181">IF($C$4="Giao", _xludf.Xlookup(C181,#REF!,#REF!,),)</f>
        <v>0</v>
      </c>
      <c r="X181" s="9">
        <f t="shared" si="2"/>
        <v>0</v>
      </c>
      <c r="Y181" s="7"/>
      <c r="Z181" s="7"/>
    </row>
    <row r="182" spans="1:26" ht="13" x14ac:dyDescent="0.6">
      <c r="A182" s="28" t="str">
        <f t="shared" si="1"/>
        <v/>
      </c>
      <c r="B182" s="7"/>
      <c r="C182" s="7"/>
      <c r="D182" s="9"/>
      <c r="E182" s="9"/>
      <c r="F182" s="9"/>
      <c r="G182" s="9"/>
      <c r="H182" s="9"/>
      <c r="I182" s="9"/>
      <c r="J182" s="9"/>
      <c r="K182" s="9"/>
      <c r="L182" s="9"/>
      <c r="M182" s="9"/>
      <c r="N182" s="9"/>
      <c r="O182" s="9"/>
      <c r="P182" s="29"/>
      <c r="Q182" s="29"/>
      <c r="R182" s="7"/>
      <c r="S182" s="7"/>
      <c r="T182" s="7" t="str">
        <f ca="1">IFERROR(__xludf.DUMMYFUNCTION("SPARKLINE({
IF(D182="""",0,D182),
IF(F182="""",0,F182),
IF(H182="""",0,H182),
IF(J182="""",0,J182),
IF(L182="""",0,L182),
IF(N182="""",0,N182),
IF(P182="""",0,P182)
})"),"")</f>
        <v/>
      </c>
      <c r="U182" s="7" t="str">
        <f ca="1">IFERROR(__xludf.DUMMYFUNCTION("SPARKLINE({
IF(E182="""",0,E182),
IF(G182="""",0,G182),
IF(I182="""",0,I182),
IF(K182="""",0,K182),
IF(M182="""",0,M182),
IF(O182="""",0,O182),
IF(Q182="""",0,Q182)
})"),"")</f>
        <v/>
      </c>
      <c r="V182" s="8" t="e">
        <f t="array" aca="1" ref="V182" ca="1">IF($C$4="Giao",_xludf.Xlookup(C182,#REF!,#REF!,),_xludf.Xlookup(C182,#REF!,#REF!,))</f>
        <v>#NAME?</v>
      </c>
      <c r="W182" s="8">
        <f t="array" ref="W182">IF($C$4="Giao", _xludf.Xlookup(C182,#REF!,#REF!,),)</f>
        <v>0</v>
      </c>
      <c r="X182" s="9">
        <f t="shared" si="2"/>
        <v>0</v>
      </c>
      <c r="Y182" s="7"/>
      <c r="Z182" s="7"/>
    </row>
    <row r="183" spans="1:26" ht="13" x14ac:dyDescent="0.6">
      <c r="A183" s="28" t="str">
        <f t="shared" si="1"/>
        <v/>
      </c>
      <c r="B183" s="7"/>
      <c r="C183" s="7"/>
      <c r="D183" s="9"/>
      <c r="E183" s="9"/>
      <c r="F183" s="9"/>
      <c r="G183" s="9"/>
      <c r="H183" s="9"/>
      <c r="I183" s="9"/>
      <c r="J183" s="9"/>
      <c r="K183" s="9"/>
      <c r="L183" s="9"/>
      <c r="M183" s="9"/>
      <c r="N183" s="9"/>
      <c r="O183" s="9"/>
      <c r="P183" s="29"/>
      <c r="Q183" s="29"/>
      <c r="R183" s="7"/>
      <c r="S183" s="7"/>
      <c r="T183" s="7" t="str">
        <f ca="1">IFERROR(__xludf.DUMMYFUNCTION("SPARKLINE({
IF(D183="""",0,D183),
IF(F183="""",0,F183),
IF(H183="""",0,H183),
IF(J183="""",0,J183),
IF(L183="""",0,L183),
IF(N183="""",0,N183),
IF(P183="""",0,P183)
})"),"")</f>
        <v/>
      </c>
      <c r="U183" s="7" t="str">
        <f ca="1">IFERROR(__xludf.DUMMYFUNCTION("SPARKLINE({
IF(E183="""",0,E183),
IF(G183="""",0,G183),
IF(I183="""",0,I183),
IF(K183="""",0,K183),
IF(M183="""",0,M183),
IF(O183="""",0,O183),
IF(Q183="""",0,Q183)
})"),"")</f>
        <v/>
      </c>
      <c r="V183" s="8" t="e">
        <f t="array" aca="1" ref="V183" ca="1">IF($C$4="Giao",_xludf.Xlookup(C183,#REF!,#REF!,),_xludf.Xlookup(C183,#REF!,#REF!,))</f>
        <v>#NAME?</v>
      </c>
      <c r="W183" s="8">
        <f t="array" ref="W183">IF($C$4="Giao", _xludf.Xlookup(C183,#REF!,#REF!,),)</f>
        <v>0</v>
      </c>
      <c r="X183" s="9">
        <f t="shared" si="2"/>
        <v>0</v>
      </c>
      <c r="Y183" s="7"/>
      <c r="Z183" s="7"/>
    </row>
    <row r="184" spans="1:26" ht="13" x14ac:dyDescent="0.6">
      <c r="A184" s="28" t="str">
        <f t="shared" si="1"/>
        <v/>
      </c>
      <c r="B184" s="7"/>
      <c r="C184" s="7"/>
      <c r="D184" s="9"/>
      <c r="E184" s="9"/>
      <c r="F184" s="9"/>
      <c r="G184" s="9"/>
      <c r="H184" s="9"/>
      <c r="I184" s="9"/>
      <c r="J184" s="9"/>
      <c r="K184" s="9"/>
      <c r="L184" s="9"/>
      <c r="M184" s="9"/>
      <c r="N184" s="9"/>
      <c r="O184" s="9"/>
      <c r="P184" s="29"/>
      <c r="Q184" s="29"/>
      <c r="R184" s="7"/>
      <c r="S184" s="7"/>
      <c r="T184" s="7" t="str">
        <f ca="1">IFERROR(__xludf.DUMMYFUNCTION("SPARKLINE({
IF(D184="""",0,D184),
IF(F184="""",0,F184),
IF(H184="""",0,H184),
IF(J184="""",0,J184),
IF(L184="""",0,L184),
IF(N184="""",0,N184),
IF(P184="""",0,P184)
})"),"")</f>
        <v/>
      </c>
      <c r="U184" s="7" t="str">
        <f ca="1">IFERROR(__xludf.DUMMYFUNCTION("SPARKLINE({
IF(E184="""",0,E184),
IF(G184="""",0,G184),
IF(I184="""",0,I184),
IF(K184="""",0,K184),
IF(M184="""",0,M184),
IF(O184="""",0,O184),
IF(Q184="""",0,Q184)
})"),"")</f>
        <v/>
      </c>
      <c r="V184" s="8" t="e">
        <f t="array" aca="1" ref="V184" ca="1">IF($C$4="Giao",_xludf.Xlookup(C184,#REF!,#REF!,),_xludf.Xlookup(C184,#REF!,#REF!,))</f>
        <v>#NAME?</v>
      </c>
      <c r="W184" s="8">
        <f t="array" ref="W184">IF($C$4="Giao", _xludf.Xlookup(C184,#REF!,#REF!,),)</f>
        <v>0</v>
      </c>
      <c r="X184" s="9">
        <f t="shared" si="2"/>
        <v>0</v>
      </c>
      <c r="Y184" s="7"/>
      <c r="Z184" s="7"/>
    </row>
    <row r="185" spans="1:26" ht="13" x14ac:dyDescent="0.6">
      <c r="A185" s="28" t="str">
        <f t="shared" si="1"/>
        <v/>
      </c>
      <c r="B185" s="7"/>
      <c r="C185" s="7"/>
      <c r="D185" s="9"/>
      <c r="E185" s="9"/>
      <c r="F185" s="9"/>
      <c r="G185" s="9"/>
      <c r="H185" s="9"/>
      <c r="I185" s="9"/>
      <c r="J185" s="9"/>
      <c r="K185" s="9"/>
      <c r="L185" s="9"/>
      <c r="M185" s="9"/>
      <c r="N185" s="9"/>
      <c r="O185" s="9"/>
      <c r="P185" s="29"/>
      <c r="Q185" s="29"/>
      <c r="R185" s="7"/>
      <c r="S185" s="7"/>
      <c r="T185" s="7" t="str">
        <f ca="1">IFERROR(__xludf.DUMMYFUNCTION("SPARKLINE({
IF(D185="""",0,D185),
IF(F185="""",0,F185),
IF(H185="""",0,H185),
IF(J185="""",0,J185),
IF(L185="""",0,L185),
IF(N185="""",0,N185),
IF(P185="""",0,P185)
})"),"")</f>
        <v/>
      </c>
      <c r="U185" s="7" t="str">
        <f ca="1">IFERROR(__xludf.DUMMYFUNCTION("SPARKLINE({
IF(E185="""",0,E185),
IF(G185="""",0,G185),
IF(I185="""",0,I185),
IF(K185="""",0,K185),
IF(M185="""",0,M185),
IF(O185="""",0,O185),
IF(Q185="""",0,Q185)
})"),"")</f>
        <v/>
      </c>
      <c r="V185" s="8" t="e">
        <f t="array" aca="1" ref="V185" ca="1">IF($C$4="Giao",_xludf.Xlookup(C185,#REF!,#REF!,),_xludf.Xlookup(C185,#REF!,#REF!,))</f>
        <v>#NAME?</v>
      </c>
      <c r="W185" s="8">
        <f t="array" ref="W185">IF($C$4="Giao", _xludf.Xlookup(C185,#REF!,#REF!,),)</f>
        <v>0</v>
      </c>
      <c r="X185" s="9">
        <f t="shared" si="2"/>
        <v>0</v>
      </c>
      <c r="Y185" s="7"/>
      <c r="Z185" s="7"/>
    </row>
    <row r="186" spans="1:26" ht="13" x14ac:dyDescent="0.6">
      <c r="A186" s="28" t="str">
        <f t="shared" si="1"/>
        <v/>
      </c>
      <c r="B186" s="7"/>
      <c r="C186" s="7"/>
      <c r="D186" s="9"/>
      <c r="E186" s="9"/>
      <c r="F186" s="9"/>
      <c r="G186" s="9"/>
      <c r="H186" s="9"/>
      <c r="I186" s="9"/>
      <c r="J186" s="9"/>
      <c r="K186" s="9"/>
      <c r="L186" s="9"/>
      <c r="M186" s="9"/>
      <c r="N186" s="9"/>
      <c r="O186" s="9"/>
      <c r="P186" s="29"/>
      <c r="Q186" s="29"/>
      <c r="R186" s="7"/>
      <c r="S186" s="7"/>
      <c r="T186" s="7" t="str">
        <f ca="1">IFERROR(__xludf.DUMMYFUNCTION("SPARKLINE({
IF(D186="""",0,D186),
IF(F186="""",0,F186),
IF(H186="""",0,H186),
IF(J186="""",0,J186),
IF(L186="""",0,L186),
IF(N186="""",0,N186),
IF(P186="""",0,P186)
})"),"")</f>
        <v/>
      </c>
      <c r="U186" s="7" t="str">
        <f ca="1">IFERROR(__xludf.DUMMYFUNCTION("SPARKLINE({
IF(E186="""",0,E186),
IF(G186="""",0,G186),
IF(I186="""",0,I186),
IF(K186="""",0,K186),
IF(M186="""",0,M186),
IF(O186="""",0,O186),
IF(Q186="""",0,Q186)
})"),"")</f>
        <v/>
      </c>
      <c r="V186" s="8" t="e">
        <f t="array" aca="1" ref="V186" ca="1">IF($C$4="Giao",_xludf.Xlookup(C186,#REF!,#REF!,),_xludf.Xlookup(C186,#REF!,#REF!,))</f>
        <v>#NAME?</v>
      </c>
      <c r="W186" s="8">
        <f t="array" ref="W186">IF($C$4="Giao", _xludf.Xlookup(C186,#REF!,#REF!,),)</f>
        <v>0</v>
      </c>
      <c r="X186" s="9">
        <f t="shared" si="2"/>
        <v>0</v>
      </c>
      <c r="Y186" s="7"/>
      <c r="Z186" s="7"/>
    </row>
    <row r="187" spans="1:26" ht="13" x14ac:dyDescent="0.6">
      <c r="A187" s="28" t="str">
        <f t="shared" si="1"/>
        <v/>
      </c>
      <c r="B187" s="7"/>
      <c r="C187" s="7"/>
      <c r="D187" s="9"/>
      <c r="E187" s="9"/>
      <c r="F187" s="9"/>
      <c r="G187" s="9"/>
      <c r="H187" s="9"/>
      <c r="I187" s="9"/>
      <c r="J187" s="9"/>
      <c r="K187" s="9"/>
      <c r="L187" s="9"/>
      <c r="M187" s="9"/>
      <c r="N187" s="9"/>
      <c r="O187" s="9"/>
      <c r="P187" s="29"/>
      <c r="Q187" s="29"/>
      <c r="R187" s="7"/>
      <c r="S187" s="7"/>
      <c r="T187" s="7" t="str">
        <f ca="1">IFERROR(__xludf.DUMMYFUNCTION("SPARKLINE({
IF(D187="""",0,D187),
IF(F187="""",0,F187),
IF(H187="""",0,H187),
IF(J187="""",0,J187),
IF(L187="""",0,L187),
IF(N187="""",0,N187),
IF(P187="""",0,P187)
})"),"")</f>
        <v/>
      </c>
      <c r="U187" s="7" t="str">
        <f ca="1">IFERROR(__xludf.DUMMYFUNCTION("SPARKLINE({
IF(E187="""",0,E187),
IF(G187="""",0,G187),
IF(I187="""",0,I187),
IF(K187="""",0,K187),
IF(M187="""",0,M187),
IF(O187="""",0,O187),
IF(Q187="""",0,Q187)
})"),"")</f>
        <v/>
      </c>
      <c r="V187" s="8" t="e">
        <f t="array" aca="1" ref="V187" ca="1">IF($C$4="Giao",_xludf.Xlookup(C187,#REF!,#REF!,),_xludf.Xlookup(C187,#REF!,#REF!,))</f>
        <v>#NAME?</v>
      </c>
      <c r="W187" s="8">
        <f t="array" ref="W187">IF($C$4="Giao", _xludf.Xlookup(C187,#REF!,#REF!,),)</f>
        <v>0</v>
      </c>
      <c r="X187" s="9">
        <f t="shared" si="2"/>
        <v>0</v>
      </c>
      <c r="Y187" s="7"/>
      <c r="Z187" s="7"/>
    </row>
    <row r="188" spans="1:26" ht="13" x14ac:dyDescent="0.6">
      <c r="A188" s="28" t="str">
        <f t="shared" si="1"/>
        <v/>
      </c>
      <c r="B188" s="7"/>
      <c r="C188" s="7"/>
      <c r="D188" s="9"/>
      <c r="E188" s="9"/>
      <c r="F188" s="9"/>
      <c r="G188" s="9"/>
      <c r="H188" s="9"/>
      <c r="I188" s="9"/>
      <c r="J188" s="9"/>
      <c r="K188" s="9"/>
      <c r="L188" s="9"/>
      <c r="M188" s="9"/>
      <c r="N188" s="9"/>
      <c r="O188" s="9"/>
      <c r="P188" s="29"/>
      <c r="Q188" s="29"/>
      <c r="R188" s="7"/>
      <c r="S188" s="7"/>
      <c r="T188" s="7" t="str">
        <f ca="1">IFERROR(__xludf.DUMMYFUNCTION("SPARKLINE({
IF(D188="""",0,D188),
IF(F188="""",0,F188),
IF(H188="""",0,H188),
IF(J188="""",0,J188),
IF(L188="""",0,L188),
IF(N188="""",0,N188),
IF(P188="""",0,P188)
})"),"")</f>
        <v/>
      </c>
      <c r="U188" s="7" t="str">
        <f ca="1">IFERROR(__xludf.DUMMYFUNCTION("SPARKLINE({
IF(E188="""",0,E188),
IF(G188="""",0,G188),
IF(I188="""",0,I188),
IF(K188="""",0,K188),
IF(M188="""",0,M188),
IF(O188="""",0,O188),
IF(Q188="""",0,Q188)
})"),"")</f>
        <v/>
      </c>
      <c r="V188" s="8" t="e">
        <f t="array" aca="1" ref="V188" ca="1">IF($C$4="Giao",_xludf.Xlookup(C188,#REF!,#REF!,),_xludf.Xlookup(C188,#REF!,#REF!,))</f>
        <v>#NAME?</v>
      </c>
      <c r="W188" s="8">
        <f t="array" ref="W188">IF($C$4="Giao", _xludf.Xlookup(C188,#REF!,#REF!,),)</f>
        <v>0</v>
      </c>
      <c r="X188" s="9">
        <f t="shared" si="2"/>
        <v>0</v>
      </c>
      <c r="Y188" s="7"/>
      <c r="Z188" s="7"/>
    </row>
    <row r="189" spans="1:26" ht="13" x14ac:dyDescent="0.6">
      <c r="A189" s="28" t="str">
        <f t="shared" si="1"/>
        <v/>
      </c>
      <c r="B189" s="7"/>
      <c r="C189" s="7"/>
      <c r="D189" s="9"/>
      <c r="E189" s="9"/>
      <c r="F189" s="9"/>
      <c r="G189" s="9"/>
      <c r="H189" s="9"/>
      <c r="I189" s="9"/>
      <c r="J189" s="9"/>
      <c r="K189" s="9"/>
      <c r="L189" s="9"/>
      <c r="M189" s="9"/>
      <c r="N189" s="9"/>
      <c r="O189" s="9"/>
      <c r="P189" s="29"/>
      <c r="Q189" s="29"/>
      <c r="R189" s="7"/>
      <c r="S189" s="7"/>
      <c r="T189" s="7" t="str">
        <f ca="1">IFERROR(__xludf.DUMMYFUNCTION("SPARKLINE({
IF(D189="""",0,D189),
IF(F189="""",0,F189),
IF(H189="""",0,H189),
IF(J189="""",0,J189),
IF(L189="""",0,L189),
IF(N189="""",0,N189),
IF(P189="""",0,P189)
})"),"")</f>
        <v/>
      </c>
      <c r="U189" s="7" t="str">
        <f ca="1">IFERROR(__xludf.DUMMYFUNCTION("SPARKLINE({
IF(E189="""",0,E189),
IF(G189="""",0,G189),
IF(I189="""",0,I189),
IF(K189="""",0,K189),
IF(M189="""",0,M189),
IF(O189="""",0,O189),
IF(Q189="""",0,Q189)
})"),"")</f>
        <v/>
      </c>
      <c r="V189" s="8" t="e">
        <f t="array" aca="1" ref="V189" ca="1">IF($C$4="Giao",_xludf.Xlookup(C189,#REF!,#REF!,),_xludf.Xlookup(C189,#REF!,#REF!,))</f>
        <v>#NAME?</v>
      </c>
      <c r="W189" s="8">
        <f t="array" ref="W189">IF($C$4="Giao", _xludf.Xlookup(C189,#REF!,#REF!,),)</f>
        <v>0</v>
      </c>
      <c r="X189" s="9">
        <f t="shared" si="2"/>
        <v>0</v>
      </c>
      <c r="Y189" s="7"/>
      <c r="Z189" s="7"/>
    </row>
    <row r="190" spans="1:26" ht="13" x14ac:dyDescent="0.6">
      <c r="A190" s="28" t="str">
        <f t="shared" si="1"/>
        <v/>
      </c>
      <c r="B190" s="7"/>
      <c r="C190" s="7"/>
      <c r="D190" s="9"/>
      <c r="E190" s="9"/>
      <c r="F190" s="9"/>
      <c r="G190" s="9"/>
      <c r="H190" s="9"/>
      <c r="I190" s="9"/>
      <c r="J190" s="9"/>
      <c r="K190" s="9"/>
      <c r="L190" s="9"/>
      <c r="M190" s="9"/>
      <c r="N190" s="9"/>
      <c r="O190" s="9"/>
      <c r="P190" s="29"/>
      <c r="Q190" s="29"/>
      <c r="R190" s="7"/>
      <c r="S190" s="7"/>
      <c r="T190" s="7" t="str">
        <f ca="1">IFERROR(__xludf.DUMMYFUNCTION("SPARKLINE({
IF(D190="""",0,D190),
IF(F190="""",0,F190),
IF(H190="""",0,H190),
IF(J190="""",0,J190),
IF(L190="""",0,L190),
IF(N190="""",0,N190),
IF(P190="""",0,P190)
})"),"")</f>
        <v/>
      </c>
      <c r="U190" s="7" t="str">
        <f ca="1">IFERROR(__xludf.DUMMYFUNCTION("SPARKLINE({
IF(E190="""",0,E190),
IF(G190="""",0,G190),
IF(I190="""",0,I190),
IF(K190="""",0,K190),
IF(M190="""",0,M190),
IF(O190="""",0,O190),
IF(Q190="""",0,Q190)
})"),"")</f>
        <v/>
      </c>
      <c r="V190" s="8" t="e">
        <f t="array" aca="1" ref="V190" ca="1">IF($C$4="Giao",_xludf.Xlookup(C190,#REF!,#REF!,),_xludf.Xlookup(C190,#REF!,#REF!,))</f>
        <v>#NAME?</v>
      </c>
      <c r="W190" s="8">
        <f t="array" ref="W190">IF($C$4="Giao", _xludf.Xlookup(C190,#REF!,#REF!,),)</f>
        <v>0</v>
      </c>
      <c r="X190" s="9">
        <f t="shared" si="2"/>
        <v>0</v>
      </c>
      <c r="Y190" s="7"/>
      <c r="Z190" s="7"/>
    </row>
    <row r="191" spans="1:26" ht="13" x14ac:dyDescent="0.6">
      <c r="A191" s="28" t="str">
        <f t="shared" si="1"/>
        <v/>
      </c>
      <c r="B191" s="7"/>
      <c r="C191" s="7"/>
      <c r="D191" s="9"/>
      <c r="E191" s="9"/>
      <c r="F191" s="9"/>
      <c r="G191" s="9"/>
      <c r="H191" s="9"/>
      <c r="I191" s="9"/>
      <c r="J191" s="9"/>
      <c r="K191" s="9"/>
      <c r="L191" s="9"/>
      <c r="M191" s="9"/>
      <c r="N191" s="9"/>
      <c r="O191" s="9"/>
      <c r="P191" s="29"/>
      <c r="Q191" s="29"/>
      <c r="R191" s="7"/>
      <c r="S191" s="7"/>
      <c r="T191" s="7" t="str">
        <f ca="1">IFERROR(__xludf.DUMMYFUNCTION("SPARKLINE({
IF(D191="""",0,D191),
IF(F191="""",0,F191),
IF(H191="""",0,H191),
IF(J191="""",0,J191),
IF(L191="""",0,L191),
IF(N191="""",0,N191),
IF(P191="""",0,P191)
})"),"")</f>
        <v/>
      </c>
      <c r="U191" s="7" t="str">
        <f ca="1">IFERROR(__xludf.DUMMYFUNCTION("SPARKLINE({
IF(E191="""",0,E191),
IF(G191="""",0,G191),
IF(I191="""",0,I191),
IF(K191="""",0,K191),
IF(M191="""",0,M191),
IF(O191="""",0,O191),
IF(Q191="""",0,Q191)
})"),"")</f>
        <v/>
      </c>
      <c r="V191" s="8" t="e">
        <f t="array" aca="1" ref="V191" ca="1">IF($C$4="Giao",_xludf.Xlookup(C191,#REF!,#REF!,),_xludf.Xlookup(C191,#REF!,#REF!,))</f>
        <v>#NAME?</v>
      </c>
      <c r="W191" s="8">
        <f t="array" ref="W191">IF($C$4="Giao", _xludf.Xlookup(C191,#REF!,#REF!,),)</f>
        <v>0</v>
      </c>
      <c r="X191" s="9">
        <f t="shared" si="2"/>
        <v>0</v>
      </c>
      <c r="Y191" s="7"/>
      <c r="Z191" s="7"/>
    </row>
    <row r="192" spans="1:26" ht="13" x14ac:dyDescent="0.6">
      <c r="A192" s="28" t="str">
        <f t="shared" si="1"/>
        <v/>
      </c>
      <c r="B192" s="7"/>
      <c r="C192" s="7"/>
      <c r="D192" s="9"/>
      <c r="E192" s="9"/>
      <c r="F192" s="9"/>
      <c r="G192" s="9"/>
      <c r="H192" s="9"/>
      <c r="I192" s="9"/>
      <c r="J192" s="9"/>
      <c r="K192" s="9"/>
      <c r="L192" s="9"/>
      <c r="M192" s="9"/>
      <c r="N192" s="9"/>
      <c r="O192" s="9"/>
      <c r="P192" s="29"/>
      <c r="Q192" s="29"/>
      <c r="R192" s="7"/>
      <c r="S192" s="7"/>
      <c r="T192" s="7" t="str">
        <f ca="1">IFERROR(__xludf.DUMMYFUNCTION("SPARKLINE({
IF(D192="""",0,D192),
IF(F192="""",0,F192),
IF(H192="""",0,H192),
IF(J192="""",0,J192),
IF(L192="""",0,L192),
IF(N192="""",0,N192),
IF(P192="""",0,P192)
})"),"")</f>
        <v/>
      </c>
      <c r="U192" s="7" t="str">
        <f ca="1">IFERROR(__xludf.DUMMYFUNCTION("SPARKLINE({
IF(E192="""",0,E192),
IF(G192="""",0,G192),
IF(I192="""",0,I192),
IF(K192="""",0,K192),
IF(M192="""",0,M192),
IF(O192="""",0,O192),
IF(Q192="""",0,Q192)
})"),"")</f>
        <v/>
      </c>
      <c r="V192" s="8" t="e">
        <f t="array" aca="1" ref="V192" ca="1">IF($C$4="Giao",_xludf.Xlookup(C192,#REF!,#REF!,),_xludf.Xlookup(C192,#REF!,#REF!,))</f>
        <v>#NAME?</v>
      </c>
      <c r="W192" s="8">
        <f t="array" ref="W192">IF($C$4="Giao", _xludf.Xlookup(C192,#REF!,#REF!,),)</f>
        <v>0</v>
      </c>
      <c r="X192" s="9">
        <f t="shared" si="2"/>
        <v>0</v>
      </c>
      <c r="Y192" s="7"/>
      <c r="Z192" s="7"/>
    </row>
    <row r="193" spans="1:26" ht="13" x14ac:dyDescent="0.6">
      <c r="A193" s="28" t="str">
        <f t="shared" si="1"/>
        <v/>
      </c>
      <c r="B193" s="7"/>
      <c r="C193" s="7"/>
      <c r="D193" s="9"/>
      <c r="E193" s="9"/>
      <c r="F193" s="9"/>
      <c r="G193" s="9"/>
      <c r="H193" s="9"/>
      <c r="I193" s="9"/>
      <c r="J193" s="9"/>
      <c r="K193" s="9"/>
      <c r="L193" s="9"/>
      <c r="M193" s="9"/>
      <c r="N193" s="9"/>
      <c r="O193" s="9"/>
      <c r="P193" s="29"/>
      <c r="Q193" s="29"/>
      <c r="R193" s="7"/>
      <c r="S193" s="7"/>
      <c r="T193" s="7" t="str">
        <f ca="1">IFERROR(__xludf.DUMMYFUNCTION("SPARKLINE({
IF(D193="""",0,D193),
IF(F193="""",0,F193),
IF(H193="""",0,H193),
IF(J193="""",0,J193),
IF(L193="""",0,L193),
IF(N193="""",0,N193),
IF(P193="""",0,P193)
})"),"")</f>
        <v/>
      </c>
      <c r="U193" s="7" t="str">
        <f ca="1">IFERROR(__xludf.DUMMYFUNCTION("SPARKLINE({
IF(E193="""",0,E193),
IF(G193="""",0,G193),
IF(I193="""",0,I193),
IF(K193="""",0,K193),
IF(M193="""",0,M193),
IF(O193="""",0,O193),
IF(Q193="""",0,Q193)
})"),"")</f>
        <v/>
      </c>
      <c r="V193" s="8" t="e">
        <f t="array" aca="1" ref="V193" ca="1">IF($C$4="Giao",_xludf.Xlookup(C193,#REF!,#REF!,),_xludf.Xlookup(C193,#REF!,#REF!,))</f>
        <v>#NAME?</v>
      </c>
      <c r="W193" s="8">
        <f t="array" ref="W193">IF($C$4="Giao", _xludf.Xlookup(C193,#REF!,#REF!,),)</f>
        <v>0</v>
      </c>
      <c r="X193" s="9">
        <f t="shared" si="2"/>
        <v>0</v>
      </c>
      <c r="Y193" s="7"/>
      <c r="Z193" s="7"/>
    </row>
    <row r="194" spans="1:26" ht="13" x14ac:dyDescent="0.6">
      <c r="A194" s="28" t="str">
        <f t="shared" si="1"/>
        <v/>
      </c>
      <c r="B194" s="7"/>
      <c r="C194" s="7"/>
      <c r="D194" s="9"/>
      <c r="E194" s="9"/>
      <c r="F194" s="9"/>
      <c r="G194" s="9"/>
      <c r="H194" s="9"/>
      <c r="I194" s="9"/>
      <c r="J194" s="9"/>
      <c r="K194" s="9"/>
      <c r="L194" s="9"/>
      <c r="M194" s="9"/>
      <c r="N194" s="9"/>
      <c r="O194" s="9"/>
      <c r="P194" s="29"/>
      <c r="Q194" s="29"/>
      <c r="R194" s="7"/>
      <c r="S194" s="7"/>
      <c r="T194" s="7" t="str">
        <f ca="1">IFERROR(__xludf.DUMMYFUNCTION("SPARKLINE({
IF(D194="""",0,D194),
IF(F194="""",0,F194),
IF(H194="""",0,H194),
IF(J194="""",0,J194),
IF(L194="""",0,L194),
IF(N194="""",0,N194),
IF(P194="""",0,P194)
})"),"")</f>
        <v/>
      </c>
      <c r="U194" s="7" t="str">
        <f ca="1">IFERROR(__xludf.DUMMYFUNCTION("SPARKLINE({
IF(E194="""",0,E194),
IF(G194="""",0,G194),
IF(I194="""",0,I194),
IF(K194="""",0,K194),
IF(M194="""",0,M194),
IF(O194="""",0,O194),
IF(Q194="""",0,Q194)
})"),"")</f>
        <v/>
      </c>
      <c r="V194" s="8" t="e">
        <f t="array" aca="1" ref="V194" ca="1">IF($C$4="Giao",_xludf.Xlookup(C194,#REF!,#REF!,),_xludf.Xlookup(C194,#REF!,#REF!,))</f>
        <v>#NAME?</v>
      </c>
      <c r="W194" s="8">
        <f t="array" ref="W194">IF($C$4="Giao", _xludf.Xlookup(C194,#REF!,#REF!,),)</f>
        <v>0</v>
      </c>
      <c r="X194" s="9">
        <f t="shared" si="2"/>
        <v>0</v>
      </c>
      <c r="Y194" s="7"/>
      <c r="Z194" s="7"/>
    </row>
    <row r="195" spans="1:26" ht="13" x14ac:dyDescent="0.6">
      <c r="A195" s="28" t="str">
        <f t="shared" si="1"/>
        <v/>
      </c>
      <c r="B195" s="7"/>
      <c r="C195" s="7"/>
      <c r="D195" s="9"/>
      <c r="E195" s="9"/>
      <c r="F195" s="9"/>
      <c r="G195" s="9"/>
      <c r="H195" s="9"/>
      <c r="I195" s="9"/>
      <c r="J195" s="9"/>
      <c r="K195" s="9"/>
      <c r="L195" s="9"/>
      <c r="M195" s="9"/>
      <c r="N195" s="9"/>
      <c r="O195" s="9"/>
      <c r="P195" s="29"/>
      <c r="Q195" s="29"/>
      <c r="R195" s="7"/>
      <c r="S195" s="7"/>
      <c r="T195" s="7" t="str">
        <f ca="1">IFERROR(__xludf.DUMMYFUNCTION("SPARKLINE({
IF(D195="""",0,D195),
IF(F195="""",0,F195),
IF(H195="""",0,H195),
IF(J195="""",0,J195),
IF(L195="""",0,L195),
IF(N195="""",0,N195),
IF(P195="""",0,P195)
})"),"")</f>
        <v/>
      </c>
      <c r="U195" s="7" t="str">
        <f ca="1">IFERROR(__xludf.DUMMYFUNCTION("SPARKLINE({
IF(E195="""",0,E195),
IF(G195="""",0,G195),
IF(I195="""",0,I195),
IF(K195="""",0,K195),
IF(M195="""",0,M195),
IF(O195="""",0,O195),
IF(Q195="""",0,Q195)
})"),"")</f>
        <v/>
      </c>
      <c r="V195" s="8" t="e">
        <f t="array" aca="1" ref="V195" ca="1">IF($C$4="Giao",_xludf.Xlookup(C195,#REF!,#REF!,),_xludf.Xlookup(C195,#REF!,#REF!,))</f>
        <v>#NAME?</v>
      </c>
      <c r="W195" s="8">
        <f t="array" ref="W195">IF($C$4="Giao", _xludf.Xlookup(C195,#REF!,#REF!,),)</f>
        <v>0</v>
      </c>
      <c r="X195" s="9">
        <f t="shared" si="2"/>
        <v>0</v>
      </c>
      <c r="Y195" s="7"/>
      <c r="Z195" s="7"/>
    </row>
    <row r="196" spans="1:26" ht="13" x14ac:dyDescent="0.6">
      <c r="A196" s="28" t="str">
        <f t="shared" si="1"/>
        <v/>
      </c>
      <c r="B196" s="7"/>
      <c r="C196" s="7"/>
      <c r="D196" s="9"/>
      <c r="E196" s="9"/>
      <c r="F196" s="9"/>
      <c r="G196" s="9"/>
      <c r="H196" s="9"/>
      <c r="I196" s="9"/>
      <c r="J196" s="9"/>
      <c r="K196" s="9"/>
      <c r="L196" s="9"/>
      <c r="M196" s="9"/>
      <c r="N196" s="9"/>
      <c r="O196" s="9"/>
      <c r="P196" s="29"/>
      <c r="Q196" s="29"/>
      <c r="R196" s="7"/>
      <c r="S196" s="7"/>
      <c r="T196" s="7" t="str">
        <f ca="1">IFERROR(__xludf.DUMMYFUNCTION("SPARKLINE({
IF(D196="""",0,D196),
IF(F196="""",0,F196),
IF(H196="""",0,H196),
IF(J196="""",0,J196),
IF(L196="""",0,L196),
IF(N196="""",0,N196),
IF(P196="""",0,P196)
})"),"")</f>
        <v/>
      </c>
      <c r="U196" s="7" t="str">
        <f ca="1">IFERROR(__xludf.DUMMYFUNCTION("SPARKLINE({
IF(E196="""",0,E196),
IF(G196="""",0,G196),
IF(I196="""",0,I196),
IF(K196="""",0,K196),
IF(M196="""",0,M196),
IF(O196="""",0,O196),
IF(Q196="""",0,Q196)
})"),"")</f>
        <v/>
      </c>
      <c r="V196" s="8" t="e">
        <f t="array" aca="1" ref="V196" ca="1">IF($C$4="Giao",_xludf.Xlookup(C196,#REF!,#REF!,),_xludf.Xlookup(C196,#REF!,#REF!,))</f>
        <v>#NAME?</v>
      </c>
      <c r="W196" s="8">
        <f t="array" ref="W196">IF($C$4="Giao", _xludf.Xlookup(C196,#REF!,#REF!,),)</f>
        <v>0</v>
      </c>
      <c r="X196" s="9">
        <f t="shared" si="2"/>
        <v>0</v>
      </c>
      <c r="Y196" s="7"/>
      <c r="Z196" s="7"/>
    </row>
    <row r="197" spans="1:26" ht="13" x14ac:dyDescent="0.6">
      <c r="A197" s="28" t="str">
        <f t="shared" si="1"/>
        <v/>
      </c>
      <c r="B197" s="7"/>
      <c r="C197" s="7"/>
      <c r="D197" s="9"/>
      <c r="E197" s="9"/>
      <c r="F197" s="9"/>
      <c r="G197" s="9"/>
      <c r="H197" s="9"/>
      <c r="I197" s="9"/>
      <c r="J197" s="9"/>
      <c r="K197" s="9"/>
      <c r="L197" s="9"/>
      <c r="M197" s="9"/>
      <c r="N197" s="9"/>
      <c r="O197" s="9"/>
      <c r="P197" s="29"/>
      <c r="Q197" s="29"/>
      <c r="R197" s="7"/>
      <c r="S197" s="7"/>
      <c r="T197" s="7" t="str">
        <f ca="1">IFERROR(__xludf.DUMMYFUNCTION("SPARKLINE({
IF(D197="""",0,D197),
IF(F197="""",0,F197),
IF(H197="""",0,H197),
IF(J197="""",0,J197),
IF(L197="""",0,L197),
IF(N197="""",0,N197),
IF(P197="""",0,P197)
})"),"")</f>
        <v/>
      </c>
      <c r="U197" s="7" t="str">
        <f ca="1">IFERROR(__xludf.DUMMYFUNCTION("SPARKLINE({
IF(E197="""",0,E197),
IF(G197="""",0,G197),
IF(I197="""",0,I197),
IF(K197="""",0,K197),
IF(M197="""",0,M197),
IF(O197="""",0,O197),
IF(Q197="""",0,Q197)
})"),"")</f>
        <v/>
      </c>
      <c r="V197" s="8" t="e">
        <f t="array" aca="1" ref="V197" ca="1">IF($C$4="Giao",_xludf.Xlookup(C197,#REF!,#REF!,),_xludf.Xlookup(C197,#REF!,#REF!,))</f>
        <v>#NAME?</v>
      </c>
      <c r="W197" s="8">
        <f t="array" ref="W197">IF($C$4="Giao", _xludf.Xlookup(C197,#REF!,#REF!,),)</f>
        <v>0</v>
      </c>
      <c r="X197" s="9">
        <f t="shared" si="2"/>
        <v>0</v>
      </c>
      <c r="Y197" s="7"/>
      <c r="Z197" s="7"/>
    </row>
    <row r="198" spans="1:26" ht="13" x14ac:dyDescent="0.6">
      <c r="A198" s="28" t="str">
        <f t="shared" si="1"/>
        <v/>
      </c>
      <c r="B198" s="7"/>
      <c r="C198" s="7"/>
      <c r="D198" s="9"/>
      <c r="E198" s="9"/>
      <c r="F198" s="9"/>
      <c r="G198" s="9"/>
      <c r="H198" s="9"/>
      <c r="I198" s="9"/>
      <c r="J198" s="9"/>
      <c r="K198" s="9"/>
      <c r="L198" s="9"/>
      <c r="M198" s="9"/>
      <c r="N198" s="9"/>
      <c r="O198" s="9"/>
      <c r="P198" s="29"/>
      <c r="Q198" s="29"/>
      <c r="R198" s="7"/>
      <c r="S198" s="7"/>
      <c r="T198" s="7" t="str">
        <f ca="1">IFERROR(__xludf.DUMMYFUNCTION("SPARKLINE({
IF(D198="""",0,D198),
IF(F198="""",0,F198),
IF(H198="""",0,H198),
IF(J198="""",0,J198),
IF(L198="""",0,L198),
IF(N198="""",0,N198),
IF(P198="""",0,P198)
})"),"")</f>
        <v/>
      </c>
      <c r="U198" s="7" t="str">
        <f ca="1">IFERROR(__xludf.DUMMYFUNCTION("SPARKLINE({
IF(E198="""",0,E198),
IF(G198="""",0,G198),
IF(I198="""",0,I198),
IF(K198="""",0,K198),
IF(M198="""",0,M198),
IF(O198="""",0,O198),
IF(Q198="""",0,Q198)
})"),"")</f>
        <v/>
      </c>
      <c r="V198" s="8" t="e">
        <f t="array" aca="1" ref="V198" ca="1">IF($C$4="Giao",_xludf.Xlookup(C198,#REF!,#REF!,),_xludf.Xlookup(C198,#REF!,#REF!,))</f>
        <v>#NAME?</v>
      </c>
      <c r="W198" s="8">
        <f t="array" ref="W198">IF($C$4="Giao", _xludf.Xlookup(C198,#REF!,#REF!,),)</f>
        <v>0</v>
      </c>
      <c r="X198" s="9">
        <f t="shared" si="2"/>
        <v>0</v>
      </c>
      <c r="Y198" s="7"/>
      <c r="Z198" s="7"/>
    </row>
    <row r="199" spans="1:26" ht="13" x14ac:dyDescent="0.6">
      <c r="A199" s="28" t="str">
        <f t="shared" si="1"/>
        <v/>
      </c>
      <c r="B199" s="7"/>
      <c r="C199" s="7"/>
      <c r="D199" s="9"/>
      <c r="E199" s="9"/>
      <c r="F199" s="9"/>
      <c r="G199" s="9"/>
      <c r="H199" s="9"/>
      <c r="I199" s="9"/>
      <c r="J199" s="9"/>
      <c r="K199" s="9"/>
      <c r="L199" s="9"/>
      <c r="M199" s="9"/>
      <c r="N199" s="9"/>
      <c r="O199" s="9"/>
      <c r="P199" s="29"/>
      <c r="Q199" s="29"/>
      <c r="R199" s="7"/>
      <c r="S199" s="7"/>
      <c r="T199" s="7" t="str">
        <f ca="1">IFERROR(__xludf.DUMMYFUNCTION("SPARKLINE({
IF(D199="""",0,D199),
IF(F199="""",0,F199),
IF(H199="""",0,H199),
IF(J199="""",0,J199),
IF(L199="""",0,L199),
IF(N199="""",0,N199),
IF(P199="""",0,P199)
})"),"")</f>
        <v/>
      </c>
      <c r="U199" s="7" t="str">
        <f ca="1">IFERROR(__xludf.DUMMYFUNCTION("SPARKLINE({
IF(E199="""",0,E199),
IF(G199="""",0,G199),
IF(I199="""",0,I199),
IF(K199="""",0,K199),
IF(M199="""",0,M199),
IF(O199="""",0,O199),
IF(Q199="""",0,Q199)
})"),"")</f>
        <v/>
      </c>
      <c r="V199" s="8" t="e">
        <f t="array" aca="1" ref="V199" ca="1">IF($C$4="Giao",_xludf.Xlookup(C199,#REF!,#REF!,),_xludf.Xlookup(C199,#REF!,#REF!,))</f>
        <v>#NAME?</v>
      </c>
      <c r="W199" s="8">
        <f t="array" ref="W199">IF($C$4="Giao", _xludf.Xlookup(C199,#REF!,#REF!,),)</f>
        <v>0</v>
      </c>
      <c r="X199" s="9">
        <f t="shared" si="2"/>
        <v>0</v>
      </c>
      <c r="Y199" s="7"/>
      <c r="Z199" s="7"/>
    </row>
    <row r="200" spans="1:26" ht="13" x14ac:dyDescent="0.6">
      <c r="A200" s="28" t="str">
        <f t="shared" si="1"/>
        <v/>
      </c>
      <c r="B200" s="7"/>
      <c r="C200" s="7"/>
      <c r="D200" s="9"/>
      <c r="E200" s="9"/>
      <c r="F200" s="9"/>
      <c r="G200" s="9"/>
      <c r="H200" s="9"/>
      <c r="I200" s="9"/>
      <c r="J200" s="9"/>
      <c r="K200" s="9"/>
      <c r="L200" s="9"/>
      <c r="M200" s="9"/>
      <c r="N200" s="9"/>
      <c r="O200" s="9"/>
      <c r="P200" s="29"/>
      <c r="Q200" s="29"/>
      <c r="R200" s="7"/>
      <c r="S200" s="7"/>
      <c r="T200" s="7" t="str">
        <f ca="1">IFERROR(__xludf.DUMMYFUNCTION("SPARKLINE({
IF(D200="""",0,D200),
IF(F200="""",0,F200),
IF(H200="""",0,H200),
IF(J200="""",0,J200),
IF(L200="""",0,L200),
IF(N200="""",0,N200),
IF(P200="""",0,P200)
})"),"")</f>
        <v/>
      </c>
      <c r="U200" s="7" t="str">
        <f ca="1">IFERROR(__xludf.DUMMYFUNCTION("SPARKLINE({
IF(E200="""",0,E200),
IF(G200="""",0,G200),
IF(I200="""",0,I200),
IF(K200="""",0,K200),
IF(M200="""",0,M200),
IF(O200="""",0,O200),
IF(Q200="""",0,Q200)
})"),"")</f>
        <v/>
      </c>
      <c r="V200" s="8" t="e">
        <f t="array" aca="1" ref="V200" ca="1">IF($C$4="Giao",_xludf.Xlookup(C200,#REF!,#REF!,),_xludf.Xlookup(C200,#REF!,#REF!,))</f>
        <v>#NAME?</v>
      </c>
      <c r="W200" s="8">
        <f t="array" ref="W200">IF($C$4="Giao", _xludf.Xlookup(C200,#REF!,#REF!,),)</f>
        <v>0</v>
      </c>
      <c r="X200" s="9">
        <f t="shared" si="2"/>
        <v>0</v>
      </c>
      <c r="Y200" s="7"/>
      <c r="Z200" s="7"/>
    </row>
    <row r="201" spans="1:26" ht="13" x14ac:dyDescent="0.6">
      <c r="A201" s="28" t="str">
        <f t="shared" si="1"/>
        <v/>
      </c>
      <c r="B201" s="7"/>
      <c r="C201" s="7"/>
      <c r="D201" s="9"/>
      <c r="E201" s="9"/>
      <c r="F201" s="9"/>
      <c r="G201" s="9"/>
      <c r="H201" s="9"/>
      <c r="I201" s="9"/>
      <c r="J201" s="9"/>
      <c r="K201" s="9"/>
      <c r="L201" s="9"/>
      <c r="M201" s="9"/>
      <c r="N201" s="9"/>
      <c r="O201" s="9"/>
      <c r="P201" s="29"/>
      <c r="Q201" s="29"/>
      <c r="R201" s="7"/>
      <c r="S201" s="7"/>
      <c r="T201" s="7" t="str">
        <f ca="1">IFERROR(__xludf.DUMMYFUNCTION("SPARKLINE({
IF(D201="""",0,D201),
IF(F201="""",0,F201),
IF(H201="""",0,H201),
IF(J201="""",0,J201),
IF(L201="""",0,L201),
IF(N201="""",0,N201),
IF(P201="""",0,P201)
})"),"")</f>
        <v/>
      </c>
      <c r="U201" s="7" t="str">
        <f ca="1">IFERROR(__xludf.DUMMYFUNCTION("SPARKLINE({
IF(E201="""",0,E201),
IF(G201="""",0,G201),
IF(I201="""",0,I201),
IF(K201="""",0,K201),
IF(M201="""",0,M201),
IF(O201="""",0,O201),
IF(Q201="""",0,Q201)
})"),"")</f>
        <v/>
      </c>
      <c r="V201" s="8" t="e">
        <f t="array" aca="1" ref="V201" ca="1">IF($C$4="Giao",_xludf.Xlookup(C201,#REF!,#REF!,),_xludf.Xlookup(C201,#REF!,#REF!,))</f>
        <v>#NAME?</v>
      </c>
      <c r="W201" s="8">
        <f t="array" ref="W201">IF($C$4="Giao", _xludf.Xlookup(C201,#REF!,#REF!,),)</f>
        <v>0</v>
      </c>
      <c r="X201" s="9">
        <f t="shared" si="2"/>
        <v>0</v>
      </c>
      <c r="Y201" s="7"/>
      <c r="Z201" s="7"/>
    </row>
    <row r="202" spans="1:26" ht="13" x14ac:dyDescent="0.6">
      <c r="A202" s="28" t="str">
        <f t="shared" si="1"/>
        <v/>
      </c>
      <c r="B202" s="7"/>
      <c r="C202" s="7"/>
      <c r="D202" s="9"/>
      <c r="E202" s="9"/>
      <c r="F202" s="9"/>
      <c r="G202" s="9"/>
      <c r="H202" s="9"/>
      <c r="I202" s="9"/>
      <c r="J202" s="9"/>
      <c r="K202" s="9"/>
      <c r="L202" s="9"/>
      <c r="M202" s="9"/>
      <c r="N202" s="9"/>
      <c r="O202" s="9"/>
      <c r="P202" s="29"/>
      <c r="Q202" s="29"/>
      <c r="R202" s="7"/>
      <c r="S202" s="7"/>
      <c r="T202" s="7" t="str">
        <f ca="1">IFERROR(__xludf.DUMMYFUNCTION("SPARKLINE({
IF(D202="""",0,D202),
IF(F202="""",0,F202),
IF(H202="""",0,H202),
IF(J202="""",0,J202),
IF(L202="""",0,L202),
IF(N202="""",0,N202),
IF(P202="""",0,P202)
})"),"")</f>
        <v/>
      </c>
      <c r="U202" s="7" t="str">
        <f ca="1">IFERROR(__xludf.DUMMYFUNCTION("SPARKLINE({
IF(E202="""",0,E202),
IF(G202="""",0,G202),
IF(I202="""",0,I202),
IF(K202="""",0,K202),
IF(M202="""",0,M202),
IF(O202="""",0,O202),
IF(Q202="""",0,Q202)
})"),"")</f>
        <v/>
      </c>
      <c r="V202" s="8" t="e">
        <f t="array" aca="1" ref="V202" ca="1">IF($C$4="Giao",_xludf.Xlookup(C202,#REF!,#REF!,),_xludf.Xlookup(C202,#REF!,#REF!,))</f>
        <v>#NAME?</v>
      </c>
      <c r="W202" s="8">
        <f t="array" ref="W202">IF($C$4="Giao", _xludf.Xlookup(C202,#REF!,#REF!,),)</f>
        <v>0</v>
      </c>
      <c r="X202" s="9">
        <f t="shared" si="2"/>
        <v>0</v>
      </c>
      <c r="Y202" s="7"/>
      <c r="Z202" s="7"/>
    </row>
    <row r="203" spans="1:26" ht="13" x14ac:dyDescent="0.6">
      <c r="A203" s="28" t="str">
        <f t="shared" si="1"/>
        <v/>
      </c>
      <c r="B203" s="7"/>
      <c r="C203" s="7"/>
      <c r="D203" s="9"/>
      <c r="E203" s="9"/>
      <c r="F203" s="9"/>
      <c r="G203" s="9"/>
      <c r="H203" s="9"/>
      <c r="I203" s="9"/>
      <c r="J203" s="9"/>
      <c r="K203" s="9"/>
      <c r="L203" s="9"/>
      <c r="M203" s="9"/>
      <c r="N203" s="9"/>
      <c r="O203" s="9"/>
      <c r="P203" s="29"/>
      <c r="Q203" s="29"/>
      <c r="R203" s="7"/>
      <c r="S203" s="7"/>
      <c r="T203" s="7" t="str">
        <f ca="1">IFERROR(__xludf.DUMMYFUNCTION("SPARKLINE({
IF(D203="""",0,D203),
IF(F203="""",0,F203),
IF(H203="""",0,H203),
IF(J203="""",0,J203),
IF(L203="""",0,L203),
IF(N203="""",0,N203),
IF(P203="""",0,P203)
})"),"")</f>
        <v/>
      </c>
      <c r="U203" s="7" t="str">
        <f ca="1">IFERROR(__xludf.DUMMYFUNCTION("SPARKLINE({
IF(E203="""",0,E203),
IF(G203="""",0,G203),
IF(I203="""",0,I203),
IF(K203="""",0,K203),
IF(M203="""",0,M203),
IF(O203="""",0,O203),
IF(Q203="""",0,Q203)
})"),"")</f>
        <v/>
      </c>
      <c r="V203" s="8" t="e">
        <f t="array" aca="1" ref="V203" ca="1">IF($C$4="Giao",_xludf.Xlookup(C203,#REF!,#REF!,),_xludf.Xlookup(C203,#REF!,#REF!,))</f>
        <v>#NAME?</v>
      </c>
      <c r="W203" s="8">
        <f t="array" ref="W203">IF($C$4="Giao", _xludf.Xlookup(C203,#REF!,#REF!,),)</f>
        <v>0</v>
      </c>
      <c r="X203" s="9">
        <f t="shared" si="2"/>
        <v>0</v>
      </c>
      <c r="Y203" s="7"/>
      <c r="Z203" s="7"/>
    </row>
    <row r="204" spans="1:26" ht="13" x14ac:dyDescent="0.6">
      <c r="A204" s="28" t="str">
        <f t="shared" si="1"/>
        <v/>
      </c>
      <c r="B204" s="7"/>
      <c r="C204" s="7"/>
      <c r="D204" s="9"/>
      <c r="E204" s="9"/>
      <c r="F204" s="9"/>
      <c r="G204" s="9"/>
      <c r="H204" s="9"/>
      <c r="I204" s="9"/>
      <c r="J204" s="9"/>
      <c r="K204" s="9"/>
      <c r="L204" s="9"/>
      <c r="M204" s="9"/>
      <c r="N204" s="9"/>
      <c r="O204" s="9"/>
      <c r="P204" s="29"/>
      <c r="Q204" s="29"/>
      <c r="R204" s="7"/>
      <c r="S204" s="7"/>
      <c r="T204" s="7" t="str">
        <f ca="1">IFERROR(__xludf.DUMMYFUNCTION("SPARKLINE({
IF(D204="""",0,D204),
IF(F204="""",0,F204),
IF(H204="""",0,H204),
IF(J204="""",0,J204),
IF(L204="""",0,L204),
IF(N204="""",0,N204),
IF(P204="""",0,P204)
})"),"")</f>
        <v/>
      </c>
      <c r="U204" s="7" t="str">
        <f ca="1">IFERROR(__xludf.DUMMYFUNCTION("SPARKLINE({
IF(E204="""",0,E204),
IF(G204="""",0,G204),
IF(I204="""",0,I204),
IF(K204="""",0,K204),
IF(M204="""",0,M204),
IF(O204="""",0,O204),
IF(Q204="""",0,Q204)
})"),"")</f>
        <v/>
      </c>
      <c r="V204" s="8" t="e">
        <f t="array" aca="1" ref="V204" ca="1">IF($C$4="Giao",_xludf.Xlookup(C204,#REF!,#REF!,),_xludf.Xlookup(C204,#REF!,#REF!,))</f>
        <v>#NAME?</v>
      </c>
      <c r="W204" s="8">
        <f t="array" ref="W204">IF($C$4="Giao", _xludf.Xlookup(C204,#REF!,#REF!,),)</f>
        <v>0</v>
      </c>
      <c r="X204" s="9">
        <f t="shared" si="2"/>
        <v>0</v>
      </c>
      <c r="Y204" s="7"/>
      <c r="Z204" s="7"/>
    </row>
    <row r="205" spans="1:26" ht="13" x14ac:dyDescent="0.6">
      <c r="A205" s="28" t="str">
        <f t="shared" si="1"/>
        <v/>
      </c>
      <c r="B205" s="7"/>
      <c r="C205" s="7"/>
      <c r="D205" s="9"/>
      <c r="E205" s="9"/>
      <c r="F205" s="9"/>
      <c r="G205" s="9"/>
      <c r="H205" s="9"/>
      <c r="I205" s="9"/>
      <c r="J205" s="9"/>
      <c r="K205" s="9"/>
      <c r="L205" s="9"/>
      <c r="M205" s="9"/>
      <c r="N205" s="9"/>
      <c r="O205" s="9"/>
      <c r="P205" s="29"/>
      <c r="Q205" s="29"/>
      <c r="R205" s="7"/>
      <c r="S205" s="7"/>
      <c r="T205" s="7" t="str">
        <f ca="1">IFERROR(__xludf.DUMMYFUNCTION("SPARKLINE({
IF(D205="""",0,D205),
IF(F205="""",0,F205),
IF(H205="""",0,H205),
IF(J205="""",0,J205),
IF(L205="""",0,L205),
IF(N205="""",0,N205),
IF(P205="""",0,P205)
})"),"")</f>
        <v/>
      </c>
      <c r="U205" s="7" t="str">
        <f ca="1">IFERROR(__xludf.DUMMYFUNCTION("SPARKLINE({
IF(E205="""",0,E205),
IF(G205="""",0,G205),
IF(I205="""",0,I205),
IF(K205="""",0,K205),
IF(M205="""",0,M205),
IF(O205="""",0,O205),
IF(Q205="""",0,Q205)
})"),"")</f>
        <v/>
      </c>
      <c r="V205" s="8" t="e">
        <f t="array" aca="1" ref="V205" ca="1">IF($C$4="Giao",_xludf.Xlookup(C205,#REF!,#REF!,),_xludf.Xlookup(C205,#REF!,#REF!,))</f>
        <v>#NAME?</v>
      </c>
      <c r="W205" s="8">
        <f t="array" ref="W205">IF($C$4="Giao", _xludf.Xlookup(C205,#REF!,#REF!,),)</f>
        <v>0</v>
      </c>
      <c r="X205" s="9">
        <f t="shared" si="2"/>
        <v>0</v>
      </c>
      <c r="Y205" s="7"/>
      <c r="Z205" s="7"/>
    </row>
    <row r="206" spans="1:26" ht="13" x14ac:dyDescent="0.6">
      <c r="A206" s="28" t="str">
        <f t="shared" si="1"/>
        <v/>
      </c>
      <c r="B206" s="7"/>
      <c r="C206" s="7"/>
      <c r="D206" s="9"/>
      <c r="E206" s="9"/>
      <c r="F206" s="9"/>
      <c r="G206" s="9"/>
      <c r="H206" s="9"/>
      <c r="I206" s="9"/>
      <c r="J206" s="9"/>
      <c r="K206" s="9"/>
      <c r="L206" s="9"/>
      <c r="M206" s="9"/>
      <c r="N206" s="9"/>
      <c r="O206" s="9"/>
      <c r="P206" s="29"/>
      <c r="Q206" s="29"/>
      <c r="R206" s="7"/>
      <c r="S206" s="7"/>
      <c r="T206" s="7" t="str">
        <f ca="1">IFERROR(__xludf.DUMMYFUNCTION("SPARKLINE({
IF(D206="""",0,D206),
IF(F206="""",0,F206),
IF(H206="""",0,H206),
IF(J206="""",0,J206),
IF(L206="""",0,L206),
IF(N206="""",0,N206),
IF(P206="""",0,P206)
})"),"")</f>
        <v/>
      </c>
      <c r="U206" s="7" t="str">
        <f ca="1">IFERROR(__xludf.DUMMYFUNCTION("SPARKLINE({
IF(E206="""",0,E206),
IF(G206="""",0,G206),
IF(I206="""",0,I206),
IF(K206="""",0,K206),
IF(M206="""",0,M206),
IF(O206="""",0,O206),
IF(Q206="""",0,Q206)
})"),"")</f>
        <v/>
      </c>
      <c r="V206" s="8" t="e">
        <f t="array" aca="1" ref="V206" ca="1">IF($C$4="Giao",_xludf.Xlookup(C206,#REF!,#REF!,),_xludf.Xlookup(C206,#REF!,#REF!,))</f>
        <v>#NAME?</v>
      </c>
      <c r="W206" s="8">
        <f t="array" ref="W206">IF($C$4="Giao", _xludf.Xlookup(C206,#REF!,#REF!,),)</f>
        <v>0</v>
      </c>
      <c r="X206" s="9">
        <f t="shared" si="2"/>
        <v>0</v>
      </c>
      <c r="Y206" s="7"/>
      <c r="Z206" s="7"/>
    </row>
    <row r="207" spans="1:26" ht="13" x14ac:dyDescent="0.6">
      <c r="A207" s="28" t="str">
        <f t="shared" si="1"/>
        <v/>
      </c>
      <c r="B207" s="7"/>
      <c r="C207" s="7"/>
      <c r="D207" s="9"/>
      <c r="E207" s="9"/>
      <c r="F207" s="9"/>
      <c r="G207" s="9"/>
      <c r="H207" s="9"/>
      <c r="I207" s="9"/>
      <c r="J207" s="9"/>
      <c r="K207" s="9"/>
      <c r="L207" s="9"/>
      <c r="M207" s="9"/>
      <c r="N207" s="9"/>
      <c r="O207" s="9"/>
      <c r="P207" s="29"/>
      <c r="Q207" s="29"/>
      <c r="R207" s="7"/>
      <c r="S207" s="7"/>
      <c r="T207" s="7" t="str">
        <f ca="1">IFERROR(__xludf.DUMMYFUNCTION("SPARKLINE({
IF(D207="""",0,D207),
IF(F207="""",0,F207),
IF(H207="""",0,H207),
IF(J207="""",0,J207),
IF(L207="""",0,L207),
IF(N207="""",0,N207),
IF(P207="""",0,P207)
})"),"")</f>
        <v/>
      </c>
      <c r="U207" s="7" t="str">
        <f ca="1">IFERROR(__xludf.DUMMYFUNCTION("SPARKLINE({
IF(E207="""",0,E207),
IF(G207="""",0,G207),
IF(I207="""",0,I207),
IF(K207="""",0,K207),
IF(M207="""",0,M207),
IF(O207="""",0,O207),
IF(Q207="""",0,Q207)
})"),"")</f>
        <v/>
      </c>
      <c r="V207" s="8" t="e">
        <f t="array" aca="1" ref="V207" ca="1">IF($C$4="Giao",_xludf.Xlookup(C207,#REF!,#REF!,),_xludf.Xlookup(C207,#REF!,#REF!,))</f>
        <v>#NAME?</v>
      </c>
      <c r="W207" s="8">
        <f t="array" ref="W207">IF($C$4="Giao", _xludf.Xlookup(C207,#REF!,#REF!,),)</f>
        <v>0</v>
      </c>
      <c r="X207" s="9">
        <f t="shared" si="2"/>
        <v>0</v>
      </c>
      <c r="Y207" s="7"/>
      <c r="Z207" s="7"/>
    </row>
    <row r="208" spans="1:26" ht="13" x14ac:dyDescent="0.6">
      <c r="A208" s="28" t="str">
        <f t="shared" si="1"/>
        <v/>
      </c>
      <c r="B208" s="7"/>
      <c r="C208" s="7"/>
      <c r="D208" s="9"/>
      <c r="E208" s="9"/>
      <c r="F208" s="9"/>
      <c r="G208" s="9"/>
      <c r="H208" s="9"/>
      <c r="I208" s="9"/>
      <c r="J208" s="9"/>
      <c r="K208" s="9"/>
      <c r="L208" s="9"/>
      <c r="M208" s="9"/>
      <c r="N208" s="9"/>
      <c r="O208" s="9"/>
      <c r="P208" s="29"/>
      <c r="Q208" s="29"/>
      <c r="R208" s="7"/>
      <c r="S208" s="7"/>
      <c r="T208" s="7" t="str">
        <f ca="1">IFERROR(__xludf.DUMMYFUNCTION("SPARKLINE({
IF(D208="""",0,D208),
IF(F208="""",0,F208),
IF(H208="""",0,H208),
IF(J208="""",0,J208),
IF(L208="""",0,L208),
IF(N208="""",0,N208),
IF(P208="""",0,P208)
})"),"")</f>
        <v/>
      </c>
      <c r="U208" s="7" t="str">
        <f ca="1">IFERROR(__xludf.DUMMYFUNCTION("SPARKLINE({
IF(E208="""",0,E208),
IF(G208="""",0,G208),
IF(I208="""",0,I208),
IF(K208="""",0,K208),
IF(M208="""",0,M208),
IF(O208="""",0,O208),
IF(Q208="""",0,Q208)
})"),"")</f>
        <v/>
      </c>
      <c r="V208" s="8" t="e">
        <f t="array" aca="1" ref="V208" ca="1">IF($C$4="Giao",_xludf.Xlookup(C208,#REF!,#REF!,),_xludf.Xlookup(C208,#REF!,#REF!,))</f>
        <v>#NAME?</v>
      </c>
      <c r="W208" s="8">
        <f t="array" ref="W208">IF($C$4="Giao", _xludf.Xlookup(C208,#REF!,#REF!,),)</f>
        <v>0</v>
      </c>
      <c r="X208" s="9">
        <f t="shared" si="2"/>
        <v>0</v>
      </c>
      <c r="Y208" s="7"/>
      <c r="Z208" s="7"/>
    </row>
    <row r="209" spans="1:26" ht="13" x14ac:dyDescent="0.6">
      <c r="A209" s="28" t="str">
        <f t="shared" si="1"/>
        <v/>
      </c>
      <c r="B209" s="7"/>
      <c r="C209" s="7"/>
      <c r="D209" s="9"/>
      <c r="E209" s="9"/>
      <c r="F209" s="9"/>
      <c r="G209" s="9"/>
      <c r="H209" s="9"/>
      <c r="I209" s="9"/>
      <c r="J209" s="9"/>
      <c r="K209" s="9"/>
      <c r="L209" s="9"/>
      <c r="M209" s="9"/>
      <c r="N209" s="9"/>
      <c r="O209" s="9"/>
      <c r="P209" s="29"/>
      <c r="Q209" s="29"/>
      <c r="R209" s="7"/>
      <c r="S209" s="7"/>
      <c r="T209" s="7" t="str">
        <f ca="1">IFERROR(__xludf.DUMMYFUNCTION("SPARKLINE({
IF(D209="""",0,D209),
IF(F209="""",0,F209),
IF(H209="""",0,H209),
IF(J209="""",0,J209),
IF(L209="""",0,L209),
IF(N209="""",0,N209),
IF(P209="""",0,P209)
})"),"")</f>
        <v/>
      </c>
      <c r="U209" s="7" t="str">
        <f ca="1">IFERROR(__xludf.DUMMYFUNCTION("SPARKLINE({
IF(E209="""",0,E209),
IF(G209="""",0,G209),
IF(I209="""",0,I209),
IF(K209="""",0,K209),
IF(M209="""",0,M209),
IF(O209="""",0,O209),
IF(Q209="""",0,Q209)
})"),"")</f>
        <v/>
      </c>
      <c r="V209" s="8" t="e">
        <f t="array" aca="1" ref="V209" ca="1">IF($C$4="Giao",_xludf.Xlookup(C209,#REF!,#REF!,),_xludf.Xlookup(C209,#REF!,#REF!,))</f>
        <v>#NAME?</v>
      </c>
      <c r="W209" s="8">
        <f t="array" ref="W209">IF($C$4="Giao", _xludf.Xlookup(C209,#REF!,#REF!,),)</f>
        <v>0</v>
      </c>
      <c r="X209" s="9">
        <f t="shared" si="2"/>
        <v>0</v>
      </c>
      <c r="Y209" s="7"/>
      <c r="Z209" s="7"/>
    </row>
    <row r="210" spans="1:26" ht="13" x14ac:dyDescent="0.6">
      <c r="A210" s="28" t="str">
        <f t="shared" si="1"/>
        <v/>
      </c>
      <c r="B210" s="7"/>
      <c r="C210" s="7"/>
      <c r="D210" s="9"/>
      <c r="E210" s="9"/>
      <c r="F210" s="9"/>
      <c r="G210" s="9"/>
      <c r="H210" s="9"/>
      <c r="I210" s="9"/>
      <c r="J210" s="9"/>
      <c r="K210" s="9"/>
      <c r="L210" s="9"/>
      <c r="M210" s="9"/>
      <c r="N210" s="9"/>
      <c r="O210" s="9"/>
      <c r="P210" s="29"/>
      <c r="Q210" s="29"/>
      <c r="R210" s="7"/>
      <c r="S210" s="7"/>
      <c r="T210" s="7" t="str">
        <f ca="1">IFERROR(__xludf.DUMMYFUNCTION("SPARKLINE({
IF(D210="""",0,D210),
IF(F210="""",0,F210),
IF(H210="""",0,H210),
IF(J210="""",0,J210),
IF(L210="""",0,L210),
IF(N210="""",0,N210),
IF(P210="""",0,P210)
})"),"")</f>
        <v/>
      </c>
      <c r="U210" s="7" t="str">
        <f ca="1">IFERROR(__xludf.DUMMYFUNCTION("SPARKLINE({
IF(E210="""",0,E210),
IF(G210="""",0,G210),
IF(I210="""",0,I210),
IF(K210="""",0,K210),
IF(M210="""",0,M210),
IF(O210="""",0,O210),
IF(Q210="""",0,Q210)
})"),"")</f>
        <v/>
      </c>
      <c r="V210" s="8" t="e">
        <f t="array" aca="1" ref="V210" ca="1">IF($C$4="Giao",_xludf.Xlookup(C210,#REF!,#REF!,),_xludf.Xlookup(C210,#REF!,#REF!,))</f>
        <v>#NAME?</v>
      </c>
      <c r="W210" s="8">
        <f t="array" ref="W210">IF($C$4="Giao", _xludf.Xlookup(C210,#REF!,#REF!,),)</f>
        <v>0</v>
      </c>
      <c r="X210" s="9">
        <f t="shared" si="2"/>
        <v>0</v>
      </c>
      <c r="Y210" s="7"/>
      <c r="Z210" s="7"/>
    </row>
    <row r="211" spans="1:26" ht="13" x14ac:dyDescent="0.6">
      <c r="A211" s="28" t="str">
        <f t="shared" si="1"/>
        <v/>
      </c>
      <c r="B211" s="7"/>
      <c r="C211" s="7"/>
      <c r="D211" s="9"/>
      <c r="E211" s="9"/>
      <c r="F211" s="9"/>
      <c r="G211" s="9"/>
      <c r="H211" s="9"/>
      <c r="I211" s="9"/>
      <c r="J211" s="9"/>
      <c r="K211" s="9"/>
      <c r="L211" s="9"/>
      <c r="M211" s="9"/>
      <c r="N211" s="9"/>
      <c r="O211" s="9"/>
      <c r="P211" s="29"/>
      <c r="Q211" s="29"/>
      <c r="R211" s="7"/>
      <c r="S211" s="7"/>
      <c r="T211" s="7" t="str">
        <f ca="1">IFERROR(__xludf.DUMMYFUNCTION("SPARKLINE({
IF(D211="""",0,D211),
IF(F211="""",0,F211),
IF(H211="""",0,H211),
IF(J211="""",0,J211),
IF(L211="""",0,L211),
IF(N211="""",0,N211),
IF(P211="""",0,P211)
})"),"")</f>
        <v/>
      </c>
      <c r="U211" s="7" t="str">
        <f ca="1">IFERROR(__xludf.DUMMYFUNCTION("SPARKLINE({
IF(E211="""",0,E211),
IF(G211="""",0,G211),
IF(I211="""",0,I211),
IF(K211="""",0,K211),
IF(M211="""",0,M211),
IF(O211="""",0,O211),
IF(Q211="""",0,Q211)
})"),"")</f>
        <v/>
      </c>
      <c r="V211" s="8" t="e">
        <f t="array" aca="1" ref="V211" ca="1">IF($C$4="Giao",_xludf.Xlookup(C211,#REF!,#REF!,),_xludf.Xlookup(C211,#REF!,#REF!,))</f>
        <v>#NAME?</v>
      </c>
      <c r="W211" s="8">
        <f t="array" ref="W211">IF($C$4="Giao", _xludf.Xlookup(C211,#REF!,#REF!,),)</f>
        <v>0</v>
      </c>
      <c r="X211" s="9">
        <f t="shared" si="2"/>
        <v>0</v>
      </c>
      <c r="Y211" s="7"/>
      <c r="Z211" s="7"/>
    </row>
    <row r="212" spans="1:26" ht="13" x14ac:dyDescent="0.6">
      <c r="A212" s="28" t="str">
        <f t="shared" si="1"/>
        <v/>
      </c>
      <c r="B212" s="7"/>
      <c r="C212" s="7"/>
      <c r="D212" s="9"/>
      <c r="E212" s="9"/>
      <c r="F212" s="9"/>
      <c r="G212" s="9"/>
      <c r="H212" s="9"/>
      <c r="I212" s="9"/>
      <c r="J212" s="9"/>
      <c r="K212" s="9"/>
      <c r="L212" s="9"/>
      <c r="M212" s="9"/>
      <c r="N212" s="9"/>
      <c r="O212" s="9"/>
      <c r="P212" s="29"/>
      <c r="Q212" s="29"/>
      <c r="R212" s="7"/>
      <c r="S212" s="7"/>
      <c r="T212" s="7" t="str">
        <f ca="1">IFERROR(__xludf.DUMMYFUNCTION("SPARKLINE({
IF(D212="""",0,D212),
IF(F212="""",0,F212),
IF(H212="""",0,H212),
IF(J212="""",0,J212),
IF(L212="""",0,L212),
IF(N212="""",0,N212),
IF(P212="""",0,P212)
})"),"")</f>
        <v/>
      </c>
      <c r="U212" s="7" t="str">
        <f ca="1">IFERROR(__xludf.DUMMYFUNCTION("SPARKLINE({
IF(E212="""",0,E212),
IF(G212="""",0,G212),
IF(I212="""",0,I212),
IF(K212="""",0,K212),
IF(M212="""",0,M212),
IF(O212="""",0,O212),
IF(Q212="""",0,Q212)
})"),"")</f>
        <v/>
      </c>
      <c r="V212" s="8" t="e">
        <f t="array" aca="1" ref="V212" ca="1">IF($C$4="Giao",_xludf.Xlookup(C212,#REF!,#REF!,),_xludf.Xlookup(C212,#REF!,#REF!,))</f>
        <v>#NAME?</v>
      </c>
      <c r="W212" s="8">
        <f t="array" ref="W212">IF($C$4="Giao", _xludf.Xlookup(C212,#REF!,#REF!,),)</f>
        <v>0</v>
      </c>
      <c r="X212" s="9">
        <f t="shared" si="2"/>
        <v>0</v>
      </c>
      <c r="Y212" s="7"/>
      <c r="Z212" s="7"/>
    </row>
    <row r="213" spans="1:26" ht="13" x14ac:dyDescent="0.6">
      <c r="A213" s="28" t="str">
        <f t="shared" si="1"/>
        <v/>
      </c>
      <c r="B213" s="7"/>
      <c r="C213" s="7"/>
      <c r="D213" s="9"/>
      <c r="E213" s="9"/>
      <c r="F213" s="9"/>
      <c r="G213" s="9"/>
      <c r="H213" s="9"/>
      <c r="I213" s="9"/>
      <c r="J213" s="9"/>
      <c r="K213" s="9"/>
      <c r="L213" s="9"/>
      <c r="M213" s="9"/>
      <c r="N213" s="9"/>
      <c r="O213" s="9"/>
      <c r="P213" s="29"/>
      <c r="Q213" s="29"/>
      <c r="R213" s="7"/>
      <c r="S213" s="7"/>
      <c r="T213" s="7" t="str">
        <f ca="1">IFERROR(__xludf.DUMMYFUNCTION("SPARKLINE({
IF(D213="""",0,D213),
IF(F213="""",0,F213),
IF(H213="""",0,H213),
IF(J213="""",0,J213),
IF(L213="""",0,L213),
IF(N213="""",0,N213),
IF(P213="""",0,P213)
})"),"")</f>
        <v/>
      </c>
      <c r="U213" s="7" t="str">
        <f ca="1">IFERROR(__xludf.DUMMYFUNCTION("SPARKLINE({
IF(E213="""",0,E213),
IF(G213="""",0,G213),
IF(I213="""",0,I213),
IF(K213="""",0,K213),
IF(M213="""",0,M213),
IF(O213="""",0,O213),
IF(Q213="""",0,Q213)
})"),"")</f>
        <v/>
      </c>
      <c r="V213" s="8" t="e">
        <f t="array" aca="1" ref="V213" ca="1">IF($C$4="Giao",_xludf.Xlookup(C213,#REF!,#REF!,),_xludf.Xlookup(C213,#REF!,#REF!,))</f>
        <v>#NAME?</v>
      </c>
      <c r="W213" s="8">
        <f t="array" ref="W213">IF($C$4="Giao", _xludf.Xlookup(C213,#REF!,#REF!,),)</f>
        <v>0</v>
      </c>
      <c r="X213" s="9">
        <f t="shared" si="2"/>
        <v>0</v>
      </c>
      <c r="Y213" s="7"/>
      <c r="Z213" s="7"/>
    </row>
    <row r="214" spans="1:26" ht="13" x14ac:dyDescent="0.6">
      <c r="A214" s="28" t="str">
        <f t="shared" si="1"/>
        <v/>
      </c>
      <c r="B214" s="7"/>
      <c r="C214" s="7"/>
      <c r="D214" s="9"/>
      <c r="E214" s="9"/>
      <c r="F214" s="9"/>
      <c r="G214" s="9"/>
      <c r="H214" s="9"/>
      <c r="I214" s="9"/>
      <c r="J214" s="9"/>
      <c r="K214" s="9"/>
      <c r="L214" s="9"/>
      <c r="M214" s="9"/>
      <c r="N214" s="9"/>
      <c r="O214" s="9"/>
      <c r="P214" s="29"/>
      <c r="Q214" s="29"/>
      <c r="R214" s="7"/>
      <c r="S214" s="7"/>
      <c r="T214" s="7" t="str">
        <f ca="1">IFERROR(__xludf.DUMMYFUNCTION("SPARKLINE({
IF(D214="""",0,D214),
IF(F214="""",0,F214),
IF(H214="""",0,H214),
IF(J214="""",0,J214),
IF(L214="""",0,L214),
IF(N214="""",0,N214),
IF(P214="""",0,P214)
})"),"")</f>
        <v/>
      </c>
      <c r="U214" s="7" t="str">
        <f ca="1">IFERROR(__xludf.DUMMYFUNCTION("SPARKLINE({
IF(E214="""",0,E214),
IF(G214="""",0,G214),
IF(I214="""",0,I214),
IF(K214="""",0,K214),
IF(M214="""",0,M214),
IF(O214="""",0,O214),
IF(Q214="""",0,Q214)
})"),"")</f>
        <v/>
      </c>
      <c r="V214" s="8" t="e">
        <f t="array" aca="1" ref="V214" ca="1">IF($C$4="Giao",_xludf.Xlookup(C214,#REF!,#REF!,),_xludf.Xlookup(C214,#REF!,#REF!,))</f>
        <v>#NAME?</v>
      </c>
      <c r="W214" s="8">
        <f t="array" ref="W214">IF($C$4="Giao", _xludf.Xlookup(C214,#REF!,#REF!,),)</f>
        <v>0</v>
      </c>
      <c r="X214" s="9">
        <f t="shared" si="2"/>
        <v>0</v>
      </c>
      <c r="Y214" s="7"/>
      <c r="Z214" s="7"/>
    </row>
    <row r="215" spans="1:26" ht="13" x14ac:dyDescent="0.6">
      <c r="A215" s="28" t="str">
        <f t="shared" si="1"/>
        <v/>
      </c>
      <c r="B215" s="7"/>
      <c r="C215" s="7"/>
      <c r="D215" s="9"/>
      <c r="E215" s="9"/>
      <c r="F215" s="9"/>
      <c r="G215" s="9"/>
      <c r="H215" s="9"/>
      <c r="I215" s="9"/>
      <c r="J215" s="9"/>
      <c r="K215" s="9"/>
      <c r="L215" s="9"/>
      <c r="M215" s="9"/>
      <c r="N215" s="9"/>
      <c r="O215" s="9"/>
      <c r="P215" s="29"/>
      <c r="Q215" s="29"/>
      <c r="R215" s="7"/>
      <c r="S215" s="7"/>
      <c r="T215" s="7" t="str">
        <f ca="1">IFERROR(__xludf.DUMMYFUNCTION("SPARKLINE({
IF(D215="""",0,D215),
IF(F215="""",0,F215),
IF(H215="""",0,H215),
IF(J215="""",0,J215),
IF(L215="""",0,L215),
IF(N215="""",0,N215),
IF(P215="""",0,P215)
})"),"")</f>
        <v/>
      </c>
      <c r="U215" s="7" t="str">
        <f ca="1">IFERROR(__xludf.DUMMYFUNCTION("SPARKLINE({
IF(E215="""",0,E215),
IF(G215="""",0,G215),
IF(I215="""",0,I215),
IF(K215="""",0,K215),
IF(M215="""",0,M215),
IF(O215="""",0,O215),
IF(Q215="""",0,Q215)
})"),"")</f>
        <v/>
      </c>
      <c r="V215" s="8" t="e">
        <f t="array" aca="1" ref="V215" ca="1">IF($C$4="Giao",_xludf.Xlookup(C215,#REF!,#REF!,),_xludf.Xlookup(C215,#REF!,#REF!,))</f>
        <v>#NAME?</v>
      </c>
      <c r="W215" s="8">
        <f t="array" ref="W215">IF($C$4="Giao", _xludf.Xlookup(C215,#REF!,#REF!,),)</f>
        <v>0</v>
      </c>
      <c r="X215" s="9">
        <f t="shared" si="2"/>
        <v>0</v>
      </c>
      <c r="Y215" s="7"/>
      <c r="Z215" s="7"/>
    </row>
    <row r="216" spans="1:26" ht="13" x14ac:dyDescent="0.6">
      <c r="A216" s="28" t="str">
        <f t="shared" si="1"/>
        <v/>
      </c>
      <c r="B216" s="7"/>
      <c r="C216" s="7"/>
      <c r="D216" s="9"/>
      <c r="E216" s="9"/>
      <c r="F216" s="9"/>
      <c r="G216" s="9"/>
      <c r="H216" s="9"/>
      <c r="I216" s="9"/>
      <c r="J216" s="9"/>
      <c r="K216" s="9"/>
      <c r="L216" s="9"/>
      <c r="M216" s="9"/>
      <c r="N216" s="9"/>
      <c r="O216" s="9"/>
      <c r="P216" s="29"/>
      <c r="Q216" s="29"/>
      <c r="R216" s="7"/>
      <c r="S216" s="7"/>
      <c r="T216" s="7" t="str">
        <f ca="1">IFERROR(__xludf.DUMMYFUNCTION("SPARKLINE({
IF(D216="""",0,D216),
IF(F216="""",0,F216),
IF(H216="""",0,H216),
IF(J216="""",0,J216),
IF(L216="""",0,L216),
IF(N216="""",0,N216),
IF(P216="""",0,P216)
})"),"")</f>
        <v/>
      </c>
      <c r="U216" s="7" t="str">
        <f ca="1">IFERROR(__xludf.DUMMYFUNCTION("SPARKLINE({
IF(E216="""",0,E216),
IF(G216="""",0,G216),
IF(I216="""",0,I216),
IF(K216="""",0,K216),
IF(M216="""",0,M216),
IF(O216="""",0,O216),
IF(Q216="""",0,Q216)
})"),"")</f>
        <v/>
      </c>
      <c r="V216" s="8" t="e">
        <f t="array" aca="1" ref="V216" ca="1">IF($C$4="Giao",_xludf.Xlookup(C216,#REF!,#REF!,),_xludf.Xlookup(C216,#REF!,#REF!,))</f>
        <v>#NAME?</v>
      </c>
      <c r="W216" s="8">
        <f t="array" ref="W216">IF($C$4="Giao", _xludf.Xlookup(C216,#REF!,#REF!,),)</f>
        <v>0</v>
      </c>
      <c r="X216" s="9">
        <f t="shared" si="2"/>
        <v>0</v>
      </c>
      <c r="Y216" s="7"/>
      <c r="Z216" s="7"/>
    </row>
    <row r="217" spans="1:26" ht="13" x14ac:dyDescent="0.6">
      <c r="A217" s="28" t="str">
        <f t="shared" si="1"/>
        <v/>
      </c>
      <c r="B217" s="7"/>
      <c r="C217" s="7"/>
      <c r="D217" s="9"/>
      <c r="E217" s="9"/>
      <c r="F217" s="9"/>
      <c r="G217" s="9"/>
      <c r="H217" s="9"/>
      <c r="I217" s="9"/>
      <c r="J217" s="9"/>
      <c r="K217" s="9"/>
      <c r="L217" s="9"/>
      <c r="M217" s="9"/>
      <c r="N217" s="9"/>
      <c r="O217" s="9"/>
      <c r="P217" s="29"/>
      <c r="Q217" s="29"/>
      <c r="R217" s="7"/>
      <c r="S217" s="7"/>
      <c r="T217" s="7" t="str">
        <f ca="1">IFERROR(__xludf.DUMMYFUNCTION("SPARKLINE({
IF(D217="""",0,D217),
IF(F217="""",0,F217),
IF(H217="""",0,H217),
IF(J217="""",0,J217),
IF(L217="""",0,L217),
IF(N217="""",0,N217),
IF(P217="""",0,P217)
})"),"")</f>
        <v/>
      </c>
      <c r="U217" s="7" t="str">
        <f ca="1">IFERROR(__xludf.DUMMYFUNCTION("SPARKLINE({
IF(E217="""",0,E217),
IF(G217="""",0,G217),
IF(I217="""",0,I217),
IF(K217="""",0,K217),
IF(M217="""",0,M217),
IF(O217="""",0,O217),
IF(Q217="""",0,Q217)
})"),"")</f>
        <v/>
      </c>
      <c r="V217" s="8" t="e">
        <f t="array" aca="1" ref="V217" ca="1">IF($C$4="Giao",_xludf.Xlookup(C217,#REF!,#REF!,),_xludf.Xlookup(C217,#REF!,#REF!,))</f>
        <v>#NAME?</v>
      </c>
      <c r="W217" s="8">
        <f t="array" ref="W217">IF($C$4="Giao", _xludf.Xlookup(C217,#REF!,#REF!,),)</f>
        <v>0</v>
      </c>
      <c r="X217" s="9">
        <f t="shared" si="2"/>
        <v>0</v>
      </c>
      <c r="Y217" s="7"/>
      <c r="Z217" s="7"/>
    </row>
    <row r="218" spans="1:26" ht="13" x14ac:dyDescent="0.6">
      <c r="A218" s="28" t="str">
        <f t="shared" si="1"/>
        <v/>
      </c>
      <c r="B218" s="7"/>
      <c r="C218" s="7"/>
      <c r="D218" s="9"/>
      <c r="E218" s="9"/>
      <c r="F218" s="9"/>
      <c r="G218" s="9"/>
      <c r="H218" s="9"/>
      <c r="I218" s="9"/>
      <c r="J218" s="9"/>
      <c r="K218" s="9"/>
      <c r="L218" s="9"/>
      <c r="M218" s="9"/>
      <c r="N218" s="9"/>
      <c r="O218" s="9"/>
      <c r="P218" s="29"/>
      <c r="Q218" s="29"/>
      <c r="R218" s="7"/>
      <c r="S218" s="7"/>
      <c r="T218" s="7" t="str">
        <f ca="1">IFERROR(__xludf.DUMMYFUNCTION("SPARKLINE({
IF(D218="""",0,D218),
IF(F218="""",0,F218),
IF(H218="""",0,H218),
IF(J218="""",0,J218),
IF(L218="""",0,L218),
IF(N218="""",0,N218),
IF(P218="""",0,P218)
})"),"")</f>
        <v/>
      </c>
      <c r="U218" s="7" t="str">
        <f ca="1">IFERROR(__xludf.DUMMYFUNCTION("SPARKLINE({
IF(E218="""",0,E218),
IF(G218="""",0,G218),
IF(I218="""",0,I218),
IF(K218="""",0,K218),
IF(M218="""",0,M218),
IF(O218="""",0,O218),
IF(Q218="""",0,Q218)
})"),"")</f>
        <v/>
      </c>
      <c r="V218" s="8" t="e">
        <f t="array" aca="1" ref="V218" ca="1">IF($C$4="Giao",_xludf.Xlookup(C218,#REF!,#REF!,),_xludf.Xlookup(C218,#REF!,#REF!,))</f>
        <v>#NAME?</v>
      </c>
      <c r="W218" s="8">
        <f t="array" ref="W218">IF($C$4="Giao", _xludf.Xlookup(C218,#REF!,#REF!,),)</f>
        <v>0</v>
      </c>
      <c r="X218" s="9">
        <f t="shared" si="2"/>
        <v>0</v>
      </c>
      <c r="Y218" s="7"/>
      <c r="Z218" s="7"/>
    </row>
    <row r="219" spans="1:26" ht="13" x14ac:dyDescent="0.6">
      <c r="A219" s="28" t="str">
        <f t="shared" si="1"/>
        <v/>
      </c>
      <c r="B219" s="7"/>
      <c r="C219" s="7"/>
      <c r="D219" s="9"/>
      <c r="E219" s="9"/>
      <c r="F219" s="9"/>
      <c r="G219" s="9"/>
      <c r="H219" s="9"/>
      <c r="I219" s="9"/>
      <c r="J219" s="9"/>
      <c r="K219" s="9"/>
      <c r="L219" s="9"/>
      <c r="M219" s="9"/>
      <c r="N219" s="9"/>
      <c r="O219" s="9"/>
      <c r="P219" s="29"/>
      <c r="Q219" s="29"/>
      <c r="R219" s="7"/>
      <c r="S219" s="7"/>
      <c r="T219" s="7" t="str">
        <f ca="1">IFERROR(__xludf.DUMMYFUNCTION("SPARKLINE({
IF(D219="""",0,D219),
IF(F219="""",0,F219),
IF(H219="""",0,H219),
IF(J219="""",0,J219),
IF(L219="""",0,L219),
IF(N219="""",0,N219),
IF(P219="""",0,P219)
})"),"")</f>
        <v/>
      </c>
      <c r="U219" s="7" t="str">
        <f ca="1">IFERROR(__xludf.DUMMYFUNCTION("SPARKLINE({
IF(E219="""",0,E219),
IF(G219="""",0,G219),
IF(I219="""",0,I219),
IF(K219="""",0,K219),
IF(M219="""",0,M219),
IF(O219="""",0,O219),
IF(Q219="""",0,Q219)
})"),"")</f>
        <v/>
      </c>
      <c r="V219" s="8" t="e">
        <f t="array" aca="1" ref="V219" ca="1">IF($C$4="Giao",_xludf.Xlookup(C219,#REF!,#REF!,),_xludf.Xlookup(C219,#REF!,#REF!,))</f>
        <v>#NAME?</v>
      </c>
      <c r="W219" s="8">
        <f t="array" ref="W219">IF($C$4="Giao", _xludf.Xlookup(C219,#REF!,#REF!,),)</f>
        <v>0</v>
      </c>
      <c r="X219" s="9">
        <f t="shared" si="2"/>
        <v>0</v>
      </c>
      <c r="Y219" s="7"/>
      <c r="Z219" s="7"/>
    </row>
    <row r="220" spans="1:26" ht="13" x14ac:dyDescent="0.6">
      <c r="A220" s="28" t="str">
        <f t="shared" si="1"/>
        <v/>
      </c>
      <c r="B220" s="7"/>
      <c r="C220" s="7"/>
      <c r="D220" s="9"/>
      <c r="E220" s="9"/>
      <c r="F220" s="9"/>
      <c r="G220" s="9"/>
      <c r="H220" s="9"/>
      <c r="I220" s="9"/>
      <c r="J220" s="9"/>
      <c r="K220" s="9"/>
      <c r="L220" s="9"/>
      <c r="M220" s="9"/>
      <c r="N220" s="9"/>
      <c r="O220" s="9"/>
      <c r="P220" s="29"/>
      <c r="Q220" s="29"/>
      <c r="R220" s="7"/>
      <c r="S220" s="7"/>
      <c r="T220" s="7" t="str">
        <f ca="1">IFERROR(__xludf.DUMMYFUNCTION("SPARKLINE({
IF(D220="""",0,D220),
IF(F220="""",0,F220),
IF(H220="""",0,H220),
IF(J220="""",0,J220),
IF(L220="""",0,L220),
IF(N220="""",0,N220),
IF(P220="""",0,P220)
})"),"")</f>
        <v/>
      </c>
      <c r="U220" s="7" t="str">
        <f ca="1">IFERROR(__xludf.DUMMYFUNCTION("SPARKLINE({
IF(E220="""",0,E220),
IF(G220="""",0,G220),
IF(I220="""",0,I220),
IF(K220="""",0,K220),
IF(M220="""",0,M220),
IF(O220="""",0,O220),
IF(Q220="""",0,Q220)
})"),"")</f>
        <v/>
      </c>
      <c r="V220" s="8" t="e">
        <f t="array" aca="1" ref="V220" ca="1">IF($C$4="Giao",_xludf.Xlookup(C220,#REF!,#REF!,),_xludf.Xlookup(C220,#REF!,#REF!,))</f>
        <v>#NAME?</v>
      </c>
      <c r="W220" s="8">
        <f t="array" ref="W220">IF($C$4="Giao", _xludf.Xlookup(C220,#REF!,#REF!,),)</f>
        <v>0</v>
      </c>
      <c r="X220" s="9">
        <f t="shared" si="2"/>
        <v>0</v>
      </c>
      <c r="Y220" s="7"/>
      <c r="Z220" s="7"/>
    </row>
    <row r="221" spans="1:26" ht="13" x14ac:dyDescent="0.6">
      <c r="A221" s="28" t="str">
        <f t="shared" si="1"/>
        <v/>
      </c>
      <c r="B221" s="7"/>
      <c r="C221" s="7"/>
      <c r="D221" s="9"/>
      <c r="E221" s="9"/>
      <c r="F221" s="9"/>
      <c r="G221" s="9"/>
      <c r="H221" s="9"/>
      <c r="I221" s="9"/>
      <c r="J221" s="9"/>
      <c r="K221" s="9"/>
      <c r="L221" s="9"/>
      <c r="M221" s="9"/>
      <c r="N221" s="9"/>
      <c r="O221" s="9"/>
      <c r="P221" s="29"/>
      <c r="Q221" s="29"/>
      <c r="R221" s="7"/>
      <c r="S221" s="7"/>
      <c r="T221" s="7" t="str">
        <f ca="1">IFERROR(__xludf.DUMMYFUNCTION("SPARKLINE({
IF(D221="""",0,D221),
IF(F221="""",0,F221),
IF(H221="""",0,H221),
IF(J221="""",0,J221),
IF(L221="""",0,L221),
IF(N221="""",0,N221),
IF(P221="""",0,P221)
})"),"")</f>
        <v/>
      </c>
      <c r="U221" s="7" t="str">
        <f ca="1">IFERROR(__xludf.DUMMYFUNCTION("SPARKLINE({
IF(E221="""",0,E221),
IF(G221="""",0,G221),
IF(I221="""",0,I221),
IF(K221="""",0,K221),
IF(M221="""",0,M221),
IF(O221="""",0,O221),
IF(Q221="""",0,Q221)
})"),"")</f>
        <v/>
      </c>
      <c r="V221" s="8" t="e">
        <f t="array" aca="1" ref="V221" ca="1">IF($C$4="Giao",_xludf.Xlookup(C221,#REF!,#REF!,),_xludf.Xlookup(C221,#REF!,#REF!,))</f>
        <v>#NAME?</v>
      </c>
      <c r="W221" s="8">
        <f t="array" ref="W221">IF($C$4="Giao", _xludf.Xlookup(C221,#REF!,#REF!,),)</f>
        <v>0</v>
      </c>
      <c r="X221" s="9">
        <f t="shared" si="2"/>
        <v>0</v>
      </c>
      <c r="Y221" s="7"/>
      <c r="Z221" s="7"/>
    </row>
    <row r="222" spans="1:26" ht="13" x14ac:dyDescent="0.6">
      <c r="A222" s="28" t="str">
        <f t="shared" si="1"/>
        <v/>
      </c>
      <c r="B222" s="7"/>
      <c r="C222" s="7"/>
      <c r="D222" s="9"/>
      <c r="E222" s="9"/>
      <c r="F222" s="9"/>
      <c r="G222" s="9"/>
      <c r="H222" s="9"/>
      <c r="I222" s="9"/>
      <c r="J222" s="9"/>
      <c r="K222" s="9"/>
      <c r="L222" s="9"/>
      <c r="M222" s="9"/>
      <c r="N222" s="9"/>
      <c r="O222" s="9"/>
      <c r="P222" s="29"/>
      <c r="Q222" s="29"/>
      <c r="R222" s="7"/>
      <c r="S222" s="7"/>
      <c r="T222" s="7" t="str">
        <f ca="1">IFERROR(__xludf.DUMMYFUNCTION("SPARKLINE({
IF(D222="""",0,D222),
IF(F222="""",0,F222),
IF(H222="""",0,H222),
IF(J222="""",0,J222),
IF(L222="""",0,L222),
IF(N222="""",0,N222),
IF(P222="""",0,P222)
})"),"")</f>
        <v/>
      </c>
      <c r="U222" s="7" t="str">
        <f ca="1">IFERROR(__xludf.DUMMYFUNCTION("SPARKLINE({
IF(E222="""",0,E222),
IF(G222="""",0,G222),
IF(I222="""",0,I222),
IF(K222="""",0,K222),
IF(M222="""",0,M222),
IF(O222="""",0,O222),
IF(Q222="""",0,Q222)
})"),"")</f>
        <v/>
      </c>
      <c r="V222" s="8" t="e">
        <f t="array" aca="1" ref="V222" ca="1">IF($C$4="Giao",_xludf.Xlookup(C222,#REF!,#REF!,),_xludf.Xlookup(C222,#REF!,#REF!,))</f>
        <v>#NAME?</v>
      </c>
      <c r="W222" s="8">
        <f t="array" ref="W222">IF($C$4="Giao", _xludf.Xlookup(C222,#REF!,#REF!,),)</f>
        <v>0</v>
      </c>
      <c r="X222" s="9">
        <f t="shared" si="2"/>
        <v>0</v>
      </c>
      <c r="Y222" s="7"/>
      <c r="Z222" s="7"/>
    </row>
    <row r="223" spans="1:26" ht="13" x14ac:dyDescent="0.6">
      <c r="A223" s="28" t="str">
        <f t="shared" si="1"/>
        <v/>
      </c>
      <c r="B223" s="7"/>
      <c r="C223" s="7"/>
      <c r="D223" s="9"/>
      <c r="E223" s="9"/>
      <c r="F223" s="9"/>
      <c r="G223" s="9"/>
      <c r="H223" s="9"/>
      <c r="I223" s="9"/>
      <c r="J223" s="9"/>
      <c r="K223" s="9"/>
      <c r="L223" s="9"/>
      <c r="M223" s="9"/>
      <c r="N223" s="9"/>
      <c r="O223" s="9"/>
      <c r="P223" s="29"/>
      <c r="Q223" s="29"/>
      <c r="R223" s="7"/>
      <c r="S223" s="7"/>
      <c r="T223" s="7" t="str">
        <f ca="1">IFERROR(__xludf.DUMMYFUNCTION("SPARKLINE({
IF(D223="""",0,D223),
IF(F223="""",0,F223),
IF(H223="""",0,H223),
IF(J223="""",0,J223),
IF(L223="""",0,L223),
IF(N223="""",0,N223),
IF(P223="""",0,P223)
})"),"")</f>
        <v/>
      </c>
      <c r="U223" s="7" t="str">
        <f ca="1">IFERROR(__xludf.DUMMYFUNCTION("SPARKLINE({
IF(E223="""",0,E223),
IF(G223="""",0,G223),
IF(I223="""",0,I223),
IF(K223="""",0,K223),
IF(M223="""",0,M223),
IF(O223="""",0,O223),
IF(Q223="""",0,Q223)
})"),"")</f>
        <v/>
      </c>
      <c r="V223" s="8" t="e">
        <f t="array" aca="1" ref="V223" ca="1">IF($C$4="Giao",_xludf.Xlookup(C223,#REF!,#REF!,),_xludf.Xlookup(C223,#REF!,#REF!,))</f>
        <v>#NAME?</v>
      </c>
      <c r="W223" s="8">
        <f t="array" ref="W223">IF($C$4="Giao", _xludf.Xlookup(C223,#REF!,#REF!,),)</f>
        <v>0</v>
      </c>
      <c r="X223" s="9">
        <f t="shared" si="2"/>
        <v>0</v>
      </c>
      <c r="Y223" s="7"/>
      <c r="Z223" s="7"/>
    </row>
    <row r="224" spans="1:26" ht="13" x14ac:dyDescent="0.6">
      <c r="A224" s="28" t="str">
        <f t="shared" si="1"/>
        <v/>
      </c>
      <c r="B224" s="7"/>
      <c r="C224" s="7"/>
      <c r="D224" s="9"/>
      <c r="E224" s="9"/>
      <c r="F224" s="9"/>
      <c r="G224" s="9"/>
      <c r="H224" s="9"/>
      <c r="I224" s="9"/>
      <c r="J224" s="9"/>
      <c r="K224" s="9"/>
      <c r="L224" s="9"/>
      <c r="M224" s="9"/>
      <c r="N224" s="9"/>
      <c r="O224" s="9"/>
      <c r="P224" s="29"/>
      <c r="Q224" s="29"/>
      <c r="R224" s="7"/>
      <c r="S224" s="7"/>
      <c r="T224" s="7" t="str">
        <f ca="1">IFERROR(__xludf.DUMMYFUNCTION("SPARKLINE({
IF(D224="""",0,D224),
IF(F224="""",0,F224),
IF(H224="""",0,H224),
IF(J224="""",0,J224),
IF(L224="""",0,L224),
IF(N224="""",0,N224),
IF(P224="""",0,P224)
})"),"")</f>
        <v/>
      </c>
      <c r="U224" s="7" t="str">
        <f ca="1">IFERROR(__xludf.DUMMYFUNCTION("SPARKLINE({
IF(E224="""",0,E224),
IF(G224="""",0,G224),
IF(I224="""",0,I224),
IF(K224="""",0,K224),
IF(M224="""",0,M224),
IF(O224="""",0,O224),
IF(Q224="""",0,Q224)
})"),"")</f>
        <v/>
      </c>
      <c r="V224" s="8" t="e">
        <f t="array" aca="1" ref="V224" ca="1">IF($C$4="Giao",_xludf.Xlookup(C224,#REF!,#REF!,),_xludf.Xlookup(C224,#REF!,#REF!,))</f>
        <v>#NAME?</v>
      </c>
      <c r="W224" s="8">
        <f t="array" ref="W224">IF($C$4="Giao", _xludf.Xlookup(C224,#REF!,#REF!,),)</f>
        <v>0</v>
      </c>
      <c r="X224" s="9">
        <f t="shared" si="2"/>
        <v>0</v>
      </c>
      <c r="Y224" s="7"/>
      <c r="Z224" s="7"/>
    </row>
    <row r="225" spans="1:26" ht="13" x14ac:dyDescent="0.6">
      <c r="A225" s="28" t="str">
        <f t="shared" si="1"/>
        <v/>
      </c>
      <c r="B225" s="7"/>
      <c r="C225" s="7"/>
      <c r="D225" s="9"/>
      <c r="E225" s="9"/>
      <c r="F225" s="9"/>
      <c r="G225" s="9"/>
      <c r="H225" s="9"/>
      <c r="I225" s="9"/>
      <c r="J225" s="9"/>
      <c r="K225" s="9"/>
      <c r="L225" s="9"/>
      <c r="M225" s="9"/>
      <c r="N225" s="9"/>
      <c r="O225" s="9"/>
      <c r="P225" s="29"/>
      <c r="Q225" s="29"/>
      <c r="R225" s="7"/>
      <c r="S225" s="7"/>
      <c r="T225" s="7" t="str">
        <f ca="1">IFERROR(__xludf.DUMMYFUNCTION("SPARKLINE({
IF(D225="""",0,D225),
IF(F225="""",0,F225),
IF(H225="""",0,H225),
IF(J225="""",0,J225),
IF(L225="""",0,L225),
IF(N225="""",0,N225),
IF(P225="""",0,P225)
})"),"")</f>
        <v/>
      </c>
      <c r="U225" s="7" t="str">
        <f ca="1">IFERROR(__xludf.DUMMYFUNCTION("SPARKLINE({
IF(E225="""",0,E225),
IF(G225="""",0,G225),
IF(I225="""",0,I225),
IF(K225="""",0,K225),
IF(M225="""",0,M225),
IF(O225="""",0,O225),
IF(Q225="""",0,Q225)
})"),"")</f>
        <v/>
      </c>
      <c r="V225" s="8" t="e">
        <f t="array" aca="1" ref="V225" ca="1">IF($C$4="Giao",_xludf.Xlookup(C225,#REF!,#REF!,),_xludf.Xlookup(C225,#REF!,#REF!,))</f>
        <v>#NAME?</v>
      </c>
      <c r="W225" s="8">
        <f t="array" ref="W225">IF($C$4="Giao", _xludf.Xlookup(C225,#REF!,#REF!,),)</f>
        <v>0</v>
      </c>
      <c r="X225" s="9">
        <f t="shared" si="2"/>
        <v>0</v>
      </c>
      <c r="Y225" s="7"/>
      <c r="Z225" s="7"/>
    </row>
    <row r="226" spans="1:26" ht="13" x14ac:dyDescent="0.6">
      <c r="A226" s="28" t="str">
        <f t="shared" si="1"/>
        <v/>
      </c>
      <c r="B226" s="7"/>
      <c r="C226" s="7"/>
      <c r="D226" s="9"/>
      <c r="E226" s="9"/>
      <c r="F226" s="9"/>
      <c r="G226" s="9"/>
      <c r="H226" s="9"/>
      <c r="I226" s="9"/>
      <c r="J226" s="9"/>
      <c r="K226" s="9"/>
      <c r="L226" s="9"/>
      <c r="M226" s="9"/>
      <c r="N226" s="9"/>
      <c r="O226" s="9"/>
      <c r="P226" s="29"/>
      <c r="Q226" s="29"/>
      <c r="R226" s="7"/>
      <c r="S226" s="7"/>
      <c r="T226" s="7" t="str">
        <f ca="1">IFERROR(__xludf.DUMMYFUNCTION("SPARKLINE({
IF(D226="""",0,D226),
IF(F226="""",0,F226),
IF(H226="""",0,H226),
IF(J226="""",0,J226),
IF(L226="""",0,L226),
IF(N226="""",0,N226),
IF(P226="""",0,P226)
})"),"")</f>
        <v/>
      </c>
      <c r="U226" s="7" t="str">
        <f ca="1">IFERROR(__xludf.DUMMYFUNCTION("SPARKLINE({
IF(E226="""",0,E226),
IF(G226="""",0,G226),
IF(I226="""",0,I226),
IF(K226="""",0,K226),
IF(M226="""",0,M226),
IF(O226="""",0,O226),
IF(Q226="""",0,Q226)
})"),"")</f>
        <v/>
      </c>
      <c r="V226" s="8" t="e">
        <f t="array" aca="1" ref="V226" ca="1">IF($C$4="Giao",_xludf.Xlookup(C226,#REF!,#REF!,),_xludf.Xlookup(C226,#REF!,#REF!,))</f>
        <v>#NAME?</v>
      </c>
      <c r="W226" s="8">
        <f t="array" ref="W226">IF($C$4="Giao", _xludf.Xlookup(C226,#REF!,#REF!,),)</f>
        <v>0</v>
      </c>
      <c r="X226" s="9">
        <f t="shared" si="2"/>
        <v>0</v>
      </c>
      <c r="Y226" s="7"/>
      <c r="Z226" s="7"/>
    </row>
    <row r="227" spans="1:26" ht="13" x14ac:dyDescent="0.6">
      <c r="A227" s="28" t="str">
        <f t="shared" si="1"/>
        <v/>
      </c>
      <c r="B227" s="7"/>
      <c r="C227" s="7"/>
      <c r="D227" s="9"/>
      <c r="E227" s="9"/>
      <c r="F227" s="9"/>
      <c r="G227" s="9"/>
      <c r="H227" s="9"/>
      <c r="I227" s="9"/>
      <c r="J227" s="9"/>
      <c r="K227" s="9"/>
      <c r="L227" s="9"/>
      <c r="M227" s="9"/>
      <c r="N227" s="9"/>
      <c r="O227" s="9"/>
      <c r="P227" s="29"/>
      <c r="Q227" s="29"/>
      <c r="R227" s="7"/>
      <c r="S227" s="7"/>
      <c r="T227" s="7" t="str">
        <f ca="1">IFERROR(__xludf.DUMMYFUNCTION("SPARKLINE({
IF(D227="""",0,D227),
IF(F227="""",0,F227),
IF(H227="""",0,H227),
IF(J227="""",0,J227),
IF(L227="""",0,L227),
IF(N227="""",0,N227),
IF(P227="""",0,P227)
})"),"")</f>
        <v/>
      </c>
      <c r="U227" s="7" t="str">
        <f ca="1">IFERROR(__xludf.DUMMYFUNCTION("SPARKLINE({
IF(E227="""",0,E227),
IF(G227="""",0,G227),
IF(I227="""",0,I227),
IF(K227="""",0,K227),
IF(M227="""",0,M227),
IF(O227="""",0,O227),
IF(Q227="""",0,Q227)
})"),"")</f>
        <v/>
      </c>
      <c r="V227" s="8" t="e">
        <f t="array" aca="1" ref="V227" ca="1">IF($C$4="Giao",_xludf.Xlookup(C227,#REF!,#REF!,),_xludf.Xlookup(C227,#REF!,#REF!,))</f>
        <v>#NAME?</v>
      </c>
      <c r="W227" s="8">
        <f t="array" ref="W227">IF($C$4="Giao", _xludf.Xlookup(C227,#REF!,#REF!,),)</f>
        <v>0</v>
      </c>
      <c r="X227" s="9">
        <f t="shared" si="2"/>
        <v>0</v>
      </c>
      <c r="Y227" s="7"/>
      <c r="Z227" s="7"/>
    </row>
    <row r="228" spans="1:26" ht="13" x14ac:dyDescent="0.6">
      <c r="A228" s="28" t="str">
        <f t="shared" si="1"/>
        <v/>
      </c>
      <c r="B228" s="7"/>
      <c r="C228" s="7"/>
      <c r="D228" s="9"/>
      <c r="E228" s="9"/>
      <c r="F228" s="9"/>
      <c r="G228" s="9"/>
      <c r="H228" s="9"/>
      <c r="I228" s="9"/>
      <c r="J228" s="9"/>
      <c r="K228" s="9"/>
      <c r="L228" s="9"/>
      <c r="M228" s="9"/>
      <c r="N228" s="9"/>
      <c r="O228" s="9"/>
      <c r="P228" s="29"/>
      <c r="Q228" s="29"/>
      <c r="R228" s="7"/>
      <c r="S228" s="7"/>
      <c r="T228" s="7" t="str">
        <f ca="1">IFERROR(__xludf.DUMMYFUNCTION("SPARKLINE({
IF(D228="""",0,D228),
IF(F228="""",0,F228),
IF(H228="""",0,H228),
IF(J228="""",0,J228),
IF(L228="""",0,L228),
IF(N228="""",0,N228),
IF(P228="""",0,P228)
})"),"")</f>
        <v/>
      </c>
      <c r="U228" s="7" t="str">
        <f ca="1">IFERROR(__xludf.DUMMYFUNCTION("SPARKLINE({
IF(E228="""",0,E228),
IF(G228="""",0,G228),
IF(I228="""",0,I228),
IF(K228="""",0,K228),
IF(M228="""",0,M228),
IF(O228="""",0,O228),
IF(Q228="""",0,Q228)
})"),"")</f>
        <v/>
      </c>
      <c r="V228" s="8" t="e">
        <f t="array" aca="1" ref="V228" ca="1">IF($C$4="Giao",_xludf.Xlookup(C228,#REF!,#REF!,),_xludf.Xlookup(C228,#REF!,#REF!,))</f>
        <v>#NAME?</v>
      </c>
      <c r="W228" s="8">
        <f t="array" ref="W228">IF($C$4="Giao", _xludf.Xlookup(C228,#REF!,#REF!,),)</f>
        <v>0</v>
      </c>
      <c r="X228" s="9">
        <f t="shared" si="2"/>
        <v>0</v>
      </c>
      <c r="Y228" s="7"/>
      <c r="Z228" s="7"/>
    </row>
    <row r="229" spans="1:26" ht="13" x14ac:dyDescent="0.6">
      <c r="A229" s="28" t="str">
        <f t="shared" si="1"/>
        <v/>
      </c>
      <c r="B229" s="7"/>
      <c r="C229" s="7"/>
      <c r="D229" s="9"/>
      <c r="E229" s="9"/>
      <c r="F229" s="9"/>
      <c r="G229" s="9"/>
      <c r="H229" s="9"/>
      <c r="I229" s="9"/>
      <c r="J229" s="9"/>
      <c r="K229" s="9"/>
      <c r="L229" s="9"/>
      <c r="M229" s="9"/>
      <c r="N229" s="9"/>
      <c r="O229" s="9"/>
      <c r="P229" s="29"/>
      <c r="Q229" s="29"/>
      <c r="R229" s="7"/>
      <c r="S229" s="7"/>
      <c r="T229" s="7" t="str">
        <f ca="1">IFERROR(__xludf.DUMMYFUNCTION("SPARKLINE({
IF(D229="""",0,D229),
IF(F229="""",0,F229),
IF(H229="""",0,H229),
IF(J229="""",0,J229),
IF(L229="""",0,L229),
IF(N229="""",0,N229),
IF(P229="""",0,P229)
})"),"")</f>
        <v/>
      </c>
      <c r="U229" s="7" t="str">
        <f ca="1">IFERROR(__xludf.DUMMYFUNCTION("SPARKLINE({
IF(E229="""",0,E229),
IF(G229="""",0,G229),
IF(I229="""",0,I229),
IF(K229="""",0,K229),
IF(M229="""",0,M229),
IF(O229="""",0,O229),
IF(Q229="""",0,Q229)
})"),"")</f>
        <v/>
      </c>
      <c r="V229" s="8" t="e">
        <f t="array" aca="1" ref="V229" ca="1">IF($C$4="Giao",_xludf.Xlookup(C229,#REF!,#REF!,),_xludf.Xlookup(C229,#REF!,#REF!,))</f>
        <v>#NAME?</v>
      </c>
      <c r="W229" s="8">
        <f t="array" ref="W229">IF($C$4="Giao", _xludf.Xlookup(C229,#REF!,#REF!,),)</f>
        <v>0</v>
      </c>
      <c r="X229" s="9">
        <f t="shared" si="2"/>
        <v>0</v>
      </c>
      <c r="Y229" s="7"/>
      <c r="Z229" s="7"/>
    </row>
    <row r="230" spans="1:26" ht="13" x14ac:dyDescent="0.6">
      <c r="A230" s="28" t="str">
        <f t="shared" si="1"/>
        <v/>
      </c>
      <c r="B230" s="7"/>
      <c r="C230" s="7"/>
      <c r="D230" s="9"/>
      <c r="E230" s="9"/>
      <c r="F230" s="9"/>
      <c r="G230" s="9"/>
      <c r="H230" s="9"/>
      <c r="I230" s="9"/>
      <c r="J230" s="9"/>
      <c r="K230" s="9"/>
      <c r="L230" s="9"/>
      <c r="M230" s="9"/>
      <c r="N230" s="9"/>
      <c r="O230" s="9"/>
      <c r="P230" s="29"/>
      <c r="Q230" s="29"/>
      <c r="R230" s="7"/>
      <c r="S230" s="7"/>
      <c r="T230" s="7" t="str">
        <f ca="1">IFERROR(__xludf.DUMMYFUNCTION("SPARKLINE({
IF(D230="""",0,D230),
IF(F230="""",0,F230),
IF(H230="""",0,H230),
IF(J230="""",0,J230),
IF(L230="""",0,L230),
IF(N230="""",0,N230),
IF(P230="""",0,P230)
})"),"")</f>
        <v/>
      </c>
      <c r="U230" s="7" t="str">
        <f ca="1">IFERROR(__xludf.DUMMYFUNCTION("SPARKLINE({
IF(E230="""",0,E230),
IF(G230="""",0,G230),
IF(I230="""",0,I230),
IF(K230="""",0,K230),
IF(M230="""",0,M230),
IF(O230="""",0,O230),
IF(Q230="""",0,Q230)
})"),"")</f>
        <v/>
      </c>
      <c r="V230" s="8" t="e">
        <f t="array" aca="1" ref="V230" ca="1">IF($C$4="Giao",_xludf.Xlookup(C230,#REF!,#REF!,),_xludf.Xlookup(C230,#REF!,#REF!,))</f>
        <v>#NAME?</v>
      </c>
      <c r="W230" s="8">
        <f t="array" ref="W230">IF($C$4="Giao", _xludf.Xlookup(C230,#REF!,#REF!,),)</f>
        <v>0</v>
      </c>
      <c r="X230" s="9">
        <f t="shared" si="2"/>
        <v>0</v>
      </c>
      <c r="Y230" s="7"/>
      <c r="Z230" s="7"/>
    </row>
    <row r="231" spans="1:26" ht="13" x14ac:dyDescent="0.6">
      <c r="A231" s="28" t="str">
        <f t="shared" si="1"/>
        <v/>
      </c>
      <c r="B231" s="7"/>
      <c r="C231" s="7"/>
      <c r="D231" s="9"/>
      <c r="E231" s="9"/>
      <c r="F231" s="9"/>
      <c r="G231" s="9"/>
      <c r="H231" s="9"/>
      <c r="I231" s="9"/>
      <c r="J231" s="9"/>
      <c r="K231" s="9"/>
      <c r="L231" s="9"/>
      <c r="M231" s="9"/>
      <c r="N231" s="9"/>
      <c r="O231" s="9"/>
      <c r="P231" s="29"/>
      <c r="Q231" s="29"/>
      <c r="R231" s="7"/>
      <c r="S231" s="7"/>
      <c r="T231" s="7" t="str">
        <f ca="1">IFERROR(__xludf.DUMMYFUNCTION("SPARKLINE({
IF(D231="""",0,D231),
IF(F231="""",0,F231),
IF(H231="""",0,H231),
IF(J231="""",0,J231),
IF(L231="""",0,L231),
IF(N231="""",0,N231),
IF(P231="""",0,P231)
})"),"")</f>
        <v/>
      </c>
      <c r="U231" s="7" t="str">
        <f ca="1">IFERROR(__xludf.DUMMYFUNCTION("SPARKLINE({
IF(E231="""",0,E231),
IF(G231="""",0,G231),
IF(I231="""",0,I231),
IF(K231="""",0,K231),
IF(M231="""",0,M231),
IF(O231="""",0,O231),
IF(Q231="""",0,Q231)
})"),"")</f>
        <v/>
      </c>
      <c r="V231" s="8" t="e">
        <f t="array" aca="1" ref="V231" ca="1">IF($C$4="Giao",_xludf.Xlookup(C231,#REF!,#REF!,),_xludf.Xlookup(C231,#REF!,#REF!,))</f>
        <v>#NAME?</v>
      </c>
      <c r="W231" s="8">
        <f t="array" ref="W231">IF($C$4="Giao", _xludf.Xlookup(C231,#REF!,#REF!,),)</f>
        <v>0</v>
      </c>
      <c r="X231" s="9">
        <f t="shared" si="2"/>
        <v>0</v>
      </c>
      <c r="Y231" s="7"/>
      <c r="Z231" s="7"/>
    </row>
    <row r="232" spans="1:26" ht="13" x14ac:dyDescent="0.6">
      <c r="A232" s="28" t="str">
        <f t="shared" si="1"/>
        <v/>
      </c>
      <c r="B232" s="7"/>
      <c r="C232" s="7"/>
      <c r="D232" s="9"/>
      <c r="E232" s="9"/>
      <c r="F232" s="9"/>
      <c r="G232" s="9"/>
      <c r="H232" s="9"/>
      <c r="I232" s="9"/>
      <c r="J232" s="9"/>
      <c r="K232" s="9"/>
      <c r="L232" s="9"/>
      <c r="M232" s="9"/>
      <c r="N232" s="9"/>
      <c r="O232" s="9"/>
      <c r="P232" s="29"/>
      <c r="Q232" s="29"/>
      <c r="R232" s="7"/>
      <c r="S232" s="7"/>
      <c r="T232" s="7" t="str">
        <f ca="1">IFERROR(__xludf.DUMMYFUNCTION("SPARKLINE({
IF(D232="""",0,D232),
IF(F232="""",0,F232),
IF(H232="""",0,H232),
IF(J232="""",0,J232),
IF(L232="""",0,L232),
IF(N232="""",0,N232),
IF(P232="""",0,P232)
})"),"")</f>
        <v/>
      </c>
      <c r="U232" s="7" t="str">
        <f ca="1">IFERROR(__xludf.DUMMYFUNCTION("SPARKLINE({
IF(E232="""",0,E232),
IF(G232="""",0,G232),
IF(I232="""",0,I232),
IF(K232="""",0,K232),
IF(M232="""",0,M232),
IF(O232="""",0,O232),
IF(Q232="""",0,Q232)
})"),"")</f>
        <v/>
      </c>
      <c r="V232" s="8" t="e">
        <f t="array" aca="1" ref="V232" ca="1">IF($C$4="Giao",_xludf.Xlookup(C232,#REF!,#REF!,),_xludf.Xlookup(C232,#REF!,#REF!,))</f>
        <v>#NAME?</v>
      </c>
      <c r="W232" s="8">
        <f t="array" ref="W232">IF($C$4="Giao", _xludf.Xlookup(C232,#REF!,#REF!,),)</f>
        <v>0</v>
      </c>
      <c r="X232" s="9">
        <f t="shared" si="2"/>
        <v>0</v>
      </c>
      <c r="Y232" s="7"/>
      <c r="Z232" s="7"/>
    </row>
    <row r="233" spans="1:26" ht="13" x14ac:dyDescent="0.6">
      <c r="A233" s="28" t="str">
        <f t="shared" si="1"/>
        <v/>
      </c>
      <c r="B233" s="7"/>
      <c r="C233" s="7"/>
      <c r="D233" s="9"/>
      <c r="E233" s="9"/>
      <c r="F233" s="9"/>
      <c r="G233" s="9"/>
      <c r="H233" s="9"/>
      <c r="I233" s="9"/>
      <c r="J233" s="9"/>
      <c r="K233" s="9"/>
      <c r="L233" s="9"/>
      <c r="M233" s="9"/>
      <c r="N233" s="9"/>
      <c r="O233" s="9"/>
      <c r="P233" s="29"/>
      <c r="Q233" s="29"/>
      <c r="R233" s="7"/>
      <c r="S233" s="7"/>
      <c r="T233" s="7" t="str">
        <f ca="1">IFERROR(__xludf.DUMMYFUNCTION("SPARKLINE({
IF(D233="""",0,D233),
IF(F233="""",0,F233),
IF(H233="""",0,H233),
IF(J233="""",0,J233),
IF(L233="""",0,L233),
IF(N233="""",0,N233),
IF(P233="""",0,P233)
})"),"")</f>
        <v/>
      </c>
      <c r="U233" s="7" t="str">
        <f ca="1">IFERROR(__xludf.DUMMYFUNCTION("SPARKLINE({
IF(E233="""",0,E233),
IF(G233="""",0,G233),
IF(I233="""",0,I233),
IF(K233="""",0,K233),
IF(M233="""",0,M233),
IF(O233="""",0,O233),
IF(Q233="""",0,Q233)
})"),"")</f>
        <v/>
      </c>
      <c r="V233" s="8" t="e">
        <f t="array" aca="1" ref="V233" ca="1">IF($C$4="Giao",_xludf.Xlookup(C233,#REF!,#REF!,),_xludf.Xlookup(C233,#REF!,#REF!,))</f>
        <v>#NAME?</v>
      </c>
      <c r="W233" s="8">
        <f t="array" ref="W233">IF($C$4="Giao", _xludf.Xlookup(C233,#REF!,#REF!,),)</f>
        <v>0</v>
      </c>
      <c r="X233" s="9">
        <f t="shared" si="2"/>
        <v>0</v>
      </c>
      <c r="Y233" s="7"/>
      <c r="Z233" s="7"/>
    </row>
    <row r="234" spans="1:26" ht="13" x14ac:dyDescent="0.6">
      <c r="A234" s="28" t="str">
        <f t="shared" si="1"/>
        <v/>
      </c>
      <c r="B234" s="7"/>
      <c r="C234" s="7"/>
      <c r="D234" s="9"/>
      <c r="E234" s="9"/>
      <c r="F234" s="9"/>
      <c r="G234" s="9"/>
      <c r="H234" s="9"/>
      <c r="I234" s="9"/>
      <c r="J234" s="9"/>
      <c r="K234" s="9"/>
      <c r="L234" s="9"/>
      <c r="M234" s="9"/>
      <c r="N234" s="9"/>
      <c r="O234" s="9"/>
      <c r="P234" s="29"/>
      <c r="Q234" s="29"/>
      <c r="R234" s="7"/>
      <c r="S234" s="7"/>
      <c r="T234" s="7" t="str">
        <f ca="1">IFERROR(__xludf.DUMMYFUNCTION("SPARKLINE({
IF(D234="""",0,D234),
IF(F234="""",0,F234),
IF(H234="""",0,H234),
IF(J234="""",0,J234),
IF(L234="""",0,L234),
IF(N234="""",0,N234),
IF(P234="""",0,P234)
})"),"")</f>
        <v/>
      </c>
      <c r="U234" s="7" t="str">
        <f ca="1">IFERROR(__xludf.DUMMYFUNCTION("SPARKLINE({
IF(E234="""",0,E234),
IF(G234="""",0,G234),
IF(I234="""",0,I234),
IF(K234="""",0,K234),
IF(M234="""",0,M234),
IF(O234="""",0,O234),
IF(Q234="""",0,Q234)
})"),"")</f>
        <v/>
      </c>
      <c r="V234" s="8" t="e">
        <f t="array" aca="1" ref="V234" ca="1">IF($C$4="Giao",_xludf.Xlookup(C234,#REF!,#REF!,),_xludf.Xlookup(C234,#REF!,#REF!,))</f>
        <v>#NAME?</v>
      </c>
      <c r="W234" s="8">
        <f t="array" ref="W234">IF($C$4="Giao", _xludf.Xlookup(C234,#REF!,#REF!,),)</f>
        <v>0</v>
      </c>
      <c r="X234" s="9">
        <f t="shared" si="2"/>
        <v>0</v>
      </c>
      <c r="Y234" s="7"/>
      <c r="Z234" s="7"/>
    </row>
    <row r="235" spans="1:26" ht="13" x14ac:dyDescent="0.6">
      <c r="A235" s="28" t="str">
        <f t="shared" si="1"/>
        <v/>
      </c>
      <c r="B235" s="7"/>
      <c r="C235" s="7"/>
      <c r="D235" s="9"/>
      <c r="E235" s="9"/>
      <c r="F235" s="9"/>
      <c r="G235" s="9"/>
      <c r="H235" s="9"/>
      <c r="I235" s="9"/>
      <c r="J235" s="9"/>
      <c r="K235" s="9"/>
      <c r="L235" s="9"/>
      <c r="M235" s="9"/>
      <c r="N235" s="9"/>
      <c r="O235" s="9"/>
      <c r="P235" s="29"/>
      <c r="Q235" s="29"/>
      <c r="R235" s="7"/>
      <c r="S235" s="7"/>
      <c r="T235" s="7" t="str">
        <f ca="1">IFERROR(__xludf.DUMMYFUNCTION("SPARKLINE({
IF(D235="""",0,D235),
IF(F235="""",0,F235),
IF(H235="""",0,H235),
IF(J235="""",0,J235),
IF(L235="""",0,L235),
IF(N235="""",0,N235),
IF(P235="""",0,P235)
})"),"")</f>
        <v/>
      </c>
      <c r="U235" s="7" t="str">
        <f ca="1">IFERROR(__xludf.DUMMYFUNCTION("SPARKLINE({
IF(E235="""",0,E235),
IF(G235="""",0,G235),
IF(I235="""",0,I235),
IF(K235="""",0,K235),
IF(M235="""",0,M235),
IF(O235="""",0,O235),
IF(Q235="""",0,Q235)
})"),"")</f>
        <v/>
      </c>
      <c r="V235" s="8" t="e">
        <f t="array" aca="1" ref="V235" ca="1">IF($C$4="Giao",_xludf.Xlookup(C235,#REF!,#REF!,),_xludf.Xlookup(C235,#REF!,#REF!,))</f>
        <v>#NAME?</v>
      </c>
      <c r="W235" s="8">
        <f t="array" ref="W235">IF($C$4="Giao", _xludf.Xlookup(C235,#REF!,#REF!,),)</f>
        <v>0</v>
      </c>
      <c r="X235" s="9">
        <f t="shared" si="2"/>
        <v>0</v>
      </c>
      <c r="Y235" s="7"/>
      <c r="Z235" s="7"/>
    </row>
    <row r="236" spans="1:26" ht="13" x14ac:dyDescent="0.6">
      <c r="A236" s="28" t="str">
        <f t="shared" si="1"/>
        <v/>
      </c>
      <c r="B236" s="7"/>
      <c r="C236" s="7"/>
      <c r="D236" s="9"/>
      <c r="E236" s="9"/>
      <c r="F236" s="9"/>
      <c r="G236" s="9"/>
      <c r="H236" s="9"/>
      <c r="I236" s="9"/>
      <c r="J236" s="9"/>
      <c r="K236" s="9"/>
      <c r="L236" s="9"/>
      <c r="M236" s="9"/>
      <c r="N236" s="9"/>
      <c r="O236" s="9"/>
      <c r="P236" s="29"/>
      <c r="Q236" s="29"/>
      <c r="R236" s="7"/>
      <c r="S236" s="7"/>
      <c r="T236" s="7" t="str">
        <f ca="1">IFERROR(__xludf.DUMMYFUNCTION("SPARKLINE({
IF(D236="""",0,D236),
IF(F236="""",0,F236),
IF(H236="""",0,H236),
IF(J236="""",0,J236),
IF(L236="""",0,L236),
IF(N236="""",0,N236),
IF(P236="""",0,P236)
})"),"")</f>
        <v/>
      </c>
      <c r="U236" s="7" t="str">
        <f ca="1">IFERROR(__xludf.DUMMYFUNCTION("SPARKLINE({
IF(E236="""",0,E236),
IF(G236="""",0,G236),
IF(I236="""",0,I236),
IF(K236="""",0,K236),
IF(M236="""",0,M236),
IF(O236="""",0,O236),
IF(Q236="""",0,Q236)
})"),"")</f>
        <v/>
      </c>
      <c r="V236" s="8" t="e">
        <f t="array" aca="1" ref="V236" ca="1">IF($C$4="Giao",_xludf.Xlookup(C236,#REF!,#REF!,),_xludf.Xlookup(C236,#REF!,#REF!,))</f>
        <v>#NAME?</v>
      </c>
      <c r="W236" s="8">
        <f t="array" ref="W236">IF($C$4="Giao", _xludf.Xlookup(C236,#REF!,#REF!,),)</f>
        <v>0</v>
      </c>
      <c r="X236" s="9">
        <f t="shared" si="2"/>
        <v>0</v>
      </c>
      <c r="Y236" s="7"/>
      <c r="Z236" s="7"/>
    </row>
    <row r="237" spans="1:26" ht="13" x14ac:dyDescent="0.6">
      <c r="A237" s="28" t="str">
        <f t="shared" si="1"/>
        <v/>
      </c>
      <c r="B237" s="7"/>
      <c r="C237" s="7"/>
      <c r="D237" s="9"/>
      <c r="E237" s="9"/>
      <c r="F237" s="9"/>
      <c r="G237" s="9"/>
      <c r="H237" s="9"/>
      <c r="I237" s="9"/>
      <c r="J237" s="9"/>
      <c r="K237" s="9"/>
      <c r="L237" s="9"/>
      <c r="M237" s="9"/>
      <c r="N237" s="9"/>
      <c r="O237" s="9"/>
      <c r="P237" s="29"/>
      <c r="Q237" s="29"/>
      <c r="R237" s="7"/>
      <c r="S237" s="7"/>
      <c r="T237" s="7" t="str">
        <f ca="1">IFERROR(__xludf.DUMMYFUNCTION("SPARKLINE({
IF(D237="""",0,D237),
IF(F237="""",0,F237),
IF(H237="""",0,H237),
IF(J237="""",0,J237),
IF(L237="""",0,L237),
IF(N237="""",0,N237),
IF(P237="""",0,P237)
})"),"")</f>
        <v/>
      </c>
      <c r="U237" s="7" t="str">
        <f ca="1">IFERROR(__xludf.DUMMYFUNCTION("SPARKLINE({
IF(E237="""",0,E237),
IF(G237="""",0,G237),
IF(I237="""",0,I237),
IF(K237="""",0,K237),
IF(M237="""",0,M237),
IF(O237="""",0,O237),
IF(Q237="""",0,Q237)
})"),"")</f>
        <v/>
      </c>
      <c r="V237" s="8" t="e">
        <f t="array" aca="1" ref="V237" ca="1">IF($C$4="Giao",_xludf.Xlookup(C237,#REF!,#REF!,),_xludf.Xlookup(C237,#REF!,#REF!,))</f>
        <v>#NAME?</v>
      </c>
      <c r="W237" s="8">
        <f t="array" ref="W237">IF($C$4="Giao", _xludf.Xlookup(C237,#REF!,#REF!,),)</f>
        <v>0</v>
      </c>
      <c r="X237" s="9">
        <f t="shared" si="2"/>
        <v>0</v>
      </c>
      <c r="Y237" s="7"/>
      <c r="Z237" s="7"/>
    </row>
    <row r="238" spans="1:26" ht="13" x14ac:dyDescent="0.6">
      <c r="A238" s="28" t="str">
        <f t="shared" si="1"/>
        <v/>
      </c>
      <c r="B238" s="7"/>
      <c r="C238" s="7"/>
      <c r="D238" s="9"/>
      <c r="E238" s="9"/>
      <c r="F238" s="9"/>
      <c r="G238" s="9"/>
      <c r="H238" s="9"/>
      <c r="I238" s="9"/>
      <c r="J238" s="9"/>
      <c r="K238" s="9"/>
      <c r="L238" s="9"/>
      <c r="M238" s="9"/>
      <c r="N238" s="9"/>
      <c r="O238" s="9"/>
      <c r="P238" s="29"/>
      <c r="Q238" s="29"/>
      <c r="R238" s="7"/>
      <c r="S238" s="7"/>
      <c r="T238" s="7" t="str">
        <f ca="1">IFERROR(__xludf.DUMMYFUNCTION("SPARKLINE({
IF(D238="""",0,D238),
IF(F238="""",0,F238),
IF(H238="""",0,H238),
IF(J238="""",0,J238),
IF(L238="""",0,L238),
IF(N238="""",0,N238),
IF(P238="""",0,P238)
})"),"")</f>
        <v/>
      </c>
      <c r="U238" s="7" t="str">
        <f ca="1">IFERROR(__xludf.DUMMYFUNCTION("SPARKLINE({
IF(E238="""",0,E238),
IF(G238="""",0,G238),
IF(I238="""",0,I238),
IF(K238="""",0,K238),
IF(M238="""",0,M238),
IF(O238="""",0,O238),
IF(Q238="""",0,Q238)
})"),"")</f>
        <v/>
      </c>
      <c r="V238" s="8" t="e">
        <f t="array" aca="1" ref="V238" ca="1">IF($C$4="Giao",_xludf.Xlookup(C238,#REF!,#REF!,),_xludf.Xlookup(C238,#REF!,#REF!,))</f>
        <v>#NAME?</v>
      </c>
      <c r="W238" s="8">
        <f t="array" ref="W238">IF($C$4="Giao", _xludf.Xlookup(C238,#REF!,#REF!,),)</f>
        <v>0</v>
      </c>
      <c r="X238" s="9">
        <f t="shared" si="2"/>
        <v>0</v>
      </c>
      <c r="Y238" s="7"/>
      <c r="Z238" s="7"/>
    </row>
    <row r="239" spans="1:26" ht="13" x14ac:dyDescent="0.6">
      <c r="A239" s="28" t="str">
        <f t="shared" si="1"/>
        <v/>
      </c>
      <c r="B239" s="7"/>
      <c r="C239" s="7"/>
      <c r="D239" s="9"/>
      <c r="E239" s="9"/>
      <c r="F239" s="9"/>
      <c r="G239" s="9"/>
      <c r="H239" s="9"/>
      <c r="I239" s="9"/>
      <c r="J239" s="9"/>
      <c r="K239" s="9"/>
      <c r="L239" s="9"/>
      <c r="M239" s="9"/>
      <c r="N239" s="9"/>
      <c r="O239" s="9"/>
      <c r="P239" s="29"/>
      <c r="Q239" s="29"/>
      <c r="R239" s="7"/>
      <c r="S239" s="7"/>
      <c r="T239" s="7" t="str">
        <f ca="1">IFERROR(__xludf.DUMMYFUNCTION("SPARKLINE({
IF(D239="""",0,D239),
IF(F239="""",0,F239),
IF(H239="""",0,H239),
IF(J239="""",0,J239),
IF(L239="""",0,L239),
IF(N239="""",0,N239),
IF(P239="""",0,P239)
})"),"")</f>
        <v/>
      </c>
      <c r="U239" s="7" t="str">
        <f ca="1">IFERROR(__xludf.DUMMYFUNCTION("SPARKLINE({
IF(E239="""",0,E239),
IF(G239="""",0,G239),
IF(I239="""",0,I239),
IF(K239="""",0,K239),
IF(M239="""",0,M239),
IF(O239="""",0,O239),
IF(Q239="""",0,Q239)
})"),"")</f>
        <v/>
      </c>
      <c r="V239" s="8" t="e">
        <f t="array" aca="1" ref="V239" ca="1">IF($C$4="Giao",_xludf.Xlookup(C239,#REF!,#REF!,),_xludf.Xlookup(C239,#REF!,#REF!,))</f>
        <v>#NAME?</v>
      </c>
      <c r="W239" s="8">
        <f t="array" ref="W239">IF($C$4="Giao", _xludf.Xlookup(C239,#REF!,#REF!,),)</f>
        <v>0</v>
      </c>
      <c r="X239" s="9">
        <f t="shared" si="2"/>
        <v>0</v>
      </c>
      <c r="Y239" s="7"/>
      <c r="Z239" s="7"/>
    </row>
    <row r="240" spans="1:26" ht="13" x14ac:dyDescent="0.6">
      <c r="A240" s="28" t="str">
        <f t="shared" si="1"/>
        <v/>
      </c>
      <c r="B240" s="7"/>
      <c r="C240" s="7"/>
      <c r="D240" s="9"/>
      <c r="E240" s="9"/>
      <c r="F240" s="9"/>
      <c r="G240" s="9"/>
      <c r="H240" s="9"/>
      <c r="I240" s="9"/>
      <c r="J240" s="9"/>
      <c r="K240" s="9"/>
      <c r="L240" s="9"/>
      <c r="M240" s="9"/>
      <c r="N240" s="9"/>
      <c r="O240" s="9"/>
      <c r="P240" s="29"/>
      <c r="Q240" s="29"/>
      <c r="R240" s="7"/>
      <c r="S240" s="7"/>
      <c r="T240" s="7" t="str">
        <f ca="1">IFERROR(__xludf.DUMMYFUNCTION("SPARKLINE({
IF(D240="""",0,D240),
IF(F240="""",0,F240),
IF(H240="""",0,H240),
IF(J240="""",0,J240),
IF(L240="""",0,L240),
IF(N240="""",0,N240),
IF(P240="""",0,P240)
})"),"")</f>
        <v/>
      </c>
      <c r="U240" s="7" t="str">
        <f ca="1">IFERROR(__xludf.DUMMYFUNCTION("SPARKLINE({
IF(E240="""",0,E240),
IF(G240="""",0,G240),
IF(I240="""",0,I240),
IF(K240="""",0,K240),
IF(M240="""",0,M240),
IF(O240="""",0,O240),
IF(Q240="""",0,Q240)
})"),"")</f>
        <v/>
      </c>
      <c r="V240" s="8" t="e">
        <f t="array" aca="1" ref="V240" ca="1">IF($C$4="Giao",_xludf.Xlookup(C240,#REF!,#REF!,),_xludf.Xlookup(C240,#REF!,#REF!,))</f>
        <v>#NAME?</v>
      </c>
      <c r="W240" s="8">
        <f t="array" ref="W240">IF($C$4="Giao", _xludf.Xlookup(C240,#REF!,#REF!,),)</f>
        <v>0</v>
      </c>
      <c r="X240" s="9">
        <f t="shared" si="2"/>
        <v>0</v>
      </c>
      <c r="Y240" s="7"/>
      <c r="Z240" s="7"/>
    </row>
    <row r="241" spans="1:26" ht="13" x14ac:dyDescent="0.6">
      <c r="A241" s="28" t="str">
        <f t="shared" si="1"/>
        <v/>
      </c>
      <c r="B241" s="7"/>
      <c r="C241" s="7"/>
      <c r="D241" s="9"/>
      <c r="E241" s="9"/>
      <c r="F241" s="9"/>
      <c r="G241" s="9"/>
      <c r="H241" s="9"/>
      <c r="I241" s="9"/>
      <c r="J241" s="9"/>
      <c r="K241" s="9"/>
      <c r="L241" s="9"/>
      <c r="M241" s="9"/>
      <c r="N241" s="9"/>
      <c r="O241" s="9"/>
      <c r="P241" s="29"/>
      <c r="Q241" s="29"/>
      <c r="R241" s="7"/>
      <c r="S241" s="7"/>
      <c r="T241" s="7" t="str">
        <f ca="1">IFERROR(__xludf.DUMMYFUNCTION("SPARKLINE({
IF(D241="""",0,D241),
IF(F241="""",0,F241),
IF(H241="""",0,H241),
IF(J241="""",0,J241),
IF(L241="""",0,L241),
IF(N241="""",0,N241),
IF(P241="""",0,P241)
})"),"")</f>
        <v/>
      </c>
      <c r="U241" s="7" t="str">
        <f ca="1">IFERROR(__xludf.DUMMYFUNCTION("SPARKLINE({
IF(E241="""",0,E241),
IF(G241="""",0,G241),
IF(I241="""",0,I241),
IF(K241="""",0,K241),
IF(M241="""",0,M241),
IF(O241="""",0,O241),
IF(Q241="""",0,Q241)
})"),"")</f>
        <v/>
      </c>
      <c r="V241" s="8" t="e">
        <f t="array" aca="1" ref="V241" ca="1">IF($C$4="Giao",_xludf.Xlookup(C241,#REF!,#REF!,),_xludf.Xlookup(C241,#REF!,#REF!,))</f>
        <v>#NAME?</v>
      </c>
      <c r="W241" s="8">
        <f t="array" ref="W241">IF($C$4="Giao", _xludf.Xlookup(C241,#REF!,#REF!,),)</f>
        <v>0</v>
      </c>
      <c r="X241" s="9">
        <f t="shared" si="2"/>
        <v>0</v>
      </c>
      <c r="Y241" s="7"/>
      <c r="Z241" s="7"/>
    </row>
    <row r="242" spans="1:26" ht="13" x14ac:dyDescent="0.6">
      <c r="A242" s="28" t="str">
        <f t="shared" si="1"/>
        <v/>
      </c>
      <c r="B242" s="7"/>
      <c r="C242" s="7"/>
      <c r="D242" s="9"/>
      <c r="E242" s="9"/>
      <c r="F242" s="9"/>
      <c r="G242" s="9"/>
      <c r="H242" s="9"/>
      <c r="I242" s="9"/>
      <c r="J242" s="9"/>
      <c r="K242" s="9"/>
      <c r="L242" s="9"/>
      <c r="M242" s="9"/>
      <c r="N242" s="9"/>
      <c r="O242" s="9"/>
      <c r="P242" s="29"/>
      <c r="Q242" s="29"/>
      <c r="R242" s="7"/>
      <c r="S242" s="7"/>
      <c r="T242" s="7" t="str">
        <f ca="1">IFERROR(__xludf.DUMMYFUNCTION("SPARKLINE({
IF(D242="""",0,D242),
IF(F242="""",0,F242),
IF(H242="""",0,H242),
IF(J242="""",0,J242),
IF(L242="""",0,L242),
IF(N242="""",0,N242),
IF(P242="""",0,P242)
})"),"")</f>
        <v/>
      </c>
      <c r="U242" s="7" t="str">
        <f ca="1">IFERROR(__xludf.DUMMYFUNCTION("SPARKLINE({
IF(E242="""",0,E242),
IF(G242="""",0,G242),
IF(I242="""",0,I242),
IF(K242="""",0,K242),
IF(M242="""",0,M242),
IF(O242="""",0,O242),
IF(Q242="""",0,Q242)
})"),"")</f>
        <v/>
      </c>
      <c r="V242" s="8" t="e">
        <f t="array" aca="1" ref="V242" ca="1">IF($C$4="Giao",_xludf.Xlookup(C242,#REF!,#REF!,),_xludf.Xlookup(C242,#REF!,#REF!,))</f>
        <v>#NAME?</v>
      </c>
      <c r="W242" s="8">
        <f t="array" ref="W242">IF($C$4="Giao", _xludf.Xlookup(C242,#REF!,#REF!,),)</f>
        <v>0</v>
      </c>
      <c r="X242" s="9">
        <f t="shared" si="2"/>
        <v>0</v>
      </c>
      <c r="Y242" s="7"/>
      <c r="Z242" s="7"/>
    </row>
    <row r="243" spans="1:26" ht="13" x14ac:dyDescent="0.6">
      <c r="A243" s="28" t="str">
        <f t="shared" si="1"/>
        <v/>
      </c>
      <c r="B243" s="7"/>
      <c r="C243" s="7"/>
      <c r="D243" s="9"/>
      <c r="E243" s="9"/>
      <c r="F243" s="9"/>
      <c r="G243" s="9"/>
      <c r="H243" s="9"/>
      <c r="I243" s="9"/>
      <c r="J243" s="9"/>
      <c r="K243" s="9"/>
      <c r="L243" s="9"/>
      <c r="M243" s="9"/>
      <c r="N243" s="9"/>
      <c r="O243" s="9"/>
      <c r="P243" s="29"/>
      <c r="Q243" s="29"/>
      <c r="R243" s="7"/>
      <c r="S243" s="7"/>
      <c r="T243" s="7" t="str">
        <f ca="1">IFERROR(__xludf.DUMMYFUNCTION("SPARKLINE({
IF(D243="""",0,D243),
IF(F243="""",0,F243),
IF(H243="""",0,H243),
IF(J243="""",0,J243),
IF(L243="""",0,L243),
IF(N243="""",0,N243),
IF(P243="""",0,P243)
})"),"")</f>
        <v/>
      </c>
      <c r="U243" s="7" t="str">
        <f ca="1">IFERROR(__xludf.DUMMYFUNCTION("SPARKLINE({
IF(E243="""",0,E243),
IF(G243="""",0,G243),
IF(I243="""",0,I243),
IF(K243="""",0,K243),
IF(M243="""",0,M243),
IF(O243="""",0,O243),
IF(Q243="""",0,Q243)
})"),"")</f>
        <v/>
      </c>
      <c r="V243" s="8" t="e">
        <f t="array" aca="1" ref="V243" ca="1">IF($C$4="Giao",_xludf.Xlookup(C243,#REF!,#REF!,),_xludf.Xlookup(C243,#REF!,#REF!,))</f>
        <v>#NAME?</v>
      </c>
      <c r="W243" s="8">
        <f t="array" ref="W243">IF($C$4="Giao", _xludf.Xlookup(C243,#REF!,#REF!,),)</f>
        <v>0</v>
      </c>
      <c r="X243" s="9">
        <f t="shared" si="2"/>
        <v>0</v>
      </c>
      <c r="Y243" s="7"/>
      <c r="Z243" s="7"/>
    </row>
    <row r="244" spans="1:26" ht="13" x14ac:dyDescent="0.6">
      <c r="A244" s="28" t="str">
        <f t="shared" si="1"/>
        <v/>
      </c>
      <c r="B244" s="7"/>
      <c r="C244" s="7"/>
      <c r="D244" s="9"/>
      <c r="E244" s="9"/>
      <c r="F244" s="9"/>
      <c r="G244" s="9"/>
      <c r="H244" s="9"/>
      <c r="I244" s="9"/>
      <c r="J244" s="9"/>
      <c r="K244" s="9"/>
      <c r="L244" s="9"/>
      <c r="M244" s="9"/>
      <c r="N244" s="9"/>
      <c r="O244" s="9"/>
      <c r="P244" s="29"/>
      <c r="Q244" s="29"/>
      <c r="R244" s="7"/>
      <c r="S244" s="7"/>
      <c r="T244" s="7" t="str">
        <f ca="1">IFERROR(__xludf.DUMMYFUNCTION("SPARKLINE({
IF(D244="""",0,D244),
IF(F244="""",0,F244),
IF(H244="""",0,H244),
IF(J244="""",0,J244),
IF(L244="""",0,L244),
IF(N244="""",0,N244),
IF(P244="""",0,P244)
})"),"")</f>
        <v/>
      </c>
      <c r="U244" s="7" t="str">
        <f ca="1">IFERROR(__xludf.DUMMYFUNCTION("SPARKLINE({
IF(E244="""",0,E244),
IF(G244="""",0,G244),
IF(I244="""",0,I244),
IF(K244="""",0,K244),
IF(M244="""",0,M244),
IF(O244="""",0,O244),
IF(Q244="""",0,Q244)
})"),"")</f>
        <v/>
      </c>
      <c r="V244" s="8" t="e">
        <f t="array" aca="1" ref="V244" ca="1">IF($C$4="Giao",_xludf.Xlookup(C244,#REF!,#REF!,),_xludf.Xlookup(C244,#REF!,#REF!,))</f>
        <v>#NAME?</v>
      </c>
      <c r="W244" s="8">
        <f t="array" ref="W244">IF($C$4="Giao", _xludf.Xlookup(C244,#REF!,#REF!,),)</f>
        <v>0</v>
      </c>
      <c r="X244" s="9">
        <f t="shared" si="2"/>
        <v>0</v>
      </c>
      <c r="Y244" s="7"/>
      <c r="Z244" s="7"/>
    </row>
    <row r="245" spans="1:26" ht="13" x14ac:dyDescent="0.6">
      <c r="A245" s="28" t="str">
        <f t="shared" si="1"/>
        <v/>
      </c>
      <c r="B245" s="7"/>
      <c r="C245" s="7"/>
      <c r="D245" s="9"/>
      <c r="E245" s="9"/>
      <c r="F245" s="9"/>
      <c r="G245" s="9"/>
      <c r="H245" s="9"/>
      <c r="I245" s="9"/>
      <c r="J245" s="9"/>
      <c r="K245" s="9"/>
      <c r="L245" s="9"/>
      <c r="M245" s="9"/>
      <c r="N245" s="9"/>
      <c r="O245" s="9"/>
      <c r="P245" s="29"/>
      <c r="Q245" s="29"/>
      <c r="R245" s="7"/>
      <c r="S245" s="7"/>
      <c r="T245" s="7" t="str">
        <f ca="1">IFERROR(__xludf.DUMMYFUNCTION("SPARKLINE({
IF(D245="""",0,D245),
IF(F245="""",0,F245),
IF(H245="""",0,H245),
IF(J245="""",0,J245),
IF(L245="""",0,L245),
IF(N245="""",0,N245),
IF(P245="""",0,P245)
})"),"")</f>
        <v/>
      </c>
      <c r="U245" s="7" t="str">
        <f ca="1">IFERROR(__xludf.DUMMYFUNCTION("SPARKLINE({
IF(E245="""",0,E245),
IF(G245="""",0,G245),
IF(I245="""",0,I245),
IF(K245="""",0,K245),
IF(M245="""",0,M245),
IF(O245="""",0,O245),
IF(Q245="""",0,Q245)
})"),"")</f>
        <v/>
      </c>
      <c r="V245" s="8" t="e">
        <f t="array" aca="1" ref="V245" ca="1">IF($C$4="Giao",_xludf.Xlookup(C245,#REF!,#REF!,),_xludf.Xlookup(C245,#REF!,#REF!,))</f>
        <v>#NAME?</v>
      </c>
      <c r="W245" s="8">
        <f t="array" ref="W245">IF($C$4="Giao", _xludf.Xlookup(C245,#REF!,#REF!,),)</f>
        <v>0</v>
      </c>
      <c r="X245" s="9">
        <f t="shared" si="2"/>
        <v>0</v>
      </c>
      <c r="Y245" s="7"/>
      <c r="Z245" s="7"/>
    </row>
    <row r="246" spans="1:26" ht="13" x14ac:dyDescent="0.6">
      <c r="A246" s="28" t="str">
        <f t="shared" si="1"/>
        <v/>
      </c>
      <c r="B246" s="7"/>
      <c r="C246" s="7"/>
      <c r="D246" s="9"/>
      <c r="E246" s="9"/>
      <c r="F246" s="9"/>
      <c r="G246" s="9"/>
      <c r="H246" s="9"/>
      <c r="I246" s="9"/>
      <c r="J246" s="9"/>
      <c r="K246" s="9"/>
      <c r="L246" s="9"/>
      <c r="M246" s="9"/>
      <c r="N246" s="9"/>
      <c r="O246" s="9"/>
      <c r="P246" s="29"/>
      <c r="Q246" s="29"/>
      <c r="R246" s="7"/>
      <c r="S246" s="7"/>
      <c r="T246" s="7" t="str">
        <f ca="1">IFERROR(__xludf.DUMMYFUNCTION("SPARKLINE({
IF(D246="""",0,D246),
IF(F246="""",0,F246),
IF(H246="""",0,H246),
IF(J246="""",0,J246),
IF(L246="""",0,L246),
IF(N246="""",0,N246),
IF(P246="""",0,P246)
})"),"")</f>
        <v/>
      </c>
      <c r="U246" s="7" t="str">
        <f ca="1">IFERROR(__xludf.DUMMYFUNCTION("SPARKLINE({
IF(E246="""",0,E246),
IF(G246="""",0,G246),
IF(I246="""",0,I246),
IF(K246="""",0,K246),
IF(M246="""",0,M246),
IF(O246="""",0,O246),
IF(Q246="""",0,Q246)
})"),"")</f>
        <v/>
      </c>
      <c r="V246" s="8" t="e">
        <f t="array" aca="1" ref="V246" ca="1">IF($C$4="Giao",_xludf.Xlookup(C246,#REF!,#REF!,),_xludf.Xlookup(C246,#REF!,#REF!,))</f>
        <v>#NAME?</v>
      </c>
      <c r="W246" s="8">
        <f t="array" ref="W246">IF($C$4="Giao", _xludf.Xlookup(C246,#REF!,#REF!,),)</f>
        <v>0</v>
      </c>
      <c r="X246" s="9">
        <f t="shared" si="2"/>
        <v>0</v>
      </c>
      <c r="Y246" s="7"/>
      <c r="Z246" s="7"/>
    </row>
    <row r="247" spans="1:26" ht="13" x14ac:dyDescent="0.6">
      <c r="A247" s="28" t="str">
        <f t="shared" si="1"/>
        <v/>
      </c>
      <c r="B247" s="7"/>
      <c r="C247" s="7"/>
      <c r="D247" s="9"/>
      <c r="E247" s="9"/>
      <c r="F247" s="9"/>
      <c r="G247" s="9"/>
      <c r="H247" s="9"/>
      <c r="I247" s="9"/>
      <c r="J247" s="9"/>
      <c r="K247" s="9"/>
      <c r="L247" s="9"/>
      <c r="M247" s="9"/>
      <c r="N247" s="9"/>
      <c r="O247" s="9"/>
      <c r="P247" s="29"/>
      <c r="Q247" s="29"/>
      <c r="R247" s="7"/>
      <c r="S247" s="7"/>
      <c r="T247" s="7" t="str">
        <f ca="1">IFERROR(__xludf.DUMMYFUNCTION("SPARKLINE({
IF(D247="""",0,D247),
IF(F247="""",0,F247),
IF(H247="""",0,H247),
IF(J247="""",0,J247),
IF(L247="""",0,L247),
IF(N247="""",0,N247),
IF(P247="""",0,P247)
})"),"")</f>
        <v/>
      </c>
      <c r="U247" s="7" t="str">
        <f ca="1">IFERROR(__xludf.DUMMYFUNCTION("SPARKLINE({
IF(E247="""",0,E247),
IF(G247="""",0,G247),
IF(I247="""",0,I247),
IF(K247="""",0,K247),
IF(M247="""",0,M247),
IF(O247="""",0,O247),
IF(Q247="""",0,Q247)
})"),"")</f>
        <v/>
      </c>
      <c r="V247" s="8" t="e">
        <f t="array" aca="1" ref="V247" ca="1">IF($C$4="Giao",_xludf.Xlookup(C247,#REF!,#REF!,),_xludf.Xlookup(C247,#REF!,#REF!,))</f>
        <v>#NAME?</v>
      </c>
      <c r="W247" s="8">
        <f t="array" ref="W247">IF($C$4="Giao", _xludf.Xlookup(C247,#REF!,#REF!,),)</f>
        <v>0</v>
      </c>
      <c r="X247" s="9">
        <f t="shared" si="2"/>
        <v>0</v>
      </c>
      <c r="Y247" s="7"/>
      <c r="Z247" s="7"/>
    </row>
    <row r="248" spans="1:26" ht="13" x14ac:dyDescent="0.6">
      <c r="A248" s="28" t="str">
        <f t="shared" si="1"/>
        <v/>
      </c>
      <c r="B248" s="7"/>
      <c r="C248" s="7"/>
      <c r="D248" s="9"/>
      <c r="E248" s="9"/>
      <c r="F248" s="9"/>
      <c r="G248" s="9"/>
      <c r="H248" s="9"/>
      <c r="I248" s="9"/>
      <c r="J248" s="9"/>
      <c r="K248" s="9"/>
      <c r="L248" s="9"/>
      <c r="M248" s="9"/>
      <c r="N248" s="9"/>
      <c r="O248" s="9"/>
      <c r="P248" s="29"/>
      <c r="Q248" s="29"/>
      <c r="R248" s="7"/>
      <c r="S248" s="7"/>
      <c r="T248" s="7" t="str">
        <f ca="1">IFERROR(__xludf.DUMMYFUNCTION("SPARKLINE({
IF(D248="""",0,D248),
IF(F248="""",0,F248),
IF(H248="""",0,H248),
IF(J248="""",0,J248),
IF(L248="""",0,L248),
IF(N248="""",0,N248),
IF(P248="""",0,P248)
})"),"")</f>
        <v/>
      </c>
      <c r="U248" s="7" t="str">
        <f ca="1">IFERROR(__xludf.DUMMYFUNCTION("SPARKLINE({
IF(E248="""",0,E248),
IF(G248="""",0,G248),
IF(I248="""",0,I248),
IF(K248="""",0,K248),
IF(M248="""",0,M248),
IF(O248="""",0,O248),
IF(Q248="""",0,Q248)
})"),"")</f>
        <v/>
      </c>
      <c r="V248" s="8" t="e">
        <f t="array" aca="1" ref="V248" ca="1">IF($C$4="Giao",_xludf.Xlookup(C248,#REF!,#REF!,),_xludf.Xlookup(C248,#REF!,#REF!,))</f>
        <v>#NAME?</v>
      </c>
      <c r="W248" s="8">
        <f t="array" ref="W248">IF($C$4="Giao", _xludf.Xlookup(C248,#REF!,#REF!,),)</f>
        <v>0</v>
      </c>
      <c r="X248" s="9">
        <f t="shared" si="2"/>
        <v>0</v>
      </c>
      <c r="Y248" s="7"/>
      <c r="Z248" s="7"/>
    </row>
    <row r="249" spans="1:26" ht="13" x14ac:dyDescent="0.6">
      <c r="A249" s="28" t="str">
        <f t="shared" si="1"/>
        <v/>
      </c>
      <c r="B249" s="7"/>
      <c r="C249" s="7"/>
      <c r="D249" s="9"/>
      <c r="E249" s="9"/>
      <c r="F249" s="9"/>
      <c r="G249" s="9"/>
      <c r="H249" s="9"/>
      <c r="I249" s="9"/>
      <c r="J249" s="9"/>
      <c r="K249" s="9"/>
      <c r="L249" s="9"/>
      <c r="M249" s="9"/>
      <c r="N249" s="9"/>
      <c r="O249" s="9"/>
      <c r="P249" s="29"/>
      <c r="Q249" s="29"/>
      <c r="R249" s="7"/>
      <c r="S249" s="7"/>
      <c r="T249" s="7" t="str">
        <f ca="1">IFERROR(__xludf.DUMMYFUNCTION("SPARKLINE({
IF(D249="""",0,D249),
IF(F249="""",0,F249),
IF(H249="""",0,H249),
IF(J249="""",0,J249),
IF(L249="""",0,L249),
IF(N249="""",0,N249),
IF(P249="""",0,P249)
})"),"")</f>
        <v/>
      </c>
      <c r="U249" s="7" t="str">
        <f ca="1">IFERROR(__xludf.DUMMYFUNCTION("SPARKLINE({
IF(E249="""",0,E249),
IF(G249="""",0,G249),
IF(I249="""",0,I249),
IF(K249="""",0,K249),
IF(M249="""",0,M249),
IF(O249="""",0,O249),
IF(Q249="""",0,Q249)
})"),"")</f>
        <v/>
      </c>
      <c r="V249" s="8" t="e">
        <f t="array" aca="1" ref="V249" ca="1">IF($C$4="Giao",_xludf.Xlookup(C249,#REF!,#REF!,),_xludf.Xlookup(C249,#REF!,#REF!,))</f>
        <v>#NAME?</v>
      </c>
      <c r="W249" s="8">
        <f t="array" ref="W249">IF($C$4="Giao", _xludf.Xlookup(C249,#REF!,#REF!,),)</f>
        <v>0</v>
      </c>
      <c r="X249" s="9">
        <f t="shared" si="2"/>
        <v>0</v>
      </c>
      <c r="Y249" s="7"/>
      <c r="Z249" s="7"/>
    </row>
    <row r="250" spans="1:26" ht="13" x14ac:dyDescent="0.6">
      <c r="A250" s="28" t="str">
        <f t="shared" si="1"/>
        <v/>
      </c>
      <c r="B250" s="7"/>
      <c r="C250" s="7"/>
      <c r="D250" s="9"/>
      <c r="E250" s="9"/>
      <c r="F250" s="9"/>
      <c r="G250" s="9"/>
      <c r="H250" s="9"/>
      <c r="I250" s="9"/>
      <c r="J250" s="9"/>
      <c r="K250" s="9"/>
      <c r="L250" s="9"/>
      <c r="M250" s="9"/>
      <c r="N250" s="9"/>
      <c r="O250" s="9"/>
      <c r="P250" s="29"/>
      <c r="Q250" s="29"/>
      <c r="R250" s="7"/>
      <c r="S250" s="7"/>
      <c r="T250" s="7" t="str">
        <f ca="1">IFERROR(__xludf.DUMMYFUNCTION("SPARKLINE({
IF(D250="""",0,D250),
IF(F250="""",0,F250),
IF(H250="""",0,H250),
IF(J250="""",0,J250),
IF(L250="""",0,L250),
IF(N250="""",0,N250),
IF(P250="""",0,P250)
})"),"")</f>
        <v/>
      </c>
      <c r="U250" s="7" t="str">
        <f ca="1">IFERROR(__xludf.DUMMYFUNCTION("SPARKLINE({
IF(E250="""",0,E250),
IF(G250="""",0,G250),
IF(I250="""",0,I250),
IF(K250="""",0,K250),
IF(M250="""",0,M250),
IF(O250="""",0,O250),
IF(Q250="""",0,Q250)
})"),"")</f>
        <v/>
      </c>
      <c r="V250" s="8" t="e">
        <f t="array" aca="1" ref="V250" ca="1">IF($C$4="Giao",_xludf.Xlookup(C250,#REF!,#REF!,),_xludf.Xlookup(C250,#REF!,#REF!,))</f>
        <v>#NAME?</v>
      </c>
      <c r="W250" s="8">
        <f t="array" ref="W250">IF($C$4="Giao", _xludf.Xlookup(C250,#REF!,#REF!,),)</f>
        <v>0</v>
      </c>
      <c r="X250" s="9">
        <f t="shared" si="2"/>
        <v>0</v>
      </c>
      <c r="Y250" s="7"/>
      <c r="Z250" s="7"/>
    </row>
    <row r="251" spans="1:26" ht="13" x14ac:dyDescent="0.6">
      <c r="A251" s="28" t="str">
        <f t="shared" si="1"/>
        <v/>
      </c>
      <c r="B251" s="7"/>
      <c r="C251" s="7"/>
      <c r="D251" s="9"/>
      <c r="E251" s="9"/>
      <c r="F251" s="9"/>
      <c r="G251" s="9"/>
      <c r="H251" s="9"/>
      <c r="I251" s="9"/>
      <c r="J251" s="9"/>
      <c r="K251" s="9"/>
      <c r="L251" s="9"/>
      <c r="M251" s="9"/>
      <c r="N251" s="9"/>
      <c r="O251" s="9"/>
      <c r="P251" s="29"/>
      <c r="Q251" s="29"/>
      <c r="R251" s="7"/>
      <c r="S251" s="7"/>
      <c r="T251" s="7" t="str">
        <f ca="1">IFERROR(__xludf.DUMMYFUNCTION("SPARKLINE({
IF(D251="""",0,D251),
IF(F251="""",0,F251),
IF(H251="""",0,H251),
IF(J251="""",0,J251),
IF(L251="""",0,L251),
IF(N251="""",0,N251),
IF(P251="""",0,P251)
})"),"")</f>
        <v/>
      </c>
      <c r="U251" s="7" t="str">
        <f ca="1">IFERROR(__xludf.DUMMYFUNCTION("SPARKLINE({
IF(E251="""",0,E251),
IF(G251="""",0,G251),
IF(I251="""",0,I251),
IF(K251="""",0,K251),
IF(M251="""",0,M251),
IF(O251="""",0,O251),
IF(Q251="""",0,Q251)
})"),"")</f>
        <v/>
      </c>
      <c r="V251" s="8" t="e">
        <f t="array" aca="1" ref="V251" ca="1">IF($C$4="Giao",_xludf.Xlookup(C251,#REF!,#REF!,),_xludf.Xlookup(C251,#REF!,#REF!,))</f>
        <v>#NAME?</v>
      </c>
      <c r="W251" s="8">
        <f t="array" ref="W251">IF($C$4="Giao", _xludf.Xlookup(C251,#REF!,#REF!,),)</f>
        <v>0</v>
      </c>
      <c r="X251" s="9">
        <f t="shared" si="2"/>
        <v>0</v>
      </c>
      <c r="Y251" s="7"/>
      <c r="Z251" s="7"/>
    </row>
    <row r="252" spans="1:26" ht="13" x14ac:dyDescent="0.6">
      <c r="A252" s="28" t="str">
        <f t="shared" si="1"/>
        <v/>
      </c>
      <c r="B252" s="7"/>
      <c r="C252" s="7"/>
      <c r="D252" s="9"/>
      <c r="E252" s="9"/>
      <c r="F252" s="9"/>
      <c r="G252" s="9"/>
      <c r="H252" s="9"/>
      <c r="I252" s="9"/>
      <c r="J252" s="9"/>
      <c r="K252" s="9"/>
      <c r="L252" s="9"/>
      <c r="M252" s="9"/>
      <c r="N252" s="9"/>
      <c r="O252" s="9"/>
      <c r="P252" s="29"/>
      <c r="Q252" s="29"/>
      <c r="R252" s="7"/>
      <c r="S252" s="7"/>
      <c r="T252" s="7" t="str">
        <f ca="1">IFERROR(__xludf.DUMMYFUNCTION("SPARKLINE({
IF(D252="""",0,D252),
IF(F252="""",0,F252),
IF(H252="""",0,H252),
IF(J252="""",0,J252),
IF(L252="""",0,L252),
IF(N252="""",0,N252),
IF(P252="""",0,P252)
})"),"")</f>
        <v/>
      </c>
      <c r="U252" s="7" t="str">
        <f ca="1">IFERROR(__xludf.DUMMYFUNCTION("SPARKLINE({
IF(E252="""",0,E252),
IF(G252="""",0,G252),
IF(I252="""",0,I252),
IF(K252="""",0,K252),
IF(M252="""",0,M252),
IF(O252="""",0,O252),
IF(Q252="""",0,Q252)
})"),"")</f>
        <v/>
      </c>
      <c r="V252" s="8" t="e">
        <f t="array" aca="1" ref="V252" ca="1">IF($C$4="Giao",_xludf.Xlookup(C252,#REF!,#REF!,),_xludf.Xlookup(C252,#REF!,#REF!,))</f>
        <v>#NAME?</v>
      </c>
      <c r="W252" s="8">
        <f t="array" ref="W252">IF($C$4="Giao", _xludf.Xlookup(C252,#REF!,#REF!,),)</f>
        <v>0</v>
      </c>
      <c r="X252" s="9">
        <f t="shared" si="2"/>
        <v>0</v>
      </c>
      <c r="Y252" s="7"/>
      <c r="Z252" s="7"/>
    </row>
    <row r="253" spans="1:26" ht="13" x14ac:dyDescent="0.6">
      <c r="A253" s="28" t="str">
        <f t="shared" si="1"/>
        <v/>
      </c>
      <c r="B253" s="7"/>
      <c r="C253" s="7"/>
      <c r="D253" s="9"/>
      <c r="E253" s="9"/>
      <c r="F253" s="9"/>
      <c r="G253" s="9"/>
      <c r="H253" s="9"/>
      <c r="I253" s="9"/>
      <c r="J253" s="9"/>
      <c r="K253" s="9"/>
      <c r="L253" s="9"/>
      <c r="M253" s="9"/>
      <c r="N253" s="9"/>
      <c r="O253" s="9"/>
      <c r="P253" s="29"/>
      <c r="Q253" s="29"/>
      <c r="R253" s="7"/>
      <c r="S253" s="7"/>
      <c r="T253" s="7" t="str">
        <f ca="1">IFERROR(__xludf.DUMMYFUNCTION("SPARKLINE({
IF(D253="""",0,D253),
IF(F253="""",0,F253),
IF(H253="""",0,H253),
IF(J253="""",0,J253),
IF(L253="""",0,L253),
IF(N253="""",0,N253),
IF(P253="""",0,P253)
})"),"")</f>
        <v/>
      </c>
      <c r="U253" s="7" t="str">
        <f ca="1">IFERROR(__xludf.DUMMYFUNCTION("SPARKLINE({
IF(E253="""",0,E253),
IF(G253="""",0,G253),
IF(I253="""",0,I253),
IF(K253="""",0,K253),
IF(M253="""",0,M253),
IF(O253="""",0,O253),
IF(Q253="""",0,Q253)
})"),"")</f>
        <v/>
      </c>
      <c r="V253" s="8" t="e">
        <f t="array" aca="1" ref="V253" ca="1">IF($C$4="Giao",_xludf.Xlookup(C253,#REF!,#REF!,),_xludf.Xlookup(C253,#REF!,#REF!,))</f>
        <v>#NAME?</v>
      </c>
      <c r="W253" s="8">
        <f t="array" ref="W253">IF($C$4="Giao", _xludf.Xlookup(C253,#REF!,#REF!,),)</f>
        <v>0</v>
      </c>
      <c r="X253" s="9">
        <f t="shared" si="2"/>
        <v>0</v>
      </c>
      <c r="Y253" s="7"/>
      <c r="Z253" s="7"/>
    </row>
    <row r="254" spans="1:26" ht="13" x14ac:dyDescent="0.6">
      <c r="A254" s="28" t="str">
        <f t="shared" si="1"/>
        <v/>
      </c>
      <c r="B254" s="7"/>
      <c r="C254" s="7"/>
      <c r="D254" s="9"/>
      <c r="E254" s="9"/>
      <c r="F254" s="9"/>
      <c r="G254" s="9"/>
      <c r="H254" s="9"/>
      <c r="I254" s="9"/>
      <c r="J254" s="9"/>
      <c r="K254" s="9"/>
      <c r="L254" s="9"/>
      <c r="M254" s="9"/>
      <c r="N254" s="9"/>
      <c r="O254" s="9"/>
      <c r="P254" s="29"/>
      <c r="Q254" s="29"/>
      <c r="R254" s="7"/>
      <c r="S254" s="7"/>
      <c r="T254" s="7" t="str">
        <f ca="1">IFERROR(__xludf.DUMMYFUNCTION("SPARKLINE({
IF(D254="""",0,D254),
IF(F254="""",0,F254),
IF(H254="""",0,H254),
IF(J254="""",0,J254),
IF(L254="""",0,L254),
IF(N254="""",0,N254),
IF(P254="""",0,P254)
})"),"")</f>
        <v/>
      </c>
      <c r="U254" s="7" t="str">
        <f ca="1">IFERROR(__xludf.DUMMYFUNCTION("SPARKLINE({
IF(E254="""",0,E254),
IF(G254="""",0,G254),
IF(I254="""",0,I254),
IF(K254="""",0,K254),
IF(M254="""",0,M254),
IF(O254="""",0,O254),
IF(Q254="""",0,Q254)
})"),"")</f>
        <v/>
      </c>
      <c r="V254" s="8" t="e">
        <f t="array" aca="1" ref="V254" ca="1">IF($C$4="Giao",_xludf.Xlookup(C254,#REF!,#REF!,),_xludf.Xlookup(C254,#REF!,#REF!,))</f>
        <v>#NAME?</v>
      </c>
      <c r="W254" s="8">
        <f t="array" ref="W254">IF($C$4="Giao", _xludf.Xlookup(C254,#REF!,#REF!,),)</f>
        <v>0</v>
      </c>
      <c r="X254" s="9">
        <f t="shared" si="2"/>
        <v>0</v>
      </c>
      <c r="Y254" s="7"/>
      <c r="Z254" s="7"/>
    </row>
    <row r="255" spans="1:26" ht="13" x14ac:dyDescent="0.6">
      <c r="A255" s="28" t="str">
        <f t="shared" si="1"/>
        <v/>
      </c>
      <c r="B255" s="7"/>
      <c r="C255" s="7"/>
      <c r="D255" s="9"/>
      <c r="E255" s="9"/>
      <c r="F255" s="9"/>
      <c r="G255" s="9"/>
      <c r="H255" s="9"/>
      <c r="I255" s="9"/>
      <c r="J255" s="9"/>
      <c r="K255" s="9"/>
      <c r="L255" s="9"/>
      <c r="M255" s="9"/>
      <c r="N255" s="9"/>
      <c r="O255" s="9"/>
      <c r="P255" s="29"/>
      <c r="Q255" s="29"/>
      <c r="R255" s="7"/>
      <c r="S255" s="7"/>
      <c r="T255" s="7" t="str">
        <f ca="1">IFERROR(__xludf.DUMMYFUNCTION("SPARKLINE({
IF(D255="""",0,D255),
IF(F255="""",0,F255),
IF(H255="""",0,H255),
IF(J255="""",0,J255),
IF(L255="""",0,L255),
IF(N255="""",0,N255),
IF(P255="""",0,P255)
})"),"")</f>
        <v/>
      </c>
      <c r="U255" s="7" t="str">
        <f ca="1">IFERROR(__xludf.DUMMYFUNCTION("SPARKLINE({
IF(E255="""",0,E255),
IF(G255="""",0,G255),
IF(I255="""",0,I255),
IF(K255="""",0,K255),
IF(M255="""",0,M255),
IF(O255="""",0,O255),
IF(Q255="""",0,Q255)
})"),"")</f>
        <v/>
      </c>
      <c r="V255" s="8" t="e">
        <f t="array" aca="1" ref="V255" ca="1">IF($C$4="Giao",_xludf.Xlookup(C255,#REF!,#REF!,),_xludf.Xlookup(C255,#REF!,#REF!,))</f>
        <v>#NAME?</v>
      </c>
      <c r="W255" s="8">
        <f t="array" ref="W255">IF($C$4="Giao", _xludf.Xlookup(C255,#REF!,#REF!,),)</f>
        <v>0</v>
      </c>
      <c r="X255" s="9">
        <f t="shared" si="2"/>
        <v>0</v>
      </c>
      <c r="Y255" s="7"/>
      <c r="Z255" s="7"/>
    </row>
    <row r="256" spans="1:26" ht="13" x14ac:dyDescent="0.6">
      <c r="A256" s="28" t="str">
        <f t="shared" si="1"/>
        <v/>
      </c>
      <c r="B256" s="7"/>
      <c r="C256" s="7"/>
      <c r="D256" s="9"/>
      <c r="E256" s="9"/>
      <c r="F256" s="9"/>
      <c r="G256" s="9"/>
      <c r="H256" s="9"/>
      <c r="I256" s="9"/>
      <c r="J256" s="9"/>
      <c r="K256" s="9"/>
      <c r="L256" s="9"/>
      <c r="M256" s="9"/>
      <c r="N256" s="9"/>
      <c r="O256" s="9"/>
      <c r="P256" s="29"/>
      <c r="Q256" s="29"/>
      <c r="R256" s="7"/>
      <c r="S256" s="7"/>
      <c r="T256" s="7" t="str">
        <f ca="1">IFERROR(__xludf.DUMMYFUNCTION("SPARKLINE({
IF(D256="""",0,D256),
IF(F256="""",0,F256),
IF(H256="""",0,H256),
IF(J256="""",0,J256),
IF(L256="""",0,L256),
IF(N256="""",0,N256),
IF(P256="""",0,P256)
})"),"")</f>
        <v/>
      </c>
      <c r="U256" s="7" t="str">
        <f ca="1">IFERROR(__xludf.DUMMYFUNCTION("SPARKLINE({
IF(E256="""",0,E256),
IF(G256="""",0,G256),
IF(I256="""",0,I256),
IF(K256="""",0,K256),
IF(M256="""",0,M256),
IF(O256="""",0,O256),
IF(Q256="""",0,Q256)
})"),"")</f>
        <v/>
      </c>
      <c r="V256" s="8" t="e">
        <f t="array" aca="1" ref="V256" ca="1">IF($C$4="Giao",_xludf.Xlookup(C256,#REF!,#REF!,),_xludf.Xlookup(C256,#REF!,#REF!,))</f>
        <v>#NAME?</v>
      </c>
      <c r="W256" s="8">
        <f t="array" ref="W256">IF($C$4="Giao", _xludf.Xlookup(C256,#REF!,#REF!,),)</f>
        <v>0</v>
      </c>
      <c r="X256" s="9">
        <f t="shared" si="2"/>
        <v>0</v>
      </c>
      <c r="Y256" s="7"/>
      <c r="Z256" s="7"/>
    </row>
    <row r="257" spans="1:26" ht="13" x14ac:dyDescent="0.6">
      <c r="A257" s="28" t="str">
        <f t="shared" si="1"/>
        <v/>
      </c>
      <c r="B257" s="7"/>
      <c r="C257" s="7"/>
      <c r="D257" s="9"/>
      <c r="E257" s="9"/>
      <c r="F257" s="9"/>
      <c r="G257" s="9"/>
      <c r="H257" s="9"/>
      <c r="I257" s="9"/>
      <c r="J257" s="9"/>
      <c r="K257" s="9"/>
      <c r="L257" s="9"/>
      <c r="M257" s="9"/>
      <c r="N257" s="9"/>
      <c r="O257" s="9"/>
      <c r="P257" s="29"/>
      <c r="Q257" s="29"/>
      <c r="R257" s="7"/>
      <c r="S257" s="7"/>
      <c r="T257" s="7" t="str">
        <f ca="1">IFERROR(__xludf.DUMMYFUNCTION("SPARKLINE({
IF(D257="""",0,D257),
IF(F257="""",0,F257),
IF(H257="""",0,H257),
IF(J257="""",0,J257),
IF(L257="""",0,L257),
IF(N257="""",0,N257),
IF(P257="""",0,P257)
})"),"")</f>
        <v/>
      </c>
      <c r="U257" s="7" t="str">
        <f ca="1">IFERROR(__xludf.DUMMYFUNCTION("SPARKLINE({
IF(E257="""",0,E257),
IF(G257="""",0,G257),
IF(I257="""",0,I257),
IF(K257="""",0,K257),
IF(M257="""",0,M257),
IF(O257="""",0,O257),
IF(Q257="""",0,Q257)
})"),"")</f>
        <v/>
      </c>
      <c r="V257" s="8" t="e">
        <f t="array" aca="1" ref="V257" ca="1">IF($C$4="Giao",_xludf.Xlookup(C257,#REF!,#REF!,),_xludf.Xlookup(C257,#REF!,#REF!,))</f>
        <v>#NAME?</v>
      </c>
      <c r="W257" s="8">
        <f t="array" ref="W257">IF($C$4="Giao", _xludf.Xlookup(C257,#REF!,#REF!,),)</f>
        <v>0</v>
      </c>
      <c r="X257" s="9">
        <f t="shared" si="2"/>
        <v>0</v>
      </c>
      <c r="Y257" s="7"/>
      <c r="Z257" s="7"/>
    </row>
    <row r="258" spans="1:26" ht="13" x14ac:dyDescent="0.6">
      <c r="A258" s="28" t="str">
        <f t="shared" si="1"/>
        <v/>
      </c>
      <c r="B258" s="7"/>
      <c r="C258" s="7"/>
      <c r="D258" s="9"/>
      <c r="E258" s="9"/>
      <c r="F258" s="9"/>
      <c r="G258" s="9"/>
      <c r="H258" s="9"/>
      <c r="I258" s="9"/>
      <c r="J258" s="9"/>
      <c r="K258" s="9"/>
      <c r="L258" s="9"/>
      <c r="M258" s="9"/>
      <c r="N258" s="9"/>
      <c r="O258" s="9"/>
      <c r="P258" s="29"/>
      <c r="Q258" s="29"/>
      <c r="R258" s="7"/>
      <c r="S258" s="7"/>
      <c r="T258" s="7" t="str">
        <f ca="1">IFERROR(__xludf.DUMMYFUNCTION("SPARKLINE({
IF(D258="""",0,D258),
IF(F258="""",0,F258),
IF(H258="""",0,H258),
IF(J258="""",0,J258),
IF(L258="""",0,L258),
IF(N258="""",0,N258),
IF(P258="""",0,P258)
})"),"")</f>
        <v/>
      </c>
      <c r="U258" s="7" t="str">
        <f ca="1">IFERROR(__xludf.DUMMYFUNCTION("SPARKLINE({
IF(E258="""",0,E258),
IF(G258="""",0,G258),
IF(I258="""",0,I258),
IF(K258="""",0,K258),
IF(M258="""",0,M258),
IF(O258="""",0,O258),
IF(Q258="""",0,Q258)
})"),"")</f>
        <v/>
      </c>
      <c r="V258" s="8" t="e">
        <f t="array" aca="1" ref="V258" ca="1">IF($C$4="Giao",_xludf.Xlookup(C258,#REF!,#REF!,),_xludf.Xlookup(C258,#REF!,#REF!,))</f>
        <v>#NAME?</v>
      </c>
      <c r="W258" s="8">
        <f t="array" ref="W258">IF($C$4="Giao", _xludf.Xlookup(C258,#REF!,#REF!,),)</f>
        <v>0</v>
      </c>
      <c r="X258" s="9">
        <f t="shared" si="2"/>
        <v>0</v>
      </c>
      <c r="Y258" s="7"/>
      <c r="Z258" s="7"/>
    </row>
    <row r="259" spans="1:26" ht="13" x14ac:dyDescent="0.6">
      <c r="A259" s="28" t="str">
        <f t="shared" si="1"/>
        <v/>
      </c>
      <c r="B259" s="7"/>
      <c r="C259" s="7"/>
      <c r="D259" s="9"/>
      <c r="E259" s="9"/>
      <c r="F259" s="9"/>
      <c r="G259" s="9"/>
      <c r="H259" s="9"/>
      <c r="I259" s="9"/>
      <c r="J259" s="9"/>
      <c r="K259" s="9"/>
      <c r="L259" s="9"/>
      <c r="M259" s="9"/>
      <c r="N259" s="9"/>
      <c r="O259" s="9"/>
      <c r="P259" s="29"/>
      <c r="Q259" s="29"/>
      <c r="R259" s="7"/>
      <c r="S259" s="7"/>
      <c r="T259" s="7" t="str">
        <f ca="1">IFERROR(__xludf.DUMMYFUNCTION("SPARKLINE({
IF(D259="""",0,D259),
IF(F259="""",0,F259),
IF(H259="""",0,H259),
IF(J259="""",0,J259),
IF(L259="""",0,L259),
IF(N259="""",0,N259),
IF(P259="""",0,P259)
})"),"")</f>
        <v/>
      </c>
      <c r="U259" s="7" t="str">
        <f ca="1">IFERROR(__xludf.DUMMYFUNCTION("SPARKLINE({
IF(E259="""",0,E259),
IF(G259="""",0,G259),
IF(I259="""",0,I259),
IF(K259="""",0,K259),
IF(M259="""",0,M259),
IF(O259="""",0,O259),
IF(Q259="""",0,Q259)
})"),"")</f>
        <v/>
      </c>
      <c r="V259" s="8" t="e">
        <f t="array" aca="1" ref="V259" ca="1">IF($C$4="Giao",_xludf.Xlookup(C259,#REF!,#REF!,),_xludf.Xlookup(C259,#REF!,#REF!,))</f>
        <v>#NAME?</v>
      </c>
      <c r="W259" s="8">
        <f t="array" ref="W259">IF($C$4="Giao", _xludf.Xlookup(C259,#REF!,#REF!,),)</f>
        <v>0</v>
      </c>
      <c r="X259" s="9">
        <f t="shared" si="2"/>
        <v>0</v>
      </c>
      <c r="Y259" s="7"/>
      <c r="Z259" s="7"/>
    </row>
    <row r="260" spans="1:26" ht="13" x14ac:dyDescent="0.6">
      <c r="A260" s="28" t="str">
        <f t="shared" si="1"/>
        <v/>
      </c>
      <c r="B260" s="7"/>
      <c r="C260" s="7"/>
      <c r="D260" s="9"/>
      <c r="E260" s="9"/>
      <c r="F260" s="9"/>
      <c r="G260" s="9"/>
      <c r="H260" s="9"/>
      <c r="I260" s="9"/>
      <c r="J260" s="9"/>
      <c r="K260" s="9"/>
      <c r="L260" s="9"/>
      <c r="M260" s="9"/>
      <c r="N260" s="9"/>
      <c r="O260" s="9"/>
      <c r="P260" s="29"/>
      <c r="Q260" s="29"/>
      <c r="R260" s="7"/>
      <c r="S260" s="7"/>
      <c r="T260" s="7" t="str">
        <f ca="1">IFERROR(__xludf.DUMMYFUNCTION("SPARKLINE({
IF(D260="""",0,D260),
IF(F260="""",0,F260),
IF(H260="""",0,H260),
IF(J260="""",0,J260),
IF(L260="""",0,L260),
IF(N260="""",0,N260),
IF(P260="""",0,P260)
})"),"")</f>
        <v/>
      </c>
      <c r="U260" s="7" t="str">
        <f ca="1">IFERROR(__xludf.DUMMYFUNCTION("SPARKLINE({
IF(E260="""",0,E260),
IF(G260="""",0,G260),
IF(I260="""",0,I260),
IF(K260="""",0,K260),
IF(M260="""",0,M260),
IF(O260="""",0,O260),
IF(Q260="""",0,Q260)
})"),"")</f>
        <v/>
      </c>
      <c r="V260" s="8" t="e">
        <f t="array" aca="1" ref="V260" ca="1">IF($C$4="Giao",_xludf.Xlookup(C260,#REF!,#REF!,),_xludf.Xlookup(C260,#REF!,#REF!,))</f>
        <v>#NAME?</v>
      </c>
      <c r="W260" s="8">
        <f t="array" ref="W260">IF($C$4="Giao", _xludf.Xlookup(C260,#REF!,#REF!,),)</f>
        <v>0</v>
      </c>
      <c r="X260" s="9">
        <f t="shared" si="2"/>
        <v>0</v>
      </c>
      <c r="Y260" s="7"/>
      <c r="Z260" s="7"/>
    </row>
    <row r="261" spans="1:26" ht="13" x14ac:dyDescent="0.6">
      <c r="A261" s="28" t="str">
        <f t="shared" si="1"/>
        <v/>
      </c>
      <c r="B261" s="7"/>
      <c r="C261" s="7"/>
      <c r="D261" s="9"/>
      <c r="E261" s="9"/>
      <c r="F261" s="9"/>
      <c r="G261" s="9"/>
      <c r="H261" s="9"/>
      <c r="I261" s="9"/>
      <c r="J261" s="9"/>
      <c r="K261" s="9"/>
      <c r="L261" s="9"/>
      <c r="M261" s="9"/>
      <c r="N261" s="9"/>
      <c r="O261" s="9"/>
      <c r="P261" s="29"/>
      <c r="Q261" s="29"/>
      <c r="R261" s="7"/>
      <c r="S261" s="7"/>
      <c r="T261" s="7" t="str">
        <f ca="1">IFERROR(__xludf.DUMMYFUNCTION("SPARKLINE({
IF(D261="""",0,D261),
IF(F261="""",0,F261),
IF(H261="""",0,H261),
IF(J261="""",0,J261),
IF(L261="""",0,L261),
IF(N261="""",0,N261),
IF(P261="""",0,P261)
})"),"")</f>
        <v/>
      </c>
      <c r="U261" s="7" t="str">
        <f ca="1">IFERROR(__xludf.DUMMYFUNCTION("SPARKLINE({
IF(E261="""",0,E261),
IF(G261="""",0,G261),
IF(I261="""",0,I261),
IF(K261="""",0,K261),
IF(M261="""",0,M261),
IF(O261="""",0,O261),
IF(Q261="""",0,Q261)
})"),"")</f>
        <v/>
      </c>
      <c r="V261" s="8" t="e">
        <f t="array" aca="1" ref="V261" ca="1">IF($C$4="Giao",_xludf.Xlookup(C261,#REF!,#REF!,),_xludf.Xlookup(C261,#REF!,#REF!,))</f>
        <v>#NAME?</v>
      </c>
      <c r="W261" s="8">
        <f t="array" ref="W261">IF($C$4="Giao", _xludf.Xlookup(C261,#REF!,#REF!,),)</f>
        <v>0</v>
      </c>
      <c r="X261" s="9">
        <f t="shared" si="2"/>
        <v>0</v>
      </c>
      <c r="Y261" s="7"/>
      <c r="Z261" s="7"/>
    </row>
    <row r="262" spans="1:26" ht="13" x14ac:dyDescent="0.6">
      <c r="A262" s="28" t="str">
        <f t="shared" si="1"/>
        <v/>
      </c>
      <c r="B262" s="7"/>
      <c r="C262" s="7"/>
      <c r="D262" s="9"/>
      <c r="E262" s="9"/>
      <c r="F262" s="9"/>
      <c r="G262" s="9"/>
      <c r="H262" s="9"/>
      <c r="I262" s="9"/>
      <c r="J262" s="9"/>
      <c r="K262" s="9"/>
      <c r="L262" s="9"/>
      <c r="M262" s="9"/>
      <c r="N262" s="9"/>
      <c r="O262" s="9"/>
      <c r="P262" s="29"/>
      <c r="Q262" s="29"/>
      <c r="R262" s="7"/>
      <c r="S262" s="7"/>
      <c r="T262" s="7" t="str">
        <f ca="1">IFERROR(__xludf.DUMMYFUNCTION("SPARKLINE({
IF(D262="""",0,D262),
IF(F262="""",0,F262),
IF(H262="""",0,H262),
IF(J262="""",0,J262),
IF(L262="""",0,L262),
IF(N262="""",0,N262),
IF(P262="""",0,P262)
})"),"")</f>
        <v/>
      </c>
      <c r="U262" s="7" t="str">
        <f ca="1">IFERROR(__xludf.DUMMYFUNCTION("SPARKLINE({
IF(E262="""",0,E262),
IF(G262="""",0,G262),
IF(I262="""",0,I262),
IF(K262="""",0,K262),
IF(M262="""",0,M262),
IF(O262="""",0,O262),
IF(Q262="""",0,Q262)
})"),"")</f>
        <v/>
      </c>
      <c r="V262" s="8" t="e">
        <f t="array" aca="1" ref="V262" ca="1">IF($C$4="Giao",_xludf.Xlookup(C262,#REF!,#REF!,),_xludf.Xlookup(C262,#REF!,#REF!,))</f>
        <v>#NAME?</v>
      </c>
      <c r="W262" s="8">
        <f t="array" ref="W262">IF($C$4="Giao", _xludf.Xlookup(C262,#REF!,#REF!,),)</f>
        <v>0</v>
      </c>
      <c r="X262" s="9">
        <f t="shared" si="2"/>
        <v>0</v>
      </c>
      <c r="Y262" s="7"/>
      <c r="Z262" s="7"/>
    </row>
    <row r="263" spans="1:26" ht="13" x14ac:dyDescent="0.6">
      <c r="A263" s="28" t="str">
        <f t="shared" ref="A263:A517" si="5">IF(B263="","",COUNTA($B$8:B263))</f>
        <v/>
      </c>
      <c r="B263" s="7"/>
      <c r="C263" s="7"/>
      <c r="D263" s="9"/>
      <c r="E263" s="9"/>
      <c r="F263" s="9"/>
      <c r="G263" s="9"/>
      <c r="H263" s="9"/>
      <c r="I263" s="9"/>
      <c r="J263" s="9"/>
      <c r="K263" s="9"/>
      <c r="L263" s="9"/>
      <c r="M263" s="9"/>
      <c r="N263" s="9"/>
      <c r="O263" s="9"/>
      <c r="P263" s="29"/>
      <c r="Q263" s="29"/>
      <c r="R263" s="7"/>
      <c r="S263" s="7"/>
      <c r="T263" s="7" t="str">
        <f ca="1">IFERROR(__xludf.DUMMYFUNCTION("SPARKLINE({
IF(D263="""",0,D263),
IF(F263="""",0,F263),
IF(H263="""",0,H263),
IF(J263="""",0,J263),
IF(L263="""",0,L263),
IF(N263="""",0,N263),
IF(P263="""",0,P263)
})"),"")</f>
        <v/>
      </c>
      <c r="U263" s="7" t="str">
        <f ca="1">IFERROR(__xludf.DUMMYFUNCTION("SPARKLINE({
IF(E263="""",0,E263),
IF(G263="""",0,G263),
IF(I263="""",0,I263),
IF(K263="""",0,K263),
IF(M263="""",0,M263),
IF(O263="""",0,O263),
IF(Q263="""",0,Q263)
})"),"")</f>
        <v/>
      </c>
      <c r="V263" s="8" t="e">
        <f t="array" aca="1" ref="V263" ca="1">IF($C$4="Giao",_xludf.Xlookup(C263,#REF!,#REF!,),_xludf.Xlookup(C263,#REF!,#REF!,))</f>
        <v>#NAME?</v>
      </c>
      <c r="W263" s="8">
        <f t="array" ref="W263">IF($C$4="Giao", _xludf.Xlookup(C263,#REF!,#REF!,),)</f>
        <v>0</v>
      </c>
      <c r="X263" s="9">
        <f t="shared" ref="X263:X517" si="6">W263*1.08</f>
        <v>0</v>
      </c>
      <c r="Y263" s="7"/>
      <c r="Z263" s="7"/>
    </row>
    <row r="264" spans="1:26" ht="13" x14ac:dyDescent="0.6">
      <c r="A264" s="28" t="str">
        <f t="shared" si="5"/>
        <v/>
      </c>
      <c r="B264" s="7"/>
      <c r="C264" s="7"/>
      <c r="D264" s="9"/>
      <c r="E264" s="9"/>
      <c r="F264" s="9"/>
      <c r="G264" s="9"/>
      <c r="H264" s="9"/>
      <c r="I264" s="9"/>
      <c r="J264" s="9"/>
      <c r="K264" s="9"/>
      <c r="L264" s="9"/>
      <c r="M264" s="9"/>
      <c r="N264" s="9"/>
      <c r="O264" s="9"/>
      <c r="P264" s="29"/>
      <c r="Q264" s="29"/>
      <c r="R264" s="7"/>
      <c r="S264" s="7"/>
      <c r="T264" s="7" t="str">
        <f ca="1">IFERROR(__xludf.DUMMYFUNCTION("SPARKLINE({
IF(D264="""",0,D264),
IF(F264="""",0,F264),
IF(H264="""",0,H264),
IF(J264="""",0,J264),
IF(L264="""",0,L264),
IF(N264="""",0,N264),
IF(P264="""",0,P264)
})"),"")</f>
        <v/>
      </c>
      <c r="U264" s="7" t="str">
        <f ca="1">IFERROR(__xludf.DUMMYFUNCTION("SPARKLINE({
IF(E264="""",0,E264),
IF(G264="""",0,G264),
IF(I264="""",0,I264),
IF(K264="""",0,K264),
IF(M264="""",0,M264),
IF(O264="""",0,O264),
IF(Q264="""",0,Q264)
})"),"")</f>
        <v/>
      </c>
      <c r="V264" s="8" t="e">
        <f t="array" aca="1" ref="V264" ca="1">IF($C$4="Giao",_xludf.Xlookup(C264,#REF!,#REF!,),_xludf.Xlookup(C264,#REF!,#REF!,))</f>
        <v>#NAME?</v>
      </c>
      <c r="W264" s="8">
        <f t="array" ref="W264">IF($C$4="Giao", _xludf.Xlookup(C264,#REF!,#REF!,),)</f>
        <v>0</v>
      </c>
      <c r="X264" s="9">
        <f t="shared" si="6"/>
        <v>0</v>
      </c>
      <c r="Y264" s="7"/>
      <c r="Z264" s="7"/>
    </row>
    <row r="265" spans="1:26" ht="13" x14ac:dyDescent="0.6">
      <c r="A265" s="28" t="str">
        <f t="shared" si="5"/>
        <v/>
      </c>
      <c r="B265" s="7"/>
      <c r="C265" s="7"/>
      <c r="D265" s="9"/>
      <c r="E265" s="9"/>
      <c r="F265" s="9"/>
      <c r="G265" s="9"/>
      <c r="H265" s="9"/>
      <c r="I265" s="9"/>
      <c r="J265" s="9"/>
      <c r="K265" s="9"/>
      <c r="L265" s="9"/>
      <c r="M265" s="9"/>
      <c r="N265" s="9"/>
      <c r="O265" s="9"/>
      <c r="P265" s="29"/>
      <c r="Q265" s="29"/>
      <c r="R265" s="7"/>
      <c r="S265" s="7"/>
      <c r="T265" s="7" t="str">
        <f ca="1">IFERROR(__xludf.DUMMYFUNCTION("SPARKLINE({
IF(D265="""",0,D265),
IF(F265="""",0,F265),
IF(H265="""",0,H265),
IF(J265="""",0,J265),
IF(L265="""",0,L265),
IF(N265="""",0,N265),
IF(P265="""",0,P265)
})"),"")</f>
        <v/>
      </c>
      <c r="U265" s="7" t="str">
        <f ca="1">IFERROR(__xludf.DUMMYFUNCTION("SPARKLINE({
IF(E265="""",0,E265),
IF(G265="""",0,G265),
IF(I265="""",0,I265),
IF(K265="""",0,K265),
IF(M265="""",0,M265),
IF(O265="""",0,O265),
IF(Q265="""",0,Q265)
})"),"")</f>
        <v/>
      </c>
      <c r="V265" s="8" t="e">
        <f t="array" aca="1" ref="V265" ca="1">IF($C$4="Giao",_xludf.Xlookup(C265,#REF!,#REF!,),_xludf.Xlookup(C265,#REF!,#REF!,))</f>
        <v>#NAME?</v>
      </c>
      <c r="W265" s="8">
        <f t="array" ref="W265">IF($C$4="Giao", _xludf.Xlookup(C265,#REF!,#REF!,),)</f>
        <v>0</v>
      </c>
      <c r="X265" s="9">
        <f t="shared" si="6"/>
        <v>0</v>
      </c>
      <c r="Y265" s="7"/>
      <c r="Z265" s="7"/>
    </row>
    <row r="266" spans="1:26" ht="13" x14ac:dyDescent="0.6">
      <c r="A266" s="28" t="str">
        <f t="shared" si="5"/>
        <v/>
      </c>
      <c r="B266" s="7"/>
      <c r="C266" s="7"/>
      <c r="D266" s="9"/>
      <c r="E266" s="9"/>
      <c r="F266" s="9"/>
      <c r="G266" s="9"/>
      <c r="H266" s="9"/>
      <c r="I266" s="9"/>
      <c r="J266" s="9"/>
      <c r="K266" s="9"/>
      <c r="L266" s="9"/>
      <c r="M266" s="9"/>
      <c r="N266" s="9"/>
      <c r="O266" s="9"/>
      <c r="P266" s="29"/>
      <c r="Q266" s="29"/>
      <c r="R266" s="7"/>
      <c r="S266" s="7"/>
      <c r="T266" s="7" t="str">
        <f ca="1">IFERROR(__xludf.DUMMYFUNCTION("SPARKLINE({
IF(D266="""",0,D266),
IF(F266="""",0,F266),
IF(H266="""",0,H266),
IF(J266="""",0,J266),
IF(L266="""",0,L266),
IF(N266="""",0,N266),
IF(P266="""",0,P266)
})"),"")</f>
        <v/>
      </c>
      <c r="U266" s="7" t="str">
        <f ca="1">IFERROR(__xludf.DUMMYFUNCTION("SPARKLINE({
IF(E266="""",0,E266),
IF(G266="""",0,G266),
IF(I266="""",0,I266),
IF(K266="""",0,K266),
IF(M266="""",0,M266),
IF(O266="""",0,O266),
IF(Q266="""",0,Q266)
})"),"")</f>
        <v/>
      </c>
      <c r="V266" s="8" t="e">
        <f t="array" aca="1" ref="V266" ca="1">IF($C$4="Giao",_xludf.Xlookup(C266,#REF!,#REF!,),_xludf.Xlookup(C266,#REF!,#REF!,))</f>
        <v>#NAME?</v>
      </c>
      <c r="W266" s="8">
        <f t="array" ref="W266">IF($C$4="Giao", _xludf.Xlookup(C266,#REF!,#REF!,),)</f>
        <v>0</v>
      </c>
      <c r="X266" s="9">
        <f t="shared" si="6"/>
        <v>0</v>
      </c>
      <c r="Y266" s="7"/>
      <c r="Z266" s="7"/>
    </row>
    <row r="267" spans="1:26" ht="13" x14ac:dyDescent="0.6">
      <c r="A267" s="28" t="str">
        <f t="shared" si="5"/>
        <v/>
      </c>
      <c r="B267" s="7"/>
      <c r="C267" s="7"/>
      <c r="D267" s="9"/>
      <c r="E267" s="9"/>
      <c r="F267" s="9"/>
      <c r="G267" s="9"/>
      <c r="H267" s="9"/>
      <c r="I267" s="9"/>
      <c r="J267" s="9"/>
      <c r="K267" s="9"/>
      <c r="L267" s="9"/>
      <c r="M267" s="9"/>
      <c r="N267" s="9"/>
      <c r="O267" s="9"/>
      <c r="P267" s="29"/>
      <c r="Q267" s="29"/>
      <c r="R267" s="7"/>
      <c r="S267" s="7"/>
      <c r="T267" s="7" t="str">
        <f ca="1">IFERROR(__xludf.DUMMYFUNCTION("SPARKLINE({
IF(D267="""",0,D267),
IF(F267="""",0,F267),
IF(H267="""",0,H267),
IF(J267="""",0,J267),
IF(L267="""",0,L267),
IF(N267="""",0,N267),
IF(P267="""",0,P267)
})"),"")</f>
        <v/>
      </c>
      <c r="U267" s="7" t="str">
        <f ca="1">IFERROR(__xludf.DUMMYFUNCTION("SPARKLINE({
IF(E267="""",0,E267),
IF(G267="""",0,G267),
IF(I267="""",0,I267),
IF(K267="""",0,K267),
IF(M267="""",0,M267),
IF(O267="""",0,O267),
IF(Q267="""",0,Q267)
})"),"")</f>
        <v/>
      </c>
      <c r="V267" s="8" t="e">
        <f t="array" aca="1" ref="V267" ca="1">IF($C$4="Giao",_xludf.Xlookup(C267,#REF!,#REF!,),_xludf.Xlookup(C267,#REF!,#REF!,))</f>
        <v>#NAME?</v>
      </c>
      <c r="W267" s="8">
        <f t="array" ref="W267">IF($C$4="Giao", _xludf.Xlookup(C267,#REF!,#REF!,),)</f>
        <v>0</v>
      </c>
      <c r="X267" s="9">
        <f t="shared" si="6"/>
        <v>0</v>
      </c>
      <c r="Y267" s="7"/>
      <c r="Z267" s="7"/>
    </row>
    <row r="268" spans="1:26" ht="13" x14ac:dyDescent="0.6">
      <c r="A268" s="28" t="str">
        <f t="shared" si="5"/>
        <v/>
      </c>
      <c r="B268" s="7"/>
      <c r="C268" s="7"/>
      <c r="D268" s="9"/>
      <c r="E268" s="9"/>
      <c r="F268" s="9"/>
      <c r="G268" s="9"/>
      <c r="H268" s="9"/>
      <c r="I268" s="9"/>
      <c r="J268" s="9"/>
      <c r="K268" s="9"/>
      <c r="L268" s="9"/>
      <c r="M268" s="9"/>
      <c r="N268" s="9"/>
      <c r="O268" s="9"/>
      <c r="P268" s="29"/>
      <c r="Q268" s="29"/>
      <c r="R268" s="7"/>
      <c r="S268" s="7"/>
      <c r="T268" s="7" t="str">
        <f ca="1">IFERROR(__xludf.DUMMYFUNCTION("SPARKLINE({
IF(D268="""",0,D268),
IF(F268="""",0,F268),
IF(H268="""",0,H268),
IF(J268="""",0,J268),
IF(L268="""",0,L268),
IF(N268="""",0,N268),
IF(P268="""",0,P268)
})"),"")</f>
        <v/>
      </c>
      <c r="U268" s="7" t="str">
        <f ca="1">IFERROR(__xludf.DUMMYFUNCTION("SPARKLINE({
IF(E268="""",0,E268),
IF(G268="""",0,G268),
IF(I268="""",0,I268),
IF(K268="""",0,K268),
IF(M268="""",0,M268),
IF(O268="""",0,O268),
IF(Q268="""",0,Q268)
})"),"")</f>
        <v/>
      </c>
      <c r="V268" s="8" t="e">
        <f t="array" aca="1" ref="V268" ca="1">IF($C$4="Giao",_xludf.Xlookup(C268,#REF!,#REF!,),_xludf.Xlookup(C268,#REF!,#REF!,))</f>
        <v>#NAME?</v>
      </c>
      <c r="W268" s="8">
        <f t="array" ref="W268">IF($C$4="Giao", _xludf.Xlookup(C268,#REF!,#REF!,),)</f>
        <v>0</v>
      </c>
      <c r="X268" s="9">
        <f t="shared" si="6"/>
        <v>0</v>
      </c>
      <c r="Y268" s="7"/>
      <c r="Z268" s="7"/>
    </row>
    <row r="269" spans="1:26" ht="13" x14ac:dyDescent="0.6">
      <c r="A269" s="28" t="str">
        <f t="shared" si="5"/>
        <v/>
      </c>
      <c r="B269" s="7"/>
      <c r="C269" s="7"/>
      <c r="D269" s="9"/>
      <c r="E269" s="9"/>
      <c r="F269" s="9"/>
      <c r="G269" s="9"/>
      <c r="H269" s="9"/>
      <c r="I269" s="9"/>
      <c r="J269" s="9"/>
      <c r="K269" s="9"/>
      <c r="L269" s="9"/>
      <c r="M269" s="9"/>
      <c r="N269" s="9"/>
      <c r="O269" s="9"/>
      <c r="P269" s="29"/>
      <c r="Q269" s="29"/>
      <c r="R269" s="7"/>
      <c r="S269" s="7"/>
      <c r="T269" s="7" t="str">
        <f ca="1">IFERROR(__xludf.DUMMYFUNCTION("SPARKLINE({
IF(D269="""",0,D269),
IF(F269="""",0,F269),
IF(H269="""",0,H269),
IF(J269="""",0,J269),
IF(L269="""",0,L269),
IF(N269="""",0,N269),
IF(P269="""",0,P269)
})"),"")</f>
        <v/>
      </c>
      <c r="U269" s="7" t="str">
        <f ca="1">IFERROR(__xludf.DUMMYFUNCTION("SPARKLINE({
IF(E269="""",0,E269),
IF(G269="""",0,G269),
IF(I269="""",0,I269),
IF(K269="""",0,K269),
IF(M269="""",0,M269),
IF(O269="""",0,O269),
IF(Q269="""",0,Q269)
})"),"")</f>
        <v/>
      </c>
      <c r="V269" s="8" t="e">
        <f t="array" aca="1" ref="V269" ca="1">IF($C$4="Giao",_xludf.Xlookup(C269,#REF!,#REF!,),_xludf.Xlookup(C269,#REF!,#REF!,))</f>
        <v>#NAME?</v>
      </c>
      <c r="W269" s="8">
        <f t="array" ref="W269">IF($C$4="Giao", _xludf.Xlookup(C269,#REF!,#REF!,),)</f>
        <v>0</v>
      </c>
      <c r="X269" s="9">
        <f t="shared" si="6"/>
        <v>0</v>
      </c>
      <c r="Y269" s="7"/>
      <c r="Z269" s="7"/>
    </row>
    <row r="270" spans="1:26" ht="13" x14ac:dyDescent="0.6">
      <c r="A270" s="28" t="str">
        <f t="shared" si="5"/>
        <v/>
      </c>
      <c r="B270" s="7"/>
      <c r="C270" s="7"/>
      <c r="D270" s="9"/>
      <c r="E270" s="9"/>
      <c r="F270" s="9"/>
      <c r="G270" s="9"/>
      <c r="H270" s="9"/>
      <c r="I270" s="9"/>
      <c r="J270" s="9"/>
      <c r="K270" s="9"/>
      <c r="L270" s="9"/>
      <c r="M270" s="9"/>
      <c r="N270" s="9"/>
      <c r="O270" s="9"/>
      <c r="P270" s="29"/>
      <c r="Q270" s="29"/>
      <c r="R270" s="7"/>
      <c r="S270" s="7"/>
      <c r="T270" s="7" t="str">
        <f ca="1">IFERROR(__xludf.DUMMYFUNCTION("SPARKLINE({
IF(D270="""",0,D270),
IF(F270="""",0,F270),
IF(H270="""",0,H270),
IF(J270="""",0,J270),
IF(L270="""",0,L270),
IF(N270="""",0,N270),
IF(P270="""",0,P270)
})"),"")</f>
        <v/>
      </c>
      <c r="U270" s="7" t="str">
        <f ca="1">IFERROR(__xludf.DUMMYFUNCTION("SPARKLINE({
IF(E270="""",0,E270),
IF(G270="""",0,G270),
IF(I270="""",0,I270),
IF(K270="""",0,K270),
IF(M270="""",0,M270),
IF(O270="""",0,O270),
IF(Q270="""",0,Q270)
})"),"")</f>
        <v/>
      </c>
      <c r="V270" s="8" t="e">
        <f t="array" aca="1" ref="V270" ca="1">IF($C$4="Giao",_xludf.Xlookup(C270,#REF!,#REF!,),_xludf.Xlookup(C270,#REF!,#REF!,))</f>
        <v>#NAME?</v>
      </c>
      <c r="W270" s="8">
        <f t="array" ref="W270">IF($C$4="Giao", _xludf.Xlookup(C270,#REF!,#REF!,),)</f>
        <v>0</v>
      </c>
      <c r="X270" s="9">
        <f t="shared" si="6"/>
        <v>0</v>
      </c>
      <c r="Y270" s="7"/>
      <c r="Z270" s="7"/>
    </row>
    <row r="271" spans="1:26" ht="13" x14ac:dyDescent="0.6">
      <c r="A271" s="28" t="str">
        <f t="shared" si="5"/>
        <v/>
      </c>
      <c r="B271" s="7"/>
      <c r="C271" s="7"/>
      <c r="D271" s="9"/>
      <c r="E271" s="9"/>
      <c r="F271" s="9"/>
      <c r="G271" s="9"/>
      <c r="H271" s="9"/>
      <c r="I271" s="9"/>
      <c r="J271" s="9"/>
      <c r="K271" s="9"/>
      <c r="L271" s="9"/>
      <c r="M271" s="9"/>
      <c r="N271" s="9"/>
      <c r="O271" s="9"/>
      <c r="P271" s="29"/>
      <c r="Q271" s="29"/>
      <c r="R271" s="7"/>
      <c r="S271" s="7"/>
      <c r="T271" s="7" t="str">
        <f ca="1">IFERROR(__xludf.DUMMYFUNCTION("SPARKLINE({
IF(D271="""",0,D271),
IF(F271="""",0,F271),
IF(H271="""",0,H271),
IF(J271="""",0,J271),
IF(L271="""",0,L271),
IF(N271="""",0,N271),
IF(P271="""",0,P271)
})"),"")</f>
        <v/>
      </c>
      <c r="U271" s="7" t="str">
        <f ca="1">IFERROR(__xludf.DUMMYFUNCTION("SPARKLINE({
IF(E271="""",0,E271),
IF(G271="""",0,G271),
IF(I271="""",0,I271),
IF(K271="""",0,K271),
IF(M271="""",0,M271),
IF(O271="""",0,O271),
IF(Q271="""",0,Q271)
})"),"")</f>
        <v/>
      </c>
      <c r="V271" s="8" t="e">
        <f t="array" aca="1" ref="V271" ca="1">IF($C$4="Giao",_xludf.Xlookup(C271,#REF!,#REF!,),_xludf.Xlookup(C271,#REF!,#REF!,))</f>
        <v>#NAME?</v>
      </c>
      <c r="W271" s="8">
        <f t="array" ref="W271">IF($C$4="Giao", _xludf.Xlookup(C271,#REF!,#REF!,),)</f>
        <v>0</v>
      </c>
      <c r="X271" s="9">
        <f t="shared" si="6"/>
        <v>0</v>
      </c>
      <c r="Y271" s="7"/>
      <c r="Z271" s="7"/>
    </row>
    <row r="272" spans="1:26" ht="13" x14ac:dyDescent="0.6">
      <c r="A272" s="28" t="str">
        <f t="shared" si="5"/>
        <v/>
      </c>
      <c r="B272" s="7"/>
      <c r="C272" s="7"/>
      <c r="D272" s="9"/>
      <c r="E272" s="9"/>
      <c r="F272" s="9"/>
      <c r="G272" s="9"/>
      <c r="H272" s="9"/>
      <c r="I272" s="9"/>
      <c r="J272" s="9"/>
      <c r="K272" s="9"/>
      <c r="L272" s="9"/>
      <c r="M272" s="9"/>
      <c r="N272" s="9"/>
      <c r="O272" s="9"/>
      <c r="P272" s="29"/>
      <c r="Q272" s="29"/>
      <c r="R272" s="7"/>
      <c r="S272" s="7"/>
      <c r="T272" s="7" t="str">
        <f ca="1">IFERROR(__xludf.DUMMYFUNCTION("SPARKLINE({
IF(D272="""",0,D272),
IF(F272="""",0,F272),
IF(H272="""",0,H272),
IF(J272="""",0,J272),
IF(L272="""",0,L272),
IF(N272="""",0,N272),
IF(P272="""",0,P272)
})"),"")</f>
        <v/>
      </c>
      <c r="U272" s="7" t="str">
        <f ca="1">IFERROR(__xludf.DUMMYFUNCTION("SPARKLINE({
IF(E272="""",0,E272),
IF(G272="""",0,G272),
IF(I272="""",0,I272),
IF(K272="""",0,K272),
IF(M272="""",0,M272),
IF(O272="""",0,O272),
IF(Q272="""",0,Q272)
})"),"")</f>
        <v/>
      </c>
      <c r="V272" s="8" t="e">
        <f t="array" aca="1" ref="V272" ca="1">IF($C$4="Giao",_xludf.Xlookup(C272,#REF!,#REF!,),_xludf.Xlookup(C272,#REF!,#REF!,))</f>
        <v>#NAME?</v>
      </c>
      <c r="W272" s="8">
        <f t="array" ref="W272">IF($C$4="Giao", _xludf.Xlookup(C272,#REF!,#REF!,),)</f>
        <v>0</v>
      </c>
      <c r="X272" s="9">
        <f t="shared" si="6"/>
        <v>0</v>
      </c>
      <c r="Y272" s="7"/>
      <c r="Z272" s="7"/>
    </row>
    <row r="273" spans="1:26" ht="13" x14ac:dyDescent="0.6">
      <c r="A273" s="28" t="str">
        <f t="shared" si="5"/>
        <v/>
      </c>
      <c r="B273" s="7"/>
      <c r="C273" s="7"/>
      <c r="D273" s="9"/>
      <c r="E273" s="9"/>
      <c r="F273" s="9"/>
      <c r="G273" s="9"/>
      <c r="H273" s="9"/>
      <c r="I273" s="9"/>
      <c r="J273" s="9"/>
      <c r="K273" s="9"/>
      <c r="L273" s="9"/>
      <c r="M273" s="9"/>
      <c r="N273" s="9"/>
      <c r="O273" s="9"/>
      <c r="P273" s="29"/>
      <c r="Q273" s="29"/>
      <c r="R273" s="7"/>
      <c r="S273" s="7"/>
      <c r="T273" s="7" t="str">
        <f ca="1">IFERROR(__xludf.DUMMYFUNCTION("SPARKLINE({
IF(D273="""",0,D273),
IF(F273="""",0,F273),
IF(H273="""",0,H273),
IF(J273="""",0,J273),
IF(L273="""",0,L273),
IF(N273="""",0,N273),
IF(P273="""",0,P273)
})"),"")</f>
        <v/>
      </c>
      <c r="U273" s="7" t="str">
        <f ca="1">IFERROR(__xludf.DUMMYFUNCTION("SPARKLINE({
IF(E273="""",0,E273),
IF(G273="""",0,G273),
IF(I273="""",0,I273),
IF(K273="""",0,K273),
IF(M273="""",0,M273),
IF(O273="""",0,O273),
IF(Q273="""",0,Q273)
})"),"")</f>
        <v/>
      </c>
      <c r="V273" s="8" t="e">
        <f t="array" aca="1" ref="V273" ca="1">IF($C$4="Giao",_xludf.Xlookup(C273,#REF!,#REF!,),_xludf.Xlookup(C273,#REF!,#REF!,))</f>
        <v>#NAME?</v>
      </c>
      <c r="W273" s="8">
        <f t="array" ref="W273">IF($C$4="Giao", _xludf.Xlookup(C273,#REF!,#REF!,),)</f>
        <v>0</v>
      </c>
      <c r="X273" s="9">
        <f t="shared" si="6"/>
        <v>0</v>
      </c>
      <c r="Y273" s="7"/>
      <c r="Z273" s="7"/>
    </row>
    <row r="274" spans="1:26" ht="13" x14ac:dyDescent="0.6">
      <c r="A274" s="28" t="str">
        <f t="shared" si="5"/>
        <v/>
      </c>
      <c r="B274" s="7"/>
      <c r="C274" s="7"/>
      <c r="D274" s="9"/>
      <c r="E274" s="9"/>
      <c r="F274" s="9"/>
      <c r="G274" s="9"/>
      <c r="H274" s="9"/>
      <c r="I274" s="9"/>
      <c r="J274" s="9"/>
      <c r="K274" s="9"/>
      <c r="L274" s="9"/>
      <c r="M274" s="9"/>
      <c r="N274" s="9"/>
      <c r="O274" s="9"/>
      <c r="P274" s="29"/>
      <c r="Q274" s="29"/>
      <c r="R274" s="7"/>
      <c r="S274" s="7"/>
      <c r="T274" s="7" t="str">
        <f ca="1">IFERROR(__xludf.DUMMYFUNCTION("SPARKLINE({
IF(D274="""",0,D274),
IF(F274="""",0,F274),
IF(H274="""",0,H274),
IF(J274="""",0,J274),
IF(L274="""",0,L274),
IF(N274="""",0,N274),
IF(P274="""",0,P274)
})"),"")</f>
        <v/>
      </c>
      <c r="U274" s="7" t="str">
        <f ca="1">IFERROR(__xludf.DUMMYFUNCTION("SPARKLINE({
IF(E274="""",0,E274),
IF(G274="""",0,G274),
IF(I274="""",0,I274),
IF(K274="""",0,K274),
IF(M274="""",0,M274),
IF(O274="""",0,O274),
IF(Q274="""",0,Q274)
})"),"")</f>
        <v/>
      </c>
      <c r="V274" s="8" t="e">
        <f t="array" aca="1" ref="V274" ca="1">IF($C$4="Giao",_xludf.Xlookup(C274,#REF!,#REF!,),_xludf.Xlookup(C274,#REF!,#REF!,))</f>
        <v>#NAME?</v>
      </c>
      <c r="W274" s="8">
        <f t="array" ref="W274">IF($C$4="Giao", _xludf.Xlookup(C274,#REF!,#REF!,),)</f>
        <v>0</v>
      </c>
      <c r="X274" s="9">
        <f t="shared" si="6"/>
        <v>0</v>
      </c>
      <c r="Y274" s="7"/>
      <c r="Z274" s="7"/>
    </row>
    <row r="275" spans="1:26" ht="13" x14ac:dyDescent="0.6">
      <c r="A275" s="28" t="str">
        <f t="shared" si="5"/>
        <v/>
      </c>
      <c r="B275" s="7"/>
      <c r="C275" s="7"/>
      <c r="D275" s="9"/>
      <c r="E275" s="9"/>
      <c r="F275" s="9"/>
      <c r="G275" s="9"/>
      <c r="H275" s="9"/>
      <c r="I275" s="9"/>
      <c r="J275" s="9"/>
      <c r="K275" s="9"/>
      <c r="L275" s="9"/>
      <c r="M275" s="9"/>
      <c r="N275" s="9"/>
      <c r="O275" s="9"/>
      <c r="P275" s="29"/>
      <c r="Q275" s="29"/>
      <c r="R275" s="7"/>
      <c r="S275" s="7"/>
      <c r="T275" s="7" t="str">
        <f ca="1">IFERROR(__xludf.DUMMYFUNCTION("SPARKLINE({
IF(D275="""",0,D275),
IF(F275="""",0,F275),
IF(H275="""",0,H275),
IF(J275="""",0,J275),
IF(L275="""",0,L275),
IF(N275="""",0,N275),
IF(P275="""",0,P275)
})"),"")</f>
        <v/>
      </c>
      <c r="U275" s="7" t="str">
        <f ca="1">IFERROR(__xludf.DUMMYFUNCTION("SPARKLINE({
IF(E275="""",0,E275),
IF(G275="""",0,G275),
IF(I275="""",0,I275),
IF(K275="""",0,K275),
IF(M275="""",0,M275),
IF(O275="""",0,O275),
IF(Q275="""",0,Q275)
})"),"")</f>
        <v/>
      </c>
      <c r="V275" s="8" t="e">
        <f t="array" aca="1" ref="V275" ca="1">IF($C$4="Giao",_xludf.Xlookup(C275,#REF!,#REF!,),_xludf.Xlookup(C275,#REF!,#REF!,))</f>
        <v>#NAME?</v>
      </c>
      <c r="W275" s="8">
        <f t="array" ref="W275">IF($C$4="Giao", _xludf.Xlookup(C275,#REF!,#REF!,),)</f>
        <v>0</v>
      </c>
      <c r="X275" s="9">
        <f t="shared" si="6"/>
        <v>0</v>
      </c>
      <c r="Y275" s="7"/>
      <c r="Z275" s="7"/>
    </row>
    <row r="276" spans="1:26" ht="13" x14ac:dyDescent="0.6">
      <c r="A276" s="28" t="str">
        <f t="shared" si="5"/>
        <v/>
      </c>
      <c r="B276" s="7"/>
      <c r="C276" s="7"/>
      <c r="D276" s="9"/>
      <c r="E276" s="9"/>
      <c r="F276" s="9"/>
      <c r="G276" s="9"/>
      <c r="H276" s="9"/>
      <c r="I276" s="9"/>
      <c r="J276" s="9"/>
      <c r="K276" s="9"/>
      <c r="L276" s="9"/>
      <c r="M276" s="9"/>
      <c r="N276" s="9"/>
      <c r="O276" s="9"/>
      <c r="P276" s="29"/>
      <c r="Q276" s="29"/>
      <c r="R276" s="7"/>
      <c r="S276" s="7"/>
      <c r="T276" s="7" t="str">
        <f ca="1">IFERROR(__xludf.DUMMYFUNCTION("SPARKLINE({
IF(D276="""",0,D276),
IF(F276="""",0,F276),
IF(H276="""",0,H276),
IF(J276="""",0,J276),
IF(L276="""",0,L276),
IF(N276="""",0,N276),
IF(P276="""",0,P276)
})"),"")</f>
        <v/>
      </c>
      <c r="U276" s="7" t="str">
        <f ca="1">IFERROR(__xludf.DUMMYFUNCTION("SPARKLINE({
IF(E276="""",0,E276),
IF(G276="""",0,G276),
IF(I276="""",0,I276),
IF(K276="""",0,K276),
IF(M276="""",0,M276),
IF(O276="""",0,O276),
IF(Q276="""",0,Q276)
})"),"")</f>
        <v/>
      </c>
      <c r="V276" s="8" t="e">
        <f t="array" aca="1" ref="V276" ca="1">IF($C$4="Giao",_xludf.Xlookup(C276,#REF!,#REF!,),_xludf.Xlookup(C276,#REF!,#REF!,))</f>
        <v>#NAME?</v>
      </c>
      <c r="W276" s="8">
        <f t="array" ref="W276">IF($C$4="Giao", _xludf.Xlookup(C276,#REF!,#REF!,),)</f>
        <v>0</v>
      </c>
      <c r="X276" s="9">
        <f t="shared" si="6"/>
        <v>0</v>
      </c>
      <c r="Y276" s="7"/>
      <c r="Z276" s="7"/>
    </row>
    <row r="277" spans="1:26" ht="13" x14ac:dyDescent="0.6">
      <c r="A277" s="28" t="str">
        <f t="shared" si="5"/>
        <v/>
      </c>
      <c r="B277" s="7"/>
      <c r="C277" s="7"/>
      <c r="D277" s="9"/>
      <c r="E277" s="9"/>
      <c r="F277" s="9"/>
      <c r="G277" s="9"/>
      <c r="H277" s="9"/>
      <c r="I277" s="9"/>
      <c r="J277" s="9"/>
      <c r="K277" s="9"/>
      <c r="L277" s="9"/>
      <c r="M277" s="9"/>
      <c r="N277" s="9"/>
      <c r="O277" s="9"/>
      <c r="P277" s="29"/>
      <c r="Q277" s="29"/>
      <c r="R277" s="7"/>
      <c r="S277" s="7"/>
      <c r="T277" s="7" t="str">
        <f ca="1">IFERROR(__xludf.DUMMYFUNCTION("SPARKLINE({
IF(D277="""",0,D277),
IF(F277="""",0,F277),
IF(H277="""",0,H277),
IF(J277="""",0,J277),
IF(L277="""",0,L277),
IF(N277="""",0,N277),
IF(P277="""",0,P277)
})"),"")</f>
        <v/>
      </c>
      <c r="U277" s="7" t="str">
        <f ca="1">IFERROR(__xludf.DUMMYFUNCTION("SPARKLINE({
IF(E277="""",0,E277),
IF(G277="""",0,G277),
IF(I277="""",0,I277),
IF(K277="""",0,K277),
IF(M277="""",0,M277),
IF(O277="""",0,O277),
IF(Q277="""",0,Q277)
})"),"")</f>
        <v/>
      </c>
      <c r="V277" s="8" t="e">
        <f t="array" aca="1" ref="V277" ca="1">IF($C$4="Giao",_xludf.Xlookup(C277,#REF!,#REF!,),_xludf.Xlookup(C277,#REF!,#REF!,))</f>
        <v>#NAME?</v>
      </c>
      <c r="W277" s="8">
        <f t="array" ref="W277">IF($C$4="Giao", _xludf.Xlookup(C277,#REF!,#REF!,),)</f>
        <v>0</v>
      </c>
      <c r="X277" s="9">
        <f t="shared" si="6"/>
        <v>0</v>
      </c>
      <c r="Y277" s="7"/>
      <c r="Z277" s="7"/>
    </row>
    <row r="278" spans="1:26" ht="13" x14ac:dyDescent="0.6">
      <c r="A278" s="28" t="str">
        <f t="shared" si="5"/>
        <v/>
      </c>
      <c r="B278" s="7"/>
      <c r="C278" s="7"/>
      <c r="D278" s="9"/>
      <c r="E278" s="9"/>
      <c r="F278" s="9"/>
      <c r="G278" s="9"/>
      <c r="H278" s="9"/>
      <c r="I278" s="9"/>
      <c r="J278" s="9"/>
      <c r="K278" s="9"/>
      <c r="L278" s="9"/>
      <c r="M278" s="9"/>
      <c r="N278" s="9"/>
      <c r="O278" s="9"/>
      <c r="P278" s="29"/>
      <c r="Q278" s="29"/>
      <c r="R278" s="7"/>
      <c r="S278" s="7"/>
      <c r="T278" s="7" t="str">
        <f ca="1">IFERROR(__xludf.DUMMYFUNCTION("SPARKLINE({
IF(D278="""",0,D278),
IF(F278="""",0,F278),
IF(H278="""",0,H278),
IF(J278="""",0,J278),
IF(L278="""",0,L278),
IF(N278="""",0,N278),
IF(P278="""",0,P278)
})"),"")</f>
        <v/>
      </c>
      <c r="U278" s="7" t="str">
        <f ca="1">IFERROR(__xludf.DUMMYFUNCTION("SPARKLINE({
IF(E278="""",0,E278),
IF(G278="""",0,G278),
IF(I278="""",0,I278),
IF(K278="""",0,K278),
IF(M278="""",0,M278),
IF(O278="""",0,O278),
IF(Q278="""",0,Q278)
})"),"")</f>
        <v/>
      </c>
      <c r="V278" s="8" t="e">
        <f t="array" aca="1" ref="V278" ca="1">IF($C$4="Giao",_xludf.Xlookup(C278,#REF!,#REF!,),_xludf.Xlookup(C278,#REF!,#REF!,))</f>
        <v>#NAME?</v>
      </c>
      <c r="W278" s="8">
        <f t="array" ref="W278">IF($C$4="Giao", _xludf.Xlookup(C278,#REF!,#REF!,),)</f>
        <v>0</v>
      </c>
      <c r="X278" s="9">
        <f t="shared" si="6"/>
        <v>0</v>
      </c>
      <c r="Y278" s="7"/>
      <c r="Z278" s="7"/>
    </row>
    <row r="279" spans="1:26" ht="13" x14ac:dyDescent="0.6">
      <c r="A279" s="28" t="str">
        <f t="shared" si="5"/>
        <v/>
      </c>
      <c r="B279" s="7"/>
      <c r="C279" s="7"/>
      <c r="D279" s="9"/>
      <c r="E279" s="9"/>
      <c r="F279" s="9"/>
      <c r="G279" s="9"/>
      <c r="H279" s="9"/>
      <c r="I279" s="9"/>
      <c r="J279" s="9"/>
      <c r="K279" s="9"/>
      <c r="L279" s="9"/>
      <c r="M279" s="9"/>
      <c r="N279" s="9"/>
      <c r="O279" s="9"/>
      <c r="P279" s="29"/>
      <c r="Q279" s="29"/>
      <c r="R279" s="7"/>
      <c r="S279" s="7"/>
      <c r="T279" s="7" t="str">
        <f ca="1">IFERROR(__xludf.DUMMYFUNCTION("SPARKLINE({
IF(D279="""",0,D279),
IF(F279="""",0,F279),
IF(H279="""",0,H279),
IF(J279="""",0,J279),
IF(L279="""",0,L279),
IF(N279="""",0,N279),
IF(P279="""",0,P279)
})"),"")</f>
        <v/>
      </c>
      <c r="U279" s="7" t="str">
        <f ca="1">IFERROR(__xludf.DUMMYFUNCTION("SPARKLINE({
IF(E279="""",0,E279),
IF(G279="""",0,G279),
IF(I279="""",0,I279),
IF(K279="""",0,K279),
IF(M279="""",0,M279),
IF(O279="""",0,O279),
IF(Q279="""",0,Q279)
})"),"")</f>
        <v/>
      </c>
      <c r="V279" s="8" t="e">
        <f t="array" aca="1" ref="V279" ca="1">IF($C$4="Giao",_xludf.Xlookup(C279,#REF!,#REF!,),_xludf.Xlookup(C279,#REF!,#REF!,))</f>
        <v>#NAME?</v>
      </c>
      <c r="W279" s="8">
        <f t="array" ref="W279">IF($C$4="Giao", _xludf.Xlookup(C279,#REF!,#REF!,),)</f>
        <v>0</v>
      </c>
      <c r="X279" s="9">
        <f t="shared" si="6"/>
        <v>0</v>
      </c>
      <c r="Y279" s="7"/>
      <c r="Z279" s="7"/>
    </row>
    <row r="280" spans="1:26" ht="13" x14ac:dyDescent="0.6">
      <c r="A280" s="28" t="str">
        <f t="shared" si="5"/>
        <v/>
      </c>
      <c r="B280" s="7"/>
      <c r="C280" s="7"/>
      <c r="D280" s="9"/>
      <c r="E280" s="9"/>
      <c r="F280" s="9"/>
      <c r="G280" s="9"/>
      <c r="H280" s="9"/>
      <c r="I280" s="9"/>
      <c r="J280" s="9"/>
      <c r="K280" s="9"/>
      <c r="L280" s="9"/>
      <c r="M280" s="9"/>
      <c r="N280" s="9"/>
      <c r="O280" s="9"/>
      <c r="P280" s="29"/>
      <c r="Q280" s="29"/>
      <c r="R280" s="7"/>
      <c r="S280" s="7"/>
      <c r="T280" s="7" t="str">
        <f ca="1">IFERROR(__xludf.DUMMYFUNCTION("SPARKLINE({
IF(D280="""",0,D280),
IF(F280="""",0,F280),
IF(H280="""",0,H280),
IF(J280="""",0,J280),
IF(L280="""",0,L280),
IF(N280="""",0,N280),
IF(P280="""",0,P280)
})"),"")</f>
        <v/>
      </c>
      <c r="U280" s="7" t="str">
        <f ca="1">IFERROR(__xludf.DUMMYFUNCTION("SPARKLINE({
IF(E280="""",0,E280),
IF(G280="""",0,G280),
IF(I280="""",0,I280),
IF(K280="""",0,K280),
IF(M280="""",0,M280),
IF(O280="""",0,O280),
IF(Q280="""",0,Q280)
})"),"")</f>
        <v/>
      </c>
      <c r="V280" s="8" t="e">
        <f t="array" aca="1" ref="V280" ca="1">IF($C$4="Giao",_xludf.Xlookup(C280,#REF!,#REF!,),_xludf.Xlookup(C280,#REF!,#REF!,))</f>
        <v>#NAME?</v>
      </c>
      <c r="W280" s="8">
        <f t="array" ref="W280">IF($C$4="Giao", _xludf.Xlookup(C280,#REF!,#REF!,),)</f>
        <v>0</v>
      </c>
      <c r="X280" s="9">
        <f t="shared" si="6"/>
        <v>0</v>
      </c>
      <c r="Y280" s="7"/>
      <c r="Z280" s="7"/>
    </row>
    <row r="281" spans="1:26" ht="13" x14ac:dyDescent="0.6">
      <c r="A281" s="28" t="str">
        <f t="shared" si="5"/>
        <v/>
      </c>
      <c r="B281" s="7"/>
      <c r="C281" s="7"/>
      <c r="D281" s="9"/>
      <c r="E281" s="9"/>
      <c r="F281" s="9"/>
      <c r="G281" s="9"/>
      <c r="H281" s="9"/>
      <c r="I281" s="9"/>
      <c r="J281" s="9"/>
      <c r="K281" s="9"/>
      <c r="L281" s="9"/>
      <c r="M281" s="9"/>
      <c r="N281" s="9"/>
      <c r="O281" s="9"/>
      <c r="P281" s="29"/>
      <c r="Q281" s="29"/>
      <c r="R281" s="7"/>
      <c r="S281" s="7"/>
      <c r="T281" s="7" t="str">
        <f ca="1">IFERROR(__xludf.DUMMYFUNCTION("SPARKLINE({
IF(D281="""",0,D281),
IF(F281="""",0,F281),
IF(H281="""",0,H281),
IF(J281="""",0,J281),
IF(L281="""",0,L281),
IF(N281="""",0,N281),
IF(P281="""",0,P281)
})"),"")</f>
        <v/>
      </c>
      <c r="U281" s="7" t="str">
        <f ca="1">IFERROR(__xludf.DUMMYFUNCTION("SPARKLINE({
IF(E281="""",0,E281),
IF(G281="""",0,G281),
IF(I281="""",0,I281),
IF(K281="""",0,K281),
IF(M281="""",0,M281),
IF(O281="""",0,O281),
IF(Q281="""",0,Q281)
})"),"")</f>
        <v/>
      </c>
      <c r="V281" s="8" t="e">
        <f t="array" aca="1" ref="V281" ca="1">IF($C$4="Giao",_xludf.Xlookup(C281,#REF!,#REF!,),_xludf.Xlookup(C281,#REF!,#REF!,))</f>
        <v>#NAME?</v>
      </c>
      <c r="W281" s="8">
        <f t="array" ref="W281">IF($C$4="Giao", _xludf.Xlookup(C281,#REF!,#REF!,),)</f>
        <v>0</v>
      </c>
      <c r="X281" s="9">
        <f t="shared" si="6"/>
        <v>0</v>
      </c>
      <c r="Y281" s="7"/>
      <c r="Z281" s="7"/>
    </row>
    <row r="282" spans="1:26" ht="13" x14ac:dyDescent="0.6">
      <c r="A282" s="28" t="str">
        <f t="shared" si="5"/>
        <v/>
      </c>
      <c r="B282" s="7"/>
      <c r="C282" s="7"/>
      <c r="D282" s="9"/>
      <c r="E282" s="9"/>
      <c r="F282" s="9"/>
      <c r="G282" s="9"/>
      <c r="H282" s="9"/>
      <c r="I282" s="9"/>
      <c r="J282" s="9"/>
      <c r="K282" s="9"/>
      <c r="L282" s="9"/>
      <c r="M282" s="9"/>
      <c r="N282" s="9"/>
      <c r="O282" s="9"/>
      <c r="P282" s="29"/>
      <c r="Q282" s="29"/>
      <c r="R282" s="7"/>
      <c r="S282" s="7"/>
      <c r="T282" s="7" t="str">
        <f ca="1">IFERROR(__xludf.DUMMYFUNCTION("SPARKLINE({
IF(D282="""",0,D282),
IF(F282="""",0,F282),
IF(H282="""",0,H282),
IF(J282="""",0,J282),
IF(L282="""",0,L282),
IF(N282="""",0,N282),
IF(P282="""",0,P282)
})"),"")</f>
        <v/>
      </c>
      <c r="U282" s="7" t="str">
        <f ca="1">IFERROR(__xludf.DUMMYFUNCTION("SPARKLINE({
IF(E282="""",0,E282),
IF(G282="""",0,G282),
IF(I282="""",0,I282),
IF(K282="""",0,K282),
IF(M282="""",0,M282),
IF(O282="""",0,O282),
IF(Q282="""",0,Q282)
})"),"")</f>
        <v/>
      </c>
      <c r="V282" s="8" t="e">
        <f t="array" aca="1" ref="V282" ca="1">IF($C$4="Giao",_xludf.Xlookup(C282,#REF!,#REF!,),_xludf.Xlookup(C282,#REF!,#REF!,))</f>
        <v>#NAME?</v>
      </c>
      <c r="W282" s="8">
        <f t="array" ref="W282">IF($C$4="Giao", _xludf.Xlookup(C282,#REF!,#REF!,),)</f>
        <v>0</v>
      </c>
      <c r="X282" s="9">
        <f t="shared" si="6"/>
        <v>0</v>
      </c>
      <c r="Y282" s="7"/>
      <c r="Z282" s="7"/>
    </row>
    <row r="283" spans="1:26" ht="13" x14ac:dyDescent="0.6">
      <c r="A283" s="28" t="str">
        <f t="shared" si="5"/>
        <v/>
      </c>
      <c r="B283" s="7"/>
      <c r="C283" s="7"/>
      <c r="D283" s="9"/>
      <c r="E283" s="9"/>
      <c r="F283" s="9"/>
      <c r="G283" s="9"/>
      <c r="H283" s="9"/>
      <c r="I283" s="9"/>
      <c r="J283" s="9"/>
      <c r="K283" s="9"/>
      <c r="L283" s="9"/>
      <c r="M283" s="9"/>
      <c r="N283" s="9"/>
      <c r="O283" s="9"/>
      <c r="P283" s="29"/>
      <c r="Q283" s="29"/>
      <c r="R283" s="7"/>
      <c r="S283" s="7"/>
      <c r="T283" s="7" t="str">
        <f ca="1">IFERROR(__xludf.DUMMYFUNCTION("SPARKLINE({
IF(D283="""",0,D283),
IF(F283="""",0,F283),
IF(H283="""",0,H283),
IF(J283="""",0,J283),
IF(L283="""",0,L283),
IF(N283="""",0,N283),
IF(P283="""",0,P283)
})"),"")</f>
        <v/>
      </c>
      <c r="U283" s="7" t="str">
        <f ca="1">IFERROR(__xludf.DUMMYFUNCTION("SPARKLINE({
IF(E283="""",0,E283),
IF(G283="""",0,G283),
IF(I283="""",0,I283),
IF(K283="""",0,K283),
IF(M283="""",0,M283),
IF(O283="""",0,O283),
IF(Q283="""",0,Q283)
})"),"")</f>
        <v/>
      </c>
      <c r="V283" s="8" t="e">
        <f t="array" aca="1" ref="V283" ca="1">IF($C$4="Giao",_xludf.Xlookup(C283,#REF!,#REF!,),_xludf.Xlookup(C283,#REF!,#REF!,))</f>
        <v>#NAME?</v>
      </c>
      <c r="W283" s="8">
        <f t="array" ref="W283">IF($C$4="Giao", _xludf.Xlookup(C283,#REF!,#REF!,),)</f>
        <v>0</v>
      </c>
      <c r="X283" s="9">
        <f t="shared" si="6"/>
        <v>0</v>
      </c>
      <c r="Y283" s="7"/>
      <c r="Z283" s="7"/>
    </row>
    <row r="284" spans="1:26" ht="13" x14ac:dyDescent="0.6">
      <c r="A284" s="28" t="str">
        <f t="shared" si="5"/>
        <v/>
      </c>
      <c r="B284" s="7"/>
      <c r="C284" s="7"/>
      <c r="D284" s="9"/>
      <c r="E284" s="9"/>
      <c r="F284" s="9"/>
      <c r="G284" s="9"/>
      <c r="H284" s="9"/>
      <c r="I284" s="9"/>
      <c r="J284" s="9"/>
      <c r="K284" s="9"/>
      <c r="L284" s="9"/>
      <c r="M284" s="9"/>
      <c r="N284" s="9"/>
      <c r="O284" s="9"/>
      <c r="P284" s="29"/>
      <c r="Q284" s="29"/>
      <c r="R284" s="7"/>
      <c r="S284" s="7"/>
      <c r="T284" s="7" t="str">
        <f ca="1">IFERROR(__xludf.DUMMYFUNCTION("SPARKLINE({
IF(D284="""",0,D284),
IF(F284="""",0,F284),
IF(H284="""",0,H284),
IF(J284="""",0,J284),
IF(L284="""",0,L284),
IF(N284="""",0,N284),
IF(P284="""",0,P284)
})"),"")</f>
        <v/>
      </c>
      <c r="U284" s="7" t="str">
        <f ca="1">IFERROR(__xludf.DUMMYFUNCTION("SPARKLINE({
IF(E284="""",0,E284),
IF(G284="""",0,G284),
IF(I284="""",0,I284),
IF(K284="""",0,K284),
IF(M284="""",0,M284),
IF(O284="""",0,O284),
IF(Q284="""",0,Q284)
})"),"")</f>
        <v/>
      </c>
      <c r="V284" s="8" t="e">
        <f t="array" aca="1" ref="V284" ca="1">IF($C$4="Giao",_xludf.Xlookup(C284,#REF!,#REF!,),_xludf.Xlookup(C284,#REF!,#REF!,))</f>
        <v>#NAME?</v>
      </c>
      <c r="W284" s="8">
        <f t="array" ref="W284">IF($C$4="Giao", _xludf.Xlookup(C284,#REF!,#REF!,),)</f>
        <v>0</v>
      </c>
      <c r="X284" s="9">
        <f t="shared" si="6"/>
        <v>0</v>
      </c>
      <c r="Y284" s="7"/>
      <c r="Z284" s="7"/>
    </row>
    <row r="285" spans="1:26" ht="13" x14ac:dyDescent="0.6">
      <c r="A285" s="28" t="str">
        <f t="shared" si="5"/>
        <v/>
      </c>
      <c r="B285" s="7"/>
      <c r="C285" s="7"/>
      <c r="D285" s="9"/>
      <c r="E285" s="9"/>
      <c r="F285" s="9"/>
      <c r="G285" s="9"/>
      <c r="H285" s="9"/>
      <c r="I285" s="9"/>
      <c r="J285" s="9"/>
      <c r="K285" s="9"/>
      <c r="L285" s="9"/>
      <c r="M285" s="9"/>
      <c r="N285" s="9"/>
      <c r="O285" s="9"/>
      <c r="P285" s="29"/>
      <c r="Q285" s="29"/>
      <c r="R285" s="7"/>
      <c r="S285" s="7"/>
      <c r="T285" s="7" t="str">
        <f ca="1">IFERROR(__xludf.DUMMYFUNCTION("SPARKLINE({
IF(D285="""",0,D285),
IF(F285="""",0,F285),
IF(H285="""",0,H285),
IF(J285="""",0,J285),
IF(L285="""",0,L285),
IF(N285="""",0,N285),
IF(P285="""",0,P285)
})"),"")</f>
        <v/>
      </c>
      <c r="U285" s="7" t="str">
        <f ca="1">IFERROR(__xludf.DUMMYFUNCTION("SPARKLINE({
IF(E285="""",0,E285),
IF(G285="""",0,G285),
IF(I285="""",0,I285),
IF(K285="""",0,K285),
IF(M285="""",0,M285),
IF(O285="""",0,O285),
IF(Q285="""",0,Q285)
})"),"")</f>
        <v/>
      </c>
      <c r="V285" s="8" t="e">
        <f t="array" aca="1" ref="V285" ca="1">IF($C$4="Giao",_xludf.Xlookup(C285,#REF!,#REF!,),_xludf.Xlookup(C285,#REF!,#REF!,))</f>
        <v>#NAME?</v>
      </c>
      <c r="W285" s="8">
        <f t="array" ref="W285">IF($C$4="Giao", _xludf.Xlookup(C285,#REF!,#REF!,),)</f>
        <v>0</v>
      </c>
      <c r="X285" s="9">
        <f t="shared" si="6"/>
        <v>0</v>
      </c>
      <c r="Y285" s="7"/>
      <c r="Z285" s="7"/>
    </row>
    <row r="286" spans="1:26" ht="13" x14ac:dyDescent="0.6">
      <c r="A286" s="28" t="str">
        <f t="shared" si="5"/>
        <v/>
      </c>
      <c r="B286" s="7"/>
      <c r="C286" s="7"/>
      <c r="D286" s="9"/>
      <c r="E286" s="9"/>
      <c r="F286" s="9"/>
      <c r="G286" s="9"/>
      <c r="H286" s="9"/>
      <c r="I286" s="9"/>
      <c r="J286" s="9"/>
      <c r="K286" s="9"/>
      <c r="L286" s="9"/>
      <c r="M286" s="9"/>
      <c r="N286" s="9"/>
      <c r="O286" s="9"/>
      <c r="P286" s="29"/>
      <c r="Q286" s="29"/>
      <c r="R286" s="7"/>
      <c r="S286" s="7"/>
      <c r="T286" s="7" t="str">
        <f ca="1">IFERROR(__xludf.DUMMYFUNCTION("SPARKLINE({
IF(D286="""",0,D286),
IF(F286="""",0,F286),
IF(H286="""",0,H286),
IF(J286="""",0,J286),
IF(L286="""",0,L286),
IF(N286="""",0,N286),
IF(P286="""",0,P286)
})"),"")</f>
        <v/>
      </c>
      <c r="U286" s="7" t="str">
        <f ca="1">IFERROR(__xludf.DUMMYFUNCTION("SPARKLINE({
IF(E286="""",0,E286),
IF(G286="""",0,G286),
IF(I286="""",0,I286),
IF(K286="""",0,K286),
IF(M286="""",0,M286),
IF(O286="""",0,O286),
IF(Q286="""",0,Q286)
})"),"")</f>
        <v/>
      </c>
      <c r="V286" s="8" t="e">
        <f t="array" aca="1" ref="V286" ca="1">IF($C$4="Giao",_xludf.Xlookup(C286,#REF!,#REF!,),_xludf.Xlookup(C286,#REF!,#REF!,))</f>
        <v>#NAME?</v>
      </c>
      <c r="W286" s="8">
        <f t="array" ref="W286">IF($C$4="Giao", _xludf.Xlookup(C286,#REF!,#REF!,),)</f>
        <v>0</v>
      </c>
      <c r="X286" s="9">
        <f t="shared" si="6"/>
        <v>0</v>
      </c>
      <c r="Y286" s="7"/>
      <c r="Z286" s="7"/>
    </row>
    <row r="287" spans="1:26" ht="13" x14ac:dyDescent="0.6">
      <c r="A287" s="28" t="str">
        <f t="shared" si="5"/>
        <v/>
      </c>
      <c r="B287" s="7"/>
      <c r="C287" s="7"/>
      <c r="D287" s="9"/>
      <c r="E287" s="9"/>
      <c r="F287" s="9"/>
      <c r="G287" s="9"/>
      <c r="H287" s="9"/>
      <c r="I287" s="9"/>
      <c r="J287" s="9"/>
      <c r="K287" s="9"/>
      <c r="L287" s="9"/>
      <c r="M287" s="9"/>
      <c r="N287" s="9"/>
      <c r="O287" s="9"/>
      <c r="P287" s="29"/>
      <c r="Q287" s="29"/>
      <c r="R287" s="7"/>
      <c r="S287" s="7"/>
      <c r="T287" s="7" t="str">
        <f ca="1">IFERROR(__xludf.DUMMYFUNCTION("SPARKLINE({
IF(D287="""",0,D287),
IF(F287="""",0,F287),
IF(H287="""",0,H287),
IF(J287="""",0,J287),
IF(L287="""",0,L287),
IF(N287="""",0,N287),
IF(P287="""",0,P287)
})"),"")</f>
        <v/>
      </c>
      <c r="U287" s="7" t="str">
        <f ca="1">IFERROR(__xludf.DUMMYFUNCTION("SPARKLINE({
IF(E287="""",0,E287),
IF(G287="""",0,G287),
IF(I287="""",0,I287),
IF(K287="""",0,K287),
IF(M287="""",0,M287),
IF(O287="""",0,O287),
IF(Q287="""",0,Q287)
})"),"")</f>
        <v/>
      </c>
      <c r="V287" s="8" t="e">
        <f t="array" aca="1" ref="V287" ca="1">IF($C$4="Giao",_xludf.Xlookup(C287,#REF!,#REF!,),_xludf.Xlookup(C287,#REF!,#REF!,))</f>
        <v>#NAME?</v>
      </c>
      <c r="W287" s="8">
        <f t="array" ref="W287">IF($C$4="Giao", _xludf.Xlookup(C287,#REF!,#REF!,),)</f>
        <v>0</v>
      </c>
      <c r="X287" s="9">
        <f t="shared" si="6"/>
        <v>0</v>
      </c>
      <c r="Y287" s="7"/>
      <c r="Z287" s="7"/>
    </row>
    <row r="288" spans="1:26" ht="13" x14ac:dyDescent="0.6">
      <c r="A288" s="28" t="str">
        <f t="shared" si="5"/>
        <v/>
      </c>
      <c r="B288" s="7"/>
      <c r="C288" s="7"/>
      <c r="D288" s="9"/>
      <c r="E288" s="9"/>
      <c r="F288" s="9"/>
      <c r="G288" s="9"/>
      <c r="H288" s="9"/>
      <c r="I288" s="9"/>
      <c r="J288" s="9"/>
      <c r="K288" s="9"/>
      <c r="L288" s="9"/>
      <c r="M288" s="9"/>
      <c r="N288" s="9"/>
      <c r="O288" s="9"/>
      <c r="P288" s="29"/>
      <c r="Q288" s="29"/>
      <c r="R288" s="7"/>
      <c r="S288" s="7"/>
      <c r="T288" s="7" t="str">
        <f ca="1">IFERROR(__xludf.DUMMYFUNCTION("SPARKLINE({
IF(D288="""",0,D288),
IF(F288="""",0,F288),
IF(H288="""",0,H288),
IF(J288="""",0,J288),
IF(L288="""",0,L288),
IF(N288="""",0,N288),
IF(P288="""",0,P288)
})"),"")</f>
        <v/>
      </c>
      <c r="U288" s="7" t="str">
        <f ca="1">IFERROR(__xludf.DUMMYFUNCTION("SPARKLINE({
IF(E288="""",0,E288),
IF(G288="""",0,G288),
IF(I288="""",0,I288),
IF(K288="""",0,K288),
IF(M288="""",0,M288),
IF(O288="""",0,O288),
IF(Q288="""",0,Q288)
})"),"")</f>
        <v/>
      </c>
      <c r="V288" s="8" t="e">
        <f t="array" aca="1" ref="V288" ca="1">IF($C$4="Giao",_xludf.Xlookup(C288,#REF!,#REF!,),_xludf.Xlookup(C288,#REF!,#REF!,))</f>
        <v>#NAME?</v>
      </c>
      <c r="W288" s="8">
        <f t="array" ref="W288">IF($C$4="Giao", _xludf.Xlookup(C288,#REF!,#REF!,),)</f>
        <v>0</v>
      </c>
      <c r="X288" s="9">
        <f t="shared" si="6"/>
        <v>0</v>
      </c>
      <c r="Y288" s="7"/>
      <c r="Z288" s="7"/>
    </row>
    <row r="289" spans="1:26" ht="13" x14ac:dyDescent="0.6">
      <c r="A289" s="28" t="str">
        <f t="shared" si="5"/>
        <v/>
      </c>
      <c r="B289" s="7"/>
      <c r="C289" s="7"/>
      <c r="D289" s="9"/>
      <c r="E289" s="9"/>
      <c r="F289" s="9"/>
      <c r="G289" s="9"/>
      <c r="H289" s="9"/>
      <c r="I289" s="9"/>
      <c r="J289" s="9"/>
      <c r="K289" s="9"/>
      <c r="L289" s="9"/>
      <c r="M289" s="9"/>
      <c r="N289" s="9"/>
      <c r="O289" s="9"/>
      <c r="P289" s="29"/>
      <c r="Q289" s="29"/>
      <c r="R289" s="7"/>
      <c r="S289" s="7"/>
      <c r="T289" s="7" t="str">
        <f ca="1">IFERROR(__xludf.DUMMYFUNCTION("SPARKLINE({
IF(D289="""",0,D289),
IF(F289="""",0,F289),
IF(H289="""",0,H289),
IF(J289="""",0,J289),
IF(L289="""",0,L289),
IF(N289="""",0,N289),
IF(P289="""",0,P289)
})"),"")</f>
        <v/>
      </c>
      <c r="U289" s="7" t="str">
        <f ca="1">IFERROR(__xludf.DUMMYFUNCTION("SPARKLINE({
IF(E289="""",0,E289),
IF(G289="""",0,G289),
IF(I289="""",0,I289),
IF(K289="""",0,K289),
IF(M289="""",0,M289),
IF(O289="""",0,O289),
IF(Q289="""",0,Q289)
})"),"")</f>
        <v/>
      </c>
      <c r="V289" s="8" t="e">
        <f t="array" aca="1" ref="V289" ca="1">IF($C$4="Giao",_xludf.Xlookup(C289,#REF!,#REF!,),_xludf.Xlookup(C289,#REF!,#REF!,))</f>
        <v>#NAME?</v>
      </c>
      <c r="W289" s="8">
        <f t="array" ref="W289">IF($C$4="Giao", _xludf.Xlookup(C289,#REF!,#REF!,),)</f>
        <v>0</v>
      </c>
      <c r="X289" s="9">
        <f t="shared" si="6"/>
        <v>0</v>
      </c>
      <c r="Y289" s="7"/>
      <c r="Z289" s="7"/>
    </row>
    <row r="290" spans="1:26" ht="13" x14ac:dyDescent="0.6">
      <c r="A290" s="28" t="str">
        <f t="shared" si="5"/>
        <v/>
      </c>
      <c r="B290" s="7"/>
      <c r="C290" s="7"/>
      <c r="D290" s="9"/>
      <c r="E290" s="9"/>
      <c r="F290" s="9"/>
      <c r="G290" s="9"/>
      <c r="H290" s="9"/>
      <c r="I290" s="9"/>
      <c r="J290" s="9"/>
      <c r="K290" s="9"/>
      <c r="L290" s="9"/>
      <c r="M290" s="9"/>
      <c r="N290" s="9"/>
      <c r="O290" s="9"/>
      <c r="P290" s="29"/>
      <c r="Q290" s="29"/>
      <c r="R290" s="7"/>
      <c r="S290" s="7"/>
      <c r="T290" s="7" t="str">
        <f ca="1">IFERROR(__xludf.DUMMYFUNCTION("SPARKLINE({
IF(D290="""",0,D290),
IF(F290="""",0,F290),
IF(H290="""",0,H290),
IF(J290="""",0,J290),
IF(L290="""",0,L290),
IF(N290="""",0,N290),
IF(P290="""",0,P290)
})"),"")</f>
        <v/>
      </c>
      <c r="U290" s="7" t="str">
        <f ca="1">IFERROR(__xludf.DUMMYFUNCTION("SPARKLINE({
IF(E290="""",0,E290),
IF(G290="""",0,G290),
IF(I290="""",0,I290),
IF(K290="""",0,K290),
IF(M290="""",0,M290),
IF(O290="""",0,O290),
IF(Q290="""",0,Q290)
})"),"")</f>
        <v/>
      </c>
      <c r="V290" s="8" t="e">
        <f t="array" aca="1" ref="V290" ca="1">IF($C$4="Giao",_xludf.Xlookup(C290,#REF!,#REF!,),_xludf.Xlookup(C290,#REF!,#REF!,))</f>
        <v>#NAME?</v>
      </c>
      <c r="W290" s="8">
        <f t="array" ref="W290">IF($C$4="Giao", _xludf.Xlookup(C290,#REF!,#REF!,),)</f>
        <v>0</v>
      </c>
      <c r="X290" s="9">
        <f t="shared" si="6"/>
        <v>0</v>
      </c>
      <c r="Y290" s="7"/>
      <c r="Z290" s="7"/>
    </row>
    <row r="291" spans="1:26" ht="13" x14ac:dyDescent="0.6">
      <c r="A291" s="28" t="str">
        <f t="shared" si="5"/>
        <v/>
      </c>
      <c r="B291" s="7"/>
      <c r="C291" s="7"/>
      <c r="D291" s="9"/>
      <c r="E291" s="9"/>
      <c r="F291" s="9"/>
      <c r="G291" s="9"/>
      <c r="H291" s="9"/>
      <c r="I291" s="9"/>
      <c r="J291" s="9"/>
      <c r="K291" s="9"/>
      <c r="L291" s="9"/>
      <c r="M291" s="9"/>
      <c r="N291" s="9"/>
      <c r="O291" s="9"/>
      <c r="P291" s="29"/>
      <c r="Q291" s="29"/>
      <c r="R291" s="7"/>
      <c r="S291" s="7"/>
      <c r="T291" s="7" t="str">
        <f ca="1">IFERROR(__xludf.DUMMYFUNCTION("SPARKLINE({
IF(D291="""",0,D291),
IF(F291="""",0,F291),
IF(H291="""",0,H291),
IF(J291="""",0,J291),
IF(L291="""",0,L291),
IF(N291="""",0,N291),
IF(P291="""",0,P291)
})"),"")</f>
        <v/>
      </c>
      <c r="U291" s="7" t="str">
        <f ca="1">IFERROR(__xludf.DUMMYFUNCTION("SPARKLINE({
IF(E291="""",0,E291),
IF(G291="""",0,G291),
IF(I291="""",0,I291),
IF(K291="""",0,K291),
IF(M291="""",0,M291),
IF(O291="""",0,O291),
IF(Q291="""",0,Q291)
})"),"")</f>
        <v/>
      </c>
      <c r="V291" s="8" t="e">
        <f t="array" aca="1" ref="V291" ca="1">IF($C$4="Giao",_xludf.Xlookup(C291,#REF!,#REF!,),_xludf.Xlookup(C291,#REF!,#REF!,))</f>
        <v>#NAME?</v>
      </c>
      <c r="W291" s="8">
        <f t="array" ref="W291">IF($C$4="Giao", _xludf.Xlookup(C291,#REF!,#REF!,),)</f>
        <v>0</v>
      </c>
      <c r="X291" s="9">
        <f t="shared" si="6"/>
        <v>0</v>
      </c>
      <c r="Y291" s="7"/>
      <c r="Z291" s="7"/>
    </row>
    <row r="292" spans="1:26" ht="13" x14ac:dyDescent="0.6">
      <c r="A292" s="28" t="str">
        <f t="shared" si="5"/>
        <v/>
      </c>
      <c r="B292" s="7"/>
      <c r="C292" s="7"/>
      <c r="D292" s="9"/>
      <c r="E292" s="9"/>
      <c r="F292" s="9"/>
      <c r="G292" s="9"/>
      <c r="H292" s="9"/>
      <c r="I292" s="9"/>
      <c r="J292" s="9"/>
      <c r="K292" s="9"/>
      <c r="L292" s="9"/>
      <c r="M292" s="9"/>
      <c r="N292" s="9"/>
      <c r="O292" s="9"/>
      <c r="P292" s="29"/>
      <c r="Q292" s="29"/>
      <c r="R292" s="7"/>
      <c r="S292" s="7"/>
      <c r="T292" s="7" t="str">
        <f ca="1">IFERROR(__xludf.DUMMYFUNCTION("SPARKLINE({
IF(D292="""",0,D292),
IF(F292="""",0,F292),
IF(H292="""",0,H292),
IF(J292="""",0,J292),
IF(L292="""",0,L292),
IF(N292="""",0,N292),
IF(P292="""",0,P292)
})"),"")</f>
        <v/>
      </c>
      <c r="U292" s="7" t="str">
        <f ca="1">IFERROR(__xludf.DUMMYFUNCTION("SPARKLINE({
IF(E292="""",0,E292),
IF(G292="""",0,G292),
IF(I292="""",0,I292),
IF(K292="""",0,K292),
IF(M292="""",0,M292),
IF(O292="""",0,O292),
IF(Q292="""",0,Q292)
})"),"")</f>
        <v/>
      </c>
      <c r="V292" s="8" t="e">
        <f t="array" aca="1" ref="V292" ca="1">IF($C$4="Giao",_xludf.Xlookup(C292,#REF!,#REF!,),_xludf.Xlookup(C292,#REF!,#REF!,))</f>
        <v>#NAME?</v>
      </c>
      <c r="W292" s="8">
        <f t="array" ref="W292">IF($C$4="Giao", _xludf.Xlookup(C292,#REF!,#REF!,),)</f>
        <v>0</v>
      </c>
      <c r="X292" s="9">
        <f t="shared" si="6"/>
        <v>0</v>
      </c>
      <c r="Y292" s="7"/>
      <c r="Z292" s="7"/>
    </row>
    <row r="293" spans="1:26" ht="13" x14ac:dyDescent="0.6">
      <c r="A293" s="28" t="str">
        <f t="shared" si="5"/>
        <v/>
      </c>
      <c r="B293" s="7"/>
      <c r="C293" s="7"/>
      <c r="D293" s="9"/>
      <c r="E293" s="9"/>
      <c r="F293" s="9"/>
      <c r="G293" s="9"/>
      <c r="H293" s="9"/>
      <c r="I293" s="9"/>
      <c r="J293" s="9"/>
      <c r="K293" s="9"/>
      <c r="L293" s="9"/>
      <c r="M293" s="9"/>
      <c r="N293" s="9"/>
      <c r="O293" s="9"/>
      <c r="P293" s="29"/>
      <c r="Q293" s="29"/>
      <c r="R293" s="7"/>
      <c r="S293" s="7"/>
      <c r="T293" s="7" t="str">
        <f ca="1">IFERROR(__xludf.DUMMYFUNCTION("SPARKLINE({
IF(D293="""",0,D293),
IF(F293="""",0,F293),
IF(H293="""",0,H293),
IF(J293="""",0,J293),
IF(L293="""",0,L293),
IF(N293="""",0,N293),
IF(P293="""",0,P293)
})"),"")</f>
        <v/>
      </c>
      <c r="U293" s="7" t="str">
        <f ca="1">IFERROR(__xludf.DUMMYFUNCTION("SPARKLINE({
IF(E293="""",0,E293),
IF(G293="""",0,G293),
IF(I293="""",0,I293),
IF(K293="""",0,K293),
IF(M293="""",0,M293),
IF(O293="""",0,O293),
IF(Q293="""",0,Q293)
})"),"")</f>
        <v/>
      </c>
      <c r="V293" s="8" t="e">
        <f t="array" aca="1" ref="V293" ca="1">IF($C$4="Giao",_xludf.Xlookup(C293,#REF!,#REF!,),_xludf.Xlookup(C293,#REF!,#REF!,))</f>
        <v>#NAME?</v>
      </c>
      <c r="W293" s="8">
        <f t="array" ref="W293">IF($C$4="Giao", _xludf.Xlookup(C293,#REF!,#REF!,),)</f>
        <v>0</v>
      </c>
      <c r="X293" s="9">
        <f t="shared" si="6"/>
        <v>0</v>
      </c>
      <c r="Y293" s="7"/>
      <c r="Z293" s="7"/>
    </row>
    <row r="294" spans="1:26" ht="13" x14ac:dyDescent="0.6">
      <c r="A294" s="28" t="str">
        <f t="shared" si="5"/>
        <v/>
      </c>
      <c r="B294" s="7"/>
      <c r="C294" s="7"/>
      <c r="D294" s="9"/>
      <c r="E294" s="9"/>
      <c r="F294" s="9"/>
      <c r="G294" s="9"/>
      <c r="H294" s="9"/>
      <c r="I294" s="9"/>
      <c r="J294" s="9"/>
      <c r="K294" s="9"/>
      <c r="L294" s="9"/>
      <c r="M294" s="9"/>
      <c r="N294" s="9"/>
      <c r="O294" s="9"/>
      <c r="P294" s="29"/>
      <c r="Q294" s="29"/>
      <c r="R294" s="7"/>
      <c r="S294" s="7"/>
      <c r="T294" s="7" t="str">
        <f ca="1">IFERROR(__xludf.DUMMYFUNCTION("SPARKLINE({
IF(D294="""",0,D294),
IF(F294="""",0,F294),
IF(H294="""",0,H294),
IF(J294="""",0,J294),
IF(L294="""",0,L294),
IF(N294="""",0,N294),
IF(P294="""",0,P294)
})"),"")</f>
        <v/>
      </c>
      <c r="U294" s="7" t="str">
        <f ca="1">IFERROR(__xludf.DUMMYFUNCTION("SPARKLINE({
IF(E294="""",0,E294),
IF(G294="""",0,G294),
IF(I294="""",0,I294),
IF(K294="""",0,K294),
IF(M294="""",0,M294),
IF(O294="""",0,O294),
IF(Q294="""",0,Q294)
})"),"")</f>
        <v/>
      </c>
      <c r="V294" s="8" t="e">
        <f t="array" aca="1" ref="V294" ca="1">IF($C$4="Giao",_xludf.Xlookup(C294,#REF!,#REF!,),_xludf.Xlookup(C294,#REF!,#REF!,))</f>
        <v>#NAME?</v>
      </c>
      <c r="W294" s="8">
        <f t="array" ref="W294">IF($C$4="Giao", _xludf.Xlookup(C294,#REF!,#REF!,),)</f>
        <v>0</v>
      </c>
      <c r="X294" s="9">
        <f t="shared" si="6"/>
        <v>0</v>
      </c>
      <c r="Y294" s="7"/>
      <c r="Z294" s="7"/>
    </row>
    <row r="295" spans="1:26" ht="13" x14ac:dyDescent="0.6">
      <c r="A295" s="28" t="str">
        <f t="shared" si="5"/>
        <v/>
      </c>
      <c r="B295" s="7"/>
      <c r="C295" s="7"/>
      <c r="D295" s="9"/>
      <c r="E295" s="9"/>
      <c r="F295" s="9"/>
      <c r="G295" s="9"/>
      <c r="H295" s="9"/>
      <c r="I295" s="9"/>
      <c r="J295" s="9"/>
      <c r="K295" s="9"/>
      <c r="L295" s="9"/>
      <c r="M295" s="9"/>
      <c r="N295" s="9"/>
      <c r="O295" s="9"/>
      <c r="P295" s="29"/>
      <c r="Q295" s="29"/>
      <c r="R295" s="7"/>
      <c r="S295" s="7"/>
      <c r="T295" s="7" t="str">
        <f ca="1">IFERROR(__xludf.DUMMYFUNCTION("SPARKLINE({
IF(D295="""",0,D295),
IF(F295="""",0,F295),
IF(H295="""",0,H295),
IF(J295="""",0,J295),
IF(L295="""",0,L295),
IF(N295="""",0,N295),
IF(P295="""",0,P295)
})"),"")</f>
        <v/>
      </c>
      <c r="U295" s="7" t="str">
        <f ca="1">IFERROR(__xludf.DUMMYFUNCTION("SPARKLINE({
IF(E295="""",0,E295),
IF(G295="""",0,G295),
IF(I295="""",0,I295),
IF(K295="""",0,K295),
IF(M295="""",0,M295),
IF(O295="""",0,O295),
IF(Q295="""",0,Q295)
})"),"")</f>
        <v/>
      </c>
      <c r="V295" s="8" t="e">
        <f t="array" aca="1" ref="V295" ca="1">IF($C$4="Giao",_xludf.Xlookup(C295,#REF!,#REF!,),_xludf.Xlookup(C295,#REF!,#REF!,))</f>
        <v>#NAME?</v>
      </c>
      <c r="W295" s="8">
        <f t="array" ref="W295">IF($C$4="Giao", _xludf.Xlookup(C295,#REF!,#REF!,),)</f>
        <v>0</v>
      </c>
      <c r="X295" s="9">
        <f t="shared" si="6"/>
        <v>0</v>
      </c>
      <c r="Y295" s="7"/>
      <c r="Z295" s="7"/>
    </row>
    <row r="296" spans="1:26" ht="13" x14ac:dyDescent="0.6">
      <c r="A296" s="28" t="str">
        <f t="shared" si="5"/>
        <v/>
      </c>
      <c r="B296" s="7"/>
      <c r="C296" s="7"/>
      <c r="D296" s="9"/>
      <c r="E296" s="9"/>
      <c r="F296" s="9"/>
      <c r="G296" s="9"/>
      <c r="H296" s="9"/>
      <c r="I296" s="9"/>
      <c r="J296" s="9"/>
      <c r="K296" s="9"/>
      <c r="L296" s="9"/>
      <c r="M296" s="9"/>
      <c r="N296" s="9"/>
      <c r="O296" s="9"/>
      <c r="P296" s="29"/>
      <c r="Q296" s="29"/>
      <c r="R296" s="7"/>
      <c r="S296" s="7"/>
      <c r="T296" s="7" t="str">
        <f ca="1">IFERROR(__xludf.DUMMYFUNCTION("SPARKLINE({
IF(D296="""",0,D296),
IF(F296="""",0,F296),
IF(H296="""",0,H296),
IF(J296="""",0,J296),
IF(L296="""",0,L296),
IF(N296="""",0,N296),
IF(P296="""",0,P296)
})"),"")</f>
        <v/>
      </c>
      <c r="U296" s="7" t="str">
        <f ca="1">IFERROR(__xludf.DUMMYFUNCTION("SPARKLINE({
IF(E296="""",0,E296),
IF(G296="""",0,G296),
IF(I296="""",0,I296),
IF(K296="""",0,K296),
IF(M296="""",0,M296),
IF(O296="""",0,O296),
IF(Q296="""",0,Q296)
})"),"")</f>
        <v/>
      </c>
      <c r="V296" s="8" t="e">
        <f t="array" aca="1" ref="V296" ca="1">IF($C$4="Giao",_xludf.Xlookup(C296,#REF!,#REF!,),_xludf.Xlookup(C296,#REF!,#REF!,))</f>
        <v>#NAME?</v>
      </c>
      <c r="W296" s="8">
        <f t="array" ref="W296">IF($C$4="Giao", _xludf.Xlookup(C296,#REF!,#REF!,),)</f>
        <v>0</v>
      </c>
      <c r="X296" s="9">
        <f t="shared" si="6"/>
        <v>0</v>
      </c>
      <c r="Y296" s="7"/>
      <c r="Z296" s="7"/>
    </row>
    <row r="297" spans="1:26" ht="13" x14ac:dyDescent="0.6">
      <c r="A297" s="28" t="str">
        <f t="shared" si="5"/>
        <v/>
      </c>
      <c r="B297" s="7"/>
      <c r="C297" s="7"/>
      <c r="D297" s="9"/>
      <c r="E297" s="9"/>
      <c r="F297" s="9"/>
      <c r="G297" s="9"/>
      <c r="H297" s="9"/>
      <c r="I297" s="9"/>
      <c r="J297" s="9"/>
      <c r="K297" s="9"/>
      <c r="L297" s="9"/>
      <c r="M297" s="9"/>
      <c r="N297" s="9"/>
      <c r="O297" s="9"/>
      <c r="P297" s="29"/>
      <c r="Q297" s="29"/>
      <c r="R297" s="7"/>
      <c r="S297" s="7"/>
      <c r="T297" s="7" t="str">
        <f ca="1">IFERROR(__xludf.DUMMYFUNCTION("SPARKLINE({
IF(D297="""",0,D297),
IF(F297="""",0,F297),
IF(H297="""",0,H297),
IF(J297="""",0,J297),
IF(L297="""",0,L297),
IF(N297="""",0,N297),
IF(P297="""",0,P297)
})"),"")</f>
        <v/>
      </c>
      <c r="U297" s="7" t="str">
        <f ca="1">IFERROR(__xludf.DUMMYFUNCTION("SPARKLINE({
IF(E297="""",0,E297),
IF(G297="""",0,G297),
IF(I297="""",0,I297),
IF(K297="""",0,K297),
IF(M297="""",0,M297),
IF(O297="""",0,O297),
IF(Q297="""",0,Q297)
})"),"")</f>
        <v/>
      </c>
      <c r="V297" s="8" t="e">
        <f t="array" aca="1" ref="V297" ca="1">IF($C$4="Giao",_xludf.Xlookup(C297,#REF!,#REF!,),_xludf.Xlookup(C297,#REF!,#REF!,))</f>
        <v>#NAME?</v>
      </c>
      <c r="W297" s="8">
        <f t="array" ref="W297">IF($C$4="Giao", _xludf.Xlookup(C297,#REF!,#REF!,),)</f>
        <v>0</v>
      </c>
      <c r="X297" s="9">
        <f t="shared" si="6"/>
        <v>0</v>
      </c>
      <c r="Y297" s="7"/>
      <c r="Z297" s="7"/>
    </row>
    <row r="298" spans="1:26" ht="13" x14ac:dyDescent="0.6">
      <c r="A298" s="28" t="str">
        <f t="shared" si="5"/>
        <v/>
      </c>
      <c r="B298" s="7"/>
      <c r="C298" s="7"/>
      <c r="D298" s="9"/>
      <c r="E298" s="9"/>
      <c r="F298" s="9"/>
      <c r="G298" s="9"/>
      <c r="H298" s="9"/>
      <c r="I298" s="9"/>
      <c r="J298" s="9"/>
      <c r="K298" s="9"/>
      <c r="L298" s="9"/>
      <c r="M298" s="9"/>
      <c r="N298" s="9"/>
      <c r="O298" s="9"/>
      <c r="P298" s="29"/>
      <c r="Q298" s="29"/>
      <c r="R298" s="7"/>
      <c r="S298" s="7"/>
      <c r="T298" s="7" t="str">
        <f ca="1">IFERROR(__xludf.DUMMYFUNCTION("SPARKLINE({
IF(D298="""",0,D298),
IF(F298="""",0,F298),
IF(H298="""",0,H298),
IF(J298="""",0,J298),
IF(L298="""",0,L298),
IF(N298="""",0,N298),
IF(P298="""",0,P298)
})"),"")</f>
        <v/>
      </c>
      <c r="U298" s="7" t="str">
        <f ca="1">IFERROR(__xludf.DUMMYFUNCTION("SPARKLINE({
IF(E298="""",0,E298),
IF(G298="""",0,G298),
IF(I298="""",0,I298),
IF(K298="""",0,K298),
IF(M298="""",0,M298),
IF(O298="""",0,O298),
IF(Q298="""",0,Q298)
})"),"")</f>
        <v/>
      </c>
      <c r="V298" s="8" t="e">
        <f t="array" aca="1" ref="V298" ca="1">IF($C$4="Giao",_xludf.Xlookup(C298,#REF!,#REF!,),_xludf.Xlookup(C298,#REF!,#REF!,))</f>
        <v>#NAME?</v>
      </c>
      <c r="W298" s="8">
        <f t="array" ref="W298">IF($C$4="Giao", _xludf.Xlookup(C298,#REF!,#REF!,),)</f>
        <v>0</v>
      </c>
      <c r="X298" s="9">
        <f t="shared" si="6"/>
        <v>0</v>
      </c>
      <c r="Y298" s="7"/>
      <c r="Z298" s="7"/>
    </row>
    <row r="299" spans="1:26" ht="13" x14ac:dyDescent="0.6">
      <c r="A299" s="28" t="str">
        <f t="shared" si="5"/>
        <v/>
      </c>
      <c r="B299" s="7"/>
      <c r="C299" s="7"/>
      <c r="D299" s="9"/>
      <c r="E299" s="9"/>
      <c r="F299" s="9"/>
      <c r="G299" s="9"/>
      <c r="H299" s="9"/>
      <c r="I299" s="9"/>
      <c r="J299" s="9"/>
      <c r="K299" s="9"/>
      <c r="L299" s="9"/>
      <c r="M299" s="9"/>
      <c r="N299" s="9"/>
      <c r="O299" s="9"/>
      <c r="P299" s="29"/>
      <c r="Q299" s="29"/>
      <c r="R299" s="7"/>
      <c r="S299" s="7"/>
      <c r="T299" s="7" t="str">
        <f ca="1">IFERROR(__xludf.DUMMYFUNCTION("SPARKLINE({
IF(D299="""",0,D299),
IF(F299="""",0,F299),
IF(H299="""",0,H299),
IF(J299="""",0,J299),
IF(L299="""",0,L299),
IF(N299="""",0,N299),
IF(P299="""",0,P299)
})"),"")</f>
        <v/>
      </c>
      <c r="U299" s="7" t="str">
        <f ca="1">IFERROR(__xludf.DUMMYFUNCTION("SPARKLINE({
IF(E299="""",0,E299),
IF(G299="""",0,G299),
IF(I299="""",0,I299),
IF(K299="""",0,K299),
IF(M299="""",0,M299),
IF(O299="""",0,O299),
IF(Q299="""",0,Q299)
})"),"")</f>
        <v/>
      </c>
      <c r="V299" s="8" t="e">
        <f t="array" aca="1" ref="V299" ca="1">IF($C$4="Giao",_xludf.Xlookup(C299,#REF!,#REF!,),_xludf.Xlookup(C299,#REF!,#REF!,))</f>
        <v>#NAME?</v>
      </c>
      <c r="W299" s="8">
        <f t="array" ref="W299">IF($C$4="Giao", _xludf.Xlookup(C299,#REF!,#REF!,),)</f>
        <v>0</v>
      </c>
      <c r="X299" s="9">
        <f t="shared" si="6"/>
        <v>0</v>
      </c>
      <c r="Y299" s="7"/>
      <c r="Z299" s="7"/>
    </row>
    <row r="300" spans="1:26" ht="13" x14ac:dyDescent="0.6">
      <c r="A300" s="28" t="str">
        <f t="shared" si="5"/>
        <v/>
      </c>
      <c r="B300" s="7"/>
      <c r="C300" s="7"/>
      <c r="D300" s="9"/>
      <c r="E300" s="9"/>
      <c r="F300" s="9"/>
      <c r="G300" s="9"/>
      <c r="H300" s="9"/>
      <c r="I300" s="9"/>
      <c r="J300" s="9"/>
      <c r="K300" s="9"/>
      <c r="L300" s="9"/>
      <c r="M300" s="9"/>
      <c r="N300" s="9"/>
      <c r="O300" s="9"/>
      <c r="P300" s="29"/>
      <c r="Q300" s="29"/>
      <c r="R300" s="7"/>
      <c r="S300" s="7"/>
      <c r="T300" s="7" t="str">
        <f ca="1">IFERROR(__xludf.DUMMYFUNCTION("SPARKLINE({
IF(D300="""",0,D300),
IF(F300="""",0,F300),
IF(H300="""",0,H300),
IF(J300="""",0,J300),
IF(L300="""",0,L300),
IF(N300="""",0,N300),
IF(P300="""",0,P300)
})"),"")</f>
        <v/>
      </c>
      <c r="U300" s="7" t="str">
        <f ca="1">IFERROR(__xludf.DUMMYFUNCTION("SPARKLINE({
IF(E300="""",0,E300),
IF(G300="""",0,G300),
IF(I300="""",0,I300),
IF(K300="""",0,K300),
IF(M300="""",0,M300),
IF(O300="""",0,O300),
IF(Q300="""",0,Q300)
})"),"")</f>
        <v/>
      </c>
      <c r="V300" s="8" t="e">
        <f t="array" aca="1" ref="V300" ca="1">IF($C$4="Giao",_xludf.Xlookup(C300,#REF!,#REF!,),_xludf.Xlookup(C300,#REF!,#REF!,))</f>
        <v>#NAME?</v>
      </c>
      <c r="W300" s="8">
        <f t="array" ref="W300">IF($C$4="Giao", _xludf.Xlookup(C300,#REF!,#REF!,),)</f>
        <v>0</v>
      </c>
      <c r="X300" s="9">
        <f t="shared" si="6"/>
        <v>0</v>
      </c>
      <c r="Y300" s="7"/>
      <c r="Z300" s="7"/>
    </row>
    <row r="301" spans="1:26" ht="13" x14ac:dyDescent="0.6">
      <c r="A301" s="28" t="str">
        <f t="shared" si="5"/>
        <v/>
      </c>
      <c r="B301" s="7"/>
      <c r="C301" s="7"/>
      <c r="D301" s="9"/>
      <c r="E301" s="9"/>
      <c r="F301" s="9"/>
      <c r="G301" s="9"/>
      <c r="H301" s="9"/>
      <c r="I301" s="9"/>
      <c r="J301" s="9"/>
      <c r="K301" s="9"/>
      <c r="L301" s="9"/>
      <c r="M301" s="9"/>
      <c r="N301" s="9"/>
      <c r="O301" s="9"/>
      <c r="P301" s="29"/>
      <c r="Q301" s="29"/>
      <c r="R301" s="7"/>
      <c r="S301" s="7"/>
      <c r="T301" s="7" t="str">
        <f ca="1">IFERROR(__xludf.DUMMYFUNCTION("SPARKLINE({
IF(D301="""",0,D301),
IF(F301="""",0,F301),
IF(H301="""",0,H301),
IF(J301="""",0,J301),
IF(L301="""",0,L301),
IF(N301="""",0,N301),
IF(P301="""",0,P301)
})"),"")</f>
        <v/>
      </c>
      <c r="U301" s="7" t="str">
        <f ca="1">IFERROR(__xludf.DUMMYFUNCTION("SPARKLINE({
IF(E301="""",0,E301),
IF(G301="""",0,G301),
IF(I301="""",0,I301),
IF(K301="""",0,K301),
IF(M301="""",0,M301),
IF(O301="""",0,O301),
IF(Q301="""",0,Q301)
})"),"")</f>
        <v/>
      </c>
      <c r="V301" s="8" t="e">
        <f t="array" aca="1" ref="V301" ca="1">IF($C$4="Giao",_xludf.Xlookup(C301,#REF!,#REF!,),_xludf.Xlookup(C301,#REF!,#REF!,))</f>
        <v>#NAME?</v>
      </c>
      <c r="W301" s="8">
        <f t="array" ref="W301">IF($C$4="Giao", _xludf.Xlookup(C301,#REF!,#REF!,),)</f>
        <v>0</v>
      </c>
      <c r="X301" s="9">
        <f t="shared" si="6"/>
        <v>0</v>
      </c>
      <c r="Y301" s="7"/>
      <c r="Z301" s="7"/>
    </row>
    <row r="302" spans="1:26" ht="13" x14ac:dyDescent="0.6">
      <c r="A302" s="28" t="str">
        <f t="shared" si="5"/>
        <v/>
      </c>
      <c r="B302" s="7"/>
      <c r="C302" s="7"/>
      <c r="D302" s="9"/>
      <c r="E302" s="9"/>
      <c r="F302" s="9"/>
      <c r="G302" s="9"/>
      <c r="H302" s="9"/>
      <c r="I302" s="9"/>
      <c r="J302" s="9"/>
      <c r="K302" s="9"/>
      <c r="L302" s="9"/>
      <c r="M302" s="9"/>
      <c r="N302" s="9"/>
      <c r="O302" s="9"/>
      <c r="P302" s="29"/>
      <c r="Q302" s="29"/>
      <c r="R302" s="7"/>
      <c r="S302" s="7"/>
      <c r="T302" s="7" t="str">
        <f ca="1">IFERROR(__xludf.DUMMYFUNCTION("SPARKLINE({
IF(D302="""",0,D302),
IF(F302="""",0,F302),
IF(H302="""",0,H302),
IF(J302="""",0,J302),
IF(L302="""",0,L302),
IF(N302="""",0,N302),
IF(P302="""",0,P302)
})"),"")</f>
        <v/>
      </c>
      <c r="U302" s="7" t="str">
        <f ca="1">IFERROR(__xludf.DUMMYFUNCTION("SPARKLINE({
IF(E302="""",0,E302),
IF(G302="""",0,G302),
IF(I302="""",0,I302),
IF(K302="""",0,K302),
IF(M302="""",0,M302),
IF(O302="""",0,O302),
IF(Q302="""",0,Q302)
})"),"")</f>
        <v/>
      </c>
      <c r="V302" s="8" t="e">
        <f t="array" aca="1" ref="V302" ca="1">IF($C$4="Giao",_xludf.Xlookup(C302,#REF!,#REF!,),_xludf.Xlookup(C302,#REF!,#REF!,))</f>
        <v>#NAME?</v>
      </c>
      <c r="W302" s="8">
        <f t="array" ref="W302">IF($C$4="Giao", _xludf.Xlookup(C302,#REF!,#REF!,),)</f>
        <v>0</v>
      </c>
      <c r="X302" s="9">
        <f t="shared" si="6"/>
        <v>0</v>
      </c>
      <c r="Y302" s="7"/>
      <c r="Z302" s="7"/>
    </row>
    <row r="303" spans="1:26" ht="13" x14ac:dyDescent="0.6">
      <c r="A303" s="28" t="str">
        <f t="shared" si="5"/>
        <v/>
      </c>
      <c r="B303" s="7"/>
      <c r="C303" s="7"/>
      <c r="D303" s="9"/>
      <c r="E303" s="9"/>
      <c r="F303" s="9"/>
      <c r="G303" s="9"/>
      <c r="H303" s="9"/>
      <c r="I303" s="9"/>
      <c r="J303" s="9"/>
      <c r="K303" s="9"/>
      <c r="L303" s="9"/>
      <c r="M303" s="9"/>
      <c r="N303" s="9"/>
      <c r="O303" s="9"/>
      <c r="P303" s="29"/>
      <c r="Q303" s="29"/>
      <c r="R303" s="7"/>
      <c r="S303" s="7"/>
      <c r="T303" s="7" t="str">
        <f ca="1">IFERROR(__xludf.DUMMYFUNCTION("SPARKLINE({
IF(D303="""",0,D303),
IF(F303="""",0,F303),
IF(H303="""",0,H303),
IF(J303="""",0,J303),
IF(L303="""",0,L303),
IF(N303="""",0,N303),
IF(P303="""",0,P303)
})"),"")</f>
        <v/>
      </c>
      <c r="U303" s="7" t="str">
        <f ca="1">IFERROR(__xludf.DUMMYFUNCTION("SPARKLINE({
IF(E303="""",0,E303),
IF(G303="""",0,G303),
IF(I303="""",0,I303),
IF(K303="""",0,K303),
IF(M303="""",0,M303),
IF(O303="""",0,O303),
IF(Q303="""",0,Q303)
})"),"")</f>
        <v/>
      </c>
      <c r="V303" s="8" t="e">
        <f t="array" aca="1" ref="V303" ca="1">IF($C$4="Giao",_xludf.Xlookup(C303,#REF!,#REF!,),_xludf.Xlookup(C303,#REF!,#REF!,))</f>
        <v>#NAME?</v>
      </c>
      <c r="W303" s="8">
        <f t="array" ref="W303">IF($C$4="Giao", _xludf.Xlookup(C303,#REF!,#REF!,),)</f>
        <v>0</v>
      </c>
      <c r="X303" s="9">
        <f t="shared" si="6"/>
        <v>0</v>
      </c>
      <c r="Y303" s="7"/>
      <c r="Z303" s="7"/>
    </row>
    <row r="304" spans="1:26" ht="13" x14ac:dyDescent="0.6">
      <c r="A304" s="28" t="str">
        <f t="shared" si="5"/>
        <v/>
      </c>
      <c r="B304" s="7"/>
      <c r="C304" s="7"/>
      <c r="D304" s="9"/>
      <c r="E304" s="9"/>
      <c r="F304" s="9"/>
      <c r="G304" s="9"/>
      <c r="H304" s="9"/>
      <c r="I304" s="9"/>
      <c r="J304" s="9"/>
      <c r="K304" s="9"/>
      <c r="L304" s="9"/>
      <c r="M304" s="9"/>
      <c r="N304" s="9"/>
      <c r="O304" s="9"/>
      <c r="P304" s="29"/>
      <c r="Q304" s="29"/>
      <c r="R304" s="7"/>
      <c r="S304" s="7"/>
      <c r="T304" s="7" t="str">
        <f ca="1">IFERROR(__xludf.DUMMYFUNCTION("SPARKLINE({
IF(D304="""",0,D304),
IF(F304="""",0,F304),
IF(H304="""",0,H304),
IF(J304="""",0,J304),
IF(L304="""",0,L304),
IF(N304="""",0,N304),
IF(P304="""",0,P304)
})"),"")</f>
        <v/>
      </c>
      <c r="U304" s="7" t="str">
        <f ca="1">IFERROR(__xludf.DUMMYFUNCTION("SPARKLINE({
IF(E304="""",0,E304),
IF(G304="""",0,G304),
IF(I304="""",0,I304),
IF(K304="""",0,K304),
IF(M304="""",0,M304),
IF(O304="""",0,O304),
IF(Q304="""",0,Q304)
})"),"")</f>
        <v/>
      </c>
      <c r="V304" s="8" t="e">
        <f t="array" aca="1" ref="V304" ca="1">IF($C$4="Giao",_xludf.Xlookup(C304,#REF!,#REF!,),_xludf.Xlookup(C304,#REF!,#REF!,))</f>
        <v>#NAME?</v>
      </c>
      <c r="W304" s="8">
        <f t="array" ref="W304">IF($C$4="Giao", _xludf.Xlookup(C304,#REF!,#REF!,),)</f>
        <v>0</v>
      </c>
      <c r="X304" s="9">
        <f t="shared" si="6"/>
        <v>0</v>
      </c>
      <c r="Y304" s="7"/>
      <c r="Z304" s="7"/>
    </row>
    <row r="305" spans="1:26" ht="13" x14ac:dyDescent="0.6">
      <c r="A305" s="28" t="str">
        <f t="shared" si="5"/>
        <v/>
      </c>
      <c r="B305" s="7"/>
      <c r="C305" s="7"/>
      <c r="D305" s="9"/>
      <c r="E305" s="9"/>
      <c r="F305" s="9"/>
      <c r="G305" s="9"/>
      <c r="H305" s="9"/>
      <c r="I305" s="9"/>
      <c r="J305" s="9"/>
      <c r="K305" s="9"/>
      <c r="L305" s="9"/>
      <c r="M305" s="9"/>
      <c r="N305" s="9"/>
      <c r="O305" s="9"/>
      <c r="P305" s="29"/>
      <c r="Q305" s="29"/>
      <c r="R305" s="7"/>
      <c r="S305" s="7"/>
      <c r="T305" s="7" t="str">
        <f ca="1">IFERROR(__xludf.DUMMYFUNCTION("SPARKLINE({
IF(D305="""",0,D305),
IF(F305="""",0,F305),
IF(H305="""",0,H305),
IF(J305="""",0,J305),
IF(L305="""",0,L305),
IF(N305="""",0,N305),
IF(P305="""",0,P305)
})"),"")</f>
        <v/>
      </c>
      <c r="U305" s="7" t="str">
        <f ca="1">IFERROR(__xludf.DUMMYFUNCTION("SPARKLINE({
IF(E305="""",0,E305),
IF(G305="""",0,G305),
IF(I305="""",0,I305),
IF(K305="""",0,K305),
IF(M305="""",0,M305),
IF(O305="""",0,O305),
IF(Q305="""",0,Q305)
})"),"")</f>
        <v/>
      </c>
      <c r="V305" s="8" t="e">
        <f t="array" aca="1" ref="V305" ca="1">IF($C$4="Giao",_xludf.Xlookup(C305,#REF!,#REF!,),_xludf.Xlookup(C305,#REF!,#REF!,))</f>
        <v>#NAME?</v>
      </c>
      <c r="W305" s="8">
        <f t="array" ref="W305">IF($C$4="Giao", _xludf.Xlookup(C305,#REF!,#REF!,),)</f>
        <v>0</v>
      </c>
      <c r="X305" s="9">
        <f t="shared" si="6"/>
        <v>0</v>
      </c>
      <c r="Y305" s="7"/>
      <c r="Z305" s="7"/>
    </row>
    <row r="306" spans="1:26" ht="13" x14ac:dyDescent="0.6">
      <c r="A306" s="28" t="str">
        <f t="shared" si="5"/>
        <v/>
      </c>
      <c r="B306" s="7"/>
      <c r="C306" s="7"/>
      <c r="D306" s="9"/>
      <c r="E306" s="9"/>
      <c r="F306" s="9"/>
      <c r="G306" s="9"/>
      <c r="H306" s="9"/>
      <c r="I306" s="9"/>
      <c r="J306" s="9"/>
      <c r="K306" s="9"/>
      <c r="L306" s="9"/>
      <c r="M306" s="9"/>
      <c r="N306" s="9"/>
      <c r="O306" s="9"/>
      <c r="P306" s="29"/>
      <c r="Q306" s="29"/>
      <c r="R306" s="7"/>
      <c r="S306" s="7"/>
      <c r="T306" s="7" t="str">
        <f ca="1">IFERROR(__xludf.DUMMYFUNCTION("SPARKLINE({
IF(D306="""",0,D306),
IF(F306="""",0,F306),
IF(H306="""",0,H306),
IF(J306="""",0,J306),
IF(L306="""",0,L306),
IF(N306="""",0,N306),
IF(P306="""",0,P306)
})"),"")</f>
        <v/>
      </c>
      <c r="U306" s="7" t="str">
        <f ca="1">IFERROR(__xludf.DUMMYFUNCTION("SPARKLINE({
IF(E306="""",0,E306),
IF(G306="""",0,G306),
IF(I306="""",0,I306),
IF(K306="""",0,K306),
IF(M306="""",0,M306),
IF(O306="""",0,O306),
IF(Q306="""",0,Q306)
})"),"")</f>
        <v/>
      </c>
      <c r="V306" s="8" t="e">
        <f t="array" aca="1" ref="V306" ca="1">IF($C$4="Giao",_xludf.Xlookup(C306,#REF!,#REF!,),_xludf.Xlookup(C306,#REF!,#REF!,))</f>
        <v>#NAME?</v>
      </c>
      <c r="W306" s="8">
        <f t="array" ref="W306">IF($C$4="Giao", _xludf.Xlookup(C306,#REF!,#REF!,),)</f>
        <v>0</v>
      </c>
      <c r="X306" s="9">
        <f t="shared" si="6"/>
        <v>0</v>
      </c>
      <c r="Y306" s="7"/>
      <c r="Z306" s="7"/>
    </row>
    <row r="307" spans="1:26" ht="13" x14ac:dyDescent="0.6">
      <c r="A307" s="28" t="str">
        <f t="shared" si="5"/>
        <v/>
      </c>
      <c r="B307" s="7"/>
      <c r="C307" s="7"/>
      <c r="D307" s="9"/>
      <c r="E307" s="9"/>
      <c r="F307" s="9"/>
      <c r="G307" s="9"/>
      <c r="H307" s="9"/>
      <c r="I307" s="9"/>
      <c r="J307" s="9"/>
      <c r="K307" s="9"/>
      <c r="L307" s="9"/>
      <c r="M307" s="9"/>
      <c r="N307" s="9"/>
      <c r="O307" s="9"/>
      <c r="P307" s="29"/>
      <c r="Q307" s="29"/>
      <c r="R307" s="7"/>
      <c r="S307" s="7"/>
      <c r="T307" s="7" t="str">
        <f ca="1">IFERROR(__xludf.DUMMYFUNCTION("SPARKLINE({
IF(D307="""",0,D307),
IF(F307="""",0,F307),
IF(H307="""",0,H307),
IF(J307="""",0,J307),
IF(L307="""",0,L307),
IF(N307="""",0,N307),
IF(P307="""",0,P307)
})"),"")</f>
        <v/>
      </c>
      <c r="U307" s="7" t="str">
        <f ca="1">IFERROR(__xludf.DUMMYFUNCTION("SPARKLINE({
IF(E307="""",0,E307),
IF(G307="""",0,G307),
IF(I307="""",0,I307),
IF(K307="""",0,K307),
IF(M307="""",0,M307),
IF(O307="""",0,O307),
IF(Q307="""",0,Q307)
})"),"")</f>
        <v/>
      </c>
      <c r="V307" s="8" t="e">
        <f t="array" aca="1" ref="V307" ca="1">IF($C$4="Giao",_xludf.Xlookup(C307,#REF!,#REF!,),_xludf.Xlookup(C307,#REF!,#REF!,))</f>
        <v>#NAME?</v>
      </c>
      <c r="W307" s="8">
        <f t="array" ref="W307">IF($C$4="Giao", _xludf.Xlookup(C307,#REF!,#REF!,),)</f>
        <v>0</v>
      </c>
      <c r="X307" s="9">
        <f t="shared" si="6"/>
        <v>0</v>
      </c>
      <c r="Y307" s="7"/>
      <c r="Z307" s="7"/>
    </row>
    <row r="308" spans="1:26" ht="13" x14ac:dyDescent="0.6">
      <c r="A308" s="28" t="str">
        <f t="shared" si="5"/>
        <v/>
      </c>
      <c r="B308" s="7"/>
      <c r="C308" s="7"/>
      <c r="D308" s="9"/>
      <c r="E308" s="9"/>
      <c r="F308" s="9"/>
      <c r="G308" s="9"/>
      <c r="H308" s="9"/>
      <c r="I308" s="9"/>
      <c r="J308" s="9"/>
      <c r="K308" s="9"/>
      <c r="L308" s="9"/>
      <c r="M308" s="9"/>
      <c r="N308" s="9"/>
      <c r="O308" s="9"/>
      <c r="P308" s="29"/>
      <c r="Q308" s="29"/>
      <c r="R308" s="7"/>
      <c r="S308" s="7"/>
      <c r="T308" s="7" t="str">
        <f ca="1">IFERROR(__xludf.DUMMYFUNCTION("SPARKLINE({
IF(D308="""",0,D308),
IF(F308="""",0,F308),
IF(H308="""",0,H308),
IF(J308="""",0,J308),
IF(L308="""",0,L308),
IF(N308="""",0,N308),
IF(P308="""",0,P308)
})"),"")</f>
        <v/>
      </c>
      <c r="U308" s="7" t="str">
        <f ca="1">IFERROR(__xludf.DUMMYFUNCTION("SPARKLINE({
IF(E308="""",0,E308),
IF(G308="""",0,G308),
IF(I308="""",0,I308),
IF(K308="""",0,K308),
IF(M308="""",0,M308),
IF(O308="""",0,O308),
IF(Q308="""",0,Q308)
})"),"")</f>
        <v/>
      </c>
      <c r="V308" s="8" t="e">
        <f t="array" aca="1" ref="V308" ca="1">IF($C$4="Giao",_xludf.Xlookup(C308,#REF!,#REF!,),_xludf.Xlookup(C308,#REF!,#REF!,))</f>
        <v>#NAME?</v>
      </c>
      <c r="W308" s="8">
        <f t="array" ref="W308">IF($C$4="Giao", _xludf.Xlookup(C308,#REF!,#REF!,),)</f>
        <v>0</v>
      </c>
      <c r="X308" s="9">
        <f t="shared" si="6"/>
        <v>0</v>
      </c>
      <c r="Y308" s="7"/>
      <c r="Z308" s="7"/>
    </row>
    <row r="309" spans="1:26" ht="13" x14ac:dyDescent="0.6">
      <c r="A309" s="28" t="str">
        <f t="shared" si="5"/>
        <v/>
      </c>
      <c r="B309" s="7"/>
      <c r="C309" s="7"/>
      <c r="D309" s="9"/>
      <c r="E309" s="9"/>
      <c r="F309" s="9"/>
      <c r="G309" s="9"/>
      <c r="H309" s="9"/>
      <c r="I309" s="9"/>
      <c r="J309" s="9"/>
      <c r="K309" s="9"/>
      <c r="L309" s="9"/>
      <c r="M309" s="9"/>
      <c r="N309" s="9"/>
      <c r="O309" s="9"/>
      <c r="P309" s="29"/>
      <c r="Q309" s="29"/>
      <c r="R309" s="7"/>
      <c r="S309" s="7"/>
      <c r="T309" s="7" t="str">
        <f ca="1">IFERROR(__xludf.DUMMYFUNCTION("SPARKLINE({
IF(D309="""",0,D309),
IF(F309="""",0,F309),
IF(H309="""",0,H309),
IF(J309="""",0,J309),
IF(L309="""",0,L309),
IF(N309="""",0,N309),
IF(P309="""",0,P309)
})"),"")</f>
        <v/>
      </c>
      <c r="U309" s="7" t="str">
        <f ca="1">IFERROR(__xludf.DUMMYFUNCTION("SPARKLINE({
IF(E309="""",0,E309),
IF(G309="""",0,G309),
IF(I309="""",0,I309),
IF(K309="""",0,K309),
IF(M309="""",0,M309),
IF(O309="""",0,O309),
IF(Q309="""",0,Q309)
})"),"")</f>
        <v/>
      </c>
      <c r="V309" s="8" t="e">
        <f t="array" aca="1" ref="V309" ca="1">IF($C$4="Giao",_xludf.Xlookup(C309,#REF!,#REF!,),_xludf.Xlookup(C309,#REF!,#REF!,))</f>
        <v>#NAME?</v>
      </c>
      <c r="W309" s="8">
        <f t="array" ref="W309">IF($C$4="Giao", _xludf.Xlookup(C309,#REF!,#REF!,),)</f>
        <v>0</v>
      </c>
      <c r="X309" s="9">
        <f t="shared" si="6"/>
        <v>0</v>
      </c>
      <c r="Y309" s="7"/>
      <c r="Z309" s="7"/>
    </row>
    <row r="310" spans="1:26" ht="13" x14ac:dyDescent="0.6">
      <c r="A310" s="28" t="str">
        <f t="shared" si="5"/>
        <v/>
      </c>
      <c r="B310" s="7"/>
      <c r="C310" s="7"/>
      <c r="D310" s="9"/>
      <c r="E310" s="9"/>
      <c r="F310" s="9"/>
      <c r="G310" s="9"/>
      <c r="H310" s="9"/>
      <c r="I310" s="9"/>
      <c r="J310" s="9"/>
      <c r="K310" s="9"/>
      <c r="L310" s="9"/>
      <c r="M310" s="9"/>
      <c r="N310" s="9"/>
      <c r="O310" s="9"/>
      <c r="P310" s="29"/>
      <c r="Q310" s="29"/>
      <c r="R310" s="7"/>
      <c r="S310" s="7"/>
      <c r="T310" s="7" t="str">
        <f ca="1">IFERROR(__xludf.DUMMYFUNCTION("SPARKLINE({
IF(D310="""",0,D310),
IF(F310="""",0,F310),
IF(H310="""",0,H310),
IF(J310="""",0,J310),
IF(L310="""",0,L310),
IF(N310="""",0,N310),
IF(P310="""",0,P310)
})"),"")</f>
        <v/>
      </c>
      <c r="U310" s="7" t="str">
        <f ca="1">IFERROR(__xludf.DUMMYFUNCTION("SPARKLINE({
IF(E310="""",0,E310),
IF(G310="""",0,G310),
IF(I310="""",0,I310),
IF(K310="""",0,K310),
IF(M310="""",0,M310),
IF(O310="""",0,O310),
IF(Q310="""",0,Q310)
})"),"")</f>
        <v/>
      </c>
      <c r="V310" s="8" t="e">
        <f t="array" aca="1" ref="V310" ca="1">IF($C$4="Giao",_xludf.Xlookup(C310,#REF!,#REF!,),_xludf.Xlookup(C310,#REF!,#REF!,))</f>
        <v>#NAME?</v>
      </c>
      <c r="W310" s="8">
        <f t="array" ref="W310">IF($C$4="Giao", _xludf.Xlookup(C310,#REF!,#REF!,),)</f>
        <v>0</v>
      </c>
      <c r="X310" s="9">
        <f t="shared" si="6"/>
        <v>0</v>
      </c>
      <c r="Y310" s="7"/>
      <c r="Z310" s="7"/>
    </row>
    <row r="311" spans="1:26" ht="13" x14ac:dyDescent="0.6">
      <c r="A311" s="28" t="str">
        <f t="shared" si="5"/>
        <v/>
      </c>
      <c r="B311" s="7"/>
      <c r="C311" s="7"/>
      <c r="D311" s="9"/>
      <c r="E311" s="9"/>
      <c r="F311" s="9"/>
      <c r="G311" s="9"/>
      <c r="H311" s="9"/>
      <c r="I311" s="9"/>
      <c r="J311" s="9"/>
      <c r="K311" s="9"/>
      <c r="L311" s="9"/>
      <c r="M311" s="9"/>
      <c r="N311" s="9"/>
      <c r="O311" s="9"/>
      <c r="P311" s="29"/>
      <c r="Q311" s="29"/>
      <c r="R311" s="7"/>
      <c r="S311" s="7"/>
      <c r="T311" s="7" t="str">
        <f ca="1">IFERROR(__xludf.DUMMYFUNCTION("SPARKLINE({
IF(D311="""",0,D311),
IF(F311="""",0,F311),
IF(H311="""",0,H311),
IF(J311="""",0,J311),
IF(L311="""",0,L311),
IF(N311="""",0,N311),
IF(P311="""",0,P311)
})"),"")</f>
        <v/>
      </c>
      <c r="U311" s="7" t="str">
        <f ca="1">IFERROR(__xludf.DUMMYFUNCTION("SPARKLINE({
IF(E311="""",0,E311),
IF(G311="""",0,G311),
IF(I311="""",0,I311),
IF(K311="""",0,K311),
IF(M311="""",0,M311),
IF(O311="""",0,O311),
IF(Q311="""",0,Q311)
})"),"")</f>
        <v/>
      </c>
      <c r="V311" s="8" t="e">
        <f t="array" aca="1" ref="V311" ca="1">IF($C$4="Giao",_xludf.Xlookup(C311,#REF!,#REF!,),_xludf.Xlookup(C311,#REF!,#REF!,))</f>
        <v>#NAME?</v>
      </c>
      <c r="W311" s="8">
        <f t="array" ref="W311">IF($C$4="Giao", _xludf.Xlookup(C311,#REF!,#REF!,),)</f>
        <v>0</v>
      </c>
      <c r="X311" s="9">
        <f t="shared" si="6"/>
        <v>0</v>
      </c>
      <c r="Y311" s="7"/>
      <c r="Z311" s="7"/>
    </row>
    <row r="312" spans="1:26" ht="13" x14ac:dyDescent="0.6">
      <c r="A312" s="28" t="str">
        <f t="shared" si="5"/>
        <v/>
      </c>
      <c r="B312" s="7"/>
      <c r="C312" s="7"/>
      <c r="D312" s="9"/>
      <c r="E312" s="9"/>
      <c r="F312" s="9"/>
      <c r="G312" s="9"/>
      <c r="H312" s="9"/>
      <c r="I312" s="9"/>
      <c r="J312" s="9"/>
      <c r="K312" s="9"/>
      <c r="L312" s="9"/>
      <c r="M312" s="9"/>
      <c r="N312" s="9"/>
      <c r="O312" s="9"/>
      <c r="P312" s="29"/>
      <c r="Q312" s="29"/>
      <c r="R312" s="7"/>
      <c r="S312" s="7"/>
      <c r="T312" s="7" t="str">
        <f ca="1">IFERROR(__xludf.DUMMYFUNCTION("SPARKLINE({
IF(D312="""",0,D312),
IF(F312="""",0,F312),
IF(H312="""",0,H312),
IF(J312="""",0,J312),
IF(L312="""",0,L312),
IF(N312="""",0,N312),
IF(P312="""",0,P312)
})"),"")</f>
        <v/>
      </c>
      <c r="U312" s="7" t="str">
        <f ca="1">IFERROR(__xludf.DUMMYFUNCTION("SPARKLINE({
IF(E312="""",0,E312),
IF(G312="""",0,G312),
IF(I312="""",0,I312),
IF(K312="""",0,K312),
IF(M312="""",0,M312),
IF(O312="""",0,O312),
IF(Q312="""",0,Q312)
})"),"")</f>
        <v/>
      </c>
      <c r="V312" s="8" t="e">
        <f t="array" aca="1" ref="V312" ca="1">IF($C$4="Giao",_xludf.Xlookup(C312,#REF!,#REF!,),_xludf.Xlookup(C312,#REF!,#REF!,))</f>
        <v>#NAME?</v>
      </c>
      <c r="W312" s="8">
        <f t="array" ref="W312">IF($C$4="Giao", _xludf.Xlookup(C312,#REF!,#REF!,),)</f>
        <v>0</v>
      </c>
      <c r="X312" s="9">
        <f t="shared" si="6"/>
        <v>0</v>
      </c>
      <c r="Y312" s="7"/>
      <c r="Z312" s="7"/>
    </row>
    <row r="313" spans="1:26" ht="13" x14ac:dyDescent="0.6">
      <c r="A313" s="28" t="str">
        <f t="shared" si="5"/>
        <v/>
      </c>
      <c r="B313" s="7"/>
      <c r="C313" s="7"/>
      <c r="D313" s="9"/>
      <c r="E313" s="9"/>
      <c r="F313" s="9"/>
      <c r="G313" s="9"/>
      <c r="H313" s="9"/>
      <c r="I313" s="9"/>
      <c r="J313" s="9"/>
      <c r="K313" s="9"/>
      <c r="L313" s="9"/>
      <c r="M313" s="9"/>
      <c r="N313" s="9"/>
      <c r="O313" s="9"/>
      <c r="P313" s="29"/>
      <c r="Q313" s="29"/>
      <c r="R313" s="7"/>
      <c r="S313" s="7"/>
      <c r="T313" s="7" t="str">
        <f ca="1">IFERROR(__xludf.DUMMYFUNCTION("SPARKLINE({
IF(D313="""",0,D313),
IF(F313="""",0,F313),
IF(H313="""",0,H313),
IF(J313="""",0,J313),
IF(L313="""",0,L313),
IF(N313="""",0,N313),
IF(P313="""",0,P313)
})"),"")</f>
        <v/>
      </c>
      <c r="U313" s="7" t="str">
        <f ca="1">IFERROR(__xludf.DUMMYFUNCTION("SPARKLINE({
IF(E313="""",0,E313),
IF(G313="""",0,G313),
IF(I313="""",0,I313),
IF(K313="""",0,K313),
IF(M313="""",0,M313),
IF(O313="""",0,O313),
IF(Q313="""",0,Q313)
})"),"")</f>
        <v/>
      </c>
      <c r="V313" s="8" t="e">
        <f t="array" aca="1" ref="V313" ca="1">IF($C$4="Giao",_xludf.Xlookup(C313,#REF!,#REF!,),_xludf.Xlookup(C313,#REF!,#REF!,))</f>
        <v>#NAME?</v>
      </c>
      <c r="W313" s="8">
        <f t="array" ref="W313">IF($C$4="Giao", _xludf.Xlookup(C313,#REF!,#REF!,),)</f>
        <v>0</v>
      </c>
      <c r="X313" s="9">
        <f t="shared" si="6"/>
        <v>0</v>
      </c>
      <c r="Y313" s="7"/>
      <c r="Z313" s="7"/>
    </row>
    <row r="314" spans="1:26" ht="13" x14ac:dyDescent="0.6">
      <c r="A314" s="28" t="str">
        <f t="shared" si="5"/>
        <v/>
      </c>
      <c r="B314" s="7"/>
      <c r="C314" s="7"/>
      <c r="D314" s="9"/>
      <c r="E314" s="9"/>
      <c r="F314" s="9"/>
      <c r="G314" s="9"/>
      <c r="H314" s="9"/>
      <c r="I314" s="9"/>
      <c r="J314" s="9"/>
      <c r="K314" s="9"/>
      <c r="L314" s="9"/>
      <c r="M314" s="9"/>
      <c r="N314" s="9"/>
      <c r="O314" s="9"/>
      <c r="P314" s="29"/>
      <c r="Q314" s="29"/>
      <c r="R314" s="7"/>
      <c r="S314" s="7"/>
      <c r="T314" s="7" t="str">
        <f ca="1">IFERROR(__xludf.DUMMYFUNCTION("SPARKLINE({
IF(D314="""",0,D314),
IF(F314="""",0,F314),
IF(H314="""",0,H314),
IF(J314="""",0,J314),
IF(L314="""",0,L314),
IF(N314="""",0,N314),
IF(P314="""",0,P314)
})"),"")</f>
        <v/>
      </c>
      <c r="U314" s="7" t="str">
        <f ca="1">IFERROR(__xludf.DUMMYFUNCTION("SPARKLINE({
IF(E314="""",0,E314),
IF(G314="""",0,G314),
IF(I314="""",0,I314),
IF(K314="""",0,K314),
IF(M314="""",0,M314),
IF(O314="""",0,O314),
IF(Q314="""",0,Q314)
})"),"")</f>
        <v/>
      </c>
      <c r="V314" s="8" t="e">
        <f t="array" aca="1" ref="V314" ca="1">IF($C$4="Giao",_xludf.Xlookup(C314,#REF!,#REF!,),_xludf.Xlookup(C314,#REF!,#REF!,))</f>
        <v>#NAME?</v>
      </c>
      <c r="W314" s="8">
        <f t="array" ref="W314">IF($C$4="Giao", _xludf.Xlookup(C314,#REF!,#REF!,),)</f>
        <v>0</v>
      </c>
      <c r="X314" s="9">
        <f t="shared" si="6"/>
        <v>0</v>
      </c>
      <c r="Y314" s="7"/>
      <c r="Z314" s="7"/>
    </row>
    <row r="315" spans="1:26" ht="13" x14ac:dyDescent="0.6">
      <c r="A315" s="28" t="str">
        <f t="shared" si="5"/>
        <v/>
      </c>
      <c r="B315" s="7"/>
      <c r="C315" s="7"/>
      <c r="D315" s="9"/>
      <c r="E315" s="9"/>
      <c r="F315" s="9"/>
      <c r="G315" s="9"/>
      <c r="H315" s="9"/>
      <c r="I315" s="9"/>
      <c r="J315" s="9"/>
      <c r="K315" s="9"/>
      <c r="L315" s="9"/>
      <c r="M315" s="9"/>
      <c r="N315" s="9"/>
      <c r="O315" s="9"/>
      <c r="P315" s="29"/>
      <c r="Q315" s="29"/>
      <c r="R315" s="7"/>
      <c r="S315" s="7"/>
      <c r="T315" s="7" t="str">
        <f ca="1">IFERROR(__xludf.DUMMYFUNCTION("SPARKLINE({
IF(D315="""",0,D315),
IF(F315="""",0,F315),
IF(H315="""",0,H315),
IF(J315="""",0,J315),
IF(L315="""",0,L315),
IF(N315="""",0,N315),
IF(P315="""",0,P315)
})"),"")</f>
        <v/>
      </c>
      <c r="U315" s="7" t="str">
        <f ca="1">IFERROR(__xludf.DUMMYFUNCTION("SPARKLINE({
IF(E315="""",0,E315),
IF(G315="""",0,G315),
IF(I315="""",0,I315),
IF(K315="""",0,K315),
IF(M315="""",0,M315),
IF(O315="""",0,O315),
IF(Q315="""",0,Q315)
})"),"")</f>
        <v/>
      </c>
      <c r="V315" s="8" t="e">
        <f t="array" aca="1" ref="V315" ca="1">IF($C$4="Giao",_xludf.Xlookup(C315,#REF!,#REF!,),_xludf.Xlookup(C315,#REF!,#REF!,))</f>
        <v>#NAME?</v>
      </c>
      <c r="W315" s="8">
        <f t="array" ref="W315">IF($C$4="Giao", _xludf.Xlookup(C315,#REF!,#REF!,),)</f>
        <v>0</v>
      </c>
      <c r="X315" s="9">
        <f t="shared" si="6"/>
        <v>0</v>
      </c>
      <c r="Y315" s="7"/>
      <c r="Z315" s="7"/>
    </row>
    <row r="316" spans="1:26" ht="13" x14ac:dyDescent="0.6">
      <c r="A316" s="28" t="str">
        <f t="shared" si="5"/>
        <v/>
      </c>
      <c r="B316" s="7"/>
      <c r="C316" s="7"/>
      <c r="D316" s="9"/>
      <c r="E316" s="9"/>
      <c r="F316" s="9"/>
      <c r="G316" s="9"/>
      <c r="H316" s="9"/>
      <c r="I316" s="9"/>
      <c r="J316" s="9"/>
      <c r="K316" s="9"/>
      <c r="L316" s="9"/>
      <c r="M316" s="9"/>
      <c r="N316" s="9"/>
      <c r="O316" s="9"/>
      <c r="P316" s="29"/>
      <c r="Q316" s="29"/>
      <c r="R316" s="7"/>
      <c r="S316" s="7"/>
      <c r="T316" s="7" t="str">
        <f ca="1">IFERROR(__xludf.DUMMYFUNCTION("SPARKLINE({
IF(D316="""",0,D316),
IF(F316="""",0,F316),
IF(H316="""",0,H316),
IF(J316="""",0,J316),
IF(L316="""",0,L316),
IF(N316="""",0,N316),
IF(P316="""",0,P316)
})"),"")</f>
        <v/>
      </c>
      <c r="U316" s="7" t="str">
        <f ca="1">IFERROR(__xludf.DUMMYFUNCTION("SPARKLINE({
IF(E316="""",0,E316),
IF(G316="""",0,G316),
IF(I316="""",0,I316),
IF(K316="""",0,K316),
IF(M316="""",0,M316),
IF(O316="""",0,O316),
IF(Q316="""",0,Q316)
})"),"")</f>
        <v/>
      </c>
      <c r="V316" s="8" t="e">
        <f t="array" aca="1" ref="V316" ca="1">IF($C$4="Giao",_xludf.Xlookup(C316,#REF!,#REF!,),_xludf.Xlookup(C316,#REF!,#REF!,))</f>
        <v>#NAME?</v>
      </c>
      <c r="W316" s="8">
        <f t="array" ref="W316">IF($C$4="Giao", _xludf.Xlookup(C316,#REF!,#REF!,),)</f>
        <v>0</v>
      </c>
      <c r="X316" s="9">
        <f t="shared" si="6"/>
        <v>0</v>
      </c>
      <c r="Y316" s="7"/>
      <c r="Z316" s="7"/>
    </row>
    <row r="317" spans="1:26" ht="13" x14ac:dyDescent="0.6">
      <c r="A317" s="28" t="str">
        <f t="shared" si="5"/>
        <v/>
      </c>
      <c r="B317" s="7"/>
      <c r="C317" s="7"/>
      <c r="D317" s="9"/>
      <c r="E317" s="9"/>
      <c r="F317" s="9"/>
      <c r="G317" s="9"/>
      <c r="H317" s="9"/>
      <c r="I317" s="9"/>
      <c r="J317" s="9"/>
      <c r="K317" s="9"/>
      <c r="L317" s="9"/>
      <c r="M317" s="9"/>
      <c r="N317" s="9"/>
      <c r="O317" s="9"/>
      <c r="P317" s="29"/>
      <c r="Q317" s="29"/>
      <c r="R317" s="7"/>
      <c r="S317" s="7"/>
      <c r="T317" s="7" t="str">
        <f ca="1">IFERROR(__xludf.DUMMYFUNCTION("SPARKLINE({
IF(D317="""",0,D317),
IF(F317="""",0,F317),
IF(H317="""",0,H317),
IF(J317="""",0,J317),
IF(L317="""",0,L317),
IF(N317="""",0,N317),
IF(P317="""",0,P317)
})"),"")</f>
        <v/>
      </c>
      <c r="U317" s="7" t="str">
        <f ca="1">IFERROR(__xludf.DUMMYFUNCTION("SPARKLINE({
IF(E317="""",0,E317),
IF(G317="""",0,G317),
IF(I317="""",0,I317),
IF(K317="""",0,K317),
IF(M317="""",0,M317),
IF(O317="""",0,O317),
IF(Q317="""",0,Q317)
})"),"")</f>
        <v/>
      </c>
      <c r="V317" s="8" t="e">
        <f t="array" aca="1" ref="V317" ca="1">IF($C$4="Giao",_xludf.Xlookup(C317,#REF!,#REF!,),_xludf.Xlookup(C317,#REF!,#REF!,))</f>
        <v>#NAME?</v>
      </c>
      <c r="W317" s="8">
        <f t="array" ref="W317">IF($C$4="Giao", _xludf.Xlookup(C317,#REF!,#REF!,),)</f>
        <v>0</v>
      </c>
      <c r="X317" s="9">
        <f t="shared" si="6"/>
        <v>0</v>
      </c>
      <c r="Y317" s="7"/>
      <c r="Z317" s="7"/>
    </row>
    <row r="318" spans="1:26" ht="13" x14ac:dyDescent="0.6">
      <c r="A318" s="28" t="str">
        <f t="shared" si="5"/>
        <v/>
      </c>
      <c r="B318" s="7"/>
      <c r="C318" s="7"/>
      <c r="D318" s="9"/>
      <c r="E318" s="9"/>
      <c r="F318" s="9"/>
      <c r="G318" s="9"/>
      <c r="H318" s="9"/>
      <c r="I318" s="9"/>
      <c r="J318" s="9"/>
      <c r="K318" s="9"/>
      <c r="L318" s="9"/>
      <c r="M318" s="9"/>
      <c r="N318" s="9"/>
      <c r="O318" s="9"/>
      <c r="P318" s="29"/>
      <c r="Q318" s="29"/>
      <c r="R318" s="7"/>
      <c r="S318" s="7"/>
      <c r="T318" s="7" t="str">
        <f ca="1">IFERROR(__xludf.DUMMYFUNCTION("SPARKLINE({
IF(D318="""",0,D318),
IF(F318="""",0,F318),
IF(H318="""",0,H318),
IF(J318="""",0,J318),
IF(L318="""",0,L318),
IF(N318="""",0,N318),
IF(P318="""",0,P318)
})"),"")</f>
        <v/>
      </c>
      <c r="U318" s="7" t="str">
        <f ca="1">IFERROR(__xludf.DUMMYFUNCTION("SPARKLINE({
IF(E318="""",0,E318),
IF(G318="""",0,G318),
IF(I318="""",0,I318),
IF(K318="""",0,K318),
IF(M318="""",0,M318),
IF(O318="""",0,O318),
IF(Q318="""",0,Q318)
})"),"")</f>
        <v/>
      </c>
      <c r="V318" s="8" t="e">
        <f t="array" aca="1" ref="V318" ca="1">IF($C$4="Giao",_xludf.Xlookup(C318,#REF!,#REF!,),_xludf.Xlookup(C318,#REF!,#REF!,))</f>
        <v>#NAME?</v>
      </c>
      <c r="W318" s="8">
        <f t="array" ref="W318">IF($C$4="Giao", _xludf.Xlookup(C318,#REF!,#REF!,),)</f>
        <v>0</v>
      </c>
      <c r="X318" s="9">
        <f t="shared" si="6"/>
        <v>0</v>
      </c>
      <c r="Y318" s="7"/>
      <c r="Z318" s="7"/>
    </row>
    <row r="319" spans="1:26" ht="13" x14ac:dyDescent="0.6">
      <c r="A319" s="28" t="str">
        <f t="shared" si="5"/>
        <v/>
      </c>
      <c r="B319" s="7"/>
      <c r="C319" s="7"/>
      <c r="D319" s="9"/>
      <c r="E319" s="9"/>
      <c r="F319" s="9"/>
      <c r="G319" s="9"/>
      <c r="H319" s="9"/>
      <c r="I319" s="9"/>
      <c r="J319" s="9"/>
      <c r="K319" s="9"/>
      <c r="L319" s="9"/>
      <c r="M319" s="9"/>
      <c r="N319" s="9"/>
      <c r="O319" s="9"/>
      <c r="P319" s="29"/>
      <c r="Q319" s="29"/>
      <c r="R319" s="7"/>
      <c r="S319" s="7"/>
      <c r="T319" s="7" t="str">
        <f ca="1">IFERROR(__xludf.DUMMYFUNCTION("SPARKLINE({
IF(D319="""",0,D319),
IF(F319="""",0,F319),
IF(H319="""",0,H319),
IF(J319="""",0,J319),
IF(L319="""",0,L319),
IF(N319="""",0,N319),
IF(P319="""",0,P319)
})"),"")</f>
        <v/>
      </c>
      <c r="U319" s="7" t="str">
        <f ca="1">IFERROR(__xludf.DUMMYFUNCTION("SPARKLINE({
IF(E319="""",0,E319),
IF(G319="""",0,G319),
IF(I319="""",0,I319),
IF(K319="""",0,K319),
IF(M319="""",0,M319),
IF(O319="""",0,O319),
IF(Q319="""",0,Q319)
})"),"")</f>
        <v/>
      </c>
      <c r="V319" s="8" t="e">
        <f t="array" aca="1" ref="V319" ca="1">IF($C$4="Giao",_xludf.Xlookup(C319,#REF!,#REF!,),_xludf.Xlookup(C319,#REF!,#REF!,))</f>
        <v>#NAME?</v>
      </c>
      <c r="W319" s="8">
        <f t="array" ref="W319">IF($C$4="Giao", _xludf.Xlookup(C319,#REF!,#REF!,),)</f>
        <v>0</v>
      </c>
      <c r="X319" s="9">
        <f t="shared" si="6"/>
        <v>0</v>
      </c>
      <c r="Y319" s="7"/>
      <c r="Z319" s="7"/>
    </row>
    <row r="320" spans="1:26" ht="13" x14ac:dyDescent="0.6">
      <c r="A320" s="28" t="str">
        <f t="shared" si="5"/>
        <v/>
      </c>
      <c r="B320" s="7"/>
      <c r="C320" s="7"/>
      <c r="D320" s="9"/>
      <c r="E320" s="9"/>
      <c r="F320" s="9"/>
      <c r="G320" s="9"/>
      <c r="H320" s="9"/>
      <c r="I320" s="9"/>
      <c r="J320" s="9"/>
      <c r="K320" s="9"/>
      <c r="L320" s="9"/>
      <c r="M320" s="9"/>
      <c r="N320" s="9"/>
      <c r="O320" s="9"/>
      <c r="P320" s="29"/>
      <c r="Q320" s="29"/>
      <c r="R320" s="7"/>
      <c r="S320" s="7"/>
      <c r="T320" s="7" t="str">
        <f ca="1">IFERROR(__xludf.DUMMYFUNCTION("SPARKLINE({
IF(D320="""",0,D320),
IF(F320="""",0,F320),
IF(H320="""",0,H320),
IF(J320="""",0,J320),
IF(L320="""",0,L320),
IF(N320="""",0,N320),
IF(P320="""",0,P320)
})"),"")</f>
        <v/>
      </c>
      <c r="U320" s="7" t="str">
        <f ca="1">IFERROR(__xludf.DUMMYFUNCTION("SPARKLINE({
IF(E320="""",0,E320),
IF(G320="""",0,G320),
IF(I320="""",0,I320),
IF(K320="""",0,K320),
IF(M320="""",0,M320),
IF(O320="""",0,O320),
IF(Q320="""",0,Q320)
})"),"")</f>
        <v/>
      </c>
      <c r="V320" s="8" t="e">
        <f t="array" aca="1" ref="V320" ca="1">IF($C$4="Giao",_xludf.Xlookup(C320,#REF!,#REF!,),_xludf.Xlookup(C320,#REF!,#REF!,))</f>
        <v>#NAME?</v>
      </c>
      <c r="W320" s="8">
        <f t="array" ref="W320">IF($C$4="Giao", _xludf.Xlookup(C320,#REF!,#REF!,),)</f>
        <v>0</v>
      </c>
      <c r="X320" s="9">
        <f t="shared" si="6"/>
        <v>0</v>
      </c>
      <c r="Y320" s="7"/>
      <c r="Z320" s="7"/>
    </row>
    <row r="321" spans="1:26" ht="13" x14ac:dyDescent="0.6">
      <c r="A321" s="28" t="str">
        <f t="shared" si="5"/>
        <v/>
      </c>
      <c r="B321" s="7"/>
      <c r="C321" s="7"/>
      <c r="D321" s="9"/>
      <c r="E321" s="9"/>
      <c r="F321" s="9"/>
      <c r="G321" s="9"/>
      <c r="H321" s="9"/>
      <c r="I321" s="9"/>
      <c r="J321" s="9"/>
      <c r="K321" s="9"/>
      <c r="L321" s="9"/>
      <c r="M321" s="9"/>
      <c r="N321" s="9"/>
      <c r="O321" s="9"/>
      <c r="P321" s="29"/>
      <c r="Q321" s="29"/>
      <c r="R321" s="7"/>
      <c r="S321" s="7"/>
      <c r="T321" s="7" t="str">
        <f ca="1">IFERROR(__xludf.DUMMYFUNCTION("SPARKLINE({
IF(D321="""",0,D321),
IF(F321="""",0,F321),
IF(H321="""",0,H321),
IF(J321="""",0,J321),
IF(L321="""",0,L321),
IF(N321="""",0,N321),
IF(P321="""",0,P321)
})"),"")</f>
        <v/>
      </c>
      <c r="U321" s="7" t="str">
        <f ca="1">IFERROR(__xludf.DUMMYFUNCTION("SPARKLINE({
IF(E321="""",0,E321),
IF(G321="""",0,G321),
IF(I321="""",0,I321),
IF(K321="""",0,K321),
IF(M321="""",0,M321),
IF(O321="""",0,O321),
IF(Q321="""",0,Q321)
})"),"")</f>
        <v/>
      </c>
      <c r="V321" s="8" t="e">
        <f t="array" aca="1" ref="V321" ca="1">IF($C$4="Giao",_xludf.Xlookup(C321,#REF!,#REF!,),_xludf.Xlookup(C321,#REF!,#REF!,))</f>
        <v>#NAME?</v>
      </c>
      <c r="W321" s="8">
        <f t="array" ref="W321">IF($C$4="Giao", _xludf.Xlookup(C321,#REF!,#REF!,),)</f>
        <v>0</v>
      </c>
      <c r="X321" s="9">
        <f t="shared" si="6"/>
        <v>0</v>
      </c>
      <c r="Y321" s="7"/>
      <c r="Z321" s="7"/>
    </row>
    <row r="322" spans="1:26" ht="13" x14ac:dyDescent="0.6">
      <c r="A322" s="28" t="str">
        <f t="shared" si="5"/>
        <v/>
      </c>
      <c r="B322" s="7"/>
      <c r="C322" s="7"/>
      <c r="D322" s="9"/>
      <c r="E322" s="9"/>
      <c r="F322" s="9"/>
      <c r="G322" s="9"/>
      <c r="H322" s="9"/>
      <c r="I322" s="9"/>
      <c r="J322" s="9"/>
      <c r="K322" s="9"/>
      <c r="L322" s="9"/>
      <c r="M322" s="9"/>
      <c r="N322" s="9"/>
      <c r="O322" s="9"/>
      <c r="P322" s="29"/>
      <c r="Q322" s="29"/>
      <c r="R322" s="7"/>
      <c r="S322" s="7"/>
      <c r="T322" s="7" t="str">
        <f ca="1">IFERROR(__xludf.DUMMYFUNCTION("SPARKLINE({
IF(D322="""",0,D322),
IF(F322="""",0,F322),
IF(H322="""",0,H322),
IF(J322="""",0,J322),
IF(L322="""",0,L322),
IF(N322="""",0,N322),
IF(P322="""",0,P322)
})"),"")</f>
        <v/>
      </c>
      <c r="U322" s="7" t="str">
        <f ca="1">IFERROR(__xludf.DUMMYFUNCTION("SPARKLINE({
IF(E322="""",0,E322),
IF(G322="""",0,G322),
IF(I322="""",0,I322),
IF(K322="""",0,K322),
IF(M322="""",0,M322),
IF(O322="""",0,O322),
IF(Q322="""",0,Q322)
})"),"")</f>
        <v/>
      </c>
      <c r="V322" s="8" t="e">
        <f t="array" aca="1" ref="V322" ca="1">IF($C$4="Giao",_xludf.Xlookup(C322,#REF!,#REF!,),_xludf.Xlookup(C322,#REF!,#REF!,))</f>
        <v>#NAME?</v>
      </c>
      <c r="W322" s="8">
        <f t="array" ref="W322">IF($C$4="Giao", _xludf.Xlookup(C322,#REF!,#REF!,),)</f>
        <v>0</v>
      </c>
      <c r="X322" s="9">
        <f t="shared" si="6"/>
        <v>0</v>
      </c>
      <c r="Y322" s="7"/>
      <c r="Z322" s="7"/>
    </row>
    <row r="323" spans="1:26" ht="13" x14ac:dyDescent="0.6">
      <c r="A323" s="28" t="str">
        <f t="shared" si="5"/>
        <v/>
      </c>
      <c r="B323" s="7"/>
      <c r="C323" s="7"/>
      <c r="D323" s="9"/>
      <c r="E323" s="9"/>
      <c r="F323" s="9"/>
      <c r="G323" s="9"/>
      <c r="H323" s="9"/>
      <c r="I323" s="9"/>
      <c r="J323" s="9"/>
      <c r="K323" s="9"/>
      <c r="L323" s="9"/>
      <c r="M323" s="9"/>
      <c r="N323" s="9"/>
      <c r="O323" s="9"/>
      <c r="P323" s="29"/>
      <c r="Q323" s="29"/>
      <c r="R323" s="7"/>
      <c r="S323" s="7"/>
      <c r="T323" s="7" t="str">
        <f ca="1">IFERROR(__xludf.DUMMYFUNCTION("SPARKLINE({
IF(D323="""",0,D323),
IF(F323="""",0,F323),
IF(H323="""",0,H323),
IF(J323="""",0,J323),
IF(L323="""",0,L323),
IF(N323="""",0,N323),
IF(P323="""",0,P323)
})"),"")</f>
        <v/>
      </c>
      <c r="U323" s="7" t="str">
        <f ca="1">IFERROR(__xludf.DUMMYFUNCTION("SPARKLINE({
IF(E323="""",0,E323),
IF(G323="""",0,G323),
IF(I323="""",0,I323),
IF(K323="""",0,K323),
IF(M323="""",0,M323),
IF(O323="""",0,O323),
IF(Q323="""",0,Q323)
})"),"")</f>
        <v/>
      </c>
      <c r="V323" s="8" t="e">
        <f t="array" aca="1" ref="V323" ca="1">IF($C$4="Giao",_xludf.Xlookup(C323,#REF!,#REF!,),_xludf.Xlookup(C323,#REF!,#REF!,))</f>
        <v>#NAME?</v>
      </c>
      <c r="W323" s="8">
        <f t="array" ref="W323">IF($C$4="Giao", _xludf.Xlookup(C323,#REF!,#REF!,),)</f>
        <v>0</v>
      </c>
      <c r="X323" s="9">
        <f t="shared" si="6"/>
        <v>0</v>
      </c>
      <c r="Y323" s="7"/>
      <c r="Z323" s="7"/>
    </row>
    <row r="324" spans="1:26" ht="13" x14ac:dyDescent="0.6">
      <c r="A324" s="28" t="str">
        <f t="shared" si="5"/>
        <v/>
      </c>
      <c r="B324" s="7"/>
      <c r="C324" s="7"/>
      <c r="D324" s="9"/>
      <c r="E324" s="9"/>
      <c r="F324" s="9"/>
      <c r="G324" s="9"/>
      <c r="H324" s="9"/>
      <c r="I324" s="9"/>
      <c r="J324" s="9"/>
      <c r="K324" s="9"/>
      <c r="L324" s="9"/>
      <c r="M324" s="9"/>
      <c r="N324" s="9"/>
      <c r="O324" s="9"/>
      <c r="P324" s="29"/>
      <c r="Q324" s="29"/>
      <c r="R324" s="7"/>
      <c r="S324" s="7"/>
      <c r="T324" s="7" t="str">
        <f ca="1">IFERROR(__xludf.DUMMYFUNCTION("SPARKLINE({
IF(D324="""",0,D324),
IF(F324="""",0,F324),
IF(H324="""",0,H324),
IF(J324="""",0,J324),
IF(L324="""",0,L324),
IF(N324="""",0,N324),
IF(P324="""",0,P324)
})"),"")</f>
        <v/>
      </c>
      <c r="U324" s="7" t="str">
        <f ca="1">IFERROR(__xludf.DUMMYFUNCTION("SPARKLINE({
IF(E324="""",0,E324),
IF(G324="""",0,G324),
IF(I324="""",0,I324),
IF(K324="""",0,K324),
IF(M324="""",0,M324),
IF(O324="""",0,O324),
IF(Q324="""",0,Q324)
})"),"")</f>
        <v/>
      </c>
      <c r="V324" s="8" t="e">
        <f t="array" aca="1" ref="V324" ca="1">IF($C$4="Giao",_xludf.Xlookup(C324,#REF!,#REF!,),_xludf.Xlookup(C324,#REF!,#REF!,))</f>
        <v>#NAME?</v>
      </c>
      <c r="W324" s="8">
        <f t="array" ref="W324">IF($C$4="Giao", _xludf.Xlookup(C324,#REF!,#REF!,),)</f>
        <v>0</v>
      </c>
      <c r="X324" s="9">
        <f t="shared" si="6"/>
        <v>0</v>
      </c>
      <c r="Y324" s="7"/>
      <c r="Z324" s="7"/>
    </row>
    <row r="325" spans="1:26" ht="13" x14ac:dyDescent="0.6">
      <c r="A325" s="28" t="str">
        <f t="shared" si="5"/>
        <v/>
      </c>
      <c r="B325" s="7"/>
      <c r="C325" s="7"/>
      <c r="D325" s="9"/>
      <c r="E325" s="9"/>
      <c r="F325" s="9"/>
      <c r="G325" s="9"/>
      <c r="H325" s="9"/>
      <c r="I325" s="9"/>
      <c r="J325" s="9"/>
      <c r="K325" s="9"/>
      <c r="L325" s="9"/>
      <c r="M325" s="9"/>
      <c r="N325" s="9"/>
      <c r="O325" s="9"/>
      <c r="P325" s="29"/>
      <c r="Q325" s="29"/>
      <c r="R325" s="7"/>
      <c r="S325" s="7"/>
      <c r="T325" s="7" t="str">
        <f ca="1">IFERROR(__xludf.DUMMYFUNCTION("SPARKLINE({
IF(D325="""",0,D325),
IF(F325="""",0,F325),
IF(H325="""",0,H325),
IF(J325="""",0,J325),
IF(L325="""",0,L325),
IF(N325="""",0,N325),
IF(P325="""",0,P325)
})"),"")</f>
        <v/>
      </c>
      <c r="U325" s="7" t="str">
        <f ca="1">IFERROR(__xludf.DUMMYFUNCTION("SPARKLINE({
IF(E325="""",0,E325),
IF(G325="""",0,G325),
IF(I325="""",0,I325),
IF(K325="""",0,K325),
IF(M325="""",0,M325),
IF(O325="""",0,O325),
IF(Q325="""",0,Q325)
})"),"")</f>
        <v/>
      </c>
      <c r="V325" s="8" t="e">
        <f t="array" aca="1" ref="V325" ca="1">IF($C$4="Giao",_xludf.Xlookup(C325,#REF!,#REF!,),_xludf.Xlookup(C325,#REF!,#REF!,))</f>
        <v>#NAME?</v>
      </c>
      <c r="W325" s="8">
        <f t="array" ref="W325">IF($C$4="Giao", _xludf.Xlookup(C325,#REF!,#REF!,),)</f>
        <v>0</v>
      </c>
      <c r="X325" s="9">
        <f t="shared" si="6"/>
        <v>0</v>
      </c>
      <c r="Y325" s="7"/>
      <c r="Z325" s="7"/>
    </row>
    <row r="326" spans="1:26" ht="13" x14ac:dyDescent="0.6">
      <c r="A326" s="28" t="str">
        <f t="shared" si="5"/>
        <v/>
      </c>
      <c r="B326" s="7"/>
      <c r="C326" s="7"/>
      <c r="D326" s="9"/>
      <c r="E326" s="9"/>
      <c r="F326" s="9"/>
      <c r="G326" s="9"/>
      <c r="H326" s="9"/>
      <c r="I326" s="9"/>
      <c r="J326" s="9"/>
      <c r="K326" s="9"/>
      <c r="L326" s="9"/>
      <c r="M326" s="9"/>
      <c r="N326" s="9"/>
      <c r="O326" s="9"/>
      <c r="P326" s="29"/>
      <c r="Q326" s="29"/>
      <c r="R326" s="7"/>
      <c r="S326" s="7"/>
      <c r="T326" s="7" t="str">
        <f ca="1">IFERROR(__xludf.DUMMYFUNCTION("SPARKLINE({
IF(D326="""",0,D326),
IF(F326="""",0,F326),
IF(H326="""",0,H326),
IF(J326="""",0,J326),
IF(L326="""",0,L326),
IF(N326="""",0,N326),
IF(P326="""",0,P326)
})"),"")</f>
        <v/>
      </c>
      <c r="U326" s="7" t="str">
        <f ca="1">IFERROR(__xludf.DUMMYFUNCTION("SPARKLINE({
IF(E326="""",0,E326),
IF(G326="""",0,G326),
IF(I326="""",0,I326),
IF(K326="""",0,K326),
IF(M326="""",0,M326),
IF(O326="""",0,O326),
IF(Q326="""",0,Q326)
})"),"")</f>
        <v/>
      </c>
      <c r="V326" s="8" t="e">
        <f t="array" aca="1" ref="V326" ca="1">IF($C$4="Giao",_xludf.Xlookup(C326,#REF!,#REF!,),_xludf.Xlookup(C326,#REF!,#REF!,))</f>
        <v>#NAME?</v>
      </c>
      <c r="W326" s="8">
        <f t="array" ref="W326">IF($C$4="Giao", _xludf.Xlookup(C326,#REF!,#REF!,),)</f>
        <v>0</v>
      </c>
      <c r="X326" s="9">
        <f t="shared" si="6"/>
        <v>0</v>
      </c>
      <c r="Y326" s="7"/>
      <c r="Z326" s="7"/>
    </row>
    <row r="327" spans="1:26" ht="13" x14ac:dyDescent="0.6">
      <c r="A327" s="28" t="str">
        <f t="shared" si="5"/>
        <v/>
      </c>
      <c r="B327" s="7"/>
      <c r="C327" s="7"/>
      <c r="D327" s="9"/>
      <c r="E327" s="9"/>
      <c r="F327" s="9"/>
      <c r="G327" s="9"/>
      <c r="H327" s="9"/>
      <c r="I327" s="9"/>
      <c r="J327" s="9"/>
      <c r="K327" s="9"/>
      <c r="L327" s="9"/>
      <c r="M327" s="9"/>
      <c r="N327" s="9"/>
      <c r="O327" s="9"/>
      <c r="P327" s="29"/>
      <c r="Q327" s="29"/>
      <c r="R327" s="7"/>
      <c r="S327" s="7"/>
      <c r="T327" s="7" t="str">
        <f ca="1">IFERROR(__xludf.DUMMYFUNCTION("SPARKLINE({
IF(D327="""",0,D327),
IF(F327="""",0,F327),
IF(H327="""",0,H327),
IF(J327="""",0,J327),
IF(L327="""",0,L327),
IF(N327="""",0,N327),
IF(P327="""",0,P327)
})"),"")</f>
        <v/>
      </c>
      <c r="U327" s="7" t="str">
        <f ca="1">IFERROR(__xludf.DUMMYFUNCTION("SPARKLINE({
IF(E327="""",0,E327),
IF(G327="""",0,G327),
IF(I327="""",0,I327),
IF(K327="""",0,K327),
IF(M327="""",0,M327),
IF(O327="""",0,O327),
IF(Q327="""",0,Q327)
})"),"")</f>
        <v/>
      </c>
      <c r="V327" s="8" t="e">
        <f t="array" aca="1" ref="V327" ca="1">IF($C$4="Giao",_xludf.Xlookup(C327,#REF!,#REF!,),_xludf.Xlookup(C327,#REF!,#REF!,))</f>
        <v>#NAME?</v>
      </c>
      <c r="W327" s="8">
        <f t="array" ref="W327">IF($C$4="Giao", _xludf.Xlookup(C327,#REF!,#REF!,),)</f>
        <v>0</v>
      </c>
      <c r="X327" s="9">
        <f t="shared" si="6"/>
        <v>0</v>
      </c>
      <c r="Y327" s="7"/>
      <c r="Z327" s="7"/>
    </row>
    <row r="328" spans="1:26" ht="13" x14ac:dyDescent="0.6">
      <c r="A328" s="28" t="str">
        <f t="shared" si="5"/>
        <v/>
      </c>
      <c r="B328" s="7"/>
      <c r="C328" s="7"/>
      <c r="D328" s="9"/>
      <c r="E328" s="9"/>
      <c r="F328" s="9"/>
      <c r="G328" s="9"/>
      <c r="H328" s="9"/>
      <c r="I328" s="9"/>
      <c r="J328" s="9"/>
      <c r="K328" s="9"/>
      <c r="L328" s="9"/>
      <c r="M328" s="9"/>
      <c r="N328" s="9"/>
      <c r="O328" s="9"/>
      <c r="P328" s="29"/>
      <c r="Q328" s="29"/>
      <c r="R328" s="7"/>
      <c r="S328" s="7"/>
      <c r="T328" s="7" t="str">
        <f ca="1">IFERROR(__xludf.DUMMYFUNCTION("SPARKLINE({
IF(D328="""",0,D328),
IF(F328="""",0,F328),
IF(H328="""",0,H328),
IF(J328="""",0,J328),
IF(L328="""",0,L328),
IF(N328="""",0,N328),
IF(P328="""",0,P328)
})"),"")</f>
        <v/>
      </c>
      <c r="U328" s="7" t="str">
        <f ca="1">IFERROR(__xludf.DUMMYFUNCTION("SPARKLINE({
IF(E328="""",0,E328),
IF(G328="""",0,G328),
IF(I328="""",0,I328),
IF(K328="""",0,K328),
IF(M328="""",0,M328),
IF(O328="""",0,O328),
IF(Q328="""",0,Q328)
})"),"")</f>
        <v/>
      </c>
      <c r="V328" s="8" t="e">
        <f t="array" aca="1" ref="V328" ca="1">IF($C$4="Giao",_xludf.Xlookup(C328,#REF!,#REF!,),_xludf.Xlookup(C328,#REF!,#REF!,))</f>
        <v>#NAME?</v>
      </c>
      <c r="W328" s="8">
        <f t="array" ref="W328">IF($C$4="Giao", _xludf.Xlookup(C328,#REF!,#REF!,),)</f>
        <v>0</v>
      </c>
      <c r="X328" s="9">
        <f t="shared" si="6"/>
        <v>0</v>
      </c>
      <c r="Y328" s="7"/>
      <c r="Z328" s="7"/>
    </row>
    <row r="329" spans="1:26" ht="13" x14ac:dyDescent="0.6">
      <c r="A329" s="28" t="str">
        <f t="shared" si="5"/>
        <v/>
      </c>
      <c r="B329" s="7"/>
      <c r="C329" s="7"/>
      <c r="D329" s="9"/>
      <c r="E329" s="9"/>
      <c r="F329" s="9"/>
      <c r="G329" s="9"/>
      <c r="H329" s="9"/>
      <c r="I329" s="9"/>
      <c r="J329" s="9"/>
      <c r="K329" s="9"/>
      <c r="L329" s="9"/>
      <c r="M329" s="9"/>
      <c r="N329" s="9"/>
      <c r="O329" s="9"/>
      <c r="P329" s="29"/>
      <c r="Q329" s="29"/>
      <c r="R329" s="7"/>
      <c r="S329" s="7"/>
      <c r="T329" s="7" t="str">
        <f ca="1">IFERROR(__xludf.DUMMYFUNCTION("SPARKLINE({
IF(D329="""",0,D329),
IF(F329="""",0,F329),
IF(H329="""",0,H329),
IF(J329="""",0,J329),
IF(L329="""",0,L329),
IF(N329="""",0,N329),
IF(P329="""",0,P329)
})"),"")</f>
        <v/>
      </c>
      <c r="U329" s="7" t="str">
        <f ca="1">IFERROR(__xludf.DUMMYFUNCTION("SPARKLINE({
IF(E329="""",0,E329),
IF(G329="""",0,G329),
IF(I329="""",0,I329),
IF(K329="""",0,K329),
IF(M329="""",0,M329),
IF(O329="""",0,O329),
IF(Q329="""",0,Q329)
})"),"")</f>
        <v/>
      </c>
      <c r="V329" s="8" t="e">
        <f t="array" aca="1" ref="V329" ca="1">IF($C$4="Giao",_xludf.Xlookup(C329,#REF!,#REF!,),_xludf.Xlookup(C329,#REF!,#REF!,))</f>
        <v>#NAME?</v>
      </c>
      <c r="W329" s="8">
        <f t="array" ref="W329">IF($C$4="Giao", _xludf.Xlookup(C329,#REF!,#REF!,),)</f>
        <v>0</v>
      </c>
      <c r="X329" s="9">
        <f t="shared" si="6"/>
        <v>0</v>
      </c>
      <c r="Y329" s="7"/>
      <c r="Z329" s="7"/>
    </row>
    <row r="330" spans="1:26" ht="13" x14ac:dyDescent="0.6">
      <c r="A330" s="28" t="str">
        <f t="shared" si="5"/>
        <v/>
      </c>
      <c r="B330" s="7"/>
      <c r="C330" s="7"/>
      <c r="D330" s="9"/>
      <c r="E330" s="9"/>
      <c r="F330" s="9"/>
      <c r="G330" s="9"/>
      <c r="H330" s="9"/>
      <c r="I330" s="9"/>
      <c r="J330" s="9"/>
      <c r="K330" s="9"/>
      <c r="L330" s="9"/>
      <c r="M330" s="9"/>
      <c r="N330" s="9"/>
      <c r="O330" s="9"/>
      <c r="P330" s="29"/>
      <c r="Q330" s="29"/>
      <c r="R330" s="7"/>
      <c r="S330" s="7"/>
      <c r="T330" s="7" t="str">
        <f ca="1">IFERROR(__xludf.DUMMYFUNCTION("SPARKLINE({
IF(D330="""",0,D330),
IF(F330="""",0,F330),
IF(H330="""",0,H330),
IF(J330="""",0,J330),
IF(L330="""",0,L330),
IF(N330="""",0,N330),
IF(P330="""",0,P330)
})"),"")</f>
        <v/>
      </c>
      <c r="U330" s="7" t="str">
        <f ca="1">IFERROR(__xludf.DUMMYFUNCTION("SPARKLINE({
IF(E330="""",0,E330),
IF(G330="""",0,G330),
IF(I330="""",0,I330),
IF(K330="""",0,K330),
IF(M330="""",0,M330),
IF(O330="""",0,O330),
IF(Q330="""",0,Q330)
})"),"")</f>
        <v/>
      </c>
      <c r="V330" s="8" t="e">
        <f t="array" aca="1" ref="V330" ca="1">IF($C$4="Giao",_xludf.Xlookup(C330,#REF!,#REF!,),_xludf.Xlookup(C330,#REF!,#REF!,))</f>
        <v>#NAME?</v>
      </c>
      <c r="W330" s="8">
        <f t="array" ref="W330">IF($C$4="Giao", _xludf.Xlookup(C330,#REF!,#REF!,),)</f>
        <v>0</v>
      </c>
      <c r="X330" s="9">
        <f t="shared" si="6"/>
        <v>0</v>
      </c>
      <c r="Y330" s="7"/>
      <c r="Z330" s="7"/>
    </row>
    <row r="331" spans="1:26" ht="13" x14ac:dyDescent="0.6">
      <c r="A331" s="28" t="str">
        <f t="shared" si="5"/>
        <v/>
      </c>
      <c r="B331" s="7"/>
      <c r="C331" s="7"/>
      <c r="D331" s="9"/>
      <c r="E331" s="9"/>
      <c r="F331" s="9"/>
      <c r="G331" s="9"/>
      <c r="H331" s="9"/>
      <c r="I331" s="9"/>
      <c r="J331" s="9"/>
      <c r="K331" s="9"/>
      <c r="L331" s="9"/>
      <c r="M331" s="9"/>
      <c r="N331" s="9"/>
      <c r="O331" s="9"/>
      <c r="P331" s="29"/>
      <c r="Q331" s="29"/>
      <c r="R331" s="7"/>
      <c r="S331" s="7"/>
      <c r="T331" s="7" t="str">
        <f ca="1">IFERROR(__xludf.DUMMYFUNCTION("SPARKLINE({
IF(D331="""",0,D331),
IF(F331="""",0,F331),
IF(H331="""",0,H331),
IF(J331="""",0,J331),
IF(L331="""",0,L331),
IF(N331="""",0,N331),
IF(P331="""",0,P331)
})"),"")</f>
        <v/>
      </c>
      <c r="U331" s="7" t="str">
        <f ca="1">IFERROR(__xludf.DUMMYFUNCTION("SPARKLINE({
IF(E331="""",0,E331),
IF(G331="""",0,G331),
IF(I331="""",0,I331),
IF(K331="""",0,K331),
IF(M331="""",0,M331),
IF(O331="""",0,O331),
IF(Q331="""",0,Q331)
})"),"")</f>
        <v/>
      </c>
      <c r="V331" s="8" t="e">
        <f t="array" aca="1" ref="V331" ca="1">IF($C$4="Giao",_xludf.Xlookup(C331,#REF!,#REF!,),_xludf.Xlookup(C331,#REF!,#REF!,))</f>
        <v>#NAME?</v>
      </c>
      <c r="W331" s="8">
        <f t="array" ref="W331">IF($C$4="Giao", _xludf.Xlookup(C331,#REF!,#REF!,),)</f>
        <v>0</v>
      </c>
      <c r="X331" s="9">
        <f t="shared" si="6"/>
        <v>0</v>
      </c>
      <c r="Y331" s="7"/>
      <c r="Z331" s="7"/>
    </row>
    <row r="332" spans="1:26" ht="13" x14ac:dyDescent="0.6">
      <c r="A332" s="28" t="str">
        <f t="shared" si="5"/>
        <v/>
      </c>
      <c r="B332" s="7"/>
      <c r="C332" s="7"/>
      <c r="D332" s="9"/>
      <c r="E332" s="9"/>
      <c r="F332" s="9"/>
      <c r="G332" s="9"/>
      <c r="H332" s="9"/>
      <c r="I332" s="9"/>
      <c r="J332" s="9"/>
      <c r="K332" s="9"/>
      <c r="L332" s="9"/>
      <c r="M332" s="9"/>
      <c r="N332" s="9"/>
      <c r="O332" s="9"/>
      <c r="P332" s="29"/>
      <c r="Q332" s="29"/>
      <c r="R332" s="7"/>
      <c r="S332" s="7"/>
      <c r="T332" s="7" t="str">
        <f ca="1">IFERROR(__xludf.DUMMYFUNCTION("SPARKLINE({
IF(D332="""",0,D332),
IF(F332="""",0,F332),
IF(H332="""",0,H332),
IF(J332="""",0,J332),
IF(L332="""",0,L332),
IF(N332="""",0,N332),
IF(P332="""",0,P332)
})"),"")</f>
        <v/>
      </c>
      <c r="U332" s="7" t="str">
        <f ca="1">IFERROR(__xludf.DUMMYFUNCTION("SPARKLINE({
IF(E332="""",0,E332),
IF(G332="""",0,G332),
IF(I332="""",0,I332),
IF(K332="""",0,K332),
IF(M332="""",0,M332),
IF(O332="""",0,O332),
IF(Q332="""",0,Q332)
})"),"")</f>
        <v/>
      </c>
      <c r="V332" s="8" t="e">
        <f t="array" aca="1" ref="V332" ca="1">IF($C$4="Giao",_xludf.Xlookup(C332,#REF!,#REF!,),_xludf.Xlookup(C332,#REF!,#REF!,))</f>
        <v>#NAME?</v>
      </c>
      <c r="W332" s="8">
        <f t="array" ref="W332">IF($C$4="Giao", _xludf.Xlookup(C332,#REF!,#REF!,),)</f>
        <v>0</v>
      </c>
      <c r="X332" s="9">
        <f t="shared" si="6"/>
        <v>0</v>
      </c>
      <c r="Y332" s="7"/>
      <c r="Z332" s="7"/>
    </row>
    <row r="333" spans="1:26" ht="13" x14ac:dyDescent="0.6">
      <c r="A333" s="28" t="str">
        <f t="shared" si="5"/>
        <v/>
      </c>
      <c r="B333" s="7"/>
      <c r="C333" s="7"/>
      <c r="D333" s="9"/>
      <c r="E333" s="9"/>
      <c r="F333" s="9"/>
      <c r="G333" s="9"/>
      <c r="H333" s="9"/>
      <c r="I333" s="9"/>
      <c r="J333" s="9"/>
      <c r="K333" s="9"/>
      <c r="L333" s="9"/>
      <c r="M333" s="9"/>
      <c r="N333" s="9"/>
      <c r="O333" s="9"/>
      <c r="P333" s="29"/>
      <c r="Q333" s="29"/>
      <c r="R333" s="7"/>
      <c r="S333" s="7"/>
      <c r="T333" s="7" t="str">
        <f ca="1">IFERROR(__xludf.DUMMYFUNCTION("SPARKLINE({
IF(D333="""",0,D333),
IF(F333="""",0,F333),
IF(H333="""",0,H333),
IF(J333="""",0,J333),
IF(L333="""",0,L333),
IF(N333="""",0,N333),
IF(P333="""",0,P333)
})"),"")</f>
        <v/>
      </c>
      <c r="U333" s="7" t="str">
        <f ca="1">IFERROR(__xludf.DUMMYFUNCTION("SPARKLINE({
IF(E333="""",0,E333),
IF(G333="""",0,G333),
IF(I333="""",0,I333),
IF(K333="""",0,K333),
IF(M333="""",0,M333),
IF(O333="""",0,O333),
IF(Q333="""",0,Q333)
})"),"")</f>
        <v/>
      </c>
      <c r="V333" s="8" t="e">
        <f t="array" aca="1" ref="V333" ca="1">IF($C$4="Giao",_xludf.Xlookup(C333,#REF!,#REF!,),_xludf.Xlookup(C333,#REF!,#REF!,))</f>
        <v>#NAME?</v>
      </c>
      <c r="W333" s="8">
        <f t="array" ref="W333">IF($C$4="Giao", _xludf.Xlookup(C333,#REF!,#REF!,),)</f>
        <v>0</v>
      </c>
      <c r="X333" s="9">
        <f t="shared" si="6"/>
        <v>0</v>
      </c>
      <c r="Y333" s="7"/>
      <c r="Z333" s="7"/>
    </row>
    <row r="334" spans="1:26" ht="13" x14ac:dyDescent="0.6">
      <c r="A334" s="28" t="str">
        <f t="shared" si="5"/>
        <v/>
      </c>
      <c r="B334" s="7"/>
      <c r="C334" s="7"/>
      <c r="D334" s="9"/>
      <c r="E334" s="9"/>
      <c r="F334" s="9"/>
      <c r="G334" s="9"/>
      <c r="H334" s="9"/>
      <c r="I334" s="9"/>
      <c r="J334" s="9"/>
      <c r="K334" s="9"/>
      <c r="L334" s="9"/>
      <c r="M334" s="9"/>
      <c r="N334" s="9"/>
      <c r="O334" s="9"/>
      <c r="P334" s="29"/>
      <c r="Q334" s="29"/>
      <c r="R334" s="7"/>
      <c r="S334" s="7"/>
      <c r="T334" s="7" t="str">
        <f ca="1">IFERROR(__xludf.DUMMYFUNCTION("SPARKLINE({
IF(D334="""",0,D334),
IF(F334="""",0,F334),
IF(H334="""",0,H334),
IF(J334="""",0,J334),
IF(L334="""",0,L334),
IF(N334="""",0,N334),
IF(P334="""",0,P334)
})"),"")</f>
        <v/>
      </c>
      <c r="U334" s="7" t="str">
        <f ca="1">IFERROR(__xludf.DUMMYFUNCTION("SPARKLINE({
IF(E334="""",0,E334),
IF(G334="""",0,G334),
IF(I334="""",0,I334),
IF(K334="""",0,K334),
IF(M334="""",0,M334),
IF(O334="""",0,O334),
IF(Q334="""",0,Q334)
})"),"")</f>
        <v/>
      </c>
      <c r="V334" s="8" t="e">
        <f t="array" aca="1" ref="V334" ca="1">IF($C$4="Giao",_xludf.Xlookup(C334,#REF!,#REF!,),_xludf.Xlookup(C334,#REF!,#REF!,))</f>
        <v>#NAME?</v>
      </c>
      <c r="W334" s="8">
        <f t="array" ref="W334">IF($C$4="Giao", _xludf.Xlookup(C334,#REF!,#REF!,),)</f>
        <v>0</v>
      </c>
      <c r="X334" s="9">
        <f t="shared" si="6"/>
        <v>0</v>
      </c>
      <c r="Y334" s="7"/>
      <c r="Z334" s="7"/>
    </row>
    <row r="335" spans="1:26" ht="13" x14ac:dyDescent="0.6">
      <c r="A335" s="28" t="str">
        <f t="shared" si="5"/>
        <v/>
      </c>
      <c r="B335" s="7"/>
      <c r="C335" s="7"/>
      <c r="D335" s="9"/>
      <c r="E335" s="9"/>
      <c r="F335" s="9"/>
      <c r="G335" s="9"/>
      <c r="H335" s="9"/>
      <c r="I335" s="9"/>
      <c r="J335" s="9"/>
      <c r="K335" s="9"/>
      <c r="L335" s="9"/>
      <c r="M335" s="9"/>
      <c r="N335" s="9"/>
      <c r="O335" s="9"/>
      <c r="P335" s="29"/>
      <c r="Q335" s="29"/>
      <c r="R335" s="7"/>
      <c r="S335" s="7"/>
      <c r="T335" s="7" t="str">
        <f ca="1">IFERROR(__xludf.DUMMYFUNCTION("SPARKLINE({
IF(D335="""",0,D335),
IF(F335="""",0,F335),
IF(H335="""",0,H335),
IF(J335="""",0,J335),
IF(L335="""",0,L335),
IF(N335="""",0,N335),
IF(P335="""",0,P335)
})"),"")</f>
        <v/>
      </c>
      <c r="U335" s="7" t="str">
        <f ca="1">IFERROR(__xludf.DUMMYFUNCTION("SPARKLINE({
IF(E335="""",0,E335),
IF(G335="""",0,G335),
IF(I335="""",0,I335),
IF(K335="""",0,K335),
IF(M335="""",0,M335),
IF(O335="""",0,O335),
IF(Q335="""",0,Q335)
})"),"")</f>
        <v/>
      </c>
      <c r="V335" s="8" t="e">
        <f t="array" aca="1" ref="V335" ca="1">IF($C$4="Giao",_xludf.Xlookup(C335,#REF!,#REF!,),_xludf.Xlookup(C335,#REF!,#REF!,))</f>
        <v>#NAME?</v>
      </c>
      <c r="W335" s="8">
        <f t="array" ref="W335">IF($C$4="Giao", _xludf.Xlookup(C335,#REF!,#REF!,),)</f>
        <v>0</v>
      </c>
      <c r="X335" s="9">
        <f t="shared" si="6"/>
        <v>0</v>
      </c>
      <c r="Y335" s="7"/>
      <c r="Z335" s="7"/>
    </row>
    <row r="336" spans="1:26" ht="13" x14ac:dyDescent="0.6">
      <c r="A336" s="28" t="str">
        <f t="shared" si="5"/>
        <v/>
      </c>
      <c r="B336" s="7"/>
      <c r="C336" s="7"/>
      <c r="D336" s="9"/>
      <c r="E336" s="9"/>
      <c r="F336" s="9"/>
      <c r="G336" s="9"/>
      <c r="H336" s="9"/>
      <c r="I336" s="9"/>
      <c r="J336" s="9"/>
      <c r="K336" s="9"/>
      <c r="L336" s="9"/>
      <c r="M336" s="9"/>
      <c r="N336" s="9"/>
      <c r="O336" s="9"/>
      <c r="P336" s="29"/>
      <c r="Q336" s="29"/>
      <c r="R336" s="7"/>
      <c r="S336" s="7"/>
      <c r="T336" s="7" t="str">
        <f ca="1">IFERROR(__xludf.DUMMYFUNCTION("SPARKLINE({
IF(D336="""",0,D336),
IF(F336="""",0,F336),
IF(H336="""",0,H336),
IF(J336="""",0,J336),
IF(L336="""",0,L336),
IF(N336="""",0,N336),
IF(P336="""",0,P336)
})"),"")</f>
        <v/>
      </c>
      <c r="U336" s="7" t="str">
        <f ca="1">IFERROR(__xludf.DUMMYFUNCTION("SPARKLINE({
IF(E336="""",0,E336),
IF(G336="""",0,G336),
IF(I336="""",0,I336),
IF(K336="""",0,K336),
IF(M336="""",0,M336),
IF(O336="""",0,O336),
IF(Q336="""",0,Q336)
})"),"")</f>
        <v/>
      </c>
      <c r="V336" s="8" t="e">
        <f t="array" aca="1" ref="V336" ca="1">IF($C$4="Giao",_xludf.Xlookup(C336,#REF!,#REF!,),_xludf.Xlookup(C336,#REF!,#REF!,))</f>
        <v>#NAME?</v>
      </c>
      <c r="W336" s="8">
        <f t="array" ref="W336">IF($C$4="Giao", _xludf.Xlookup(C336,#REF!,#REF!,),)</f>
        <v>0</v>
      </c>
      <c r="X336" s="9">
        <f t="shared" si="6"/>
        <v>0</v>
      </c>
      <c r="Y336" s="7"/>
      <c r="Z336" s="7"/>
    </row>
    <row r="337" spans="1:26" ht="13" x14ac:dyDescent="0.6">
      <c r="A337" s="28" t="str">
        <f t="shared" si="5"/>
        <v/>
      </c>
      <c r="B337" s="7"/>
      <c r="C337" s="7"/>
      <c r="D337" s="9"/>
      <c r="E337" s="9"/>
      <c r="F337" s="9"/>
      <c r="G337" s="9"/>
      <c r="H337" s="9"/>
      <c r="I337" s="9"/>
      <c r="J337" s="9"/>
      <c r="K337" s="9"/>
      <c r="L337" s="9"/>
      <c r="M337" s="9"/>
      <c r="N337" s="9"/>
      <c r="O337" s="9"/>
      <c r="P337" s="29"/>
      <c r="Q337" s="29"/>
      <c r="R337" s="7"/>
      <c r="S337" s="7"/>
      <c r="T337" s="7" t="str">
        <f ca="1">IFERROR(__xludf.DUMMYFUNCTION("SPARKLINE({
IF(D337="""",0,D337),
IF(F337="""",0,F337),
IF(H337="""",0,H337),
IF(J337="""",0,J337),
IF(L337="""",0,L337),
IF(N337="""",0,N337),
IF(P337="""",0,P337)
})"),"")</f>
        <v/>
      </c>
      <c r="U337" s="7" t="str">
        <f ca="1">IFERROR(__xludf.DUMMYFUNCTION("SPARKLINE({
IF(E337="""",0,E337),
IF(G337="""",0,G337),
IF(I337="""",0,I337),
IF(K337="""",0,K337),
IF(M337="""",0,M337),
IF(O337="""",0,O337),
IF(Q337="""",0,Q337)
})"),"")</f>
        <v/>
      </c>
      <c r="V337" s="8" t="e">
        <f t="array" aca="1" ref="V337" ca="1">IF($C$4="Giao",_xludf.Xlookup(C337,#REF!,#REF!,),_xludf.Xlookup(C337,#REF!,#REF!,))</f>
        <v>#NAME?</v>
      </c>
      <c r="W337" s="8">
        <f t="array" ref="W337">IF($C$4="Giao", _xludf.Xlookup(C337,#REF!,#REF!,),)</f>
        <v>0</v>
      </c>
      <c r="X337" s="9">
        <f t="shared" si="6"/>
        <v>0</v>
      </c>
      <c r="Y337" s="7"/>
      <c r="Z337" s="7"/>
    </row>
    <row r="338" spans="1:26" ht="13" x14ac:dyDescent="0.6">
      <c r="A338" s="28" t="str">
        <f t="shared" si="5"/>
        <v/>
      </c>
      <c r="B338" s="7"/>
      <c r="C338" s="7"/>
      <c r="D338" s="9"/>
      <c r="E338" s="9"/>
      <c r="F338" s="9"/>
      <c r="G338" s="9"/>
      <c r="H338" s="9"/>
      <c r="I338" s="9"/>
      <c r="J338" s="9"/>
      <c r="K338" s="9"/>
      <c r="L338" s="9"/>
      <c r="M338" s="9"/>
      <c r="N338" s="9"/>
      <c r="O338" s="9"/>
      <c r="P338" s="29"/>
      <c r="Q338" s="29"/>
      <c r="R338" s="7"/>
      <c r="S338" s="7"/>
      <c r="T338" s="7" t="str">
        <f ca="1">IFERROR(__xludf.DUMMYFUNCTION("SPARKLINE({
IF(D338="""",0,D338),
IF(F338="""",0,F338),
IF(H338="""",0,H338),
IF(J338="""",0,J338),
IF(L338="""",0,L338),
IF(N338="""",0,N338),
IF(P338="""",0,P338)
})"),"")</f>
        <v/>
      </c>
      <c r="U338" s="7" t="str">
        <f ca="1">IFERROR(__xludf.DUMMYFUNCTION("SPARKLINE({
IF(E338="""",0,E338),
IF(G338="""",0,G338),
IF(I338="""",0,I338),
IF(K338="""",0,K338),
IF(M338="""",0,M338),
IF(O338="""",0,O338),
IF(Q338="""",0,Q338)
})"),"")</f>
        <v/>
      </c>
      <c r="V338" s="8" t="e">
        <f t="array" aca="1" ref="V338" ca="1">IF($C$4="Giao",_xludf.Xlookup(C338,#REF!,#REF!,),_xludf.Xlookup(C338,#REF!,#REF!,))</f>
        <v>#NAME?</v>
      </c>
      <c r="W338" s="8">
        <f t="array" ref="W338">IF($C$4="Giao", _xludf.Xlookup(C338,#REF!,#REF!,),)</f>
        <v>0</v>
      </c>
      <c r="X338" s="9">
        <f t="shared" si="6"/>
        <v>0</v>
      </c>
      <c r="Y338" s="7"/>
      <c r="Z338" s="7"/>
    </row>
    <row r="339" spans="1:26" ht="13" x14ac:dyDescent="0.6">
      <c r="A339" s="28" t="str">
        <f t="shared" si="5"/>
        <v/>
      </c>
      <c r="B339" s="7"/>
      <c r="C339" s="7"/>
      <c r="D339" s="9"/>
      <c r="E339" s="9"/>
      <c r="F339" s="9"/>
      <c r="G339" s="9"/>
      <c r="H339" s="9"/>
      <c r="I339" s="9"/>
      <c r="J339" s="9"/>
      <c r="K339" s="9"/>
      <c r="L339" s="9"/>
      <c r="M339" s="9"/>
      <c r="N339" s="9"/>
      <c r="O339" s="9"/>
      <c r="P339" s="29"/>
      <c r="Q339" s="29"/>
      <c r="R339" s="7"/>
      <c r="S339" s="7"/>
      <c r="T339" s="7" t="str">
        <f ca="1">IFERROR(__xludf.DUMMYFUNCTION("SPARKLINE({
IF(D339="""",0,D339),
IF(F339="""",0,F339),
IF(H339="""",0,H339),
IF(J339="""",0,J339),
IF(L339="""",0,L339),
IF(N339="""",0,N339),
IF(P339="""",0,P339)
})"),"")</f>
        <v/>
      </c>
      <c r="U339" s="7" t="str">
        <f ca="1">IFERROR(__xludf.DUMMYFUNCTION("SPARKLINE({
IF(E339="""",0,E339),
IF(G339="""",0,G339),
IF(I339="""",0,I339),
IF(K339="""",0,K339),
IF(M339="""",0,M339),
IF(O339="""",0,O339),
IF(Q339="""",0,Q339)
})"),"")</f>
        <v/>
      </c>
      <c r="V339" s="8" t="e">
        <f t="array" aca="1" ref="V339" ca="1">IF($C$4="Giao",_xludf.Xlookup(C339,#REF!,#REF!,),_xludf.Xlookup(C339,#REF!,#REF!,))</f>
        <v>#NAME?</v>
      </c>
      <c r="W339" s="8">
        <f t="array" ref="W339">IF($C$4="Giao", _xludf.Xlookup(C339,#REF!,#REF!,),)</f>
        <v>0</v>
      </c>
      <c r="X339" s="9">
        <f t="shared" si="6"/>
        <v>0</v>
      </c>
      <c r="Y339" s="7"/>
      <c r="Z339" s="7"/>
    </row>
    <row r="340" spans="1:26" ht="13" x14ac:dyDescent="0.6">
      <c r="A340" s="28" t="str">
        <f t="shared" si="5"/>
        <v/>
      </c>
      <c r="B340" s="7"/>
      <c r="C340" s="7"/>
      <c r="D340" s="9"/>
      <c r="E340" s="9"/>
      <c r="F340" s="9"/>
      <c r="G340" s="9"/>
      <c r="H340" s="9"/>
      <c r="I340" s="9"/>
      <c r="J340" s="9"/>
      <c r="K340" s="9"/>
      <c r="L340" s="9"/>
      <c r="M340" s="9"/>
      <c r="N340" s="9"/>
      <c r="O340" s="9"/>
      <c r="P340" s="29"/>
      <c r="Q340" s="29"/>
      <c r="R340" s="7"/>
      <c r="S340" s="7"/>
      <c r="T340" s="7" t="str">
        <f ca="1">IFERROR(__xludf.DUMMYFUNCTION("SPARKLINE({
IF(D340="""",0,D340),
IF(F340="""",0,F340),
IF(H340="""",0,H340),
IF(J340="""",0,J340),
IF(L340="""",0,L340),
IF(N340="""",0,N340),
IF(P340="""",0,P340)
})"),"")</f>
        <v/>
      </c>
      <c r="U340" s="7" t="str">
        <f ca="1">IFERROR(__xludf.DUMMYFUNCTION("SPARKLINE({
IF(E340="""",0,E340),
IF(G340="""",0,G340),
IF(I340="""",0,I340),
IF(K340="""",0,K340),
IF(M340="""",0,M340),
IF(O340="""",0,O340),
IF(Q340="""",0,Q340)
})"),"")</f>
        <v/>
      </c>
      <c r="V340" s="8" t="e">
        <f t="array" aca="1" ref="V340" ca="1">IF($C$4="Giao",_xludf.Xlookup(C340,#REF!,#REF!,),_xludf.Xlookup(C340,#REF!,#REF!,))</f>
        <v>#NAME?</v>
      </c>
      <c r="W340" s="8">
        <f t="array" ref="W340">IF($C$4="Giao", _xludf.Xlookup(C340,#REF!,#REF!,),)</f>
        <v>0</v>
      </c>
      <c r="X340" s="9">
        <f t="shared" si="6"/>
        <v>0</v>
      </c>
      <c r="Y340" s="7"/>
      <c r="Z340" s="7"/>
    </row>
    <row r="341" spans="1:26" ht="13" x14ac:dyDescent="0.6">
      <c r="A341" s="28" t="str">
        <f t="shared" si="5"/>
        <v/>
      </c>
      <c r="B341" s="7"/>
      <c r="C341" s="7"/>
      <c r="D341" s="9"/>
      <c r="E341" s="9"/>
      <c r="F341" s="9"/>
      <c r="G341" s="9"/>
      <c r="H341" s="9"/>
      <c r="I341" s="9"/>
      <c r="J341" s="9"/>
      <c r="K341" s="9"/>
      <c r="L341" s="9"/>
      <c r="M341" s="9"/>
      <c r="N341" s="9"/>
      <c r="O341" s="9"/>
      <c r="P341" s="29"/>
      <c r="Q341" s="29"/>
      <c r="R341" s="7"/>
      <c r="S341" s="7"/>
      <c r="T341" s="7" t="str">
        <f ca="1">IFERROR(__xludf.DUMMYFUNCTION("SPARKLINE({
IF(D341="""",0,D341),
IF(F341="""",0,F341),
IF(H341="""",0,H341),
IF(J341="""",0,J341),
IF(L341="""",0,L341),
IF(N341="""",0,N341),
IF(P341="""",0,P341)
})"),"")</f>
        <v/>
      </c>
      <c r="U341" s="7" t="str">
        <f ca="1">IFERROR(__xludf.DUMMYFUNCTION("SPARKLINE({
IF(E341="""",0,E341),
IF(G341="""",0,G341),
IF(I341="""",0,I341),
IF(K341="""",0,K341),
IF(M341="""",0,M341),
IF(O341="""",0,O341),
IF(Q341="""",0,Q341)
})"),"")</f>
        <v/>
      </c>
      <c r="V341" s="8" t="e">
        <f t="array" aca="1" ref="V341" ca="1">IF($C$4="Giao",_xludf.Xlookup(C341,#REF!,#REF!,),_xludf.Xlookup(C341,#REF!,#REF!,))</f>
        <v>#NAME?</v>
      </c>
      <c r="W341" s="8">
        <f t="array" ref="W341">IF($C$4="Giao", _xludf.Xlookup(C341,#REF!,#REF!,),)</f>
        <v>0</v>
      </c>
      <c r="X341" s="9">
        <f t="shared" si="6"/>
        <v>0</v>
      </c>
      <c r="Y341" s="7"/>
      <c r="Z341" s="7"/>
    </row>
    <row r="342" spans="1:26" ht="13" x14ac:dyDescent="0.6">
      <c r="A342" s="28" t="str">
        <f t="shared" si="5"/>
        <v/>
      </c>
      <c r="B342" s="7"/>
      <c r="C342" s="7"/>
      <c r="D342" s="9"/>
      <c r="E342" s="9"/>
      <c r="F342" s="9"/>
      <c r="G342" s="9"/>
      <c r="H342" s="9"/>
      <c r="I342" s="9"/>
      <c r="J342" s="9"/>
      <c r="K342" s="9"/>
      <c r="L342" s="9"/>
      <c r="M342" s="9"/>
      <c r="N342" s="9"/>
      <c r="O342" s="9"/>
      <c r="P342" s="29"/>
      <c r="Q342" s="29"/>
      <c r="R342" s="7"/>
      <c r="S342" s="7"/>
      <c r="T342" s="7" t="str">
        <f ca="1">IFERROR(__xludf.DUMMYFUNCTION("SPARKLINE({
IF(D342="""",0,D342),
IF(F342="""",0,F342),
IF(H342="""",0,H342),
IF(J342="""",0,J342),
IF(L342="""",0,L342),
IF(N342="""",0,N342),
IF(P342="""",0,P342)
})"),"")</f>
        <v/>
      </c>
      <c r="U342" s="7" t="str">
        <f ca="1">IFERROR(__xludf.DUMMYFUNCTION("SPARKLINE({
IF(E342="""",0,E342),
IF(G342="""",0,G342),
IF(I342="""",0,I342),
IF(K342="""",0,K342),
IF(M342="""",0,M342),
IF(O342="""",0,O342),
IF(Q342="""",0,Q342)
})"),"")</f>
        <v/>
      </c>
      <c r="V342" s="8" t="e">
        <f t="array" aca="1" ref="V342" ca="1">IF($C$4="Giao",_xludf.Xlookup(C342,#REF!,#REF!,),_xludf.Xlookup(C342,#REF!,#REF!,))</f>
        <v>#NAME?</v>
      </c>
      <c r="W342" s="8">
        <f t="array" ref="W342">IF($C$4="Giao", _xludf.Xlookup(C342,#REF!,#REF!,),)</f>
        <v>0</v>
      </c>
      <c r="X342" s="9">
        <f t="shared" si="6"/>
        <v>0</v>
      </c>
      <c r="Y342" s="7"/>
      <c r="Z342" s="7"/>
    </row>
    <row r="343" spans="1:26" ht="13" x14ac:dyDescent="0.6">
      <c r="A343" s="28" t="str">
        <f t="shared" si="5"/>
        <v/>
      </c>
      <c r="B343" s="7"/>
      <c r="C343" s="7"/>
      <c r="D343" s="9"/>
      <c r="E343" s="9"/>
      <c r="F343" s="9"/>
      <c r="G343" s="9"/>
      <c r="H343" s="9"/>
      <c r="I343" s="9"/>
      <c r="J343" s="9"/>
      <c r="K343" s="9"/>
      <c r="L343" s="9"/>
      <c r="M343" s="9"/>
      <c r="N343" s="9"/>
      <c r="O343" s="9"/>
      <c r="P343" s="29"/>
      <c r="Q343" s="29"/>
      <c r="R343" s="7"/>
      <c r="S343" s="7"/>
      <c r="T343" s="7" t="str">
        <f ca="1">IFERROR(__xludf.DUMMYFUNCTION("SPARKLINE({
IF(D343="""",0,D343),
IF(F343="""",0,F343),
IF(H343="""",0,H343),
IF(J343="""",0,J343),
IF(L343="""",0,L343),
IF(N343="""",0,N343),
IF(P343="""",0,P343)
})"),"")</f>
        <v/>
      </c>
      <c r="U343" s="7" t="str">
        <f ca="1">IFERROR(__xludf.DUMMYFUNCTION("SPARKLINE({
IF(E343="""",0,E343),
IF(G343="""",0,G343),
IF(I343="""",0,I343),
IF(K343="""",0,K343),
IF(M343="""",0,M343),
IF(O343="""",0,O343),
IF(Q343="""",0,Q343)
})"),"")</f>
        <v/>
      </c>
      <c r="V343" s="8" t="e">
        <f t="array" aca="1" ref="V343" ca="1">IF($C$4="Giao",_xludf.Xlookup(C343,#REF!,#REF!,),_xludf.Xlookup(C343,#REF!,#REF!,))</f>
        <v>#NAME?</v>
      </c>
      <c r="W343" s="8">
        <f t="array" ref="W343">IF($C$4="Giao", _xludf.Xlookup(C343,#REF!,#REF!,),)</f>
        <v>0</v>
      </c>
      <c r="X343" s="9">
        <f t="shared" si="6"/>
        <v>0</v>
      </c>
      <c r="Y343" s="7"/>
      <c r="Z343" s="7"/>
    </row>
    <row r="344" spans="1:26" ht="13" x14ac:dyDescent="0.6">
      <c r="A344" s="28" t="str">
        <f t="shared" si="5"/>
        <v/>
      </c>
      <c r="B344" s="7"/>
      <c r="C344" s="7"/>
      <c r="D344" s="9"/>
      <c r="E344" s="9"/>
      <c r="F344" s="9"/>
      <c r="G344" s="9"/>
      <c r="H344" s="9"/>
      <c r="I344" s="9"/>
      <c r="J344" s="9"/>
      <c r="K344" s="9"/>
      <c r="L344" s="9"/>
      <c r="M344" s="9"/>
      <c r="N344" s="9"/>
      <c r="O344" s="9"/>
      <c r="P344" s="29"/>
      <c r="Q344" s="29"/>
      <c r="R344" s="7"/>
      <c r="S344" s="7"/>
      <c r="T344" s="7" t="str">
        <f ca="1">IFERROR(__xludf.DUMMYFUNCTION("SPARKLINE({
IF(D344="""",0,D344),
IF(F344="""",0,F344),
IF(H344="""",0,H344),
IF(J344="""",0,J344),
IF(L344="""",0,L344),
IF(N344="""",0,N344),
IF(P344="""",0,P344)
})"),"")</f>
        <v/>
      </c>
      <c r="U344" s="7" t="str">
        <f ca="1">IFERROR(__xludf.DUMMYFUNCTION("SPARKLINE({
IF(E344="""",0,E344),
IF(G344="""",0,G344),
IF(I344="""",0,I344),
IF(K344="""",0,K344),
IF(M344="""",0,M344),
IF(O344="""",0,O344),
IF(Q344="""",0,Q344)
})"),"")</f>
        <v/>
      </c>
      <c r="V344" s="8" t="e">
        <f t="array" aca="1" ref="V344" ca="1">IF($C$4="Giao",_xludf.Xlookup(C344,#REF!,#REF!,),_xludf.Xlookup(C344,#REF!,#REF!,))</f>
        <v>#NAME?</v>
      </c>
      <c r="W344" s="8">
        <f t="array" ref="W344">IF($C$4="Giao", _xludf.Xlookup(C344,#REF!,#REF!,),)</f>
        <v>0</v>
      </c>
      <c r="X344" s="9">
        <f t="shared" si="6"/>
        <v>0</v>
      </c>
      <c r="Y344" s="7"/>
      <c r="Z344" s="7"/>
    </row>
    <row r="345" spans="1:26" ht="13" x14ac:dyDescent="0.6">
      <c r="A345" s="28" t="str">
        <f t="shared" si="5"/>
        <v/>
      </c>
      <c r="B345" s="7"/>
      <c r="C345" s="7"/>
      <c r="D345" s="9"/>
      <c r="E345" s="9"/>
      <c r="F345" s="9"/>
      <c r="G345" s="9"/>
      <c r="H345" s="9"/>
      <c r="I345" s="9"/>
      <c r="J345" s="9"/>
      <c r="K345" s="9"/>
      <c r="L345" s="9"/>
      <c r="M345" s="9"/>
      <c r="N345" s="9"/>
      <c r="O345" s="9"/>
      <c r="P345" s="29"/>
      <c r="Q345" s="29"/>
      <c r="R345" s="7"/>
      <c r="S345" s="7"/>
      <c r="T345" s="7" t="str">
        <f ca="1">IFERROR(__xludf.DUMMYFUNCTION("SPARKLINE({
IF(D345="""",0,D345),
IF(F345="""",0,F345),
IF(H345="""",0,H345),
IF(J345="""",0,J345),
IF(L345="""",0,L345),
IF(N345="""",0,N345),
IF(P345="""",0,P345)
})"),"")</f>
        <v/>
      </c>
      <c r="U345" s="7" t="str">
        <f ca="1">IFERROR(__xludf.DUMMYFUNCTION("SPARKLINE({
IF(E345="""",0,E345),
IF(G345="""",0,G345),
IF(I345="""",0,I345),
IF(K345="""",0,K345),
IF(M345="""",0,M345),
IF(O345="""",0,O345),
IF(Q345="""",0,Q345)
})"),"")</f>
        <v/>
      </c>
      <c r="V345" s="8" t="e">
        <f t="array" aca="1" ref="V345" ca="1">IF($C$4="Giao",_xludf.Xlookup(C345,#REF!,#REF!,),_xludf.Xlookup(C345,#REF!,#REF!,))</f>
        <v>#NAME?</v>
      </c>
      <c r="W345" s="8">
        <f t="array" ref="W345">IF($C$4="Giao", _xludf.Xlookup(C345,#REF!,#REF!,),)</f>
        <v>0</v>
      </c>
      <c r="X345" s="9">
        <f t="shared" si="6"/>
        <v>0</v>
      </c>
      <c r="Y345" s="7"/>
      <c r="Z345" s="7"/>
    </row>
    <row r="346" spans="1:26" ht="13" x14ac:dyDescent="0.6">
      <c r="A346" s="28" t="str">
        <f t="shared" si="5"/>
        <v/>
      </c>
      <c r="B346" s="7"/>
      <c r="C346" s="7"/>
      <c r="D346" s="9"/>
      <c r="E346" s="9"/>
      <c r="F346" s="9"/>
      <c r="G346" s="9"/>
      <c r="H346" s="9"/>
      <c r="I346" s="9"/>
      <c r="J346" s="9"/>
      <c r="K346" s="9"/>
      <c r="L346" s="9"/>
      <c r="M346" s="9"/>
      <c r="N346" s="9"/>
      <c r="O346" s="9"/>
      <c r="P346" s="29"/>
      <c r="Q346" s="29"/>
      <c r="R346" s="7"/>
      <c r="S346" s="7"/>
      <c r="T346" s="7" t="str">
        <f ca="1">IFERROR(__xludf.DUMMYFUNCTION("SPARKLINE({
IF(D346="""",0,D346),
IF(F346="""",0,F346),
IF(H346="""",0,H346),
IF(J346="""",0,J346),
IF(L346="""",0,L346),
IF(N346="""",0,N346),
IF(P346="""",0,P346)
})"),"")</f>
        <v/>
      </c>
      <c r="U346" s="7" t="str">
        <f ca="1">IFERROR(__xludf.DUMMYFUNCTION("SPARKLINE({
IF(E346="""",0,E346),
IF(G346="""",0,G346),
IF(I346="""",0,I346),
IF(K346="""",0,K346),
IF(M346="""",0,M346),
IF(O346="""",0,O346),
IF(Q346="""",0,Q346)
})"),"")</f>
        <v/>
      </c>
      <c r="V346" s="8" t="e">
        <f t="array" aca="1" ref="V346" ca="1">IF($C$4="Giao",_xludf.Xlookup(C346,#REF!,#REF!,),_xludf.Xlookup(C346,#REF!,#REF!,))</f>
        <v>#NAME?</v>
      </c>
      <c r="W346" s="8">
        <f t="array" ref="W346">IF($C$4="Giao", _xludf.Xlookup(C346,#REF!,#REF!,),)</f>
        <v>0</v>
      </c>
      <c r="X346" s="9">
        <f t="shared" si="6"/>
        <v>0</v>
      </c>
      <c r="Y346" s="7"/>
      <c r="Z346" s="7"/>
    </row>
    <row r="347" spans="1:26" ht="13" x14ac:dyDescent="0.6">
      <c r="A347" s="28" t="str">
        <f t="shared" si="5"/>
        <v/>
      </c>
      <c r="B347" s="7"/>
      <c r="C347" s="7"/>
      <c r="D347" s="9"/>
      <c r="E347" s="9"/>
      <c r="F347" s="9"/>
      <c r="G347" s="9"/>
      <c r="H347" s="9"/>
      <c r="I347" s="9"/>
      <c r="J347" s="9"/>
      <c r="K347" s="9"/>
      <c r="L347" s="9"/>
      <c r="M347" s="9"/>
      <c r="N347" s="9"/>
      <c r="O347" s="9"/>
      <c r="P347" s="29"/>
      <c r="Q347" s="29"/>
      <c r="R347" s="7"/>
      <c r="S347" s="7"/>
      <c r="T347" s="7" t="str">
        <f ca="1">IFERROR(__xludf.DUMMYFUNCTION("SPARKLINE({
IF(D347="""",0,D347),
IF(F347="""",0,F347),
IF(H347="""",0,H347),
IF(J347="""",0,J347),
IF(L347="""",0,L347),
IF(N347="""",0,N347),
IF(P347="""",0,P347)
})"),"")</f>
        <v/>
      </c>
      <c r="U347" s="7" t="str">
        <f ca="1">IFERROR(__xludf.DUMMYFUNCTION("SPARKLINE({
IF(E347="""",0,E347),
IF(G347="""",0,G347),
IF(I347="""",0,I347),
IF(K347="""",0,K347),
IF(M347="""",0,M347),
IF(O347="""",0,O347),
IF(Q347="""",0,Q347)
})"),"")</f>
        <v/>
      </c>
      <c r="V347" s="8" t="e">
        <f t="array" aca="1" ref="V347" ca="1">IF($C$4="Giao",_xludf.Xlookup(C347,#REF!,#REF!,),_xludf.Xlookup(C347,#REF!,#REF!,))</f>
        <v>#NAME?</v>
      </c>
      <c r="W347" s="8">
        <f t="array" ref="W347">IF($C$4="Giao", _xludf.Xlookup(C347,#REF!,#REF!,),)</f>
        <v>0</v>
      </c>
      <c r="X347" s="9">
        <f t="shared" si="6"/>
        <v>0</v>
      </c>
      <c r="Y347" s="7"/>
      <c r="Z347" s="7"/>
    </row>
    <row r="348" spans="1:26" ht="13" x14ac:dyDescent="0.6">
      <c r="A348" s="28" t="str">
        <f t="shared" si="5"/>
        <v/>
      </c>
      <c r="B348" s="7"/>
      <c r="C348" s="7"/>
      <c r="D348" s="9"/>
      <c r="E348" s="9"/>
      <c r="F348" s="9"/>
      <c r="G348" s="9"/>
      <c r="H348" s="9"/>
      <c r="I348" s="9"/>
      <c r="J348" s="9"/>
      <c r="K348" s="9"/>
      <c r="L348" s="9"/>
      <c r="M348" s="9"/>
      <c r="N348" s="9"/>
      <c r="O348" s="9"/>
      <c r="P348" s="29"/>
      <c r="Q348" s="29"/>
      <c r="R348" s="7"/>
      <c r="S348" s="7"/>
      <c r="T348" s="7" t="str">
        <f ca="1">IFERROR(__xludf.DUMMYFUNCTION("SPARKLINE({
IF(D348="""",0,D348),
IF(F348="""",0,F348),
IF(H348="""",0,H348),
IF(J348="""",0,J348),
IF(L348="""",0,L348),
IF(N348="""",0,N348),
IF(P348="""",0,P348)
})"),"")</f>
        <v/>
      </c>
      <c r="U348" s="7" t="str">
        <f ca="1">IFERROR(__xludf.DUMMYFUNCTION("SPARKLINE({
IF(E348="""",0,E348),
IF(G348="""",0,G348),
IF(I348="""",0,I348),
IF(K348="""",0,K348),
IF(M348="""",0,M348),
IF(O348="""",0,O348),
IF(Q348="""",0,Q348)
})"),"")</f>
        <v/>
      </c>
      <c r="V348" s="8" t="e">
        <f t="array" aca="1" ref="V348" ca="1">IF($C$4="Giao",_xludf.Xlookup(C348,#REF!,#REF!,),_xludf.Xlookup(C348,#REF!,#REF!,))</f>
        <v>#NAME?</v>
      </c>
      <c r="W348" s="8">
        <f t="array" ref="W348">IF($C$4="Giao", _xludf.Xlookup(C348,#REF!,#REF!,),)</f>
        <v>0</v>
      </c>
      <c r="X348" s="9">
        <f t="shared" si="6"/>
        <v>0</v>
      </c>
      <c r="Y348" s="7"/>
      <c r="Z348" s="7"/>
    </row>
    <row r="349" spans="1:26" ht="13" x14ac:dyDescent="0.6">
      <c r="A349" s="28" t="str">
        <f t="shared" si="5"/>
        <v/>
      </c>
      <c r="B349" s="7"/>
      <c r="C349" s="7"/>
      <c r="D349" s="9"/>
      <c r="E349" s="9"/>
      <c r="F349" s="9"/>
      <c r="G349" s="9"/>
      <c r="H349" s="9"/>
      <c r="I349" s="9"/>
      <c r="J349" s="9"/>
      <c r="K349" s="9"/>
      <c r="L349" s="9"/>
      <c r="M349" s="9"/>
      <c r="N349" s="9"/>
      <c r="O349" s="9"/>
      <c r="P349" s="29"/>
      <c r="Q349" s="29"/>
      <c r="R349" s="7"/>
      <c r="S349" s="7"/>
      <c r="T349" s="7" t="str">
        <f ca="1">IFERROR(__xludf.DUMMYFUNCTION("SPARKLINE({
IF(D349="""",0,D349),
IF(F349="""",0,F349),
IF(H349="""",0,H349),
IF(J349="""",0,J349),
IF(L349="""",0,L349),
IF(N349="""",0,N349),
IF(P349="""",0,P349)
})"),"")</f>
        <v/>
      </c>
      <c r="U349" s="7" t="str">
        <f ca="1">IFERROR(__xludf.DUMMYFUNCTION("SPARKLINE({
IF(E349="""",0,E349),
IF(G349="""",0,G349),
IF(I349="""",0,I349),
IF(K349="""",0,K349),
IF(M349="""",0,M349),
IF(O349="""",0,O349),
IF(Q349="""",0,Q349)
})"),"")</f>
        <v/>
      </c>
      <c r="V349" s="8" t="e">
        <f t="array" aca="1" ref="V349" ca="1">IF($C$4="Giao",_xludf.Xlookup(C349,#REF!,#REF!,),_xludf.Xlookup(C349,#REF!,#REF!,))</f>
        <v>#NAME?</v>
      </c>
      <c r="W349" s="8">
        <f t="array" ref="W349">IF($C$4="Giao", _xludf.Xlookup(C349,#REF!,#REF!,),)</f>
        <v>0</v>
      </c>
      <c r="X349" s="9">
        <f t="shared" si="6"/>
        <v>0</v>
      </c>
      <c r="Y349" s="7"/>
      <c r="Z349" s="7"/>
    </row>
    <row r="350" spans="1:26" ht="13" x14ac:dyDescent="0.6">
      <c r="A350" s="28" t="str">
        <f t="shared" si="5"/>
        <v/>
      </c>
      <c r="B350" s="7"/>
      <c r="C350" s="7"/>
      <c r="D350" s="9"/>
      <c r="E350" s="9"/>
      <c r="F350" s="9"/>
      <c r="G350" s="9"/>
      <c r="H350" s="9"/>
      <c r="I350" s="9"/>
      <c r="J350" s="9"/>
      <c r="K350" s="9"/>
      <c r="L350" s="9"/>
      <c r="M350" s="9"/>
      <c r="N350" s="9"/>
      <c r="O350" s="9"/>
      <c r="P350" s="29"/>
      <c r="Q350" s="29"/>
      <c r="R350" s="7"/>
      <c r="S350" s="7"/>
      <c r="T350" s="7" t="str">
        <f ca="1">IFERROR(__xludf.DUMMYFUNCTION("SPARKLINE({
IF(D350="""",0,D350),
IF(F350="""",0,F350),
IF(H350="""",0,H350),
IF(J350="""",0,J350),
IF(L350="""",0,L350),
IF(N350="""",0,N350),
IF(P350="""",0,P350)
})"),"")</f>
        <v/>
      </c>
      <c r="U350" s="7" t="str">
        <f ca="1">IFERROR(__xludf.DUMMYFUNCTION("SPARKLINE({
IF(E350="""",0,E350),
IF(G350="""",0,G350),
IF(I350="""",0,I350),
IF(K350="""",0,K350),
IF(M350="""",0,M350),
IF(O350="""",0,O350),
IF(Q350="""",0,Q350)
})"),"")</f>
        <v/>
      </c>
      <c r="V350" s="8" t="e">
        <f t="array" aca="1" ref="V350" ca="1">IF($C$4="Giao",_xludf.Xlookup(C350,#REF!,#REF!,),_xludf.Xlookup(C350,#REF!,#REF!,))</f>
        <v>#NAME?</v>
      </c>
      <c r="W350" s="8">
        <f t="array" ref="W350">IF($C$4="Giao", _xludf.Xlookup(C350,#REF!,#REF!,),)</f>
        <v>0</v>
      </c>
      <c r="X350" s="9">
        <f t="shared" si="6"/>
        <v>0</v>
      </c>
      <c r="Y350" s="7"/>
      <c r="Z350" s="7"/>
    </row>
    <row r="351" spans="1:26" ht="13" x14ac:dyDescent="0.6">
      <c r="A351" s="28" t="str">
        <f t="shared" si="5"/>
        <v/>
      </c>
      <c r="B351" s="7"/>
      <c r="C351" s="7"/>
      <c r="D351" s="9"/>
      <c r="E351" s="9"/>
      <c r="F351" s="9"/>
      <c r="G351" s="9"/>
      <c r="H351" s="9"/>
      <c r="I351" s="9"/>
      <c r="J351" s="9"/>
      <c r="K351" s="9"/>
      <c r="L351" s="9"/>
      <c r="M351" s="9"/>
      <c r="N351" s="9"/>
      <c r="O351" s="9"/>
      <c r="P351" s="29"/>
      <c r="Q351" s="29"/>
      <c r="R351" s="7"/>
      <c r="S351" s="7"/>
      <c r="T351" s="7" t="str">
        <f ca="1">IFERROR(__xludf.DUMMYFUNCTION("SPARKLINE({
IF(D351="""",0,D351),
IF(F351="""",0,F351),
IF(H351="""",0,H351),
IF(J351="""",0,J351),
IF(L351="""",0,L351),
IF(N351="""",0,N351),
IF(P351="""",0,P351)
})"),"")</f>
        <v/>
      </c>
      <c r="U351" s="7" t="str">
        <f ca="1">IFERROR(__xludf.DUMMYFUNCTION("SPARKLINE({
IF(E351="""",0,E351),
IF(G351="""",0,G351),
IF(I351="""",0,I351),
IF(K351="""",0,K351),
IF(M351="""",0,M351),
IF(O351="""",0,O351),
IF(Q351="""",0,Q351)
})"),"")</f>
        <v/>
      </c>
      <c r="V351" s="8" t="e">
        <f t="array" aca="1" ref="V351" ca="1">IF($C$4="Giao",_xludf.Xlookup(C351,#REF!,#REF!,),_xludf.Xlookup(C351,#REF!,#REF!,))</f>
        <v>#NAME?</v>
      </c>
      <c r="W351" s="8">
        <f t="array" ref="W351">IF($C$4="Giao", _xludf.Xlookup(C351,#REF!,#REF!,),)</f>
        <v>0</v>
      </c>
      <c r="X351" s="9">
        <f t="shared" si="6"/>
        <v>0</v>
      </c>
      <c r="Y351" s="7"/>
      <c r="Z351" s="7"/>
    </row>
    <row r="352" spans="1:26" ht="13" x14ac:dyDescent="0.6">
      <c r="A352" s="28" t="str">
        <f t="shared" si="5"/>
        <v/>
      </c>
      <c r="B352" s="7"/>
      <c r="C352" s="7"/>
      <c r="D352" s="9"/>
      <c r="E352" s="9"/>
      <c r="F352" s="9"/>
      <c r="G352" s="9"/>
      <c r="H352" s="9"/>
      <c r="I352" s="9"/>
      <c r="J352" s="9"/>
      <c r="K352" s="9"/>
      <c r="L352" s="9"/>
      <c r="M352" s="9"/>
      <c r="N352" s="9"/>
      <c r="O352" s="9"/>
      <c r="P352" s="29"/>
      <c r="Q352" s="29"/>
      <c r="R352" s="7"/>
      <c r="S352" s="7"/>
      <c r="T352" s="7" t="str">
        <f ca="1">IFERROR(__xludf.DUMMYFUNCTION("SPARKLINE({
IF(D352="""",0,D352),
IF(F352="""",0,F352),
IF(H352="""",0,H352),
IF(J352="""",0,J352),
IF(L352="""",0,L352),
IF(N352="""",0,N352),
IF(P352="""",0,P352)
})"),"")</f>
        <v/>
      </c>
      <c r="U352" s="7" t="str">
        <f ca="1">IFERROR(__xludf.DUMMYFUNCTION("SPARKLINE({
IF(E352="""",0,E352),
IF(G352="""",0,G352),
IF(I352="""",0,I352),
IF(K352="""",0,K352),
IF(M352="""",0,M352),
IF(O352="""",0,O352),
IF(Q352="""",0,Q352)
})"),"")</f>
        <v/>
      </c>
      <c r="V352" s="8" t="e">
        <f t="array" aca="1" ref="V352" ca="1">IF($C$4="Giao",_xludf.Xlookup(C352,#REF!,#REF!,),_xludf.Xlookup(C352,#REF!,#REF!,))</f>
        <v>#NAME?</v>
      </c>
      <c r="W352" s="8">
        <f t="array" ref="W352">IF($C$4="Giao", _xludf.Xlookup(C352,#REF!,#REF!,),)</f>
        <v>0</v>
      </c>
      <c r="X352" s="9">
        <f t="shared" si="6"/>
        <v>0</v>
      </c>
      <c r="Y352" s="7"/>
      <c r="Z352" s="7"/>
    </row>
    <row r="353" spans="1:26" ht="13" x14ac:dyDescent="0.6">
      <c r="A353" s="28" t="str">
        <f t="shared" si="5"/>
        <v/>
      </c>
      <c r="B353" s="7"/>
      <c r="C353" s="7"/>
      <c r="D353" s="9"/>
      <c r="E353" s="9"/>
      <c r="F353" s="9"/>
      <c r="G353" s="9"/>
      <c r="H353" s="9"/>
      <c r="I353" s="9"/>
      <c r="J353" s="9"/>
      <c r="K353" s="9"/>
      <c r="L353" s="9"/>
      <c r="M353" s="9"/>
      <c r="N353" s="9"/>
      <c r="O353" s="9"/>
      <c r="P353" s="29"/>
      <c r="Q353" s="29"/>
      <c r="R353" s="7"/>
      <c r="S353" s="7"/>
      <c r="T353" s="7" t="str">
        <f ca="1">IFERROR(__xludf.DUMMYFUNCTION("SPARKLINE({
IF(D353="""",0,D353),
IF(F353="""",0,F353),
IF(H353="""",0,H353),
IF(J353="""",0,J353),
IF(L353="""",0,L353),
IF(N353="""",0,N353),
IF(P353="""",0,P353)
})"),"")</f>
        <v/>
      </c>
      <c r="U353" s="7" t="str">
        <f ca="1">IFERROR(__xludf.DUMMYFUNCTION("SPARKLINE({
IF(E353="""",0,E353),
IF(G353="""",0,G353),
IF(I353="""",0,I353),
IF(K353="""",0,K353),
IF(M353="""",0,M353),
IF(O353="""",0,O353),
IF(Q353="""",0,Q353)
})"),"")</f>
        <v/>
      </c>
      <c r="V353" s="8" t="e">
        <f t="array" aca="1" ref="V353" ca="1">IF($C$4="Giao",_xludf.Xlookup(C353,#REF!,#REF!,),_xludf.Xlookup(C353,#REF!,#REF!,))</f>
        <v>#NAME?</v>
      </c>
      <c r="W353" s="8">
        <f t="array" ref="W353">IF($C$4="Giao", _xludf.Xlookup(C353,#REF!,#REF!,),)</f>
        <v>0</v>
      </c>
      <c r="X353" s="9">
        <f t="shared" si="6"/>
        <v>0</v>
      </c>
      <c r="Y353" s="7"/>
      <c r="Z353" s="7"/>
    </row>
    <row r="354" spans="1:26" ht="13" x14ac:dyDescent="0.6">
      <c r="A354" s="28" t="str">
        <f t="shared" si="5"/>
        <v/>
      </c>
      <c r="B354" s="7"/>
      <c r="C354" s="7"/>
      <c r="D354" s="9"/>
      <c r="E354" s="9"/>
      <c r="F354" s="9"/>
      <c r="G354" s="9"/>
      <c r="H354" s="9"/>
      <c r="I354" s="9"/>
      <c r="J354" s="9"/>
      <c r="K354" s="9"/>
      <c r="L354" s="9"/>
      <c r="M354" s="9"/>
      <c r="N354" s="9"/>
      <c r="O354" s="9"/>
      <c r="P354" s="29"/>
      <c r="Q354" s="29"/>
      <c r="R354" s="7"/>
      <c r="S354" s="7"/>
      <c r="T354" s="7" t="str">
        <f ca="1">IFERROR(__xludf.DUMMYFUNCTION("SPARKLINE({
IF(D354="""",0,D354),
IF(F354="""",0,F354),
IF(H354="""",0,H354),
IF(J354="""",0,J354),
IF(L354="""",0,L354),
IF(N354="""",0,N354),
IF(P354="""",0,P354)
})"),"")</f>
        <v/>
      </c>
      <c r="U354" s="7" t="str">
        <f ca="1">IFERROR(__xludf.DUMMYFUNCTION("SPARKLINE({
IF(E354="""",0,E354),
IF(G354="""",0,G354),
IF(I354="""",0,I354),
IF(K354="""",0,K354),
IF(M354="""",0,M354),
IF(O354="""",0,O354),
IF(Q354="""",0,Q354)
})"),"")</f>
        <v/>
      </c>
      <c r="V354" s="8" t="e">
        <f t="array" aca="1" ref="V354" ca="1">IF($C$4="Giao",_xludf.Xlookup(C354,#REF!,#REF!,),_xludf.Xlookup(C354,#REF!,#REF!,))</f>
        <v>#NAME?</v>
      </c>
      <c r="W354" s="8">
        <f t="array" ref="W354">IF($C$4="Giao", _xludf.Xlookup(C354,#REF!,#REF!,),)</f>
        <v>0</v>
      </c>
      <c r="X354" s="9">
        <f t="shared" si="6"/>
        <v>0</v>
      </c>
      <c r="Y354" s="7"/>
      <c r="Z354" s="7"/>
    </row>
    <row r="355" spans="1:26" ht="13" x14ac:dyDescent="0.6">
      <c r="A355" s="28" t="str">
        <f t="shared" si="5"/>
        <v/>
      </c>
      <c r="B355" s="7"/>
      <c r="C355" s="7"/>
      <c r="D355" s="9"/>
      <c r="E355" s="9"/>
      <c r="F355" s="9"/>
      <c r="G355" s="9"/>
      <c r="H355" s="9"/>
      <c r="I355" s="9"/>
      <c r="J355" s="9"/>
      <c r="K355" s="9"/>
      <c r="L355" s="9"/>
      <c r="M355" s="9"/>
      <c r="N355" s="9"/>
      <c r="O355" s="9"/>
      <c r="P355" s="29"/>
      <c r="Q355" s="29"/>
      <c r="R355" s="7"/>
      <c r="S355" s="7"/>
      <c r="T355" s="7" t="str">
        <f ca="1">IFERROR(__xludf.DUMMYFUNCTION("SPARKLINE({
IF(D355="""",0,D355),
IF(F355="""",0,F355),
IF(H355="""",0,H355),
IF(J355="""",0,J355),
IF(L355="""",0,L355),
IF(N355="""",0,N355),
IF(P355="""",0,P355)
})"),"")</f>
        <v/>
      </c>
      <c r="U355" s="7" t="str">
        <f ca="1">IFERROR(__xludf.DUMMYFUNCTION("SPARKLINE({
IF(E355="""",0,E355),
IF(G355="""",0,G355),
IF(I355="""",0,I355),
IF(K355="""",0,K355),
IF(M355="""",0,M355),
IF(O355="""",0,O355),
IF(Q355="""",0,Q355)
})"),"")</f>
        <v/>
      </c>
      <c r="V355" s="8" t="e">
        <f t="array" aca="1" ref="V355" ca="1">IF($C$4="Giao",_xludf.Xlookup(C355,#REF!,#REF!,),_xludf.Xlookup(C355,#REF!,#REF!,))</f>
        <v>#NAME?</v>
      </c>
      <c r="W355" s="8">
        <f t="array" ref="W355">IF($C$4="Giao", _xludf.Xlookup(C355,#REF!,#REF!,),)</f>
        <v>0</v>
      </c>
      <c r="X355" s="9">
        <f t="shared" si="6"/>
        <v>0</v>
      </c>
      <c r="Y355" s="7"/>
      <c r="Z355" s="7"/>
    </row>
    <row r="356" spans="1:26" ht="13" x14ac:dyDescent="0.6">
      <c r="A356" s="28" t="str">
        <f t="shared" si="5"/>
        <v/>
      </c>
      <c r="B356" s="7"/>
      <c r="C356" s="7"/>
      <c r="D356" s="9"/>
      <c r="E356" s="9"/>
      <c r="F356" s="9"/>
      <c r="G356" s="9"/>
      <c r="H356" s="9"/>
      <c r="I356" s="9"/>
      <c r="J356" s="9"/>
      <c r="K356" s="9"/>
      <c r="L356" s="9"/>
      <c r="M356" s="9"/>
      <c r="N356" s="9"/>
      <c r="O356" s="9"/>
      <c r="P356" s="29"/>
      <c r="Q356" s="29"/>
      <c r="R356" s="7"/>
      <c r="S356" s="7"/>
      <c r="T356" s="7" t="str">
        <f ca="1">IFERROR(__xludf.DUMMYFUNCTION("SPARKLINE({
IF(D356="""",0,D356),
IF(F356="""",0,F356),
IF(H356="""",0,H356),
IF(J356="""",0,J356),
IF(L356="""",0,L356),
IF(N356="""",0,N356),
IF(P356="""",0,P356)
})"),"")</f>
        <v/>
      </c>
      <c r="U356" s="7" t="str">
        <f ca="1">IFERROR(__xludf.DUMMYFUNCTION("SPARKLINE({
IF(E356="""",0,E356),
IF(G356="""",0,G356),
IF(I356="""",0,I356),
IF(K356="""",0,K356),
IF(M356="""",0,M356),
IF(O356="""",0,O356),
IF(Q356="""",0,Q356)
})"),"")</f>
        <v/>
      </c>
      <c r="V356" s="8" t="e">
        <f t="array" aca="1" ref="V356" ca="1">IF($C$4="Giao",_xludf.Xlookup(C356,#REF!,#REF!,),_xludf.Xlookup(C356,#REF!,#REF!,))</f>
        <v>#NAME?</v>
      </c>
      <c r="W356" s="8">
        <f t="array" ref="W356">IF($C$4="Giao", _xludf.Xlookup(C356,#REF!,#REF!,),)</f>
        <v>0</v>
      </c>
      <c r="X356" s="9">
        <f t="shared" si="6"/>
        <v>0</v>
      </c>
      <c r="Y356" s="7"/>
      <c r="Z356" s="7"/>
    </row>
    <row r="357" spans="1:26" ht="13" x14ac:dyDescent="0.6">
      <c r="A357" s="28" t="str">
        <f t="shared" si="5"/>
        <v/>
      </c>
      <c r="B357" s="7"/>
      <c r="C357" s="7"/>
      <c r="D357" s="9"/>
      <c r="E357" s="9"/>
      <c r="F357" s="9"/>
      <c r="G357" s="9"/>
      <c r="H357" s="9"/>
      <c r="I357" s="9"/>
      <c r="J357" s="9"/>
      <c r="K357" s="9"/>
      <c r="L357" s="9"/>
      <c r="M357" s="9"/>
      <c r="N357" s="9"/>
      <c r="O357" s="9"/>
      <c r="P357" s="29"/>
      <c r="Q357" s="29"/>
      <c r="R357" s="7"/>
      <c r="S357" s="7"/>
      <c r="T357" s="7" t="str">
        <f ca="1">IFERROR(__xludf.DUMMYFUNCTION("SPARKLINE({
IF(D357="""",0,D357),
IF(F357="""",0,F357),
IF(H357="""",0,H357),
IF(J357="""",0,J357),
IF(L357="""",0,L357),
IF(N357="""",0,N357),
IF(P357="""",0,P357)
})"),"")</f>
        <v/>
      </c>
      <c r="U357" s="7" t="str">
        <f ca="1">IFERROR(__xludf.DUMMYFUNCTION("SPARKLINE({
IF(E357="""",0,E357),
IF(G357="""",0,G357),
IF(I357="""",0,I357),
IF(K357="""",0,K357),
IF(M357="""",0,M357),
IF(O357="""",0,O357),
IF(Q357="""",0,Q357)
})"),"")</f>
        <v/>
      </c>
      <c r="V357" s="8" t="e">
        <f t="array" aca="1" ref="V357" ca="1">IF($C$4="Giao",_xludf.Xlookup(C357,#REF!,#REF!,),_xludf.Xlookup(C357,#REF!,#REF!,))</f>
        <v>#NAME?</v>
      </c>
      <c r="W357" s="8">
        <f t="array" ref="W357">IF($C$4="Giao", _xludf.Xlookup(C357,#REF!,#REF!,),)</f>
        <v>0</v>
      </c>
      <c r="X357" s="9">
        <f t="shared" si="6"/>
        <v>0</v>
      </c>
      <c r="Y357" s="7"/>
      <c r="Z357" s="7"/>
    </row>
    <row r="358" spans="1:26" ht="13" x14ac:dyDescent="0.6">
      <c r="A358" s="28" t="str">
        <f t="shared" si="5"/>
        <v/>
      </c>
      <c r="B358" s="7"/>
      <c r="C358" s="7"/>
      <c r="D358" s="9"/>
      <c r="E358" s="9"/>
      <c r="F358" s="9"/>
      <c r="G358" s="9"/>
      <c r="H358" s="9"/>
      <c r="I358" s="9"/>
      <c r="J358" s="9"/>
      <c r="K358" s="9"/>
      <c r="L358" s="9"/>
      <c r="M358" s="9"/>
      <c r="N358" s="9"/>
      <c r="O358" s="9"/>
      <c r="P358" s="29"/>
      <c r="Q358" s="29"/>
      <c r="R358" s="7"/>
      <c r="S358" s="7"/>
      <c r="T358" s="7" t="str">
        <f ca="1">IFERROR(__xludf.DUMMYFUNCTION("SPARKLINE({
IF(D358="""",0,D358),
IF(F358="""",0,F358),
IF(H358="""",0,H358),
IF(J358="""",0,J358),
IF(L358="""",0,L358),
IF(N358="""",0,N358),
IF(P358="""",0,P358)
})"),"")</f>
        <v/>
      </c>
      <c r="U358" s="7" t="str">
        <f ca="1">IFERROR(__xludf.DUMMYFUNCTION("SPARKLINE({
IF(E358="""",0,E358),
IF(G358="""",0,G358),
IF(I358="""",0,I358),
IF(K358="""",0,K358),
IF(M358="""",0,M358),
IF(O358="""",0,O358),
IF(Q358="""",0,Q358)
})"),"")</f>
        <v/>
      </c>
      <c r="V358" s="8" t="e">
        <f t="array" aca="1" ref="V358" ca="1">IF($C$4="Giao",_xludf.Xlookup(C358,#REF!,#REF!,),_xludf.Xlookup(C358,#REF!,#REF!,))</f>
        <v>#NAME?</v>
      </c>
      <c r="W358" s="8">
        <f t="array" ref="W358">IF($C$4="Giao", _xludf.Xlookup(C358,#REF!,#REF!,),)</f>
        <v>0</v>
      </c>
      <c r="X358" s="9">
        <f t="shared" si="6"/>
        <v>0</v>
      </c>
      <c r="Y358" s="7"/>
      <c r="Z358" s="7"/>
    </row>
    <row r="359" spans="1:26" ht="13" x14ac:dyDescent="0.6">
      <c r="A359" s="28" t="str">
        <f t="shared" si="5"/>
        <v/>
      </c>
      <c r="B359" s="7"/>
      <c r="C359" s="7"/>
      <c r="D359" s="9"/>
      <c r="E359" s="9"/>
      <c r="F359" s="9"/>
      <c r="G359" s="9"/>
      <c r="H359" s="9"/>
      <c r="I359" s="9"/>
      <c r="J359" s="9"/>
      <c r="K359" s="9"/>
      <c r="L359" s="9"/>
      <c r="M359" s="9"/>
      <c r="N359" s="9"/>
      <c r="O359" s="9"/>
      <c r="P359" s="29"/>
      <c r="Q359" s="29"/>
      <c r="R359" s="7"/>
      <c r="S359" s="7"/>
      <c r="T359" s="7" t="str">
        <f ca="1">IFERROR(__xludf.DUMMYFUNCTION("SPARKLINE({
IF(D359="""",0,D359),
IF(F359="""",0,F359),
IF(H359="""",0,H359),
IF(J359="""",0,J359),
IF(L359="""",0,L359),
IF(N359="""",0,N359),
IF(P359="""",0,P359)
})"),"")</f>
        <v/>
      </c>
      <c r="U359" s="7" t="str">
        <f ca="1">IFERROR(__xludf.DUMMYFUNCTION("SPARKLINE({
IF(E359="""",0,E359),
IF(G359="""",0,G359),
IF(I359="""",0,I359),
IF(K359="""",0,K359),
IF(M359="""",0,M359),
IF(O359="""",0,O359),
IF(Q359="""",0,Q359)
})"),"")</f>
        <v/>
      </c>
      <c r="V359" s="8" t="e">
        <f t="array" aca="1" ref="V359" ca="1">IF($C$4="Giao",_xludf.Xlookup(C359,#REF!,#REF!,),_xludf.Xlookup(C359,#REF!,#REF!,))</f>
        <v>#NAME?</v>
      </c>
      <c r="W359" s="8">
        <f t="array" ref="W359">IF($C$4="Giao", _xludf.Xlookup(C359,#REF!,#REF!,),)</f>
        <v>0</v>
      </c>
      <c r="X359" s="9">
        <f t="shared" si="6"/>
        <v>0</v>
      </c>
      <c r="Y359" s="7"/>
      <c r="Z359" s="7"/>
    </row>
    <row r="360" spans="1:26" ht="13" x14ac:dyDescent="0.6">
      <c r="A360" s="28" t="str">
        <f t="shared" si="5"/>
        <v/>
      </c>
      <c r="B360" s="7"/>
      <c r="C360" s="7"/>
      <c r="D360" s="9"/>
      <c r="E360" s="9"/>
      <c r="F360" s="9"/>
      <c r="G360" s="9"/>
      <c r="H360" s="9"/>
      <c r="I360" s="9"/>
      <c r="J360" s="9"/>
      <c r="K360" s="9"/>
      <c r="L360" s="9"/>
      <c r="M360" s="9"/>
      <c r="N360" s="9"/>
      <c r="O360" s="9"/>
      <c r="P360" s="29"/>
      <c r="Q360" s="29"/>
      <c r="R360" s="7"/>
      <c r="S360" s="7"/>
      <c r="T360" s="7" t="str">
        <f ca="1">IFERROR(__xludf.DUMMYFUNCTION("SPARKLINE({
IF(D360="""",0,D360),
IF(F360="""",0,F360),
IF(H360="""",0,H360),
IF(J360="""",0,J360),
IF(L360="""",0,L360),
IF(N360="""",0,N360),
IF(P360="""",0,P360)
})"),"")</f>
        <v/>
      </c>
      <c r="U360" s="7" t="str">
        <f ca="1">IFERROR(__xludf.DUMMYFUNCTION("SPARKLINE({
IF(E360="""",0,E360),
IF(G360="""",0,G360),
IF(I360="""",0,I360),
IF(K360="""",0,K360),
IF(M360="""",0,M360),
IF(O360="""",0,O360),
IF(Q360="""",0,Q360)
})"),"")</f>
        <v/>
      </c>
      <c r="V360" s="8" t="e">
        <f t="array" aca="1" ref="V360" ca="1">IF($C$4="Giao",_xludf.Xlookup(C360,#REF!,#REF!,),_xludf.Xlookup(C360,#REF!,#REF!,))</f>
        <v>#NAME?</v>
      </c>
      <c r="W360" s="8">
        <f t="array" ref="W360">IF($C$4="Giao", _xludf.Xlookup(C360,#REF!,#REF!,),)</f>
        <v>0</v>
      </c>
      <c r="X360" s="9">
        <f t="shared" si="6"/>
        <v>0</v>
      </c>
      <c r="Y360" s="7"/>
      <c r="Z360" s="7"/>
    </row>
    <row r="361" spans="1:26" ht="13" x14ac:dyDescent="0.6">
      <c r="A361" s="28" t="str">
        <f t="shared" si="5"/>
        <v/>
      </c>
      <c r="B361" s="7"/>
      <c r="C361" s="7"/>
      <c r="D361" s="9"/>
      <c r="E361" s="9"/>
      <c r="F361" s="9"/>
      <c r="G361" s="9"/>
      <c r="H361" s="9"/>
      <c r="I361" s="9"/>
      <c r="J361" s="9"/>
      <c r="K361" s="9"/>
      <c r="L361" s="9"/>
      <c r="M361" s="9"/>
      <c r="N361" s="9"/>
      <c r="O361" s="9"/>
      <c r="P361" s="29"/>
      <c r="Q361" s="29"/>
      <c r="R361" s="7"/>
      <c r="S361" s="7"/>
      <c r="T361" s="7" t="str">
        <f ca="1">IFERROR(__xludf.DUMMYFUNCTION("SPARKLINE({
IF(D361="""",0,D361),
IF(F361="""",0,F361),
IF(H361="""",0,H361),
IF(J361="""",0,J361),
IF(L361="""",0,L361),
IF(N361="""",0,N361),
IF(P361="""",0,P361)
})"),"")</f>
        <v/>
      </c>
      <c r="U361" s="7" t="str">
        <f ca="1">IFERROR(__xludf.DUMMYFUNCTION("SPARKLINE({
IF(E361="""",0,E361),
IF(G361="""",0,G361),
IF(I361="""",0,I361),
IF(K361="""",0,K361),
IF(M361="""",0,M361),
IF(O361="""",0,O361),
IF(Q361="""",0,Q361)
})"),"")</f>
        <v/>
      </c>
      <c r="V361" s="8" t="e">
        <f t="array" aca="1" ref="V361" ca="1">IF($C$4="Giao",_xludf.Xlookup(C361,#REF!,#REF!,),_xludf.Xlookup(C361,#REF!,#REF!,))</f>
        <v>#NAME?</v>
      </c>
      <c r="W361" s="8">
        <f t="array" ref="W361">IF($C$4="Giao", _xludf.Xlookup(C361,#REF!,#REF!,),)</f>
        <v>0</v>
      </c>
      <c r="X361" s="9">
        <f t="shared" si="6"/>
        <v>0</v>
      </c>
      <c r="Y361" s="7"/>
      <c r="Z361" s="7"/>
    </row>
    <row r="362" spans="1:26" ht="13" x14ac:dyDescent="0.6">
      <c r="A362" s="28" t="str">
        <f t="shared" si="5"/>
        <v/>
      </c>
      <c r="B362" s="7"/>
      <c r="C362" s="7"/>
      <c r="D362" s="9"/>
      <c r="E362" s="9"/>
      <c r="F362" s="9"/>
      <c r="G362" s="9"/>
      <c r="H362" s="9"/>
      <c r="I362" s="9"/>
      <c r="J362" s="9"/>
      <c r="K362" s="9"/>
      <c r="L362" s="9"/>
      <c r="M362" s="9"/>
      <c r="N362" s="9"/>
      <c r="O362" s="9"/>
      <c r="P362" s="29"/>
      <c r="Q362" s="29"/>
      <c r="R362" s="7"/>
      <c r="S362" s="7"/>
      <c r="T362" s="7" t="str">
        <f ca="1">IFERROR(__xludf.DUMMYFUNCTION("SPARKLINE({
IF(D362="""",0,D362),
IF(F362="""",0,F362),
IF(H362="""",0,H362),
IF(J362="""",0,J362),
IF(L362="""",0,L362),
IF(N362="""",0,N362),
IF(P362="""",0,P362)
})"),"")</f>
        <v/>
      </c>
      <c r="U362" s="7" t="str">
        <f ca="1">IFERROR(__xludf.DUMMYFUNCTION("SPARKLINE({
IF(E362="""",0,E362),
IF(G362="""",0,G362),
IF(I362="""",0,I362),
IF(K362="""",0,K362),
IF(M362="""",0,M362),
IF(O362="""",0,O362),
IF(Q362="""",0,Q362)
})"),"")</f>
        <v/>
      </c>
      <c r="V362" s="8" t="e">
        <f t="array" aca="1" ref="V362" ca="1">IF($C$4="Giao",_xludf.Xlookup(C362,#REF!,#REF!,),_xludf.Xlookup(C362,#REF!,#REF!,))</f>
        <v>#NAME?</v>
      </c>
      <c r="W362" s="8">
        <f t="array" ref="W362">IF($C$4="Giao", _xludf.Xlookup(C362,#REF!,#REF!,),)</f>
        <v>0</v>
      </c>
      <c r="X362" s="9">
        <f t="shared" si="6"/>
        <v>0</v>
      </c>
      <c r="Y362" s="7"/>
      <c r="Z362" s="7"/>
    </row>
    <row r="363" spans="1:26" ht="13" x14ac:dyDescent="0.6">
      <c r="A363" s="28" t="str">
        <f t="shared" si="5"/>
        <v/>
      </c>
      <c r="B363" s="7"/>
      <c r="C363" s="7"/>
      <c r="D363" s="9"/>
      <c r="E363" s="9"/>
      <c r="F363" s="9"/>
      <c r="G363" s="9"/>
      <c r="H363" s="9"/>
      <c r="I363" s="9"/>
      <c r="J363" s="9"/>
      <c r="K363" s="9"/>
      <c r="L363" s="9"/>
      <c r="M363" s="9"/>
      <c r="N363" s="9"/>
      <c r="O363" s="9"/>
      <c r="P363" s="29"/>
      <c r="Q363" s="29"/>
      <c r="R363" s="7"/>
      <c r="S363" s="7"/>
      <c r="T363" s="7" t="str">
        <f ca="1">IFERROR(__xludf.DUMMYFUNCTION("SPARKLINE({
IF(D363="""",0,D363),
IF(F363="""",0,F363),
IF(H363="""",0,H363),
IF(J363="""",0,J363),
IF(L363="""",0,L363),
IF(N363="""",0,N363),
IF(P363="""",0,P363)
})"),"")</f>
        <v/>
      </c>
      <c r="U363" s="7" t="str">
        <f ca="1">IFERROR(__xludf.DUMMYFUNCTION("SPARKLINE({
IF(E363="""",0,E363),
IF(G363="""",0,G363),
IF(I363="""",0,I363),
IF(K363="""",0,K363),
IF(M363="""",0,M363),
IF(O363="""",0,O363),
IF(Q363="""",0,Q363)
})"),"")</f>
        <v/>
      </c>
      <c r="V363" s="8" t="e">
        <f t="array" aca="1" ref="V363" ca="1">IF($C$4="Giao",_xludf.Xlookup(C363,#REF!,#REF!,),_xludf.Xlookup(C363,#REF!,#REF!,))</f>
        <v>#NAME?</v>
      </c>
      <c r="W363" s="8">
        <f t="array" ref="W363">IF($C$4="Giao", _xludf.Xlookup(C363,#REF!,#REF!,),)</f>
        <v>0</v>
      </c>
      <c r="X363" s="9">
        <f t="shared" si="6"/>
        <v>0</v>
      </c>
      <c r="Y363" s="7"/>
      <c r="Z363" s="7"/>
    </row>
    <row r="364" spans="1:26" ht="13" x14ac:dyDescent="0.6">
      <c r="A364" s="28" t="str">
        <f t="shared" si="5"/>
        <v/>
      </c>
      <c r="B364" s="7"/>
      <c r="C364" s="7"/>
      <c r="D364" s="9"/>
      <c r="E364" s="9"/>
      <c r="F364" s="9"/>
      <c r="G364" s="9"/>
      <c r="H364" s="9"/>
      <c r="I364" s="9"/>
      <c r="J364" s="9"/>
      <c r="K364" s="9"/>
      <c r="L364" s="9"/>
      <c r="M364" s="9"/>
      <c r="N364" s="9"/>
      <c r="O364" s="9"/>
      <c r="P364" s="29"/>
      <c r="Q364" s="29"/>
      <c r="R364" s="7"/>
      <c r="S364" s="7"/>
      <c r="T364" s="7" t="str">
        <f ca="1">IFERROR(__xludf.DUMMYFUNCTION("SPARKLINE({
IF(D364="""",0,D364),
IF(F364="""",0,F364),
IF(H364="""",0,H364),
IF(J364="""",0,J364),
IF(L364="""",0,L364),
IF(N364="""",0,N364),
IF(P364="""",0,P364)
})"),"")</f>
        <v/>
      </c>
      <c r="U364" s="7" t="str">
        <f ca="1">IFERROR(__xludf.DUMMYFUNCTION("SPARKLINE({
IF(E364="""",0,E364),
IF(G364="""",0,G364),
IF(I364="""",0,I364),
IF(K364="""",0,K364),
IF(M364="""",0,M364),
IF(O364="""",0,O364),
IF(Q364="""",0,Q364)
})"),"")</f>
        <v/>
      </c>
      <c r="V364" s="8" t="e">
        <f t="array" aca="1" ref="V364" ca="1">IF($C$4="Giao",_xludf.Xlookup(C364,#REF!,#REF!,),_xludf.Xlookup(C364,#REF!,#REF!,))</f>
        <v>#NAME?</v>
      </c>
      <c r="W364" s="8">
        <f t="array" ref="W364">IF($C$4="Giao", _xludf.Xlookup(C364,#REF!,#REF!,),)</f>
        <v>0</v>
      </c>
      <c r="X364" s="9">
        <f t="shared" si="6"/>
        <v>0</v>
      </c>
      <c r="Y364" s="7"/>
      <c r="Z364" s="7"/>
    </row>
    <row r="365" spans="1:26" ht="13" x14ac:dyDescent="0.6">
      <c r="A365" s="28" t="str">
        <f t="shared" si="5"/>
        <v/>
      </c>
      <c r="B365" s="7"/>
      <c r="C365" s="7"/>
      <c r="D365" s="9"/>
      <c r="E365" s="9"/>
      <c r="F365" s="9"/>
      <c r="G365" s="9"/>
      <c r="H365" s="9"/>
      <c r="I365" s="9"/>
      <c r="J365" s="9"/>
      <c r="K365" s="9"/>
      <c r="L365" s="9"/>
      <c r="M365" s="9"/>
      <c r="N365" s="9"/>
      <c r="O365" s="9"/>
      <c r="P365" s="29"/>
      <c r="Q365" s="29"/>
      <c r="R365" s="7"/>
      <c r="S365" s="7"/>
      <c r="T365" s="7" t="str">
        <f ca="1">IFERROR(__xludf.DUMMYFUNCTION("SPARKLINE({
IF(D365="""",0,D365),
IF(F365="""",0,F365),
IF(H365="""",0,H365),
IF(J365="""",0,J365),
IF(L365="""",0,L365),
IF(N365="""",0,N365),
IF(P365="""",0,P365)
})"),"")</f>
        <v/>
      </c>
      <c r="U365" s="7" t="str">
        <f ca="1">IFERROR(__xludf.DUMMYFUNCTION("SPARKLINE({
IF(E365="""",0,E365),
IF(G365="""",0,G365),
IF(I365="""",0,I365),
IF(K365="""",0,K365),
IF(M365="""",0,M365),
IF(O365="""",0,O365),
IF(Q365="""",0,Q365)
})"),"")</f>
        <v/>
      </c>
      <c r="V365" s="8" t="e">
        <f t="array" aca="1" ref="V365" ca="1">IF($C$4="Giao",_xludf.Xlookup(C365,#REF!,#REF!,),_xludf.Xlookup(C365,#REF!,#REF!,))</f>
        <v>#NAME?</v>
      </c>
      <c r="W365" s="8">
        <f t="array" ref="W365">IF($C$4="Giao", _xludf.Xlookup(C365,#REF!,#REF!,),)</f>
        <v>0</v>
      </c>
      <c r="X365" s="9">
        <f t="shared" si="6"/>
        <v>0</v>
      </c>
      <c r="Y365" s="7"/>
      <c r="Z365" s="7"/>
    </row>
    <row r="366" spans="1:26" ht="13" x14ac:dyDescent="0.6">
      <c r="A366" s="28" t="str">
        <f t="shared" si="5"/>
        <v/>
      </c>
      <c r="B366" s="7"/>
      <c r="C366" s="7"/>
      <c r="D366" s="9"/>
      <c r="E366" s="9"/>
      <c r="F366" s="9"/>
      <c r="G366" s="9"/>
      <c r="H366" s="9"/>
      <c r="I366" s="9"/>
      <c r="J366" s="9"/>
      <c r="K366" s="9"/>
      <c r="L366" s="9"/>
      <c r="M366" s="9"/>
      <c r="N366" s="9"/>
      <c r="O366" s="9"/>
      <c r="P366" s="29"/>
      <c r="Q366" s="29"/>
      <c r="R366" s="7"/>
      <c r="S366" s="7"/>
      <c r="T366" s="7" t="str">
        <f ca="1">IFERROR(__xludf.DUMMYFUNCTION("SPARKLINE({
IF(D366="""",0,D366),
IF(F366="""",0,F366),
IF(H366="""",0,H366),
IF(J366="""",0,J366),
IF(L366="""",0,L366),
IF(N366="""",0,N366),
IF(P366="""",0,P366)
})"),"")</f>
        <v/>
      </c>
      <c r="U366" s="7" t="str">
        <f ca="1">IFERROR(__xludf.DUMMYFUNCTION("SPARKLINE({
IF(E366="""",0,E366),
IF(G366="""",0,G366),
IF(I366="""",0,I366),
IF(K366="""",0,K366),
IF(M366="""",0,M366),
IF(O366="""",0,O366),
IF(Q366="""",0,Q366)
})"),"")</f>
        <v/>
      </c>
      <c r="V366" s="8" t="e">
        <f t="array" aca="1" ref="V366" ca="1">IF($C$4="Giao",_xludf.Xlookup(C366,#REF!,#REF!,),_xludf.Xlookup(C366,#REF!,#REF!,))</f>
        <v>#NAME?</v>
      </c>
      <c r="W366" s="8">
        <f t="array" ref="W366">IF($C$4="Giao", _xludf.Xlookup(C366,#REF!,#REF!,),)</f>
        <v>0</v>
      </c>
      <c r="X366" s="9">
        <f t="shared" si="6"/>
        <v>0</v>
      </c>
      <c r="Y366" s="7"/>
      <c r="Z366" s="7"/>
    </row>
    <row r="367" spans="1:26" ht="13" x14ac:dyDescent="0.6">
      <c r="A367" s="28" t="str">
        <f t="shared" si="5"/>
        <v/>
      </c>
      <c r="B367" s="7"/>
      <c r="C367" s="7"/>
      <c r="D367" s="9"/>
      <c r="E367" s="9"/>
      <c r="F367" s="9"/>
      <c r="G367" s="9"/>
      <c r="H367" s="9"/>
      <c r="I367" s="9"/>
      <c r="J367" s="9"/>
      <c r="K367" s="9"/>
      <c r="L367" s="9"/>
      <c r="M367" s="9"/>
      <c r="N367" s="9"/>
      <c r="O367" s="9"/>
      <c r="P367" s="29"/>
      <c r="Q367" s="29"/>
      <c r="R367" s="7"/>
      <c r="S367" s="7"/>
      <c r="T367" s="7" t="str">
        <f ca="1">IFERROR(__xludf.DUMMYFUNCTION("SPARKLINE({
IF(D367="""",0,D367),
IF(F367="""",0,F367),
IF(H367="""",0,H367),
IF(J367="""",0,J367),
IF(L367="""",0,L367),
IF(N367="""",0,N367),
IF(P367="""",0,P367)
})"),"")</f>
        <v/>
      </c>
      <c r="U367" s="7" t="str">
        <f ca="1">IFERROR(__xludf.DUMMYFUNCTION("SPARKLINE({
IF(E367="""",0,E367),
IF(G367="""",0,G367),
IF(I367="""",0,I367),
IF(K367="""",0,K367),
IF(M367="""",0,M367),
IF(O367="""",0,O367),
IF(Q367="""",0,Q367)
})"),"")</f>
        <v/>
      </c>
      <c r="V367" s="8" t="e">
        <f t="array" aca="1" ref="V367" ca="1">IF($C$4="Giao",_xludf.Xlookup(C367,#REF!,#REF!,),_xludf.Xlookup(C367,#REF!,#REF!,))</f>
        <v>#NAME?</v>
      </c>
      <c r="W367" s="8">
        <f t="array" ref="W367">IF($C$4="Giao", _xludf.Xlookup(C367,#REF!,#REF!,),)</f>
        <v>0</v>
      </c>
      <c r="X367" s="9">
        <f t="shared" si="6"/>
        <v>0</v>
      </c>
      <c r="Y367" s="7"/>
      <c r="Z367" s="7"/>
    </row>
    <row r="368" spans="1:26" ht="13" x14ac:dyDescent="0.6">
      <c r="A368" s="28" t="str">
        <f t="shared" si="5"/>
        <v/>
      </c>
      <c r="B368" s="7"/>
      <c r="C368" s="7"/>
      <c r="D368" s="9"/>
      <c r="E368" s="9"/>
      <c r="F368" s="9"/>
      <c r="G368" s="9"/>
      <c r="H368" s="9"/>
      <c r="I368" s="9"/>
      <c r="J368" s="9"/>
      <c r="K368" s="9"/>
      <c r="L368" s="9"/>
      <c r="M368" s="9"/>
      <c r="N368" s="9"/>
      <c r="O368" s="9"/>
      <c r="P368" s="29"/>
      <c r="Q368" s="29"/>
      <c r="R368" s="7"/>
      <c r="S368" s="7"/>
      <c r="T368" s="7" t="str">
        <f ca="1">IFERROR(__xludf.DUMMYFUNCTION("SPARKLINE({
IF(D368="""",0,D368),
IF(F368="""",0,F368),
IF(H368="""",0,H368),
IF(J368="""",0,J368),
IF(L368="""",0,L368),
IF(N368="""",0,N368),
IF(P368="""",0,P368)
})"),"")</f>
        <v/>
      </c>
      <c r="U368" s="7" t="str">
        <f ca="1">IFERROR(__xludf.DUMMYFUNCTION("SPARKLINE({
IF(E368="""",0,E368),
IF(G368="""",0,G368),
IF(I368="""",0,I368),
IF(K368="""",0,K368),
IF(M368="""",0,M368),
IF(O368="""",0,O368),
IF(Q368="""",0,Q368)
})"),"")</f>
        <v/>
      </c>
      <c r="V368" s="8" t="e">
        <f t="array" aca="1" ref="V368" ca="1">IF($C$4="Giao",_xludf.Xlookup(C368,#REF!,#REF!,),_xludf.Xlookup(C368,#REF!,#REF!,))</f>
        <v>#NAME?</v>
      </c>
      <c r="W368" s="8">
        <f t="array" ref="W368">IF($C$4="Giao", _xludf.Xlookup(C368,#REF!,#REF!,),)</f>
        <v>0</v>
      </c>
      <c r="X368" s="9">
        <f t="shared" si="6"/>
        <v>0</v>
      </c>
      <c r="Y368" s="7"/>
      <c r="Z368" s="7"/>
    </row>
    <row r="369" spans="1:26" ht="13" x14ac:dyDescent="0.6">
      <c r="A369" s="28" t="str">
        <f t="shared" si="5"/>
        <v/>
      </c>
      <c r="B369" s="7"/>
      <c r="C369" s="7"/>
      <c r="D369" s="9"/>
      <c r="E369" s="9"/>
      <c r="F369" s="9"/>
      <c r="G369" s="9"/>
      <c r="H369" s="9"/>
      <c r="I369" s="9"/>
      <c r="J369" s="9"/>
      <c r="K369" s="9"/>
      <c r="L369" s="9"/>
      <c r="M369" s="9"/>
      <c r="N369" s="9"/>
      <c r="O369" s="9"/>
      <c r="P369" s="29"/>
      <c r="Q369" s="29"/>
      <c r="R369" s="7"/>
      <c r="S369" s="7"/>
      <c r="T369" s="7" t="str">
        <f ca="1">IFERROR(__xludf.DUMMYFUNCTION("SPARKLINE({
IF(D369="""",0,D369),
IF(F369="""",0,F369),
IF(H369="""",0,H369),
IF(J369="""",0,J369),
IF(L369="""",0,L369),
IF(N369="""",0,N369),
IF(P369="""",0,P369)
})"),"")</f>
        <v/>
      </c>
      <c r="U369" s="7" t="str">
        <f ca="1">IFERROR(__xludf.DUMMYFUNCTION("SPARKLINE({
IF(E369="""",0,E369),
IF(G369="""",0,G369),
IF(I369="""",0,I369),
IF(K369="""",0,K369),
IF(M369="""",0,M369),
IF(O369="""",0,O369),
IF(Q369="""",0,Q369)
})"),"")</f>
        <v/>
      </c>
      <c r="V369" s="8" t="e">
        <f t="array" aca="1" ref="V369" ca="1">IF($C$4="Giao",_xludf.Xlookup(C369,#REF!,#REF!,),_xludf.Xlookup(C369,#REF!,#REF!,))</f>
        <v>#NAME?</v>
      </c>
      <c r="W369" s="8">
        <f t="array" ref="W369">IF($C$4="Giao", _xludf.Xlookup(C369,#REF!,#REF!,),)</f>
        <v>0</v>
      </c>
      <c r="X369" s="9">
        <f t="shared" si="6"/>
        <v>0</v>
      </c>
      <c r="Y369" s="7"/>
      <c r="Z369" s="7"/>
    </row>
    <row r="370" spans="1:26" ht="13" x14ac:dyDescent="0.6">
      <c r="A370" s="28" t="str">
        <f t="shared" si="5"/>
        <v/>
      </c>
      <c r="B370" s="7"/>
      <c r="C370" s="7"/>
      <c r="D370" s="9"/>
      <c r="E370" s="9"/>
      <c r="F370" s="9"/>
      <c r="G370" s="9"/>
      <c r="H370" s="9"/>
      <c r="I370" s="9"/>
      <c r="J370" s="9"/>
      <c r="K370" s="9"/>
      <c r="L370" s="9"/>
      <c r="M370" s="9"/>
      <c r="N370" s="9"/>
      <c r="O370" s="9"/>
      <c r="P370" s="29"/>
      <c r="Q370" s="29"/>
      <c r="R370" s="7"/>
      <c r="S370" s="7"/>
      <c r="T370" s="7" t="str">
        <f ca="1">IFERROR(__xludf.DUMMYFUNCTION("SPARKLINE({
IF(D370="""",0,D370),
IF(F370="""",0,F370),
IF(H370="""",0,H370),
IF(J370="""",0,J370),
IF(L370="""",0,L370),
IF(N370="""",0,N370),
IF(P370="""",0,P370)
})"),"")</f>
        <v/>
      </c>
      <c r="U370" s="7" t="str">
        <f ca="1">IFERROR(__xludf.DUMMYFUNCTION("SPARKLINE({
IF(E370="""",0,E370),
IF(G370="""",0,G370),
IF(I370="""",0,I370),
IF(K370="""",0,K370),
IF(M370="""",0,M370),
IF(O370="""",0,O370),
IF(Q370="""",0,Q370)
})"),"")</f>
        <v/>
      </c>
      <c r="V370" s="8" t="e">
        <f t="array" aca="1" ref="V370" ca="1">IF($C$4="Giao",_xludf.Xlookup(C370,#REF!,#REF!,),_xludf.Xlookup(C370,#REF!,#REF!,))</f>
        <v>#NAME?</v>
      </c>
      <c r="W370" s="8">
        <f t="array" ref="W370">IF($C$4="Giao", _xludf.Xlookup(C370,#REF!,#REF!,),)</f>
        <v>0</v>
      </c>
      <c r="X370" s="9">
        <f t="shared" si="6"/>
        <v>0</v>
      </c>
      <c r="Y370" s="7"/>
      <c r="Z370" s="7"/>
    </row>
    <row r="371" spans="1:26" ht="13" x14ac:dyDescent="0.6">
      <c r="A371" s="28" t="str">
        <f t="shared" si="5"/>
        <v/>
      </c>
      <c r="B371" s="7"/>
      <c r="C371" s="7"/>
      <c r="D371" s="9"/>
      <c r="E371" s="9"/>
      <c r="F371" s="9"/>
      <c r="G371" s="9"/>
      <c r="H371" s="9"/>
      <c r="I371" s="9"/>
      <c r="J371" s="9"/>
      <c r="K371" s="9"/>
      <c r="L371" s="9"/>
      <c r="M371" s="9"/>
      <c r="N371" s="9"/>
      <c r="O371" s="9"/>
      <c r="P371" s="29"/>
      <c r="Q371" s="29"/>
      <c r="R371" s="7"/>
      <c r="S371" s="7"/>
      <c r="T371" s="7" t="str">
        <f ca="1">IFERROR(__xludf.DUMMYFUNCTION("SPARKLINE({
IF(D371="""",0,D371),
IF(F371="""",0,F371),
IF(H371="""",0,H371),
IF(J371="""",0,J371),
IF(L371="""",0,L371),
IF(N371="""",0,N371),
IF(P371="""",0,P371)
})"),"")</f>
        <v/>
      </c>
      <c r="U371" s="7" t="str">
        <f ca="1">IFERROR(__xludf.DUMMYFUNCTION("SPARKLINE({
IF(E371="""",0,E371),
IF(G371="""",0,G371),
IF(I371="""",0,I371),
IF(K371="""",0,K371),
IF(M371="""",0,M371),
IF(O371="""",0,O371),
IF(Q371="""",0,Q371)
})"),"")</f>
        <v/>
      </c>
      <c r="V371" s="8" t="e">
        <f t="array" aca="1" ref="V371" ca="1">IF($C$4="Giao",_xludf.Xlookup(C371,#REF!,#REF!,),_xludf.Xlookup(C371,#REF!,#REF!,))</f>
        <v>#NAME?</v>
      </c>
      <c r="W371" s="8">
        <f t="array" ref="W371">IF($C$4="Giao", _xludf.Xlookup(C371,#REF!,#REF!,),)</f>
        <v>0</v>
      </c>
      <c r="X371" s="9">
        <f t="shared" si="6"/>
        <v>0</v>
      </c>
      <c r="Y371" s="7"/>
      <c r="Z371" s="7"/>
    </row>
    <row r="372" spans="1:26" ht="13" x14ac:dyDescent="0.6">
      <c r="A372" s="28" t="str">
        <f t="shared" si="5"/>
        <v/>
      </c>
      <c r="B372" s="7"/>
      <c r="C372" s="7"/>
      <c r="D372" s="9"/>
      <c r="E372" s="9"/>
      <c r="F372" s="9"/>
      <c r="G372" s="9"/>
      <c r="H372" s="9"/>
      <c r="I372" s="9"/>
      <c r="J372" s="9"/>
      <c r="K372" s="9"/>
      <c r="L372" s="9"/>
      <c r="M372" s="9"/>
      <c r="N372" s="9"/>
      <c r="O372" s="9"/>
      <c r="P372" s="29"/>
      <c r="Q372" s="29"/>
      <c r="R372" s="7"/>
      <c r="S372" s="7"/>
      <c r="T372" s="7" t="str">
        <f ca="1">IFERROR(__xludf.DUMMYFUNCTION("SPARKLINE({
IF(D372="""",0,D372),
IF(F372="""",0,F372),
IF(H372="""",0,H372),
IF(J372="""",0,J372),
IF(L372="""",0,L372),
IF(N372="""",0,N372),
IF(P372="""",0,P372)
})"),"")</f>
        <v/>
      </c>
      <c r="U372" s="7" t="str">
        <f ca="1">IFERROR(__xludf.DUMMYFUNCTION("SPARKLINE({
IF(E372="""",0,E372),
IF(G372="""",0,G372),
IF(I372="""",0,I372),
IF(K372="""",0,K372),
IF(M372="""",0,M372),
IF(O372="""",0,O372),
IF(Q372="""",0,Q372)
})"),"")</f>
        <v/>
      </c>
      <c r="V372" s="8" t="e">
        <f t="array" aca="1" ref="V372" ca="1">IF($C$4="Giao",_xludf.Xlookup(C372,#REF!,#REF!,),_xludf.Xlookup(C372,#REF!,#REF!,))</f>
        <v>#NAME?</v>
      </c>
      <c r="W372" s="8">
        <f t="array" ref="W372">IF($C$4="Giao", _xludf.Xlookup(C372,#REF!,#REF!,),)</f>
        <v>0</v>
      </c>
      <c r="X372" s="9">
        <f t="shared" si="6"/>
        <v>0</v>
      </c>
      <c r="Y372" s="7"/>
      <c r="Z372" s="7"/>
    </row>
    <row r="373" spans="1:26" ht="13" x14ac:dyDescent="0.6">
      <c r="A373" s="28" t="str">
        <f t="shared" si="5"/>
        <v/>
      </c>
      <c r="B373" s="7"/>
      <c r="C373" s="7"/>
      <c r="D373" s="9"/>
      <c r="E373" s="9"/>
      <c r="F373" s="9"/>
      <c r="G373" s="9"/>
      <c r="H373" s="9"/>
      <c r="I373" s="9"/>
      <c r="J373" s="9"/>
      <c r="K373" s="9"/>
      <c r="L373" s="9"/>
      <c r="M373" s="9"/>
      <c r="N373" s="9"/>
      <c r="O373" s="9"/>
      <c r="P373" s="29"/>
      <c r="Q373" s="29"/>
      <c r="R373" s="7"/>
      <c r="S373" s="7"/>
      <c r="T373" s="7" t="str">
        <f ca="1">IFERROR(__xludf.DUMMYFUNCTION("SPARKLINE({
IF(D373="""",0,D373),
IF(F373="""",0,F373),
IF(H373="""",0,H373),
IF(J373="""",0,J373),
IF(L373="""",0,L373),
IF(N373="""",0,N373),
IF(P373="""",0,P373)
})"),"")</f>
        <v/>
      </c>
      <c r="U373" s="7" t="str">
        <f ca="1">IFERROR(__xludf.DUMMYFUNCTION("SPARKLINE({
IF(E373="""",0,E373),
IF(G373="""",0,G373),
IF(I373="""",0,I373),
IF(K373="""",0,K373),
IF(M373="""",0,M373),
IF(O373="""",0,O373),
IF(Q373="""",0,Q373)
})"),"")</f>
        <v/>
      </c>
      <c r="V373" s="8" t="e">
        <f t="array" aca="1" ref="V373" ca="1">IF($C$4="Giao",_xludf.Xlookup(C373,#REF!,#REF!,),_xludf.Xlookup(C373,#REF!,#REF!,))</f>
        <v>#NAME?</v>
      </c>
      <c r="W373" s="8">
        <f t="array" ref="W373">IF($C$4="Giao", _xludf.Xlookup(C373,#REF!,#REF!,),)</f>
        <v>0</v>
      </c>
      <c r="X373" s="9">
        <f t="shared" si="6"/>
        <v>0</v>
      </c>
      <c r="Y373" s="7"/>
      <c r="Z373" s="7"/>
    </row>
    <row r="374" spans="1:26" ht="13" x14ac:dyDescent="0.6">
      <c r="A374" s="28" t="str">
        <f t="shared" si="5"/>
        <v/>
      </c>
      <c r="B374" s="7"/>
      <c r="C374" s="7"/>
      <c r="D374" s="9"/>
      <c r="E374" s="9"/>
      <c r="F374" s="9"/>
      <c r="G374" s="9"/>
      <c r="H374" s="9"/>
      <c r="I374" s="9"/>
      <c r="J374" s="9"/>
      <c r="K374" s="9"/>
      <c r="L374" s="9"/>
      <c r="M374" s="9"/>
      <c r="N374" s="9"/>
      <c r="O374" s="9"/>
      <c r="P374" s="29"/>
      <c r="Q374" s="29"/>
      <c r="R374" s="7"/>
      <c r="S374" s="7"/>
      <c r="T374" s="7" t="str">
        <f ca="1">IFERROR(__xludf.DUMMYFUNCTION("SPARKLINE({
IF(D374="""",0,D374),
IF(F374="""",0,F374),
IF(H374="""",0,H374),
IF(J374="""",0,J374),
IF(L374="""",0,L374),
IF(N374="""",0,N374),
IF(P374="""",0,P374)
})"),"")</f>
        <v/>
      </c>
      <c r="U374" s="7" t="str">
        <f ca="1">IFERROR(__xludf.DUMMYFUNCTION("SPARKLINE({
IF(E374="""",0,E374),
IF(G374="""",0,G374),
IF(I374="""",0,I374),
IF(K374="""",0,K374),
IF(M374="""",0,M374),
IF(O374="""",0,O374),
IF(Q374="""",0,Q374)
})"),"")</f>
        <v/>
      </c>
      <c r="V374" s="8" t="e">
        <f t="array" aca="1" ref="V374" ca="1">IF($C$4="Giao",_xludf.Xlookup(C374,#REF!,#REF!,),_xludf.Xlookup(C374,#REF!,#REF!,))</f>
        <v>#NAME?</v>
      </c>
      <c r="W374" s="8">
        <f t="array" ref="W374">IF($C$4="Giao", _xludf.Xlookup(C374,#REF!,#REF!,),)</f>
        <v>0</v>
      </c>
      <c r="X374" s="9">
        <f t="shared" si="6"/>
        <v>0</v>
      </c>
      <c r="Y374" s="7"/>
      <c r="Z374" s="7"/>
    </row>
    <row r="375" spans="1:26" ht="13" x14ac:dyDescent="0.6">
      <c r="A375" s="28" t="str">
        <f t="shared" si="5"/>
        <v/>
      </c>
      <c r="B375" s="7"/>
      <c r="C375" s="7"/>
      <c r="D375" s="9"/>
      <c r="E375" s="9"/>
      <c r="F375" s="9"/>
      <c r="G375" s="9"/>
      <c r="H375" s="9"/>
      <c r="I375" s="9"/>
      <c r="J375" s="9"/>
      <c r="K375" s="9"/>
      <c r="L375" s="9"/>
      <c r="M375" s="9"/>
      <c r="N375" s="9"/>
      <c r="O375" s="9"/>
      <c r="P375" s="29"/>
      <c r="Q375" s="29"/>
      <c r="R375" s="7"/>
      <c r="S375" s="7"/>
      <c r="T375" s="7" t="str">
        <f ca="1">IFERROR(__xludf.DUMMYFUNCTION("SPARKLINE({
IF(D375="""",0,D375),
IF(F375="""",0,F375),
IF(H375="""",0,H375),
IF(J375="""",0,J375),
IF(L375="""",0,L375),
IF(N375="""",0,N375),
IF(P375="""",0,P375)
})"),"")</f>
        <v/>
      </c>
      <c r="U375" s="7" t="str">
        <f ca="1">IFERROR(__xludf.DUMMYFUNCTION("SPARKLINE({
IF(E375="""",0,E375),
IF(G375="""",0,G375),
IF(I375="""",0,I375),
IF(K375="""",0,K375),
IF(M375="""",0,M375),
IF(O375="""",0,O375),
IF(Q375="""",0,Q375)
})"),"")</f>
        <v/>
      </c>
      <c r="V375" s="8" t="e">
        <f t="array" aca="1" ref="V375" ca="1">IF($C$4="Giao",_xludf.Xlookup(C375,#REF!,#REF!,),_xludf.Xlookup(C375,#REF!,#REF!,))</f>
        <v>#NAME?</v>
      </c>
      <c r="W375" s="8">
        <f t="array" ref="W375">IF($C$4="Giao", _xludf.Xlookup(C375,#REF!,#REF!,),)</f>
        <v>0</v>
      </c>
      <c r="X375" s="9">
        <f t="shared" si="6"/>
        <v>0</v>
      </c>
      <c r="Y375" s="7"/>
      <c r="Z375" s="7"/>
    </row>
    <row r="376" spans="1:26" ht="13" x14ac:dyDescent="0.6">
      <c r="A376" s="28" t="str">
        <f t="shared" si="5"/>
        <v/>
      </c>
      <c r="B376" s="7"/>
      <c r="C376" s="7"/>
      <c r="D376" s="9"/>
      <c r="E376" s="9"/>
      <c r="F376" s="9"/>
      <c r="G376" s="9"/>
      <c r="H376" s="9"/>
      <c r="I376" s="9"/>
      <c r="J376" s="9"/>
      <c r="K376" s="9"/>
      <c r="L376" s="9"/>
      <c r="M376" s="9"/>
      <c r="N376" s="9"/>
      <c r="O376" s="9"/>
      <c r="P376" s="29"/>
      <c r="Q376" s="29"/>
      <c r="R376" s="7"/>
      <c r="S376" s="7"/>
      <c r="T376" s="7" t="str">
        <f ca="1">IFERROR(__xludf.DUMMYFUNCTION("SPARKLINE({
IF(D376="""",0,D376),
IF(F376="""",0,F376),
IF(H376="""",0,H376),
IF(J376="""",0,J376),
IF(L376="""",0,L376),
IF(N376="""",0,N376),
IF(P376="""",0,P376)
})"),"")</f>
        <v/>
      </c>
      <c r="U376" s="7" t="str">
        <f ca="1">IFERROR(__xludf.DUMMYFUNCTION("SPARKLINE({
IF(E376="""",0,E376),
IF(G376="""",0,G376),
IF(I376="""",0,I376),
IF(K376="""",0,K376),
IF(M376="""",0,M376),
IF(O376="""",0,O376),
IF(Q376="""",0,Q376)
})"),"")</f>
        <v/>
      </c>
      <c r="V376" s="8" t="e">
        <f t="array" aca="1" ref="V376" ca="1">IF($C$4="Giao",_xludf.Xlookup(C376,#REF!,#REF!,),_xludf.Xlookup(C376,#REF!,#REF!,))</f>
        <v>#NAME?</v>
      </c>
      <c r="W376" s="8">
        <f t="array" ref="W376">IF($C$4="Giao", _xludf.Xlookup(C376,#REF!,#REF!,),)</f>
        <v>0</v>
      </c>
      <c r="X376" s="9">
        <f t="shared" si="6"/>
        <v>0</v>
      </c>
      <c r="Y376" s="7"/>
      <c r="Z376" s="7"/>
    </row>
    <row r="377" spans="1:26" ht="13" x14ac:dyDescent="0.6">
      <c r="A377" s="28" t="str">
        <f t="shared" si="5"/>
        <v/>
      </c>
      <c r="B377" s="7"/>
      <c r="C377" s="7"/>
      <c r="D377" s="9"/>
      <c r="E377" s="9"/>
      <c r="F377" s="9"/>
      <c r="G377" s="9"/>
      <c r="H377" s="9"/>
      <c r="I377" s="9"/>
      <c r="J377" s="9"/>
      <c r="K377" s="9"/>
      <c r="L377" s="9"/>
      <c r="M377" s="9"/>
      <c r="N377" s="9"/>
      <c r="O377" s="9"/>
      <c r="P377" s="29"/>
      <c r="Q377" s="29"/>
      <c r="R377" s="7"/>
      <c r="S377" s="7"/>
      <c r="T377" s="7" t="str">
        <f ca="1">IFERROR(__xludf.DUMMYFUNCTION("SPARKLINE({
IF(D377="""",0,D377),
IF(F377="""",0,F377),
IF(H377="""",0,H377),
IF(J377="""",0,J377),
IF(L377="""",0,L377),
IF(N377="""",0,N377),
IF(P377="""",0,P377)
})"),"")</f>
        <v/>
      </c>
      <c r="U377" s="7" t="str">
        <f ca="1">IFERROR(__xludf.DUMMYFUNCTION("SPARKLINE({
IF(E377="""",0,E377),
IF(G377="""",0,G377),
IF(I377="""",0,I377),
IF(K377="""",0,K377),
IF(M377="""",0,M377),
IF(O377="""",0,O377),
IF(Q377="""",0,Q377)
})"),"")</f>
        <v/>
      </c>
      <c r="V377" s="8" t="e">
        <f t="array" aca="1" ref="V377" ca="1">IF($C$4="Giao",_xludf.Xlookup(C377,#REF!,#REF!,),_xludf.Xlookup(C377,#REF!,#REF!,))</f>
        <v>#NAME?</v>
      </c>
      <c r="W377" s="8">
        <f t="array" ref="W377">IF($C$4="Giao", _xludf.Xlookup(C377,#REF!,#REF!,),)</f>
        <v>0</v>
      </c>
      <c r="X377" s="9">
        <f t="shared" si="6"/>
        <v>0</v>
      </c>
      <c r="Y377" s="7"/>
      <c r="Z377" s="7"/>
    </row>
    <row r="378" spans="1:26" ht="13" x14ac:dyDescent="0.6">
      <c r="A378" s="28" t="str">
        <f t="shared" si="5"/>
        <v/>
      </c>
      <c r="B378" s="7"/>
      <c r="C378" s="7"/>
      <c r="D378" s="9"/>
      <c r="E378" s="9"/>
      <c r="F378" s="9"/>
      <c r="G378" s="9"/>
      <c r="H378" s="9"/>
      <c r="I378" s="9"/>
      <c r="J378" s="9"/>
      <c r="K378" s="9"/>
      <c r="L378" s="9"/>
      <c r="M378" s="9"/>
      <c r="N378" s="9"/>
      <c r="O378" s="9"/>
      <c r="P378" s="29"/>
      <c r="Q378" s="29"/>
      <c r="R378" s="7"/>
      <c r="S378" s="7"/>
      <c r="T378" s="7" t="str">
        <f ca="1">IFERROR(__xludf.DUMMYFUNCTION("SPARKLINE({
IF(D378="""",0,D378),
IF(F378="""",0,F378),
IF(H378="""",0,H378),
IF(J378="""",0,J378),
IF(L378="""",0,L378),
IF(N378="""",0,N378),
IF(P378="""",0,P378)
})"),"")</f>
        <v/>
      </c>
      <c r="U378" s="7" t="str">
        <f ca="1">IFERROR(__xludf.DUMMYFUNCTION("SPARKLINE({
IF(E378="""",0,E378),
IF(G378="""",0,G378),
IF(I378="""",0,I378),
IF(K378="""",0,K378),
IF(M378="""",0,M378),
IF(O378="""",0,O378),
IF(Q378="""",0,Q378)
})"),"")</f>
        <v/>
      </c>
      <c r="V378" s="8" t="e">
        <f t="array" aca="1" ref="V378" ca="1">IF($C$4="Giao",_xludf.Xlookup(C378,#REF!,#REF!,),_xludf.Xlookup(C378,#REF!,#REF!,))</f>
        <v>#NAME?</v>
      </c>
      <c r="W378" s="8">
        <f t="array" ref="W378">IF($C$4="Giao", _xludf.Xlookup(C378,#REF!,#REF!,),)</f>
        <v>0</v>
      </c>
      <c r="X378" s="9">
        <f t="shared" si="6"/>
        <v>0</v>
      </c>
      <c r="Y378" s="7"/>
      <c r="Z378" s="7"/>
    </row>
    <row r="379" spans="1:26" ht="13" x14ac:dyDescent="0.6">
      <c r="A379" s="28" t="str">
        <f t="shared" si="5"/>
        <v/>
      </c>
      <c r="B379" s="7"/>
      <c r="C379" s="7"/>
      <c r="D379" s="9"/>
      <c r="E379" s="9"/>
      <c r="F379" s="9"/>
      <c r="G379" s="9"/>
      <c r="H379" s="9"/>
      <c r="I379" s="9"/>
      <c r="J379" s="9"/>
      <c r="K379" s="9"/>
      <c r="L379" s="9"/>
      <c r="M379" s="9"/>
      <c r="N379" s="9"/>
      <c r="O379" s="9"/>
      <c r="P379" s="29"/>
      <c r="Q379" s="29"/>
      <c r="R379" s="7"/>
      <c r="S379" s="7"/>
      <c r="T379" s="7" t="str">
        <f ca="1">IFERROR(__xludf.DUMMYFUNCTION("SPARKLINE({
IF(D379="""",0,D379),
IF(F379="""",0,F379),
IF(H379="""",0,H379),
IF(J379="""",0,J379),
IF(L379="""",0,L379),
IF(N379="""",0,N379),
IF(P379="""",0,P379)
})"),"")</f>
        <v/>
      </c>
      <c r="U379" s="7" t="str">
        <f ca="1">IFERROR(__xludf.DUMMYFUNCTION("SPARKLINE({
IF(E379="""",0,E379),
IF(G379="""",0,G379),
IF(I379="""",0,I379),
IF(K379="""",0,K379),
IF(M379="""",0,M379),
IF(O379="""",0,O379),
IF(Q379="""",0,Q379)
})"),"")</f>
        <v/>
      </c>
      <c r="V379" s="8" t="e">
        <f t="array" aca="1" ref="V379" ca="1">IF($C$4="Giao",_xludf.Xlookup(C379,#REF!,#REF!,),_xludf.Xlookup(C379,#REF!,#REF!,))</f>
        <v>#NAME?</v>
      </c>
      <c r="W379" s="8">
        <f t="array" ref="W379">IF($C$4="Giao", _xludf.Xlookup(C379,#REF!,#REF!,),)</f>
        <v>0</v>
      </c>
      <c r="X379" s="9">
        <f t="shared" si="6"/>
        <v>0</v>
      </c>
      <c r="Y379" s="7"/>
      <c r="Z379" s="7"/>
    </row>
    <row r="380" spans="1:26" ht="13" x14ac:dyDescent="0.6">
      <c r="A380" s="28" t="str">
        <f t="shared" si="5"/>
        <v/>
      </c>
      <c r="B380" s="7"/>
      <c r="C380" s="7"/>
      <c r="D380" s="9"/>
      <c r="E380" s="9"/>
      <c r="F380" s="9"/>
      <c r="G380" s="9"/>
      <c r="H380" s="9"/>
      <c r="I380" s="9"/>
      <c r="J380" s="9"/>
      <c r="K380" s="9"/>
      <c r="L380" s="9"/>
      <c r="M380" s="9"/>
      <c r="N380" s="9"/>
      <c r="O380" s="9"/>
      <c r="P380" s="29"/>
      <c r="Q380" s="29"/>
      <c r="R380" s="7"/>
      <c r="S380" s="7"/>
      <c r="T380" s="7" t="str">
        <f ca="1">IFERROR(__xludf.DUMMYFUNCTION("SPARKLINE({
IF(D380="""",0,D380),
IF(F380="""",0,F380),
IF(H380="""",0,H380),
IF(J380="""",0,J380),
IF(L380="""",0,L380),
IF(N380="""",0,N380),
IF(P380="""",0,P380)
})"),"")</f>
        <v/>
      </c>
      <c r="U380" s="7" t="str">
        <f ca="1">IFERROR(__xludf.DUMMYFUNCTION("SPARKLINE({
IF(E380="""",0,E380),
IF(G380="""",0,G380),
IF(I380="""",0,I380),
IF(K380="""",0,K380),
IF(M380="""",0,M380),
IF(O380="""",0,O380),
IF(Q380="""",0,Q380)
})"),"")</f>
        <v/>
      </c>
      <c r="V380" s="8" t="e">
        <f t="array" aca="1" ref="V380" ca="1">IF($C$4="Giao",_xludf.Xlookup(C380,#REF!,#REF!,),_xludf.Xlookup(C380,#REF!,#REF!,))</f>
        <v>#NAME?</v>
      </c>
      <c r="W380" s="8">
        <f t="array" ref="W380">IF($C$4="Giao", _xludf.Xlookup(C380,#REF!,#REF!,),)</f>
        <v>0</v>
      </c>
      <c r="X380" s="9">
        <f t="shared" si="6"/>
        <v>0</v>
      </c>
      <c r="Y380" s="7"/>
      <c r="Z380" s="7"/>
    </row>
    <row r="381" spans="1:26" ht="13" x14ac:dyDescent="0.6">
      <c r="A381" s="28" t="str">
        <f t="shared" si="5"/>
        <v/>
      </c>
      <c r="B381" s="7"/>
      <c r="C381" s="7"/>
      <c r="D381" s="9"/>
      <c r="E381" s="9"/>
      <c r="F381" s="9"/>
      <c r="G381" s="9"/>
      <c r="H381" s="9"/>
      <c r="I381" s="9"/>
      <c r="J381" s="9"/>
      <c r="K381" s="9"/>
      <c r="L381" s="9"/>
      <c r="M381" s="9"/>
      <c r="N381" s="9"/>
      <c r="O381" s="9"/>
      <c r="P381" s="29"/>
      <c r="Q381" s="29"/>
      <c r="R381" s="7"/>
      <c r="S381" s="7"/>
      <c r="T381" s="7" t="str">
        <f ca="1">IFERROR(__xludf.DUMMYFUNCTION("SPARKLINE({
IF(D381="""",0,D381),
IF(F381="""",0,F381),
IF(H381="""",0,H381),
IF(J381="""",0,J381),
IF(L381="""",0,L381),
IF(N381="""",0,N381),
IF(P381="""",0,P381)
})"),"")</f>
        <v/>
      </c>
      <c r="U381" s="7" t="str">
        <f ca="1">IFERROR(__xludf.DUMMYFUNCTION("SPARKLINE({
IF(E381="""",0,E381),
IF(G381="""",0,G381),
IF(I381="""",0,I381),
IF(K381="""",0,K381),
IF(M381="""",0,M381),
IF(O381="""",0,O381),
IF(Q381="""",0,Q381)
})"),"")</f>
        <v/>
      </c>
      <c r="V381" s="8" t="e">
        <f t="array" aca="1" ref="V381" ca="1">IF($C$4="Giao",_xludf.Xlookup(C381,#REF!,#REF!,),_xludf.Xlookup(C381,#REF!,#REF!,))</f>
        <v>#NAME?</v>
      </c>
      <c r="W381" s="8">
        <f t="array" ref="W381">IF($C$4="Giao", _xludf.Xlookup(C381,#REF!,#REF!,),)</f>
        <v>0</v>
      </c>
      <c r="X381" s="9">
        <f t="shared" si="6"/>
        <v>0</v>
      </c>
      <c r="Y381" s="7"/>
      <c r="Z381" s="7"/>
    </row>
    <row r="382" spans="1:26" ht="13" x14ac:dyDescent="0.6">
      <c r="A382" s="28" t="str">
        <f t="shared" si="5"/>
        <v/>
      </c>
      <c r="B382" s="7"/>
      <c r="C382" s="7"/>
      <c r="D382" s="9"/>
      <c r="E382" s="9"/>
      <c r="F382" s="9"/>
      <c r="G382" s="9"/>
      <c r="H382" s="9"/>
      <c r="I382" s="9"/>
      <c r="J382" s="9"/>
      <c r="K382" s="9"/>
      <c r="L382" s="9"/>
      <c r="M382" s="9"/>
      <c r="N382" s="9"/>
      <c r="O382" s="9"/>
      <c r="P382" s="29"/>
      <c r="Q382" s="29"/>
      <c r="R382" s="7"/>
      <c r="S382" s="7"/>
      <c r="T382" s="7" t="str">
        <f ca="1">IFERROR(__xludf.DUMMYFUNCTION("SPARKLINE({
IF(D382="""",0,D382),
IF(F382="""",0,F382),
IF(H382="""",0,H382),
IF(J382="""",0,J382),
IF(L382="""",0,L382),
IF(N382="""",0,N382),
IF(P382="""",0,P382)
})"),"")</f>
        <v/>
      </c>
      <c r="U382" s="7" t="str">
        <f ca="1">IFERROR(__xludf.DUMMYFUNCTION("SPARKLINE({
IF(E382="""",0,E382),
IF(G382="""",0,G382),
IF(I382="""",0,I382),
IF(K382="""",0,K382),
IF(M382="""",0,M382),
IF(O382="""",0,O382),
IF(Q382="""",0,Q382)
})"),"")</f>
        <v/>
      </c>
      <c r="V382" s="8" t="e">
        <f t="array" aca="1" ref="V382" ca="1">IF($C$4="Giao",_xludf.Xlookup(C382,#REF!,#REF!,),_xludf.Xlookup(C382,#REF!,#REF!,))</f>
        <v>#NAME?</v>
      </c>
      <c r="W382" s="8">
        <f t="array" ref="W382">IF($C$4="Giao", _xludf.Xlookup(C382,#REF!,#REF!,),)</f>
        <v>0</v>
      </c>
      <c r="X382" s="9">
        <f t="shared" si="6"/>
        <v>0</v>
      </c>
      <c r="Y382" s="7"/>
      <c r="Z382" s="7"/>
    </row>
    <row r="383" spans="1:26" ht="13" x14ac:dyDescent="0.6">
      <c r="A383" s="28" t="str">
        <f t="shared" si="5"/>
        <v/>
      </c>
      <c r="B383" s="7"/>
      <c r="C383" s="7"/>
      <c r="D383" s="9"/>
      <c r="E383" s="9"/>
      <c r="F383" s="9"/>
      <c r="G383" s="9"/>
      <c r="H383" s="9"/>
      <c r="I383" s="9"/>
      <c r="J383" s="9"/>
      <c r="K383" s="9"/>
      <c r="L383" s="9"/>
      <c r="M383" s="9"/>
      <c r="N383" s="9"/>
      <c r="O383" s="9"/>
      <c r="P383" s="29"/>
      <c r="Q383" s="29"/>
      <c r="R383" s="7"/>
      <c r="S383" s="7"/>
      <c r="T383" s="7" t="str">
        <f ca="1">IFERROR(__xludf.DUMMYFUNCTION("SPARKLINE({
IF(D383="""",0,D383),
IF(F383="""",0,F383),
IF(H383="""",0,H383),
IF(J383="""",0,J383),
IF(L383="""",0,L383),
IF(N383="""",0,N383),
IF(P383="""",0,P383)
})"),"")</f>
        <v/>
      </c>
      <c r="U383" s="7" t="str">
        <f ca="1">IFERROR(__xludf.DUMMYFUNCTION("SPARKLINE({
IF(E383="""",0,E383),
IF(G383="""",0,G383),
IF(I383="""",0,I383),
IF(K383="""",0,K383),
IF(M383="""",0,M383),
IF(O383="""",0,O383),
IF(Q383="""",0,Q383)
})"),"")</f>
        <v/>
      </c>
      <c r="V383" s="8" t="e">
        <f t="array" aca="1" ref="V383" ca="1">IF($C$4="Giao",_xludf.Xlookup(C383,#REF!,#REF!,),_xludf.Xlookup(C383,#REF!,#REF!,))</f>
        <v>#NAME?</v>
      </c>
      <c r="W383" s="8">
        <f t="array" ref="W383">IF($C$4="Giao", _xludf.Xlookup(C383,#REF!,#REF!,),)</f>
        <v>0</v>
      </c>
      <c r="X383" s="9">
        <f t="shared" si="6"/>
        <v>0</v>
      </c>
      <c r="Y383" s="7"/>
      <c r="Z383" s="7"/>
    </row>
    <row r="384" spans="1:26" ht="13" x14ac:dyDescent="0.6">
      <c r="A384" s="28" t="str">
        <f t="shared" si="5"/>
        <v/>
      </c>
      <c r="B384" s="7"/>
      <c r="C384" s="7"/>
      <c r="D384" s="9"/>
      <c r="E384" s="9"/>
      <c r="F384" s="9"/>
      <c r="G384" s="9"/>
      <c r="H384" s="9"/>
      <c r="I384" s="9"/>
      <c r="J384" s="9"/>
      <c r="K384" s="9"/>
      <c r="L384" s="9"/>
      <c r="M384" s="9"/>
      <c r="N384" s="9"/>
      <c r="O384" s="9"/>
      <c r="P384" s="29"/>
      <c r="Q384" s="29"/>
      <c r="R384" s="7"/>
      <c r="S384" s="7"/>
      <c r="T384" s="7" t="str">
        <f ca="1">IFERROR(__xludf.DUMMYFUNCTION("SPARKLINE({
IF(D384="""",0,D384),
IF(F384="""",0,F384),
IF(H384="""",0,H384),
IF(J384="""",0,J384),
IF(L384="""",0,L384),
IF(N384="""",0,N384),
IF(P384="""",0,P384)
})"),"")</f>
        <v/>
      </c>
      <c r="U384" s="7" t="str">
        <f ca="1">IFERROR(__xludf.DUMMYFUNCTION("SPARKLINE({
IF(E384="""",0,E384),
IF(G384="""",0,G384),
IF(I384="""",0,I384),
IF(K384="""",0,K384),
IF(M384="""",0,M384),
IF(O384="""",0,O384),
IF(Q384="""",0,Q384)
})"),"")</f>
        <v/>
      </c>
      <c r="V384" s="8" t="e">
        <f t="array" aca="1" ref="V384" ca="1">IF($C$4="Giao",_xludf.Xlookup(C384,#REF!,#REF!,),_xludf.Xlookup(C384,#REF!,#REF!,))</f>
        <v>#NAME?</v>
      </c>
      <c r="W384" s="8">
        <f t="array" ref="W384">IF($C$4="Giao", _xludf.Xlookup(C384,#REF!,#REF!,),)</f>
        <v>0</v>
      </c>
      <c r="X384" s="9">
        <f t="shared" si="6"/>
        <v>0</v>
      </c>
      <c r="Y384" s="7"/>
      <c r="Z384" s="7"/>
    </row>
    <row r="385" spans="1:26" ht="13" x14ac:dyDescent="0.6">
      <c r="A385" s="28" t="str">
        <f t="shared" si="5"/>
        <v/>
      </c>
      <c r="B385" s="7"/>
      <c r="C385" s="7"/>
      <c r="D385" s="9"/>
      <c r="E385" s="9"/>
      <c r="F385" s="9"/>
      <c r="G385" s="9"/>
      <c r="H385" s="9"/>
      <c r="I385" s="9"/>
      <c r="J385" s="9"/>
      <c r="K385" s="9"/>
      <c r="L385" s="9"/>
      <c r="M385" s="9"/>
      <c r="N385" s="9"/>
      <c r="O385" s="9"/>
      <c r="P385" s="29"/>
      <c r="Q385" s="29"/>
      <c r="R385" s="7"/>
      <c r="S385" s="7"/>
      <c r="T385" s="7" t="str">
        <f ca="1">IFERROR(__xludf.DUMMYFUNCTION("SPARKLINE({
IF(D385="""",0,D385),
IF(F385="""",0,F385),
IF(H385="""",0,H385),
IF(J385="""",0,J385),
IF(L385="""",0,L385),
IF(N385="""",0,N385),
IF(P385="""",0,P385)
})"),"")</f>
        <v/>
      </c>
      <c r="U385" s="7" t="str">
        <f ca="1">IFERROR(__xludf.DUMMYFUNCTION("SPARKLINE({
IF(E385="""",0,E385),
IF(G385="""",0,G385),
IF(I385="""",0,I385),
IF(K385="""",0,K385),
IF(M385="""",0,M385),
IF(O385="""",0,O385),
IF(Q385="""",0,Q385)
})"),"")</f>
        <v/>
      </c>
      <c r="V385" s="8" t="e">
        <f t="array" aca="1" ref="V385" ca="1">IF($C$4="Giao",_xludf.Xlookup(C385,#REF!,#REF!,),_xludf.Xlookup(C385,#REF!,#REF!,))</f>
        <v>#NAME?</v>
      </c>
      <c r="W385" s="8">
        <f t="array" ref="W385">IF($C$4="Giao", _xludf.Xlookup(C385,#REF!,#REF!,),)</f>
        <v>0</v>
      </c>
      <c r="X385" s="9">
        <f t="shared" si="6"/>
        <v>0</v>
      </c>
      <c r="Y385" s="7"/>
      <c r="Z385" s="7"/>
    </row>
    <row r="386" spans="1:26" ht="13" x14ac:dyDescent="0.6">
      <c r="A386" s="28" t="str">
        <f t="shared" si="5"/>
        <v/>
      </c>
      <c r="B386" s="7"/>
      <c r="C386" s="7"/>
      <c r="D386" s="9"/>
      <c r="E386" s="9"/>
      <c r="F386" s="9"/>
      <c r="G386" s="9"/>
      <c r="H386" s="9"/>
      <c r="I386" s="9"/>
      <c r="J386" s="9"/>
      <c r="K386" s="9"/>
      <c r="L386" s="9"/>
      <c r="M386" s="9"/>
      <c r="N386" s="9"/>
      <c r="O386" s="9"/>
      <c r="P386" s="29"/>
      <c r="Q386" s="29"/>
      <c r="R386" s="7"/>
      <c r="S386" s="7"/>
      <c r="T386" s="7" t="str">
        <f ca="1">IFERROR(__xludf.DUMMYFUNCTION("SPARKLINE({
IF(D386="""",0,D386),
IF(F386="""",0,F386),
IF(H386="""",0,H386),
IF(J386="""",0,J386),
IF(L386="""",0,L386),
IF(N386="""",0,N386),
IF(P386="""",0,P386)
})"),"")</f>
        <v/>
      </c>
      <c r="U386" s="7" t="str">
        <f ca="1">IFERROR(__xludf.DUMMYFUNCTION("SPARKLINE({
IF(E386="""",0,E386),
IF(G386="""",0,G386),
IF(I386="""",0,I386),
IF(K386="""",0,K386),
IF(M386="""",0,M386),
IF(O386="""",0,O386),
IF(Q386="""",0,Q386)
})"),"")</f>
        <v/>
      </c>
      <c r="V386" s="8" t="e">
        <f t="array" aca="1" ref="V386" ca="1">IF($C$4="Giao",_xludf.Xlookup(C386,#REF!,#REF!,),_xludf.Xlookup(C386,#REF!,#REF!,))</f>
        <v>#NAME?</v>
      </c>
      <c r="W386" s="8">
        <f t="array" ref="W386">IF($C$4="Giao", _xludf.Xlookup(C386,#REF!,#REF!,),)</f>
        <v>0</v>
      </c>
      <c r="X386" s="9">
        <f t="shared" si="6"/>
        <v>0</v>
      </c>
      <c r="Y386" s="7"/>
      <c r="Z386" s="7"/>
    </row>
    <row r="387" spans="1:26" ht="13" x14ac:dyDescent="0.6">
      <c r="A387" s="28" t="str">
        <f t="shared" si="5"/>
        <v/>
      </c>
      <c r="B387" s="7"/>
      <c r="C387" s="7"/>
      <c r="D387" s="9"/>
      <c r="E387" s="9"/>
      <c r="F387" s="9"/>
      <c r="G387" s="9"/>
      <c r="H387" s="9"/>
      <c r="I387" s="9"/>
      <c r="J387" s="9"/>
      <c r="K387" s="9"/>
      <c r="L387" s="9"/>
      <c r="M387" s="9"/>
      <c r="N387" s="9"/>
      <c r="O387" s="9"/>
      <c r="P387" s="29"/>
      <c r="Q387" s="29"/>
      <c r="R387" s="7"/>
      <c r="S387" s="7"/>
      <c r="T387" s="7" t="str">
        <f ca="1">IFERROR(__xludf.DUMMYFUNCTION("SPARKLINE({
IF(D387="""",0,D387),
IF(F387="""",0,F387),
IF(H387="""",0,H387),
IF(J387="""",0,J387),
IF(L387="""",0,L387),
IF(N387="""",0,N387),
IF(P387="""",0,P387)
})"),"")</f>
        <v/>
      </c>
      <c r="U387" s="7" t="str">
        <f ca="1">IFERROR(__xludf.DUMMYFUNCTION("SPARKLINE({
IF(E387="""",0,E387),
IF(G387="""",0,G387),
IF(I387="""",0,I387),
IF(K387="""",0,K387),
IF(M387="""",0,M387),
IF(O387="""",0,O387),
IF(Q387="""",0,Q387)
})"),"")</f>
        <v/>
      </c>
      <c r="V387" s="8" t="e">
        <f t="array" aca="1" ref="V387" ca="1">IF($C$4="Giao",_xludf.Xlookup(C387,#REF!,#REF!,),_xludf.Xlookup(C387,#REF!,#REF!,))</f>
        <v>#NAME?</v>
      </c>
      <c r="W387" s="8">
        <f t="array" ref="W387">IF($C$4="Giao", _xludf.Xlookup(C387,#REF!,#REF!,),)</f>
        <v>0</v>
      </c>
      <c r="X387" s="9">
        <f t="shared" si="6"/>
        <v>0</v>
      </c>
      <c r="Y387" s="7"/>
      <c r="Z387" s="7"/>
    </row>
    <row r="388" spans="1:26" ht="13" x14ac:dyDescent="0.6">
      <c r="A388" s="28" t="str">
        <f t="shared" si="5"/>
        <v/>
      </c>
      <c r="B388" s="7"/>
      <c r="C388" s="7"/>
      <c r="D388" s="9"/>
      <c r="E388" s="9"/>
      <c r="F388" s="9"/>
      <c r="G388" s="9"/>
      <c r="H388" s="9"/>
      <c r="I388" s="9"/>
      <c r="J388" s="9"/>
      <c r="K388" s="9"/>
      <c r="L388" s="9"/>
      <c r="M388" s="9"/>
      <c r="N388" s="9"/>
      <c r="O388" s="9"/>
      <c r="P388" s="29"/>
      <c r="Q388" s="29"/>
      <c r="R388" s="7"/>
      <c r="S388" s="7"/>
      <c r="T388" s="7" t="str">
        <f ca="1">IFERROR(__xludf.DUMMYFUNCTION("SPARKLINE({
IF(D388="""",0,D388),
IF(F388="""",0,F388),
IF(H388="""",0,H388),
IF(J388="""",0,J388),
IF(L388="""",0,L388),
IF(N388="""",0,N388),
IF(P388="""",0,P388)
})"),"")</f>
        <v/>
      </c>
      <c r="U388" s="7" t="str">
        <f ca="1">IFERROR(__xludf.DUMMYFUNCTION("SPARKLINE({
IF(E388="""",0,E388),
IF(G388="""",0,G388),
IF(I388="""",0,I388),
IF(K388="""",0,K388),
IF(M388="""",0,M388),
IF(O388="""",0,O388),
IF(Q388="""",0,Q388)
})"),"")</f>
        <v/>
      </c>
      <c r="V388" s="8" t="e">
        <f t="array" aca="1" ref="V388" ca="1">IF($C$4="Giao",_xludf.Xlookup(C388,#REF!,#REF!,),_xludf.Xlookup(C388,#REF!,#REF!,))</f>
        <v>#NAME?</v>
      </c>
      <c r="W388" s="8">
        <f t="array" ref="W388">IF($C$4="Giao", _xludf.Xlookup(C388,#REF!,#REF!,),)</f>
        <v>0</v>
      </c>
      <c r="X388" s="9">
        <f t="shared" si="6"/>
        <v>0</v>
      </c>
      <c r="Y388" s="7"/>
      <c r="Z388" s="7"/>
    </row>
    <row r="389" spans="1:26" ht="13" x14ac:dyDescent="0.6">
      <c r="A389" s="28" t="str">
        <f t="shared" si="5"/>
        <v/>
      </c>
      <c r="B389" s="7"/>
      <c r="C389" s="7"/>
      <c r="D389" s="9"/>
      <c r="E389" s="9"/>
      <c r="F389" s="9"/>
      <c r="G389" s="9"/>
      <c r="H389" s="9"/>
      <c r="I389" s="9"/>
      <c r="J389" s="9"/>
      <c r="K389" s="9"/>
      <c r="L389" s="9"/>
      <c r="M389" s="9"/>
      <c r="N389" s="9"/>
      <c r="O389" s="9"/>
      <c r="P389" s="29"/>
      <c r="Q389" s="29"/>
      <c r="R389" s="7"/>
      <c r="S389" s="7"/>
      <c r="T389" s="7" t="str">
        <f ca="1">IFERROR(__xludf.DUMMYFUNCTION("SPARKLINE({
IF(D389="""",0,D389),
IF(F389="""",0,F389),
IF(H389="""",0,H389),
IF(J389="""",0,J389),
IF(L389="""",0,L389),
IF(N389="""",0,N389),
IF(P389="""",0,P389)
})"),"")</f>
        <v/>
      </c>
      <c r="U389" s="7" t="str">
        <f ca="1">IFERROR(__xludf.DUMMYFUNCTION("SPARKLINE({
IF(E389="""",0,E389),
IF(G389="""",0,G389),
IF(I389="""",0,I389),
IF(K389="""",0,K389),
IF(M389="""",0,M389),
IF(O389="""",0,O389),
IF(Q389="""",0,Q389)
})"),"")</f>
        <v/>
      </c>
      <c r="V389" s="8" t="e">
        <f t="array" aca="1" ref="V389" ca="1">IF($C$4="Giao",_xludf.Xlookup(C389,#REF!,#REF!,),_xludf.Xlookup(C389,#REF!,#REF!,))</f>
        <v>#NAME?</v>
      </c>
      <c r="W389" s="8">
        <f t="array" ref="W389">IF($C$4="Giao", _xludf.Xlookup(C389,#REF!,#REF!,),)</f>
        <v>0</v>
      </c>
      <c r="X389" s="9">
        <f t="shared" si="6"/>
        <v>0</v>
      </c>
      <c r="Y389" s="7"/>
      <c r="Z389" s="7"/>
    </row>
    <row r="390" spans="1:26" ht="13" x14ac:dyDescent="0.6">
      <c r="A390" s="28" t="str">
        <f t="shared" si="5"/>
        <v/>
      </c>
      <c r="B390" s="7"/>
      <c r="C390" s="7"/>
      <c r="D390" s="9"/>
      <c r="E390" s="9"/>
      <c r="F390" s="9"/>
      <c r="G390" s="9"/>
      <c r="H390" s="9"/>
      <c r="I390" s="9"/>
      <c r="J390" s="9"/>
      <c r="K390" s="9"/>
      <c r="L390" s="9"/>
      <c r="M390" s="9"/>
      <c r="N390" s="9"/>
      <c r="O390" s="9"/>
      <c r="P390" s="29"/>
      <c r="Q390" s="29"/>
      <c r="R390" s="7"/>
      <c r="S390" s="7"/>
      <c r="T390" s="7" t="str">
        <f ca="1">IFERROR(__xludf.DUMMYFUNCTION("SPARKLINE({
IF(D390="""",0,D390),
IF(F390="""",0,F390),
IF(H390="""",0,H390),
IF(J390="""",0,J390),
IF(L390="""",0,L390),
IF(N390="""",0,N390),
IF(P390="""",0,P390)
})"),"")</f>
        <v/>
      </c>
      <c r="U390" s="7" t="str">
        <f ca="1">IFERROR(__xludf.DUMMYFUNCTION("SPARKLINE({
IF(E390="""",0,E390),
IF(G390="""",0,G390),
IF(I390="""",0,I390),
IF(K390="""",0,K390),
IF(M390="""",0,M390),
IF(O390="""",0,O390),
IF(Q390="""",0,Q390)
})"),"")</f>
        <v/>
      </c>
      <c r="V390" s="8" t="e">
        <f t="array" aca="1" ref="V390" ca="1">IF($C$4="Giao",_xludf.Xlookup(C390,#REF!,#REF!,),_xludf.Xlookup(C390,#REF!,#REF!,))</f>
        <v>#NAME?</v>
      </c>
      <c r="W390" s="8">
        <f t="array" ref="W390">IF($C$4="Giao", _xludf.Xlookup(C390,#REF!,#REF!,),)</f>
        <v>0</v>
      </c>
      <c r="X390" s="9">
        <f t="shared" si="6"/>
        <v>0</v>
      </c>
      <c r="Y390" s="7"/>
      <c r="Z390" s="7"/>
    </row>
    <row r="391" spans="1:26" ht="13" x14ac:dyDescent="0.6">
      <c r="A391" s="28" t="str">
        <f t="shared" si="5"/>
        <v/>
      </c>
      <c r="B391" s="7"/>
      <c r="C391" s="7"/>
      <c r="D391" s="9"/>
      <c r="E391" s="9"/>
      <c r="F391" s="9"/>
      <c r="G391" s="9"/>
      <c r="H391" s="9"/>
      <c r="I391" s="9"/>
      <c r="J391" s="9"/>
      <c r="K391" s="9"/>
      <c r="L391" s="9"/>
      <c r="M391" s="9"/>
      <c r="N391" s="9"/>
      <c r="O391" s="9"/>
      <c r="P391" s="29"/>
      <c r="Q391" s="29"/>
      <c r="R391" s="7"/>
      <c r="S391" s="7"/>
      <c r="T391" s="7" t="str">
        <f ca="1">IFERROR(__xludf.DUMMYFUNCTION("SPARKLINE({
IF(D391="""",0,D391),
IF(F391="""",0,F391),
IF(H391="""",0,H391),
IF(J391="""",0,J391),
IF(L391="""",0,L391),
IF(N391="""",0,N391),
IF(P391="""",0,P391)
})"),"")</f>
        <v/>
      </c>
      <c r="U391" s="7" t="str">
        <f ca="1">IFERROR(__xludf.DUMMYFUNCTION("SPARKLINE({
IF(E391="""",0,E391),
IF(G391="""",0,G391),
IF(I391="""",0,I391),
IF(K391="""",0,K391),
IF(M391="""",0,M391),
IF(O391="""",0,O391),
IF(Q391="""",0,Q391)
})"),"")</f>
        <v/>
      </c>
      <c r="V391" s="8" t="e">
        <f t="array" aca="1" ref="V391" ca="1">IF($C$4="Giao",_xludf.Xlookup(C391,#REF!,#REF!,),_xludf.Xlookup(C391,#REF!,#REF!,))</f>
        <v>#NAME?</v>
      </c>
      <c r="W391" s="8">
        <f t="array" ref="W391">IF($C$4="Giao", _xludf.Xlookup(C391,#REF!,#REF!,),)</f>
        <v>0</v>
      </c>
      <c r="X391" s="9">
        <f t="shared" si="6"/>
        <v>0</v>
      </c>
      <c r="Y391" s="7"/>
      <c r="Z391" s="7"/>
    </row>
    <row r="392" spans="1:26" ht="13" x14ac:dyDescent="0.6">
      <c r="A392" s="28" t="str">
        <f t="shared" si="5"/>
        <v/>
      </c>
      <c r="B392" s="7"/>
      <c r="C392" s="7"/>
      <c r="D392" s="9"/>
      <c r="E392" s="9"/>
      <c r="F392" s="9"/>
      <c r="G392" s="9"/>
      <c r="H392" s="9"/>
      <c r="I392" s="9"/>
      <c r="J392" s="9"/>
      <c r="K392" s="9"/>
      <c r="L392" s="9"/>
      <c r="M392" s="9"/>
      <c r="N392" s="9"/>
      <c r="O392" s="9"/>
      <c r="P392" s="29"/>
      <c r="Q392" s="29"/>
      <c r="R392" s="7"/>
      <c r="S392" s="7"/>
      <c r="T392" s="7" t="str">
        <f ca="1">IFERROR(__xludf.DUMMYFUNCTION("SPARKLINE({
IF(D392="""",0,D392),
IF(F392="""",0,F392),
IF(H392="""",0,H392),
IF(J392="""",0,J392),
IF(L392="""",0,L392),
IF(N392="""",0,N392),
IF(P392="""",0,P392)
})"),"")</f>
        <v/>
      </c>
      <c r="U392" s="7" t="str">
        <f ca="1">IFERROR(__xludf.DUMMYFUNCTION("SPARKLINE({
IF(E392="""",0,E392),
IF(G392="""",0,G392),
IF(I392="""",0,I392),
IF(K392="""",0,K392),
IF(M392="""",0,M392),
IF(O392="""",0,O392),
IF(Q392="""",0,Q392)
})"),"")</f>
        <v/>
      </c>
      <c r="V392" s="8" t="e">
        <f t="array" aca="1" ref="V392" ca="1">IF($C$4="Giao",_xludf.Xlookup(C392,#REF!,#REF!,),_xludf.Xlookup(C392,#REF!,#REF!,))</f>
        <v>#NAME?</v>
      </c>
      <c r="W392" s="8">
        <f t="array" ref="W392">IF($C$4="Giao", _xludf.Xlookup(C392,#REF!,#REF!,),)</f>
        <v>0</v>
      </c>
      <c r="X392" s="9">
        <f t="shared" si="6"/>
        <v>0</v>
      </c>
      <c r="Y392" s="7"/>
      <c r="Z392" s="7"/>
    </row>
    <row r="393" spans="1:26" ht="13" x14ac:dyDescent="0.6">
      <c r="A393" s="28" t="str">
        <f t="shared" si="5"/>
        <v/>
      </c>
      <c r="B393" s="7"/>
      <c r="C393" s="7"/>
      <c r="D393" s="9"/>
      <c r="E393" s="9"/>
      <c r="F393" s="9"/>
      <c r="G393" s="9"/>
      <c r="H393" s="9"/>
      <c r="I393" s="9"/>
      <c r="J393" s="9"/>
      <c r="K393" s="9"/>
      <c r="L393" s="9"/>
      <c r="M393" s="9"/>
      <c r="N393" s="9"/>
      <c r="O393" s="9"/>
      <c r="P393" s="29"/>
      <c r="Q393" s="29"/>
      <c r="R393" s="7"/>
      <c r="S393" s="7"/>
      <c r="T393" s="7" t="str">
        <f ca="1">IFERROR(__xludf.DUMMYFUNCTION("SPARKLINE({
IF(D393="""",0,D393),
IF(F393="""",0,F393),
IF(H393="""",0,H393),
IF(J393="""",0,J393),
IF(L393="""",0,L393),
IF(N393="""",0,N393),
IF(P393="""",0,P393)
})"),"")</f>
        <v/>
      </c>
      <c r="U393" s="7" t="str">
        <f ca="1">IFERROR(__xludf.DUMMYFUNCTION("SPARKLINE({
IF(E393="""",0,E393),
IF(G393="""",0,G393),
IF(I393="""",0,I393),
IF(K393="""",0,K393),
IF(M393="""",0,M393),
IF(O393="""",0,O393),
IF(Q393="""",0,Q393)
})"),"")</f>
        <v/>
      </c>
      <c r="V393" s="8" t="e">
        <f t="array" aca="1" ref="V393" ca="1">IF($C$4="Giao",_xludf.Xlookup(C393,#REF!,#REF!,),_xludf.Xlookup(C393,#REF!,#REF!,))</f>
        <v>#NAME?</v>
      </c>
      <c r="W393" s="8">
        <f t="array" ref="W393">IF($C$4="Giao", _xludf.Xlookup(C393,#REF!,#REF!,),)</f>
        <v>0</v>
      </c>
      <c r="X393" s="9">
        <f t="shared" si="6"/>
        <v>0</v>
      </c>
      <c r="Y393" s="7"/>
      <c r="Z393" s="7"/>
    </row>
    <row r="394" spans="1:26" ht="13" x14ac:dyDescent="0.6">
      <c r="A394" s="28" t="str">
        <f t="shared" si="5"/>
        <v/>
      </c>
      <c r="B394" s="7"/>
      <c r="C394" s="7"/>
      <c r="D394" s="9"/>
      <c r="E394" s="9"/>
      <c r="F394" s="9"/>
      <c r="G394" s="9"/>
      <c r="H394" s="9"/>
      <c r="I394" s="9"/>
      <c r="J394" s="9"/>
      <c r="K394" s="9"/>
      <c r="L394" s="9"/>
      <c r="M394" s="9"/>
      <c r="N394" s="9"/>
      <c r="O394" s="9"/>
      <c r="P394" s="29"/>
      <c r="Q394" s="29"/>
      <c r="R394" s="7"/>
      <c r="S394" s="7"/>
      <c r="T394" s="7" t="str">
        <f ca="1">IFERROR(__xludf.DUMMYFUNCTION("SPARKLINE({
IF(D394="""",0,D394),
IF(F394="""",0,F394),
IF(H394="""",0,H394),
IF(J394="""",0,J394),
IF(L394="""",0,L394),
IF(N394="""",0,N394),
IF(P394="""",0,P394)
})"),"")</f>
        <v/>
      </c>
      <c r="U394" s="7" t="str">
        <f ca="1">IFERROR(__xludf.DUMMYFUNCTION("SPARKLINE({
IF(E394="""",0,E394),
IF(G394="""",0,G394),
IF(I394="""",0,I394),
IF(K394="""",0,K394),
IF(M394="""",0,M394),
IF(O394="""",0,O394),
IF(Q394="""",0,Q394)
})"),"")</f>
        <v/>
      </c>
      <c r="V394" s="8" t="e">
        <f t="array" aca="1" ref="V394" ca="1">IF($C$4="Giao",_xludf.Xlookup(C394,#REF!,#REF!,),_xludf.Xlookup(C394,#REF!,#REF!,))</f>
        <v>#NAME?</v>
      </c>
      <c r="W394" s="8">
        <f t="array" ref="W394">IF($C$4="Giao", _xludf.Xlookup(C394,#REF!,#REF!,),)</f>
        <v>0</v>
      </c>
      <c r="X394" s="9">
        <f t="shared" si="6"/>
        <v>0</v>
      </c>
      <c r="Y394" s="7"/>
      <c r="Z394" s="7"/>
    </row>
    <row r="395" spans="1:26" ht="13" x14ac:dyDescent="0.6">
      <c r="A395" s="28" t="str">
        <f t="shared" si="5"/>
        <v/>
      </c>
      <c r="B395" s="7"/>
      <c r="C395" s="7"/>
      <c r="D395" s="9"/>
      <c r="E395" s="9"/>
      <c r="F395" s="9"/>
      <c r="G395" s="9"/>
      <c r="H395" s="9"/>
      <c r="I395" s="9"/>
      <c r="J395" s="9"/>
      <c r="K395" s="9"/>
      <c r="L395" s="9"/>
      <c r="M395" s="9"/>
      <c r="N395" s="9"/>
      <c r="O395" s="9"/>
      <c r="P395" s="29"/>
      <c r="Q395" s="29"/>
      <c r="R395" s="7"/>
      <c r="S395" s="7"/>
      <c r="T395" s="7" t="str">
        <f ca="1">IFERROR(__xludf.DUMMYFUNCTION("SPARKLINE({
IF(D395="""",0,D395),
IF(F395="""",0,F395),
IF(H395="""",0,H395),
IF(J395="""",0,J395),
IF(L395="""",0,L395),
IF(N395="""",0,N395),
IF(P395="""",0,P395)
})"),"")</f>
        <v/>
      </c>
      <c r="U395" s="7" t="str">
        <f ca="1">IFERROR(__xludf.DUMMYFUNCTION("SPARKLINE({
IF(E395="""",0,E395),
IF(G395="""",0,G395),
IF(I395="""",0,I395),
IF(K395="""",0,K395),
IF(M395="""",0,M395),
IF(O395="""",0,O395),
IF(Q395="""",0,Q395)
})"),"")</f>
        <v/>
      </c>
      <c r="V395" s="8" t="e">
        <f t="array" aca="1" ref="V395" ca="1">IF($C$4="Giao",_xludf.Xlookup(C395,#REF!,#REF!,),_xludf.Xlookup(C395,#REF!,#REF!,))</f>
        <v>#NAME?</v>
      </c>
      <c r="W395" s="8">
        <f t="array" ref="W395">IF($C$4="Giao", _xludf.Xlookup(C395,#REF!,#REF!,),)</f>
        <v>0</v>
      </c>
      <c r="X395" s="9">
        <f t="shared" si="6"/>
        <v>0</v>
      </c>
      <c r="Y395" s="7"/>
      <c r="Z395" s="7"/>
    </row>
    <row r="396" spans="1:26" ht="13" x14ac:dyDescent="0.6">
      <c r="A396" s="28" t="str">
        <f t="shared" si="5"/>
        <v/>
      </c>
      <c r="B396" s="7"/>
      <c r="C396" s="7"/>
      <c r="D396" s="9"/>
      <c r="E396" s="9"/>
      <c r="F396" s="9"/>
      <c r="G396" s="9"/>
      <c r="H396" s="9"/>
      <c r="I396" s="9"/>
      <c r="J396" s="9"/>
      <c r="K396" s="9"/>
      <c r="L396" s="9"/>
      <c r="M396" s="9"/>
      <c r="N396" s="9"/>
      <c r="O396" s="9"/>
      <c r="P396" s="29"/>
      <c r="Q396" s="29"/>
      <c r="R396" s="7"/>
      <c r="S396" s="7"/>
      <c r="T396" s="7" t="str">
        <f ca="1">IFERROR(__xludf.DUMMYFUNCTION("SPARKLINE({
IF(D396="""",0,D396),
IF(F396="""",0,F396),
IF(H396="""",0,H396),
IF(J396="""",0,J396),
IF(L396="""",0,L396),
IF(N396="""",0,N396),
IF(P396="""",0,P396)
})"),"")</f>
        <v/>
      </c>
      <c r="U396" s="7" t="str">
        <f ca="1">IFERROR(__xludf.DUMMYFUNCTION("SPARKLINE({
IF(E396="""",0,E396),
IF(G396="""",0,G396),
IF(I396="""",0,I396),
IF(K396="""",0,K396),
IF(M396="""",0,M396),
IF(O396="""",0,O396),
IF(Q396="""",0,Q396)
})"),"")</f>
        <v/>
      </c>
      <c r="V396" s="8" t="e">
        <f t="array" aca="1" ref="V396" ca="1">IF($C$4="Giao",_xludf.Xlookup(C396,#REF!,#REF!,),_xludf.Xlookup(C396,#REF!,#REF!,))</f>
        <v>#NAME?</v>
      </c>
      <c r="W396" s="8">
        <f t="array" ref="W396">IF($C$4="Giao", _xludf.Xlookup(C396,#REF!,#REF!,),)</f>
        <v>0</v>
      </c>
      <c r="X396" s="9">
        <f t="shared" si="6"/>
        <v>0</v>
      </c>
      <c r="Y396" s="7"/>
      <c r="Z396" s="7"/>
    </row>
    <row r="397" spans="1:26" ht="13" x14ac:dyDescent="0.6">
      <c r="A397" s="28" t="str">
        <f t="shared" si="5"/>
        <v/>
      </c>
      <c r="B397" s="7"/>
      <c r="C397" s="7"/>
      <c r="D397" s="9"/>
      <c r="E397" s="9"/>
      <c r="F397" s="9"/>
      <c r="G397" s="9"/>
      <c r="H397" s="9"/>
      <c r="I397" s="9"/>
      <c r="J397" s="9"/>
      <c r="K397" s="9"/>
      <c r="L397" s="9"/>
      <c r="M397" s="9"/>
      <c r="N397" s="9"/>
      <c r="O397" s="9"/>
      <c r="P397" s="29"/>
      <c r="Q397" s="29"/>
      <c r="R397" s="7"/>
      <c r="S397" s="7"/>
      <c r="T397" s="7" t="str">
        <f ca="1">IFERROR(__xludf.DUMMYFUNCTION("SPARKLINE({
IF(D397="""",0,D397),
IF(F397="""",0,F397),
IF(H397="""",0,H397),
IF(J397="""",0,J397),
IF(L397="""",0,L397),
IF(N397="""",0,N397),
IF(P397="""",0,P397)
})"),"")</f>
        <v/>
      </c>
      <c r="U397" s="7" t="str">
        <f ca="1">IFERROR(__xludf.DUMMYFUNCTION("SPARKLINE({
IF(E397="""",0,E397),
IF(G397="""",0,G397),
IF(I397="""",0,I397),
IF(K397="""",0,K397),
IF(M397="""",0,M397),
IF(O397="""",0,O397),
IF(Q397="""",0,Q397)
})"),"")</f>
        <v/>
      </c>
      <c r="V397" s="8" t="e">
        <f t="array" aca="1" ref="V397" ca="1">IF($C$4="Giao",_xludf.Xlookup(C397,#REF!,#REF!,),_xludf.Xlookup(C397,#REF!,#REF!,))</f>
        <v>#NAME?</v>
      </c>
      <c r="W397" s="8">
        <f t="array" ref="W397">IF($C$4="Giao", _xludf.Xlookup(C397,#REF!,#REF!,),)</f>
        <v>0</v>
      </c>
      <c r="X397" s="9">
        <f t="shared" si="6"/>
        <v>0</v>
      </c>
      <c r="Y397" s="7"/>
      <c r="Z397" s="7"/>
    </row>
    <row r="398" spans="1:26" ht="13" x14ac:dyDescent="0.6">
      <c r="A398" s="28" t="str">
        <f t="shared" si="5"/>
        <v/>
      </c>
      <c r="B398" s="7"/>
      <c r="C398" s="7"/>
      <c r="D398" s="9"/>
      <c r="E398" s="9"/>
      <c r="F398" s="9"/>
      <c r="G398" s="9"/>
      <c r="H398" s="9"/>
      <c r="I398" s="9"/>
      <c r="J398" s="9"/>
      <c r="K398" s="9"/>
      <c r="L398" s="9"/>
      <c r="M398" s="9"/>
      <c r="N398" s="9"/>
      <c r="O398" s="9"/>
      <c r="P398" s="29"/>
      <c r="Q398" s="29"/>
      <c r="R398" s="7"/>
      <c r="S398" s="7"/>
      <c r="T398" s="7" t="str">
        <f ca="1">IFERROR(__xludf.DUMMYFUNCTION("SPARKLINE({
IF(D398="""",0,D398),
IF(F398="""",0,F398),
IF(H398="""",0,H398),
IF(J398="""",0,J398),
IF(L398="""",0,L398),
IF(N398="""",0,N398),
IF(P398="""",0,P398)
})"),"")</f>
        <v/>
      </c>
      <c r="U398" s="7" t="str">
        <f ca="1">IFERROR(__xludf.DUMMYFUNCTION("SPARKLINE({
IF(E398="""",0,E398),
IF(G398="""",0,G398),
IF(I398="""",0,I398),
IF(K398="""",0,K398),
IF(M398="""",0,M398),
IF(O398="""",0,O398),
IF(Q398="""",0,Q398)
})"),"")</f>
        <v/>
      </c>
      <c r="V398" s="8" t="e">
        <f t="array" aca="1" ref="V398" ca="1">IF($C$4="Giao",_xludf.Xlookup(C398,#REF!,#REF!,),_xludf.Xlookup(C398,#REF!,#REF!,))</f>
        <v>#NAME?</v>
      </c>
      <c r="W398" s="8">
        <f t="array" ref="W398">IF($C$4="Giao", _xludf.Xlookup(C398,#REF!,#REF!,),)</f>
        <v>0</v>
      </c>
      <c r="X398" s="9">
        <f t="shared" si="6"/>
        <v>0</v>
      </c>
      <c r="Y398" s="7"/>
      <c r="Z398" s="7"/>
    </row>
    <row r="399" spans="1:26" ht="13" x14ac:dyDescent="0.6">
      <c r="A399" s="28" t="str">
        <f t="shared" si="5"/>
        <v/>
      </c>
      <c r="B399" s="7"/>
      <c r="C399" s="7"/>
      <c r="D399" s="9"/>
      <c r="E399" s="9"/>
      <c r="F399" s="9"/>
      <c r="G399" s="9"/>
      <c r="H399" s="9"/>
      <c r="I399" s="9"/>
      <c r="J399" s="9"/>
      <c r="K399" s="9"/>
      <c r="L399" s="9"/>
      <c r="M399" s="9"/>
      <c r="N399" s="9"/>
      <c r="O399" s="9"/>
      <c r="P399" s="29"/>
      <c r="Q399" s="29"/>
      <c r="R399" s="7"/>
      <c r="S399" s="7"/>
      <c r="T399" s="7" t="str">
        <f ca="1">IFERROR(__xludf.DUMMYFUNCTION("SPARKLINE({
IF(D399="""",0,D399),
IF(F399="""",0,F399),
IF(H399="""",0,H399),
IF(J399="""",0,J399),
IF(L399="""",0,L399),
IF(N399="""",0,N399),
IF(P399="""",0,P399)
})"),"")</f>
        <v/>
      </c>
      <c r="U399" s="7" t="str">
        <f ca="1">IFERROR(__xludf.DUMMYFUNCTION("SPARKLINE({
IF(E399="""",0,E399),
IF(G399="""",0,G399),
IF(I399="""",0,I399),
IF(K399="""",0,K399),
IF(M399="""",0,M399),
IF(O399="""",0,O399),
IF(Q399="""",0,Q399)
})"),"")</f>
        <v/>
      </c>
      <c r="V399" s="8" t="e">
        <f t="array" aca="1" ref="V399" ca="1">IF($C$4="Giao",_xludf.Xlookup(C399,#REF!,#REF!,),_xludf.Xlookup(C399,#REF!,#REF!,))</f>
        <v>#NAME?</v>
      </c>
      <c r="W399" s="8">
        <f t="array" ref="W399">IF($C$4="Giao", _xludf.Xlookup(C399,#REF!,#REF!,),)</f>
        <v>0</v>
      </c>
      <c r="X399" s="9">
        <f t="shared" si="6"/>
        <v>0</v>
      </c>
      <c r="Y399" s="7"/>
      <c r="Z399" s="7"/>
    </row>
    <row r="400" spans="1:26" ht="13" x14ac:dyDescent="0.6">
      <c r="A400" s="28" t="str">
        <f t="shared" si="5"/>
        <v/>
      </c>
      <c r="B400" s="7"/>
      <c r="C400" s="7"/>
      <c r="D400" s="9"/>
      <c r="E400" s="9"/>
      <c r="F400" s="9"/>
      <c r="G400" s="9"/>
      <c r="H400" s="9"/>
      <c r="I400" s="9"/>
      <c r="J400" s="9"/>
      <c r="K400" s="9"/>
      <c r="L400" s="9"/>
      <c r="M400" s="9"/>
      <c r="N400" s="9"/>
      <c r="O400" s="9"/>
      <c r="P400" s="29"/>
      <c r="Q400" s="29"/>
      <c r="R400" s="7"/>
      <c r="S400" s="7"/>
      <c r="T400" s="7" t="str">
        <f ca="1">IFERROR(__xludf.DUMMYFUNCTION("SPARKLINE({
IF(D400="""",0,D400),
IF(F400="""",0,F400),
IF(H400="""",0,H400),
IF(J400="""",0,J400),
IF(L400="""",0,L400),
IF(N400="""",0,N400),
IF(P400="""",0,P400)
})"),"")</f>
        <v/>
      </c>
      <c r="U400" s="7" t="str">
        <f ca="1">IFERROR(__xludf.DUMMYFUNCTION("SPARKLINE({
IF(E400="""",0,E400),
IF(G400="""",0,G400),
IF(I400="""",0,I400),
IF(K400="""",0,K400),
IF(M400="""",0,M400),
IF(O400="""",0,O400),
IF(Q400="""",0,Q400)
})"),"")</f>
        <v/>
      </c>
      <c r="V400" s="8" t="e">
        <f t="array" aca="1" ref="V400" ca="1">IF($C$4="Giao",_xludf.Xlookup(C400,#REF!,#REF!,),_xludf.Xlookup(C400,#REF!,#REF!,))</f>
        <v>#NAME?</v>
      </c>
      <c r="W400" s="8">
        <f t="array" ref="W400">IF($C$4="Giao", _xludf.Xlookup(C400,#REF!,#REF!,),)</f>
        <v>0</v>
      </c>
      <c r="X400" s="9">
        <f t="shared" si="6"/>
        <v>0</v>
      </c>
      <c r="Y400" s="7"/>
      <c r="Z400" s="7"/>
    </row>
    <row r="401" spans="1:26" ht="13" x14ac:dyDescent="0.6">
      <c r="A401" s="28" t="str">
        <f t="shared" si="5"/>
        <v/>
      </c>
      <c r="B401" s="7"/>
      <c r="C401" s="7"/>
      <c r="D401" s="9"/>
      <c r="E401" s="9"/>
      <c r="F401" s="9"/>
      <c r="G401" s="9"/>
      <c r="H401" s="9"/>
      <c r="I401" s="9"/>
      <c r="J401" s="9"/>
      <c r="K401" s="9"/>
      <c r="L401" s="9"/>
      <c r="M401" s="9"/>
      <c r="N401" s="9"/>
      <c r="O401" s="9"/>
      <c r="P401" s="29"/>
      <c r="Q401" s="29"/>
      <c r="R401" s="7"/>
      <c r="S401" s="7"/>
      <c r="T401" s="7" t="str">
        <f ca="1">IFERROR(__xludf.DUMMYFUNCTION("SPARKLINE({
IF(D401="""",0,D401),
IF(F401="""",0,F401),
IF(H401="""",0,H401),
IF(J401="""",0,J401),
IF(L401="""",0,L401),
IF(N401="""",0,N401),
IF(P401="""",0,P401)
})"),"")</f>
        <v/>
      </c>
      <c r="U401" s="7" t="str">
        <f ca="1">IFERROR(__xludf.DUMMYFUNCTION("SPARKLINE({
IF(E401="""",0,E401),
IF(G401="""",0,G401),
IF(I401="""",0,I401),
IF(K401="""",0,K401),
IF(M401="""",0,M401),
IF(O401="""",0,O401),
IF(Q401="""",0,Q401)
})"),"")</f>
        <v/>
      </c>
      <c r="V401" s="8" t="e">
        <f t="array" aca="1" ref="V401" ca="1">IF($C$4="Giao",_xludf.Xlookup(C401,#REF!,#REF!,),_xludf.Xlookup(C401,#REF!,#REF!,))</f>
        <v>#NAME?</v>
      </c>
      <c r="W401" s="8">
        <f t="array" ref="W401">IF($C$4="Giao", _xludf.Xlookup(C401,#REF!,#REF!,),)</f>
        <v>0</v>
      </c>
      <c r="X401" s="9">
        <f t="shared" si="6"/>
        <v>0</v>
      </c>
      <c r="Y401" s="7"/>
      <c r="Z401" s="7"/>
    </row>
    <row r="402" spans="1:26" ht="13" x14ac:dyDescent="0.6">
      <c r="A402" s="28" t="str">
        <f t="shared" si="5"/>
        <v/>
      </c>
      <c r="B402" s="7"/>
      <c r="C402" s="7"/>
      <c r="D402" s="9"/>
      <c r="E402" s="9"/>
      <c r="F402" s="9"/>
      <c r="G402" s="9"/>
      <c r="H402" s="9"/>
      <c r="I402" s="9"/>
      <c r="J402" s="9"/>
      <c r="K402" s="9"/>
      <c r="L402" s="9"/>
      <c r="M402" s="9"/>
      <c r="N402" s="9"/>
      <c r="O402" s="9"/>
      <c r="P402" s="29"/>
      <c r="Q402" s="29"/>
      <c r="R402" s="7"/>
      <c r="S402" s="7"/>
      <c r="T402" s="7" t="str">
        <f ca="1">IFERROR(__xludf.DUMMYFUNCTION("SPARKLINE({
IF(D402="""",0,D402),
IF(F402="""",0,F402),
IF(H402="""",0,H402),
IF(J402="""",0,J402),
IF(L402="""",0,L402),
IF(N402="""",0,N402),
IF(P402="""",0,P402)
})"),"")</f>
        <v/>
      </c>
      <c r="U402" s="7" t="str">
        <f ca="1">IFERROR(__xludf.DUMMYFUNCTION("SPARKLINE({
IF(E402="""",0,E402),
IF(G402="""",0,G402),
IF(I402="""",0,I402),
IF(K402="""",0,K402),
IF(M402="""",0,M402),
IF(O402="""",0,O402),
IF(Q402="""",0,Q402)
})"),"")</f>
        <v/>
      </c>
      <c r="V402" s="8" t="e">
        <f t="array" aca="1" ref="V402" ca="1">IF($C$4="Giao",_xludf.Xlookup(C402,#REF!,#REF!,),_xludf.Xlookup(C402,#REF!,#REF!,))</f>
        <v>#NAME?</v>
      </c>
      <c r="W402" s="8">
        <f t="array" ref="W402">IF($C$4="Giao", _xludf.Xlookup(C402,#REF!,#REF!,),)</f>
        <v>0</v>
      </c>
      <c r="X402" s="9">
        <f t="shared" si="6"/>
        <v>0</v>
      </c>
      <c r="Y402" s="7"/>
      <c r="Z402" s="7"/>
    </row>
    <row r="403" spans="1:26" ht="13" x14ac:dyDescent="0.6">
      <c r="A403" s="28" t="str">
        <f t="shared" si="5"/>
        <v/>
      </c>
      <c r="B403" s="7"/>
      <c r="C403" s="7"/>
      <c r="D403" s="9"/>
      <c r="E403" s="9"/>
      <c r="F403" s="9"/>
      <c r="G403" s="9"/>
      <c r="H403" s="9"/>
      <c r="I403" s="9"/>
      <c r="J403" s="9"/>
      <c r="K403" s="9"/>
      <c r="L403" s="9"/>
      <c r="M403" s="9"/>
      <c r="N403" s="9"/>
      <c r="O403" s="9"/>
      <c r="P403" s="29"/>
      <c r="Q403" s="29"/>
      <c r="R403" s="7"/>
      <c r="S403" s="7"/>
      <c r="T403" s="7" t="str">
        <f ca="1">IFERROR(__xludf.DUMMYFUNCTION("SPARKLINE({
IF(D403="""",0,D403),
IF(F403="""",0,F403),
IF(H403="""",0,H403),
IF(J403="""",0,J403),
IF(L403="""",0,L403),
IF(N403="""",0,N403),
IF(P403="""",0,P403)
})"),"")</f>
        <v/>
      </c>
      <c r="U403" s="7" t="str">
        <f ca="1">IFERROR(__xludf.DUMMYFUNCTION("SPARKLINE({
IF(E403="""",0,E403),
IF(G403="""",0,G403),
IF(I403="""",0,I403),
IF(K403="""",0,K403),
IF(M403="""",0,M403),
IF(O403="""",0,O403),
IF(Q403="""",0,Q403)
})"),"")</f>
        <v/>
      </c>
      <c r="V403" s="8" t="e">
        <f t="array" aca="1" ref="V403" ca="1">IF($C$4="Giao",_xludf.Xlookup(C403,#REF!,#REF!,),_xludf.Xlookup(C403,#REF!,#REF!,))</f>
        <v>#NAME?</v>
      </c>
      <c r="W403" s="8">
        <f t="array" ref="W403">IF($C$4="Giao", _xludf.Xlookup(C403,#REF!,#REF!,),)</f>
        <v>0</v>
      </c>
      <c r="X403" s="9">
        <f t="shared" si="6"/>
        <v>0</v>
      </c>
      <c r="Y403" s="7"/>
      <c r="Z403" s="7"/>
    </row>
    <row r="404" spans="1:26" ht="13" x14ac:dyDescent="0.6">
      <c r="A404" s="28" t="str">
        <f t="shared" si="5"/>
        <v/>
      </c>
      <c r="B404" s="7"/>
      <c r="C404" s="7"/>
      <c r="D404" s="9"/>
      <c r="E404" s="9"/>
      <c r="F404" s="9"/>
      <c r="G404" s="9"/>
      <c r="H404" s="9"/>
      <c r="I404" s="9"/>
      <c r="J404" s="9"/>
      <c r="K404" s="9"/>
      <c r="L404" s="9"/>
      <c r="M404" s="9"/>
      <c r="N404" s="9"/>
      <c r="O404" s="9"/>
      <c r="P404" s="29"/>
      <c r="Q404" s="29"/>
      <c r="R404" s="7"/>
      <c r="S404" s="7"/>
      <c r="T404" s="7" t="str">
        <f ca="1">IFERROR(__xludf.DUMMYFUNCTION("SPARKLINE({
IF(D404="""",0,D404),
IF(F404="""",0,F404),
IF(H404="""",0,H404),
IF(J404="""",0,J404),
IF(L404="""",0,L404),
IF(N404="""",0,N404),
IF(P404="""",0,P404)
})"),"")</f>
        <v/>
      </c>
      <c r="U404" s="7" t="str">
        <f ca="1">IFERROR(__xludf.DUMMYFUNCTION("SPARKLINE({
IF(E404="""",0,E404),
IF(G404="""",0,G404),
IF(I404="""",0,I404),
IF(K404="""",0,K404),
IF(M404="""",0,M404),
IF(O404="""",0,O404),
IF(Q404="""",0,Q404)
})"),"")</f>
        <v/>
      </c>
      <c r="V404" s="8" t="e">
        <f t="array" aca="1" ref="V404" ca="1">IF($C$4="Giao",_xludf.Xlookup(C404,#REF!,#REF!,),_xludf.Xlookup(C404,#REF!,#REF!,))</f>
        <v>#NAME?</v>
      </c>
      <c r="W404" s="8">
        <f t="array" ref="W404">IF($C$4="Giao", _xludf.Xlookup(C404,#REF!,#REF!,),)</f>
        <v>0</v>
      </c>
      <c r="X404" s="9">
        <f t="shared" si="6"/>
        <v>0</v>
      </c>
      <c r="Y404" s="7"/>
      <c r="Z404" s="7"/>
    </row>
    <row r="405" spans="1:26" ht="13" x14ac:dyDescent="0.6">
      <c r="A405" s="28" t="str">
        <f t="shared" si="5"/>
        <v/>
      </c>
      <c r="B405" s="7"/>
      <c r="C405" s="7"/>
      <c r="D405" s="9"/>
      <c r="E405" s="9"/>
      <c r="F405" s="9"/>
      <c r="G405" s="9"/>
      <c r="H405" s="9"/>
      <c r="I405" s="9"/>
      <c r="J405" s="9"/>
      <c r="K405" s="9"/>
      <c r="L405" s="9"/>
      <c r="M405" s="9"/>
      <c r="N405" s="9"/>
      <c r="O405" s="9"/>
      <c r="P405" s="29"/>
      <c r="Q405" s="29"/>
      <c r="R405" s="7"/>
      <c r="S405" s="7"/>
      <c r="T405" s="7" t="str">
        <f ca="1">IFERROR(__xludf.DUMMYFUNCTION("SPARKLINE({
IF(D405="""",0,D405),
IF(F405="""",0,F405),
IF(H405="""",0,H405),
IF(J405="""",0,J405),
IF(L405="""",0,L405),
IF(N405="""",0,N405),
IF(P405="""",0,P405)
})"),"")</f>
        <v/>
      </c>
      <c r="U405" s="7" t="str">
        <f ca="1">IFERROR(__xludf.DUMMYFUNCTION("SPARKLINE({
IF(E405="""",0,E405),
IF(G405="""",0,G405),
IF(I405="""",0,I405),
IF(K405="""",0,K405),
IF(M405="""",0,M405),
IF(O405="""",0,O405),
IF(Q405="""",0,Q405)
})"),"")</f>
        <v/>
      </c>
      <c r="V405" s="8" t="e">
        <f t="array" aca="1" ref="V405" ca="1">IF($C$4="Giao",_xludf.Xlookup(C405,#REF!,#REF!,),_xludf.Xlookup(C405,#REF!,#REF!,))</f>
        <v>#NAME?</v>
      </c>
      <c r="W405" s="8">
        <f t="array" ref="W405">IF($C$4="Giao", _xludf.Xlookup(C405,#REF!,#REF!,),)</f>
        <v>0</v>
      </c>
      <c r="X405" s="9">
        <f t="shared" si="6"/>
        <v>0</v>
      </c>
      <c r="Y405" s="7"/>
      <c r="Z405" s="7"/>
    </row>
    <row r="406" spans="1:26" ht="13" x14ac:dyDescent="0.6">
      <c r="A406" s="28" t="str">
        <f t="shared" si="5"/>
        <v/>
      </c>
      <c r="B406" s="7"/>
      <c r="C406" s="7"/>
      <c r="D406" s="9"/>
      <c r="E406" s="9"/>
      <c r="F406" s="9"/>
      <c r="G406" s="9"/>
      <c r="H406" s="9"/>
      <c r="I406" s="9"/>
      <c r="J406" s="9"/>
      <c r="K406" s="9"/>
      <c r="L406" s="9"/>
      <c r="M406" s="9"/>
      <c r="N406" s="9"/>
      <c r="O406" s="9"/>
      <c r="P406" s="29"/>
      <c r="Q406" s="29"/>
      <c r="R406" s="7"/>
      <c r="S406" s="7"/>
      <c r="T406" s="7" t="str">
        <f ca="1">IFERROR(__xludf.DUMMYFUNCTION("SPARKLINE({
IF(D406="""",0,D406),
IF(F406="""",0,F406),
IF(H406="""",0,H406),
IF(J406="""",0,J406),
IF(L406="""",0,L406),
IF(N406="""",0,N406),
IF(P406="""",0,P406)
})"),"")</f>
        <v/>
      </c>
      <c r="U406" s="7" t="str">
        <f ca="1">IFERROR(__xludf.DUMMYFUNCTION("SPARKLINE({
IF(E406="""",0,E406),
IF(G406="""",0,G406),
IF(I406="""",0,I406),
IF(K406="""",0,K406),
IF(M406="""",0,M406),
IF(O406="""",0,O406),
IF(Q406="""",0,Q406)
})"),"")</f>
        <v/>
      </c>
      <c r="V406" s="8" t="e">
        <f t="array" aca="1" ref="V406" ca="1">IF($C$4="Giao",_xludf.Xlookup(C406,#REF!,#REF!,),_xludf.Xlookup(C406,#REF!,#REF!,))</f>
        <v>#NAME?</v>
      </c>
      <c r="W406" s="8">
        <f t="array" ref="W406">IF($C$4="Giao", _xludf.Xlookup(C406,#REF!,#REF!,),)</f>
        <v>0</v>
      </c>
      <c r="X406" s="9">
        <f t="shared" si="6"/>
        <v>0</v>
      </c>
      <c r="Y406" s="7"/>
      <c r="Z406" s="7"/>
    </row>
    <row r="407" spans="1:26" ht="13" x14ac:dyDescent="0.6">
      <c r="A407" s="28" t="str">
        <f t="shared" si="5"/>
        <v/>
      </c>
      <c r="B407" s="7"/>
      <c r="C407" s="7"/>
      <c r="D407" s="9"/>
      <c r="E407" s="9"/>
      <c r="F407" s="9"/>
      <c r="G407" s="9"/>
      <c r="H407" s="9"/>
      <c r="I407" s="9"/>
      <c r="J407" s="9"/>
      <c r="K407" s="9"/>
      <c r="L407" s="9"/>
      <c r="M407" s="9"/>
      <c r="N407" s="9"/>
      <c r="O407" s="9"/>
      <c r="P407" s="29"/>
      <c r="Q407" s="29"/>
      <c r="R407" s="7"/>
      <c r="S407" s="7"/>
      <c r="T407" s="7" t="str">
        <f ca="1">IFERROR(__xludf.DUMMYFUNCTION("SPARKLINE({
IF(D407="""",0,D407),
IF(F407="""",0,F407),
IF(H407="""",0,H407),
IF(J407="""",0,J407),
IF(L407="""",0,L407),
IF(N407="""",0,N407),
IF(P407="""",0,P407)
})"),"")</f>
        <v/>
      </c>
      <c r="U407" s="7" t="str">
        <f ca="1">IFERROR(__xludf.DUMMYFUNCTION("SPARKLINE({
IF(E407="""",0,E407),
IF(G407="""",0,G407),
IF(I407="""",0,I407),
IF(K407="""",0,K407),
IF(M407="""",0,M407),
IF(O407="""",0,O407),
IF(Q407="""",0,Q407)
})"),"")</f>
        <v/>
      </c>
      <c r="V407" s="8" t="e">
        <f t="array" aca="1" ref="V407" ca="1">IF($C$4="Giao",_xludf.Xlookup(C407,#REF!,#REF!,),_xludf.Xlookup(C407,#REF!,#REF!,))</f>
        <v>#NAME?</v>
      </c>
      <c r="W407" s="8">
        <f t="array" ref="W407">IF($C$4="Giao", _xludf.Xlookup(C407,#REF!,#REF!,),)</f>
        <v>0</v>
      </c>
      <c r="X407" s="9">
        <f t="shared" si="6"/>
        <v>0</v>
      </c>
      <c r="Y407" s="7"/>
      <c r="Z407" s="7"/>
    </row>
    <row r="408" spans="1:26" ht="13" x14ac:dyDescent="0.6">
      <c r="A408" s="28" t="str">
        <f t="shared" si="5"/>
        <v/>
      </c>
      <c r="B408" s="7"/>
      <c r="C408" s="7"/>
      <c r="D408" s="9"/>
      <c r="E408" s="9"/>
      <c r="F408" s="9"/>
      <c r="G408" s="9"/>
      <c r="H408" s="9"/>
      <c r="I408" s="9"/>
      <c r="J408" s="9"/>
      <c r="K408" s="9"/>
      <c r="L408" s="9"/>
      <c r="M408" s="9"/>
      <c r="N408" s="9"/>
      <c r="O408" s="9"/>
      <c r="P408" s="29"/>
      <c r="Q408" s="29"/>
      <c r="R408" s="7"/>
      <c r="S408" s="7"/>
      <c r="T408" s="7" t="str">
        <f ca="1">IFERROR(__xludf.DUMMYFUNCTION("SPARKLINE({
IF(D408="""",0,D408),
IF(F408="""",0,F408),
IF(H408="""",0,H408),
IF(J408="""",0,J408),
IF(L408="""",0,L408),
IF(N408="""",0,N408),
IF(P408="""",0,P408)
})"),"")</f>
        <v/>
      </c>
      <c r="U408" s="7" t="str">
        <f ca="1">IFERROR(__xludf.DUMMYFUNCTION("SPARKLINE({
IF(E408="""",0,E408),
IF(G408="""",0,G408),
IF(I408="""",0,I408),
IF(K408="""",0,K408),
IF(M408="""",0,M408),
IF(O408="""",0,O408),
IF(Q408="""",0,Q408)
})"),"")</f>
        <v/>
      </c>
      <c r="V408" s="8" t="e">
        <f t="array" aca="1" ref="V408" ca="1">IF($C$4="Giao",_xludf.Xlookup(C408,#REF!,#REF!,),_xludf.Xlookup(C408,#REF!,#REF!,))</f>
        <v>#NAME?</v>
      </c>
      <c r="W408" s="8">
        <f t="array" ref="W408">IF($C$4="Giao", _xludf.Xlookup(C408,#REF!,#REF!,),)</f>
        <v>0</v>
      </c>
      <c r="X408" s="9">
        <f t="shared" si="6"/>
        <v>0</v>
      </c>
      <c r="Y408" s="7"/>
      <c r="Z408" s="7"/>
    </row>
    <row r="409" spans="1:26" ht="13" x14ac:dyDescent="0.6">
      <c r="A409" s="28" t="str">
        <f t="shared" si="5"/>
        <v/>
      </c>
      <c r="B409" s="7"/>
      <c r="C409" s="7"/>
      <c r="D409" s="9"/>
      <c r="E409" s="9"/>
      <c r="F409" s="9"/>
      <c r="G409" s="9"/>
      <c r="H409" s="9"/>
      <c r="I409" s="9"/>
      <c r="J409" s="9"/>
      <c r="K409" s="9"/>
      <c r="L409" s="9"/>
      <c r="M409" s="9"/>
      <c r="N409" s="9"/>
      <c r="O409" s="9"/>
      <c r="P409" s="29"/>
      <c r="Q409" s="29"/>
      <c r="R409" s="7"/>
      <c r="S409" s="7"/>
      <c r="T409" s="7" t="str">
        <f ca="1">IFERROR(__xludf.DUMMYFUNCTION("SPARKLINE({
IF(D409="""",0,D409),
IF(F409="""",0,F409),
IF(H409="""",0,H409),
IF(J409="""",0,J409),
IF(L409="""",0,L409),
IF(N409="""",0,N409),
IF(P409="""",0,P409)
})"),"")</f>
        <v/>
      </c>
      <c r="U409" s="7" t="str">
        <f ca="1">IFERROR(__xludf.DUMMYFUNCTION("SPARKLINE({
IF(E409="""",0,E409),
IF(G409="""",0,G409),
IF(I409="""",0,I409),
IF(K409="""",0,K409),
IF(M409="""",0,M409),
IF(O409="""",0,O409),
IF(Q409="""",0,Q409)
})"),"")</f>
        <v/>
      </c>
      <c r="V409" s="8" t="e">
        <f t="array" aca="1" ref="V409" ca="1">IF($C$4="Giao",_xludf.Xlookup(C409,#REF!,#REF!,),_xludf.Xlookup(C409,#REF!,#REF!,))</f>
        <v>#NAME?</v>
      </c>
      <c r="W409" s="8">
        <f t="array" ref="W409">IF($C$4="Giao", _xludf.Xlookup(C409,#REF!,#REF!,),)</f>
        <v>0</v>
      </c>
      <c r="X409" s="9">
        <f t="shared" si="6"/>
        <v>0</v>
      </c>
      <c r="Y409" s="7"/>
      <c r="Z409" s="7"/>
    </row>
    <row r="410" spans="1:26" ht="13" x14ac:dyDescent="0.6">
      <c r="A410" s="28" t="str">
        <f t="shared" si="5"/>
        <v/>
      </c>
      <c r="B410" s="7"/>
      <c r="C410" s="7"/>
      <c r="D410" s="9"/>
      <c r="E410" s="9"/>
      <c r="F410" s="9"/>
      <c r="G410" s="9"/>
      <c r="H410" s="9"/>
      <c r="I410" s="9"/>
      <c r="J410" s="9"/>
      <c r="K410" s="9"/>
      <c r="L410" s="9"/>
      <c r="M410" s="9"/>
      <c r="N410" s="9"/>
      <c r="O410" s="9"/>
      <c r="P410" s="29"/>
      <c r="Q410" s="29"/>
      <c r="R410" s="7"/>
      <c r="S410" s="7"/>
      <c r="T410" s="7" t="str">
        <f ca="1">IFERROR(__xludf.DUMMYFUNCTION("SPARKLINE({
IF(D410="""",0,D410),
IF(F410="""",0,F410),
IF(H410="""",0,H410),
IF(J410="""",0,J410),
IF(L410="""",0,L410),
IF(N410="""",0,N410),
IF(P410="""",0,P410)
})"),"")</f>
        <v/>
      </c>
      <c r="U410" s="7" t="str">
        <f ca="1">IFERROR(__xludf.DUMMYFUNCTION("SPARKLINE({
IF(E410="""",0,E410),
IF(G410="""",0,G410),
IF(I410="""",0,I410),
IF(K410="""",0,K410),
IF(M410="""",0,M410),
IF(O410="""",0,O410),
IF(Q410="""",0,Q410)
})"),"")</f>
        <v/>
      </c>
      <c r="V410" s="8" t="e">
        <f t="array" aca="1" ref="V410" ca="1">IF($C$4="Giao",_xludf.Xlookup(C410,#REF!,#REF!,),_xludf.Xlookup(C410,#REF!,#REF!,))</f>
        <v>#NAME?</v>
      </c>
      <c r="W410" s="8">
        <f t="array" ref="W410">IF($C$4="Giao", _xludf.Xlookup(C410,#REF!,#REF!,),)</f>
        <v>0</v>
      </c>
      <c r="X410" s="9">
        <f t="shared" si="6"/>
        <v>0</v>
      </c>
      <c r="Y410" s="7"/>
      <c r="Z410" s="7"/>
    </row>
    <row r="411" spans="1:26" ht="13" x14ac:dyDescent="0.6">
      <c r="A411" s="28" t="str">
        <f t="shared" si="5"/>
        <v/>
      </c>
      <c r="B411" s="7"/>
      <c r="C411" s="7"/>
      <c r="D411" s="9"/>
      <c r="E411" s="9"/>
      <c r="F411" s="9"/>
      <c r="G411" s="9"/>
      <c r="H411" s="9"/>
      <c r="I411" s="9"/>
      <c r="J411" s="9"/>
      <c r="K411" s="9"/>
      <c r="L411" s="9"/>
      <c r="M411" s="9"/>
      <c r="N411" s="9"/>
      <c r="O411" s="9"/>
      <c r="P411" s="29"/>
      <c r="Q411" s="29"/>
      <c r="R411" s="7"/>
      <c r="S411" s="7"/>
      <c r="T411" s="7" t="str">
        <f ca="1">IFERROR(__xludf.DUMMYFUNCTION("SPARKLINE({
IF(D411="""",0,D411),
IF(F411="""",0,F411),
IF(H411="""",0,H411),
IF(J411="""",0,J411),
IF(L411="""",0,L411),
IF(N411="""",0,N411),
IF(P411="""",0,P411)
})"),"")</f>
        <v/>
      </c>
      <c r="U411" s="7" t="str">
        <f ca="1">IFERROR(__xludf.DUMMYFUNCTION("SPARKLINE({
IF(E411="""",0,E411),
IF(G411="""",0,G411),
IF(I411="""",0,I411),
IF(K411="""",0,K411),
IF(M411="""",0,M411),
IF(O411="""",0,O411),
IF(Q411="""",0,Q411)
})"),"")</f>
        <v/>
      </c>
      <c r="V411" s="8" t="e">
        <f t="array" aca="1" ref="V411" ca="1">IF($C$4="Giao",_xludf.Xlookup(C411,#REF!,#REF!,),_xludf.Xlookup(C411,#REF!,#REF!,))</f>
        <v>#NAME?</v>
      </c>
      <c r="W411" s="8">
        <f t="array" ref="W411">IF($C$4="Giao", _xludf.Xlookup(C411,#REF!,#REF!,),)</f>
        <v>0</v>
      </c>
      <c r="X411" s="9">
        <f t="shared" si="6"/>
        <v>0</v>
      </c>
      <c r="Y411" s="7"/>
      <c r="Z411" s="7"/>
    </row>
    <row r="412" spans="1:26" ht="13" x14ac:dyDescent="0.6">
      <c r="A412" s="28" t="str">
        <f t="shared" si="5"/>
        <v/>
      </c>
      <c r="B412" s="7"/>
      <c r="C412" s="7"/>
      <c r="D412" s="9"/>
      <c r="E412" s="9"/>
      <c r="F412" s="9"/>
      <c r="G412" s="9"/>
      <c r="H412" s="9"/>
      <c r="I412" s="9"/>
      <c r="J412" s="9"/>
      <c r="K412" s="9"/>
      <c r="L412" s="9"/>
      <c r="M412" s="9"/>
      <c r="N412" s="9"/>
      <c r="O412" s="9"/>
      <c r="P412" s="29"/>
      <c r="Q412" s="29"/>
      <c r="R412" s="7"/>
      <c r="S412" s="7"/>
      <c r="T412" s="7" t="str">
        <f ca="1">IFERROR(__xludf.DUMMYFUNCTION("SPARKLINE({
IF(D412="""",0,D412),
IF(F412="""",0,F412),
IF(H412="""",0,H412),
IF(J412="""",0,J412),
IF(L412="""",0,L412),
IF(N412="""",0,N412),
IF(P412="""",0,P412)
})"),"")</f>
        <v/>
      </c>
      <c r="U412" s="7" t="str">
        <f ca="1">IFERROR(__xludf.DUMMYFUNCTION("SPARKLINE({
IF(E412="""",0,E412),
IF(G412="""",0,G412),
IF(I412="""",0,I412),
IF(K412="""",0,K412),
IF(M412="""",0,M412),
IF(O412="""",0,O412),
IF(Q412="""",0,Q412)
})"),"")</f>
        <v/>
      </c>
      <c r="V412" s="8" t="e">
        <f t="array" aca="1" ref="V412" ca="1">IF($C$4="Giao",_xludf.Xlookup(C412,#REF!,#REF!,),_xludf.Xlookup(C412,#REF!,#REF!,))</f>
        <v>#NAME?</v>
      </c>
      <c r="W412" s="8">
        <f t="array" ref="W412">IF($C$4="Giao", _xludf.Xlookup(C412,#REF!,#REF!,),)</f>
        <v>0</v>
      </c>
      <c r="X412" s="9">
        <f t="shared" si="6"/>
        <v>0</v>
      </c>
      <c r="Y412" s="7"/>
      <c r="Z412" s="7"/>
    </row>
    <row r="413" spans="1:26" ht="13" x14ac:dyDescent="0.6">
      <c r="A413" s="28" t="str">
        <f t="shared" si="5"/>
        <v/>
      </c>
      <c r="B413" s="7"/>
      <c r="C413" s="7"/>
      <c r="D413" s="9"/>
      <c r="E413" s="9"/>
      <c r="F413" s="9"/>
      <c r="G413" s="9"/>
      <c r="H413" s="9"/>
      <c r="I413" s="9"/>
      <c r="J413" s="9"/>
      <c r="K413" s="9"/>
      <c r="L413" s="9"/>
      <c r="M413" s="9"/>
      <c r="N413" s="9"/>
      <c r="O413" s="9"/>
      <c r="P413" s="29"/>
      <c r="Q413" s="29"/>
      <c r="R413" s="7"/>
      <c r="S413" s="7"/>
      <c r="T413" s="7" t="str">
        <f ca="1">IFERROR(__xludf.DUMMYFUNCTION("SPARKLINE({
IF(D413="""",0,D413),
IF(F413="""",0,F413),
IF(H413="""",0,H413),
IF(J413="""",0,J413),
IF(L413="""",0,L413),
IF(N413="""",0,N413),
IF(P413="""",0,P413)
})"),"")</f>
        <v/>
      </c>
      <c r="U413" s="7" t="str">
        <f ca="1">IFERROR(__xludf.DUMMYFUNCTION("SPARKLINE({
IF(E413="""",0,E413),
IF(G413="""",0,G413),
IF(I413="""",0,I413),
IF(K413="""",0,K413),
IF(M413="""",0,M413),
IF(O413="""",0,O413),
IF(Q413="""",0,Q413)
})"),"")</f>
        <v/>
      </c>
      <c r="V413" s="8" t="e">
        <f t="array" aca="1" ref="V413" ca="1">IF($C$4="Giao",_xludf.Xlookup(C413,#REF!,#REF!,),_xludf.Xlookup(C413,#REF!,#REF!,))</f>
        <v>#NAME?</v>
      </c>
      <c r="W413" s="8">
        <f t="array" ref="W413">IF($C$4="Giao", _xludf.Xlookup(C413,#REF!,#REF!,),)</f>
        <v>0</v>
      </c>
      <c r="X413" s="9">
        <f t="shared" si="6"/>
        <v>0</v>
      </c>
      <c r="Y413" s="7"/>
      <c r="Z413" s="7"/>
    </row>
    <row r="414" spans="1:26" ht="13" x14ac:dyDescent="0.6">
      <c r="A414" s="28" t="str">
        <f t="shared" si="5"/>
        <v/>
      </c>
      <c r="B414" s="7"/>
      <c r="C414" s="7"/>
      <c r="D414" s="9"/>
      <c r="E414" s="9"/>
      <c r="F414" s="9"/>
      <c r="G414" s="9"/>
      <c r="H414" s="9"/>
      <c r="I414" s="9"/>
      <c r="J414" s="9"/>
      <c r="K414" s="9"/>
      <c r="L414" s="9"/>
      <c r="M414" s="9"/>
      <c r="N414" s="9"/>
      <c r="O414" s="9"/>
      <c r="P414" s="29"/>
      <c r="Q414" s="29"/>
      <c r="R414" s="7"/>
      <c r="S414" s="7"/>
      <c r="T414" s="7" t="str">
        <f ca="1">IFERROR(__xludf.DUMMYFUNCTION("SPARKLINE({
IF(D414="""",0,D414),
IF(F414="""",0,F414),
IF(H414="""",0,H414),
IF(J414="""",0,J414),
IF(L414="""",0,L414),
IF(N414="""",0,N414),
IF(P414="""",0,P414)
})"),"")</f>
        <v/>
      </c>
      <c r="U414" s="7" t="str">
        <f ca="1">IFERROR(__xludf.DUMMYFUNCTION("SPARKLINE({
IF(E414="""",0,E414),
IF(G414="""",0,G414),
IF(I414="""",0,I414),
IF(K414="""",0,K414),
IF(M414="""",0,M414),
IF(O414="""",0,O414),
IF(Q414="""",0,Q414)
})"),"")</f>
        <v/>
      </c>
      <c r="V414" s="8" t="e">
        <f t="array" aca="1" ref="V414" ca="1">IF($C$4="Giao",_xludf.Xlookup(C414,#REF!,#REF!,),_xludf.Xlookup(C414,#REF!,#REF!,))</f>
        <v>#NAME?</v>
      </c>
      <c r="W414" s="8">
        <f t="array" ref="W414">IF($C$4="Giao", _xludf.Xlookup(C414,#REF!,#REF!,),)</f>
        <v>0</v>
      </c>
      <c r="X414" s="9">
        <f t="shared" si="6"/>
        <v>0</v>
      </c>
      <c r="Y414" s="7"/>
      <c r="Z414" s="7"/>
    </row>
    <row r="415" spans="1:26" ht="13" x14ac:dyDescent="0.6">
      <c r="A415" s="28" t="str">
        <f t="shared" si="5"/>
        <v/>
      </c>
      <c r="B415" s="7"/>
      <c r="C415" s="7"/>
      <c r="D415" s="9"/>
      <c r="E415" s="9"/>
      <c r="F415" s="9"/>
      <c r="G415" s="9"/>
      <c r="H415" s="9"/>
      <c r="I415" s="9"/>
      <c r="J415" s="9"/>
      <c r="K415" s="9"/>
      <c r="L415" s="9"/>
      <c r="M415" s="9"/>
      <c r="N415" s="9"/>
      <c r="O415" s="9"/>
      <c r="P415" s="29"/>
      <c r="Q415" s="29"/>
      <c r="R415" s="7"/>
      <c r="S415" s="7"/>
      <c r="T415" s="7" t="str">
        <f ca="1">IFERROR(__xludf.DUMMYFUNCTION("SPARKLINE({
IF(D415="""",0,D415),
IF(F415="""",0,F415),
IF(H415="""",0,H415),
IF(J415="""",0,J415),
IF(L415="""",0,L415),
IF(N415="""",0,N415),
IF(P415="""",0,P415)
})"),"")</f>
        <v/>
      </c>
      <c r="U415" s="7" t="str">
        <f ca="1">IFERROR(__xludf.DUMMYFUNCTION("SPARKLINE({
IF(E415="""",0,E415),
IF(G415="""",0,G415),
IF(I415="""",0,I415),
IF(K415="""",0,K415),
IF(M415="""",0,M415),
IF(O415="""",0,O415),
IF(Q415="""",0,Q415)
})"),"")</f>
        <v/>
      </c>
      <c r="V415" s="8" t="e">
        <f t="array" aca="1" ref="V415" ca="1">IF($C$4="Giao",_xludf.Xlookup(C415,#REF!,#REF!,),_xludf.Xlookup(C415,#REF!,#REF!,))</f>
        <v>#NAME?</v>
      </c>
      <c r="W415" s="8">
        <f t="array" ref="W415">IF($C$4="Giao", _xludf.Xlookup(C415,#REF!,#REF!,),)</f>
        <v>0</v>
      </c>
      <c r="X415" s="9">
        <f t="shared" si="6"/>
        <v>0</v>
      </c>
      <c r="Y415" s="7"/>
      <c r="Z415" s="7"/>
    </row>
    <row r="416" spans="1:26" ht="13" x14ac:dyDescent="0.6">
      <c r="A416" s="28" t="str">
        <f t="shared" si="5"/>
        <v/>
      </c>
      <c r="B416" s="7"/>
      <c r="C416" s="7"/>
      <c r="D416" s="9"/>
      <c r="E416" s="9"/>
      <c r="F416" s="9"/>
      <c r="G416" s="9"/>
      <c r="H416" s="9"/>
      <c r="I416" s="9"/>
      <c r="J416" s="9"/>
      <c r="K416" s="9"/>
      <c r="L416" s="9"/>
      <c r="M416" s="9"/>
      <c r="N416" s="9"/>
      <c r="O416" s="9"/>
      <c r="P416" s="29"/>
      <c r="Q416" s="29"/>
      <c r="R416" s="7"/>
      <c r="S416" s="7"/>
      <c r="T416" s="7" t="str">
        <f ca="1">IFERROR(__xludf.DUMMYFUNCTION("SPARKLINE({
IF(D416="""",0,D416),
IF(F416="""",0,F416),
IF(H416="""",0,H416),
IF(J416="""",0,J416),
IF(L416="""",0,L416),
IF(N416="""",0,N416),
IF(P416="""",0,P416)
})"),"")</f>
        <v/>
      </c>
      <c r="U416" s="7" t="str">
        <f ca="1">IFERROR(__xludf.DUMMYFUNCTION("SPARKLINE({
IF(E416="""",0,E416),
IF(G416="""",0,G416),
IF(I416="""",0,I416),
IF(K416="""",0,K416),
IF(M416="""",0,M416),
IF(O416="""",0,O416),
IF(Q416="""",0,Q416)
})"),"")</f>
        <v/>
      </c>
      <c r="V416" s="8" t="e">
        <f t="array" aca="1" ref="V416" ca="1">IF($C$4="Giao",_xludf.Xlookup(C416,#REF!,#REF!,),_xludf.Xlookup(C416,#REF!,#REF!,))</f>
        <v>#NAME?</v>
      </c>
      <c r="W416" s="8">
        <f t="array" ref="W416">IF($C$4="Giao", _xludf.Xlookup(C416,#REF!,#REF!,),)</f>
        <v>0</v>
      </c>
      <c r="X416" s="9">
        <f t="shared" si="6"/>
        <v>0</v>
      </c>
      <c r="Y416" s="7"/>
      <c r="Z416" s="7"/>
    </row>
    <row r="417" spans="1:26" ht="13" x14ac:dyDescent="0.6">
      <c r="A417" s="28" t="str">
        <f t="shared" si="5"/>
        <v/>
      </c>
      <c r="B417" s="7"/>
      <c r="C417" s="7"/>
      <c r="D417" s="9"/>
      <c r="E417" s="9"/>
      <c r="F417" s="9"/>
      <c r="G417" s="9"/>
      <c r="H417" s="9"/>
      <c r="I417" s="9"/>
      <c r="J417" s="9"/>
      <c r="K417" s="9"/>
      <c r="L417" s="9"/>
      <c r="M417" s="9"/>
      <c r="N417" s="9"/>
      <c r="O417" s="9"/>
      <c r="P417" s="29"/>
      <c r="Q417" s="29"/>
      <c r="R417" s="7"/>
      <c r="S417" s="7"/>
      <c r="T417" s="7" t="str">
        <f ca="1">IFERROR(__xludf.DUMMYFUNCTION("SPARKLINE({
IF(D417="""",0,D417),
IF(F417="""",0,F417),
IF(H417="""",0,H417),
IF(J417="""",0,J417),
IF(L417="""",0,L417),
IF(N417="""",0,N417),
IF(P417="""",0,P417)
})"),"")</f>
        <v/>
      </c>
      <c r="U417" s="7" t="str">
        <f ca="1">IFERROR(__xludf.DUMMYFUNCTION("SPARKLINE({
IF(E417="""",0,E417),
IF(G417="""",0,G417),
IF(I417="""",0,I417),
IF(K417="""",0,K417),
IF(M417="""",0,M417),
IF(O417="""",0,O417),
IF(Q417="""",0,Q417)
})"),"")</f>
        <v/>
      </c>
      <c r="V417" s="8" t="e">
        <f t="array" aca="1" ref="V417" ca="1">IF($C$4="Giao",_xludf.Xlookup(C417,#REF!,#REF!,),_xludf.Xlookup(C417,#REF!,#REF!,))</f>
        <v>#NAME?</v>
      </c>
      <c r="W417" s="8">
        <f t="array" ref="W417">IF($C$4="Giao", _xludf.Xlookup(C417,#REF!,#REF!,),)</f>
        <v>0</v>
      </c>
      <c r="X417" s="9">
        <f t="shared" si="6"/>
        <v>0</v>
      </c>
      <c r="Y417" s="7"/>
      <c r="Z417" s="7"/>
    </row>
    <row r="418" spans="1:26" ht="13" x14ac:dyDescent="0.6">
      <c r="A418" s="28" t="str">
        <f t="shared" si="5"/>
        <v/>
      </c>
      <c r="B418" s="7"/>
      <c r="C418" s="7"/>
      <c r="D418" s="9"/>
      <c r="E418" s="9"/>
      <c r="F418" s="9"/>
      <c r="G418" s="9"/>
      <c r="H418" s="9"/>
      <c r="I418" s="9"/>
      <c r="J418" s="9"/>
      <c r="K418" s="9"/>
      <c r="L418" s="9"/>
      <c r="M418" s="9"/>
      <c r="N418" s="9"/>
      <c r="O418" s="9"/>
      <c r="P418" s="29"/>
      <c r="Q418" s="29"/>
      <c r="R418" s="7"/>
      <c r="S418" s="7"/>
      <c r="T418" s="7" t="str">
        <f ca="1">IFERROR(__xludf.DUMMYFUNCTION("SPARKLINE({
IF(D418="""",0,D418),
IF(F418="""",0,F418),
IF(H418="""",0,H418),
IF(J418="""",0,J418),
IF(L418="""",0,L418),
IF(N418="""",0,N418),
IF(P418="""",0,P418)
})"),"")</f>
        <v/>
      </c>
      <c r="U418" s="7" t="str">
        <f ca="1">IFERROR(__xludf.DUMMYFUNCTION("SPARKLINE({
IF(E418="""",0,E418),
IF(G418="""",0,G418),
IF(I418="""",0,I418),
IF(K418="""",0,K418),
IF(M418="""",0,M418),
IF(O418="""",0,O418),
IF(Q418="""",0,Q418)
})"),"")</f>
        <v/>
      </c>
      <c r="V418" s="8" t="e">
        <f t="array" aca="1" ref="V418" ca="1">IF($C$4="Giao",_xludf.Xlookup(C418,#REF!,#REF!,),_xludf.Xlookup(C418,#REF!,#REF!,))</f>
        <v>#NAME?</v>
      </c>
      <c r="W418" s="8">
        <f t="array" ref="W418">IF($C$4="Giao", _xludf.Xlookup(C418,#REF!,#REF!,),)</f>
        <v>0</v>
      </c>
      <c r="X418" s="9">
        <f t="shared" si="6"/>
        <v>0</v>
      </c>
      <c r="Y418" s="7"/>
      <c r="Z418" s="7"/>
    </row>
    <row r="419" spans="1:26" ht="13" x14ac:dyDescent="0.6">
      <c r="A419" s="28" t="str">
        <f t="shared" si="5"/>
        <v/>
      </c>
      <c r="B419" s="7"/>
      <c r="C419" s="7"/>
      <c r="D419" s="9"/>
      <c r="E419" s="9"/>
      <c r="F419" s="9"/>
      <c r="G419" s="9"/>
      <c r="H419" s="9"/>
      <c r="I419" s="9"/>
      <c r="J419" s="9"/>
      <c r="K419" s="9"/>
      <c r="L419" s="9"/>
      <c r="M419" s="9"/>
      <c r="N419" s="9"/>
      <c r="O419" s="9"/>
      <c r="P419" s="29"/>
      <c r="Q419" s="29"/>
      <c r="R419" s="7"/>
      <c r="S419" s="7"/>
      <c r="T419" s="7" t="str">
        <f ca="1">IFERROR(__xludf.DUMMYFUNCTION("SPARKLINE({
IF(D419="""",0,D419),
IF(F419="""",0,F419),
IF(H419="""",0,H419),
IF(J419="""",0,J419),
IF(L419="""",0,L419),
IF(N419="""",0,N419),
IF(P419="""",0,P419)
})"),"")</f>
        <v/>
      </c>
      <c r="U419" s="7" t="str">
        <f ca="1">IFERROR(__xludf.DUMMYFUNCTION("SPARKLINE({
IF(E419="""",0,E419),
IF(G419="""",0,G419),
IF(I419="""",0,I419),
IF(K419="""",0,K419),
IF(M419="""",0,M419),
IF(O419="""",0,O419),
IF(Q419="""",0,Q419)
})"),"")</f>
        <v/>
      </c>
      <c r="V419" s="8" t="e">
        <f t="array" aca="1" ref="V419" ca="1">IF($C$4="Giao",_xludf.Xlookup(C419,#REF!,#REF!,),_xludf.Xlookup(C419,#REF!,#REF!,))</f>
        <v>#NAME?</v>
      </c>
      <c r="W419" s="8">
        <f t="array" ref="W419">IF($C$4="Giao", _xludf.Xlookup(C419,#REF!,#REF!,),)</f>
        <v>0</v>
      </c>
      <c r="X419" s="9">
        <f t="shared" si="6"/>
        <v>0</v>
      </c>
      <c r="Y419" s="7"/>
      <c r="Z419" s="7"/>
    </row>
    <row r="420" spans="1:26" ht="13" x14ac:dyDescent="0.6">
      <c r="A420" s="28" t="str">
        <f t="shared" si="5"/>
        <v/>
      </c>
      <c r="B420" s="7"/>
      <c r="C420" s="7"/>
      <c r="D420" s="9"/>
      <c r="E420" s="9"/>
      <c r="F420" s="9"/>
      <c r="G420" s="9"/>
      <c r="H420" s="9"/>
      <c r="I420" s="9"/>
      <c r="J420" s="9"/>
      <c r="K420" s="9"/>
      <c r="L420" s="9"/>
      <c r="M420" s="9"/>
      <c r="N420" s="9"/>
      <c r="O420" s="9"/>
      <c r="P420" s="29"/>
      <c r="Q420" s="29"/>
      <c r="R420" s="7"/>
      <c r="S420" s="7"/>
      <c r="T420" s="7" t="str">
        <f ca="1">IFERROR(__xludf.DUMMYFUNCTION("SPARKLINE({
IF(D420="""",0,D420),
IF(F420="""",0,F420),
IF(H420="""",0,H420),
IF(J420="""",0,J420),
IF(L420="""",0,L420),
IF(N420="""",0,N420),
IF(P420="""",0,P420)
})"),"")</f>
        <v/>
      </c>
      <c r="U420" s="7" t="str">
        <f ca="1">IFERROR(__xludf.DUMMYFUNCTION("SPARKLINE({
IF(E420="""",0,E420),
IF(G420="""",0,G420),
IF(I420="""",0,I420),
IF(K420="""",0,K420),
IF(M420="""",0,M420),
IF(O420="""",0,O420),
IF(Q420="""",0,Q420)
})"),"")</f>
        <v/>
      </c>
      <c r="V420" s="8" t="e">
        <f t="array" aca="1" ref="V420" ca="1">IF($C$4="Giao",_xludf.Xlookup(C420,#REF!,#REF!,),_xludf.Xlookup(C420,#REF!,#REF!,))</f>
        <v>#NAME?</v>
      </c>
      <c r="W420" s="8">
        <f t="array" ref="W420">IF($C$4="Giao", _xludf.Xlookup(C420,#REF!,#REF!,),)</f>
        <v>0</v>
      </c>
      <c r="X420" s="9">
        <f t="shared" si="6"/>
        <v>0</v>
      </c>
      <c r="Y420" s="7"/>
      <c r="Z420" s="7"/>
    </row>
    <row r="421" spans="1:26" ht="13" x14ac:dyDescent="0.6">
      <c r="A421" s="28" t="str">
        <f t="shared" si="5"/>
        <v/>
      </c>
      <c r="B421" s="7"/>
      <c r="C421" s="7"/>
      <c r="D421" s="9"/>
      <c r="E421" s="9"/>
      <c r="F421" s="9"/>
      <c r="G421" s="9"/>
      <c r="H421" s="9"/>
      <c r="I421" s="9"/>
      <c r="J421" s="9"/>
      <c r="K421" s="9"/>
      <c r="L421" s="9"/>
      <c r="M421" s="9"/>
      <c r="N421" s="9"/>
      <c r="O421" s="9"/>
      <c r="P421" s="29"/>
      <c r="Q421" s="29"/>
      <c r="R421" s="7"/>
      <c r="S421" s="7"/>
      <c r="T421" s="7" t="str">
        <f ca="1">IFERROR(__xludf.DUMMYFUNCTION("SPARKLINE({
IF(D421="""",0,D421),
IF(F421="""",0,F421),
IF(H421="""",0,H421),
IF(J421="""",0,J421),
IF(L421="""",0,L421),
IF(N421="""",0,N421),
IF(P421="""",0,P421)
})"),"")</f>
        <v/>
      </c>
      <c r="U421" s="7" t="str">
        <f ca="1">IFERROR(__xludf.DUMMYFUNCTION("SPARKLINE({
IF(E421="""",0,E421),
IF(G421="""",0,G421),
IF(I421="""",0,I421),
IF(K421="""",0,K421),
IF(M421="""",0,M421),
IF(O421="""",0,O421),
IF(Q421="""",0,Q421)
})"),"")</f>
        <v/>
      </c>
      <c r="V421" s="8" t="e">
        <f t="array" aca="1" ref="V421" ca="1">IF($C$4="Giao",_xludf.Xlookup(C421,#REF!,#REF!,),_xludf.Xlookup(C421,#REF!,#REF!,))</f>
        <v>#NAME?</v>
      </c>
      <c r="W421" s="8">
        <f t="array" ref="W421">IF($C$4="Giao", _xludf.Xlookup(C421,#REF!,#REF!,),)</f>
        <v>0</v>
      </c>
      <c r="X421" s="9">
        <f t="shared" si="6"/>
        <v>0</v>
      </c>
      <c r="Y421" s="7"/>
      <c r="Z421" s="7"/>
    </row>
    <row r="422" spans="1:26" ht="13" x14ac:dyDescent="0.6">
      <c r="A422" s="28" t="str">
        <f t="shared" si="5"/>
        <v/>
      </c>
      <c r="B422" s="7"/>
      <c r="C422" s="7"/>
      <c r="D422" s="9"/>
      <c r="E422" s="9"/>
      <c r="F422" s="9"/>
      <c r="G422" s="9"/>
      <c r="H422" s="9"/>
      <c r="I422" s="9"/>
      <c r="J422" s="9"/>
      <c r="K422" s="9"/>
      <c r="L422" s="9"/>
      <c r="M422" s="9"/>
      <c r="N422" s="9"/>
      <c r="O422" s="9"/>
      <c r="P422" s="29"/>
      <c r="Q422" s="29"/>
      <c r="R422" s="7"/>
      <c r="S422" s="7"/>
      <c r="T422" s="7" t="str">
        <f ca="1">IFERROR(__xludf.DUMMYFUNCTION("SPARKLINE({
IF(D422="""",0,D422),
IF(F422="""",0,F422),
IF(H422="""",0,H422),
IF(J422="""",0,J422),
IF(L422="""",0,L422),
IF(N422="""",0,N422),
IF(P422="""",0,P422)
})"),"")</f>
        <v/>
      </c>
      <c r="U422" s="7" t="str">
        <f ca="1">IFERROR(__xludf.DUMMYFUNCTION("SPARKLINE({
IF(E422="""",0,E422),
IF(G422="""",0,G422),
IF(I422="""",0,I422),
IF(K422="""",0,K422),
IF(M422="""",0,M422),
IF(O422="""",0,O422),
IF(Q422="""",0,Q422)
})"),"")</f>
        <v/>
      </c>
      <c r="V422" s="8" t="e">
        <f t="array" aca="1" ref="V422" ca="1">IF($C$4="Giao",_xludf.Xlookup(C422,#REF!,#REF!,),_xludf.Xlookup(C422,#REF!,#REF!,))</f>
        <v>#NAME?</v>
      </c>
      <c r="W422" s="8">
        <f t="array" ref="W422">IF($C$4="Giao", _xludf.Xlookup(C422,#REF!,#REF!,),)</f>
        <v>0</v>
      </c>
      <c r="X422" s="9">
        <f t="shared" si="6"/>
        <v>0</v>
      </c>
      <c r="Y422" s="7"/>
      <c r="Z422" s="7"/>
    </row>
    <row r="423" spans="1:26" ht="13" x14ac:dyDescent="0.6">
      <c r="A423" s="28" t="str">
        <f t="shared" si="5"/>
        <v/>
      </c>
      <c r="B423" s="7"/>
      <c r="C423" s="7"/>
      <c r="D423" s="9"/>
      <c r="E423" s="9"/>
      <c r="F423" s="9"/>
      <c r="G423" s="9"/>
      <c r="H423" s="9"/>
      <c r="I423" s="9"/>
      <c r="J423" s="9"/>
      <c r="K423" s="9"/>
      <c r="L423" s="9"/>
      <c r="M423" s="9"/>
      <c r="N423" s="9"/>
      <c r="O423" s="9"/>
      <c r="P423" s="29"/>
      <c r="Q423" s="29"/>
      <c r="R423" s="7"/>
      <c r="S423" s="7"/>
      <c r="T423" s="7" t="str">
        <f ca="1">IFERROR(__xludf.DUMMYFUNCTION("SPARKLINE({
IF(D423="""",0,D423),
IF(F423="""",0,F423),
IF(H423="""",0,H423),
IF(J423="""",0,J423),
IF(L423="""",0,L423),
IF(N423="""",0,N423),
IF(P423="""",0,P423)
})"),"")</f>
        <v/>
      </c>
      <c r="U423" s="7" t="str">
        <f ca="1">IFERROR(__xludf.DUMMYFUNCTION("SPARKLINE({
IF(E423="""",0,E423),
IF(G423="""",0,G423),
IF(I423="""",0,I423),
IF(K423="""",0,K423),
IF(M423="""",0,M423),
IF(O423="""",0,O423),
IF(Q423="""",0,Q423)
})"),"")</f>
        <v/>
      </c>
      <c r="V423" s="8" t="e">
        <f t="array" aca="1" ref="V423" ca="1">IF($C$4="Giao",_xludf.Xlookup(C423,#REF!,#REF!,),_xludf.Xlookup(C423,#REF!,#REF!,))</f>
        <v>#NAME?</v>
      </c>
      <c r="W423" s="8">
        <f t="array" ref="W423">IF($C$4="Giao", _xludf.Xlookup(C423,#REF!,#REF!,),)</f>
        <v>0</v>
      </c>
      <c r="X423" s="9">
        <f t="shared" si="6"/>
        <v>0</v>
      </c>
      <c r="Y423" s="7"/>
      <c r="Z423" s="7"/>
    </row>
    <row r="424" spans="1:26" ht="13" x14ac:dyDescent="0.6">
      <c r="A424" s="28" t="str">
        <f t="shared" si="5"/>
        <v/>
      </c>
      <c r="B424" s="7"/>
      <c r="C424" s="7"/>
      <c r="D424" s="9"/>
      <c r="E424" s="9"/>
      <c r="F424" s="9"/>
      <c r="G424" s="9"/>
      <c r="H424" s="9"/>
      <c r="I424" s="9"/>
      <c r="J424" s="9"/>
      <c r="K424" s="9"/>
      <c r="L424" s="9"/>
      <c r="M424" s="9"/>
      <c r="N424" s="9"/>
      <c r="O424" s="9"/>
      <c r="P424" s="29"/>
      <c r="Q424" s="29"/>
      <c r="R424" s="7"/>
      <c r="S424" s="7"/>
      <c r="T424" s="7" t="str">
        <f ca="1">IFERROR(__xludf.DUMMYFUNCTION("SPARKLINE({
IF(D424="""",0,D424),
IF(F424="""",0,F424),
IF(H424="""",0,H424),
IF(J424="""",0,J424),
IF(L424="""",0,L424),
IF(N424="""",0,N424),
IF(P424="""",0,P424)
})"),"")</f>
        <v/>
      </c>
      <c r="U424" s="7" t="str">
        <f ca="1">IFERROR(__xludf.DUMMYFUNCTION("SPARKLINE({
IF(E424="""",0,E424),
IF(G424="""",0,G424),
IF(I424="""",0,I424),
IF(K424="""",0,K424),
IF(M424="""",0,M424),
IF(O424="""",0,O424),
IF(Q424="""",0,Q424)
})"),"")</f>
        <v/>
      </c>
      <c r="V424" s="8" t="e">
        <f t="array" aca="1" ref="V424" ca="1">IF($C$4="Giao",_xludf.Xlookup(C424,#REF!,#REF!,),_xludf.Xlookup(C424,#REF!,#REF!,))</f>
        <v>#NAME?</v>
      </c>
      <c r="W424" s="8">
        <f t="array" ref="W424">IF($C$4="Giao", _xludf.Xlookup(C424,#REF!,#REF!,),)</f>
        <v>0</v>
      </c>
      <c r="X424" s="9">
        <f t="shared" si="6"/>
        <v>0</v>
      </c>
      <c r="Y424" s="7"/>
      <c r="Z424" s="7"/>
    </row>
    <row r="425" spans="1:26" ht="13" x14ac:dyDescent="0.6">
      <c r="A425" s="28" t="str">
        <f t="shared" si="5"/>
        <v/>
      </c>
      <c r="B425" s="7"/>
      <c r="C425" s="7"/>
      <c r="D425" s="9"/>
      <c r="E425" s="9"/>
      <c r="F425" s="9"/>
      <c r="G425" s="9"/>
      <c r="H425" s="9"/>
      <c r="I425" s="9"/>
      <c r="J425" s="9"/>
      <c r="K425" s="9"/>
      <c r="L425" s="9"/>
      <c r="M425" s="9"/>
      <c r="N425" s="9"/>
      <c r="O425" s="9"/>
      <c r="P425" s="29"/>
      <c r="Q425" s="29"/>
      <c r="R425" s="7"/>
      <c r="S425" s="7"/>
      <c r="T425" s="7" t="str">
        <f ca="1">IFERROR(__xludf.DUMMYFUNCTION("SPARKLINE({
IF(D425="""",0,D425),
IF(F425="""",0,F425),
IF(H425="""",0,H425),
IF(J425="""",0,J425),
IF(L425="""",0,L425),
IF(N425="""",0,N425),
IF(P425="""",0,P425)
})"),"")</f>
        <v/>
      </c>
      <c r="U425" s="7" t="str">
        <f ca="1">IFERROR(__xludf.DUMMYFUNCTION("SPARKLINE({
IF(E425="""",0,E425),
IF(G425="""",0,G425),
IF(I425="""",0,I425),
IF(K425="""",0,K425),
IF(M425="""",0,M425),
IF(O425="""",0,O425),
IF(Q425="""",0,Q425)
})"),"")</f>
        <v/>
      </c>
      <c r="V425" s="8" t="e">
        <f t="array" aca="1" ref="V425" ca="1">IF($C$4="Giao",_xludf.Xlookup(C425,#REF!,#REF!,),_xludf.Xlookup(C425,#REF!,#REF!,))</f>
        <v>#NAME?</v>
      </c>
      <c r="W425" s="8">
        <f t="array" ref="W425">IF($C$4="Giao", _xludf.Xlookup(C425,#REF!,#REF!,),)</f>
        <v>0</v>
      </c>
      <c r="X425" s="9">
        <f t="shared" si="6"/>
        <v>0</v>
      </c>
      <c r="Y425" s="7"/>
      <c r="Z425" s="7"/>
    </row>
    <row r="426" spans="1:26" ht="13" x14ac:dyDescent="0.6">
      <c r="A426" s="28" t="str">
        <f t="shared" si="5"/>
        <v/>
      </c>
      <c r="B426" s="7"/>
      <c r="C426" s="7"/>
      <c r="D426" s="9"/>
      <c r="E426" s="9"/>
      <c r="F426" s="9"/>
      <c r="G426" s="9"/>
      <c r="H426" s="9"/>
      <c r="I426" s="9"/>
      <c r="J426" s="9"/>
      <c r="K426" s="9"/>
      <c r="L426" s="9"/>
      <c r="M426" s="9"/>
      <c r="N426" s="9"/>
      <c r="O426" s="9"/>
      <c r="P426" s="29"/>
      <c r="Q426" s="29"/>
      <c r="R426" s="7"/>
      <c r="S426" s="7"/>
      <c r="T426" s="7" t="str">
        <f ca="1">IFERROR(__xludf.DUMMYFUNCTION("SPARKLINE({
IF(D426="""",0,D426),
IF(F426="""",0,F426),
IF(H426="""",0,H426),
IF(J426="""",0,J426),
IF(L426="""",0,L426),
IF(N426="""",0,N426),
IF(P426="""",0,P426)
})"),"")</f>
        <v/>
      </c>
      <c r="U426" s="7" t="str">
        <f ca="1">IFERROR(__xludf.DUMMYFUNCTION("SPARKLINE({
IF(E426="""",0,E426),
IF(G426="""",0,G426),
IF(I426="""",0,I426),
IF(K426="""",0,K426),
IF(M426="""",0,M426),
IF(O426="""",0,O426),
IF(Q426="""",0,Q426)
})"),"")</f>
        <v/>
      </c>
      <c r="V426" s="8" t="e">
        <f t="array" aca="1" ref="V426" ca="1">IF($C$4="Giao",_xludf.Xlookup(C426,#REF!,#REF!,),_xludf.Xlookup(C426,#REF!,#REF!,))</f>
        <v>#NAME?</v>
      </c>
      <c r="W426" s="8">
        <f t="array" ref="W426">IF($C$4="Giao", _xludf.Xlookup(C426,#REF!,#REF!,),)</f>
        <v>0</v>
      </c>
      <c r="X426" s="9">
        <f t="shared" si="6"/>
        <v>0</v>
      </c>
      <c r="Y426" s="7"/>
      <c r="Z426" s="7"/>
    </row>
    <row r="427" spans="1:26" ht="13" x14ac:dyDescent="0.6">
      <c r="A427" s="28" t="str">
        <f t="shared" si="5"/>
        <v/>
      </c>
      <c r="B427" s="7"/>
      <c r="C427" s="7"/>
      <c r="D427" s="9"/>
      <c r="E427" s="9"/>
      <c r="F427" s="9"/>
      <c r="G427" s="9"/>
      <c r="H427" s="9"/>
      <c r="I427" s="9"/>
      <c r="J427" s="9"/>
      <c r="K427" s="9"/>
      <c r="L427" s="9"/>
      <c r="M427" s="9"/>
      <c r="N427" s="9"/>
      <c r="O427" s="9"/>
      <c r="P427" s="29"/>
      <c r="Q427" s="29"/>
      <c r="R427" s="7"/>
      <c r="S427" s="7"/>
      <c r="T427" s="7" t="str">
        <f ca="1">IFERROR(__xludf.DUMMYFUNCTION("SPARKLINE({
IF(D427="""",0,D427),
IF(F427="""",0,F427),
IF(H427="""",0,H427),
IF(J427="""",0,J427),
IF(L427="""",0,L427),
IF(N427="""",0,N427),
IF(P427="""",0,P427)
})"),"")</f>
        <v/>
      </c>
      <c r="U427" s="7" t="str">
        <f ca="1">IFERROR(__xludf.DUMMYFUNCTION("SPARKLINE({
IF(E427="""",0,E427),
IF(G427="""",0,G427),
IF(I427="""",0,I427),
IF(K427="""",0,K427),
IF(M427="""",0,M427),
IF(O427="""",0,O427),
IF(Q427="""",0,Q427)
})"),"")</f>
        <v/>
      </c>
      <c r="V427" s="8" t="e">
        <f t="array" aca="1" ref="V427" ca="1">IF($C$4="Giao",_xludf.Xlookup(C427,#REF!,#REF!,),_xludf.Xlookup(C427,#REF!,#REF!,))</f>
        <v>#NAME?</v>
      </c>
      <c r="W427" s="8">
        <f t="array" ref="W427">IF($C$4="Giao", _xludf.Xlookup(C427,#REF!,#REF!,),)</f>
        <v>0</v>
      </c>
      <c r="X427" s="9">
        <f t="shared" si="6"/>
        <v>0</v>
      </c>
      <c r="Y427" s="7"/>
      <c r="Z427" s="7"/>
    </row>
    <row r="428" spans="1:26" ht="13" x14ac:dyDescent="0.6">
      <c r="A428" s="28" t="str">
        <f t="shared" si="5"/>
        <v/>
      </c>
      <c r="B428" s="7"/>
      <c r="C428" s="7"/>
      <c r="D428" s="9"/>
      <c r="E428" s="9"/>
      <c r="F428" s="9"/>
      <c r="G428" s="9"/>
      <c r="H428" s="9"/>
      <c r="I428" s="9"/>
      <c r="J428" s="9"/>
      <c r="K428" s="9"/>
      <c r="L428" s="9"/>
      <c r="M428" s="9"/>
      <c r="N428" s="9"/>
      <c r="O428" s="9"/>
      <c r="P428" s="29"/>
      <c r="Q428" s="29"/>
      <c r="R428" s="7"/>
      <c r="S428" s="7"/>
      <c r="T428" s="7" t="str">
        <f ca="1">IFERROR(__xludf.DUMMYFUNCTION("SPARKLINE({
IF(D428="""",0,D428),
IF(F428="""",0,F428),
IF(H428="""",0,H428),
IF(J428="""",0,J428),
IF(L428="""",0,L428),
IF(N428="""",0,N428),
IF(P428="""",0,P428)
})"),"")</f>
        <v/>
      </c>
      <c r="U428" s="7" t="str">
        <f ca="1">IFERROR(__xludf.DUMMYFUNCTION("SPARKLINE({
IF(E428="""",0,E428),
IF(G428="""",0,G428),
IF(I428="""",0,I428),
IF(K428="""",0,K428),
IF(M428="""",0,M428),
IF(O428="""",0,O428),
IF(Q428="""",0,Q428)
})"),"")</f>
        <v/>
      </c>
      <c r="V428" s="8" t="e">
        <f t="array" aca="1" ref="V428" ca="1">IF($C$4="Giao",_xludf.Xlookup(C428,#REF!,#REF!,),_xludf.Xlookup(C428,#REF!,#REF!,))</f>
        <v>#NAME?</v>
      </c>
      <c r="W428" s="8">
        <f t="array" ref="W428">IF($C$4="Giao", _xludf.Xlookup(C428,#REF!,#REF!,),)</f>
        <v>0</v>
      </c>
      <c r="X428" s="9">
        <f t="shared" si="6"/>
        <v>0</v>
      </c>
      <c r="Y428" s="7"/>
      <c r="Z428" s="7"/>
    </row>
    <row r="429" spans="1:26" ht="13" x14ac:dyDescent="0.6">
      <c r="A429" s="28" t="str">
        <f t="shared" si="5"/>
        <v/>
      </c>
      <c r="B429" s="7"/>
      <c r="C429" s="7"/>
      <c r="D429" s="9"/>
      <c r="E429" s="9"/>
      <c r="F429" s="9"/>
      <c r="G429" s="9"/>
      <c r="H429" s="9"/>
      <c r="I429" s="9"/>
      <c r="J429" s="9"/>
      <c r="K429" s="9"/>
      <c r="L429" s="9"/>
      <c r="M429" s="9"/>
      <c r="N429" s="9"/>
      <c r="O429" s="9"/>
      <c r="P429" s="29"/>
      <c r="Q429" s="29"/>
      <c r="R429" s="7"/>
      <c r="S429" s="7"/>
      <c r="T429" s="7" t="str">
        <f ca="1">IFERROR(__xludf.DUMMYFUNCTION("SPARKLINE({
IF(D429="""",0,D429),
IF(F429="""",0,F429),
IF(H429="""",0,H429),
IF(J429="""",0,J429),
IF(L429="""",0,L429),
IF(N429="""",0,N429),
IF(P429="""",0,P429)
})"),"")</f>
        <v/>
      </c>
      <c r="U429" s="7" t="str">
        <f ca="1">IFERROR(__xludf.DUMMYFUNCTION("SPARKLINE({
IF(E429="""",0,E429),
IF(G429="""",0,G429),
IF(I429="""",0,I429),
IF(K429="""",0,K429),
IF(M429="""",0,M429),
IF(O429="""",0,O429),
IF(Q429="""",0,Q429)
})"),"")</f>
        <v/>
      </c>
      <c r="V429" s="8" t="e">
        <f t="array" aca="1" ref="V429" ca="1">IF($C$4="Giao",_xludf.Xlookup(C429,#REF!,#REF!,),_xludf.Xlookup(C429,#REF!,#REF!,))</f>
        <v>#NAME?</v>
      </c>
      <c r="W429" s="8">
        <f t="array" ref="W429">IF($C$4="Giao", _xludf.Xlookup(C429,#REF!,#REF!,),)</f>
        <v>0</v>
      </c>
      <c r="X429" s="9">
        <f t="shared" si="6"/>
        <v>0</v>
      </c>
      <c r="Y429" s="7"/>
      <c r="Z429" s="7"/>
    </row>
    <row r="430" spans="1:26" ht="13" x14ac:dyDescent="0.6">
      <c r="A430" s="28" t="str">
        <f t="shared" si="5"/>
        <v/>
      </c>
      <c r="B430" s="7"/>
      <c r="C430" s="7"/>
      <c r="D430" s="9"/>
      <c r="E430" s="9"/>
      <c r="F430" s="9"/>
      <c r="G430" s="9"/>
      <c r="H430" s="9"/>
      <c r="I430" s="9"/>
      <c r="J430" s="9"/>
      <c r="K430" s="9"/>
      <c r="L430" s="9"/>
      <c r="M430" s="9"/>
      <c r="N430" s="9"/>
      <c r="O430" s="9"/>
      <c r="P430" s="29"/>
      <c r="Q430" s="29"/>
      <c r="R430" s="7"/>
      <c r="S430" s="7"/>
      <c r="T430" s="7" t="str">
        <f ca="1">IFERROR(__xludf.DUMMYFUNCTION("SPARKLINE({
IF(D430="""",0,D430),
IF(F430="""",0,F430),
IF(H430="""",0,H430),
IF(J430="""",0,J430),
IF(L430="""",0,L430),
IF(N430="""",0,N430),
IF(P430="""",0,P430)
})"),"")</f>
        <v/>
      </c>
      <c r="U430" s="7" t="str">
        <f ca="1">IFERROR(__xludf.DUMMYFUNCTION("SPARKLINE({
IF(E430="""",0,E430),
IF(G430="""",0,G430),
IF(I430="""",0,I430),
IF(K430="""",0,K430),
IF(M430="""",0,M430),
IF(O430="""",0,O430),
IF(Q430="""",0,Q430)
})"),"")</f>
        <v/>
      </c>
      <c r="V430" s="8" t="e">
        <f t="array" aca="1" ref="V430" ca="1">IF($C$4="Giao",_xludf.Xlookup(C430,#REF!,#REF!,),_xludf.Xlookup(C430,#REF!,#REF!,))</f>
        <v>#NAME?</v>
      </c>
      <c r="W430" s="8">
        <f t="array" ref="W430">IF($C$4="Giao", _xludf.Xlookup(C430,#REF!,#REF!,),)</f>
        <v>0</v>
      </c>
      <c r="X430" s="9">
        <f t="shared" si="6"/>
        <v>0</v>
      </c>
      <c r="Y430" s="7"/>
      <c r="Z430" s="7"/>
    </row>
    <row r="431" spans="1:26" ht="13" x14ac:dyDescent="0.6">
      <c r="A431" s="28" t="str">
        <f t="shared" si="5"/>
        <v/>
      </c>
      <c r="B431" s="7"/>
      <c r="C431" s="7"/>
      <c r="D431" s="9"/>
      <c r="E431" s="9"/>
      <c r="F431" s="9"/>
      <c r="G431" s="9"/>
      <c r="H431" s="9"/>
      <c r="I431" s="9"/>
      <c r="J431" s="9"/>
      <c r="K431" s="9"/>
      <c r="L431" s="9"/>
      <c r="M431" s="9"/>
      <c r="N431" s="9"/>
      <c r="O431" s="9"/>
      <c r="P431" s="29"/>
      <c r="Q431" s="29"/>
      <c r="R431" s="7"/>
      <c r="S431" s="7"/>
      <c r="T431" s="7" t="str">
        <f ca="1">IFERROR(__xludf.DUMMYFUNCTION("SPARKLINE({
IF(D431="""",0,D431),
IF(F431="""",0,F431),
IF(H431="""",0,H431),
IF(J431="""",0,J431),
IF(L431="""",0,L431),
IF(N431="""",0,N431),
IF(P431="""",0,P431)
})"),"")</f>
        <v/>
      </c>
      <c r="U431" s="7" t="str">
        <f ca="1">IFERROR(__xludf.DUMMYFUNCTION("SPARKLINE({
IF(E431="""",0,E431),
IF(G431="""",0,G431),
IF(I431="""",0,I431),
IF(K431="""",0,K431),
IF(M431="""",0,M431),
IF(O431="""",0,O431),
IF(Q431="""",0,Q431)
})"),"")</f>
        <v/>
      </c>
      <c r="V431" s="8" t="e">
        <f t="array" aca="1" ref="V431" ca="1">IF($C$4="Giao",_xludf.Xlookup(C431,#REF!,#REF!,),_xludf.Xlookup(C431,#REF!,#REF!,))</f>
        <v>#NAME?</v>
      </c>
      <c r="W431" s="8">
        <f t="array" ref="W431">IF($C$4="Giao", _xludf.Xlookup(C431,#REF!,#REF!,),)</f>
        <v>0</v>
      </c>
      <c r="X431" s="9">
        <f t="shared" si="6"/>
        <v>0</v>
      </c>
      <c r="Y431" s="7"/>
      <c r="Z431" s="7"/>
    </row>
    <row r="432" spans="1:26" ht="13" x14ac:dyDescent="0.6">
      <c r="A432" s="28" t="str">
        <f t="shared" si="5"/>
        <v/>
      </c>
      <c r="B432" s="7"/>
      <c r="C432" s="7"/>
      <c r="D432" s="9"/>
      <c r="E432" s="9"/>
      <c r="F432" s="9"/>
      <c r="G432" s="9"/>
      <c r="H432" s="9"/>
      <c r="I432" s="9"/>
      <c r="J432" s="9"/>
      <c r="K432" s="9"/>
      <c r="L432" s="9"/>
      <c r="M432" s="9"/>
      <c r="N432" s="9"/>
      <c r="O432" s="9"/>
      <c r="P432" s="29"/>
      <c r="Q432" s="29"/>
      <c r="R432" s="7"/>
      <c r="S432" s="7"/>
      <c r="T432" s="7" t="str">
        <f ca="1">IFERROR(__xludf.DUMMYFUNCTION("SPARKLINE({
IF(D432="""",0,D432),
IF(F432="""",0,F432),
IF(H432="""",0,H432),
IF(J432="""",0,J432),
IF(L432="""",0,L432),
IF(N432="""",0,N432),
IF(P432="""",0,P432)
})"),"")</f>
        <v/>
      </c>
      <c r="U432" s="7" t="str">
        <f ca="1">IFERROR(__xludf.DUMMYFUNCTION("SPARKLINE({
IF(E432="""",0,E432),
IF(G432="""",0,G432),
IF(I432="""",0,I432),
IF(K432="""",0,K432),
IF(M432="""",0,M432),
IF(O432="""",0,O432),
IF(Q432="""",0,Q432)
})"),"")</f>
        <v/>
      </c>
      <c r="V432" s="8" t="e">
        <f t="array" aca="1" ref="V432" ca="1">IF($C$4="Giao",_xludf.Xlookup(C432,#REF!,#REF!,),_xludf.Xlookup(C432,#REF!,#REF!,))</f>
        <v>#NAME?</v>
      </c>
      <c r="W432" s="8">
        <f t="array" ref="W432">IF($C$4="Giao", _xludf.Xlookup(C432,#REF!,#REF!,),)</f>
        <v>0</v>
      </c>
      <c r="X432" s="9">
        <f t="shared" si="6"/>
        <v>0</v>
      </c>
      <c r="Y432" s="7"/>
      <c r="Z432" s="7"/>
    </row>
    <row r="433" spans="1:26" ht="13" x14ac:dyDescent="0.6">
      <c r="A433" s="28" t="str">
        <f t="shared" si="5"/>
        <v/>
      </c>
      <c r="B433" s="7"/>
      <c r="C433" s="7"/>
      <c r="D433" s="9"/>
      <c r="E433" s="9"/>
      <c r="F433" s="9"/>
      <c r="G433" s="9"/>
      <c r="H433" s="9"/>
      <c r="I433" s="9"/>
      <c r="J433" s="9"/>
      <c r="K433" s="9"/>
      <c r="L433" s="9"/>
      <c r="M433" s="9"/>
      <c r="N433" s="9"/>
      <c r="O433" s="9"/>
      <c r="P433" s="29"/>
      <c r="Q433" s="29"/>
      <c r="R433" s="7"/>
      <c r="S433" s="7"/>
      <c r="T433" s="7" t="str">
        <f ca="1">IFERROR(__xludf.DUMMYFUNCTION("SPARKLINE({
IF(D433="""",0,D433),
IF(F433="""",0,F433),
IF(H433="""",0,H433),
IF(J433="""",0,J433),
IF(L433="""",0,L433),
IF(N433="""",0,N433),
IF(P433="""",0,P433)
})"),"")</f>
        <v/>
      </c>
      <c r="U433" s="7" t="str">
        <f ca="1">IFERROR(__xludf.DUMMYFUNCTION("SPARKLINE({
IF(E433="""",0,E433),
IF(G433="""",0,G433),
IF(I433="""",0,I433),
IF(K433="""",0,K433),
IF(M433="""",0,M433),
IF(O433="""",0,O433),
IF(Q433="""",0,Q433)
})"),"")</f>
        <v/>
      </c>
      <c r="V433" s="8" t="e">
        <f t="array" aca="1" ref="V433" ca="1">IF($C$4="Giao",_xludf.Xlookup(C433,#REF!,#REF!,),_xludf.Xlookup(C433,#REF!,#REF!,))</f>
        <v>#NAME?</v>
      </c>
      <c r="W433" s="8">
        <f t="array" ref="W433">IF($C$4="Giao", _xludf.Xlookup(C433,#REF!,#REF!,),)</f>
        <v>0</v>
      </c>
      <c r="X433" s="9">
        <f t="shared" si="6"/>
        <v>0</v>
      </c>
      <c r="Y433" s="7"/>
      <c r="Z433" s="7"/>
    </row>
    <row r="434" spans="1:26" ht="13" x14ac:dyDescent="0.6">
      <c r="A434" s="28" t="str">
        <f t="shared" si="5"/>
        <v/>
      </c>
      <c r="B434" s="7"/>
      <c r="C434" s="7"/>
      <c r="D434" s="9"/>
      <c r="E434" s="9"/>
      <c r="F434" s="9"/>
      <c r="G434" s="9"/>
      <c r="H434" s="9"/>
      <c r="I434" s="9"/>
      <c r="J434" s="9"/>
      <c r="K434" s="9"/>
      <c r="L434" s="9"/>
      <c r="M434" s="9"/>
      <c r="N434" s="9"/>
      <c r="O434" s="9"/>
      <c r="P434" s="29"/>
      <c r="Q434" s="29"/>
      <c r="R434" s="7"/>
      <c r="S434" s="7"/>
      <c r="T434" s="7" t="str">
        <f ca="1">IFERROR(__xludf.DUMMYFUNCTION("SPARKLINE({
IF(D434="""",0,D434),
IF(F434="""",0,F434),
IF(H434="""",0,H434),
IF(J434="""",0,J434),
IF(L434="""",0,L434),
IF(N434="""",0,N434),
IF(P434="""",0,P434)
})"),"")</f>
        <v/>
      </c>
      <c r="U434" s="7" t="str">
        <f ca="1">IFERROR(__xludf.DUMMYFUNCTION("SPARKLINE({
IF(E434="""",0,E434),
IF(G434="""",0,G434),
IF(I434="""",0,I434),
IF(K434="""",0,K434),
IF(M434="""",0,M434),
IF(O434="""",0,O434),
IF(Q434="""",0,Q434)
})"),"")</f>
        <v/>
      </c>
      <c r="V434" s="8" t="e">
        <f t="array" aca="1" ref="V434" ca="1">IF($C$4="Giao",_xludf.Xlookup(C434,#REF!,#REF!,),_xludf.Xlookup(C434,#REF!,#REF!,))</f>
        <v>#NAME?</v>
      </c>
      <c r="W434" s="8">
        <f t="array" ref="W434">IF($C$4="Giao", _xludf.Xlookup(C434,#REF!,#REF!,),)</f>
        <v>0</v>
      </c>
      <c r="X434" s="9">
        <f t="shared" si="6"/>
        <v>0</v>
      </c>
      <c r="Y434" s="7"/>
      <c r="Z434" s="7"/>
    </row>
    <row r="435" spans="1:26" ht="13" x14ac:dyDescent="0.6">
      <c r="A435" s="28" t="str">
        <f t="shared" si="5"/>
        <v/>
      </c>
      <c r="B435" s="7"/>
      <c r="C435" s="7"/>
      <c r="D435" s="9"/>
      <c r="E435" s="9"/>
      <c r="F435" s="9"/>
      <c r="G435" s="9"/>
      <c r="H435" s="9"/>
      <c r="I435" s="9"/>
      <c r="J435" s="9"/>
      <c r="K435" s="9"/>
      <c r="L435" s="9"/>
      <c r="M435" s="9"/>
      <c r="N435" s="9"/>
      <c r="O435" s="9"/>
      <c r="P435" s="29"/>
      <c r="Q435" s="29"/>
      <c r="R435" s="7"/>
      <c r="S435" s="7"/>
      <c r="T435" s="7" t="str">
        <f ca="1">IFERROR(__xludf.DUMMYFUNCTION("SPARKLINE({
IF(D435="""",0,D435),
IF(F435="""",0,F435),
IF(H435="""",0,H435),
IF(J435="""",0,J435),
IF(L435="""",0,L435),
IF(N435="""",0,N435),
IF(P435="""",0,P435)
})"),"")</f>
        <v/>
      </c>
      <c r="U435" s="7" t="str">
        <f ca="1">IFERROR(__xludf.DUMMYFUNCTION("SPARKLINE({
IF(E435="""",0,E435),
IF(G435="""",0,G435),
IF(I435="""",0,I435),
IF(K435="""",0,K435),
IF(M435="""",0,M435),
IF(O435="""",0,O435),
IF(Q435="""",0,Q435)
})"),"")</f>
        <v/>
      </c>
      <c r="V435" s="8" t="e">
        <f t="array" aca="1" ref="V435" ca="1">IF($C$4="Giao",_xludf.Xlookup(C435,#REF!,#REF!,),_xludf.Xlookup(C435,#REF!,#REF!,))</f>
        <v>#NAME?</v>
      </c>
      <c r="W435" s="8">
        <f t="array" ref="W435">IF($C$4="Giao", _xludf.Xlookup(C435,#REF!,#REF!,),)</f>
        <v>0</v>
      </c>
      <c r="X435" s="9">
        <f t="shared" si="6"/>
        <v>0</v>
      </c>
      <c r="Y435" s="7"/>
      <c r="Z435" s="7"/>
    </row>
    <row r="436" spans="1:26" ht="13" x14ac:dyDescent="0.6">
      <c r="A436" s="28" t="str">
        <f t="shared" si="5"/>
        <v/>
      </c>
      <c r="B436" s="7"/>
      <c r="C436" s="7"/>
      <c r="D436" s="9"/>
      <c r="E436" s="9"/>
      <c r="F436" s="9"/>
      <c r="G436" s="9"/>
      <c r="H436" s="9"/>
      <c r="I436" s="9"/>
      <c r="J436" s="9"/>
      <c r="K436" s="9"/>
      <c r="L436" s="9"/>
      <c r="M436" s="9"/>
      <c r="N436" s="9"/>
      <c r="O436" s="9"/>
      <c r="P436" s="29"/>
      <c r="Q436" s="29"/>
      <c r="R436" s="7"/>
      <c r="S436" s="7"/>
      <c r="T436" s="7" t="str">
        <f ca="1">IFERROR(__xludf.DUMMYFUNCTION("SPARKLINE({
IF(D436="""",0,D436),
IF(F436="""",0,F436),
IF(H436="""",0,H436),
IF(J436="""",0,J436),
IF(L436="""",0,L436),
IF(N436="""",0,N436),
IF(P436="""",0,P436)
})"),"")</f>
        <v/>
      </c>
      <c r="U436" s="7" t="str">
        <f ca="1">IFERROR(__xludf.DUMMYFUNCTION("SPARKLINE({
IF(E436="""",0,E436),
IF(G436="""",0,G436),
IF(I436="""",0,I436),
IF(K436="""",0,K436),
IF(M436="""",0,M436),
IF(O436="""",0,O436),
IF(Q436="""",0,Q436)
})"),"")</f>
        <v/>
      </c>
      <c r="V436" s="8" t="e">
        <f t="array" aca="1" ref="V436" ca="1">IF($C$4="Giao",_xludf.Xlookup(C436,#REF!,#REF!,),_xludf.Xlookup(C436,#REF!,#REF!,))</f>
        <v>#NAME?</v>
      </c>
      <c r="W436" s="8">
        <f t="array" ref="W436">IF($C$4="Giao", _xludf.Xlookup(C436,#REF!,#REF!,),)</f>
        <v>0</v>
      </c>
      <c r="X436" s="9">
        <f t="shared" si="6"/>
        <v>0</v>
      </c>
      <c r="Y436" s="7"/>
      <c r="Z436" s="7"/>
    </row>
    <row r="437" spans="1:26" ht="13" x14ac:dyDescent="0.6">
      <c r="A437" s="28" t="str">
        <f t="shared" si="5"/>
        <v/>
      </c>
      <c r="B437" s="7"/>
      <c r="C437" s="7"/>
      <c r="D437" s="9"/>
      <c r="E437" s="9"/>
      <c r="F437" s="9"/>
      <c r="G437" s="9"/>
      <c r="H437" s="9"/>
      <c r="I437" s="9"/>
      <c r="J437" s="9"/>
      <c r="K437" s="9"/>
      <c r="L437" s="9"/>
      <c r="M437" s="9"/>
      <c r="N437" s="9"/>
      <c r="O437" s="9"/>
      <c r="P437" s="29"/>
      <c r="Q437" s="29"/>
      <c r="R437" s="7"/>
      <c r="S437" s="7"/>
      <c r="T437" s="7" t="str">
        <f ca="1">IFERROR(__xludf.DUMMYFUNCTION("SPARKLINE({
IF(D437="""",0,D437),
IF(F437="""",0,F437),
IF(H437="""",0,H437),
IF(J437="""",0,J437),
IF(L437="""",0,L437),
IF(N437="""",0,N437),
IF(P437="""",0,P437)
})"),"")</f>
        <v/>
      </c>
      <c r="U437" s="7" t="str">
        <f ca="1">IFERROR(__xludf.DUMMYFUNCTION("SPARKLINE({
IF(E437="""",0,E437),
IF(G437="""",0,G437),
IF(I437="""",0,I437),
IF(K437="""",0,K437),
IF(M437="""",0,M437),
IF(O437="""",0,O437),
IF(Q437="""",0,Q437)
})"),"")</f>
        <v/>
      </c>
      <c r="V437" s="8" t="e">
        <f t="array" aca="1" ref="V437" ca="1">IF($C$4="Giao",_xludf.Xlookup(C437,#REF!,#REF!,),_xludf.Xlookup(C437,#REF!,#REF!,))</f>
        <v>#NAME?</v>
      </c>
      <c r="W437" s="8">
        <f t="array" ref="W437">IF($C$4="Giao", _xludf.Xlookup(C437,#REF!,#REF!,),)</f>
        <v>0</v>
      </c>
      <c r="X437" s="9">
        <f t="shared" si="6"/>
        <v>0</v>
      </c>
      <c r="Y437" s="7"/>
      <c r="Z437" s="7"/>
    </row>
    <row r="438" spans="1:26" ht="13" x14ac:dyDescent="0.6">
      <c r="A438" s="28" t="str">
        <f t="shared" si="5"/>
        <v/>
      </c>
      <c r="B438" s="7"/>
      <c r="C438" s="7"/>
      <c r="D438" s="9"/>
      <c r="E438" s="9"/>
      <c r="F438" s="9"/>
      <c r="G438" s="9"/>
      <c r="H438" s="9"/>
      <c r="I438" s="9"/>
      <c r="J438" s="9"/>
      <c r="K438" s="9"/>
      <c r="L438" s="9"/>
      <c r="M438" s="9"/>
      <c r="N438" s="9"/>
      <c r="O438" s="9"/>
      <c r="P438" s="29"/>
      <c r="Q438" s="29"/>
      <c r="R438" s="7"/>
      <c r="S438" s="7"/>
      <c r="T438" s="7" t="str">
        <f ca="1">IFERROR(__xludf.DUMMYFUNCTION("SPARKLINE({
IF(D438="""",0,D438),
IF(F438="""",0,F438),
IF(H438="""",0,H438),
IF(J438="""",0,J438),
IF(L438="""",0,L438),
IF(N438="""",0,N438),
IF(P438="""",0,P438)
})"),"")</f>
        <v/>
      </c>
      <c r="U438" s="7" t="str">
        <f ca="1">IFERROR(__xludf.DUMMYFUNCTION("SPARKLINE({
IF(E438="""",0,E438),
IF(G438="""",0,G438),
IF(I438="""",0,I438),
IF(K438="""",0,K438),
IF(M438="""",0,M438),
IF(O438="""",0,O438),
IF(Q438="""",0,Q438)
})"),"")</f>
        <v/>
      </c>
      <c r="V438" s="8" t="e">
        <f t="array" aca="1" ref="V438" ca="1">IF($C$4="Giao",_xludf.Xlookup(C438,#REF!,#REF!,),_xludf.Xlookup(C438,#REF!,#REF!,))</f>
        <v>#NAME?</v>
      </c>
      <c r="W438" s="8">
        <f t="array" ref="W438">IF($C$4="Giao", _xludf.Xlookup(C438,#REF!,#REF!,),)</f>
        <v>0</v>
      </c>
      <c r="X438" s="9">
        <f t="shared" si="6"/>
        <v>0</v>
      </c>
      <c r="Y438" s="7"/>
      <c r="Z438" s="7"/>
    </row>
    <row r="439" spans="1:26" ht="13" x14ac:dyDescent="0.6">
      <c r="A439" s="28" t="str">
        <f t="shared" si="5"/>
        <v/>
      </c>
      <c r="B439" s="7"/>
      <c r="C439" s="7"/>
      <c r="D439" s="9"/>
      <c r="E439" s="9"/>
      <c r="F439" s="9"/>
      <c r="G439" s="9"/>
      <c r="H439" s="9"/>
      <c r="I439" s="9"/>
      <c r="J439" s="9"/>
      <c r="K439" s="9"/>
      <c r="L439" s="9"/>
      <c r="M439" s="9"/>
      <c r="N439" s="9"/>
      <c r="O439" s="9"/>
      <c r="P439" s="29"/>
      <c r="Q439" s="29"/>
      <c r="R439" s="7"/>
      <c r="S439" s="7"/>
      <c r="T439" s="7" t="str">
        <f ca="1">IFERROR(__xludf.DUMMYFUNCTION("SPARKLINE({
IF(D439="""",0,D439),
IF(F439="""",0,F439),
IF(H439="""",0,H439),
IF(J439="""",0,J439),
IF(L439="""",0,L439),
IF(N439="""",0,N439),
IF(P439="""",0,P439)
})"),"")</f>
        <v/>
      </c>
      <c r="U439" s="7" t="str">
        <f ca="1">IFERROR(__xludf.DUMMYFUNCTION("SPARKLINE({
IF(E439="""",0,E439),
IF(G439="""",0,G439),
IF(I439="""",0,I439),
IF(K439="""",0,K439),
IF(M439="""",0,M439),
IF(O439="""",0,O439),
IF(Q439="""",0,Q439)
})"),"")</f>
        <v/>
      </c>
      <c r="V439" s="8" t="e">
        <f t="array" aca="1" ref="V439" ca="1">IF($C$4="Giao",_xludf.Xlookup(C439,#REF!,#REF!,),_xludf.Xlookup(C439,#REF!,#REF!,))</f>
        <v>#NAME?</v>
      </c>
      <c r="W439" s="8">
        <f t="array" ref="W439">IF($C$4="Giao", _xludf.Xlookup(C439,#REF!,#REF!,),)</f>
        <v>0</v>
      </c>
      <c r="X439" s="9">
        <f t="shared" si="6"/>
        <v>0</v>
      </c>
      <c r="Y439" s="7"/>
      <c r="Z439" s="7"/>
    </row>
    <row r="440" spans="1:26" ht="13" x14ac:dyDescent="0.6">
      <c r="A440" s="28" t="str">
        <f t="shared" si="5"/>
        <v/>
      </c>
      <c r="B440" s="7"/>
      <c r="C440" s="7"/>
      <c r="D440" s="9"/>
      <c r="E440" s="9"/>
      <c r="F440" s="9"/>
      <c r="G440" s="9"/>
      <c r="H440" s="9"/>
      <c r="I440" s="9"/>
      <c r="J440" s="9"/>
      <c r="K440" s="9"/>
      <c r="L440" s="9"/>
      <c r="M440" s="9"/>
      <c r="N440" s="9"/>
      <c r="O440" s="9"/>
      <c r="P440" s="29"/>
      <c r="Q440" s="29"/>
      <c r="R440" s="7"/>
      <c r="S440" s="7"/>
      <c r="T440" s="7" t="str">
        <f ca="1">IFERROR(__xludf.DUMMYFUNCTION("SPARKLINE({
IF(D440="""",0,D440),
IF(F440="""",0,F440),
IF(H440="""",0,H440),
IF(J440="""",0,J440),
IF(L440="""",0,L440),
IF(N440="""",0,N440),
IF(P440="""",0,P440)
})"),"")</f>
        <v/>
      </c>
      <c r="U440" s="7" t="str">
        <f ca="1">IFERROR(__xludf.DUMMYFUNCTION("SPARKLINE({
IF(E440="""",0,E440),
IF(G440="""",0,G440),
IF(I440="""",0,I440),
IF(K440="""",0,K440),
IF(M440="""",0,M440),
IF(O440="""",0,O440),
IF(Q440="""",0,Q440)
})"),"")</f>
        <v/>
      </c>
      <c r="V440" s="8" t="e">
        <f t="array" aca="1" ref="V440" ca="1">IF($C$4="Giao",_xludf.Xlookup(C440,#REF!,#REF!,),_xludf.Xlookup(C440,#REF!,#REF!,))</f>
        <v>#NAME?</v>
      </c>
      <c r="W440" s="8">
        <f t="array" ref="W440">IF($C$4="Giao", _xludf.Xlookup(C440,#REF!,#REF!,),)</f>
        <v>0</v>
      </c>
      <c r="X440" s="9">
        <f t="shared" si="6"/>
        <v>0</v>
      </c>
      <c r="Y440" s="7"/>
      <c r="Z440" s="7"/>
    </row>
    <row r="441" spans="1:26" ht="13" x14ac:dyDescent="0.6">
      <c r="A441" s="28" t="str">
        <f t="shared" si="5"/>
        <v/>
      </c>
      <c r="B441" s="7"/>
      <c r="C441" s="7"/>
      <c r="D441" s="9"/>
      <c r="E441" s="9"/>
      <c r="F441" s="9"/>
      <c r="G441" s="9"/>
      <c r="H441" s="9"/>
      <c r="I441" s="9"/>
      <c r="J441" s="9"/>
      <c r="K441" s="9"/>
      <c r="L441" s="9"/>
      <c r="M441" s="9"/>
      <c r="N441" s="9"/>
      <c r="O441" s="9"/>
      <c r="P441" s="29"/>
      <c r="Q441" s="29"/>
      <c r="R441" s="7"/>
      <c r="S441" s="7"/>
      <c r="T441" s="7" t="str">
        <f ca="1">IFERROR(__xludf.DUMMYFUNCTION("SPARKLINE({
IF(D441="""",0,D441),
IF(F441="""",0,F441),
IF(H441="""",0,H441),
IF(J441="""",0,J441),
IF(L441="""",0,L441),
IF(N441="""",0,N441),
IF(P441="""",0,P441)
})"),"")</f>
        <v/>
      </c>
      <c r="U441" s="7" t="str">
        <f ca="1">IFERROR(__xludf.DUMMYFUNCTION("SPARKLINE({
IF(E441="""",0,E441),
IF(G441="""",0,G441),
IF(I441="""",0,I441),
IF(K441="""",0,K441),
IF(M441="""",0,M441),
IF(O441="""",0,O441),
IF(Q441="""",0,Q441)
})"),"")</f>
        <v/>
      </c>
      <c r="V441" s="8" t="e">
        <f t="array" aca="1" ref="V441" ca="1">IF($C$4="Giao",_xludf.Xlookup(C441,#REF!,#REF!,),_xludf.Xlookup(C441,#REF!,#REF!,))</f>
        <v>#NAME?</v>
      </c>
      <c r="W441" s="8">
        <f t="array" ref="W441">IF($C$4="Giao", _xludf.Xlookup(C441,#REF!,#REF!,),)</f>
        <v>0</v>
      </c>
      <c r="X441" s="9">
        <f t="shared" si="6"/>
        <v>0</v>
      </c>
      <c r="Y441" s="7"/>
      <c r="Z441" s="7"/>
    </row>
    <row r="442" spans="1:26" ht="13" x14ac:dyDescent="0.6">
      <c r="A442" s="28" t="str">
        <f t="shared" si="5"/>
        <v/>
      </c>
      <c r="B442" s="7"/>
      <c r="C442" s="7"/>
      <c r="D442" s="9"/>
      <c r="E442" s="9"/>
      <c r="F442" s="9"/>
      <c r="G442" s="9"/>
      <c r="H442" s="9"/>
      <c r="I442" s="9"/>
      <c r="J442" s="9"/>
      <c r="K442" s="9"/>
      <c r="L442" s="9"/>
      <c r="M442" s="9"/>
      <c r="N442" s="9"/>
      <c r="O442" s="9"/>
      <c r="P442" s="29"/>
      <c r="Q442" s="29"/>
      <c r="R442" s="7"/>
      <c r="S442" s="7"/>
      <c r="T442" s="7" t="str">
        <f ca="1">IFERROR(__xludf.DUMMYFUNCTION("SPARKLINE({
IF(D442="""",0,D442),
IF(F442="""",0,F442),
IF(H442="""",0,H442),
IF(J442="""",0,J442),
IF(L442="""",0,L442),
IF(N442="""",0,N442),
IF(P442="""",0,P442)
})"),"")</f>
        <v/>
      </c>
      <c r="U442" s="7" t="str">
        <f ca="1">IFERROR(__xludf.DUMMYFUNCTION("SPARKLINE({
IF(E442="""",0,E442),
IF(G442="""",0,G442),
IF(I442="""",0,I442),
IF(K442="""",0,K442),
IF(M442="""",0,M442),
IF(O442="""",0,O442),
IF(Q442="""",0,Q442)
})"),"")</f>
        <v/>
      </c>
      <c r="V442" s="8" t="e">
        <f t="array" aca="1" ref="V442" ca="1">IF($C$4="Giao",_xludf.Xlookup(C442,#REF!,#REF!,),_xludf.Xlookup(C442,#REF!,#REF!,))</f>
        <v>#NAME?</v>
      </c>
      <c r="W442" s="8">
        <f t="array" ref="W442">IF($C$4="Giao", _xludf.Xlookup(C442,#REF!,#REF!,),)</f>
        <v>0</v>
      </c>
      <c r="X442" s="9">
        <f t="shared" si="6"/>
        <v>0</v>
      </c>
      <c r="Y442" s="7"/>
      <c r="Z442" s="7"/>
    </row>
    <row r="443" spans="1:26" ht="13" x14ac:dyDescent="0.6">
      <c r="A443" s="28" t="str">
        <f t="shared" si="5"/>
        <v/>
      </c>
      <c r="B443" s="7"/>
      <c r="C443" s="7"/>
      <c r="D443" s="9"/>
      <c r="E443" s="9"/>
      <c r="F443" s="9"/>
      <c r="G443" s="9"/>
      <c r="H443" s="9"/>
      <c r="I443" s="9"/>
      <c r="J443" s="9"/>
      <c r="K443" s="9"/>
      <c r="L443" s="9"/>
      <c r="M443" s="9"/>
      <c r="N443" s="9"/>
      <c r="O443" s="9"/>
      <c r="P443" s="29"/>
      <c r="Q443" s="29"/>
      <c r="R443" s="7"/>
      <c r="S443" s="7"/>
      <c r="T443" s="7" t="str">
        <f ca="1">IFERROR(__xludf.DUMMYFUNCTION("SPARKLINE({
IF(D443="""",0,D443),
IF(F443="""",0,F443),
IF(H443="""",0,H443),
IF(J443="""",0,J443),
IF(L443="""",0,L443),
IF(N443="""",0,N443),
IF(P443="""",0,P443)
})"),"")</f>
        <v/>
      </c>
      <c r="U443" s="7" t="str">
        <f ca="1">IFERROR(__xludf.DUMMYFUNCTION("SPARKLINE({
IF(E443="""",0,E443),
IF(G443="""",0,G443),
IF(I443="""",0,I443),
IF(K443="""",0,K443),
IF(M443="""",0,M443),
IF(O443="""",0,O443),
IF(Q443="""",0,Q443)
})"),"")</f>
        <v/>
      </c>
      <c r="V443" s="8" t="e">
        <f t="array" aca="1" ref="V443" ca="1">IF($C$4="Giao",_xludf.Xlookup(C443,#REF!,#REF!,),_xludf.Xlookup(C443,#REF!,#REF!,))</f>
        <v>#NAME?</v>
      </c>
      <c r="W443" s="8">
        <f t="array" ref="W443">IF($C$4="Giao", _xludf.Xlookup(C443,#REF!,#REF!,),)</f>
        <v>0</v>
      </c>
      <c r="X443" s="9">
        <f t="shared" si="6"/>
        <v>0</v>
      </c>
      <c r="Y443" s="7"/>
      <c r="Z443" s="7"/>
    </row>
    <row r="444" spans="1:26" ht="13" x14ac:dyDescent="0.6">
      <c r="A444" s="28" t="str">
        <f t="shared" si="5"/>
        <v/>
      </c>
      <c r="B444" s="7"/>
      <c r="C444" s="7"/>
      <c r="D444" s="9"/>
      <c r="E444" s="9"/>
      <c r="F444" s="9"/>
      <c r="G444" s="9"/>
      <c r="H444" s="9"/>
      <c r="I444" s="9"/>
      <c r="J444" s="9"/>
      <c r="K444" s="9"/>
      <c r="L444" s="9"/>
      <c r="M444" s="9"/>
      <c r="N444" s="9"/>
      <c r="O444" s="9"/>
      <c r="P444" s="29"/>
      <c r="Q444" s="29"/>
      <c r="R444" s="7"/>
      <c r="S444" s="7"/>
      <c r="T444" s="7" t="str">
        <f ca="1">IFERROR(__xludf.DUMMYFUNCTION("SPARKLINE({
IF(D444="""",0,D444),
IF(F444="""",0,F444),
IF(H444="""",0,H444),
IF(J444="""",0,J444),
IF(L444="""",0,L444),
IF(N444="""",0,N444),
IF(P444="""",0,P444)
})"),"")</f>
        <v/>
      </c>
      <c r="U444" s="7" t="str">
        <f ca="1">IFERROR(__xludf.DUMMYFUNCTION("SPARKLINE({
IF(E444="""",0,E444),
IF(G444="""",0,G444),
IF(I444="""",0,I444),
IF(K444="""",0,K444),
IF(M444="""",0,M444),
IF(O444="""",0,O444),
IF(Q444="""",0,Q444)
})"),"")</f>
        <v/>
      </c>
      <c r="V444" s="8" t="e">
        <f t="array" aca="1" ref="V444" ca="1">IF($C$4="Giao",_xludf.Xlookup(C444,#REF!,#REF!,),_xludf.Xlookup(C444,#REF!,#REF!,))</f>
        <v>#NAME?</v>
      </c>
      <c r="W444" s="8">
        <f t="array" ref="W444">IF($C$4="Giao", _xludf.Xlookup(C444,#REF!,#REF!,),)</f>
        <v>0</v>
      </c>
      <c r="X444" s="9">
        <f t="shared" si="6"/>
        <v>0</v>
      </c>
      <c r="Y444" s="7"/>
      <c r="Z444" s="7"/>
    </row>
    <row r="445" spans="1:26" ht="13" x14ac:dyDescent="0.6">
      <c r="A445" s="28" t="str">
        <f t="shared" si="5"/>
        <v/>
      </c>
      <c r="B445" s="7"/>
      <c r="C445" s="7"/>
      <c r="D445" s="9"/>
      <c r="E445" s="9"/>
      <c r="F445" s="9"/>
      <c r="G445" s="9"/>
      <c r="H445" s="9"/>
      <c r="I445" s="9"/>
      <c r="J445" s="9"/>
      <c r="K445" s="9"/>
      <c r="L445" s="9"/>
      <c r="M445" s="9"/>
      <c r="N445" s="9"/>
      <c r="O445" s="9"/>
      <c r="P445" s="29"/>
      <c r="Q445" s="29"/>
      <c r="R445" s="7"/>
      <c r="S445" s="7"/>
      <c r="T445" s="7" t="str">
        <f ca="1">IFERROR(__xludf.DUMMYFUNCTION("SPARKLINE({
IF(D445="""",0,D445),
IF(F445="""",0,F445),
IF(H445="""",0,H445),
IF(J445="""",0,J445),
IF(L445="""",0,L445),
IF(N445="""",0,N445),
IF(P445="""",0,P445)
})"),"")</f>
        <v/>
      </c>
      <c r="U445" s="7" t="str">
        <f ca="1">IFERROR(__xludf.DUMMYFUNCTION("SPARKLINE({
IF(E445="""",0,E445),
IF(G445="""",0,G445),
IF(I445="""",0,I445),
IF(K445="""",0,K445),
IF(M445="""",0,M445),
IF(O445="""",0,O445),
IF(Q445="""",0,Q445)
})"),"")</f>
        <v/>
      </c>
      <c r="V445" s="8" t="e">
        <f t="array" aca="1" ref="V445" ca="1">IF($C$4="Giao",_xludf.Xlookup(C445,#REF!,#REF!,),_xludf.Xlookup(C445,#REF!,#REF!,))</f>
        <v>#NAME?</v>
      </c>
      <c r="W445" s="8">
        <f t="array" ref="W445">IF($C$4="Giao", _xludf.Xlookup(C445,#REF!,#REF!,),)</f>
        <v>0</v>
      </c>
      <c r="X445" s="9">
        <f t="shared" si="6"/>
        <v>0</v>
      </c>
      <c r="Y445" s="7"/>
      <c r="Z445" s="7"/>
    </row>
    <row r="446" spans="1:26" ht="13" x14ac:dyDescent="0.6">
      <c r="A446" s="28" t="str">
        <f t="shared" si="5"/>
        <v/>
      </c>
      <c r="B446" s="7"/>
      <c r="C446" s="7"/>
      <c r="D446" s="9"/>
      <c r="E446" s="9"/>
      <c r="F446" s="9"/>
      <c r="G446" s="9"/>
      <c r="H446" s="9"/>
      <c r="I446" s="9"/>
      <c r="J446" s="9"/>
      <c r="K446" s="9"/>
      <c r="L446" s="9"/>
      <c r="M446" s="9"/>
      <c r="N446" s="9"/>
      <c r="O446" s="9"/>
      <c r="P446" s="29"/>
      <c r="Q446" s="29"/>
      <c r="R446" s="7"/>
      <c r="S446" s="7"/>
      <c r="T446" s="7" t="str">
        <f ca="1">IFERROR(__xludf.DUMMYFUNCTION("SPARKLINE({
IF(D446="""",0,D446),
IF(F446="""",0,F446),
IF(H446="""",0,H446),
IF(J446="""",0,J446),
IF(L446="""",0,L446),
IF(N446="""",0,N446),
IF(P446="""",0,P446)
})"),"")</f>
        <v/>
      </c>
      <c r="U446" s="7" t="str">
        <f ca="1">IFERROR(__xludf.DUMMYFUNCTION("SPARKLINE({
IF(E446="""",0,E446),
IF(G446="""",0,G446),
IF(I446="""",0,I446),
IF(K446="""",0,K446),
IF(M446="""",0,M446),
IF(O446="""",0,O446),
IF(Q446="""",0,Q446)
})"),"")</f>
        <v/>
      </c>
      <c r="V446" s="8" t="e">
        <f t="array" aca="1" ref="V446" ca="1">IF($C$4="Giao",_xludf.Xlookup(C446,#REF!,#REF!,),_xludf.Xlookup(C446,#REF!,#REF!,))</f>
        <v>#NAME?</v>
      </c>
      <c r="W446" s="8">
        <f t="array" ref="W446">IF($C$4="Giao", _xludf.Xlookup(C446,#REF!,#REF!,),)</f>
        <v>0</v>
      </c>
      <c r="X446" s="9">
        <f t="shared" si="6"/>
        <v>0</v>
      </c>
      <c r="Y446" s="7"/>
      <c r="Z446" s="7"/>
    </row>
    <row r="447" spans="1:26" ht="13" x14ac:dyDescent="0.6">
      <c r="A447" s="28" t="str">
        <f t="shared" si="5"/>
        <v/>
      </c>
      <c r="B447" s="7"/>
      <c r="C447" s="7"/>
      <c r="D447" s="9"/>
      <c r="E447" s="9"/>
      <c r="F447" s="9"/>
      <c r="G447" s="9"/>
      <c r="H447" s="9"/>
      <c r="I447" s="9"/>
      <c r="J447" s="9"/>
      <c r="K447" s="9"/>
      <c r="L447" s="9"/>
      <c r="M447" s="9"/>
      <c r="N447" s="9"/>
      <c r="O447" s="9"/>
      <c r="P447" s="29"/>
      <c r="Q447" s="29"/>
      <c r="R447" s="7"/>
      <c r="S447" s="7"/>
      <c r="T447" s="7" t="str">
        <f ca="1">IFERROR(__xludf.DUMMYFUNCTION("SPARKLINE({
IF(D447="""",0,D447),
IF(F447="""",0,F447),
IF(H447="""",0,H447),
IF(J447="""",0,J447),
IF(L447="""",0,L447),
IF(N447="""",0,N447),
IF(P447="""",0,P447)
})"),"")</f>
        <v/>
      </c>
      <c r="U447" s="7" t="str">
        <f ca="1">IFERROR(__xludf.DUMMYFUNCTION("SPARKLINE({
IF(E447="""",0,E447),
IF(G447="""",0,G447),
IF(I447="""",0,I447),
IF(K447="""",0,K447),
IF(M447="""",0,M447),
IF(O447="""",0,O447),
IF(Q447="""",0,Q447)
})"),"")</f>
        <v/>
      </c>
      <c r="V447" s="8" t="e">
        <f t="array" aca="1" ref="V447" ca="1">IF($C$4="Giao",_xludf.Xlookup(C447,#REF!,#REF!,),_xludf.Xlookup(C447,#REF!,#REF!,))</f>
        <v>#NAME?</v>
      </c>
      <c r="W447" s="8">
        <f t="array" ref="W447">IF($C$4="Giao", _xludf.Xlookup(C447,#REF!,#REF!,),)</f>
        <v>0</v>
      </c>
      <c r="X447" s="9">
        <f t="shared" si="6"/>
        <v>0</v>
      </c>
      <c r="Y447" s="7"/>
      <c r="Z447" s="7"/>
    </row>
    <row r="448" spans="1:26" ht="13" x14ac:dyDescent="0.6">
      <c r="A448" s="28" t="str">
        <f t="shared" si="5"/>
        <v/>
      </c>
      <c r="B448" s="7"/>
      <c r="C448" s="7"/>
      <c r="D448" s="9"/>
      <c r="E448" s="9"/>
      <c r="F448" s="9"/>
      <c r="G448" s="9"/>
      <c r="H448" s="9"/>
      <c r="I448" s="9"/>
      <c r="J448" s="9"/>
      <c r="K448" s="9"/>
      <c r="L448" s="9"/>
      <c r="M448" s="9"/>
      <c r="N448" s="9"/>
      <c r="O448" s="9"/>
      <c r="P448" s="29"/>
      <c r="Q448" s="29"/>
      <c r="R448" s="7"/>
      <c r="S448" s="7"/>
      <c r="T448" s="7" t="str">
        <f ca="1">IFERROR(__xludf.DUMMYFUNCTION("SPARKLINE({
IF(D448="""",0,D448),
IF(F448="""",0,F448),
IF(H448="""",0,H448),
IF(J448="""",0,J448),
IF(L448="""",0,L448),
IF(N448="""",0,N448),
IF(P448="""",0,P448)
})"),"")</f>
        <v/>
      </c>
      <c r="U448" s="7" t="str">
        <f ca="1">IFERROR(__xludf.DUMMYFUNCTION("SPARKLINE({
IF(E448="""",0,E448),
IF(G448="""",0,G448),
IF(I448="""",0,I448),
IF(K448="""",0,K448),
IF(M448="""",0,M448),
IF(O448="""",0,O448),
IF(Q448="""",0,Q448)
})"),"")</f>
        <v/>
      </c>
      <c r="V448" s="8" t="e">
        <f t="array" aca="1" ref="V448" ca="1">IF($C$4="Giao",_xludf.Xlookup(C448,#REF!,#REF!,),_xludf.Xlookup(C448,#REF!,#REF!,))</f>
        <v>#NAME?</v>
      </c>
      <c r="W448" s="8">
        <f t="array" ref="W448">IF($C$4="Giao", _xludf.Xlookup(C448,#REF!,#REF!,),)</f>
        <v>0</v>
      </c>
      <c r="X448" s="9">
        <f t="shared" si="6"/>
        <v>0</v>
      </c>
      <c r="Y448" s="7"/>
      <c r="Z448" s="7"/>
    </row>
    <row r="449" spans="1:26" ht="13" x14ac:dyDescent="0.6">
      <c r="A449" s="28" t="str">
        <f t="shared" si="5"/>
        <v/>
      </c>
      <c r="B449" s="7"/>
      <c r="C449" s="7"/>
      <c r="D449" s="9"/>
      <c r="E449" s="9"/>
      <c r="F449" s="9"/>
      <c r="G449" s="9"/>
      <c r="H449" s="9"/>
      <c r="I449" s="9"/>
      <c r="J449" s="9"/>
      <c r="K449" s="9"/>
      <c r="L449" s="9"/>
      <c r="M449" s="9"/>
      <c r="N449" s="9"/>
      <c r="O449" s="9"/>
      <c r="P449" s="29"/>
      <c r="Q449" s="29"/>
      <c r="R449" s="7"/>
      <c r="S449" s="7"/>
      <c r="T449" s="7" t="str">
        <f ca="1">IFERROR(__xludf.DUMMYFUNCTION("SPARKLINE({
IF(D449="""",0,D449),
IF(F449="""",0,F449),
IF(H449="""",0,H449),
IF(J449="""",0,J449),
IF(L449="""",0,L449),
IF(N449="""",0,N449),
IF(P449="""",0,P449)
})"),"")</f>
        <v/>
      </c>
      <c r="U449" s="7" t="str">
        <f ca="1">IFERROR(__xludf.DUMMYFUNCTION("SPARKLINE({
IF(E449="""",0,E449),
IF(G449="""",0,G449),
IF(I449="""",0,I449),
IF(K449="""",0,K449),
IF(M449="""",0,M449),
IF(O449="""",0,O449),
IF(Q449="""",0,Q449)
})"),"")</f>
        <v/>
      </c>
      <c r="V449" s="8" t="e">
        <f t="array" aca="1" ref="V449" ca="1">IF($C$4="Giao",_xludf.Xlookup(C449,#REF!,#REF!,),_xludf.Xlookup(C449,#REF!,#REF!,))</f>
        <v>#NAME?</v>
      </c>
      <c r="W449" s="8">
        <f t="array" ref="W449">IF($C$4="Giao", _xludf.Xlookup(C449,#REF!,#REF!,),)</f>
        <v>0</v>
      </c>
      <c r="X449" s="9">
        <f t="shared" si="6"/>
        <v>0</v>
      </c>
      <c r="Y449" s="7"/>
      <c r="Z449" s="7"/>
    </row>
    <row r="450" spans="1:26" ht="13" x14ac:dyDescent="0.6">
      <c r="A450" s="28" t="str">
        <f t="shared" si="5"/>
        <v/>
      </c>
      <c r="B450" s="7"/>
      <c r="C450" s="7"/>
      <c r="D450" s="9"/>
      <c r="E450" s="9"/>
      <c r="F450" s="9"/>
      <c r="G450" s="9"/>
      <c r="H450" s="9"/>
      <c r="I450" s="9"/>
      <c r="J450" s="9"/>
      <c r="K450" s="9"/>
      <c r="L450" s="9"/>
      <c r="M450" s="9"/>
      <c r="N450" s="9"/>
      <c r="O450" s="9"/>
      <c r="P450" s="29"/>
      <c r="Q450" s="29"/>
      <c r="R450" s="7"/>
      <c r="S450" s="7"/>
      <c r="T450" s="7" t="str">
        <f ca="1">IFERROR(__xludf.DUMMYFUNCTION("SPARKLINE({
IF(D450="""",0,D450),
IF(F450="""",0,F450),
IF(H450="""",0,H450),
IF(J450="""",0,J450),
IF(L450="""",0,L450),
IF(N450="""",0,N450),
IF(P450="""",0,P450)
})"),"")</f>
        <v/>
      </c>
      <c r="U450" s="7" t="str">
        <f ca="1">IFERROR(__xludf.DUMMYFUNCTION("SPARKLINE({
IF(E450="""",0,E450),
IF(G450="""",0,G450),
IF(I450="""",0,I450),
IF(K450="""",0,K450),
IF(M450="""",0,M450),
IF(O450="""",0,O450),
IF(Q450="""",0,Q450)
})"),"")</f>
        <v/>
      </c>
      <c r="V450" s="8" t="e">
        <f t="array" aca="1" ref="V450" ca="1">IF($C$4="Giao",_xludf.Xlookup(C450,#REF!,#REF!,),_xludf.Xlookup(C450,#REF!,#REF!,))</f>
        <v>#NAME?</v>
      </c>
      <c r="W450" s="8">
        <f t="array" ref="W450">IF($C$4="Giao", _xludf.Xlookup(C450,#REF!,#REF!,),)</f>
        <v>0</v>
      </c>
      <c r="X450" s="9">
        <f t="shared" si="6"/>
        <v>0</v>
      </c>
      <c r="Y450" s="7"/>
      <c r="Z450" s="7"/>
    </row>
    <row r="451" spans="1:26" ht="13" x14ac:dyDescent="0.6">
      <c r="A451" s="28" t="str">
        <f t="shared" si="5"/>
        <v/>
      </c>
      <c r="B451" s="7"/>
      <c r="C451" s="7"/>
      <c r="D451" s="9"/>
      <c r="E451" s="9"/>
      <c r="F451" s="9"/>
      <c r="G451" s="9"/>
      <c r="H451" s="9"/>
      <c r="I451" s="9"/>
      <c r="J451" s="9"/>
      <c r="K451" s="9"/>
      <c r="L451" s="9"/>
      <c r="M451" s="9"/>
      <c r="N451" s="9"/>
      <c r="O451" s="9"/>
      <c r="P451" s="29"/>
      <c r="Q451" s="29"/>
      <c r="R451" s="7"/>
      <c r="S451" s="7"/>
      <c r="T451" s="7" t="str">
        <f ca="1">IFERROR(__xludf.DUMMYFUNCTION("SPARKLINE({
IF(D451="""",0,D451),
IF(F451="""",0,F451),
IF(H451="""",0,H451),
IF(J451="""",0,J451),
IF(L451="""",0,L451),
IF(N451="""",0,N451),
IF(P451="""",0,P451)
})"),"")</f>
        <v/>
      </c>
      <c r="U451" s="7" t="str">
        <f ca="1">IFERROR(__xludf.DUMMYFUNCTION("SPARKLINE({
IF(E451="""",0,E451),
IF(G451="""",0,G451),
IF(I451="""",0,I451),
IF(K451="""",0,K451),
IF(M451="""",0,M451),
IF(O451="""",0,O451),
IF(Q451="""",0,Q451)
})"),"")</f>
        <v/>
      </c>
      <c r="V451" s="8" t="e">
        <f t="array" aca="1" ref="V451" ca="1">IF($C$4="Giao",_xludf.Xlookup(C451,#REF!,#REF!,),_xludf.Xlookup(C451,#REF!,#REF!,))</f>
        <v>#NAME?</v>
      </c>
      <c r="W451" s="8">
        <f t="array" ref="W451">IF($C$4="Giao", _xludf.Xlookup(C451,#REF!,#REF!,),)</f>
        <v>0</v>
      </c>
      <c r="X451" s="9">
        <f t="shared" si="6"/>
        <v>0</v>
      </c>
      <c r="Y451" s="7"/>
      <c r="Z451" s="7"/>
    </row>
    <row r="452" spans="1:26" ht="13" x14ac:dyDescent="0.6">
      <c r="A452" s="28" t="str">
        <f t="shared" si="5"/>
        <v/>
      </c>
      <c r="B452" s="7"/>
      <c r="C452" s="7"/>
      <c r="D452" s="9"/>
      <c r="E452" s="9"/>
      <c r="F452" s="9"/>
      <c r="G452" s="9"/>
      <c r="H452" s="9"/>
      <c r="I452" s="9"/>
      <c r="J452" s="9"/>
      <c r="K452" s="9"/>
      <c r="L452" s="9"/>
      <c r="M452" s="9"/>
      <c r="N452" s="9"/>
      <c r="O452" s="9"/>
      <c r="P452" s="29"/>
      <c r="Q452" s="29"/>
      <c r="R452" s="7"/>
      <c r="S452" s="7"/>
      <c r="T452" s="7" t="str">
        <f ca="1">IFERROR(__xludf.DUMMYFUNCTION("SPARKLINE({
IF(D452="""",0,D452),
IF(F452="""",0,F452),
IF(H452="""",0,H452),
IF(J452="""",0,J452),
IF(L452="""",0,L452),
IF(N452="""",0,N452),
IF(P452="""",0,P452)
})"),"")</f>
        <v/>
      </c>
      <c r="U452" s="7" t="str">
        <f ca="1">IFERROR(__xludf.DUMMYFUNCTION("SPARKLINE({
IF(E452="""",0,E452),
IF(G452="""",0,G452),
IF(I452="""",0,I452),
IF(K452="""",0,K452),
IF(M452="""",0,M452),
IF(O452="""",0,O452),
IF(Q452="""",0,Q452)
})"),"")</f>
        <v/>
      </c>
      <c r="V452" s="8" t="e">
        <f t="array" aca="1" ref="V452" ca="1">IF($C$4="Giao",_xludf.Xlookup(C452,#REF!,#REF!,),_xludf.Xlookup(C452,#REF!,#REF!,))</f>
        <v>#NAME?</v>
      </c>
      <c r="W452" s="8">
        <f t="array" ref="W452">IF($C$4="Giao", _xludf.Xlookup(C452,#REF!,#REF!,),)</f>
        <v>0</v>
      </c>
      <c r="X452" s="9">
        <f t="shared" si="6"/>
        <v>0</v>
      </c>
      <c r="Y452" s="7"/>
      <c r="Z452" s="7"/>
    </row>
    <row r="453" spans="1:26" ht="13" x14ac:dyDescent="0.6">
      <c r="A453" s="28" t="str">
        <f t="shared" si="5"/>
        <v/>
      </c>
      <c r="B453" s="7"/>
      <c r="C453" s="7"/>
      <c r="D453" s="9"/>
      <c r="E453" s="9"/>
      <c r="F453" s="9"/>
      <c r="G453" s="9"/>
      <c r="H453" s="9"/>
      <c r="I453" s="9"/>
      <c r="J453" s="9"/>
      <c r="K453" s="9"/>
      <c r="L453" s="9"/>
      <c r="M453" s="9"/>
      <c r="N453" s="9"/>
      <c r="O453" s="9"/>
      <c r="P453" s="29"/>
      <c r="Q453" s="29"/>
      <c r="R453" s="7"/>
      <c r="S453" s="7"/>
      <c r="T453" s="7" t="str">
        <f ca="1">IFERROR(__xludf.DUMMYFUNCTION("SPARKLINE({
IF(D453="""",0,D453),
IF(F453="""",0,F453),
IF(H453="""",0,H453),
IF(J453="""",0,J453),
IF(L453="""",0,L453),
IF(N453="""",0,N453),
IF(P453="""",0,P453)
})"),"")</f>
        <v/>
      </c>
      <c r="U453" s="7" t="str">
        <f ca="1">IFERROR(__xludf.DUMMYFUNCTION("SPARKLINE({
IF(E453="""",0,E453),
IF(G453="""",0,G453),
IF(I453="""",0,I453),
IF(K453="""",0,K453),
IF(M453="""",0,M453),
IF(O453="""",0,O453),
IF(Q453="""",0,Q453)
})"),"")</f>
        <v/>
      </c>
      <c r="V453" s="8" t="e">
        <f t="array" aca="1" ref="V453" ca="1">IF($C$4="Giao",_xludf.Xlookup(C453,#REF!,#REF!,),_xludf.Xlookup(C453,#REF!,#REF!,))</f>
        <v>#NAME?</v>
      </c>
      <c r="W453" s="8">
        <f t="array" ref="W453">IF($C$4="Giao", _xludf.Xlookup(C453,#REF!,#REF!,),)</f>
        <v>0</v>
      </c>
      <c r="X453" s="9">
        <f t="shared" si="6"/>
        <v>0</v>
      </c>
      <c r="Y453" s="7"/>
      <c r="Z453" s="7"/>
    </row>
    <row r="454" spans="1:26" ht="13" x14ac:dyDescent="0.6">
      <c r="A454" s="28" t="str">
        <f t="shared" si="5"/>
        <v/>
      </c>
      <c r="B454" s="7"/>
      <c r="C454" s="7"/>
      <c r="D454" s="9"/>
      <c r="E454" s="9"/>
      <c r="F454" s="9"/>
      <c r="G454" s="9"/>
      <c r="H454" s="9"/>
      <c r="I454" s="9"/>
      <c r="J454" s="9"/>
      <c r="K454" s="9"/>
      <c r="L454" s="9"/>
      <c r="M454" s="9"/>
      <c r="N454" s="9"/>
      <c r="O454" s="9"/>
      <c r="P454" s="29"/>
      <c r="Q454" s="29"/>
      <c r="R454" s="7"/>
      <c r="S454" s="7"/>
      <c r="T454" s="7" t="str">
        <f ca="1">IFERROR(__xludf.DUMMYFUNCTION("SPARKLINE({
IF(D454="""",0,D454),
IF(F454="""",0,F454),
IF(H454="""",0,H454),
IF(J454="""",0,J454),
IF(L454="""",0,L454),
IF(N454="""",0,N454),
IF(P454="""",0,P454)
})"),"")</f>
        <v/>
      </c>
      <c r="U454" s="7" t="str">
        <f ca="1">IFERROR(__xludf.DUMMYFUNCTION("SPARKLINE({
IF(E454="""",0,E454),
IF(G454="""",0,G454),
IF(I454="""",0,I454),
IF(K454="""",0,K454),
IF(M454="""",0,M454),
IF(O454="""",0,O454),
IF(Q454="""",0,Q454)
})"),"")</f>
        <v/>
      </c>
      <c r="V454" s="8" t="e">
        <f t="array" aca="1" ref="V454" ca="1">IF($C$4="Giao",_xludf.Xlookup(C454,#REF!,#REF!,),_xludf.Xlookup(C454,#REF!,#REF!,))</f>
        <v>#NAME?</v>
      </c>
      <c r="W454" s="8">
        <f t="array" ref="W454">IF($C$4="Giao", _xludf.Xlookup(C454,#REF!,#REF!,),)</f>
        <v>0</v>
      </c>
      <c r="X454" s="9">
        <f t="shared" si="6"/>
        <v>0</v>
      </c>
      <c r="Y454" s="7"/>
      <c r="Z454" s="7"/>
    </row>
    <row r="455" spans="1:26" ht="13" x14ac:dyDescent="0.6">
      <c r="A455" s="28" t="str">
        <f t="shared" si="5"/>
        <v/>
      </c>
      <c r="B455" s="7"/>
      <c r="C455" s="7"/>
      <c r="D455" s="9"/>
      <c r="E455" s="9"/>
      <c r="F455" s="9"/>
      <c r="G455" s="9"/>
      <c r="H455" s="9"/>
      <c r="I455" s="9"/>
      <c r="J455" s="9"/>
      <c r="K455" s="9"/>
      <c r="L455" s="9"/>
      <c r="M455" s="9"/>
      <c r="N455" s="9"/>
      <c r="O455" s="9"/>
      <c r="P455" s="29"/>
      <c r="Q455" s="29"/>
      <c r="R455" s="7"/>
      <c r="S455" s="7"/>
      <c r="T455" s="7" t="str">
        <f ca="1">IFERROR(__xludf.DUMMYFUNCTION("SPARKLINE({
IF(D455="""",0,D455),
IF(F455="""",0,F455),
IF(H455="""",0,H455),
IF(J455="""",0,J455),
IF(L455="""",0,L455),
IF(N455="""",0,N455),
IF(P455="""",0,P455)
})"),"")</f>
        <v/>
      </c>
      <c r="U455" s="7" t="str">
        <f ca="1">IFERROR(__xludf.DUMMYFUNCTION("SPARKLINE({
IF(E455="""",0,E455),
IF(G455="""",0,G455),
IF(I455="""",0,I455),
IF(K455="""",0,K455),
IF(M455="""",0,M455),
IF(O455="""",0,O455),
IF(Q455="""",0,Q455)
})"),"")</f>
        <v/>
      </c>
      <c r="V455" s="8" t="e">
        <f t="array" aca="1" ref="V455" ca="1">IF($C$4="Giao",_xludf.Xlookup(C455,#REF!,#REF!,),_xludf.Xlookup(C455,#REF!,#REF!,))</f>
        <v>#NAME?</v>
      </c>
      <c r="W455" s="8">
        <f t="array" ref="W455">IF($C$4="Giao", _xludf.Xlookup(C455,#REF!,#REF!,),)</f>
        <v>0</v>
      </c>
      <c r="X455" s="9">
        <f t="shared" si="6"/>
        <v>0</v>
      </c>
      <c r="Y455" s="7"/>
      <c r="Z455" s="7"/>
    </row>
    <row r="456" spans="1:26" ht="13" x14ac:dyDescent="0.6">
      <c r="A456" s="28" t="str">
        <f t="shared" si="5"/>
        <v/>
      </c>
      <c r="B456" s="7"/>
      <c r="C456" s="7"/>
      <c r="D456" s="9"/>
      <c r="E456" s="9"/>
      <c r="F456" s="9"/>
      <c r="G456" s="9"/>
      <c r="H456" s="9"/>
      <c r="I456" s="9"/>
      <c r="J456" s="9"/>
      <c r="K456" s="9"/>
      <c r="L456" s="9"/>
      <c r="M456" s="9"/>
      <c r="N456" s="9"/>
      <c r="O456" s="9"/>
      <c r="P456" s="29"/>
      <c r="Q456" s="29"/>
      <c r="R456" s="7"/>
      <c r="S456" s="7"/>
      <c r="T456" s="7" t="str">
        <f ca="1">IFERROR(__xludf.DUMMYFUNCTION("SPARKLINE({
IF(D456="""",0,D456),
IF(F456="""",0,F456),
IF(H456="""",0,H456),
IF(J456="""",0,J456),
IF(L456="""",0,L456),
IF(N456="""",0,N456),
IF(P456="""",0,P456)
})"),"")</f>
        <v/>
      </c>
      <c r="U456" s="7" t="str">
        <f ca="1">IFERROR(__xludf.DUMMYFUNCTION("SPARKLINE({
IF(E456="""",0,E456),
IF(G456="""",0,G456),
IF(I456="""",0,I456),
IF(K456="""",0,K456),
IF(M456="""",0,M456),
IF(O456="""",0,O456),
IF(Q456="""",0,Q456)
})"),"")</f>
        <v/>
      </c>
      <c r="V456" s="8" t="e">
        <f t="array" aca="1" ref="V456" ca="1">IF($C$4="Giao",_xludf.Xlookup(C456,#REF!,#REF!,),_xludf.Xlookup(C456,#REF!,#REF!,))</f>
        <v>#NAME?</v>
      </c>
      <c r="W456" s="8">
        <f t="array" ref="W456">IF($C$4="Giao", _xludf.Xlookup(C456,#REF!,#REF!,),)</f>
        <v>0</v>
      </c>
      <c r="X456" s="9">
        <f t="shared" si="6"/>
        <v>0</v>
      </c>
      <c r="Y456" s="7"/>
      <c r="Z456" s="7"/>
    </row>
    <row r="457" spans="1:26" ht="13" x14ac:dyDescent="0.6">
      <c r="A457" s="28" t="str">
        <f t="shared" si="5"/>
        <v/>
      </c>
      <c r="B457" s="7"/>
      <c r="C457" s="7"/>
      <c r="D457" s="9"/>
      <c r="E457" s="9"/>
      <c r="F457" s="9"/>
      <c r="G457" s="9"/>
      <c r="H457" s="9"/>
      <c r="I457" s="9"/>
      <c r="J457" s="9"/>
      <c r="K457" s="9"/>
      <c r="L457" s="9"/>
      <c r="M457" s="9"/>
      <c r="N457" s="9"/>
      <c r="O457" s="9"/>
      <c r="P457" s="29"/>
      <c r="Q457" s="29"/>
      <c r="R457" s="7"/>
      <c r="S457" s="7"/>
      <c r="T457" s="7" t="str">
        <f ca="1">IFERROR(__xludf.DUMMYFUNCTION("SPARKLINE({
IF(D457="""",0,D457),
IF(F457="""",0,F457),
IF(H457="""",0,H457),
IF(J457="""",0,J457),
IF(L457="""",0,L457),
IF(N457="""",0,N457),
IF(P457="""",0,P457)
})"),"")</f>
        <v/>
      </c>
      <c r="U457" s="7" t="str">
        <f ca="1">IFERROR(__xludf.DUMMYFUNCTION("SPARKLINE({
IF(E457="""",0,E457),
IF(G457="""",0,G457),
IF(I457="""",0,I457),
IF(K457="""",0,K457),
IF(M457="""",0,M457),
IF(O457="""",0,O457),
IF(Q457="""",0,Q457)
})"),"")</f>
        <v/>
      </c>
      <c r="V457" s="8" t="e">
        <f t="array" aca="1" ref="V457" ca="1">IF($C$4="Giao",_xludf.Xlookup(C457,#REF!,#REF!,),_xludf.Xlookup(C457,#REF!,#REF!,))</f>
        <v>#NAME?</v>
      </c>
      <c r="W457" s="8">
        <f t="array" ref="W457">IF($C$4="Giao", _xludf.Xlookup(C457,#REF!,#REF!,),)</f>
        <v>0</v>
      </c>
      <c r="X457" s="9">
        <f t="shared" si="6"/>
        <v>0</v>
      </c>
      <c r="Y457" s="7"/>
      <c r="Z457" s="7"/>
    </row>
    <row r="458" spans="1:26" ht="13" x14ac:dyDescent="0.6">
      <c r="A458" s="28" t="str">
        <f t="shared" si="5"/>
        <v/>
      </c>
      <c r="B458" s="7"/>
      <c r="C458" s="7"/>
      <c r="D458" s="9"/>
      <c r="E458" s="9"/>
      <c r="F458" s="9"/>
      <c r="G458" s="9"/>
      <c r="H458" s="9"/>
      <c r="I458" s="9"/>
      <c r="J458" s="9"/>
      <c r="K458" s="9"/>
      <c r="L458" s="9"/>
      <c r="M458" s="9"/>
      <c r="N458" s="9"/>
      <c r="O458" s="9"/>
      <c r="P458" s="29"/>
      <c r="Q458" s="29"/>
      <c r="R458" s="7"/>
      <c r="S458" s="7"/>
      <c r="T458" s="7" t="str">
        <f ca="1">IFERROR(__xludf.DUMMYFUNCTION("SPARKLINE({
IF(D458="""",0,D458),
IF(F458="""",0,F458),
IF(H458="""",0,H458),
IF(J458="""",0,J458),
IF(L458="""",0,L458),
IF(N458="""",0,N458),
IF(P458="""",0,P458)
})"),"")</f>
        <v/>
      </c>
      <c r="U458" s="7" t="str">
        <f ca="1">IFERROR(__xludf.DUMMYFUNCTION("SPARKLINE({
IF(E458="""",0,E458),
IF(G458="""",0,G458),
IF(I458="""",0,I458),
IF(K458="""",0,K458),
IF(M458="""",0,M458),
IF(O458="""",0,O458),
IF(Q458="""",0,Q458)
})"),"")</f>
        <v/>
      </c>
      <c r="V458" s="8" t="e">
        <f t="array" aca="1" ref="V458" ca="1">IF($C$4="Giao",_xludf.Xlookup(C458,#REF!,#REF!,),_xludf.Xlookup(C458,#REF!,#REF!,))</f>
        <v>#NAME?</v>
      </c>
      <c r="W458" s="8">
        <f t="array" ref="W458">IF($C$4="Giao", _xludf.Xlookup(C458,#REF!,#REF!,),)</f>
        <v>0</v>
      </c>
      <c r="X458" s="9">
        <f t="shared" si="6"/>
        <v>0</v>
      </c>
      <c r="Y458" s="7"/>
      <c r="Z458" s="7"/>
    </row>
    <row r="459" spans="1:26" ht="13" x14ac:dyDescent="0.6">
      <c r="A459" s="28" t="str">
        <f t="shared" si="5"/>
        <v/>
      </c>
      <c r="B459" s="7"/>
      <c r="C459" s="7"/>
      <c r="D459" s="9"/>
      <c r="E459" s="9"/>
      <c r="F459" s="9"/>
      <c r="G459" s="9"/>
      <c r="H459" s="9"/>
      <c r="I459" s="9"/>
      <c r="J459" s="9"/>
      <c r="K459" s="9"/>
      <c r="L459" s="9"/>
      <c r="M459" s="9"/>
      <c r="N459" s="9"/>
      <c r="O459" s="9"/>
      <c r="P459" s="29"/>
      <c r="Q459" s="29"/>
      <c r="R459" s="7"/>
      <c r="S459" s="7"/>
      <c r="T459" s="7" t="str">
        <f ca="1">IFERROR(__xludf.DUMMYFUNCTION("SPARKLINE({
IF(D459="""",0,D459),
IF(F459="""",0,F459),
IF(H459="""",0,H459),
IF(J459="""",0,J459),
IF(L459="""",0,L459),
IF(N459="""",0,N459),
IF(P459="""",0,P459)
})"),"")</f>
        <v/>
      </c>
      <c r="U459" s="7" t="str">
        <f ca="1">IFERROR(__xludf.DUMMYFUNCTION("SPARKLINE({
IF(E459="""",0,E459),
IF(G459="""",0,G459),
IF(I459="""",0,I459),
IF(K459="""",0,K459),
IF(M459="""",0,M459),
IF(O459="""",0,O459),
IF(Q459="""",0,Q459)
})"),"")</f>
        <v/>
      </c>
      <c r="V459" s="8" t="e">
        <f t="array" aca="1" ref="V459" ca="1">IF($C$4="Giao",_xludf.Xlookup(C459,#REF!,#REF!,),_xludf.Xlookup(C459,#REF!,#REF!,))</f>
        <v>#NAME?</v>
      </c>
      <c r="W459" s="8">
        <f t="array" ref="W459">IF($C$4="Giao", _xludf.Xlookup(C459,#REF!,#REF!,),)</f>
        <v>0</v>
      </c>
      <c r="X459" s="9">
        <f t="shared" si="6"/>
        <v>0</v>
      </c>
      <c r="Y459" s="7"/>
      <c r="Z459" s="7"/>
    </row>
    <row r="460" spans="1:26" ht="13" x14ac:dyDescent="0.6">
      <c r="A460" s="28" t="str">
        <f t="shared" si="5"/>
        <v/>
      </c>
      <c r="B460" s="7"/>
      <c r="C460" s="7"/>
      <c r="D460" s="9"/>
      <c r="E460" s="9"/>
      <c r="F460" s="9"/>
      <c r="G460" s="9"/>
      <c r="H460" s="9"/>
      <c r="I460" s="9"/>
      <c r="J460" s="9"/>
      <c r="K460" s="9"/>
      <c r="L460" s="9"/>
      <c r="M460" s="9"/>
      <c r="N460" s="9"/>
      <c r="O460" s="9"/>
      <c r="P460" s="29"/>
      <c r="Q460" s="29"/>
      <c r="R460" s="7"/>
      <c r="S460" s="7"/>
      <c r="T460" s="7" t="str">
        <f ca="1">IFERROR(__xludf.DUMMYFUNCTION("SPARKLINE({
IF(D460="""",0,D460),
IF(F460="""",0,F460),
IF(H460="""",0,H460),
IF(J460="""",0,J460),
IF(L460="""",0,L460),
IF(N460="""",0,N460),
IF(P460="""",0,P460)
})"),"")</f>
        <v/>
      </c>
      <c r="U460" s="7" t="str">
        <f ca="1">IFERROR(__xludf.DUMMYFUNCTION("SPARKLINE({
IF(E460="""",0,E460),
IF(G460="""",0,G460),
IF(I460="""",0,I460),
IF(K460="""",0,K460),
IF(M460="""",0,M460),
IF(O460="""",0,O460),
IF(Q460="""",0,Q460)
})"),"")</f>
        <v/>
      </c>
      <c r="V460" s="8" t="e">
        <f t="array" aca="1" ref="V460" ca="1">IF($C$4="Giao",_xludf.Xlookup(C460,#REF!,#REF!,),_xludf.Xlookup(C460,#REF!,#REF!,))</f>
        <v>#NAME?</v>
      </c>
      <c r="W460" s="8">
        <f t="array" ref="W460">IF($C$4="Giao", _xludf.Xlookup(C460,#REF!,#REF!,),)</f>
        <v>0</v>
      </c>
      <c r="X460" s="9">
        <f t="shared" si="6"/>
        <v>0</v>
      </c>
      <c r="Y460" s="7"/>
      <c r="Z460" s="7"/>
    </row>
    <row r="461" spans="1:26" ht="13" x14ac:dyDescent="0.6">
      <c r="A461" s="28" t="str">
        <f t="shared" si="5"/>
        <v/>
      </c>
      <c r="B461" s="7"/>
      <c r="C461" s="7"/>
      <c r="D461" s="9"/>
      <c r="E461" s="9"/>
      <c r="F461" s="9"/>
      <c r="G461" s="9"/>
      <c r="H461" s="9"/>
      <c r="I461" s="9"/>
      <c r="J461" s="9"/>
      <c r="K461" s="9"/>
      <c r="L461" s="9"/>
      <c r="M461" s="9"/>
      <c r="N461" s="9"/>
      <c r="O461" s="9"/>
      <c r="P461" s="29"/>
      <c r="Q461" s="29"/>
      <c r="R461" s="7"/>
      <c r="S461" s="7"/>
      <c r="T461" s="7" t="str">
        <f ca="1">IFERROR(__xludf.DUMMYFUNCTION("SPARKLINE({
IF(D461="""",0,D461),
IF(F461="""",0,F461),
IF(H461="""",0,H461),
IF(J461="""",0,J461),
IF(L461="""",0,L461),
IF(N461="""",0,N461),
IF(P461="""",0,P461)
})"),"")</f>
        <v/>
      </c>
      <c r="U461" s="7" t="str">
        <f ca="1">IFERROR(__xludf.DUMMYFUNCTION("SPARKLINE({
IF(E461="""",0,E461),
IF(G461="""",0,G461),
IF(I461="""",0,I461),
IF(K461="""",0,K461),
IF(M461="""",0,M461),
IF(O461="""",0,O461),
IF(Q461="""",0,Q461)
})"),"")</f>
        <v/>
      </c>
      <c r="V461" s="8" t="e">
        <f t="array" aca="1" ref="V461" ca="1">IF($C$4="Giao",_xludf.Xlookup(C461,#REF!,#REF!,),_xludf.Xlookup(C461,#REF!,#REF!,))</f>
        <v>#NAME?</v>
      </c>
      <c r="W461" s="8">
        <f t="array" ref="W461">IF($C$4="Giao", _xludf.Xlookup(C461,#REF!,#REF!,),)</f>
        <v>0</v>
      </c>
      <c r="X461" s="9">
        <f t="shared" si="6"/>
        <v>0</v>
      </c>
      <c r="Y461" s="7"/>
      <c r="Z461" s="7"/>
    </row>
    <row r="462" spans="1:26" ht="13" x14ac:dyDescent="0.6">
      <c r="A462" s="28" t="str">
        <f t="shared" si="5"/>
        <v/>
      </c>
      <c r="B462" s="7"/>
      <c r="C462" s="7"/>
      <c r="D462" s="9"/>
      <c r="E462" s="9"/>
      <c r="F462" s="9"/>
      <c r="G462" s="9"/>
      <c r="H462" s="9"/>
      <c r="I462" s="9"/>
      <c r="J462" s="9"/>
      <c r="K462" s="9"/>
      <c r="L462" s="9"/>
      <c r="M462" s="9"/>
      <c r="N462" s="9"/>
      <c r="O462" s="9"/>
      <c r="P462" s="29"/>
      <c r="Q462" s="29"/>
      <c r="R462" s="7"/>
      <c r="S462" s="7"/>
      <c r="T462" s="7" t="str">
        <f ca="1">IFERROR(__xludf.DUMMYFUNCTION("SPARKLINE({
IF(D462="""",0,D462),
IF(F462="""",0,F462),
IF(H462="""",0,H462),
IF(J462="""",0,J462),
IF(L462="""",0,L462),
IF(N462="""",0,N462),
IF(P462="""",0,P462)
})"),"")</f>
        <v/>
      </c>
      <c r="U462" s="7" t="str">
        <f ca="1">IFERROR(__xludf.DUMMYFUNCTION("SPARKLINE({
IF(E462="""",0,E462),
IF(G462="""",0,G462),
IF(I462="""",0,I462),
IF(K462="""",0,K462),
IF(M462="""",0,M462),
IF(O462="""",0,O462),
IF(Q462="""",0,Q462)
})"),"")</f>
        <v/>
      </c>
      <c r="V462" s="8" t="e">
        <f t="array" aca="1" ref="V462" ca="1">IF($C$4="Giao",_xludf.Xlookup(C462,#REF!,#REF!,),_xludf.Xlookup(C462,#REF!,#REF!,))</f>
        <v>#NAME?</v>
      </c>
      <c r="W462" s="8">
        <f t="array" ref="W462">IF($C$4="Giao", _xludf.Xlookup(C462,#REF!,#REF!,),)</f>
        <v>0</v>
      </c>
      <c r="X462" s="9">
        <f t="shared" si="6"/>
        <v>0</v>
      </c>
      <c r="Y462" s="7"/>
      <c r="Z462" s="7"/>
    </row>
    <row r="463" spans="1:26" ht="13" x14ac:dyDescent="0.6">
      <c r="A463" s="28" t="str">
        <f t="shared" si="5"/>
        <v/>
      </c>
      <c r="B463" s="7"/>
      <c r="C463" s="7"/>
      <c r="D463" s="9"/>
      <c r="E463" s="9"/>
      <c r="F463" s="9"/>
      <c r="G463" s="9"/>
      <c r="H463" s="9"/>
      <c r="I463" s="9"/>
      <c r="J463" s="9"/>
      <c r="K463" s="9"/>
      <c r="L463" s="9"/>
      <c r="M463" s="9"/>
      <c r="N463" s="9"/>
      <c r="O463" s="9"/>
      <c r="P463" s="29"/>
      <c r="Q463" s="29"/>
      <c r="R463" s="7"/>
      <c r="S463" s="7"/>
      <c r="T463" s="7" t="str">
        <f ca="1">IFERROR(__xludf.DUMMYFUNCTION("SPARKLINE({
IF(D463="""",0,D463),
IF(F463="""",0,F463),
IF(H463="""",0,H463),
IF(J463="""",0,J463),
IF(L463="""",0,L463),
IF(N463="""",0,N463),
IF(P463="""",0,P463)
})"),"")</f>
        <v/>
      </c>
      <c r="U463" s="7" t="str">
        <f ca="1">IFERROR(__xludf.DUMMYFUNCTION("SPARKLINE({
IF(E463="""",0,E463),
IF(G463="""",0,G463),
IF(I463="""",0,I463),
IF(K463="""",0,K463),
IF(M463="""",0,M463),
IF(O463="""",0,O463),
IF(Q463="""",0,Q463)
})"),"")</f>
        <v/>
      </c>
      <c r="V463" s="8" t="e">
        <f t="array" aca="1" ref="V463" ca="1">IF($C$4="Giao",_xludf.Xlookup(C463,#REF!,#REF!,),_xludf.Xlookup(C463,#REF!,#REF!,))</f>
        <v>#NAME?</v>
      </c>
      <c r="W463" s="8">
        <f t="array" ref="W463">IF($C$4="Giao", _xludf.Xlookup(C463,#REF!,#REF!,),)</f>
        <v>0</v>
      </c>
      <c r="X463" s="9">
        <f t="shared" si="6"/>
        <v>0</v>
      </c>
      <c r="Y463" s="7"/>
      <c r="Z463" s="7"/>
    </row>
    <row r="464" spans="1:26" ht="13" x14ac:dyDescent="0.6">
      <c r="A464" s="28" t="str">
        <f t="shared" si="5"/>
        <v/>
      </c>
      <c r="B464" s="7"/>
      <c r="C464" s="7"/>
      <c r="D464" s="9"/>
      <c r="E464" s="9"/>
      <c r="F464" s="9"/>
      <c r="G464" s="9"/>
      <c r="H464" s="9"/>
      <c r="I464" s="9"/>
      <c r="J464" s="9"/>
      <c r="K464" s="9"/>
      <c r="L464" s="9"/>
      <c r="M464" s="9"/>
      <c r="N464" s="9"/>
      <c r="O464" s="9"/>
      <c r="P464" s="29"/>
      <c r="Q464" s="29"/>
      <c r="R464" s="7"/>
      <c r="S464" s="7"/>
      <c r="T464" s="7" t="str">
        <f ca="1">IFERROR(__xludf.DUMMYFUNCTION("SPARKLINE({
IF(D464="""",0,D464),
IF(F464="""",0,F464),
IF(H464="""",0,H464),
IF(J464="""",0,J464),
IF(L464="""",0,L464),
IF(N464="""",0,N464),
IF(P464="""",0,P464)
})"),"")</f>
        <v/>
      </c>
      <c r="U464" s="7" t="str">
        <f ca="1">IFERROR(__xludf.DUMMYFUNCTION("SPARKLINE({
IF(E464="""",0,E464),
IF(G464="""",0,G464),
IF(I464="""",0,I464),
IF(K464="""",0,K464),
IF(M464="""",0,M464),
IF(O464="""",0,O464),
IF(Q464="""",0,Q464)
})"),"")</f>
        <v/>
      </c>
      <c r="V464" s="8" t="e">
        <f t="array" aca="1" ref="V464" ca="1">IF($C$4="Giao",_xludf.Xlookup(C464,#REF!,#REF!,),_xludf.Xlookup(C464,#REF!,#REF!,))</f>
        <v>#NAME?</v>
      </c>
      <c r="W464" s="8">
        <f t="array" ref="W464">IF($C$4="Giao", _xludf.Xlookup(C464,#REF!,#REF!,),)</f>
        <v>0</v>
      </c>
      <c r="X464" s="9">
        <f t="shared" si="6"/>
        <v>0</v>
      </c>
      <c r="Y464" s="7"/>
      <c r="Z464" s="7"/>
    </row>
    <row r="465" spans="1:26" ht="13" x14ac:dyDescent="0.6">
      <c r="A465" s="28" t="str">
        <f t="shared" si="5"/>
        <v/>
      </c>
      <c r="B465" s="7"/>
      <c r="C465" s="7"/>
      <c r="D465" s="9"/>
      <c r="E465" s="9"/>
      <c r="F465" s="9"/>
      <c r="G465" s="9"/>
      <c r="H465" s="9"/>
      <c r="I465" s="9"/>
      <c r="J465" s="9"/>
      <c r="K465" s="9"/>
      <c r="L465" s="9"/>
      <c r="M465" s="9"/>
      <c r="N465" s="9"/>
      <c r="O465" s="9"/>
      <c r="P465" s="29"/>
      <c r="Q465" s="29"/>
      <c r="R465" s="7"/>
      <c r="S465" s="7"/>
      <c r="T465" s="7" t="str">
        <f ca="1">IFERROR(__xludf.DUMMYFUNCTION("SPARKLINE({
IF(D465="""",0,D465),
IF(F465="""",0,F465),
IF(H465="""",0,H465),
IF(J465="""",0,J465),
IF(L465="""",0,L465),
IF(N465="""",0,N465),
IF(P465="""",0,P465)
})"),"")</f>
        <v/>
      </c>
      <c r="U465" s="7" t="str">
        <f ca="1">IFERROR(__xludf.DUMMYFUNCTION("SPARKLINE({
IF(E465="""",0,E465),
IF(G465="""",0,G465),
IF(I465="""",0,I465),
IF(K465="""",0,K465),
IF(M465="""",0,M465),
IF(O465="""",0,O465),
IF(Q465="""",0,Q465)
})"),"")</f>
        <v/>
      </c>
      <c r="V465" s="8" t="e">
        <f t="array" aca="1" ref="V465" ca="1">IF($C$4="Giao",_xludf.Xlookup(C465,#REF!,#REF!,),_xludf.Xlookup(C465,#REF!,#REF!,))</f>
        <v>#NAME?</v>
      </c>
      <c r="W465" s="8">
        <f t="array" ref="W465">IF($C$4="Giao", _xludf.Xlookup(C465,#REF!,#REF!,),)</f>
        <v>0</v>
      </c>
      <c r="X465" s="9">
        <f t="shared" si="6"/>
        <v>0</v>
      </c>
      <c r="Y465" s="7"/>
      <c r="Z465" s="7"/>
    </row>
    <row r="466" spans="1:26" ht="13" x14ac:dyDescent="0.6">
      <c r="A466" s="28" t="str">
        <f t="shared" si="5"/>
        <v/>
      </c>
      <c r="B466" s="7"/>
      <c r="C466" s="7"/>
      <c r="D466" s="9"/>
      <c r="E466" s="9"/>
      <c r="F466" s="9"/>
      <c r="G466" s="9"/>
      <c r="H466" s="9"/>
      <c r="I466" s="9"/>
      <c r="J466" s="9"/>
      <c r="K466" s="9"/>
      <c r="L466" s="9"/>
      <c r="M466" s="9"/>
      <c r="N466" s="9"/>
      <c r="O466" s="9"/>
      <c r="P466" s="29"/>
      <c r="Q466" s="29"/>
      <c r="R466" s="7"/>
      <c r="S466" s="7"/>
      <c r="T466" s="7" t="str">
        <f ca="1">IFERROR(__xludf.DUMMYFUNCTION("SPARKLINE({
IF(D466="""",0,D466),
IF(F466="""",0,F466),
IF(H466="""",0,H466),
IF(J466="""",0,J466),
IF(L466="""",0,L466),
IF(N466="""",0,N466),
IF(P466="""",0,P466)
})"),"")</f>
        <v/>
      </c>
      <c r="U466" s="7" t="str">
        <f ca="1">IFERROR(__xludf.DUMMYFUNCTION("SPARKLINE({
IF(E466="""",0,E466),
IF(G466="""",0,G466),
IF(I466="""",0,I466),
IF(K466="""",0,K466),
IF(M466="""",0,M466),
IF(O466="""",0,O466),
IF(Q466="""",0,Q466)
})"),"")</f>
        <v/>
      </c>
      <c r="V466" s="8" t="e">
        <f t="array" aca="1" ref="V466" ca="1">IF($C$4="Giao",_xludf.Xlookup(C466,#REF!,#REF!,),_xludf.Xlookup(C466,#REF!,#REF!,))</f>
        <v>#NAME?</v>
      </c>
      <c r="W466" s="8">
        <f t="array" ref="W466">IF($C$4="Giao", _xludf.Xlookup(C466,#REF!,#REF!,),)</f>
        <v>0</v>
      </c>
      <c r="X466" s="9">
        <f t="shared" si="6"/>
        <v>0</v>
      </c>
      <c r="Y466" s="7"/>
      <c r="Z466" s="7"/>
    </row>
    <row r="467" spans="1:26" ht="13" x14ac:dyDescent="0.6">
      <c r="A467" s="28" t="str">
        <f t="shared" si="5"/>
        <v/>
      </c>
      <c r="B467" s="7"/>
      <c r="C467" s="7"/>
      <c r="D467" s="9"/>
      <c r="E467" s="9"/>
      <c r="F467" s="9"/>
      <c r="G467" s="9"/>
      <c r="H467" s="9"/>
      <c r="I467" s="9"/>
      <c r="J467" s="9"/>
      <c r="K467" s="9"/>
      <c r="L467" s="9"/>
      <c r="M467" s="9"/>
      <c r="N467" s="9"/>
      <c r="O467" s="9"/>
      <c r="P467" s="29"/>
      <c r="Q467" s="29"/>
      <c r="R467" s="7"/>
      <c r="S467" s="7"/>
      <c r="T467" s="7" t="str">
        <f ca="1">IFERROR(__xludf.DUMMYFUNCTION("SPARKLINE({
IF(D467="""",0,D467),
IF(F467="""",0,F467),
IF(H467="""",0,H467),
IF(J467="""",0,J467),
IF(L467="""",0,L467),
IF(N467="""",0,N467),
IF(P467="""",0,P467)
})"),"")</f>
        <v/>
      </c>
      <c r="U467" s="7" t="str">
        <f ca="1">IFERROR(__xludf.DUMMYFUNCTION("SPARKLINE({
IF(E467="""",0,E467),
IF(G467="""",0,G467),
IF(I467="""",0,I467),
IF(K467="""",0,K467),
IF(M467="""",0,M467),
IF(O467="""",0,O467),
IF(Q467="""",0,Q467)
})"),"")</f>
        <v/>
      </c>
      <c r="V467" s="8" t="e">
        <f t="array" aca="1" ref="V467" ca="1">IF($C$4="Giao",_xludf.Xlookup(C467,#REF!,#REF!,),_xludf.Xlookup(C467,#REF!,#REF!,))</f>
        <v>#NAME?</v>
      </c>
      <c r="W467" s="8">
        <f t="array" ref="W467">IF($C$4="Giao", _xludf.Xlookup(C467,#REF!,#REF!,),)</f>
        <v>0</v>
      </c>
      <c r="X467" s="9">
        <f t="shared" si="6"/>
        <v>0</v>
      </c>
      <c r="Y467" s="7"/>
      <c r="Z467" s="7"/>
    </row>
    <row r="468" spans="1:26" ht="13" x14ac:dyDescent="0.6">
      <c r="A468" s="28" t="str">
        <f t="shared" si="5"/>
        <v/>
      </c>
      <c r="B468" s="7"/>
      <c r="C468" s="7"/>
      <c r="D468" s="9"/>
      <c r="E468" s="9"/>
      <c r="F468" s="9"/>
      <c r="G468" s="9"/>
      <c r="H468" s="9"/>
      <c r="I468" s="9"/>
      <c r="J468" s="9"/>
      <c r="K468" s="9"/>
      <c r="L468" s="9"/>
      <c r="M468" s="9"/>
      <c r="N468" s="9"/>
      <c r="O468" s="9"/>
      <c r="P468" s="29"/>
      <c r="Q468" s="29"/>
      <c r="R468" s="7"/>
      <c r="S468" s="7"/>
      <c r="T468" s="7" t="str">
        <f ca="1">IFERROR(__xludf.DUMMYFUNCTION("SPARKLINE({
IF(D468="""",0,D468),
IF(F468="""",0,F468),
IF(H468="""",0,H468),
IF(J468="""",0,J468),
IF(L468="""",0,L468),
IF(N468="""",0,N468),
IF(P468="""",0,P468)
})"),"")</f>
        <v/>
      </c>
      <c r="U468" s="7" t="str">
        <f ca="1">IFERROR(__xludf.DUMMYFUNCTION("SPARKLINE({
IF(E468="""",0,E468),
IF(G468="""",0,G468),
IF(I468="""",0,I468),
IF(K468="""",0,K468),
IF(M468="""",0,M468),
IF(O468="""",0,O468),
IF(Q468="""",0,Q468)
})"),"")</f>
        <v/>
      </c>
      <c r="V468" s="8" t="e">
        <f t="array" aca="1" ref="V468" ca="1">IF($C$4="Giao",_xludf.Xlookup(C468,#REF!,#REF!,),_xludf.Xlookup(C468,#REF!,#REF!,))</f>
        <v>#NAME?</v>
      </c>
      <c r="W468" s="8">
        <f t="array" ref="W468">IF($C$4="Giao", _xludf.Xlookup(C468,#REF!,#REF!,),)</f>
        <v>0</v>
      </c>
      <c r="X468" s="9">
        <f t="shared" si="6"/>
        <v>0</v>
      </c>
      <c r="Y468" s="7"/>
      <c r="Z468" s="7"/>
    </row>
    <row r="469" spans="1:26" ht="13" x14ac:dyDescent="0.6">
      <c r="A469" s="28" t="str">
        <f t="shared" si="5"/>
        <v/>
      </c>
      <c r="B469" s="7"/>
      <c r="C469" s="7"/>
      <c r="D469" s="9"/>
      <c r="E469" s="9"/>
      <c r="F469" s="9"/>
      <c r="G469" s="9"/>
      <c r="H469" s="9"/>
      <c r="I469" s="9"/>
      <c r="J469" s="9"/>
      <c r="K469" s="9"/>
      <c r="L469" s="9"/>
      <c r="M469" s="9"/>
      <c r="N469" s="9"/>
      <c r="O469" s="9"/>
      <c r="P469" s="29"/>
      <c r="Q469" s="29"/>
      <c r="R469" s="7"/>
      <c r="S469" s="7"/>
      <c r="T469" s="7" t="str">
        <f ca="1">IFERROR(__xludf.DUMMYFUNCTION("SPARKLINE({
IF(D469="""",0,D469),
IF(F469="""",0,F469),
IF(H469="""",0,H469),
IF(J469="""",0,J469),
IF(L469="""",0,L469),
IF(N469="""",0,N469),
IF(P469="""",0,P469)
})"),"")</f>
        <v/>
      </c>
      <c r="U469" s="7" t="str">
        <f ca="1">IFERROR(__xludf.DUMMYFUNCTION("SPARKLINE({
IF(E469="""",0,E469),
IF(G469="""",0,G469),
IF(I469="""",0,I469),
IF(K469="""",0,K469),
IF(M469="""",0,M469),
IF(O469="""",0,O469),
IF(Q469="""",0,Q469)
})"),"")</f>
        <v/>
      </c>
      <c r="V469" s="8" t="e">
        <f t="array" aca="1" ref="V469" ca="1">IF($C$4="Giao",_xludf.Xlookup(C469,#REF!,#REF!,),_xludf.Xlookup(C469,#REF!,#REF!,))</f>
        <v>#NAME?</v>
      </c>
      <c r="W469" s="8">
        <f t="array" ref="W469">IF($C$4="Giao", _xludf.Xlookup(C469,#REF!,#REF!,),)</f>
        <v>0</v>
      </c>
      <c r="X469" s="9">
        <f t="shared" si="6"/>
        <v>0</v>
      </c>
      <c r="Y469" s="7"/>
      <c r="Z469" s="7"/>
    </row>
    <row r="470" spans="1:26" ht="13" x14ac:dyDescent="0.6">
      <c r="A470" s="28" t="str">
        <f t="shared" si="5"/>
        <v/>
      </c>
      <c r="B470" s="7"/>
      <c r="C470" s="7"/>
      <c r="D470" s="9"/>
      <c r="E470" s="9"/>
      <c r="F470" s="9"/>
      <c r="G470" s="9"/>
      <c r="H470" s="9"/>
      <c r="I470" s="9"/>
      <c r="J470" s="9"/>
      <c r="K470" s="9"/>
      <c r="L470" s="9"/>
      <c r="M470" s="9"/>
      <c r="N470" s="9"/>
      <c r="O470" s="9"/>
      <c r="P470" s="29"/>
      <c r="Q470" s="29"/>
      <c r="R470" s="7"/>
      <c r="S470" s="7"/>
      <c r="T470" s="7" t="str">
        <f ca="1">IFERROR(__xludf.DUMMYFUNCTION("SPARKLINE({
IF(D470="""",0,D470),
IF(F470="""",0,F470),
IF(H470="""",0,H470),
IF(J470="""",0,J470),
IF(L470="""",0,L470),
IF(N470="""",0,N470),
IF(P470="""",0,P470)
})"),"")</f>
        <v/>
      </c>
      <c r="U470" s="7" t="str">
        <f ca="1">IFERROR(__xludf.DUMMYFUNCTION("SPARKLINE({
IF(E470="""",0,E470),
IF(G470="""",0,G470),
IF(I470="""",0,I470),
IF(K470="""",0,K470),
IF(M470="""",0,M470),
IF(O470="""",0,O470),
IF(Q470="""",0,Q470)
})"),"")</f>
        <v/>
      </c>
      <c r="V470" s="8" t="e">
        <f t="array" aca="1" ref="V470" ca="1">IF($C$4="Giao",_xludf.Xlookup(C470,#REF!,#REF!,),_xludf.Xlookup(C470,#REF!,#REF!,))</f>
        <v>#NAME?</v>
      </c>
      <c r="W470" s="8">
        <f t="array" ref="W470">IF($C$4="Giao", _xludf.Xlookup(C470,#REF!,#REF!,),)</f>
        <v>0</v>
      </c>
      <c r="X470" s="9">
        <f t="shared" si="6"/>
        <v>0</v>
      </c>
      <c r="Y470" s="7"/>
      <c r="Z470" s="7"/>
    </row>
    <row r="471" spans="1:26" ht="13" x14ac:dyDescent="0.6">
      <c r="A471" s="28" t="str">
        <f t="shared" si="5"/>
        <v/>
      </c>
      <c r="B471" s="7"/>
      <c r="C471" s="7"/>
      <c r="D471" s="9"/>
      <c r="E471" s="9"/>
      <c r="F471" s="9"/>
      <c r="G471" s="9"/>
      <c r="H471" s="9"/>
      <c r="I471" s="9"/>
      <c r="J471" s="9"/>
      <c r="K471" s="9"/>
      <c r="L471" s="9"/>
      <c r="M471" s="9"/>
      <c r="N471" s="9"/>
      <c r="O471" s="9"/>
      <c r="P471" s="29"/>
      <c r="Q471" s="29"/>
      <c r="R471" s="7"/>
      <c r="S471" s="7"/>
      <c r="T471" s="7" t="str">
        <f ca="1">IFERROR(__xludf.DUMMYFUNCTION("SPARKLINE({
IF(D471="""",0,D471),
IF(F471="""",0,F471),
IF(H471="""",0,H471),
IF(J471="""",0,J471),
IF(L471="""",0,L471),
IF(N471="""",0,N471),
IF(P471="""",0,P471)
})"),"")</f>
        <v/>
      </c>
      <c r="U471" s="7" t="str">
        <f ca="1">IFERROR(__xludf.DUMMYFUNCTION("SPARKLINE({
IF(E471="""",0,E471),
IF(G471="""",0,G471),
IF(I471="""",0,I471),
IF(K471="""",0,K471),
IF(M471="""",0,M471),
IF(O471="""",0,O471),
IF(Q471="""",0,Q471)
})"),"")</f>
        <v/>
      </c>
      <c r="V471" s="8" t="e">
        <f t="array" aca="1" ref="V471" ca="1">IF($C$4="Giao",_xludf.Xlookup(C471,#REF!,#REF!,),_xludf.Xlookup(C471,#REF!,#REF!,))</f>
        <v>#NAME?</v>
      </c>
      <c r="W471" s="8">
        <f t="array" ref="W471">IF($C$4="Giao", _xludf.Xlookup(C471,#REF!,#REF!,),)</f>
        <v>0</v>
      </c>
      <c r="X471" s="9">
        <f t="shared" si="6"/>
        <v>0</v>
      </c>
      <c r="Y471" s="7"/>
      <c r="Z471" s="7"/>
    </row>
    <row r="472" spans="1:26" ht="13" x14ac:dyDescent="0.6">
      <c r="A472" s="28" t="str">
        <f t="shared" si="5"/>
        <v/>
      </c>
      <c r="B472" s="7"/>
      <c r="C472" s="7"/>
      <c r="D472" s="9"/>
      <c r="E472" s="9"/>
      <c r="F472" s="9"/>
      <c r="G472" s="9"/>
      <c r="H472" s="9"/>
      <c r="I472" s="9"/>
      <c r="J472" s="9"/>
      <c r="K472" s="9"/>
      <c r="L472" s="9"/>
      <c r="M472" s="9"/>
      <c r="N472" s="9"/>
      <c r="O472" s="9"/>
      <c r="P472" s="29"/>
      <c r="Q472" s="29"/>
      <c r="R472" s="7"/>
      <c r="S472" s="7"/>
      <c r="T472" s="7" t="str">
        <f ca="1">IFERROR(__xludf.DUMMYFUNCTION("SPARKLINE({
IF(D472="""",0,D472),
IF(F472="""",0,F472),
IF(H472="""",0,H472),
IF(J472="""",0,J472),
IF(L472="""",0,L472),
IF(N472="""",0,N472),
IF(P472="""",0,P472)
})"),"")</f>
        <v/>
      </c>
      <c r="U472" s="7" t="str">
        <f ca="1">IFERROR(__xludf.DUMMYFUNCTION("SPARKLINE({
IF(E472="""",0,E472),
IF(G472="""",0,G472),
IF(I472="""",0,I472),
IF(K472="""",0,K472),
IF(M472="""",0,M472),
IF(O472="""",0,O472),
IF(Q472="""",0,Q472)
})"),"")</f>
        <v/>
      </c>
      <c r="V472" s="8" t="e">
        <f t="array" aca="1" ref="V472" ca="1">IF($C$4="Giao",_xludf.Xlookup(C472,#REF!,#REF!,),_xludf.Xlookup(C472,#REF!,#REF!,))</f>
        <v>#NAME?</v>
      </c>
      <c r="W472" s="8">
        <f t="array" ref="W472">IF($C$4="Giao", _xludf.Xlookup(C472,#REF!,#REF!,),)</f>
        <v>0</v>
      </c>
      <c r="X472" s="9">
        <f t="shared" si="6"/>
        <v>0</v>
      </c>
      <c r="Y472" s="7"/>
      <c r="Z472" s="7"/>
    </row>
    <row r="473" spans="1:26" ht="13" x14ac:dyDescent="0.6">
      <c r="A473" s="28" t="str">
        <f t="shared" si="5"/>
        <v/>
      </c>
      <c r="B473" s="7"/>
      <c r="C473" s="7"/>
      <c r="D473" s="9"/>
      <c r="E473" s="9"/>
      <c r="F473" s="9"/>
      <c r="G473" s="9"/>
      <c r="H473" s="9"/>
      <c r="I473" s="9"/>
      <c r="J473" s="9"/>
      <c r="K473" s="9"/>
      <c r="L473" s="9"/>
      <c r="M473" s="9"/>
      <c r="N473" s="9"/>
      <c r="O473" s="9"/>
      <c r="P473" s="29"/>
      <c r="Q473" s="29"/>
      <c r="R473" s="7"/>
      <c r="S473" s="7"/>
      <c r="T473" s="7" t="str">
        <f ca="1">IFERROR(__xludf.DUMMYFUNCTION("SPARKLINE({
IF(D473="""",0,D473),
IF(F473="""",0,F473),
IF(H473="""",0,H473),
IF(J473="""",0,J473),
IF(L473="""",0,L473),
IF(N473="""",0,N473),
IF(P473="""",0,P473)
})"),"")</f>
        <v/>
      </c>
      <c r="U473" s="7" t="str">
        <f ca="1">IFERROR(__xludf.DUMMYFUNCTION("SPARKLINE({
IF(E473="""",0,E473),
IF(G473="""",0,G473),
IF(I473="""",0,I473),
IF(K473="""",0,K473),
IF(M473="""",0,M473),
IF(O473="""",0,O473),
IF(Q473="""",0,Q473)
})"),"")</f>
        <v/>
      </c>
      <c r="V473" s="8" t="e">
        <f t="array" aca="1" ref="V473" ca="1">IF($C$4="Giao",_xludf.Xlookup(C473,#REF!,#REF!,),_xludf.Xlookup(C473,#REF!,#REF!,))</f>
        <v>#NAME?</v>
      </c>
      <c r="W473" s="8">
        <f t="array" ref="W473">IF($C$4="Giao", _xludf.Xlookup(C473,#REF!,#REF!,),)</f>
        <v>0</v>
      </c>
      <c r="X473" s="9">
        <f t="shared" si="6"/>
        <v>0</v>
      </c>
      <c r="Y473" s="7"/>
      <c r="Z473" s="7"/>
    </row>
    <row r="474" spans="1:26" ht="13" x14ac:dyDescent="0.6">
      <c r="A474" s="28" t="str">
        <f t="shared" si="5"/>
        <v/>
      </c>
      <c r="B474" s="7"/>
      <c r="C474" s="7"/>
      <c r="D474" s="9"/>
      <c r="E474" s="9"/>
      <c r="F474" s="9"/>
      <c r="G474" s="9"/>
      <c r="H474" s="9"/>
      <c r="I474" s="9"/>
      <c r="J474" s="9"/>
      <c r="K474" s="9"/>
      <c r="L474" s="9"/>
      <c r="M474" s="9"/>
      <c r="N474" s="9"/>
      <c r="O474" s="9"/>
      <c r="P474" s="29"/>
      <c r="Q474" s="29"/>
      <c r="R474" s="7"/>
      <c r="S474" s="7"/>
      <c r="T474" s="7" t="str">
        <f ca="1">IFERROR(__xludf.DUMMYFUNCTION("SPARKLINE({
IF(D474="""",0,D474),
IF(F474="""",0,F474),
IF(H474="""",0,H474),
IF(J474="""",0,J474),
IF(L474="""",0,L474),
IF(N474="""",0,N474),
IF(P474="""",0,P474)
})"),"")</f>
        <v/>
      </c>
      <c r="U474" s="7" t="str">
        <f ca="1">IFERROR(__xludf.DUMMYFUNCTION("SPARKLINE({
IF(E474="""",0,E474),
IF(G474="""",0,G474),
IF(I474="""",0,I474),
IF(K474="""",0,K474),
IF(M474="""",0,M474),
IF(O474="""",0,O474),
IF(Q474="""",0,Q474)
})"),"")</f>
        <v/>
      </c>
      <c r="V474" s="8" t="e">
        <f t="array" aca="1" ref="V474" ca="1">IF($C$4="Giao",_xludf.Xlookup(C474,#REF!,#REF!,),_xludf.Xlookup(C474,#REF!,#REF!,))</f>
        <v>#NAME?</v>
      </c>
      <c r="W474" s="8">
        <f t="array" ref="W474">IF($C$4="Giao", _xludf.Xlookup(C474,#REF!,#REF!,),)</f>
        <v>0</v>
      </c>
      <c r="X474" s="9">
        <f t="shared" si="6"/>
        <v>0</v>
      </c>
      <c r="Y474" s="7"/>
      <c r="Z474" s="7"/>
    </row>
    <row r="475" spans="1:26" ht="13" x14ac:dyDescent="0.6">
      <c r="A475" s="28" t="str">
        <f t="shared" si="5"/>
        <v/>
      </c>
      <c r="B475" s="7"/>
      <c r="C475" s="7"/>
      <c r="D475" s="9"/>
      <c r="E475" s="9"/>
      <c r="F475" s="9"/>
      <c r="G475" s="9"/>
      <c r="H475" s="9"/>
      <c r="I475" s="9"/>
      <c r="J475" s="9"/>
      <c r="K475" s="9"/>
      <c r="L475" s="9"/>
      <c r="M475" s="9"/>
      <c r="N475" s="9"/>
      <c r="O475" s="9"/>
      <c r="P475" s="29"/>
      <c r="Q475" s="29"/>
      <c r="R475" s="7"/>
      <c r="S475" s="7"/>
      <c r="T475" s="7" t="str">
        <f ca="1">IFERROR(__xludf.DUMMYFUNCTION("SPARKLINE({
IF(D475="""",0,D475),
IF(F475="""",0,F475),
IF(H475="""",0,H475),
IF(J475="""",0,J475),
IF(L475="""",0,L475),
IF(N475="""",0,N475),
IF(P475="""",0,P475)
})"),"")</f>
        <v/>
      </c>
      <c r="U475" s="7" t="str">
        <f ca="1">IFERROR(__xludf.DUMMYFUNCTION("SPARKLINE({
IF(E475="""",0,E475),
IF(G475="""",0,G475),
IF(I475="""",0,I475),
IF(K475="""",0,K475),
IF(M475="""",0,M475),
IF(O475="""",0,O475),
IF(Q475="""",0,Q475)
})"),"")</f>
        <v/>
      </c>
      <c r="V475" s="8" t="e">
        <f t="array" aca="1" ref="V475" ca="1">IF($C$4="Giao",_xludf.Xlookup(C475,#REF!,#REF!,),_xludf.Xlookup(C475,#REF!,#REF!,))</f>
        <v>#NAME?</v>
      </c>
      <c r="W475" s="8">
        <f t="array" ref="W475">IF($C$4="Giao", _xludf.Xlookup(C475,#REF!,#REF!,),)</f>
        <v>0</v>
      </c>
      <c r="X475" s="9">
        <f t="shared" si="6"/>
        <v>0</v>
      </c>
      <c r="Y475" s="7"/>
      <c r="Z475" s="7"/>
    </row>
    <row r="476" spans="1:26" ht="13" x14ac:dyDescent="0.6">
      <c r="A476" s="28" t="str">
        <f t="shared" si="5"/>
        <v/>
      </c>
      <c r="B476" s="7"/>
      <c r="C476" s="7"/>
      <c r="D476" s="9"/>
      <c r="E476" s="9"/>
      <c r="F476" s="9"/>
      <c r="G476" s="9"/>
      <c r="H476" s="9"/>
      <c r="I476" s="9"/>
      <c r="J476" s="9"/>
      <c r="K476" s="9"/>
      <c r="L476" s="9"/>
      <c r="M476" s="9"/>
      <c r="N476" s="9"/>
      <c r="O476" s="9"/>
      <c r="P476" s="29"/>
      <c r="Q476" s="29"/>
      <c r="R476" s="7"/>
      <c r="S476" s="7"/>
      <c r="T476" s="7" t="str">
        <f ca="1">IFERROR(__xludf.DUMMYFUNCTION("SPARKLINE({
IF(D476="""",0,D476),
IF(F476="""",0,F476),
IF(H476="""",0,H476),
IF(J476="""",0,J476),
IF(L476="""",0,L476),
IF(N476="""",0,N476),
IF(P476="""",0,P476)
})"),"")</f>
        <v/>
      </c>
      <c r="U476" s="7" t="str">
        <f ca="1">IFERROR(__xludf.DUMMYFUNCTION("SPARKLINE({
IF(E476="""",0,E476),
IF(G476="""",0,G476),
IF(I476="""",0,I476),
IF(K476="""",0,K476),
IF(M476="""",0,M476),
IF(O476="""",0,O476),
IF(Q476="""",0,Q476)
})"),"")</f>
        <v/>
      </c>
      <c r="V476" s="8" t="e">
        <f t="array" aca="1" ref="V476" ca="1">IF($C$4="Giao",_xludf.Xlookup(C476,#REF!,#REF!,),_xludf.Xlookup(C476,#REF!,#REF!,))</f>
        <v>#NAME?</v>
      </c>
      <c r="W476" s="8">
        <f t="array" ref="W476">IF($C$4="Giao", _xludf.Xlookup(C476,#REF!,#REF!,),)</f>
        <v>0</v>
      </c>
      <c r="X476" s="9">
        <f t="shared" si="6"/>
        <v>0</v>
      </c>
      <c r="Y476" s="7"/>
      <c r="Z476" s="7"/>
    </row>
    <row r="477" spans="1:26" ht="13" x14ac:dyDescent="0.6">
      <c r="A477" s="28" t="str">
        <f t="shared" si="5"/>
        <v/>
      </c>
      <c r="B477" s="7"/>
      <c r="C477" s="7"/>
      <c r="D477" s="9"/>
      <c r="E477" s="9"/>
      <c r="F477" s="9"/>
      <c r="G477" s="9"/>
      <c r="H477" s="9"/>
      <c r="I477" s="9"/>
      <c r="J477" s="9"/>
      <c r="K477" s="9"/>
      <c r="L477" s="9"/>
      <c r="M477" s="9"/>
      <c r="N477" s="9"/>
      <c r="O477" s="9"/>
      <c r="P477" s="29"/>
      <c r="Q477" s="29"/>
      <c r="R477" s="7"/>
      <c r="S477" s="7"/>
      <c r="T477" s="7" t="str">
        <f ca="1">IFERROR(__xludf.DUMMYFUNCTION("SPARKLINE({
IF(D477="""",0,D477),
IF(F477="""",0,F477),
IF(H477="""",0,H477),
IF(J477="""",0,J477),
IF(L477="""",0,L477),
IF(N477="""",0,N477),
IF(P477="""",0,P477)
})"),"")</f>
        <v/>
      </c>
      <c r="U477" s="7" t="str">
        <f ca="1">IFERROR(__xludf.DUMMYFUNCTION("SPARKLINE({
IF(E477="""",0,E477),
IF(G477="""",0,G477),
IF(I477="""",0,I477),
IF(K477="""",0,K477),
IF(M477="""",0,M477),
IF(O477="""",0,O477),
IF(Q477="""",0,Q477)
})"),"")</f>
        <v/>
      </c>
      <c r="V477" s="8" t="e">
        <f t="array" aca="1" ref="V477" ca="1">IF($C$4="Giao",_xludf.Xlookup(C477,#REF!,#REF!,),_xludf.Xlookup(C477,#REF!,#REF!,))</f>
        <v>#NAME?</v>
      </c>
      <c r="W477" s="8">
        <f t="array" ref="W477">IF($C$4="Giao", _xludf.Xlookup(C477,#REF!,#REF!,),)</f>
        <v>0</v>
      </c>
      <c r="X477" s="9">
        <f t="shared" si="6"/>
        <v>0</v>
      </c>
      <c r="Y477" s="7"/>
      <c r="Z477" s="7"/>
    </row>
    <row r="478" spans="1:26" ht="13" x14ac:dyDescent="0.6">
      <c r="A478" s="28" t="str">
        <f t="shared" si="5"/>
        <v/>
      </c>
      <c r="B478" s="7"/>
      <c r="C478" s="7"/>
      <c r="D478" s="9"/>
      <c r="E478" s="9"/>
      <c r="F478" s="9"/>
      <c r="G478" s="9"/>
      <c r="H478" s="9"/>
      <c r="I478" s="9"/>
      <c r="J478" s="9"/>
      <c r="K478" s="9"/>
      <c r="L478" s="9"/>
      <c r="M478" s="9"/>
      <c r="N478" s="9"/>
      <c r="O478" s="9"/>
      <c r="P478" s="29"/>
      <c r="Q478" s="29"/>
      <c r="R478" s="7"/>
      <c r="S478" s="7"/>
      <c r="T478" s="7" t="str">
        <f ca="1">IFERROR(__xludf.DUMMYFUNCTION("SPARKLINE({
IF(D478="""",0,D478),
IF(F478="""",0,F478),
IF(H478="""",0,H478),
IF(J478="""",0,J478),
IF(L478="""",0,L478),
IF(N478="""",0,N478),
IF(P478="""",0,P478)
})"),"")</f>
        <v/>
      </c>
      <c r="U478" s="7" t="str">
        <f ca="1">IFERROR(__xludf.DUMMYFUNCTION("SPARKLINE({
IF(E478="""",0,E478),
IF(G478="""",0,G478),
IF(I478="""",0,I478),
IF(K478="""",0,K478),
IF(M478="""",0,M478),
IF(O478="""",0,O478),
IF(Q478="""",0,Q478)
})"),"")</f>
        <v/>
      </c>
      <c r="V478" s="8" t="e">
        <f t="array" aca="1" ref="V478" ca="1">IF($C$4="Giao",_xludf.Xlookup(C478,#REF!,#REF!,),_xludf.Xlookup(C478,#REF!,#REF!,))</f>
        <v>#NAME?</v>
      </c>
      <c r="W478" s="8">
        <f t="array" ref="W478">IF($C$4="Giao", _xludf.Xlookup(C478,#REF!,#REF!,),)</f>
        <v>0</v>
      </c>
      <c r="X478" s="9">
        <f t="shared" si="6"/>
        <v>0</v>
      </c>
      <c r="Y478" s="7"/>
      <c r="Z478" s="7"/>
    </row>
    <row r="479" spans="1:26" ht="13" x14ac:dyDescent="0.6">
      <c r="A479" s="28" t="str">
        <f t="shared" si="5"/>
        <v/>
      </c>
      <c r="B479" s="7"/>
      <c r="C479" s="7"/>
      <c r="D479" s="9"/>
      <c r="E479" s="9"/>
      <c r="F479" s="9"/>
      <c r="G479" s="9"/>
      <c r="H479" s="9"/>
      <c r="I479" s="9"/>
      <c r="J479" s="9"/>
      <c r="K479" s="9"/>
      <c r="L479" s="9"/>
      <c r="M479" s="9"/>
      <c r="N479" s="9"/>
      <c r="O479" s="9"/>
      <c r="P479" s="29"/>
      <c r="Q479" s="29"/>
      <c r="R479" s="7"/>
      <c r="S479" s="7"/>
      <c r="T479" s="7" t="str">
        <f ca="1">IFERROR(__xludf.DUMMYFUNCTION("SPARKLINE({
IF(D479="""",0,D479),
IF(F479="""",0,F479),
IF(H479="""",0,H479),
IF(J479="""",0,J479),
IF(L479="""",0,L479),
IF(N479="""",0,N479),
IF(P479="""",0,P479)
})"),"")</f>
        <v/>
      </c>
      <c r="U479" s="7" t="str">
        <f ca="1">IFERROR(__xludf.DUMMYFUNCTION("SPARKLINE({
IF(E479="""",0,E479),
IF(G479="""",0,G479),
IF(I479="""",0,I479),
IF(K479="""",0,K479),
IF(M479="""",0,M479),
IF(O479="""",0,O479),
IF(Q479="""",0,Q479)
})"),"")</f>
        <v/>
      </c>
      <c r="V479" s="8" t="e">
        <f t="array" aca="1" ref="V479" ca="1">IF($C$4="Giao",_xludf.Xlookup(C479,#REF!,#REF!,),_xludf.Xlookup(C479,#REF!,#REF!,))</f>
        <v>#NAME?</v>
      </c>
      <c r="W479" s="8">
        <f t="array" ref="W479">IF($C$4="Giao", _xludf.Xlookup(C479,#REF!,#REF!,),)</f>
        <v>0</v>
      </c>
      <c r="X479" s="9">
        <f t="shared" si="6"/>
        <v>0</v>
      </c>
      <c r="Y479" s="7"/>
      <c r="Z479" s="7"/>
    </row>
    <row r="480" spans="1:26" ht="13" x14ac:dyDescent="0.6">
      <c r="A480" s="28" t="str">
        <f t="shared" si="5"/>
        <v/>
      </c>
      <c r="B480" s="7"/>
      <c r="C480" s="7"/>
      <c r="D480" s="9"/>
      <c r="E480" s="9"/>
      <c r="F480" s="9"/>
      <c r="G480" s="9"/>
      <c r="H480" s="9"/>
      <c r="I480" s="9"/>
      <c r="J480" s="9"/>
      <c r="K480" s="9"/>
      <c r="L480" s="9"/>
      <c r="M480" s="9"/>
      <c r="N480" s="9"/>
      <c r="O480" s="9"/>
      <c r="P480" s="29"/>
      <c r="Q480" s="29"/>
      <c r="R480" s="7"/>
      <c r="S480" s="7"/>
      <c r="T480" s="7" t="str">
        <f ca="1">IFERROR(__xludf.DUMMYFUNCTION("SPARKLINE({
IF(D480="""",0,D480),
IF(F480="""",0,F480),
IF(H480="""",0,H480),
IF(J480="""",0,J480),
IF(L480="""",0,L480),
IF(N480="""",0,N480),
IF(P480="""",0,P480)
})"),"")</f>
        <v/>
      </c>
      <c r="U480" s="7" t="str">
        <f ca="1">IFERROR(__xludf.DUMMYFUNCTION("SPARKLINE({
IF(E480="""",0,E480),
IF(G480="""",0,G480),
IF(I480="""",0,I480),
IF(K480="""",0,K480),
IF(M480="""",0,M480),
IF(O480="""",0,O480),
IF(Q480="""",0,Q480)
})"),"")</f>
        <v/>
      </c>
      <c r="V480" s="8" t="e">
        <f t="array" aca="1" ref="V480" ca="1">IF($C$4="Giao",_xludf.Xlookup(C480,#REF!,#REF!,),_xludf.Xlookup(C480,#REF!,#REF!,))</f>
        <v>#NAME?</v>
      </c>
      <c r="W480" s="8">
        <f t="array" ref="W480">IF($C$4="Giao", _xludf.Xlookup(C480,#REF!,#REF!,),)</f>
        <v>0</v>
      </c>
      <c r="X480" s="9">
        <f t="shared" si="6"/>
        <v>0</v>
      </c>
      <c r="Y480" s="7"/>
      <c r="Z480" s="7"/>
    </row>
    <row r="481" spans="1:26" ht="13" x14ac:dyDescent="0.6">
      <c r="A481" s="28" t="str">
        <f t="shared" si="5"/>
        <v/>
      </c>
      <c r="B481" s="7"/>
      <c r="C481" s="7"/>
      <c r="D481" s="9"/>
      <c r="E481" s="9"/>
      <c r="F481" s="9"/>
      <c r="G481" s="9"/>
      <c r="H481" s="9"/>
      <c r="I481" s="9"/>
      <c r="J481" s="9"/>
      <c r="K481" s="9"/>
      <c r="L481" s="9"/>
      <c r="M481" s="9"/>
      <c r="N481" s="9"/>
      <c r="O481" s="9"/>
      <c r="P481" s="29"/>
      <c r="Q481" s="29"/>
      <c r="R481" s="7"/>
      <c r="S481" s="7"/>
      <c r="T481" s="7" t="str">
        <f ca="1">IFERROR(__xludf.DUMMYFUNCTION("SPARKLINE({
IF(D481="""",0,D481),
IF(F481="""",0,F481),
IF(H481="""",0,H481),
IF(J481="""",0,J481),
IF(L481="""",0,L481),
IF(N481="""",0,N481),
IF(P481="""",0,P481)
})"),"")</f>
        <v/>
      </c>
      <c r="U481" s="7" t="str">
        <f ca="1">IFERROR(__xludf.DUMMYFUNCTION("SPARKLINE({
IF(E481="""",0,E481),
IF(G481="""",0,G481),
IF(I481="""",0,I481),
IF(K481="""",0,K481),
IF(M481="""",0,M481),
IF(O481="""",0,O481),
IF(Q481="""",0,Q481)
})"),"")</f>
        <v/>
      </c>
      <c r="V481" s="8" t="e">
        <f t="array" aca="1" ref="V481" ca="1">IF($C$4="Giao",_xludf.Xlookup(C481,#REF!,#REF!,),_xludf.Xlookup(C481,#REF!,#REF!,))</f>
        <v>#NAME?</v>
      </c>
      <c r="W481" s="8">
        <f t="array" ref="W481">IF($C$4="Giao", _xludf.Xlookup(C481,#REF!,#REF!,),)</f>
        <v>0</v>
      </c>
      <c r="X481" s="9">
        <f t="shared" si="6"/>
        <v>0</v>
      </c>
      <c r="Y481" s="7"/>
      <c r="Z481" s="7"/>
    </row>
    <row r="482" spans="1:26" ht="13" x14ac:dyDescent="0.6">
      <c r="A482" s="28" t="str">
        <f t="shared" si="5"/>
        <v/>
      </c>
      <c r="B482" s="7"/>
      <c r="C482" s="7"/>
      <c r="D482" s="9"/>
      <c r="E482" s="9"/>
      <c r="F482" s="9"/>
      <c r="G482" s="9"/>
      <c r="H482" s="9"/>
      <c r="I482" s="9"/>
      <c r="J482" s="9"/>
      <c r="K482" s="9"/>
      <c r="L482" s="9"/>
      <c r="M482" s="9"/>
      <c r="N482" s="9"/>
      <c r="O482" s="9"/>
      <c r="P482" s="29"/>
      <c r="Q482" s="29"/>
      <c r="R482" s="7"/>
      <c r="S482" s="7"/>
      <c r="T482" s="7" t="str">
        <f ca="1">IFERROR(__xludf.DUMMYFUNCTION("SPARKLINE({
IF(D482="""",0,D482),
IF(F482="""",0,F482),
IF(H482="""",0,H482),
IF(J482="""",0,J482),
IF(L482="""",0,L482),
IF(N482="""",0,N482),
IF(P482="""",0,P482)
})"),"")</f>
        <v/>
      </c>
      <c r="U482" s="7" t="str">
        <f ca="1">IFERROR(__xludf.DUMMYFUNCTION("SPARKLINE({
IF(E482="""",0,E482),
IF(G482="""",0,G482),
IF(I482="""",0,I482),
IF(K482="""",0,K482),
IF(M482="""",0,M482),
IF(O482="""",0,O482),
IF(Q482="""",0,Q482)
})"),"")</f>
        <v/>
      </c>
      <c r="V482" s="8" t="e">
        <f t="array" aca="1" ref="V482" ca="1">IF($C$4="Giao",_xludf.Xlookup(C482,#REF!,#REF!,),_xludf.Xlookup(C482,#REF!,#REF!,))</f>
        <v>#NAME?</v>
      </c>
      <c r="W482" s="8">
        <f t="array" ref="W482">IF($C$4="Giao", _xludf.Xlookup(C482,#REF!,#REF!,),)</f>
        <v>0</v>
      </c>
      <c r="X482" s="9">
        <f t="shared" si="6"/>
        <v>0</v>
      </c>
      <c r="Y482" s="7"/>
      <c r="Z482" s="7"/>
    </row>
    <row r="483" spans="1:26" ht="13" x14ac:dyDescent="0.6">
      <c r="A483" s="28" t="str">
        <f t="shared" si="5"/>
        <v/>
      </c>
      <c r="B483" s="7"/>
      <c r="C483" s="7"/>
      <c r="D483" s="9"/>
      <c r="E483" s="9"/>
      <c r="F483" s="9"/>
      <c r="G483" s="9"/>
      <c r="H483" s="9"/>
      <c r="I483" s="9"/>
      <c r="J483" s="9"/>
      <c r="K483" s="9"/>
      <c r="L483" s="9"/>
      <c r="M483" s="9"/>
      <c r="N483" s="9"/>
      <c r="O483" s="9"/>
      <c r="P483" s="29"/>
      <c r="Q483" s="29"/>
      <c r="R483" s="7"/>
      <c r="S483" s="7"/>
      <c r="T483" s="7" t="str">
        <f ca="1">IFERROR(__xludf.DUMMYFUNCTION("SPARKLINE({
IF(D483="""",0,D483),
IF(F483="""",0,F483),
IF(H483="""",0,H483),
IF(J483="""",0,J483),
IF(L483="""",0,L483),
IF(N483="""",0,N483),
IF(P483="""",0,P483)
})"),"")</f>
        <v/>
      </c>
      <c r="U483" s="7" t="str">
        <f ca="1">IFERROR(__xludf.DUMMYFUNCTION("SPARKLINE({
IF(E483="""",0,E483),
IF(G483="""",0,G483),
IF(I483="""",0,I483),
IF(K483="""",0,K483),
IF(M483="""",0,M483),
IF(O483="""",0,O483),
IF(Q483="""",0,Q483)
})"),"")</f>
        <v/>
      </c>
      <c r="V483" s="8" t="e">
        <f t="array" aca="1" ref="V483" ca="1">IF($C$4="Giao",_xludf.Xlookup(C483,#REF!,#REF!,),_xludf.Xlookup(C483,#REF!,#REF!,))</f>
        <v>#NAME?</v>
      </c>
      <c r="W483" s="8">
        <f t="array" ref="W483">IF($C$4="Giao", _xludf.Xlookup(C483,#REF!,#REF!,),)</f>
        <v>0</v>
      </c>
      <c r="X483" s="9">
        <f t="shared" si="6"/>
        <v>0</v>
      </c>
      <c r="Y483" s="7"/>
      <c r="Z483" s="7"/>
    </row>
    <row r="484" spans="1:26" ht="13" x14ac:dyDescent="0.6">
      <c r="A484" s="28" t="str">
        <f t="shared" si="5"/>
        <v/>
      </c>
      <c r="B484" s="7"/>
      <c r="C484" s="7"/>
      <c r="D484" s="9"/>
      <c r="E484" s="9"/>
      <c r="F484" s="9"/>
      <c r="G484" s="9"/>
      <c r="H484" s="9"/>
      <c r="I484" s="9"/>
      <c r="J484" s="9"/>
      <c r="K484" s="9"/>
      <c r="L484" s="9"/>
      <c r="M484" s="9"/>
      <c r="N484" s="9"/>
      <c r="O484" s="9"/>
      <c r="P484" s="29"/>
      <c r="Q484" s="29"/>
      <c r="R484" s="7"/>
      <c r="S484" s="7"/>
      <c r="T484" s="7" t="str">
        <f ca="1">IFERROR(__xludf.DUMMYFUNCTION("SPARKLINE({
IF(D484="""",0,D484),
IF(F484="""",0,F484),
IF(H484="""",0,H484),
IF(J484="""",0,J484),
IF(L484="""",0,L484),
IF(N484="""",0,N484),
IF(P484="""",0,P484)
})"),"")</f>
        <v/>
      </c>
      <c r="U484" s="7" t="str">
        <f ca="1">IFERROR(__xludf.DUMMYFUNCTION("SPARKLINE({
IF(E484="""",0,E484),
IF(G484="""",0,G484),
IF(I484="""",0,I484),
IF(K484="""",0,K484),
IF(M484="""",0,M484),
IF(O484="""",0,O484),
IF(Q484="""",0,Q484)
})"),"")</f>
        <v/>
      </c>
      <c r="V484" s="8" t="e">
        <f t="array" aca="1" ref="V484" ca="1">IF($C$4="Giao",_xludf.Xlookup(C484,#REF!,#REF!,),_xludf.Xlookup(C484,#REF!,#REF!,))</f>
        <v>#NAME?</v>
      </c>
      <c r="W484" s="8">
        <f t="array" ref="W484">IF($C$4="Giao", _xludf.Xlookup(C484,#REF!,#REF!,),)</f>
        <v>0</v>
      </c>
      <c r="X484" s="9">
        <f t="shared" si="6"/>
        <v>0</v>
      </c>
      <c r="Y484" s="7"/>
      <c r="Z484" s="7"/>
    </row>
    <row r="485" spans="1:26" ht="13" x14ac:dyDescent="0.6">
      <c r="A485" s="28" t="str">
        <f t="shared" si="5"/>
        <v/>
      </c>
      <c r="B485" s="7"/>
      <c r="C485" s="7"/>
      <c r="D485" s="9"/>
      <c r="E485" s="9"/>
      <c r="F485" s="9"/>
      <c r="G485" s="9"/>
      <c r="H485" s="9"/>
      <c r="I485" s="9"/>
      <c r="J485" s="9"/>
      <c r="K485" s="9"/>
      <c r="L485" s="9"/>
      <c r="M485" s="9"/>
      <c r="N485" s="9"/>
      <c r="O485" s="9"/>
      <c r="P485" s="29"/>
      <c r="Q485" s="29"/>
      <c r="R485" s="7"/>
      <c r="S485" s="7"/>
      <c r="T485" s="7" t="str">
        <f ca="1">IFERROR(__xludf.DUMMYFUNCTION("SPARKLINE({
IF(D485="""",0,D485),
IF(F485="""",0,F485),
IF(H485="""",0,H485),
IF(J485="""",0,J485),
IF(L485="""",0,L485),
IF(N485="""",0,N485),
IF(P485="""",0,P485)
})"),"")</f>
        <v/>
      </c>
      <c r="U485" s="7" t="str">
        <f ca="1">IFERROR(__xludf.DUMMYFUNCTION("SPARKLINE({
IF(E485="""",0,E485),
IF(G485="""",0,G485),
IF(I485="""",0,I485),
IF(K485="""",0,K485),
IF(M485="""",0,M485),
IF(O485="""",0,O485),
IF(Q485="""",0,Q485)
})"),"")</f>
        <v/>
      </c>
      <c r="V485" s="8" t="e">
        <f t="array" aca="1" ref="V485" ca="1">IF($C$4="Giao",_xludf.Xlookup(C485,#REF!,#REF!,),_xludf.Xlookup(C485,#REF!,#REF!,))</f>
        <v>#NAME?</v>
      </c>
      <c r="W485" s="8">
        <f t="array" ref="W485">IF($C$4="Giao", _xludf.Xlookup(C485,#REF!,#REF!,),)</f>
        <v>0</v>
      </c>
      <c r="X485" s="9">
        <f t="shared" si="6"/>
        <v>0</v>
      </c>
      <c r="Y485" s="7"/>
      <c r="Z485" s="7"/>
    </row>
    <row r="486" spans="1:26" ht="13" x14ac:dyDescent="0.6">
      <c r="A486" s="28" t="str">
        <f t="shared" si="5"/>
        <v/>
      </c>
      <c r="B486" s="7"/>
      <c r="C486" s="7"/>
      <c r="D486" s="9"/>
      <c r="E486" s="9"/>
      <c r="F486" s="9"/>
      <c r="G486" s="9"/>
      <c r="H486" s="9"/>
      <c r="I486" s="9"/>
      <c r="J486" s="9"/>
      <c r="K486" s="9"/>
      <c r="L486" s="9"/>
      <c r="M486" s="9"/>
      <c r="N486" s="9"/>
      <c r="O486" s="9"/>
      <c r="P486" s="29"/>
      <c r="Q486" s="29"/>
      <c r="R486" s="7"/>
      <c r="S486" s="7"/>
      <c r="T486" s="7" t="str">
        <f ca="1">IFERROR(__xludf.DUMMYFUNCTION("SPARKLINE({
IF(D486="""",0,D486),
IF(F486="""",0,F486),
IF(H486="""",0,H486),
IF(J486="""",0,J486),
IF(L486="""",0,L486),
IF(N486="""",0,N486),
IF(P486="""",0,P486)
})"),"")</f>
        <v/>
      </c>
      <c r="U486" s="7" t="str">
        <f ca="1">IFERROR(__xludf.DUMMYFUNCTION("SPARKLINE({
IF(E486="""",0,E486),
IF(G486="""",0,G486),
IF(I486="""",0,I486),
IF(K486="""",0,K486),
IF(M486="""",0,M486),
IF(O486="""",0,O486),
IF(Q486="""",0,Q486)
})"),"")</f>
        <v/>
      </c>
      <c r="V486" s="8" t="e">
        <f t="array" aca="1" ref="V486" ca="1">IF($C$4="Giao",_xludf.Xlookup(C486,#REF!,#REF!,),_xludf.Xlookup(C486,#REF!,#REF!,))</f>
        <v>#NAME?</v>
      </c>
      <c r="W486" s="8">
        <f t="array" ref="W486">IF($C$4="Giao", _xludf.Xlookup(C486,#REF!,#REF!,),)</f>
        <v>0</v>
      </c>
      <c r="X486" s="9">
        <f t="shared" si="6"/>
        <v>0</v>
      </c>
      <c r="Y486" s="7"/>
      <c r="Z486" s="7"/>
    </row>
    <row r="487" spans="1:26" ht="13" x14ac:dyDescent="0.6">
      <c r="A487" s="28" t="str">
        <f t="shared" si="5"/>
        <v/>
      </c>
      <c r="B487" s="7"/>
      <c r="C487" s="7"/>
      <c r="D487" s="9"/>
      <c r="E487" s="9"/>
      <c r="F487" s="9"/>
      <c r="G487" s="9"/>
      <c r="H487" s="9"/>
      <c r="I487" s="9"/>
      <c r="J487" s="9"/>
      <c r="K487" s="9"/>
      <c r="L487" s="9"/>
      <c r="M487" s="9"/>
      <c r="N487" s="9"/>
      <c r="O487" s="9"/>
      <c r="P487" s="29"/>
      <c r="Q487" s="29"/>
      <c r="R487" s="7"/>
      <c r="S487" s="7"/>
      <c r="T487" s="7" t="str">
        <f ca="1">IFERROR(__xludf.DUMMYFUNCTION("SPARKLINE({
IF(D487="""",0,D487),
IF(F487="""",0,F487),
IF(H487="""",0,H487),
IF(J487="""",0,J487),
IF(L487="""",0,L487),
IF(N487="""",0,N487),
IF(P487="""",0,P487)
})"),"")</f>
        <v/>
      </c>
      <c r="U487" s="7" t="str">
        <f ca="1">IFERROR(__xludf.DUMMYFUNCTION("SPARKLINE({
IF(E487="""",0,E487),
IF(G487="""",0,G487),
IF(I487="""",0,I487),
IF(K487="""",0,K487),
IF(M487="""",0,M487),
IF(O487="""",0,O487),
IF(Q487="""",0,Q487)
})"),"")</f>
        <v/>
      </c>
      <c r="V487" s="8" t="e">
        <f t="array" aca="1" ref="V487" ca="1">IF($C$4="Giao",_xludf.Xlookup(C487,#REF!,#REF!,),_xludf.Xlookup(C487,#REF!,#REF!,))</f>
        <v>#NAME?</v>
      </c>
      <c r="W487" s="8">
        <f t="array" ref="W487">IF($C$4="Giao", _xludf.Xlookup(C487,#REF!,#REF!,),)</f>
        <v>0</v>
      </c>
      <c r="X487" s="9">
        <f t="shared" si="6"/>
        <v>0</v>
      </c>
      <c r="Y487" s="7"/>
      <c r="Z487" s="7"/>
    </row>
    <row r="488" spans="1:26" ht="13" x14ac:dyDescent="0.6">
      <c r="A488" s="28" t="str">
        <f t="shared" si="5"/>
        <v/>
      </c>
      <c r="B488" s="7"/>
      <c r="C488" s="7"/>
      <c r="D488" s="9"/>
      <c r="E488" s="9"/>
      <c r="F488" s="9"/>
      <c r="G488" s="9"/>
      <c r="H488" s="9"/>
      <c r="I488" s="9"/>
      <c r="J488" s="9"/>
      <c r="K488" s="9"/>
      <c r="L488" s="9"/>
      <c r="M488" s="9"/>
      <c r="N488" s="9"/>
      <c r="O488" s="9"/>
      <c r="P488" s="29"/>
      <c r="Q488" s="29"/>
      <c r="R488" s="7"/>
      <c r="S488" s="7"/>
      <c r="T488" s="7" t="str">
        <f ca="1">IFERROR(__xludf.DUMMYFUNCTION("SPARKLINE({
IF(D488="""",0,D488),
IF(F488="""",0,F488),
IF(H488="""",0,H488),
IF(J488="""",0,J488),
IF(L488="""",0,L488),
IF(N488="""",0,N488),
IF(P488="""",0,P488)
})"),"")</f>
        <v/>
      </c>
      <c r="U488" s="7" t="str">
        <f ca="1">IFERROR(__xludf.DUMMYFUNCTION("SPARKLINE({
IF(E488="""",0,E488),
IF(G488="""",0,G488),
IF(I488="""",0,I488),
IF(K488="""",0,K488),
IF(M488="""",0,M488),
IF(O488="""",0,O488),
IF(Q488="""",0,Q488)
})"),"")</f>
        <v/>
      </c>
      <c r="V488" s="8" t="e">
        <f t="array" aca="1" ref="V488" ca="1">IF($C$4="Giao",_xludf.Xlookup(C488,#REF!,#REF!,),_xludf.Xlookup(C488,#REF!,#REF!,))</f>
        <v>#NAME?</v>
      </c>
      <c r="W488" s="8">
        <f t="array" ref="W488">IF($C$4="Giao", _xludf.Xlookup(C488,#REF!,#REF!,),)</f>
        <v>0</v>
      </c>
      <c r="X488" s="9">
        <f t="shared" si="6"/>
        <v>0</v>
      </c>
      <c r="Y488" s="7"/>
      <c r="Z488" s="7"/>
    </row>
    <row r="489" spans="1:26" ht="13" x14ac:dyDescent="0.6">
      <c r="A489" s="28" t="str">
        <f t="shared" si="5"/>
        <v/>
      </c>
      <c r="B489" s="7"/>
      <c r="C489" s="7"/>
      <c r="D489" s="9"/>
      <c r="E489" s="9"/>
      <c r="F489" s="9"/>
      <c r="G489" s="9"/>
      <c r="H489" s="9"/>
      <c r="I489" s="9"/>
      <c r="J489" s="9"/>
      <c r="K489" s="9"/>
      <c r="L489" s="9"/>
      <c r="M489" s="9"/>
      <c r="N489" s="9"/>
      <c r="O489" s="9"/>
      <c r="P489" s="29"/>
      <c r="Q489" s="29"/>
      <c r="R489" s="7"/>
      <c r="S489" s="7"/>
      <c r="T489" s="7" t="str">
        <f ca="1">IFERROR(__xludf.DUMMYFUNCTION("SPARKLINE({
IF(D489="""",0,D489),
IF(F489="""",0,F489),
IF(H489="""",0,H489),
IF(J489="""",0,J489),
IF(L489="""",0,L489),
IF(N489="""",0,N489),
IF(P489="""",0,P489)
})"),"")</f>
        <v/>
      </c>
      <c r="U489" s="7" t="str">
        <f ca="1">IFERROR(__xludf.DUMMYFUNCTION("SPARKLINE({
IF(E489="""",0,E489),
IF(G489="""",0,G489),
IF(I489="""",0,I489),
IF(K489="""",0,K489),
IF(M489="""",0,M489),
IF(O489="""",0,O489),
IF(Q489="""",0,Q489)
})"),"")</f>
        <v/>
      </c>
      <c r="V489" s="8" t="e">
        <f t="array" aca="1" ref="V489" ca="1">IF($C$4="Giao",_xludf.Xlookup(C489,#REF!,#REF!,),_xludf.Xlookup(C489,#REF!,#REF!,))</f>
        <v>#NAME?</v>
      </c>
      <c r="W489" s="8">
        <f t="array" ref="W489">IF($C$4="Giao", _xludf.Xlookup(C489,#REF!,#REF!,),)</f>
        <v>0</v>
      </c>
      <c r="X489" s="9">
        <f t="shared" si="6"/>
        <v>0</v>
      </c>
      <c r="Y489" s="7"/>
      <c r="Z489" s="7"/>
    </row>
    <row r="490" spans="1:26" ht="13" x14ac:dyDescent="0.6">
      <c r="A490" s="28" t="str">
        <f t="shared" si="5"/>
        <v/>
      </c>
      <c r="B490" s="7"/>
      <c r="C490" s="7"/>
      <c r="D490" s="9"/>
      <c r="E490" s="9"/>
      <c r="F490" s="9"/>
      <c r="G490" s="9"/>
      <c r="H490" s="9"/>
      <c r="I490" s="9"/>
      <c r="J490" s="9"/>
      <c r="K490" s="9"/>
      <c r="L490" s="9"/>
      <c r="M490" s="9"/>
      <c r="N490" s="9"/>
      <c r="O490" s="9"/>
      <c r="P490" s="29"/>
      <c r="Q490" s="29"/>
      <c r="R490" s="7"/>
      <c r="S490" s="7"/>
      <c r="T490" s="7" t="str">
        <f ca="1">IFERROR(__xludf.DUMMYFUNCTION("SPARKLINE({
IF(D490="""",0,D490),
IF(F490="""",0,F490),
IF(H490="""",0,H490),
IF(J490="""",0,J490),
IF(L490="""",0,L490),
IF(N490="""",0,N490),
IF(P490="""",0,P490)
})"),"")</f>
        <v/>
      </c>
      <c r="U490" s="7" t="str">
        <f ca="1">IFERROR(__xludf.DUMMYFUNCTION("SPARKLINE({
IF(E490="""",0,E490),
IF(G490="""",0,G490),
IF(I490="""",0,I490),
IF(K490="""",0,K490),
IF(M490="""",0,M490),
IF(O490="""",0,O490),
IF(Q490="""",0,Q490)
})"),"")</f>
        <v/>
      </c>
      <c r="V490" s="8" t="e">
        <f t="array" aca="1" ref="V490" ca="1">IF($C$4="Giao",_xludf.Xlookup(C490,#REF!,#REF!,),_xludf.Xlookup(C490,#REF!,#REF!,))</f>
        <v>#NAME?</v>
      </c>
      <c r="W490" s="8">
        <f t="array" ref="W490">IF($C$4="Giao", _xludf.Xlookup(C490,#REF!,#REF!,),)</f>
        <v>0</v>
      </c>
      <c r="X490" s="9">
        <f t="shared" si="6"/>
        <v>0</v>
      </c>
      <c r="Y490" s="7"/>
      <c r="Z490" s="7"/>
    </row>
    <row r="491" spans="1:26" ht="13" x14ac:dyDescent="0.6">
      <c r="A491" s="28" t="str">
        <f t="shared" si="5"/>
        <v/>
      </c>
      <c r="B491" s="7"/>
      <c r="C491" s="7"/>
      <c r="D491" s="9"/>
      <c r="E491" s="9"/>
      <c r="F491" s="9"/>
      <c r="G491" s="9"/>
      <c r="H491" s="9"/>
      <c r="I491" s="9"/>
      <c r="J491" s="9"/>
      <c r="K491" s="9"/>
      <c r="L491" s="9"/>
      <c r="M491" s="9"/>
      <c r="N491" s="9"/>
      <c r="O491" s="9"/>
      <c r="P491" s="29"/>
      <c r="Q491" s="29"/>
      <c r="R491" s="7"/>
      <c r="S491" s="7"/>
      <c r="T491" s="7" t="str">
        <f ca="1">IFERROR(__xludf.DUMMYFUNCTION("SPARKLINE({
IF(D491="""",0,D491),
IF(F491="""",0,F491),
IF(H491="""",0,H491),
IF(J491="""",0,J491),
IF(L491="""",0,L491),
IF(N491="""",0,N491),
IF(P491="""",0,P491)
})"),"")</f>
        <v/>
      </c>
      <c r="U491" s="7" t="str">
        <f ca="1">IFERROR(__xludf.DUMMYFUNCTION("SPARKLINE({
IF(E491="""",0,E491),
IF(G491="""",0,G491),
IF(I491="""",0,I491),
IF(K491="""",0,K491),
IF(M491="""",0,M491),
IF(O491="""",0,O491),
IF(Q491="""",0,Q491)
})"),"")</f>
        <v/>
      </c>
      <c r="V491" s="8" t="e">
        <f t="array" aca="1" ref="V491" ca="1">IF($C$4="Giao",_xludf.Xlookup(C491,#REF!,#REF!,),_xludf.Xlookup(C491,#REF!,#REF!,))</f>
        <v>#NAME?</v>
      </c>
      <c r="W491" s="8">
        <f t="array" ref="W491">IF($C$4="Giao", _xludf.Xlookup(C491,#REF!,#REF!,),)</f>
        <v>0</v>
      </c>
      <c r="X491" s="9">
        <f t="shared" si="6"/>
        <v>0</v>
      </c>
      <c r="Y491" s="7"/>
      <c r="Z491" s="7"/>
    </row>
    <row r="492" spans="1:26" ht="13" x14ac:dyDescent="0.6">
      <c r="A492" s="28" t="str">
        <f t="shared" si="5"/>
        <v/>
      </c>
      <c r="B492" s="7"/>
      <c r="C492" s="7"/>
      <c r="D492" s="9"/>
      <c r="E492" s="9"/>
      <c r="F492" s="9"/>
      <c r="G492" s="9"/>
      <c r="H492" s="9"/>
      <c r="I492" s="9"/>
      <c r="J492" s="9"/>
      <c r="K492" s="9"/>
      <c r="L492" s="9"/>
      <c r="M492" s="9"/>
      <c r="N492" s="9"/>
      <c r="O492" s="9"/>
      <c r="P492" s="29"/>
      <c r="Q492" s="29"/>
      <c r="R492" s="7"/>
      <c r="S492" s="7"/>
      <c r="T492" s="7" t="str">
        <f ca="1">IFERROR(__xludf.DUMMYFUNCTION("SPARKLINE({
IF(D492="""",0,D492),
IF(F492="""",0,F492),
IF(H492="""",0,H492),
IF(J492="""",0,J492),
IF(L492="""",0,L492),
IF(N492="""",0,N492),
IF(P492="""",0,P492)
})"),"")</f>
        <v/>
      </c>
      <c r="U492" s="7" t="str">
        <f ca="1">IFERROR(__xludf.DUMMYFUNCTION("SPARKLINE({
IF(E492="""",0,E492),
IF(G492="""",0,G492),
IF(I492="""",0,I492),
IF(K492="""",0,K492),
IF(M492="""",0,M492),
IF(O492="""",0,O492),
IF(Q492="""",0,Q492)
})"),"")</f>
        <v/>
      </c>
      <c r="V492" s="8" t="e">
        <f t="array" aca="1" ref="V492" ca="1">IF($C$4="Giao",_xludf.Xlookup(C492,#REF!,#REF!,),_xludf.Xlookup(C492,#REF!,#REF!,))</f>
        <v>#NAME?</v>
      </c>
      <c r="W492" s="8">
        <f t="array" ref="W492">IF($C$4="Giao", _xludf.Xlookup(C492,#REF!,#REF!,),)</f>
        <v>0</v>
      </c>
      <c r="X492" s="9">
        <f t="shared" si="6"/>
        <v>0</v>
      </c>
      <c r="Y492" s="7"/>
      <c r="Z492" s="7"/>
    </row>
    <row r="493" spans="1:26" ht="13" x14ac:dyDescent="0.6">
      <c r="A493" s="28" t="str">
        <f t="shared" si="5"/>
        <v/>
      </c>
      <c r="B493" s="7"/>
      <c r="C493" s="7"/>
      <c r="D493" s="9"/>
      <c r="E493" s="9"/>
      <c r="F493" s="9"/>
      <c r="G493" s="9"/>
      <c r="H493" s="9"/>
      <c r="I493" s="9"/>
      <c r="J493" s="9"/>
      <c r="K493" s="9"/>
      <c r="L493" s="9"/>
      <c r="M493" s="9"/>
      <c r="N493" s="9"/>
      <c r="O493" s="9"/>
      <c r="P493" s="29"/>
      <c r="Q493" s="29"/>
      <c r="R493" s="7"/>
      <c r="S493" s="7"/>
      <c r="T493" s="7" t="str">
        <f ca="1">IFERROR(__xludf.DUMMYFUNCTION("SPARKLINE({
IF(D493="""",0,D493),
IF(F493="""",0,F493),
IF(H493="""",0,H493),
IF(J493="""",0,J493),
IF(L493="""",0,L493),
IF(N493="""",0,N493),
IF(P493="""",0,P493)
})"),"")</f>
        <v/>
      </c>
      <c r="U493" s="7" t="str">
        <f ca="1">IFERROR(__xludf.DUMMYFUNCTION("SPARKLINE({
IF(E493="""",0,E493),
IF(G493="""",0,G493),
IF(I493="""",0,I493),
IF(K493="""",0,K493),
IF(M493="""",0,M493),
IF(O493="""",0,O493),
IF(Q493="""",0,Q493)
})"),"")</f>
        <v/>
      </c>
      <c r="V493" s="8" t="e">
        <f t="array" aca="1" ref="V493" ca="1">IF($C$4="Giao",_xludf.Xlookup(C493,#REF!,#REF!,),_xludf.Xlookup(C493,#REF!,#REF!,))</f>
        <v>#NAME?</v>
      </c>
      <c r="W493" s="8">
        <f t="array" ref="W493">IF($C$4="Giao", _xludf.Xlookup(C493,#REF!,#REF!,),)</f>
        <v>0</v>
      </c>
      <c r="X493" s="9">
        <f t="shared" si="6"/>
        <v>0</v>
      </c>
      <c r="Y493" s="7"/>
      <c r="Z493" s="7"/>
    </row>
    <row r="494" spans="1:26" ht="13" x14ac:dyDescent="0.6">
      <c r="A494" s="28" t="str">
        <f t="shared" si="5"/>
        <v/>
      </c>
      <c r="B494" s="7"/>
      <c r="C494" s="7"/>
      <c r="D494" s="9"/>
      <c r="E494" s="9"/>
      <c r="F494" s="9"/>
      <c r="G494" s="9"/>
      <c r="H494" s="9"/>
      <c r="I494" s="9"/>
      <c r="J494" s="9"/>
      <c r="K494" s="9"/>
      <c r="L494" s="9"/>
      <c r="M494" s="9"/>
      <c r="N494" s="9"/>
      <c r="O494" s="9"/>
      <c r="P494" s="29"/>
      <c r="Q494" s="29"/>
      <c r="R494" s="7"/>
      <c r="S494" s="7"/>
      <c r="T494" s="7" t="str">
        <f ca="1">IFERROR(__xludf.DUMMYFUNCTION("SPARKLINE({
IF(D494="""",0,D494),
IF(F494="""",0,F494),
IF(H494="""",0,H494),
IF(J494="""",0,J494),
IF(L494="""",0,L494),
IF(N494="""",0,N494),
IF(P494="""",0,P494)
})"),"")</f>
        <v/>
      </c>
      <c r="U494" s="7" t="str">
        <f ca="1">IFERROR(__xludf.DUMMYFUNCTION("SPARKLINE({
IF(E494="""",0,E494),
IF(G494="""",0,G494),
IF(I494="""",0,I494),
IF(K494="""",0,K494),
IF(M494="""",0,M494),
IF(O494="""",0,O494),
IF(Q494="""",0,Q494)
})"),"")</f>
        <v/>
      </c>
      <c r="V494" s="8" t="e">
        <f t="array" aca="1" ref="V494" ca="1">IF($C$4="Giao",_xludf.Xlookup(C494,#REF!,#REF!,),_xludf.Xlookup(C494,#REF!,#REF!,))</f>
        <v>#NAME?</v>
      </c>
      <c r="W494" s="8">
        <f t="array" ref="W494">IF($C$4="Giao", _xludf.Xlookup(C494,#REF!,#REF!,),)</f>
        <v>0</v>
      </c>
      <c r="X494" s="9">
        <f t="shared" si="6"/>
        <v>0</v>
      </c>
      <c r="Y494" s="7"/>
      <c r="Z494" s="7"/>
    </row>
    <row r="495" spans="1:26" ht="13" x14ac:dyDescent="0.6">
      <c r="A495" s="28" t="str">
        <f t="shared" si="5"/>
        <v/>
      </c>
      <c r="B495" s="7"/>
      <c r="C495" s="7"/>
      <c r="D495" s="9"/>
      <c r="E495" s="9"/>
      <c r="F495" s="9"/>
      <c r="G495" s="9"/>
      <c r="H495" s="9"/>
      <c r="I495" s="9"/>
      <c r="J495" s="9"/>
      <c r="K495" s="9"/>
      <c r="L495" s="9"/>
      <c r="M495" s="9"/>
      <c r="N495" s="9"/>
      <c r="O495" s="9"/>
      <c r="P495" s="29"/>
      <c r="Q495" s="29"/>
      <c r="R495" s="7"/>
      <c r="S495" s="7"/>
      <c r="T495" s="7" t="str">
        <f ca="1">IFERROR(__xludf.DUMMYFUNCTION("SPARKLINE({
IF(D495="""",0,D495),
IF(F495="""",0,F495),
IF(H495="""",0,H495),
IF(J495="""",0,J495),
IF(L495="""",0,L495),
IF(N495="""",0,N495),
IF(P495="""",0,P495)
})"),"")</f>
        <v/>
      </c>
      <c r="U495" s="7" t="str">
        <f ca="1">IFERROR(__xludf.DUMMYFUNCTION("SPARKLINE({
IF(E495="""",0,E495),
IF(G495="""",0,G495),
IF(I495="""",0,I495),
IF(K495="""",0,K495),
IF(M495="""",0,M495),
IF(O495="""",0,O495),
IF(Q495="""",0,Q495)
})"),"")</f>
        <v/>
      </c>
      <c r="V495" s="8" t="e">
        <f t="array" aca="1" ref="V495" ca="1">IF($C$4="Giao",_xludf.Xlookup(C495,#REF!,#REF!,),_xludf.Xlookup(C495,#REF!,#REF!,))</f>
        <v>#NAME?</v>
      </c>
      <c r="W495" s="8">
        <f t="array" ref="W495">IF($C$4="Giao", _xludf.Xlookup(C495,#REF!,#REF!,),)</f>
        <v>0</v>
      </c>
      <c r="X495" s="9">
        <f t="shared" si="6"/>
        <v>0</v>
      </c>
      <c r="Y495" s="7"/>
      <c r="Z495" s="7"/>
    </row>
    <row r="496" spans="1:26" ht="13" x14ac:dyDescent="0.6">
      <c r="A496" s="28" t="str">
        <f t="shared" si="5"/>
        <v/>
      </c>
      <c r="B496" s="7"/>
      <c r="C496" s="7"/>
      <c r="D496" s="9"/>
      <c r="E496" s="9"/>
      <c r="F496" s="9"/>
      <c r="G496" s="9"/>
      <c r="H496" s="9"/>
      <c r="I496" s="9"/>
      <c r="J496" s="9"/>
      <c r="K496" s="9"/>
      <c r="L496" s="9"/>
      <c r="M496" s="9"/>
      <c r="N496" s="9"/>
      <c r="O496" s="9"/>
      <c r="P496" s="29"/>
      <c r="Q496" s="29"/>
      <c r="R496" s="7"/>
      <c r="S496" s="7"/>
      <c r="T496" s="7" t="str">
        <f ca="1">IFERROR(__xludf.DUMMYFUNCTION("SPARKLINE({
IF(D496="""",0,D496),
IF(F496="""",0,F496),
IF(H496="""",0,H496),
IF(J496="""",0,J496),
IF(L496="""",0,L496),
IF(N496="""",0,N496),
IF(P496="""",0,P496)
})"),"")</f>
        <v/>
      </c>
      <c r="U496" s="7" t="str">
        <f ca="1">IFERROR(__xludf.DUMMYFUNCTION("SPARKLINE({
IF(E496="""",0,E496),
IF(G496="""",0,G496),
IF(I496="""",0,I496),
IF(K496="""",0,K496),
IF(M496="""",0,M496),
IF(O496="""",0,O496),
IF(Q496="""",0,Q496)
})"),"")</f>
        <v/>
      </c>
      <c r="V496" s="8" t="e">
        <f t="array" aca="1" ref="V496" ca="1">IF($C$4="Giao",_xludf.Xlookup(C496,#REF!,#REF!,),_xludf.Xlookup(C496,#REF!,#REF!,))</f>
        <v>#NAME?</v>
      </c>
      <c r="W496" s="8">
        <f t="array" ref="W496">IF($C$4="Giao", _xludf.Xlookup(C496,#REF!,#REF!,),)</f>
        <v>0</v>
      </c>
      <c r="X496" s="9">
        <f t="shared" si="6"/>
        <v>0</v>
      </c>
      <c r="Y496" s="7"/>
      <c r="Z496" s="7"/>
    </row>
    <row r="497" spans="1:26" ht="13" x14ac:dyDescent="0.6">
      <c r="A497" s="28" t="str">
        <f t="shared" si="5"/>
        <v/>
      </c>
      <c r="B497" s="7"/>
      <c r="C497" s="7"/>
      <c r="D497" s="9"/>
      <c r="E497" s="9"/>
      <c r="F497" s="9"/>
      <c r="G497" s="9"/>
      <c r="H497" s="9"/>
      <c r="I497" s="9"/>
      <c r="J497" s="9"/>
      <c r="K497" s="9"/>
      <c r="L497" s="9"/>
      <c r="M497" s="9"/>
      <c r="N497" s="9"/>
      <c r="O497" s="9"/>
      <c r="P497" s="29"/>
      <c r="Q497" s="29"/>
      <c r="R497" s="7"/>
      <c r="S497" s="7"/>
      <c r="T497" s="7" t="str">
        <f ca="1">IFERROR(__xludf.DUMMYFUNCTION("SPARKLINE({
IF(D497="""",0,D497),
IF(F497="""",0,F497),
IF(H497="""",0,H497),
IF(J497="""",0,J497),
IF(L497="""",0,L497),
IF(N497="""",0,N497),
IF(P497="""",0,P497)
})"),"")</f>
        <v/>
      </c>
      <c r="U497" s="7" t="str">
        <f ca="1">IFERROR(__xludf.DUMMYFUNCTION("SPARKLINE({
IF(E497="""",0,E497),
IF(G497="""",0,G497),
IF(I497="""",0,I497),
IF(K497="""",0,K497),
IF(M497="""",0,M497),
IF(O497="""",0,O497),
IF(Q497="""",0,Q497)
})"),"")</f>
        <v/>
      </c>
      <c r="V497" s="8" t="e">
        <f t="array" aca="1" ref="V497" ca="1">IF($C$4="Giao",_xludf.Xlookup(C497,#REF!,#REF!,),_xludf.Xlookup(C497,#REF!,#REF!,))</f>
        <v>#NAME?</v>
      </c>
      <c r="W497" s="8">
        <f t="array" ref="W497">IF($C$4="Giao", _xludf.Xlookup(C497,#REF!,#REF!,),)</f>
        <v>0</v>
      </c>
      <c r="X497" s="9">
        <f t="shared" si="6"/>
        <v>0</v>
      </c>
      <c r="Y497" s="7"/>
      <c r="Z497" s="7"/>
    </row>
    <row r="498" spans="1:26" ht="13" x14ac:dyDescent="0.6">
      <c r="A498" s="28" t="str">
        <f t="shared" si="5"/>
        <v/>
      </c>
      <c r="B498" s="7"/>
      <c r="C498" s="7"/>
      <c r="D498" s="9"/>
      <c r="E498" s="9"/>
      <c r="F498" s="9"/>
      <c r="G498" s="9"/>
      <c r="H498" s="9"/>
      <c r="I498" s="9"/>
      <c r="J498" s="9"/>
      <c r="K498" s="9"/>
      <c r="L498" s="9"/>
      <c r="M498" s="9"/>
      <c r="N498" s="9"/>
      <c r="O498" s="9"/>
      <c r="P498" s="29"/>
      <c r="Q498" s="29"/>
      <c r="R498" s="7"/>
      <c r="S498" s="7"/>
      <c r="T498" s="7" t="str">
        <f ca="1">IFERROR(__xludf.DUMMYFUNCTION("SPARKLINE({
IF(D498="""",0,D498),
IF(F498="""",0,F498),
IF(H498="""",0,H498),
IF(J498="""",0,J498),
IF(L498="""",0,L498),
IF(N498="""",0,N498),
IF(P498="""",0,P498)
})"),"")</f>
        <v/>
      </c>
      <c r="U498" s="7" t="str">
        <f ca="1">IFERROR(__xludf.DUMMYFUNCTION("SPARKLINE({
IF(E498="""",0,E498),
IF(G498="""",0,G498),
IF(I498="""",0,I498),
IF(K498="""",0,K498),
IF(M498="""",0,M498),
IF(O498="""",0,O498),
IF(Q498="""",0,Q498)
})"),"")</f>
        <v/>
      </c>
      <c r="V498" s="8" t="e">
        <f t="array" aca="1" ref="V498" ca="1">IF($C$4="Giao",_xludf.Xlookup(C498,#REF!,#REF!,),_xludf.Xlookup(C498,#REF!,#REF!,))</f>
        <v>#NAME?</v>
      </c>
      <c r="W498" s="8">
        <f t="array" ref="W498">IF($C$4="Giao", _xludf.Xlookup(C498,#REF!,#REF!,),)</f>
        <v>0</v>
      </c>
      <c r="X498" s="9">
        <f t="shared" si="6"/>
        <v>0</v>
      </c>
      <c r="Y498" s="7"/>
      <c r="Z498" s="7"/>
    </row>
    <row r="499" spans="1:26" ht="13" x14ac:dyDescent="0.6">
      <c r="A499" s="28" t="str">
        <f t="shared" si="5"/>
        <v/>
      </c>
      <c r="B499" s="7"/>
      <c r="C499" s="7"/>
      <c r="D499" s="9"/>
      <c r="E499" s="9"/>
      <c r="F499" s="9"/>
      <c r="G499" s="9"/>
      <c r="H499" s="9"/>
      <c r="I499" s="9"/>
      <c r="J499" s="9"/>
      <c r="K499" s="9"/>
      <c r="L499" s="9"/>
      <c r="M499" s="9"/>
      <c r="N499" s="9"/>
      <c r="O499" s="9"/>
      <c r="P499" s="29"/>
      <c r="Q499" s="29"/>
      <c r="R499" s="7"/>
      <c r="S499" s="7"/>
      <c r="T499" s="7" t="str">
        <f ca="1">IFERROR(__xludf.DUMMYFUNCTION("SPARKLINE({
IF(D499="""",0,D499),
IF(F499="""",0,F499),
IF(H499="""",0,H499),
IF(J499="""",0,J499),
IF(L499="""",0,L499),
IF(N499="""",0,N499),
IF(P499="""",0,P499)
})"),"")</f>
        <v/>
      </c>
      <c r="U499" s="7" t="str">
        <f ca="1">IFERROR(__xludf.DUMMYFUNCTION("SPARKLINE({
IF(E499="""",0,E499),
IF(G499="""",0,G499),
IF(I499="""",0,I499),
IF(K499="""",0,K499),
IF(M499="""",0,M499),
IF(O499="""",0,O499),
IF(Q499="""",0,Q499)
})"),"")</f>
        <v/>
      </c>
      <c r="V499" s="8" t="e">
        <f t="array" aca="1" ref="V499" ca="1">IF($C$4="Giao",_xludf.Xlookup(C499,#REF!,#REF!,),_xludf.Xlookup(C499,#REF!,#REF!,))</f>
        <v>#NAME?</v>
      </c>
      <c r="W499" s="8">
        <f t="array" ref="W499">IF($C$4="Giao", _xludf.Xlookup(C499,#REF!,#REF!,),)</f>
        <v>0</v>
      </c>
      <c r="X499" s="9">
        <f t="shared" si="6"/>
        <v>0</v>
      </c>
      <c r="Y499" s="7"/>
      <c r="Z499" s="7"/>
    </row>
    <row r="500" spans="1:26" ht="13" x14ac:dyDescent="0.6">
      <c r="A500" s="28" t="str">
        <f t="shared" si="5"/>
        <v/>
      </c>
      <c r="B500" s="7"/>
      <c r="C500" s="7"/>
      <c r="D500" s="9"/>
      <c r="E500" s="9"/>
      <c r="F500" s="9"/>
      <c r="G500" s="9"/>
      <c r="H500" s="9"/>
      <c r="I500" s="9"/>
      <c r="J500" s="9"/>
      <c r="K500" s="9"/>
      <c r="L500" s="9"/>
      <c r="M500" s="9"/>
      <c r="N500" s="9"/>
      <c r="O500" s="9"/>
      <c r="P500" s="29"/>
      <c r="Q500" s="29"/>
      <c r="R500" s="7"/>
      <c r="S500" s="7"/>
      <c r="T500" s="7" t="str">
        <f ca="1">IFERROR(__xludf.DUMMYFUNCTION("SPARKLINE({
IF(D500="""",0,D500),
IF(F500="""",0,F500),
IF(H500="""",0,H500),
IF(J500="""",0,J500),
IF(L500="""",0,L500),
IF(N500="""",0,N500),
IF(P500="""",0,P500)
})"),"")</f>
        <v/>
      </c>
      <c r="U500" s="7" t="str">
        <f ca="1">IFERROR(__xludf.DUMMYFUNCTION("SPARKLINE({
IF(E500="""",0,E500),
IF(G500="""",0,G500),
IF(I500="""",0,I500),
IF(K500="""",0,K500),
IF(M500="""",0,M500),
IF(O500="""",0,O500),
IF(Q500="""",0,Q500)
})"),"")</f>
        <v/>
      </c>
      <c r="V500" s="8" t="e">
        <f t="array" aca="1" ref="V500" ca="1">IF($C$4="Giao",_xludf.Xlookup(C500,#REF!,#REF!,),_xludf.Xlookup(C500,#REF!,#REF!,))</f>
        <v>#NAME?</v>
      </c>
      <c r="W500" s="8">
        <f t="array" ref="W500">IF($C$4="Giao", _xludf.Xlookup(C500,#REF!,#REF!,),)</f>
        <v>0</v>
      </c>
      <c r="X500" s="9">
        <f t="shared" si="6"/>
        <v>0</v>
      </c>
      <c r="Y500" s="7"/>
      <c r="Z500" s="7"/>
    </row>
    <row r="501" spans="1:26" ht="13" x14ac:dyDescent="0.6">
      <c r="A501" s="28" t="str">
        <f t="shared" si="5"/>
        <v/>
      </c>
      <c r="B501" s="7"/>
      <c r="C501" s="7"/>
      <c r="D501" s="9"/>
      <c r="E501" s="9"/>
      <c r="F501" s="9"/>
      <c r="G501" s="9"/>
      <c r="H501" s="9"/>
      <c r="I501" s="9"/>
      <c r="J501" s="9"/>
      <c r="K501" s="9"/>
      <c r="L501" s="9"/>
      <c r="M501" s="9"/>
      <c r="N501" s="9"/>
      <c r="O501" s="9"/>
      <c r="P501" s="29"/>
      <c r="Q501" s="29"/>
      <c r="R501" s="7"/>
      <c r="S501" s="7"/>
      <c r="T501" s="7" t="str">
        <f ca="1">IFERROR(__xludf.DUMMYFUNCTION("SPARKLINE({
IF(D501="""",0,D501),
IF(F501="""",0,F501),
IF(H501="""",0,H501),
IF(J501="""",0,J501),
IF(L501="""",0,L501),
IF(N501="""",0,N501),
IF(P501="""",0,P501)
})"),"")</f>
        <v/>
      </c>
      <c r="U501" s="7" t="str">
        <f ca="1">IFERROR(__xludf.DUMMYFUNCTION("SPARKLINE({
IF(E501="""",0,E501),
IF(G501="""",0,G501),
IF(I501="""",0,I501),
IF(K501="""",0,K501),
IF(M501="""",0,M501),
IF(O501="""",0,O501),
IF(Q501="""",0,Q501)
})"),"")</f>
        <v/>
      </c>
      <c r="V501" s="8" t="e">
        <f t="array" aca="1" ref="V501" ca="1">IF($C$4="Giao",_xludf.Xlookup(C501,#REF!,#REF!,),_xludf.Xlookup(C501,#REF!,#REF!,))</f>
        <v>#NAME?</v>
      </c>
      <c r="W501" s="8">
        <f t="array" ref="W501">IF($C$4="Giao", _xludf.Xlookup(C501,#REF!,#REF!,),)</f>
        <v>0</v>
      </c>
      <c r="X501" s="9">
        <f t="shared" si="6"/>
        <v>0</v>
      </c>
      <c r="Y501" s="7"/>
      <c r="Z501" s="7"/>
    </row>
    <row r="502" spans="1:26" ht="13" x14ac:dyDescent="0.6">
      <c r="A502" s="28" t="str">
        <f t="shared" si="5"/>
        <v/>
      </c>
      <c r="B502" s="7"/>
      <c r="C502" s="7"/>
      <c r="D502" s="9"/>
      <c r="E502" s="9"/>
      <c r="F502" s="9"/>
      <c r="G502" s="9"/>
      <c r="H502" s="9"/>
      <c r="I502" s="9"/>
      <c r="J502" s="9"/>
      <c r="K502" s="9"/>
      <c r="L502" s="9"/>
      <c r="M502" s="9"/>
      <c r="N502" s="9"/>
      <c r="O502" s="9"/>
      <c r="P502" s="29"/>
      <c r="Q502" s="29"/>
      <c r="R502" s="7"/>
      <c r="S502" s="7"/>
      <c r="T502" s="7" t="str">
        <f ca="1">IFERROR(__xludf.DUMMYFUNCTION("SPARKLINE({
IF(D502="""",0,D502),
IF(F502="""",0,F502),
IF(H502="""",0,H502),
IF(J502="""",0,J502),
IF(L502="""",0,L502),
IF(N502="""",0,N502),
IF(P502="""",0,P502)
})"),"")</f>
        <v/>
      </c>
      <c r="U502" s="7" t="str">
        <f ca="1">IFERROR(__xludf.DUMMYFUNCTION("SPARKLINE({
IF(E502="""",0,E502),
IF(G502="""",0,G502),
IF(I502="""",0,I502),
IF(K502="""",0,K502),
IF(M502="""",0,M502),
IF(O502="""",0,O502),
IF(Q502="""",0,Q502)
})"),"")</f>
        <v/>
      </c>
      <c r="V502" s="8" t="e">
        <f t="array" aca="1" ref="V502" ca="1">IF($C$4="Giao",_xludf.Xlookup(C502,#REF!,#REF!,),_xludf.Xlookup(C502,#REF!,#REF!,))</f>
        <v>#NAME?</v>
      </c>
      <c r="W502" s="8">
        <f t="array" ref="W502">IF($C$4="Giao", _xludf.Xlookup(C502,#REF!,#REF!,),)</f>
        <v>0</v>
      </c>
      <c r="X502" s="9">
        <f t="shared" si="6"/>
        <v>0</v>
      </c>
      <c r="Y502" s="7"/>
      <c r="Z502" s="7"/>
    </row>
    <row r="503" spans="1:26" ht="13" x14ac:dyDescent="0.6">
      <c r="A503" s="28" t="str">
        <f t="shared" si="5"/>
        <v/>
      </c>
      <c r="B503" s="7"/>
      <c r="C503" s="7"/>
      <c r="D503" s="9"/>
      <c r="E503" s="9"/>
      <c r="F503" s="9"/>
      <c r="G503" s="9"/>
      <c r="H503" s="9"/>
      <c r="I503" s="9"/>
      <c r="J503" s="9"/>
      <c r="K503" s="9"/>
      <c r="L503" s="9"/>
      <c r="M503" s="9"/>
      <c r="N503" s="9"/>
      <c r="O503" s="9"/>
      <c r="P503" s="29"/>
      <c r="Q503" s="29"/>
      <c r="R503" s="7"/>
      <c r="S503" s="7"/>
      <c r="T503" s="7" t="str">
        <f ca="1">IFERROR(__xludf.DUMMYFUNCTION("SPARKLINE({
IF(D503="""",0,D503),
IF(F503="""",0,F503),
IF(H503="""",0,H503),
IF(J503="""",0,J503),
IF(L503="""",0,L503),
IF(N503="""",0,N503),
IF(P503="""",0,P503)
})"),"")</f>
        <v/>
      </c>
      <c r="U503" s="7" t="str">
        <f ca="1">IFERROR(__xludf.DUMMYFUNCTION("SPARKLINE({
IF(E503="""",0,E503),
IF(G503="""",0,G503),
IF(I503="""",0,I503),
IF(K503="""",0,K503),
IF(M503="""",0,M503),
IF(O503="""",0,O503),
IF(Q503="""",0,Q503)
})"),"")</f>
        <v/>
      </c>
      <c r="V503" s="8" t="e">
        <f t="array" aca="1" ref="V503" ca="1">IF($C$4="Giao",_xludf.Xlookup(C503,#REF!,#REF!,),_xludf.Xlookup(C503,#REF!,#REF!,))</f>
        <v>#NAME?</v>
      </c>
      <c r="W503" s="8">
        <f t="array" ref="W503">IF($C$4="Giao", _xludf.Xlookup(C503,#REF!,#REF!,),)</f>
        <v>0</v>
      </c>
      <c r="X503" s="9">
        <f t="shared" si="6"/>
        <v>0</v>
      </c>
      <c r="Y503" s="7"/>
      <c r="Z503" s="7"/>
    </row>
    <row r="504" spans="1:26" ht="13" x14ac:dyDescent="0.6">
      <c r="A504" s="28" t="str">
        <f t="shared" si="5"/>
        <v/>
      </c>
      <c r="B504" s="7"/>
      <c r="C504" s="7"/>
      <c r="D504" s="9"/>
      <c r="E504" s="9"/>
      <c r="F504" s="9"/>
      <c r="G504" s="9"/>
      <c r="H504" s="9"/>
      <c r="I504" s="9"/>
      <c r="J504" s="9"/>
      <c r="K504" s="9"/>
      <c r="L504" s="9"/>
      <c r="M504" s="9"/>
      <c r="N504" s="9"/>
      <c r="O504" s="9"/>
      <c r="P504" s="29"/>
      <c r="Q504" s="29"/>
      <c r="R504" s="7"/>
      <c r="S504" s="7"/>
      <c r="T504" s="7" t="str">
        <f ca="1">IFERROR(__xludf.DUMMYFUNCTION("SPARKLINE({
IF(D504="""",0,D504),
IF(F504="""",0,F504),
IF(H504="""",0,H504),
IF(J504="""",0,J504),
IF(L504="""",0,L504),
IF(N504="""",0,N504),
IF(P504="""",0,P504)
})"),"")</f>
        <v/>
      </c>
      <c r="U504" s="7" t="str">
        <f ca="1">IFERROR(__xludf.DUMMYFUNCTION("SPARKLINE({
IF(E504="""",0,E504),
IF(G504="""",0,G504),
IF(I504="""",0,I504),
IF(K504="""",0,K504),
IF(M504="""",0,M504),
IF(O504="""",0,O504),
IF(Q504="""",0,Q504)
})"),"")</f>
        <v/>
      </c>
      <c r="V504" s="8" t="e">
        <f t="array" aca="1" ref="V504" ca="1">IF($C$4="Giao",_xludf.Xlookup(C504,#REF!,#REF!,),_xludf.Xlookup(C504,#REF!,#REF!,))</f>
        <v>#NAME?</v>
      </c>
      <c r="W504" s="8">
        <f t="array" ref="W504">IF($C$4="Giao", _xludf.Xlookup(C504,#REF!,#REF!,),)</f>
        <v>0</v>
      </c>
      <c r="X504" s="9">
        <f t="shared" si="6"/>
        <v>0</v>
      </c>
      <c r="Y504" s="7"/>
      <c r="Z504" s="7"/>
    </row>
    <row r="505" spans="1:26" ht="13" x14ac:dyDescent="0.6">
      <c r="A505" s="28" t="str">
        <f t="shared" si="5"/>
        <v/>
      </c>
      <c r="B505" s="7"/>
      <c r="C505" s="7"/>
      <c r="D505" s="9"/>
      <c r="E505" s="9"/>
      <c r="F505" s="9"/>
      <c r="G505" s="9"/>
      <c r="H505" s="9"/>
      <c r="I505" s="9"/>
      <c r="J505" s="9"/>
      <c r="K505" s="9"/>
      <c r="L505" s="9"/>
      <c r="M505" s="9"/>
      <c r="N505" s="9"/>
      <c r="O505" s="9"/>
      <c r="P505" s="29"/>
      <c r="Q505" s="29"/>
      <c r="R505" s="7"/>
      <c r="S505" s="7"/>
      <c r="T505" s="7" t="str">
        <f ca="1">IFERROR(__xludf.DUMMYFUNCTION("SPARKLINE({
IF(D505="""",0,D505),
IF(F505="""",0,F505),
IF(H505="""",0,H505),
IF(J505="""",0,J505),
IF(L505="""",0,L505),
IF(N505="""",0,N505),
IF(P505="""",0,P505)
})"),"")</f>
        <v/>
      </c>
      <c r="U505" s="7" t="str">
        <f ca="1">IFERROR(__xludf.DUMMYFUNCTION("SPARKLINE({
IF(E505="""",0,E505),
IF(G505="""",0,G505),
IF(I505="""",0,I505),
IF(K505="""",0,K505),
IF(M505="""",0,M505),
IF(O505="""",0,O505),
IF(Q505="""",0,Q505)
})"),"")</f>
        <v/>
      </c>
      <c r="V505" s="8" t="e">
        <f t="array" aca="1" ref="V505" ca="1">IF($C$4="Giao",_xludf.Xlookup(C505,#REF!,#REF!,),_xludf.Xlookup(C505,#REF!,#REF!,))</f>
        <v>#NAME?</v>
      </c>
      <c r="W505" s="8">
        <f t="array" ref="W505">IF($C$4="Giao", _xludf.Xlookup(C505,#REF!,#REF!,),)</f>
        <v>0</v>
      </c>
      <c r="X505" s="9">
        <f t="shared" si="6"/>
        <v>0</v>
      </c>
      <c r="Y505" s="7"/>
      <c r="Z505" s="7"/>
    </row>
    <row r="506" spans="1:26" ht="13" x14ac:dyDescent="0.6">
      <c r="A506" s="28" t="str">
        <f t="shared" si="5"/>
        <v/>
      </c>
      <c r="B506" s="7"/>
      <c r="C506" s="7"/>
      <c r="D506" s="9"/>
      <c r="E506" s="9"/>
      <c r="F506" s="9"/>
      <c r="G506" s="9"/>
      <c r="H506" s="9"/>
      <c r="I506" s="9"/>
      <c r="J506" s="9"/>
      <c r="K506" s="9"/>
      <c r="L506" s="9"/>
      <c r="M506" s="9"/>
      <c r="N506" s="9"/>
      <c r="O506" s="9"/>
      <c r="P506" s="29"/>
      <c r="Q506" s="29"/>
      <c r="R506" s="7"/>
      <c r="S506" s="7"/>
      <c r="T506" s="7" t="str">
        <f ca="1">IFERROR(__xludf.DUMMYFUNCTION("SPARKLINE({
IF(D506="""",0,D506),
IF(F506="""",0,F506),
IF(H506="""",0,H506),
IF(J506="""",0,J506),
IF(L506="""",0,L506),
IF(N506="""",0,N506),
IF(P506="""",0,P506)
})"),"")</f>
        <v/>
      </c>
      <c r="U506" s="7" t="str">
        <f ca="1">IFERROR(__xludf.DUMMYFUNCTION("SPARKLINE({
IF(E506="""",0,E506),
IF(G506="""",0,G506),
IF(I506="""",0,I506),
IF(K506="""",0,K506),
IF(M506="""",0,M506),
IF(O506="""",0,O506),
IF(Q506="""",0,Q506)
})"),"")</f>
        <v/>
      </c>
      <c r="V506" s="8" t="e">
        <f t="array" aca="1" ref="V506" ca="1">IF($C$4="Giao",_xludf.Xlookup(C506,#REF!,#REF!,),_xludf.Xlookup(C506,#REF!,#REF!,))</f>
        <v>#NAME?</v>
      </c>
      <c r="W506" s="8">
        <f t="array" ref="W506">IF($C$4="Giao", _xludf.Xlookup(C506,#REF!,#REF!,),)</f>
        <v>0</v>
      </c>
      <c r="X506" s="9">
        <f t="shared" si="6"/>
        <v>0</v>
      </c>
      <c r="Y506" s="7"/>
      <c r="Z506" s="7"/>
    </row>
    <row r="507" spans="1:26" ht="13" x14ac:dyDescent="0.6">
      <c r="A507" s="28" t="str">
        <f t="shared" si="5"/>
        <v/>
      </c>
      <c r="B507" s="7"/>
      <c r="C507" s="7"/>
      <c r="D507" s="9"/>
      <c r="E507" s="9"/>
      <c r="F507" s="9"/>
      <c r="G507" s="9"/>
      <c r="H507" s="9"/>
      <c r="I507" s="9"/>
      <c r="J507" s="9"/>
      <c r="K507" s="9"/>
      <c r="L507" s="9"/>
      <c r="M507" s="9"/>
      <c r="N507" s="9"/>
      <c r="O507" s="9"/>
      <c r="P507" s="29"/>
      <c r="Q507" s="29"/>
      <c r="R507" s="7"/>
      <c r="S507" s="7"/>
      <c r="T507" s="7" t="str">
        <f ca="1">IFERROR(__xludf.DUMMYFUNCTION("SPARKLINE({
IF(D507="""",0,D507),
IF(F507="""",0,F507),
IF(H507="""",0,H507),
IF(J507="""",0,J507),
IF(L507="""",0,L507),
IF(N507="""",0,N507),
IF(P507="""",0,P507)
})"),"")</f>
        <v/>
      </c>
      <c r="U507" s="7" t="str">
        <f ca="1">IFERROR(__xludf.DUMMYFUNCTION("SPARKLINE({
IF(E507="""",0,E507),
IF(G507="""",0,G507),
IF(I507="""",0,I507),
IF(K507="""",0,K507),
IF(M507="""",0,M507),
IF(O507="""",0,O507),
IF(Q507="""",0,Q507)
})"),"")</f>
        <v/>
      </c>
      <c r="V507" s="8" t="e">
        <f t="array" aca="1" ref="V507" ca="1">IF($C$4="Giao",_xludf.Xlookup(C507,#REF!,#REF!,),_xludf.Xlookup(C507,#REF!,#REF!,))</f>
        <v>#NAME?</v>
      </c>
      <c r="W507" s="8">
        <f t="array" ref="W507">IF($C$4="Giao", _xludf.Xlookup(C507,#REF!,#REF!,),)</f>
        <v>0</v>
      </c>
      <c r="X507" s="9">
        <f t="shared" si="6"/>
        <v>0</v>
      </c>
      <c r="Y507" s="7"/>
      <c r="Z507" s="7"/>
    </row>
    <row r="508" spans="1:26" ht="13" x14ac:dyDescent="0.6">
      <c r="A508" s="28" t="str">
        <f t="shared" si="5"/>
        <v/>
      </c>
      <c r="B508" s="7"/>
      <c r="C508" s="7"/>
      <c r="D508" s="9"/>
      <c r="E508" s="9"/>
      <c r="F508" s="9"/>
      <c r="G508" s="9"/>
      <c r="H508" s="9"/>
      <c r="I508" s="9"/>
      <c r="J508" s="9"/>
      <c r="K508" s="9"/>
      <c r="L508" s="9"/>
      <c r="M508" s="9"/>
      <c r="N508" s="9"/>
      <c r="O508" s="9"/>
      <c r="P508" s="29"/>
      <c r="Q508" s="29"/>
      <c r="R508" s="7"/>
      <c r="S508" s="7"/>
      <c r="T508" s="7" t="str">
        <f ca="1">IFERROR(__xludf.DUMMYFUNCTION("SPARKLINE({
IF(D508="""",0,D508),
IF(F508="""",0,F508),
IF(H508="""",0,H508),
IF(J508="""",0,J508),
IF(L508="""",0,L508),
IF(N508="""",0,N508),
IF(P508="""",0,P508)
})"),"")</f>
        <v/>
      </c>
      <c r="U508" s="7" t="str">
        <f ca="1">IFERROR(__xludf.DUMMYFUNCTION("SPARKLINE({
IF(E508="""",0,E508),
IF(G508="""",0,G508),
IF(I508="""",0,I508),
IF(K508="""",0,K508),
IF(M508="""",0,M508),
IF(O508="""",0,O508),
IF(Q508="""",0,Q508)
})"),"")</f>
        <v/>
      </c>
      <c r="V508" s="8" t="e">
        <f t="array" aca="1" ref="V508" ca="1">IF($C$4="Giao",_xludf.Xlookup(C508,#REF!,#REF!,),_xludf.Xlookup(C508,#REF!,#REF!,))</f>
        <v>#NAME?</v>
      </c>
      <c r="W508" s="8">
        <f t="array" ref="W508">IF($C$4="Giao", _xludf.Xlookup(C508,#REF!,#REF!,),)</f>
        <v>0</v>
      </c>
      <c r="X508" s="9">
        <f t="shared" si="6"/>
        <v>0</v>
      </c>
      <c r="Y508" s="7"/>
      <c r="Z508" s="7"/>
    </row>
    <row r="509" spans="1:26" ht="13" x14ac:dyDescent="0.6">
      <c r="A509" s="28" t="str">
        <f t="shared" si="5"/>
        <v/>
      </c>
      <c r="B509" s="7"/>
      <c r="C509" s="7"/>
      <c r="D509" s="9"/>
      <c r="E509" s="9"/>
      <c r="F509" s="9"/>
      <c r="G509" s="9"/>
      <c r="H509" s="9"/>
      <c r="I509" s="9"/>
      <c r="J509" s="9"/>
      <c r="K509" s="9"/>
      <c r="L509" s="9"/>
      <c r="M509" s="9"/>
      <c r="N509" s="9"/>
      <c r="O509" s="9"/>
      <c r="P509" s="29"/>
      <c r="Q509" s="29"/>
      <c r="R509" s="7"/>
      <c r="S509" s="7"/>
      <c r="T509" s="7" t="str">
        <f ca="1">IFERROR(__xludf.DUMMYFUNCTION("SPARKLINE({
IF(D509="""",0,D509),
IF(F509="""",0,F509),
IF(H509="""",0,H509),
IF(J509="""",0,J509),
IF(L509="""",0,L509),
IF(N509="""",0,N509),
IF(P509="""",0,P509)
})"),"")</f>
        <v/>
      </c>
      <c r="U509" s="7" t="str">
        <f ca="1">IFERROR(__xludf.DUMMYFUNCTION("SPARKLINE({
IF(E509="""",0,E509),
IF(G509="""",0,G509),
IF(I509="""",0,I509),
IF(K509="""",0,K509),
IF(M509="""",0,M509),
IF(O509="""",0,O509),
IF(Q509="""",0,Q509)
})"),"")</f>
        <v/>
      </c>
      <c r="V509" s="8" t="e">
        <f t="array" aca="1" ref="V509" ca="1">IF($C$4="Giao",_xludf.Xlookup(C509,#REF!,#REF!,),_xludf.Xlookup(C509,#REF!,#REF!,))</f>
        <v>#NAME?</v>
      </c>
      <c r="W509" s="8">
        <f t="array" ref="W509">IF($C$4="Giao", _xludf.Xlookup(C509,#REF!,#REF!,),)</f>
        <v>0</v>
      </c>
      <c r="X509" s="9">
        <f t="shared" si="6"/>
        <v>0</v>
      </c>
      <c r="Y509" s="7"/>
      <c r="Z509" s="7"/>
    </row>
    <row r="510" spans="1:26" ht="13" x14ac:dyDescent="0.6">
      <c r="A510" s="28" t="str">
        <f t="shared" si="5"/>
        <v/>
      </c>
      <c r="B510" s="7"/>
      <c r="C510" s="7"/>
      <c r="D510" s="9"/>
      <c r="E510" s="9"/>
      <c r="F510" s="9"/>
      <c r="G510" s="9"/>
      <c r="H510" s="9"/>
      <c r="I510" s="9"/>
      <c r="J510" s="9"/>
      <c r="K510" s="9"/>
      <c r="L510" s="9"/>
      <c r="M510" s="9"/>
      <c r="N510" s="9"/>
      <c r="O510" s="9"/>
      <c r="P510" s="29"/>
      <c r="Q510" s="29"/>
      <c r="R510" s="7"/>
      <c r="S510" s="7"/>
      <c r="T510" s="7" t="str">
        <f ca="1">IFERROR(__xludf.DUMMYFUNCTION("SPARKLINE({
IF(D510="""",0,D510),
IF(F510="""",0,F510),
IF(H510="""",0,H510),
IF(J510="""",0,J510),
IF(L510="""",0,L510),
IF(N510="""",0,N510),
IF(P510="""",0,P510)
})"),"")</f>
        <v/>
      </c>
      <c r="U510" s="7" t="str">
        <f ca="1">IFERROR(__xludf.DUMMYFUNCTION("SPARKLINE({
IF(E510="""",0,E510),
IF(G510="""",0,G510),
IF(I510="""",0,I510),
IF(K510="""",0,K510),
IF(M510="""",0,M510),
IF(O510="""",0,O510),
IF(Q510="""",0,Q510)
})"),"")</f>
        <v/>
      </c>
      <c r="V510" s="8" t="e">
        <f t="array" aca="1" ref="V510" ca="1">IF($C$4="Giao",_xludf.Xlookup(C510,#REF!,#REF!,),_xludf.Xlookup(C510,#REF!,#REF!,))</f>
        <v>#NAME?</v>
      </c>
      <c r="W510" s="8">
        <f t="array" ref="W510">IF($C$4="Giao", _xludf.Xlookup(C510,#REF!,#REF!,),)</f>
        <v>0</v>
      </c>
      <c r="X510" s="9">
        <f t="shared" si="6"/>
        <v>0</v>
      </c>
      <c r="Y510" s="7"/>
      <c r="Z510" s="7"/>
    </row>
    <row r="511" spans="1:26" ht="13" x14ac:dyDescent="0.6">
      <c r="A511" s="28" t="str">
        <f t="shared" si="5"/>
        <v/>
      </c>
      <c r="B511" s="7"/>
      <c r="C511" s="7"/>
      <c r="D511" s="9"/>
      <c r="E511" s="9"/>
      <c r="F511" s="9"/>
      <c r="G511" s="9"/>
      <c r="H511" s="9"/>
      <c r="I511" s="9"/>
      <c r="J511" s="9"/>
      <c r="K511" s="9"/>
      <c r="L511" s="9"/>
      <c r="M511" s="9"/>
      <c r="N511" s="9"/>
      <c r="O511" s="9"/>
      <c r="P511" s="29"/>
      <c r="Q511" s="29"/>
      <c r="R511" s="7"/>
      <c r="S511" s="7"/>
      <c r="T511" s="7" t="str">
        <f ca="1">IFERROR(__xludf.DUMMYFUNCTION("SPARKLINE({
IF(D511="""",0,D511),
IF(F511="""",0,F511),
IF(H511="""",0,H511),
IF(J511="""",0,J511),
IF(L511="""",0,L511),
IF(N511="""",0,N511),
IF(P511="""",0,P511)
})"),"")</f>
        <v/>
      </c>
      <c r="U511" s="7" t="str">
        <f ca="1">IFERROR(__xludf.DUMMYFUNCTION("SPARKLINE({
IF(E511="""",0,E511),
IF(G511="""",0,G511),
IF(I511="""",0,I511),
IF(K511="""",0,K511),
IF(M511="""",0,M511),
IF(O511="""",0,O511),
IF(Q511="""",0,Q511)
})"),"")</f>
        <v/>
      </c>
      <c r="V511" s="8" t="e">
        <f t="array" aca="1" ref="V511" ca="1">IF($C$4="Giao",_xludf.Xlookup(C511,#REF!,#REF!,),_xludf.Xlookup(C511,#REF!,#REF!,))</f>
        <v>#NAME?</v>
      </c>
      <c r="W511" s="8">
        <f t="array" ref="W511">IF($C$4="Giao", _xludf.Xlookup(C511,#REF!,#REF!,),)</f>
        <v>0</v>
      </c>
      <c r="X511" s="9">
        <f t="shared" si="6"/>
        <v>0</v>
      </c>
      <c r="Y511" s="7"/>
      <c r="Z511" s="7"/>
    </row>
    <row r="512" spans="1:26" ht="13" x14ac:dyDescent="0.6">
      <c r="A512" s="28" t="str">
        <f t="shared" si="5"/>
        <v/>
      </c>
      <c r="B512" s="7"/>
      <c r="C512" s="7"/>
      <c r="D512" s="9"/>
      <c r="E512" s="9"/>
      <c r="F512" s="9"/>
      <c r="G512" s="9"/>
      <c r="H512" s="9"/>
      <c r="I512" s="9"/>
      <c r="J512" s="9"/>
      <c r="K512" s="9"/>
      <c r="L512" s="9"/>
      <c r="M512" s="9"/>
      <c r="N512" s="9"/>
      <c r="O512" s="9"/>
      <c r="P512" s="29"/>
      <c r="Q512" s="29"/>
      <c r="R512" s="7"/>
      <c r="S512" s="7"/>
      <c r="T512" s="7" t="str">
        <f ca="1">IFERROR(__xludf.DUMMYFUNCTION("SPARKLINE({
IF(D512="""",0,D512),
IF(F512="""",0,F512),
IF(H512="""",0,H512),
IF(J512="""",0,J512),
IF(L512="""",0,L512),
IF(N512="""",0,N512),
IF(P512="""",0,P512)
})"),"")</f>
        <v/>
      </c>
      <c r="U512" s="7" t="str">
        <f ca="1">IFERROR(__xludf.DUMMYFUNCTION("SPARKLINE({
IF(E512="""",0,E512),
IF(G512="""",0,G512),
IF(I512="""",0,I512),
IF(K512="""",0,K512),
IF(M512="""",0,M512),
IF(O512="""",0,O512),
IF(Q512="""",0,Q512)
})"),"")</f>
        <v/>
      </c>
      <c r="V512" s="8" t="e">
        <f t="array" aca="1" ref="V512" ca="1">IF($C$4="Giao",_xludf.Xlookup(C512,#REF!,#REF!,),_xludf.Xlookup(C512,#REF!,#REF!,))</f>
        <v>#NAME?</v>
      </c>
      <c r="W512" s="8">
        <f t="array" ref="W512">IF($C$4="Giao", _xludf.Xlookup(C512,#REF!,#REF!,),)</f>
        <v>0</v>
      </c>
      <c r="X512" s="9">
        <f t="shared" si="6"/>
        <v>0</v>
      </c>
      <c r="Y512" s="7"/>
      <c r="Z512" s="7"/>
    </row>
    <row r="513" spans="1:26" ht="13" x14ac:dyDescent="0.6">
      <c r="A513" s="28" t="str">
        <f t="shared" si="5"/>
        <v/>
      </c>
      <c r="B513" s="7"/>
      <c r="C513" s="7"/>
      <c r="D513" s="9"/>
      <c r="E513" s="9"/>
      <c r="F513" s="9"/>
      <c r="G513" s="9"/>
      <c r="H513" s="9"/>
      <c r="I513" s="9"/>
      <c r="J513" s="9"/>
      <c r="K513" s="9"/>
      <c r="L513" s="9"/>
      <c r="M513" s="9"/>
      <c r="N513" s="9"/>
      <c r="O513" s="9"/>
      <c r="P513" s="29"/>
      <c r="Q513" s="29"/>
      <c r="R513" s="7"/>
      <c r="S513" s="7"/>
      <c r="T513" s="7" t="str">
        <f ca="1">IFERROR(__xludf.DUMMYFUNCTION("SPARKLINE({
IF(D513="""",0,D513),
IF(F513="""",0,F513),
IF(H513="""",0,H513),
IF(J513="""",0,J513),
IF(L513="""",0,L513),
IF(N513="""",0,N513),
IF(P513="""",0,P513)
})"),"")</f>
        <v/>
      </c>
      <c r="U513" s="7" t="str">
        <f ca="1">IFERROR(__xludf.DUMMYFUNCTION("SPARKLINE({
IF(E513="""",0,E513),
IF(G513="""",0,G513),
IF(I513="""",0,I513),
IF(K513="""",0,K513),
IF(M513="""",0,M513),
IF(O513="""",0,O513),
IF(Q513="""",0,Q513)
})"),"")</f>
        <v/>
      </c>
      <c r="V513" s="8" t="e">
        <f t="array" aca="1" ref="V513" ca="1">IF($C$4="Giao",_xludf.Xlookup(C513,#REF!,#REF!,),_xludf.Xlookup(C513,#REF!,#REF!,))</f>
        <v>#NAME?</v>
      </c>
      <c r="W513" s="8">
        <f t="array" ref="W513">IF($C$4="Giao", _xludf.Xlookup(C513,#REF!,#REF!,),)</f>
        <v>0</v>
      </c>
      <c r="X513" s="9">
        <f t="shared" si="6"/>
        <v>0</v>
      </c>
      <c r="Y513" s="7"/>
      <c r="Z513" s="7"/>
    </row>
    <row r="514" spans="1:26" ht="13" x14ac:dyDescent="0.6">
      <c r="A514" s="28" t="str">
        <f t="shared" si="5"/>
        <v/>
      </c>
      <c r="B514" s="7"/>
      <c r="C514" s="7"/>
      <c r="D514" s="9"/>
      <c r="E514" s="9"/>
      <c r="F514" s="9"/>
      <c r="G514" s="9"/>
      <c r="H514" s="9"/>
      <c r="I514" s="9"/>
      <c r="J514" s="9"/>
      <c r="K514" s="9"/>
      <c r="L514" s="9"/>
      <c r="M514" s="9"/>
      <c r="N514" s="9"/>
      <c r="O514" s="9"/>
      <c r="P514" s="29"/>
      <c r="Q514" s="29"/>
      <c r="R514" s="7"/>
      <c r="S514" s="7"/>
      <c r="T514" s="7" t="str">
        <f ca="1">IFERROR(__xludf.DUMMYFUNCTION("SPARKLINE({
IF(D514="""",0,D514),
IF(F514="""",0,F514),
IF(H514="""",0,H514),
IF(J514="""",0,J514),
IF(L514="""",0,L514),
IF(N514="""",0,N514),
IF(P514="""",0,P514)
})"),"")</f>
        <v/>
      </c>
      <c r="U514" s="7" t="str">
        <f ca="1">IFERROR(__xludf.DUMMYFUNCTION("SPARKLINE({
IF(E514="""",0,E514),
IF(G514="""",0,G514),
IF(I514="""",0,I514),
IF(K514="""",0,K514),
IF(M514="""",0,M514),
IF(O514="""",0,O514),
IF(Q514="""",0,Q514)
})"),"")</f>
        <v/>
      </c>
      <c r="V514" s="8" t="e">
        <f t="array" aca="1" ref="V514" ca="1">IF($C$4="Giao",_xludf.Xlookup(C514,#REF!,#REF!,),_xludf.Xlookup(C514,#REF!,#REF!,))</f>
        <v>#NAME?</v>
      </c>
      <c r="W514" s="8">
        <f t="array" ref="W514">IF($C$4="Giao", _xludf.Xlookup(C514,#REF!,#REF!,),)</f>
        <v>0</v>
      </c>
      <c r="X514" s="9">
        <f t="shared" si="6"/>
        <v>0</v>
      </c>
      <c r="Y514" s="7"/>
      <c r="Z514" s="7"/>
    </row>
    <row r="515" spans="1:26" ht="13" x14ac:dyDescent="0.6">
      <c r="A515" s="28" t="str">
        <f t="shared" si="5"/>
        <v/>
      </c>
      <c r="B515" s="7"/>
      <c r="C515" s="7"/>
      <c r="D515" s="9"/>
      <c r="E515" s="9"/>
      <c r="F515" s="9"/>
      <c r="G515" s="9"/>
      <c r="H515" s="9"/>
      <c r="I515" s="9"/>
      <c r="J515" s="9"/>
      <c r="K515" s="9"/>
      <c r="L515" s="9"/>
      <c r="M515" s="9"/>
      <c r="N515" s="9"/>
      <c r="O515" s="9"/>
      <c r="P515" s="29"/>
      <c r="Q515" s="29"/>
      <c r="R515" s="7"/>
      <c r="S515" s="7"/>
      <c r="T515" s="7" t="str">
        <f ca="1">IFERROR(__xludf.DUMMYFUNCTION("SPARKLINE({
IF(D515="""",0,D515),
IF(F515="""",0,F515),
IF(H515="""",0,H515),
IF(J515="""",0,J515),
IF(L515="""",0,L515),
IF(N515="""",0,N515),
IF(P515="""",0,P515)
})"),"")</f>
        <v/>
      </c>
      <c r="U515" s="7" t="str">
        <f ca="1">IFERROR(__xludf.DUMMYFUNCTION("SPARKLINE({
IF(E515="""",0,E515),
IF(G515="""",0,G515),
IF(I515="""",0,I515),
IF(K515="""",0,K515),
IF(M515="""",0,M515),
IF(O515="""",0,O515),
IF(Q515="""",0,Q515)
})"),"")</f>
        <v/>
      </c>
      <c r="V515" s="8" t="e">
        <f t="array" aca="1" ref="V515" ca="1">IF($C$4="Giao",_xludf.Xlookup(C515,#REF!,#REF!,),_xludf.Xlookup(C515,#REF!,#REF!,))</f>
        <v>#NAME?</v>
      </c>
      <c r="W515" s="8">
        <f t="array" ref="W515">IF($C$4="Giao", _xludf.Xlookup(C515,#REF!,#REF!,),)</f>
        <v>0</v>
      </c>
      <c r="X515" s="9">
        <f t="shared" si="6"/>
        <v>0</v>
      </c>
      <c r="Y515" s="7"/>
      <c r="Z515" s="7"/>
    </row>
    <row r="516" spans="1:26" ht="13" x14ac:dyDescent="0.6">
      <c r="A516" s="28" t="str">
        <f t="shared" si="5"/>
        <v/>
      </c>
      <c r="B516" s="7"/>
      <c r="C516" s="7"/>
      <c r="D516" s="9"/>
      <c r="E516" s="9"/>
      <c r="F516" s="9"/>
      <c r="G516" s="9"/>
      <c r="H516" s="9"/>
      <c r="I516" s="9"/>
      <c r="J516" s="9"/>
      <c r="K516" s="9"/>
      <c r="L516" s="9"/>
      <c r="M516" s="9"/>
      <c r="N516" s="9"/>
      <c r="O516" s="9"/>
      <c r="P516" s="29"/>
      <c r="Q516" s="29"/>
      <c r="R516" s="7"/>
      <c r="S516" s="7"/>
      <c r="T516" s="7" t="str">
        <f ca="1">IFERROR(__xludf.DUMMYFUNCTION("SPARKLINE({
IF(D516="""",0,D516),
IF(F516="""",0,F516),
IF(H516="""",0,H516),
IF(J516="""",0,J516),
IF(L516="""",0,L516),
IF(N516="""",0,N516),
IF(P516="""",0,P516)
})"),"")</f>
        <v/>
      </c>
      <c r="U516" s="7" t="str">
        <f ca="1">IFERROR(__xludf.DUMMYFUNCTION("SPARKLINE({
IF(E516="""",0,E516),
IF(G516="""",0,G516),
IF(I516="""",0,I516),
IF(K516="""",0,K516),
IF(M516="""",0,M516),
IF(O516="""",0,O516),
IF(Q516="""",0,Q516)
})"),"")</f>
        <v/>
      </c>
      <c r="V516" s="8" t="e">
        <f t="array" aca="1" ref="V516" ca="1">IF($C$4="Giao",_xludf.Xlookup(C516,#REF!,#REF!,),_xludf.Xlookup(C516,#REF!,#REF!,))</f>
        <v>#NAME?</v>
      </c>
      <c r="W516" s="8">
        <f t="array" ref="W516">IF($C$4="Giao", _xludf.Xlookup(C516,#REF!,#REF!,),)</f>
        <v>0</v>
      </c>
      <c r="X516" s="9">
        <f t="shared" si="6"/>
        <v>0</v>
      </c>
      <c r="Y516" s="7"/>
      <c r="Z516" s="7"/>
    </row>
    <row r="517" spans="1:26" ht="13" x14ac:dyDescent="0.6">
      <c r="A517" s="28" t="str">
        <f t="shared" si="5"/>
        <v/>
      </c>
      <c r="B517" s="7"/>
      <c r="C517" s="7"/>
      <c r="D517" s="9"/>
      <c r="E517" s="9"/>
      <c r="F517" s="9"/>
      <c r="G517" s="9"/>
      <c r="H517" s="9"/>
      <c r="I517" s="9"/>
      <c r="J517" s="9"/>
      <c r="K517" s="9"/>
      <c r="L517" s="9"/>
      <c r="M517" s="9"/>
      <c r="N517" s="9"/>
      <c r="O517" s="9"/>
      <c r="P517" s="29"/>
      <c r="Q517" s="29"/>
      <c r="R517" s="7"/>
      <c r="S517" s="7"/>
      <c r="T517" s="7" t="str">
        <f ca="1">IFERROR(__xludf.DUMMYFUNCTION("SPARKLINE({
IF(D517="""",0,D517),
IF(F517="""",0,F517),
IF(H517="""",0,H517),
IF(J517="""",0,J517),
IF(L517="""",0,L517),
IF(N517="""",0,N517),
IF(P517="""",0,P517)
})"),"")</f>
        <v/>
      </c>
      <c r="U517" s="7" t="str">
        <f ca="1">IFERROR(__xludf.DUMMYFUNCTION("SPARKLINE({
IF(E517="""",0,E517),
IF(G517="""",0,G517),
IF(I517="""",0,I517),
IF(K517="""",0,K517),
IF(M517="""",0,M517),
IF(O517="""",0,O517),
IF(Q517="""",0,Q517)
})"),"")</f>
        <v/>
      </c>
      <c r="V517" s="8" t="e">
        <f t="array" aca="1" ref="V517" ca="1">IF($C$4="Giao",_xludf.Xlookup(C517,#REF!,#REF!,),_xludf.Xlookup(C517,#REF!,#REF!,))</f>
        <v>#NAME?</v>
      </c>
      <c r="W517" s="8">
        <f t="array" ref="W517">IF($C$4="Giao", _xludf.Xlookup(C517,#REF!,#REF!,),)</f>
        <v>0</v>
      </c>
      <c r="X517" s="9">
        <f t="shared" si="6"/>
        <v>0</v>
      </c>
      <c r="Y517" s="7"/>
      <c r="Z517" s="7"/>
    </row>
    <row r="518" spans="1:26" ht="13" x14ac:dyDescent="0.6">
      <c r="A518" s="28" t="str">
        <f t="shared" ref="A518:A772" si="7">IF(B518="","",COUNTA($B$8:B518))</f>
        <v/>
      </c>
      <c r="B518" s="7"/>
      <c r="C518" s="7"/>
      <c r="D518" s="9"/>
      <c r="E518" s="9"/>
      <c r="F518" s="9"/>
      <c r="G518" s="9"/>
      <c r="H518" s="9"/>
      <c r="I518" s="9"/>
      <c r="J518" s="9"/>
      <c r="K518" s="9"/>
      <c r="L518" s="9"/>
      <c r="M518" s="9"/>
      <c r="N518" s="9"/>
      <c r="O518" s="9"/>
      <c r="P518" s="29"/>
      <c r="Q518" s="29"/>
      <c r="R518" s="7"/>
      <c r="S518" s="7"/>
      <c r="T518" s="7" t="str">
        <f ca="1">IFERROR(__xludf.DUMMYFUNCTION("SPARKLINE({
IF(D518="""",0,D518),
IF(F518="""",0,F518),
IF(H518="""",0,H518),
IF(J518="""",0,J518),
IF(L518="""",0,L518),
IF(N518="""",0,N518),
IF(P518="""",0,P518)
})"),"")</f>
        <v/>
      </c>
      <c r="U518" s="7" t="str">
        <f ca="1">IFERROR(__xludf.DUMMYFUNCTION("SPARKLINE({
IF(E518="""",0,E518),
IF(G518="""",0,G518),
IF(I518="""",0,I518),
IF(K518="""",0,K518),
IF(M518="""",0,M518),
IF(O518="""",0,O518),
IF(Q518="""",0,Q518)
})"),"")</f>
        <v/>
      </c>
      <c r="V518" s="8" t="e">
        <f t="array" aca="1" ref="V518" ca="1">IF($C$4="Giao",_xludf.Xlookup(C518,#REF!,#REF!,),_xludf.Xlookup(C518,#REF!,#REF!,))</f>
        <v>#NAME?</v>
      </c>
      <c r="W518" s="8">
        <f t="array" ref="W518">IF($C$4="Giao", _xludf.Xlookup(C518,#REF!,#REF!,),)</f>
        <v>0</v>
      </c>
      <c r="X518" s="9">
        <f t="shared" ref="X518:X772" si="8">W518*1.08</f>
        <v>0</v>
      </c>
      <c r="Y518" s="7"/>
      <c r="Z518" s="7"/>
    </row>
    <row r="519" spans="1:26" ht="13" x14ac:dyDescent="0.6">
      <c r="A519" s="28" t="str">
        <f t="shared" si="7"/>
        <v/>
      </c>
      <c r="B519" s="7"/>
      <c r="C519" s="7"/>
      <c r="D519" s="9"/>
      <c r="E519" s="9"/>
      <c r="F519" s="9"/>
      <c r="G519" s="9"/>
      <c r="H519" s="9"/>
      <c r="I519" s="9"/>
      <c r="J519" s="9"/>
      <c r="K519" s="9"/>
      <c r="L519" s="9"/>
      <c r="M519" s="9"/>
      <c r="N519" s="9"/>
      <c r="O519" s="9"/>
      <c r="P519" s="29"/>
      <c r="Q519" s="29"/>
      <c r="R519" s="7"/>
      <c r="S519" s="7"/>
      <c r="T519" s="7" t="str">
        <f ca="1">IFERROR(__xludf.DUMMYFUNCTION("SPARKLINE({
IF(D519="""",0,D519),
IF(F519="""",0,F519),
IF(H519="""",0,H519),
IF(J519="""",0,J519),
IF(L519="""",0,L519),
IF(N519="""",0,N519),
IF(P519="""",0,P519)
})"),"")</f>
        <v/>
      </c>
      <c r="U519" s="7" t="str">
        <f ca="1">IFERROR(__xludf.DUMMYFUNCTION("SPARKLINE({
IF(E519="""",0,E519),
IF(G519="""",0,G519),
IF(I519="""",0,I519),
IF(K519="""",0,K519),
IF(M519="""",0,M519),
IF(O519="""",0,O519),
IF(Q519="""",0,Q519)
})"),"")</f>
        <v/>
      </c>
      <c r="V519" s="8" t="e">
        <f t="array" aca="1" ref="V519" ca="1">IF($C$4="Giao",_xludf.Xlookup(C519,#REF!,#REF!,),_xludf.Xlookup(C519,#REF!,#REF!,))</f>
        <v>#NAME?</v>
      </c>
      <c r="W519" s="8">
        <f t="array" ref="W519">IF($C$4="Giao", _xludf.Xlookup(C519,#REF!,#REF!,),)</f>
        <v>0</v>
      </c>
      <c r="X519" s="9">
        <f t="shared" si="8"/>
        <v>0</v>
      </c>
      <c r="Y519" s="7"/>
      <c r="Z519" s="7"/>
    </row>
    <row r="520" spans="1:26" ht="13" x14ac:dyDescent="0.6">
      <c r="A520" s="28" t="str">
        <f t="shared" si="7"/>
        <v/>
      </c>
      <c r="B520" s="7"/>
      <c r="C520" s="7"/>
      <c r="D520" s="9"/>
      <c r="E520" s="9"/>
      <c r="F520" s="9"/>
      <c r="G520" s="9"/>
      <c r="H520" s="9"/>
      <c r="I520" s="9"/>
      <c r="J520" s="9"/>
      <c r="K520" s="9"/>
      <c r="L520" s="9"/>
      <c r="M520" s="9"/>
      <c r="N520" s="9"/>
      <c r="O520" s="9"/>
      <c r="P520" s="29"/>
      <c r="Q520" s="29"/>
      <c r="R520" s="7"/>
      <c r="S520" s="7"/>
      <c r="T520" s="7" t="str">
        <f ca="1">IFERROR(__xludf.DUMMYFUNCTION("SPARKLINE({
IF(D520="""",0,D520),
IF(F520="""",0,F520),
IF(H520="""",0,H520),
IF(J520="""",0,J520),
IF(L520="""",0,L520),
IF(N520="""",0,N520),
IF(P520="""",0,P520)
})"),"")</f>
        <v/>
      </c>
      <c r="U520" s="7" t="str">
        <f ca="1">IFERROR(__xludf.DUMMYFUNCTION("SPARKLINE({
IF(E520="""",0,E520),
IF(G520="""",0,G520),
IF(I520="""",0,I520),
IF(K520="""",0,K520),
IF(M520="""",0,M520),
IF(O520="""",0,O520),
IF(Q520="""",0,Q520)
})"),"")</f>
        <v/>
      </c>
      <c r="V520" s="8" t="e">
        <f t="array" aca="1" ref="V520" ca="1">IF($C$4="Giao",_xludf.Xlookup(C520,#REF!,#REF!,),_xludf.Xlookup(C520,#REF!,#REF!,))</f>
        <v>#NAME?</v>
      </c>
      <c r="W520" s="8">
        <f t="array" ref="W520">IF($C$4="Giao", _xludf.Xlookup(C520,#REF!,#REF!,),)</f>
        <v>0</v>
      </c>
      <c r="X520" s="9">
        <f t="shared" si="8"/>
        <v>0</v>
      </c>
      <c r="Y520" s="7"/>
      <c r="Z520" s="7"/>
    </row>
    <row r="521" spans="1:26" ht="13" x14ac:dyDescent="0.6">
      <c r="A521" s="28" t="str">
        <f t="shared" si="7"/>
        <v/>
      </c>
      <c r="B521" s="7"/>
      <c r="C521" s="7"/>
      <c r="D521" s="9"/>
      <c r="E521" s="9"/>
      <c r="F521" s="9"/>
      <c r="G521" s="9"/>
      <c r="H521" s="9"/>
      <c r="I521" s="9"/>
      <c r="J521" s="9"/>
      <c r="K521" s="9"/>
      <c r="L521" s="9"/>
      <c r="M521" s="9"/>
      <c r="N521" s="9"/>
      <c r="O521" s="9"/>
      <c r="P521" s="29"/>
      <c r="Q521" s="29"/>
      <c r="R521" s="7"/>
      <c r="S521" s="7"/>
      <c r="T521" s="7" t="str">
        <f ca="1">IFERROR(__xludf.DUMMYFUNCTION("SPARKLINE({
IF(D521="""",0,D521),
IF(F521="""",0,F521),
IF(H521="""",0,H521),
IF(J521="""",0,J521),
IF(L521="""",0,L521),
IF(N521="""",0,N521),
IF(P521="""",0,P521)
})"),"")</f>
        <v/>
      </c>
      <c r="U521" s="7" t="str">
        <f ca="1">IFERROR(__xludf.DUMMYFUNCTION("SPARKLINE({
IF(E521="""",0,E521),
IF(G521="""",0,G521),
IF(I521="""",0,I521),
IF(K521="""",0,K521),
IF(M521="""",0,M521),
IF(O521="""",0,O521),
IF(Q521="""",0,Q521)
})"),"")</f>
        <v/>
      </c>
      <c r="V521" s="8" t="e">
        <f t="array" aca="1" ref="V521" ca="1">IF($C$4="Giao",_xludf.Xlookup(C521,#REF!,#REF!,),_xludf.Xlookup(C521,#REF!,#REF!,))</f>
        <v>#NAME?</v>
      </c>
      <c r="W521" s="8">
        <f t="array" ref="W521">IF($C$4="Giao", _xludf.Xlookup(C521,#REF!,#REF!,),)</f>
        <v>0</v>
      </c>
      <c r="X521" s="9">
        <f t="shared" si="8"/>
        <v>0</v>
      </c>
      <c r="Y521" s="7"/>
      <c r="Z521" s="7"/>
    </row>
    <row r="522" spans="1:26" ht="13" x14ac:dyDescent="0.6">
      <c r="A522" s="28" t="str">
        <f t="shared" si="7"/>
        <v/>
      </c>
      <c r="B522" s="7"/>
      <c r="C522" s="7"/>
      <c r="D522" s="9"/>
      <c r="E522" s="9"/>
      <c r="F522" s="9"/>
      <c r="G522" s="9"/>
      <c r="H522" s="9"/>
      <c r="I522" s="9"/>
      <c r="J522" s="9"/>
      <c r="K522" s="9"/>
      <c r="L522" s="9"/>
      <c r="M522" s="9"/>
      <c r="N522" s="9"/>
      <c r="O522" s="9"/>
      <c r="P522" s="29"/>
      <c r="Q522" s="29"/>
      <c r="R522" s="7"/>
      <c r="S522" s="7"/>
      <c r="T522" s="7" t="str">
        <f ca="1">IFERROR(__xludf.DUMMYFUNCTION("SPARKLINE({
IF(D522="""",0,D522),
IF(F522="""",0,F522),
IF(H522="""",0,H522),
IF(J522="""",0,J522),
IF(L522="""",0,L522),
IF(N522="""",0,N522),
IF(P522="""",0,P522)
})"),"")</f>
        <v/>
      </c>
      <c r="U522" s="7" t="str">
        <f ca="1">IFERROR(__xludf.DUMMYFUNCTION("SPARKLINE({
IF(E522="""",0,E522),
IF(G522="""",0,G522),
IF(I522="""",0,I522),
IF(K522="""",0,K522),
IF(M522="""",0,M522),
IF(O522="""",0,O522),
IF(Q522="""",0,Q522)
})"),"")</f>
        <v/>
      </c>
      <c r="V522" s="8" t="e">
        <f t="array" aca="1" ref="V522" ca="1">IF($C$4="Giao",_xludf.Xlookup(C522,#REF!,#REF!,),_xludf.Xlookup(C522,#REF!,#REF!,))</f>
        <v>#NAME?</v>
      </c>
      <c r="W522" s="8">
        <f t="array" ref="W522">IF($C$4="Giao", _xludf.Xlookup(C522,#REF!,#REF!,),)</f>
        <v>0</v>
      </c>
      <c r="X522" s="9">
        <f t="shared" si="8"/>
        <v>0</v>
      </c>
      <c r="Y522" s="7"/>
      <c r="Z522" s="7"/>
    </row>
    <row r="523" spans="1:26" ht="13" x14ac:dyDescent="0.6">
      <c r="A523" s="28" t="str">
        <f t="shared" si="7"/>
        <v/>
      </c>
      <c r="B523" s="7"/>
      <c r="C523" s="7"/>
      <c r="D523" s="9"/>
      <c r="E523" s="9"/>
      <c r="F523" s="9"/>
      <c r="G523" s="9"/>
      <c r="H523" s="9"/>
      <c r="I523" s="9"/>
      <c r="J523" s="9"/>
      <c r="K523" s="9"/>
      <c r="L523" s="9"/>
      <c r="M523" s="9"/>
      <c r="N523" s="9"/>
      <c r="O523" s="9"/>
      <c r="P523" s="29"/>
      <c r="Q523" s="29"/>
      <c r="R523" s="7"/>
      <c r="S523" s="7"/>
      <c r="T523" s="7" t="str">
        <f ca="1">IFERROR(__xludf.DUMMYFUNCTION("SPARKLINE({
IF(D523="""",0,D523),
IF(F523="""",0,F523),
IF(H523="""",0,H523),
IF(J523="""",0,J523),
IF(L523="""",0,L523),
IF(N523="""",0,N523),
IF(P523="""",0,P523)
})"),"")</f>
        <v/>
      </c>
      <c r="U523" s="7" t="str">
        <f ca="1">IFERROR(__xludf.DUMMYFUNCTION("SPARKLINE({
IF(E523="""",0,E523),
IF(G523="""",0,G523),
IF(I523="""",0,I523),
IF(K523="""",0,K523),
IF(M523="""",0,M523),
IF(O523="""",0,O523),
IF(Q523="""",0,Q523)
})"),"")</f>
        <v/>
      </c>
      <c r="V523" s="8" t="e">
        <f t="array" aca="1" ref="V523" ca="1">IF($C$4="Giao",_xludf.Xlookup(C523,#REF!,#REF!,),_xludf.Xlookup(C523,#REF!,#REF!,))</f>
        <v>#NAME?</v>
      </c>
      <c r="W523" s="8">
        <f t="array" ref="W523">IF($C$4="Giao", _xludf.Xlookup(C523,#REF!,#REF!,),)</f>
        <v>0</v>
      </c>
      <c r="X523" s="9">
        <f t="shared" si="8"/>
        <v>0</v>
      </c>
      <c r="Y523" s="7"/>
      <c r="Z523" s="7"/>
    </row>
    <row r="524" spans="1:26" ht="13" x14ac:dyDescent="0.6">
      <c r="A524" s="28" t="str">
        <f t="shared" si="7"/>
        <v/>
      </c>
      <c r="B524" s="7"/>
      <c r="C524" s="7"/>
      <c r="D524" s="9"/>
      <c r="E524" s="9"/>
      <c r="F524" s="9"/>
      <c r="G524" s="9"/>
      <c r="H524" s="9"/>
      <c r="I524" s="9"/>
      <c r="J524" s="9"/>
      <c r="K524" s="9"/>
      <c r="L524" s="9"/>
      <c r="M524" s="9"/>
      <c r="N524" s="9"/>
      <c r="O524" s="9"/>
      <c r="P524" s="29"/>
      <c r="Q524" s="29"/>
      <c r="R524" s="7"/>
      <c r="S524" s="7"/>
      <c r="T524" s="7" t="str">
        <f ca="1">IFERROR(__xludf.DUMMYFUNCTION("SPARKLINE({
IF(D524="""",0,D524),
IF(F524="""",0,F524),
IF(H524="""",0,H524),
IF(J524="""",0,J524),
IF(L524="""",0,L524),
IF(N524="""",0,N524),
IF(P524="""",0,P524)
})"),"")</f>
        <v/>
      </c>
      <c r="U524" s="7" t="str">
        <f ca="1">IFERROR(__xludf.DUMMYFUNCTION("SPARKLINE({
IF(E524="""",0,E524),
IF(G524="""",0,G524),
IF(I524="""",0,I524),
IF(K524="""",0,K524),
IF(M524="""",0,M524),
IF(O524="""",0,O524),
IF(Q524="""",0,Q524)
})"),"")</f>
        <v/>
      </c>
      <c r="V524" s="8" t="e">
        <f t="array" aca="1" ref="V524" ca="1">IF($C$4="Giao",_xludf.Xlookup(C524,#REF!,#REF!,),_xludf.Xlookup(C524,#REF!,#REF!,))</f>
        <v>#NAME?</v>
      </c>
      <c r="W524" s="8">
        <f t="array" ref="W524">IF($C$4="Giao", _xludf.Xlookup(C524,#REF!,#REF!,),)</f>
        <v>0</v>
      </c>
      <c r="X524" s="9">
        <f t="shared" si="8"/>
        <v>0</v>
      </c>
      <c r="Y524" s="7"/>
      <c r="Z524" s="7"/>
    </row>
    <row r="525" spans="1:26" ht="13" x14ac:dyDescent="0.6">
      <c r="A525" s="28" t="str">
        <f t="shared" si="7"/>
        <v/>
      </c>
      <c r="B525" s="7"/>
      <c r="C525" s="7"/>
      <c r="D525" s="9"/>
      <c r="E525" s="9"/>
      <c r="F525" s="9"/>
      <c r="G525" s="9"/>
      <c r="H525" s="9"/>
      <c r="I525" s="9"/>
      <c r="J525" s="9"/>
      <c r="K525" s="9"/>
      <c r="L525" s="9"/>
      <c r="M525" s="9"/>
      <c r="N525" s="9"/>
      <c r="O525" s="9"/>
      <c r="P525" s="29"/>
      <c r="Q525" s="29"/>
      <c r="R525" s="7"/>
      <c r="S525" s="7"/>
      <c r="T525" s="7" t="str">
        <f ca="1">IFERROR(__xludf.DUMMYFUNCTION("SPARKLINE({
IF(D525="""",0,D525),
IF(F525="""",0,F525),
IF(H525="""",0,H525),
IF(J525="""",0,J525),
IF(L525="""",0,L525),
IF(N525="""",0,N525),
IF(P525="""",0,P525)
})"),"")</f>
        <v/>
      </c>
      <c r="U525" s="7" t="str">
        <f ca="1">IFERROR(__xludf.DUMMYFUNCTION("SPARKLINE({
IF(E525="""",0,E525),
IF(G525="""",0,G525),
IF(I525="""",0,I525),
IF(K525="""",0,K525),
IF(M525="""",0,M525),
IF(O525="""",0,O525),
IF(Q525="""",0,Q525)
})"),"")</f>
        <v/>
      </c>
      <c r="V525" s="8" t="e">
        <f t="array" aca="1" ref="V525" ca="1">IF($C$4="Giao",_xludf.Xlookup(C525,#REF!,#REF!,),_xludf.Xlookup(C525,#REF!,#REF!,))</f>
        <v>#NAME?</v>
      </c>
      <c r="W525" s="8">
        <f t="array" ref="W525">IF($C$4="Giao", _xludf.Xlookup(C525,#REF!,#REF!,),)</f>
        <v>0</v>
      </c>
      <c r="X525" s="9">
        <f t="shared" si="8"/>
        <v>0</v>
      </c>
      <c r="Y525" s="7"/>
      <c r="Z525" s="7"/>
    </row>
    <row r="526" spans="1:26" ht="13" x14ac:dyDescent="0.6">
      <c r="A526" s="28" t="str">
        <f t="shared" si="7"/>
        <v/>
      </c>
      <c r="B526" s="7"/>
      <c r="C526" s="7"/>
      <c r="D526" s="9"/>
      <c r="E526" s="9"/>
      <c r="F526" s="9"/>
      <c r="G526" s="9"/>
      <c r="H526" s="9"/>
      <c r="I526" s="9"/>
      <c r="J526" s="9"/>
      <c r="K526" s="9"/>
      <c r="L526" s="9"/>
      <c r="M526" s="9"/>
      <c r="N526" s="9"/>
      <c r="O526" s="9"/>
      <c r="P526" s="29"/>
      <c r="Q526" s="29"/>
      <c r="R526" s="7"/>
      <c r="S526" s="7"/>
      <c r="T526" s="7" t="str">
        <f ca="1">IFERROR(__xludf.DUMMYFUNCTION("SPARKLINE({
IF(D526="""",0,D526),
IF(F526="""",0,F526),
IF(H526="""",0,H526),
IF(J526="""",0,J526),
IF(L526="""",0,L526),
IF(N526="""",0,N526),
IF(P526="""",0,P526)
})"),"")</f>
        <v/>
      </c>
      <c r="U526" s="7" t="str">
        <f ca="1">IFERROR(__xludf.DUMMYFUNCTION("SPARKLINE({
IF(E526="""",0,E526),
IF(G526="""",0,G526),
IF(I526="""",0,I526),
IF(K526="""",0,K526),
IF(M526="""",0,M526),
IF(O526="""",0,O526),
IF(Q526="""",0,Q526)
})"),"")</f>
        <v/>
      </c>
      <c r="V526" s="8" t="e">
        <f t="array" aca="1" ref="V526" ca="1">IF($C$4="Giao",_xludf.Xlookup(C526,#REF!,#REF!,),_xludf.Xlookup(C526,#REF!,#REF!,))</f>
        <v>#NAME?</v>
      </c>
      <c r="W526" s="8">
        <f t="array" ref="W526">IF($C$4="Giao", _xludf.Xlookup(C526,#REF!,#REF!,),)</f>
        <v>0</v>
      </c>
      <c r="X526" s="9">
        <f t="shared" si="8"/>
        <v>0</v>
      </c>
      <c r="Y526" s="7"/>
      <c r="Z526" s="7"/>
    </row>
    <row r="527" spans="1:26" ht="13" x14ac:dyDescent="0.6">
      <c r="A527" s="28" t="str">
        <f t="shared" si="7"/>
        <v/>
      </c>
      <c r="B527" s="7"/>
      <c r="C527" s="7"/>
      <c r="D527" s="9"/>
      <c r="E527" s="9"/>
      <c r="F527" s="9"/>
      <c r="G527" s="9"/>
      <c r="H527" s="9"/>
      <c r="I527" s="9"/>
      <c r="J527" s="9"/>
      <c r="K527" s="9"/>
      <c r="L527" s="9"/>
      <c r="M527" s="9"/>
      <c r="N527" s="9"/>
      <c r="O527" s="9"/>
      <c r="P527" s="29"/>
      <c r="Q527" s="29"/>
      <c r="R527" s="7"/>
      <c r="S527" s="7"/>
      <c r="T527" s="7" t="str">
        <f ca="1">IFERROR(__xludf.DUMMYFUNCTION("SPARKLINE({
IF(D527="""",0,D527),
IF(F527="""",0,F527),
IF(H527="""",0,H527),
IF(J527="""",0,J527),
IF(L527="""",0,L527),
IF(N527="""",0,N527),
IF(P527="""",0,P527)
})"),"")</f>
        <v/>
      </c>
      <c r="U527" s="7" t="str">
        <f ca="1">IFERROR(__xludf.DUMMYFUNCTION("SPARKLINE({
IF(E527="""",0,E527),
IF(G527="""",0,G527),
IF(I527="""",0,I527),
IF(K527="""",0,K527),
IF(M527="""",0,M527),
IF(O527="""",0,O527),
IF(Q527="""",0,Q527)
})"),"")</f>
        <v/>
      </c>
      <c r="V527" s="8" t="e">
        <f t="array" aca="1" ref="V527" ca="1">IF($C$4="Giao",_xludf.Xlookup(C527,#REF!,#REF!,),_xludf.Xlookup(C527,#REF!,#REF!,))</f>
        <v>#NAME?</v>
      </c>
      <c r="W527" s="8">
        <f t="array" ref="W527">IF($C$4="Giao", _xludf.Xlookup(C527,#REF!,#REF!,),)</f>
        <v>0</v>
      </c>
      <c r="X527" s="9">
        <f t="shared" si="8"/>
        <v>0</v>
      </c>
      <c r="Y527" s="7"/>
      <c r="Z527" s="7"/>
    </row>
    <row r="528" spans="1:26" ht="13" x14ac:dyDescent="0.6">
      <c r="A528" s="28" t="str">
        <f t="shared" si="7"/>
        <v/>
      </c>
      <c r="B528" s="7"/>
      <c r="C528" s="7"/>
      <c r="D528" s="9"/>
      <c r="E528" s="9"/>
      <c r="F528" s="9"/>
      <c r="G528" s="9"/>
      <c r="H528" s="9"/>
      <c r="I528" s="9"/>
      <c r="J528" s="9"/>
      <c r="K528" s="9"/>
      <c r="L528" s="9"/>
      <c r="M528" s="9"/>
      <c r="N528" s="9"/>
      <c r="O528" s="9"/>
      <c r="P528" s="29"/>
      <c r="Q528" s="29"/>
      <c r="R528" s="7"/>
      <c r="S528" s="7"/>
      <c r="T528" s="7" t="str">
        <f ca="1">IFERROR(__xludf.DUMMYFUNCTION("SPARKLINE({
IF(D528="""",0,D528),
IF(F528="""",0,F528),
IF(H528="""",0,H528),
IF(J528="""",0,J528),
IF(L528="""",0,L528),
IF(N528="""",0,N528),
IF(P528="""",0,P528)
})"),"")</f>
        <v/>
      </c>
      <c r="U528" s="7" t="str">
        <f ca="1">IFERROR(__xludf.DUMMYFUNCTION("SPARKLINE({
IF(E528="""",0,E528),
IF(G528="""",0,G528),
IF(I528="""",0,I528),
IF(K528="""",0,K528),
IF(M528="""",0,M528),
IF(O528="""",0,O528),
IF(Q528="""",0,Q528)
})"),"")</f>
        <v/>
      </c>
      <c r="V528" s="8" t="e">
        <f t="array" aca="1" ref="V528" ca="1">IF($C$4="Giao",_xludf.Xlookup(C528,#REF!,#REF!,),_xludf.Xlookup(C528,#REF!,#REF!,))</f>
        <v>#NAME?</v>
      </c>
      <c r="W528" s="8">
        <f t="array" ref="W528">IF($C$4="Giao", _xludf.Xlookup(C528,#REF!,#REF!,),)</f>
        <v>0</v>
      </c>
      <c r="X528" s="9">
        <f t="shared" si="8"/>
        <v>0</v>
      </c>
      <c r="Y528" s="7"/>
      <c r="Z528" s="7"/>
    </row>
    <row r="529" spans="1:26" ht="13" x14ac:dyDescent="0.6">
      <c r="A529" s="28" t="str">
        <f t="shared" si="7"/>
        <v/>
      </c>
      <c r="B529" s="7"/>
      <c r="C529" s="7"/>
      <c r="D529" s="9"/>
      <c r="E529" s="9"/>
      <c r="F529" s="9"/>
      <c r="G529" s="9"/>
      <c r="H529" s="9"/>
      <c r="I529" s="9"/>
      <c r="J529" s="9"/>
      <c r="K529" s="9"/>
      <c r="L529" s="9"/>
      <c r="M529" s="9"/>
      <c r="N529" s="9"/>
      <c r="O529" s="9"/>
      <c r="P529" s="29"/>
      <c r="Q529" s="29"/>
      <c r="R529" s="7"/>
      <c r="S529" s="7"/>
      <c r="T529" s="7" t="str">
        <f ca="1">IFERROR(__xludf.DUMMYFUNCTION("SPARKLINE({
IF(D529="""",0,D529),
IF(F529="""",0,F529),
IF(H529="""",0,H529),
IF(J529="""",0,J529),
IF(L529="""",0,L529),
IF(N529="""",0,N529),
IF(P529="""",0,P529)
})"),"")</f>
        <v/>
      </c>
      <c r="U529" s="7" t="str">
        <f ca="1">IFERROR(__xludf.DUMMYFUNCTION("SPARKLINE({
IF(E529="""",0,E529),
IF(G529="""",0,G529),
IF(I529="""",0,I529),
IF(K529="""",0,K529),
IF(M529="""",0,M529),
IF(O529="""",0,O529),
IF(Q529="""",0,Q529)
})"),"")</f>
        <v/>
      </c>
      <c r="V529" s="8" t="e">
        <f t="array" aca="1" ref="V529" ca="1">IF($C$4="Giao",_xludf.Xlookup(C529,#REF!,#REF!,),_xludf.Xlookup(C529,#REF!,#REF!,))</f>
        <v>#NAME?</v>
      </c>
      <c r="W529" s="8">
        <f t="array" ref="W529">IF($C$4="Giao", _xludf.Xlookup(C529,#REF!,#REF!,),)</f>
        <v>0</v>
      </c>
      <c r="X529" s="9">
        <f t="shared" si="8"/>
        <v>0</v>
      </c>
      <c r="Y529" s="7"/>
      <c r="Z529" s="7"/>
    </row>
    <row r="530" spans="1:26" ht="13" x14ac:dyDescent="0.6">
      <c r="A530" s="28" t="str">
        <f t="shared" si="7"/>
        <v/>
      </c>
      <c r="B530" s="7"/>
      <c r="C530" s="7"/>
      <c r="D530" s="9"/>
      <c r="E530" s="9"/>
      <c r="F530" s="9"/>
      <c r="G530" s="9"/>
      <c r="H530" s="9"/>
      <c r="I530" s="9"/>
      <c r="J530" s="9"/>
      <c r="K530" s="9"/>
      <c r="L530" s="9"/>
      <c r="M530" s="9"/>
      <c r="N530" s="9"/>
      <c r="O530" s="9"/>
      <c r="P530" s="29"/>
      <c r="Q530" s="29"/>
      <c r="R530" s="7"/>
      <c r="S530" s="7"/>
      <c r="T530" s="7" t="str">
        <f ca="1">IFERROR(__xludf.DUMMYFUNCTION("SPARKLINE({
IF(D530="""",0,D530),
IF(F530="""",0,F530),
IF(H530="""",0,H530),
IF(J530="""",0,J530),
IF(L530="""",0,L530),
IF(N530="""",0,N530),
IF(P530="""",0,P530)
})"),"")</f>
        <v/>
      </c>
      <c r="U530" s="7" t="str">
        <f ca="1">IFERROR(__xludf.DUMMYFUNCTION("SPARKLINE({
IF(E530="""",0,E530),
IF(G530="""",0,G530),
IF(I530="""",0,I530),
IF(K530="""",0,K530),
IF(M530="""",0,M530),
IF(O530="""",0,O530),
IF(Q530="""",0,Q530)
})"),"")</f>
        <v/>
      </c>
      <c r="V530" s="8" t="e">
        <f t="array" aca="1" ref="V530" ca="1">IF($C$4="Giao",_xludf.Xlookup(C530,#REF!,#REF!,),_xludf.Xlookup(C530,#REF!,#REF!,))</f>
        <v>#NAME?</v>
      </c>
      <c r="W530" s="8">
        <f t="array" ref="W530">IF($C$4="Giao", _xludf.Xlookup(C530,#REF!,#REF!,),)</f>
        <v>0</v>
      </c>
      <c r="X530" s="9">
        <f t="shared" si="8"/>
        <v>0</v>
      </c>
      <c r="Y530" s="7"/>
      <c r="Z530" s="7"/>
    </row>
    <row r="531" spans="1:26" ht="13" x14ac:dyDescent="0.6">
      <c r="A531" s="28" t="str">
        <f t="shared" si="7"/>
        <v/>
      </c>
      <c r="B531" s="7"/>
      <c r="C531" s="7"/>
      <c r="D531" s="9"/>
      <c r="E531" s="9"/>
      <c r="F531" s="9"/>
      <c r="G531" s="9"/>
      <c r="H531" s="9"/>
      <c r="I531" s="9"/>
      <c r="J531" s="9"/>
      <c r="K531" s="9"/>
      <c r="L531" s="9"/>
      <c r="M531" s="9"/>
      <c r="N531" s="9"/>
      <c r="O531" s="9"/>
      <c r="P531" s="29"/>
      <c r="Q531" s="29"/>
      <c r="R531" s="7"/>
      <c r="S531" s="7"/>
      <c r="T531" s="7" t="str">
        <f ca="1">IFERROR(__xludf.DUMMYFUNCTION("SPARKLINE({
IF(D531="""",0,D531),
IF(F531="""",0,F531),
IF(H531="""",0,H531),
IF(J531="""",0,J531),
IF(L531="""",0,L531),
IF(N531="""",0,N531),
IF(P531="""",0,P531)
})"),"")</f>
        <v/>
      </c>
      <c r="U531" s="7" t="str">
        <f ca="1">IFERROR(__xludf.DUMMYFUNCTION("SPARKLINE({
IF(E531="""",0,E531),
IF(G531="""",0,G531),
IF(I531="""",0,I531),
IF(K531="""",0,K531),
IF(M531="""",0,M531),
IF(O531="""",0,O531),
IF(Q531="""",0,Q531)
})"),"")</f>
        <v/>
      </c>
      <c r="V531" s="8" t="e">
        <f t="array" aca="1" ref="V531" ca="1">IF($C$4="Giao",_xludf.Xlookup(C531,#REF!,#REF!,),_xludf.Xlookup(C531,#REF!,#REF!,))</f>
        <v>#NAME?</v>
      </c>
      <c r="W531" s="8">
        <f t="array" ref="W531">IF($C$4="Giao", _xludf.Xlookup(C531,#REF!,#REF!,),)</f>
        <v>0</v>
      </c>
      <c r="X531" s="9">
        <f t="shared" si="8"/>
        <v>0</v>
      </c>
      <c r="Y531" s="7"/>
      <c r="Z531" s="7"/>
    </row>
    <row r="532" spans="1:26" ht="13" x14ac:dyDescent="0.6">
      <c r="A532" s="28" t="str">
        <f t="shared" si="7"/>
        <v/>
      </c>
      <c r="B532" s="7"/>
      <c r="C532" s="7"/>
      <c r="D532" s="9"/>
      <c r="E532" s="9"/>
      <c r="F532" s="9"/>
      <c r="G532" s="9"/>
      <c r="H532" s="9"/>
      <c r="I532" s="9"/>
      <c r="J532" s="9"/>
      <c r="K532" s="9"/>
      <c r="L532" s="9"/>
      <c r="M532" s="9"/>
      <c r="N532" s="9"/>
      <c r="O532" s="9"/>
      <c r="P532" s="29"/>
      <c r="Q532" s="29"/>
      <c r="R532" s="7"/>
      <c r="S532" s="7"/>
      <c r="T532" s="7" t="str">
        <f ca="1">IFERROR(__xludf.DUMMYFUNCTION("SPARKLINE({
IF(D532="""",0,D532),
IF(F532="""",0,F532),
IF(H532="""",0,H532),
IF(J532="""",0,J532),
IF(L532="""",0,L532),
IF(N532="""",0,N532),
IF(P532="""",0,P532)
})"),"")</f>
        <v/>
      </c>
      <c r="U532" s="7" t="str">
        <f ca="1">IFERROR(__xludf.DUMMYFUNCTION("SPARKLINE({
IF(E532="""",0,E532),
IF(G532="""",0,G532),
IF(I532="""",0,I532),
IF(K532="""",0,K532),
IF(M532="""",0,M532),
IF(O532="""",0,O532),
IF(Q532="""",0,Q532)
})"),"")</f>
        <v/>
      </c>
      <c r="V532" s="8" t="e">
        <f t="array" aca="1" ref="V532" ca="1">IF($C$4="Giao",_xludf.Xlookup(C532,#REF!,#REF!,),_xludf.Xlookup(C532,#REF!,#REF!,))</f>
        <v>#NAME?</v>
      </c>
      <c r="W532" s="8">
        <f t="array" ref="W532">IF($C$4="Giao", _xludf.Xlookup(C532,#REF!,#REF!,),)</f>
        <v>0</v>
      </c>
      <c r="X532" s="9">
        <f t="shared" si="8"/>
        <v>0</v>
      </c>
      <c r="Y532" s="7"/>
      <c r="Z532" s="7"/>
    </row>
    <row r="533" spans="1:26" ht="13" x14ac:dyDescent="0.6">
      <c r="A533" s="28" t="str">
        <f t="shared" si="7"/>
        <v/>
      </c>
      <c r="B533" s="7"/>
      <c r="C533" s="7"/>
      <c r="D533" s="9"/>
      <c r="E533" s="9"/>
      <c r="F533" s="9"/>
      <c r="G533" s="9"/>
      <c r="H533" s="9"/>
      <c r="I533" s="9"/>
      <c r="J533" s="9"/>
      <c r="K533" s="9"/>
      <c r="L533" s="9"/>
      <c r="M533" s="9"/>
      <c r="N533" s="9"/>
      <c r="O533" s="9"/>
      <c r="P533" s="29"/>
      <c r="Q533" s="29"/>
      <c r="R533" s="7"/>
      <c r="S533" s="7"/>
      <c r="T533" s="7" t="str">
        <f ca="1">IFERROR(__xludf.DUMMYFUNCTION("SPARKLINE({
IF(D533="""",0,D533),
IF(F533="""",0,F533),
IF(H533="""",0,H533),
IF(J533="""",0,J533),
IF(L533="""",0,L533),
IF(N533="""",0,N533),
IF(P533="""",0,P533)
})"),"")</f>
        <v/>
      </c>
      <c r="U533" s="7" t="str">
        <f ca="1">IFERROR(__xludf.DUMMYFUNCTION("SPARKLINE({
IF(E533="""",0,E533),
IF(G533="""",0,G533),
IF(I533="""",0,I533),
IF(K533="""",0,K533),
IF(M533="""",0,M533),
IF(O533="""",0,O533),
IF(Q533="""",0,Q533)
})"),"")</f>
        <v/>
      </c>
      <c r="V533" s="8" t="e">
        <f t="array" aca="1" ref="V533" ca="1">IF($C$4="Giao",_xludf.Xlookup(C533,#REF!,#REF!,),_xludf.Xlookup(C533,#REF!,#REF!,))</f>
        <v>#NAME?</v>
      </c>
      <c r="W533" s="8">
        <f t="array" ref="W533">IF($C$4="Giao", _xludf.Xlookup(C533,#REF!,#REF!,),)</f>
        <v>0</v>
      </c>
      <c r="X533" s="9">
        <f t="shared" si="8"/>
        <v>0</v>
      </c>
      <c r="Y533" s="7"/>
      <c r="Z533" s="7"/>
    </row>
    <row r="534" spans="1:26" ht="13" x14ac:dyDescent="0.6">
      <c r="A534" s="28" t="str">
        <f t="shared" si="7"/>
        <v/>
      </c>
      <c r="B534" s="7"/>
      <c r="C534" s="7"/>
      <c r="D534" s="9"/>
      <c r="E534" s="9"/>
      <c r="F534" s="9"/>
      <c r="G534" s="9"/>
      <c r="H534" s="9"/>
      <c r="I534" s="9"/>
      <c r="J534" s="9"/>
      <c r="K534" s="9"/>
      <c r="L534" s="9"/>
      <c r="M534" s="9"/>
      <c r="N534" s="9"/>
      <c r="O534" s="9"/>
      <c r="P534" s="29"/>
      <c r="Q534" s="29"/>
      <c r="R534" s="7"/>
      <c r="S534" s="7"/>
      <c r="T534" s="7" t="str">
        <f ca="1">IFERROR(__xludf.DUMMYFUNCTION("SPARKLINE({
IF(D534="""",0,D534),
IF(F534="""",0,F534),
IF(H534="""",0,H534),
IF(J534="""",0,J534),
IF(L534="""",0,L534),
IF(N534="""",0,N534),
IF(P534="""",0,P534)
})"),"")</f>
        <v/>
      </c>
      <c r="U534" s="7" t="str">
        <f ca="1">IFERROR(__xludf.DUMMYFUNCTION("SPARKLINE({
IF(E534="""",0,E534),
IF(G534="""",0,G534),
IF(I534="""",0,I534),
IF(K534="""",0,K534),
IF(M534="""",0,M534),
IF(O534="""",0,O534),
IF(Q534="""",0,Q534)
})"),"")</f>
        <v/>
      </c>
      <c r="V534" s="8" t="e">
        <f t="array" aca="1" ref="V534" ca="1">IF($C$4="Giao",_xludf.Xlookup(C534,#REF!,#REF!,),_xludf.Xlookup(C534,#REF!,#REF!,))</f>
        <v>#NAME?</v>
      </c>
      <c r="W534" s="8">
        <f t="array" ref="W534">IF($C$4="Giao", _xludf.Xlookup(C534,#REF!,#REF!,),)</f>
        <v>0</v>
      </c>
      <c r="X534" s="9">
        <f t="shared" si="8"/>
        <v>0</v>
      </c>
      <c r="Y534" s="7"/>
      <c r="Z534" s="7"/>
    </row>
    <row r="535" spans="1:26" ht="13" x14ac:dyDescent="0.6">
      <c r="A535" s="28" t="str">
        <f t="shared" si="7"/>
        <v/>
      </c>
      <c r="B535" s="7"/>
      <c r="C535" s="7"/>
      <c r="D535" s="9"/>
      <c r="E535" s="9"/>
      <c r="F535" s="9"/>
      <c r="G535" s="9"/>
      <c r="H535" s="9"/>
      <c r="I535" s="9"/>
      <c r="J535" s="9"/>
      <c r="K535" s="9"/>
      <c r="L535" s="9"/>
      <c r="M535" s="9"/>
      <c r="N535" s="9"/>
      <c r="O535" s="9"/>
      <c r="P535" s="29"/>
      <c r="Q535" s="29"/>
      <c r="R535" s="7"/>
      <c r="S535" s="7"/>
      <c r="T535" s="7" t="str">
        <f ca="1">IFERROR(__xludf.DUMMYFUNCTION("SPARKLINE({
IF(D535="""",0,D535),
IF(F535="""",0,F535),
IF(H535="""",0,H535),
IF(J535="""",0,J535),
IF(L535="""",0,L535),
IF(N535="""",0,N535),
IF(P535="""",0,P535)
})"),"")</f>
        <v/>
      </c>
      <c r="U535" s="7" t="str">
        <f ca="1">IFERROR(__xludf.DUMMYFUNCTION("SPARKLINE({
IF(E535="""",0,E535),
IF(G535="""",0,G535),
IF(I535="""",0,I535),
IF(K535="""",0,K535),
IF(M535="""",0,M535),
IF(O535="""",0,O535),
IF(Q535="""",0,Q535)
})"),"")</f>
        <v/>
      </c>
      <c r="V535" s="8" t="e">
        <f t="array" aca="1" ref="V535" ca="1">IF($C$4="Giao",_xludf.Xlookup(C535,#REF!,#REF!,),_xludf.Xlookup(C535,#REF!,#REF!,))</f>
        <v>#NAME?</v>
      </c>
      <c r="W535" s="8">
        <f t="array" ref="W535">IF($C$4="Giao", _xludf.Xlookup(C535,#REF!,#REF!,),)</f>
        <v>0</v>
      </c>
      <c r="X535" s="9">
        <f t="shared" si="8"/>
        <v>0</v>
      </c>
      <c r="Y535" s="7"/>
      <c r="Z535" s="7"/>
    </row>
    <row r="536" spans="1:26" ht="13" x14ac:dyDescent="0.6">
      <c r="A536" s="28" t="str">
        <f t="shared" si="7"/>
        <v/>
      </c>
      <c r="B536" s="7"/>
      <c r="C536" s="7"/>
      <c r="D536" s="9"/>
      <c r="E536" s="9"/>
      <c r="F536" s="9"/>
      <c r="G536" s="9"/>
      <c r="H536" s="9"/>
      <c r="I536" s="9"/>
      <c r="J536" s="9"/>
      <c r="K536" s="9"/>
      <c r="L536" s="9"/>
      <c r="M536" s="9"/>
      <c r="N536" s="9"/>
      <c r="O536" s="9"/>
      <c r="P536" s="29"/>
      <c r="Q536" s="29"/>
      <c r="R536" s="7"/>
      <c r="S536" s="7"/>
      <c r="T536" s="7" t="str">
        <f ca="1">IFERROR(__xludf.DUMMYFUNCTION("SPARKLINE({
IF(D536="""",0,D536),
IF(F536="""",0,F536),
IF(H536="""",0,H536),
IF(J536="""",0,J536),
IF(L536="""",0,L536),
IF(N536="""",0,N536),
IF(P536="""",0,P536)
})"),"")</f>
        <v/>
      </c>
      <c r="U536" s="7" t="str">
        <f ca="1">IFERROR(__xludf.DUMMYFUNCTION("SPARKLINE({
IF(E536="""",0,E536),
IF(G536="""",0,G536),
IF(I536="""",0,I536),
IF(K536="""",0,K536),
IF(M536="""",0,M536),
IF(O536="""",0,O536),
IF(Q536="""",0,Q536)
})"),"")</f>
        <v/>
      </c>
      <c r="V536" s="8" t="e">
        <f t="array" aca="1" ref="V536" ca="1">IF($C$4="Giao",_xludf.Xlookup(C536,#REF!,#REF!,),_xludf.Xlookup(C536,#REF!,#REF!,))</f>
        <v>#NAME?</v>
      </c>
      <c r="W536" s="8">
        <f t="array" ref="W536">IF($C$4="Giao", _xludf.Xlookup(C536,#REF!,#REF!,),)</f>
        <v>0</v>
      </c>
      <c r="X536" s="9">
        <f t="shared" si="8"/>
        <v>0</v>
      </c>
      <c r="Y536" s="7"/>
      <c r="Z536" s="7"/>
    </row>
    <row r="537" spans="1:26" ht="13" x14ac:dyDescent="0.6">
      <c r="A537" s="28" t="str">
        <f t="shared" si="7"/>
        <v/>
      </c>
      <c r="B537" s="7"/>
      <c r="C537" s="7"/>
      <c r="D537" s="9"/>
      <c r="E537" s="9"/>
      <c r="F537" s="9"/>
      <c r="G537" s="9"/>
      <c r="H537" s="9"/>
      <c r="I537" s="9"/>
      <c r="J537" s="9"/>
      <c r="K537" s="9"/>
      <c r="L537" s="9"/>
      <c r="M537" s="9"/>
      <c r="N537" s="9"/>
      <c r="O537" s="9"/>
      <c r="P537" s="29"/>
      <c r="Q537" s="29"/>
      <c r="R537" s="7"/>
      <c r="S537" s="7"/>
      <c r="T537" s="7" t="str">
        <f ca="1">IFERROR(__xludf.DUMMYFUNCTION("SPARKLINE({
IF(D537="""",0,D537),
IF(F537="""",0,F537),
IF(H537="""",0,H537),
IF(J537="""",0,J537),
IF(L537="""",0,L537),
IF(N537="""",0,N537),
IF(P537="""",0,P537)
})"),"")</f>
        <v/>
      </c>
      <c r="U537" s="7" t="str">
        <f ca="1">IFERROR(__xludf.DUMMYFUNCTION("SPARKLINE({
IF(E537="""",0,E537),
IF(G537="""",0,G537),
IF(I537="""",0,I537),
IF(K537="""",0,K537),
IF(M537="""",0,M537),
IF(O537="""",0,O537),
IF(Q537="""",0,Q537)
})"),"")</f>
        <v/>
      </c>
      <c r="V537" s="8" t="e">
        <f t="array" aca="1" ref="V537" ca="1">IF($C$4="Giao",_xludf.Xlookup(C537,#REF!,#REF!,),_xludf.Xlookup(C537,#REF!,#REF!,))</f>
        <v>#NAME?</v>
      </c>
      <c r="W537" s="8">
        <f t="array" ref="W537">IF($C$4="Giao", _xludf.Xlookup(C537,#REF!,#REF!,),)</f>
        <v>0</v>
      </c>
      <c r="X537" s="9">
        <f t="shared" si="8"/>
        <v>0</v>
      </c>
      <c r="Y537" s="7"/>
      <c r="Z537" s="7"/>
    </row>
    <row r="538" spans="1:26" ht="13" x14ac:dyDescent="0.6">
      <c r="A538" s="28" t="str">
        <f t="shared" si="7"/>
        <v/>
      </c>
      <c r="B538" s="7"/>
      <c r="C538" s="7"/>
      <c r="D538" s="9"/>
      <c r="E538" s="9"/>
      <c r="F538" s="9"/>
      <c r="G538" s="9"/>
      <c r="H538" s="9"/>
      <c r="I538" s="9"/>
      <c r="J538" s="9"/>
      <c r="K538" s="9"/>
      <c r="L538" s="9"/>
      <c r="M538" s="9"/>
      <c r="N538" s="9"/>
      <c r="O538" s="9"/>
      <c r="P538" s="29"/>
      <c r="Q538" s="29"/>
      <c r="R538" s="7"/>
      <c r="S538" s="7"/>
      <c r="T538" s="7" t="str">
        <f ca="1">IFERROR(__xludf.DUMMYFUNCTION("SPARKLINE({
IF(D538="""",0,D538),
IF(F538="""",0,F538),
IF(H538="""",0,H538),
IF(J538="""",0,J538),
IF(L538="""",0,L538),
IF(N538="""",0,N538),
IF(P538="""",0,P538)
})"),"")</f>
        <v/>
      </c>
      <c r="U538" s="7" t="str">
        <f ca="1">IFERROR(__xludf.DUMMYFUNCTION("SPARKLINE({
IF(E538="""",0,E538),
IF(G538="""",0,G538),
IF(I538="""",0,I538),
IF(K538="""",0,K538),
IF(M538="""",0,M538),
IF(O538="""",0,O538),
IF(Q538="""",0,Q538)
})"),"")</f>
        <v/>
      </c>
      <c r="V538" s="8" t="e">
        <f t="array" aca="1" ref="V538" ca="1">IF($C$4="Giao",_xludf.Xlookup(C538,#REF!,#REF!,),_xludf.Xlookup(C538,#REF!,#REF!,))</f>
        <v>#NAME?</v>
      </c>
      <c r="W538" s="8">
        <f t="array" ref="W538">IF($C$4="Giao", _xludf.Xlookup(C538,#REF!,#REF!,),)</f>
        <v>0</v>
      </c>
      <c r="X538" s="9">
        <f t="shared" si="8"/>
        <v>0</v>
      </c>
      <c r="Y538" s="7"/>
      <c r="Z538" s="7"/>
    </row>
    <row r="539" spans="1:26" ht="13" x14ac:dyDescent="0.6">
      <c r="A539" s="28" t="str">
        <f t="shared" si="7"/>
        <v/>
      </c>
      <c r="B539" s="7"/>
      <c r="C539" s="7"/>
      <c r="D539" s="9"/>
      <c r="E539" s="9"/>
      <c r="F539" s="9"/>
      <c r="G539" s="9"/>
      <c r="H539" s="9"/>
      <c r="I539" s="9"/>
      <c r="J539" s="9"/>
      <c r="K539" s="9"/>
      <c r="L539" s="9"/>
      <c r="M539" s="9"/>
      <c r="N539" s="9"/>
      <c r="O539" s="9"/>
      <c r="P539" s="29"/>
      <c r="Q539" s="29"/>
      <c r="R539" s="7"/>
      <c r="S539" s="7"/>
      <c r="T539" s="7" t="str">
        <f ca="1">IFERROR(__xludf.DUMMYFUNCTION("SPARKLINE({
IF(D539="""",0,D539),
IF(F539="""",0,F539),
IF(H539="""",0,H539),
IF(J539="""",0,J539),
IF(L539="""",0,L539),
IF(N539="""",0,N539),
IF(P539="""",0,P539)
})"),"")</f>
        <v/>
      </c>
      <c r="U539" s="7" t="str">
        <f ca="1">IFERROR(__xludf.DUMMYFUNCTION("SPARKLINE({
IF(E539="""",0,E539),
IF(G539="""",0,G539),
IF(I539="""",0,I539),
IF(K539="""",0,K539),
IF(M539="""",0,M539),
IF(O539="""",0,O539),
IF(Q539="""",0,Q539)
})"),"")</f>
        <v/>
      </c>
      <c r="V539" s="8" t="e">
        <f t="array" aca="1" ref="V539" ca="1">IF($C$4="Giao",_xludf.Xlookup(C539,#REF!,#REF!,),_xludf.Xlookup(C539,#REF!,#REF!,))</f>
        <v>#NAME?</v>
      </c>
      <c r="W539" s="8">
        <f t="array" ref="W539">IF($C$4="Giao", _xludf.Xlookup(C539,#REF!,#REF!,),)</f>
        <v>0</v>
      </c>
      <c r="X539" s="9">
        <f t="shared" si="8"/>
        <v>0</v>
      </c>
      <c r="Y539" s="7"/>
      <c r="Z539" s="7"/>
    </row>
    <row r="540" spans="1:26" ht="13" x14ac:dyDescent="0.6">
      <c r="A540" s="28" t="str">
        <f t="shared" si="7"/>
        <v/>
      </c>
      <c r="B540" s="7"/>
      <c r="C540" s="7"/>
      <c r="D540" s="9"/>
      <c r="E540" s="9"/>
      <c r="F540" s="9"/>
      <c r="G540" s="9"/>
      <c r="H540" s="9"/>
      <c r="I540" s="9"/>
      <c r="J540" s="9"/>
      <c r="K540" s="9"/>
      <c r="L540" s="9"/>
      <c r="M540" s="9"/>
      <c r="N540" s="9"/>
      <c r="O540" s="9"/>
      <c r="P540" s="29"/>
      <c r="Q540" s="29"/>
      <c r="R540" s="7"/>
      <c r="S540" s="7"/>
      <c r="T540" s="7" t="str">
        <f ca="1">IFERROR(__xludf.DUMMYFUNCTION("SPARKLINE({
IF(D540="""",0,D540),
IF(F540="""",0,F540),
IF(H540="""",0,H540),
IF(J540="""",0,J540),
IF(L540="""",0,L540),
IF(N540="""",0,N540),
IF(P540="""",0,P540)
})"),"")</f>
        <v/>
      </c>
      <c r="U540" s="7" t="str">
        <f ca="1">IFERROR(__xludf.DUMMYFUNCTION("SPARKLINE({
IF(E540="""",0,E540),
IF(G540="""",0,G540),
IF(I540="""",0,I540),
IF(K540="""",0,K540),
IF(M540="""",0,M540),
IF(O540="""",0,O540),
IF(Q540="""",0,Q540)
})"),"")</f>
        <v/>
      </c>
      <c r="V540" s="8" t="e">
        <f t="array" aca="1" ref="V540" ca="1">IF($C$4="Giao",_xludf.Xlookup(C540,#REF!,#REF!,),_xludf.Xlookup(C540,#REF!,#REF!,))</f>
        <v>#NAME?</v>
      </c>
      <c r="W540" s="8">
        <f t="array" ref="W540">IF($C$4="Giao", _xludf.Xlookup(C540,#REF!,#REF!,),)</f>
        <v>0</v>
      </c>
      <c r="X540" s="9">
        <f t="shared" si="8"/>
        <v>0</v>
      </c>
      <c r="Y540" s="7"/>
      <c r="Z540" s="7"/>
    </row>
    <row r="541" spans="1:26" ht="13" x14ac:dyDescent="0.6">
      <c r="A541" s="28" t="str">
        <f t="shared" si="7"/>
        <v/>
      </c>
      <c r="B541" s="7"/>
      <c r="C541" s="7"/>
      <c r="D541" s="9"/>
      <c r="E541" s="9"/>
      <c r="F541" s="9"/>
      <c r="G541" s="9"/>
      <c r="H541" s="9"/>
      <c r="I541" s="9"/>
      <c r="J541" s="9"/>
      <c r="K541" s="9"/>
      <c r="L541" s="9"/>
      <c r="M541" s="9"/>
      <c r="N541" s="9"/>
      <c r="O541" s="9"/>
      <c r="P541" s="29"/>
      <c r="Q541" s="29"/>
      <c r="R541" s="7"/>
      <c r="S541" s="7"/>
      <c r="T541" s="7" t="str">
        <f ca="1">IFERROR(__xludf.DUMMYFUNCTION("SPARKLINE({
IF(D541="""",0,D541),
IF(F541="""",0,F541),
IF(H541="""",0,H541),
IF(J541="""",0,J541),
IF(L541="""",0,L541),
IF(N541="""",0,N541),
IF(P541="""",0,P541)
})"),"")</f>
        <v/>
      </c>
      <c r="U541" s="7" t="str">
        <f ca="1">IFERROR(__xludf.DUMMYFUNCTION("SPARKLINE({
IF(E541="""",0,E541),
IF(G541="""",0,G541),
IF(I541="""",0,I541),
IF(K541="""",0,K541),
IF(M541="""",0,M541),
IF(O541="""",0,O541),
IF(Q541="""",0,Q541)
})"),"")</f>
        <v/>
      </c>
      <c r="V541" s="8" t="e">
        <f t="array" aca="1" ref="V541" ca="1">IF($C$4="Giao",_xludf.Xlookup(C541,#REF!,#REF!,),_xludf.Xlookup(C541,#REF!,#REF!,))</f>
        <v>#NAME?</v>
      </c>
      <c r="W541" s="8">
        <f t="array" ref="W541">IF($C$4="Giao", _xludf.Xlookup(C541,#REF!,#REF!,),)</f>
        <v>0</v>
      </c>
      <c r="X541" s="9">
        <f t="shared" si="8"/>
        <v>0</v>
      </c>
      <c r="Y541" s="7"/>
      <c r="Z541" s="7"/>
    </row>
    <row r="542" spans="1:26" ht="13" x14ac:dyDescent="0.6">
      <c r="A542" s="28" t="str">
        <f t="shared" si="7"/>
        <v/>
      </c>
      <c r="B542" s="7"/>
      <c r="C542" s="7"/>
      <c r="D542" s="9"/>
      <c r="E542" s="9"/>
      <c r="F542" s="9"/>
      <c r="G542" s="9"/>
      <c r="H542" s="9"/>
      <c r="I542" s="9"/>
      <c r="J542" s="9"/>
      <c r="K542" s="9"/>
      <c r="L542" s="9"/>
      <c r="M542" s="9"/>
      <c r="N542" s="9"/>
      <c r="O542" s="9"/>
      <c r="P542" s="29"/>
      <c r="Q542" s="29"/>
      <c r="R542" s="7"/>
      <c r="S542" s="7"/>
      <c r="T542" s="7" t="str">
        <f ca="1">IFERROR(__xludf.DUMMYFUNCTION("SPARKLINE({
IF(D542="""",0,D542),
IF(F542="""",0,F542),
IF(H542="""",0,H542),
IF(J542="""",0,J542),
IF(L542="""",0,L542),
IF(N542="""",0,N542),
IF(P542="""",0,P542)
})"),"")</f>
        <v/>
      </c>
      <c r="U542" s="7" t="str">
        <f ca="1">IFERROR(__xludf.DUMMYFUNCTION("SPARKLINE({
IF(E542="""",0,E542),
IF(G542="""",0,G542),
IF(I542="""",0,I542),
IF(K542="""",0,K542),
IF(M542="""",0,M542),
IF(O542="""",0,O542),
IF(Q542="""",0,Q542)
})"),"")</f>
        <v/>
      </c>
      <c r="V542" s="8" t="e">
        <f t="array" aca="1" ref="V542" ca="1">IF($C$4="Giao",_xludf.Xlookup(C542,#REF!,#REF!,),_xludf.Xlookup(C542,#REF!,#REF!,))</f>
        <v>#NAME?</v>
      </c>
      <c r="W542" s="8">
        <f t="array" ref="W542">IF($C$4="Giao", _xludf.Xlookup(C542,#REF!,#REF!,),)</f>
        <v>0</v>
      </c>
      <c r="X542" s="9">
        <f t="shared" si="8"/>
        <v>0</v>
      </c>
      <c r="Y542" s="7"/>
      <c r="Z542" s="7"/>
    </row>
    <row r="543" spans="1:26" ht="13" x14ac:dyDescent="0.6">
      <c r="A543" s="28" t="str">
        <f t="shared" si="7"/>
        <v/>
      </c>
      <c r="B543" s="7"/>
      <c r="C543" s="7"/>
      <c r="D543" s="9"/>
      <c r="E543" s="9"/>
      <c r="F543" s="9"/>
      <c r="G543" s="9"/>
      <c r="H543" s="9"/>
      <c r="I543" s="9"/>
      <c r="J543" s="9"/>
      <c r="K543" s="9"/>
      <c r="L543" s="9"/>
      <c r="M543" s="9"/>
      <c r="N543" s="9"/>
      <c r="O543" s="9"/>
      <c r="P543" s="29"/>
      <c r="Q543" s="29"/>
      <c r="R543" s="7"/>
      <c r="S543" s="7"/>
      <c r="T543" s="7" t="str">
        <f ca="1">IFERROR(__xludf.DUMMYFUNCTION("SPARKLINE({
IF(D543="""",0,D543),
IF(F543="""",0,F543),
IF(H543="""",0,H543),
IF(J543="""",0,J543),
IF(L543="""",0,L543),
IF(N543="""",0,N543),
IF(P543="""",0,P543)
})"),"")</f>
        <v/>
      </c>
      <c r="U543" s="7" t="str">
        <f ca="1">IFERROR(__xludf.DUMMYFUNCTION("SPARKLINE({
IF(E543="""",0,E543),
IF(G543="""",0,G543),
IF(I543="""",0,I543),
IF(K543="""",0,K543),
IF(M543="""",0,M543),
IF(O543="""",0,O543),
IF(Q543="""",0,Q543)
})"),"")</f>
        <v/>
      </c>
      <c r="V543" s="8" t="e">
        <f t="array" aca="1" ref="V543" ca="1">IF($C$4="Giao",_xludf.Xlookup(C543,#REF!,#REF!,),_xludf.Xlookup(C543,#REF!,#REF!,))</f>
        <v>#NAME?</v>
      </c>
      <c r="W543" s="8">
        <f t="array" ref="W543">IF($C$4="Giao", _xludf.Xlookup(C543,#REF!,#REF!,),)</f>
        <v>0</v>
      </c>
      <c r="X543" s="9">
        <f t="shared" si="8"/>
        <v>0</v>
      </c>
      <c r="Y543" s="7"/>
      <c r="Z543" s="7"/>
    </row>
    <row r="544" spans="1:26" ht="13" x14ac:dyDescent="0.6">
      <c r="A544" s="28" t="str">
        <f t="shared" si="7"/>
        <v/>
      </c>
      <c r="B544" s="7"/>
      <c r="C544" s="7"/>
      <c r="D544" s="9"/>
      <c r="E544" s="9"/>
      <c r="F544" s="9"/>
      <c r="G544" s="9"/>
      <c r="H544" s="9"/>
      <c r="I544" s="9"/>
      <c r="J544" s="9"/>
      <c r="K544" s="9"/>
      <c r="L544" s="9"/>
      <c r="M544" s="9"/>
      <c r="N544" s="9"/>
      <c r="O544" s="9"/>
      <c r="P544" s="29"/>
      <c r="Q544" s="29"/>
      <c r="R544" s="7"/>
      <c r="S544" s="7"/>
      <c r="T544" s="7" t="str">
        <f ca="1">IFERROR(__xludf.DUMMYFUNCTION("SPARKLINE({
IF(D544="""",0,D544),
IF(F544="""",0,F544),
IF(H544="""",0,H544),
IF(J544="""",0,J544),
IF(L544="""",0,L544),
IF(N544="""",0,N544),
IF(P544="""",0,P544)
})"),"")</f>
        <v/>
      </c>
      <c r="U544" s="7" t="str">
        <f ca="1">IFERROR(__xludf.DUMMYFUNCTION("SPARKLINE({
IF(E544="""",0,E544),
IF(G544="""",0,G544),
IF(I544="""",0,I544),
IF(K544="""",0,K544),
IF(M544="""",0,M544),
IF(O544="""",0,O544),
IF(Q544="""",0,Q544)
})"),"")</f>
        <v/>
      </c>
      <c r="V544" s="8" t="e">
        <f t="array" aca="1" ref="V544" ca="1">IF($C$4="Giao",_xludf.Xlookup(C544,#REF!,#REF!,),_xludf.Xlookup(C544,#REF!,#REF!,))</f>
        <v>#NAME?</v>
      </c>
      <c r="W544" s="8">
        <f t="array" ref="W544">IF($C$4="Giao", _xludf.Xlookup(C544,#REF!,#REF!,),)</f>
        <v>0</v>
      </c>
      <c r="X544" s="9">
        <f t="shared" si="8"/>
        <v>0</v>
      </c>
      <c r="Y544" s="7"/>
      <c r="Z544" s="7"/>
    </row>
    <row r="545" spans="1:26" ht="13" x14ac:dyDescent="0.6">
      <c r="A545" s="28" t="str">
        <f t="shared" si="7"/>
        <v/>
      </c>
      <c r="B545" s="7"/>
      <c r="C545" s="7"/>
      <c r="D545" s="9"/>
      <c r="E545" s="9"/>
      <c r="F545" s="9"/>
      <c r="G545" s="9"/>
      <c r="H545" s="9"/>
      <c r="I545" s="9"/>
      <c r="J545" s="9"/>
      <c r="K545" s="9"/>
      <c r="L545" s="9"/>
      <c r="M545" s="9"/>
      <c r="N545" s="9"/>
      <c r="O545" s="9"/>
      <c r="P545" s="29"/>
      <c r="Q545" s="29"/>
      <c r="R545" s="7"/>
      <c r="S545" s="7"/>
      <c r="T545" s="7" t="str">
        <f ca="1">IFERROR(__xludf.DUMMYFUNCTION("SPARKLINE({
IF(D545="""",0,D545),
IF(F545="""",0,F545),
IF(H545="""",0,H545),
IF(J545="""",0,J545),
IF(L545="""",0,L545),
IF(N545="""",0,N545),
IF(P545="""",0,P545)
})"),"")</f>
        <v/>
      </c>
      <c r="U545" s="7" t="str">
        <f ca="1">IFERROR(__xludf.DUMMYFUNCTION("SPARKLINE({
IF(E545="""",0,E545),
IF(G545="""",0,G545),
IF(I545="""",0,I545),
IF(K545="""",0,K545),
IF(M545="""",0,M545),
IF(O545="""",0,O545),
IF(Q545="""",0,Q545)
})"),"")</f>
        <v/>
      </c>
      <c r="V545" s="8" t="e">
        <f t="array" aca="1" ref="V545" ca="1">IF($C$4="Giao",_xludf.Xlookup(C545,#REF!,#REF!,),_xludf.Xlookup(C545,#REF!,#REF!,))</f>
        <v>#NAME?</v>
      </c>
      <c r="W545" s="8">
        <f t="array" ref="W545">IF($C$4="Giao", _xludf.Xlookup(C545,#REF!,#REF!,),)</f>
        <v>0</v>
      </c>
      <c r="X545" s="9">
        <f t="shared" si="8"/>
        <v>0</v>
      </c>
      <c r="Y545" s="7"/>
      <c r="Z545" s="7"/>
    </row>
    <row r="546" spans="1:26" ht="13" x14ac:dyDescent="0.6">
      <c r="A546" s="28" t="str">
        <f t="shared" si="7"/>
        <v/>
      </c>
      <c r="B546" s="7"/>
      <c r="C546" s="7"/>
      <c r="D546" s="9"/>
      <c r="E546" s="9"/>
      <c r="F546" s="9"/>
      <c r="G546" s="9"/>
      <c r="H546" s="9"/>
      <c r="I546" s="9"/>
      <c r="J546" s="9"/>
      <c r="K546" s="9"/>
      <c r="L546" s="9"/>
      <c r="M546" s="9"/>
      <c r="N546" s="9"/>
      <c r="O546" s="9"/>
      <c r="P546" s="29"/>
      <c r="Q546" s="29"/>
      <c r="R546" s="7"/>
      <c r="S546" s="7"/>
      <c r="T546" s="7" t="str">
        <f ca="1">IFERROR(__xludf.DUMMYFUNCTION("SPARKLINE({
IF(D546="""",0,D546),
IF(F546="""",0,F546),
IF(H546="""",0,H546),
IF(J546="""",0,J546),
IF(L546="""",0,L546),
IF(N546="""",0,N546),
IF(P546="""",0,P546)
})"),"")</f>
        <v/>
      </c>
      <c r="U546" s="7" t="str">
        <f ca="1">IFERROR(__xludf.DUMMYFUNCTION("SPARKLINE({
IF(E546="""",0,E546),
IF(G546="""",0,G546),
IF(I546="""",0,I546),
IF(K546="""",0,K546),
IF(M546="""",0,M546),
IF(O546="""",0,O546),
IF(Q546="""",0,Q546)
})"),"")</f>
        <v/>
      </c>
      <c r="V546" s="8" t="e">
        <f t="array" aca="1" ref="V546" ca="1">IF($C$4="Giao",_xludf.Xlookup(C546,#REF!,#REF!,),_xludf.Xlookup(C546,#REF!,#REF!,))</f>
        <v>#NAME?</v>
      </c>
      <c r="W546" s="8">
        <f t="array" ref="W546">IF($C$4="Giao", _xludf.Xlookup(C546,#REF!,#REF!,),)</f>
        <v>0</v>
      </c>
      <c r="X546" s="9">
        <f t="shared" si="8"/>
        <v>0</v>
      </c>
      <c r="Y546" s="7"/>
      <c r="Z546" s="7"/>
    </row>
    <row r="547" spans="1:26" ht="13" x14ac:dyDescent="0.6">
      <c r="A547" s="28" t="str">
        <f t="shared" si="7"/>
        <v/>
      </c>
      <c r="B547" s="7"/>
      <c r="C547" s="7"/>
      <c r="D547" s="9"/>
      <c r="E547" s="9"/>
      <c r="F547" s="9"/>
      <c r="G547" s="9"/>
      <c r="H547" s="9"/>
      <c r="I547" s="9"/>
      <c r="J547" s="9"/>
      <c r="K547" s="9"/>
      <c r="L547" s="9"/>
      <c r="M547" s="9"/>
      <c r="N547" s="9"/>
      <c r="O547" s="9"/>
      <c r="P547" s="29"/>
      <c r="Q547" s="29"/>
      <c r="R547" s="7"/>
      <c r="S547" s="7"/>
      <c r="T547" s="7" t="str">
        <f ca="1">IFERROR(__xludf.DUMMYFUNCTION("SPARKLINE({
IF(D547="""",0,D547),
IF(F547="""",0,F547),
IF(H547="""",0,H547),
IF(J547="""",0,J547),
IF(L547="""",0,L547),
IF(N547="""",0,N547),
IF(P547="""",0,P547)
})"),"")</f>
        <v/>
      </c>
      <c r="U547" s="7" t="str">
        <f ca="1">IFERROR(__xludf.DUMMYFUNCTION("SPARKLINE({
IF(E547="""",0,E547),
IF(G547="""",0,G547),
IF(I547="""",0,I547),
IF(K547="""",0,K547),
IF(M547="""",0,M547),
IF(O547="""",0,O547),
IF(Q547="""",0,Q547)
})"),"")</f>
        <v/>
      </c>
      <c r="V547" s="8" t="e">
        <f t="array" aca="1" ref="V547" ca="1">IF($C$4="Giao",_xludf.Xlookup(C547,#REF!,#REF!,),_xludf.Xlookup(C547,#REF!,#REF!,))</f>
        <v>#NAME?</v>
      </c>
      <c r="W547" s="8">
        <f t="array" ref="W547">IF($C$4="Giao", _xludf.Xlookup(C547,#REF!,#REF!,),)</f>
        <v>0</v>
      </c>
      <c r="X547" s="9">
        <f t="shared" si="8"/>
        <v>0</v>
      </c>
      <c r="Y547" s="7"/>
      <c r="Z547" s="7"/>
    </row>
    <row r="548" spans="1:26" ht="13" x14ac:dyDescent="0.6">
      <c r="A548" s="28" t="str">
        <f t="shared" si="7"/>
        <v/>
      </c>
      <c r="B548" s="7"/>
      <c r="C548" s="7"/>
      <c r="D548" s="9"/>
      <c r="E548" s="9"/>
      <c r="F548" s="9"/>
      <c r="G548" s="9"/>
      <c r="H548" s="9"/>
      <c r="I548" s="9"/>
      <c r="J548" s="9"/>
      <c r="K548" s="9"/>
      <c r="L548" s="9"/>
      <c r="M548" s="9"/>
      <c r="N548" s="9"/>
      <c r="O548" s="9"/>
      <c r="P548" s="29"/>
      <c r="Q548" s="29"/>
      <c r="R548" s="7"/>
      <c r="S548" s="7"/>
      <c r="T548" s="7" t="str">
        <f ca="1">IFERROR(__xludf.DUMMYFUNCTION("SPARKLINE({
IF(D548="""",0,D548),
IF(F548="""",0,F548),
IF(H548="""",0,H548),
IF(J548="""",0,J548),
IF(L548="""",0,L548),
IF(N548="""",0,N548),
IF(P548="""",0,P548)
})"),"")</f>
        <v/>
      </c>
      <c r="U548" s="7" t="str">
        <f ca="1">IFERROR(__xludf.DUMMYFUNCTION("SPARKLINE({
IF(E548="""",0,E548),
IF(G548="""",0,G548),
IF(I548="""",0,I548),
IF(K548="""",0,K548),
IF(M548="""",0,M548),
IF(O548="""",0,O548),
IF(Q548="""",0,Q548)
})"),"")</f>
        <v/>
      </c>
      <c r="V548" s="8" t="e">
        <f t="array" aca="1" ref="V548" ca="1">IF($C$4="Giao",_xludf.Xlookup(C548,#REF!,#REF!,),_xludf.Xlookup(C548,#REF!,#REF!,))</f>
        <v>#NAME?</v>
      </c>
      <c r="W548" s="8">
        <f t="array" ref="W548">IF($C$4="Giao", _xludf.Xlookup(C548,#REF!,#REF!,),)</f>
        <v>0</v>
      </c>
      <c r="X548" s="9">
        <f t="shared" si="8"/>
        <v>0</v>
      </c>
      <c r="Y548" s="7"/>
      <c r="Z548" s="7"/>
    </row>
    <row r="549" spans="1:26" ht="13" x14ac:dyDescent="0.6">
      <c r="A549" s="28" t="str">
        <f t="shared" si="7"/>
        <v/>
      </c>
      <c r="B549" s="7"/>
      <c r="C549" s="7"/>
      <c r="D549" s="9"/>
      <c r="E549" s="9"/>
      <c r="F549" s="9"/>
      <c r="G549" s="9"/>
      <c r="H549" s="9"/>
      <c r="I549" s="9"/>
      <c r="J549" s="9"/>
      <c r="K549" s="9"/>
      <c r="L549" s="9"/>
      <c r="M549" s="9"/>
      <c r="N549" s="9"/>
      <c r="O549" s="9"/>
      <c r="P549" s="29"/>
      <c r="Q549" s="29"/>
      <c r="R549" s="7"/>
      <c r="S549" s="7"/>
      <c r="T549" s="7" t="str">
        <f ca="1">IFERROR(__xludf.DUMMYFUNCTION("SPARKLINE({
IF(D549="""",0,D549),
IF(F549="""",0,F549),
IF(H549="""",0,H549),
IF(J549="""",0,J549),
IF(L549="""",0,L549),
IF(N549="""",0,N549),
IF(P549="""",0,P549)
})"),"")</f>
        <v/>
      </c>
      <c r="U549" s="7" t="str">
        <f ca="1">IFERROR(__xludf.DUMMYFUNCTION("SPARKLINE({
IF(E549="""",0,E549),
IF(G549="""",0,G549),
IF(I549="""",0,I549),
IF(K549="""",0,K549),
IF(M549="""",0,M549),
IF(O549="""",0,O549),
IF(Q549="""",0,Q549)
})"),"")</f>
        <v/>
      </c>
      <c r="V549" s="8" t="e">
        <f t="array" aca="1" ref="V549" ca="1">IF($C$4="Giao",_xludf.Xlookup(C549,#REF!,#REF!,),_xludf.Xlookup(C549,#REF!,#REF!,))</f>
        <v>#NAME?</v>
      </c>
      <c r="W549" s="8">
        <f t="array" ref="W549">IF($C$4="Giao", _xludf.Xlookup(C549,#REF!,#REF!,),)</f>
        <v>0</v>
      </c>
      <c r="X549" s="9">
        <f t="shared" si="8"/>
        <v>0</v>
      </c>
      <c r="Y549" s="7"/>
      <c r="Z549" s="7"/>
    </row>
    <row r="550" spans="1:26" ht="13" x14ac:dyDescent="0.6">
      <c r="A550" s="28" t="str">
        <f t="shared" si="7"/>
        <v/>
      </c>
      <c r="B550" s="7"/>
      <c r="C550" s="7"/>
      <c r="D550" s="9"/>
      <c r="E550" s="9"/>
      <c r="F550" s="9"/>
      <c r="G550" s="9"/>
      <c r="H550" s="9"/>
      <c r="I550" s="9"/>
      <c r="J550" s="9"/>
      <c r="K550" s="9"/>
      <c r="L550" s="9"/>
      <c r="M550" s="9"/>
      <c r="N550" s="9"/>
      <c r="O550" s="9"/>
      <c r="P550" s="29"/>
      <c r="Q550" s="29"/>
      <c r="R550" s="7"/>
      <c r="S550" s="7"/>
      <c r="T550" s="7" t="str">
        <f ca="1">IFERROR(__xludf.DUMMYFUNCTION("SPARKLINE({
IF(D550="""",0,D550),
IF(F550="""",0,F550),
IF(H550="""",0,H550),
IF(J550="""",0,J550),
IF(L550="""",0,L550),
IF(N550="""",0,N550),
IF(P550="""",0,P550)
})"),"")</f>
        <v/>
      </c>
      <c r="U550" s="7" t="str">
        <f ca="1">IFERROR(__xludf.DUMMYFUNCTION("SPARKLINE({
IF(E550="""",0,E550),
IF(G550="""",0,G550),
IF(I550="""",0,I550),
IF(K550="""",0,K550),
IF(M550="""",0,M550),
IF(O550="""",0,O550),
IF(Q550="""",0,Q550)
})"),"")</f>
        <v/>
      </c>
      <c r="V550" s="8" t="e">
        <f t="array" aca="1" ref="V550" ca="1">IF($C$4="Giao",_xludf.Xlookup(C550,#REF!,#REF!,),_xludf.Xlookup(C550,#REF!,#REF!,))</f>
        <v>#NAME?</v>
      </c>
      <c r="W550" s="8">
        <f t="array" ref="W550">IF($C$4="Giao", _xludf.Xlookup(C550,#REF!,#REF!,),)</f>
        <v>0</v>
      </c>
      <c r="X550" s="9">
        <f t="shared" si="8"/>
        <v>0</v>
      </c>
      <c r="Y550" s="7"/>
      <c r="Z550" s="7"/>
    </row>
    <row r="551" spans="1:26" ht="13" x14ac:dyDescent="0.6">
      <c r="A551" s="28" t="str">
        <f t="shared" si="7"/>
        <v/>
      </c>
      <c r="B551" s="7"/>
      <c r="C551" s="7"/>
      <c r="D551" s="9"/>
      <c r="E551" s="9"/>
      <c r="F551" s="9"/>
      <c r="G551" s="9"/>
      <c r="H551" s="9"/>
      <c r="I551" s="9"/>
      <c r="J551" s="9"/>
      <c r="K551" s="9"/>
      <c r="L551" s="9"/>
      <c r="M551" s="9"/>
      <c r="N551" s="9"/>
      <c r="O551" s="9"/>
      <c r="P551" s="29"/>
      <c r="Q551" s="29"/>
      <c r="R551" s="7"/>
      <c r="S551" s="7"/>
      <c r="T551" s="7" t="str">
        <f ca="1">IFERROR(__xludf.DUMMYFUNCTION("SPARKLINE({
IF(D551="""",0,D551),
IF(F551="""",0,F551),
IF(H551="""",0,H551),
IF(J551="""",0,J551),
IF(L551="""",0,L551),
IF(N551="""",0,N551),
IF(P551="""",0,P551)
})"),"")</f>
        <v/>
      </c>
      <c r="U551" s="7" t="str">
        <f ca="1">IFERROR(__xludf.DUMMYFUNCTION("SPARKLINE({
IF(E551="""",0,E551),
IF(G551="""",0,G551),
IF(I551="""",0,I551),
IF(K551="""",0,K551),
IF(M551="""",0,M551),
IF(O551="""",0,O551),
IF(Q551="""",0,Q551)
})"),"")</f>
        <v/>
      </c>
      <c r="V551" s="8" t="e">
        <f t="array" aca="1" ref="V551" ca="1">IF($C$4="Giao",_xludf.Xlookup(C551,#REF!,#REF!,),_xludf.Xlookup(C551,#REF!,#REF!,))</f>
        <v>#NAME?</v>
      </c>
      <c r="W551" s="8">
        <f t="array" ref="W551">IF($C$4="Giao", _xludf.Xlookup(C551,#REF!,#REF!,),)</f>
        <v>0</v>
      </c>
      <c r="X551" s="9">
        <f t="shared" si="8"/>
        <v>0</v>
      </c>
      <c r="Y551" s="7"/>
      <c r="Z551" s="7"/>
    </row>
    <row r="552" spans="1:26" ht="13" x14ac:dyDescent="0.6">
      <c r="A552" s="28" t="str">
        <f t="shared" si="7"/>
        <v/>
      </c>
      <c r="B552" s="7"/>
      <c r="C552" s="7"/>
      <c r="D552" s="9"/>
      <c r="E552" s="9"/>
      <c r="F552" s="9"/>
      <c r="G552" s="9"/>
      <c r="H552" s="9"/>
      <c r="I552" s="9"/>
      <c r="J552" s="9"/>
      <c r="K552" s="9"/>
      <c r="L552" s="9"/>
      <c r="M552" s="9"/>
      <c r="N552" s="9"/>
      <c r="O552" s="9"/>
      <c r="P552" s="29"/>
      <c r="Q552" s="29"/>
      <c r="R552" s="7"/>
      <c r="S552" s="7"/>
      <c r="T552" s="7" t="str">
        <f ca="1">IFERROR(__xludf.DUMMYFUNCTION("SPARKLINE({
IF(D552="""",0,D552),
IF(F552="""",0,F552),
IF(H552="""",0,H552),
IF(J552="""",0,J552),
IF(L552="""",0,L552),
IF(N552="""",0,N552),
IF(P552="""",0,P552)
})"),"")</f>
        <v/>
      </c>
      <c r="U552" s="7" t="str">
        <f ca="1">IFERROR(__xludf.DUMMYFUNCTION("SPARKLINE({
IF(E552="""",0,E552),
IF(G552="""",0,G552),
IF(I552="""",0,I552),
IF(K552="""",0,K552),
IF(M552="""",0,M552),
IF(O552="""",0,O552),
IF(Q552="""",0,Q552)
})"),"")</f>
        <v/>
      </c>
      <c r="V552" s="8" t="e">
        <f t="array" aca="1" ref="V552" ca="1">IF($C$4="Giao",_xludf.Xlookup(C552,#REF!,#REF!,),_xludf.Xlookup(C552,#REF!,#REF!,))</f>
        <v>#NAME?</v>
      </c>
      <c r="W552" s="8">
        <f t="array" ref="W552">IF($C$4="Giao", _xludf.Xlookup(C552,#REF!,#REF!,),)</f>
        <v>0</v>
      </c>
      <c r="X552" s="9">
        <f t="shared" si="8"/>
        <v>0</v>
      </c>
      <c r="Y552" s="7"/>
      <c r="Z552" s="7"/>
    </row>
    <row r="553" spans="1:26" ht="13" x14ac:dyDescent="0.6">
      <c r="A553" s="28" t="str">
        <f t="shared" si="7"/>
        <v/>
      </c>
      <c r="B553" s="7"/>
      <c r="C553" s="7"/>
      <c r="D553" s="9"/>
      <c r="E553" s="9"/>
      <c r="F553" s="9"/>
      <c r="G553" s="9"/>
      <c r="H553" s="9"/>
      <c r="I553" s="9"/>
      <c r="J553" s="9"/>
      <c r="K553" s="9"/>
      <c r="L553" s="9"/>
      <c r="M553" s="9"/>
      <c r="N553" s="9"/>
      <c r="O553" s="9"/>
      <c r="P553" s="29"/>
      <c r="Q553" s="29"/>
      <c r="R553" s="7"/>
      <c r="S553" s="7"/>
      <c r="T553" s="7" t="str">
        <f ca="1">IFERROR(__xludf.DUMMYFUNCTION("SPARKLINE({
IF(D553="""",0,D553),
IF(F553="""",0,F553),
IF(H553="""",0,H553),
IF(J553="""",0,J553),
IF(L553="""",0,L553),
IF(N553="""",0,N553),
IF(P553="""",0,P553)
})"),"")</f>
        <v/>
      </c>
      <c r="U553" s="7" t="str">
        <f ca="1">IFERROR(__xludf.DUMMYFUNCTION("SPARKLINE({
IF(E553="""",0,E553),
IF(G553="""",0,G553),
IF(I553="""",0,I553),
IF(K553="""",0,K553),
IF(M553="""",0,M553),
IF(O553="""",0,O553),
IF(Q553="""",0,Q553)
})"),"")</f>
        <v/>
      </c>
      <c r="V553" s="8" t="e">
        <f t="array" aca="1" ref="V553" ca="1">IF($C$4="Giao",_xludf.Xlookup(C553,#REF!,#REF!,),_xludf.Xlookup(C553,#REF!,#REF!,))</f>
        <v>#NAME?</v>
      </c>
      <c r="W553" s="8">
        <f t="array" ref="W553">IF($C$4="Giao", _xludf.Xlookup(C553,#REF!,#REF!,),)</f>
        <v>0</v>
      </c>
      <c r="X553" s="9">
        <f t="shared" si="8"/>
        <v>0</v>
      </c>
      <c r="Y553" s="7"/>
      <c r="Z553" s="7"/>
    </row>
    <row r="554" spans="1:26" ht="13" x14ac:dyDescent="0.6">
      <c r="A554" s="28" t="str">
        <f t="shared" si="7"/>
        <v/>
      </c>
      <c r="B554" s="7"/>
      <c r="C554" s="7"/>
      <c r="D554" s="9"/>
      <c r="E554" s="9"/>
      <c r="F554" s="9"/>
      <c r="G554" s="9"/>
      <c r="H554" s="9"/>
      <c r="I554" s="9"/>
      <c r="J554" s="9"/>
      <c r="K554" s="9"/>
      <c r="L554" s="9"/>
      <c r="M554" s="9"/>
      <c r="N554" s="9"/>
      <c r="O554" s="9"/>
      <c r="P554" s="29"/>
      <c r="Q554" s="29"/>
      <c r="R554" s="7"/>
      <c r="S554" s="7"/>
      <c r="T554" s="7" t="str">
        <f ca="1">IFERROR(__xludf.DUMMYFUNCTION("SPARKLINE({
IF(D554="""",0,D554),
IF(F554="""",0,F554),
IF(H554="""",0,H554),
IF(J554="""",0,J554),
IF(L554="""",0,L554),
IF(N554="""",0,N554),
IF(P554="""",0,P554)
})"),"")</f>
        <v/>
      </c>
      <c r="U554" s="7" t="str">
        <f ca="1">IFERROR(__xludf.DUMMYFUNCTION("SPARKLINE({
IF(E554="""",0,E554),
IF(G554="""",0,G554),
IF(I554="""",0,I554),
IF(K554="""",0,K554),
IF(M554="""",0,M554),
IF(O554="""",0,O554),
IF(Q554="""",0,Q554)
})"),"")</f>
        <v/>
      </c>
      <c r="V554" s="8" t="e">
        <f t="array" aca="1" ref="V554" ca="1">IF($C$4="Giao",_xludf.Xlookup(C554,#REF!,#REF!,),_xludf.Xlookup(C554,#REF!,#REF!,))</f>
        <v>#NAME?</v>
      </c>
      <c r="W554" s="8">
        <f t="array" ref="W554">IF($C$4="Giao", _xludf.Xlookup(C554,#REF!,#REF!,),)</f>
        <v>0</v>
      </c>
      <c r="X554" s="9">
        <f t="shared" si="8"/>
        <v>0</v>
      </c>
      <c r="Y554" s="7"/>
      <c r="Z554" s="7"/>
    </row>
    <row r="555" spans="1:26" ht="13" x14ac:dyDescent="0.6">
      <c r="A555" s="28" t="str">
        <f t="shared" si="7"/>
        <v/>
      </c>
      <c r="B555" s="7"/>
      <c r="C555" s="7"/>
      <c r="D555" s="9"/>
      <c r="E555" s="9"/>
      <c r="F555" s="9"/>
      <c r="G555" s="9"/>
      <c r="H555" s="9"/>
      <c r="I555" s="9"/>
      <c r="J555" s="9"/>
      <c r="K555" s="9"/>
      <c r="L555" s="9"/>
      <c r="M555" s="9"/>
      <c r="N555" s="9"/>
      <c r="O555" s="9"/>
      <c r="P555" s="29"/>
      <c r="Q555" s="29"/>
      <c r="R555" s="7"/>
      <c r="S555" s="7"/>
      <c r="T555" s="7" t="str">
        <f ca="1">IFERROR(__xludf.DUMMYFUNCTION("SPARKLINE({
IF(D555="""",0,D555),
IF(F555="""",0,F555),
IF(H555="""",0,H555),
IF(J555="""",0,J555),
IF(L555="""",0,L555),
IF(N555="""",0,N555),
IF(P555="""",0,P555)
})"),"")</f>
        <v/>
      </c>
      <c r="U555" s="7" t="str">
        <f ca="1">IFERROR(__xludf.DUMMYFUNCTION("SPARKLINE({
IF(E555="""",0,E555),
IF(G555="""",0,G555),
IF(I555="""",0,I555),
IF(K555="""",0,K555),
IF(M555="""",0,M555),
IF(O555="""",0,O555),
IF(Q555="""",0,Q555)
})"),"")</f>
        <v/>
      </c>
      <c r="V555" s="8" t="e">
        <f t="array" aca="1" ref="V555" ca="1">IF($C$4="Giao",_xludf.Xlookup(C555,#REF!,#REF!,),_xludf.Xlookup(C555,#REF!,#REF!,))</f>
        <v>#NAME?</v>
      </c>
      <c r="W555" s="8">
        <f t="array" ref="W555">IF($C$4="Giao", _xludf.Xlookup(C555,#REF!,#REF!,),)</f>
        <v>0</v>
      </c>
      <c r="X555" s="9">
        <f t="shared" si="8"/>
        <v>0</v>
      </c>
      <c r="Y555" s="7"/>
      <c r="Z555" s="7"/>
    </row>
    <row r="556" spans="1:26" ht="13" x14ac:dyDescent="0.6">
      <c r="A556" s="28" t="str">
        <f t="shared" si="7"/>
        <v/>
      </c>
      <c r="B556" s="7"/>
      <c r="C556" s="7"/>
      <c r="D556" s="9"/>
      <c r="E556" s="9"/>
      <c r="F556" s="9"/>
      <c r="G556" s="9"/>
      <c r="H556" s="9"/>
      <c r="I556" s="9"/>
      <c r="J556" s="9"/>
      <c r="K556" s="9"/>
      <c r="L556" s="9"/>
      <c r="M556" s="9"/>
      <c r="N556" s="9"/>
      <c r="O556" s="9"/>
      <c r="P556" s="29"/>
      <c r="Q556" s="29"/>
      <c r="R556" s="7"/>
      <c r="S556" s="7"/>
      <c r="T556" s="7" t="str">
        <f ca="1">IFERROR(__xludf.DUMMYFUNCTION("SPARKLINE({
IF(D556="""",0,D556),
IF(F556="""",0,F556),
IF(H556="""",0,H556),
IF(J556="""",0,J556),
IF(L556="""",0,L556),
IF(N556="""",0,N556),
IF(P556="""",0,P556)
})"),"")</f>
        <v/>
      </c>
      <c r="U556" s="7" t="str">
        <f ca="1">IFERROR(__xludf.DUMMYFUNCTION("SPARKLINE({
IF(E556="""",0,E556),
IF(G556="""",0,G556),
IF(I556="""",0,I556),
IF(K556="""",0,K556),
IF(M556="""",0,M556),
IF(O556="""",0,O556),
IF(Q556="""",0,Q556)
})"),"")</f>
        <v/>
      </c>
      <c r="V556" s="8" t="e">
        <f t="array" aca="1" ref="V556" ca="1">IF($C$4="Giao",_xludf.Xlookup(C556,#REF!,#REF!,),_xludf.Xlookup(C556,#REF!,#REF!,))</f>
        <v>#NAME?</v>
      </c>
      <c r="W556" s="8">
        <f t="array" ref="W556">IF($C$4="Giao", _xludf.Xlookup(C556,#REF!,#REF!,),)</f>
        <v>0</v>
      </c>
      <c r="X556" s="9">
        <f t="shared" si="8"/>
        <v>0</v>
      </c>
      <c r="Y556" s="7"/>
      <c r="Z556" s="7"/>
    </row>
    <row r="557" spans="1:26" ht="13" x14ac:dyDescent="0.6">
      <c r="A557" s="28" t="str">
        <f t="shared" si="7"/>
        <v/>
      </c>
      <c r="B557" s="7"/>
      <c r="C557" s="7"/>
      <c r="D557" s="9"/>
      <c r="E557" s="9"/>
      <c r="F557" s="9"/>
      <c r="G557" s="9"/>
      <c r="H557" s="9"/>
      <c r="I557" s="9"/>
      <c r="J557" s="9"/>
      <c r="K557" s="9"/>
      <c r="L557" s="9"/>
      <c r="M557" s="9"/>
      <c r="N557" s="9"/>
      <c r="O557" s="9"/>
      <c r="P557" s="29"/>
      <c r="Q557" s="29"/>
      <c r="R557" s="7"/>
      <c r="S557" s="7"/>
      <c r="T557" s="7" t="str">
        <f ca="1">IFERROR(__xludf.DUMMYFUNCTION("SPARKLINE({
IF(D557="""",0,D557),
IF(F557="""",0,F557),
IF(H557="""",0,H557),
IF(J557="""",0,J557),
IF(L557="""",0,L557),
IF(N557="""",0,N557),
IF(P557="""",0,P557)
})"),"")</f>
        <v/>
      </c>
      <c r="U557" s="7" t="str">
        <f ca="1">IFERROR(__xludf.DUMMYFUNCTION("SPARKLINE({
IF(E557="""",0,E557),
IF(G557="""",0,G557),
IF(I557="""",0,I557),
IF(K557="""",0,K557),
IF(M557="""",0,M557),
IF(O557="""",0,O557),
IF(Q557="""",0,Q557)
})"),"")</f>
        <v/>
      </c>
      <c r="V557" s="8" t="e">
        <f t="array" aca="1" ref="V557" ca="1">IF($C$4="Giao",_xludf.Xlookup(C557,#REF!,#REF!,),_xludf.Xlookup(C557,#REF!,#REF!,))</f>
        <v>#NAME?</v>
      </c>
      <c r="W557" s="8">
        <f t="array" ref="W557">IF($C$4="Giao", _xludf.Xlookup(C557,#REF!,#REF!,),)</f>
        <v>0</v>
      </c>
      <c r="X557" s="9">
        <f t="shared" si="8"/>
        <v>0</v>
      </c>
      <c r="Y557" s="7"/>
      <c r="Z557" s="7"/>
    </row>
    <row r="558" spans="1:26" ht="13" x14ac:dyDescent="0.6">
      <c r="A558" s="28" t="str">
        <f t="shared" si="7"/>
        <v/>
      </c>
      <c r="B558" s="7"/>
      <c r="C558" s="7"/>
      <c r="D558" s="9"/>
      <c r="E558" s="9"/>
      <c r="F558" s="9"/>
      <c r="G558" s="9"/>
      <c r="H558" s="9"/>
      <c r="I558" s="9"/>
      <c r="J558" s="9"/>
      <c r="K558" s="9"/>
      <c r="L558" s="9"/>
      <c r="M558" s="9"/>
      <c r="N558" s="9"/>
      <c r="O558" s="9"/>
      <c r="P558" s="29"/>
      <c r="Q558" s="29"/>
      <c r="R558" s="7"/>
      <c r="S558" s="7"/>
      <c r="T558" s="7" t="str">
        <f ca="1">IFERROR(__xludf.DUMMYFUNCTION("SPARKLINE({
IF(D558="""",0,D558),
IF(F558="""",0,F558),
IF(H558="""",0,H558),
IF(J558="""",0,J558),
IF(L558="""",0,L558),
IF(N558="""",0,N558),
IF(P558="""",0,P558)
})"),"")</f>
        <v/>
      </c>
      <c r="U558" s="7" t="str">
        <f ca="1">IFERROR(__xludf.DUMMYFUNCTION("SPARKLINE({
IF(E558="""",0,E558),
IF(G558="""",0,G558),
IF(I558="""",0,I558),
IF(K558="""",0,K558),
IF(M558="""",0,M558),
IF(O558="""",0,O558),
IF(Q558="""",0,Q558)
})"),"")</f>
        <v/>
      </c>
      <c r="V558" s="8" t="e">
        <f t="array" aca="1" ref="V558" ca="1">IF($C$4="Giao",_xludf.Xlookup(C558,#REF!,#REF!,),_xludf.Xlookup(C558,#REF!,#REF!,))</f>
        <v>#NAME?</v>
      </c>
      <c r="W558" s="8">
        <f t="array" ref="W558">IF($C$4="Giao", _xludf.Xlookup(C558,#REF!,#REF!,),)</f>
        <v>0</v>
      </c>
      <c r="X558" s="9">
        <f t="shared" si="8"/>
        <v>0</v>
      </c>
      <c r="Y558" s="7"/>
      <c r="Z558" s="7"/>
    </row>
    <row r="559" spans="1:26" ht="13" x14ac:dyDescent="0.6">
      <c r="A559" s="28" t="str">
        <f t="shared" si="7"/>
        <v/>
      </c>
      <c r="B559" s="7"/>
      <c r="C559" s="7"/>
      <c r="D559" s="9"/>
      <c r="E559" s="9"/>
      <c r="F559" s="9"/>
      <c r="G559" s="9"/>
      <c r="H559" s="9"/>
      <c r="I559" s="9"/>
      <c r="J559" s="9"/>
      <c r="K559" s="9"/>
      <c r="L559" s="9"/>
      <c r="M559" s="9"/>
      <c r="N559" s="9"/>
      <c r="O559" s="9"/>
      <c r="P559" s="29"/>
      <c r="Q559" s="29"/>
      <c r="R559" s="7"/>
      <c r="S559" s="7"/>
      <c r="T559" s="7" t="str">
        <f ca="1">IFERROR(__xludf.DUMMYFUNCTION("SPARKLINE({
IF(D559="""",0,D559),
IF(F559="""",0,F559),
IF(H559="""",0,H559),
IF(J559="""",0,J559),
IF(L559="""",0,L559),
IF(N559="""",0,N559),
IF(P559="""",0,P559)
})"),"")</f>
        <v/>
      </c>
      <c r="U559" s="7" t="str">
        <f ca="1">IFERROR(__xludf.DUMMYFUNCTION("SPARKLINE({
IF(E559="""",0,E559),
IF(G559="""",0,G559),
IF(I559="""",0,I559),
IF(K559="""",0,K559),
IF(M559="""",0,M559),
IF(O559="""",0,O559),
IF(Q559="""",0,Q559)
})"),"")</f>
        <v/>
      </c>
      <c r="V559" s="8" t="e">
        <f t="array" aca="1" ref="V559" ca="1">IF($C$4="Giao",_xludf.Xlookup(C559,#REF!,#REF!,),_xludf.Xlookup(C559,#REF!,#REF!,))</f>
        <v>#NAME?</v>
      </c>
      <c r="W559" s="8">
        <f t="array" ref="W559">IF($C$4="Giao", _xludf.Xlookup(C559,#REF!,#REF!,),)</f>
        <v>0</v>
      </c>
      <c r="X559" s="9">
        <f t="shared" si="8"/>
        <v>0</v>
      </c>
      <c r="Y559" s="7"/>
      <c r="Z559" s="7"/>
    </row>
    <row r="560" spans="1:26" ht="13" x14ac:dyDescent="0.6">
      <c r="A560" s="28" t="str">
        <f t="shared" si="7"/>
        <v/>
      </c>
      <c r="B560" s="7"/>
      <c r="C560" s="7"/>
      <c r="D560" s="9"/>
      <c r="E560" s="9"/>
      <c r="F560" s="9"/>
      <c r="G560" s="9"/>
      <c r="H560" s="9"/>
      <c r="I560" s="9"/>
      <c r="J560" s="9"/>
      <c r="K560" s="9"/>
      <c r="L560" s="9"/>
      <c r="M560" s="9"/>
      <c r="N560" s="9"/>
      <c r="O560" s="9"/>
      <c r="P560" s="29"/>
      <c r="Q560" s="29"/>
      <c r="R560" s="7"/>
      <c r="S560" s="7"/>
      <c r="T560" s="7" t="str">
        <f ca="1">IFERROR(__xludf.DUMMYFUNCTION("SPARKLINE({
IF(D560="""",0,D560),
IF(F560="""",0,F560),
IF(H560="""",0,H560),
IF(J560="""",0,J560),
IF(L560="""",0,L560),
IF(N560="""",0,N560),
IF(P560="""",0,P560)
})"),"")</f>
        <v/>
      </c>
      <c r="U560" s="7" t="str">
        <f ca="1">IFERROR(__xludf.DUMMYFUNCTION("SPARKLINE({
IF(E560="""",0,E560),
IF(G560="""",0,G560),
IF(I560="""",0,I560),
IF(K560="""",0,K560),
IF(M560="""",0,M560),
IF(O560="""",0,O560),
IF(Q560="""",0,Q560)
})"),"")</f>
        <v/>
      </c>
      <c r="V560" s="8" t="e">
        <f t="array" aca="1" ref="V560" ca="1">IF($C$4="Giao",_xludf.Xlookup(C560,#REF!,#REF!,),_xludf.Xlookup(C560,#REF!,#REF!,))</f>
        <v>#NAME?</v>
      </c>
      <c r="W560" s="8">
        <f t="array" ref="W560">IF($C$4="Giao", _xludf.Xlookup(C560,#REF!,#REF!,),)</f>
        <v>0</v>
      </c>
      <c r="X560" s="9">
        <f t="shared" si="8"/>
        <v>0</v>
      </c>
      <c r="Y560" s="7"/>
      <c r="Z560" s="7"/>
    </row>
    <row r="561" spans="1:26" ht="13" x14ac:dyDescent="0.6">
      <c r="A561" s="28" t="str">
        <f t="shared" si="7"/>
        <v/>
      </c>
      <c r="B561" s="7"/>
      <c r="C561" s="7"/>
      <c r="D561" s="9"/>
      <c r="E561" s="9"/>
      <c r="F561" s="9"/>
      <c r="G561" s="9"/>
      <c r="H561" s="9"/>
      <c r="I561" s="9"/>
      <c r="J561" s="9"/>
      <c r="K561" s="9"/>
      <c r="L561" s="9"/>
      <c r="M561" s="9"/>
      <c r="N561" s="9"/>
      <c r="O561" s="9"/>
      <c r="P561" s="29"/>
      <c r="Q561" s="29"/>
      <c r="R561" s="7"/>
      <c r="S561" s="7"/>
      <c r="T561" s="7" t="str">
        <f ca="1">IFERROR(__xludf.DUMMYFUNCTION("SPARKLINE({
IF(D561="""",0,D561),
IF(F561="""",0,F561),
IF(H561="""",0,H561),
IF(J561="""",0,J561),
IF(L561="""",0,L561),
IF(N561="""",0,N561),
IF(P561="""",0,P561)
})"),"")</f>
        <v/>
      </c>
      <c r="U561" s="7" t="str">
        <f ca="1">IFERROR(__xludf.DUMMYFUNCTION("SPARKLINE({
IF(E561="""",0,E561),
IF(G561="""",0,G561),
IF(I561="""",0,I561),
IF(K561="""",0,K561),
IF(M561="""",0,M561),
IF(O561="""",0,O561),
IF(Q561="""",0,Q561)
})"),"")</f>
        <v/>
      </c>
      <c r="V561" s="8" t="e">
        <f t="array" aca="1" ref="V561" ca="1">IF($C$4="Giao",_xludf.Xlookup(C561,#REF!,#REF!,),_xludf.Xlookup(C561,#REF!,#REF!,))</f>
        <v>#NAME?</v>
      </c>
      <c r="W561" s="8">
        <f t="array" ref="W561">IF($C$4="Giao", _xludf.Xlookup(C561,#REF!,#REF!,),)</f>
        <v>0</v>
      </c>
      <c r="X561" s="9">
        <f t="shared" si="8"/>
        <v>0</v>
      </c>
      <c r="Y561" s="7"/>
      <c r="Z561" s="7"/>
    </row>
    <row r="562" spans="1:26" ht="13" x14ac:dyDescent="0.6">
      <c r="A562" s="28" t="str">
        <f t="shared" si="7"/>
        <v/>
      </c>
      <c r="B562" s="7"/>
      <c r="C562" s="7"/>
      <c r="D562" s="9"/>
      <c r="E562" s="9"/>
      <c r="F562" s="9"/>
      <c r="G562" s="9"/>
      <c r="H562" s="9"/>
      <c r="I562" s="9"/>
      <c r="J562" s="9"/>
      <c r="K562" s="9"/>
      <c r="L562" s="9"/>
      <c r="M562" s="9"/>
      <c r="N562" s="9"/>
      <c r="O562" s="9"/>
      <c r="P562" s="29"/>
      <c r="Q562" s="29"/>
      <c r="R562" s="7"/>
      <c r="S562" s="7"/>
      <c r="T562" s="7" t="str">
        <f ca="1">IFERROR(__xludf.DUMMYFUNCTION("SPARKLINE({
IF(D562="""",0,D562),
IF(F562="""",0,F562),
IF(H562="""",0,H562),
IF(J562="""",0,J562),
IF(L562="""",0,L562),
IF(N562="""",0,N562),
IF(P562="""",0,P562)
})"),"")</f>
        <v/>
      </c>
      <c r="U562" s="7" t="str">
        <f ca="1">IFERROR(__xludf.DUMMYFUNCTION("SPARKLINE({
IF(E562="""",0,E562),
IF(G562="""",0,G562),
IF(I562="""",0,I562),
IF(K562="""",0,K562),
IF(M562="""",0,M562),
IF(O562="""",0,O562),
IF(Q562="""",0,Q562)
})"),"")</f>
        <v/>
      </c>
      <c r="V562" s="8" t="e">
        <f t="array" aca="1" ref="V562" ca="1">IF($C$4="Giao",_xludf.Xlookup(C562,#REF!,#REF!,),_xludf.Xlookup(C562,#REF!,#REF!,))</f>
        <v>#NAME?</v>
      </c>
      <c r="W562" s="8">
        <f t="array" ref="W562">IF($C$4="Giao", _xludf.Xlookup(C562,#REF!,#REF!,),)</f>
        <v>0</v>
      </c>
      <c r="X562" s="9">
        <f t="shared" si="8"/>
        <v>0</v>
      </c>
      <c r="Y562" s="7"/>
      <c r="Z562" s="7"/>
    </row>
    <row r="563" spans="1:26" ht="13" x14ac:dyDescent="0.6">
      <c r="A563" s="28" t="str">
        <f t="shared" si="7"/>
        <v/>
      </c>
      <c r="B563" s="7"/>
      <c r="C563" s="7"/>
      <c r="D563" s="9"/>
      <c r="E563" s="9"/>
      <c r="F563" s="9"/>
      <c r="G563" s="9"/>
      <c r="H563" s="9"/>
      <c r="I563" s="9"/>
      <c r="J563" s="9"/>
      <c r="K563" s="9"/>
      <c r="L563" s="9"/>
      <c r="M563" s="9"/>
      <c r="N563" s="9"/>
      <c r="O563" s="9"/>
      <c r="P563" s="29"/>
      <c r="Q563" s="29"/>
      <c r="R563" s="7"/>
      <c r="S563" s="7"/>
      <c r="T563" s="7" t="str">
        <f ca="1">IFERROR(__xludf.DUMMYFUNCTION("SPARKLINE({
IF(D563="""",0,D563),
IF(F563="""",0,F563),
IF(H563="""",0,H563),
IF(J563="""",0,J563),
IF(L563="""",0,L563),
IF(N563="""",0,N563),
IF(P563="""",0,P563)
})"),"")</f>
        <v/>
      </c>
      <c r="U563" s="7" t="str">
        <f ca="1">IFERROR(__xludf.DUMMYFUNCTION("SPARKLINE({
IF(E563="""",0,E563),
IF(G563="""",0,G563),
IF(I563="""",0,I563),
IF(K563="""",0,K563),
IF(M563="""",0,M563),
IF(O563="""",0,O563),
IF(Q563="""",0,Q563)
})"),"")</f>
        <v/>
      </c>
      <c r="V563" s="8" t="e">
        <f t="array" aca="1" ref="V563" ca="1">IF($C$4="Giao",_xludf.Xlookup(C563,#REF!,#REF!,),_xludf.Xlookup(C563,#REF!,#REF!,))</f>
        <v>#NAME?</v>
      </c>
      <c r="W563" s="8">
        <f t="array" ref="W563">IF($C$4="Giao", _xludf.Xlookup(C563,#REF!,#REF!,),)</f>
        <v>0</v>
      </c>
      <c r="X563" s="9">
        <f t="shared" si="8"/>
        <v>0</v>
      </c>
      <c r="Y563" s="7"/>
      <c r="Z563" s="7"/>
    </row>
    <row r="564" spans="1:26" ht="13" x14ac:dyDescent="0.6">
      <c r="A564" s="28" t="str">
        <f t="shared" si="7"/>
        <v/>
      </c>
      <c r="B564" s="7"/>
      <c r="C564" s="7"/>
      <c r="D564" s="9"/>
      <c r="E564" s="9"/>
      <c r="F564" s="9"/>
      <c r="G564" s="9"/>
      <c r="H564" s="9"/>
      <c r="I564" s="9"/>
      <c r="J564" s="9"/>
      <c r="K564" s="9"/>
      <c r="L564" s="9"/>
      <c r="M564" s="9"/>
      <c r="N564" s="9"/>
      <c r="O564" s="9"/>
      <c r="P564" s="29"/>
      <c r="Q564" s="29"/>
      <c r="R564" s="7"/>
      <c r="S564" s="7"/>
      <c r="T564" s="7" t="str">
        <f ca="1">IFERROR(__xludf.DUMMYFUNCTION("SPARKLINE({
IF(D564="""",0,D564),
IF(F564="""",0,F564),
IF(H564="""",0,H564),
IF(J564="""",0,J564),
IF(L564="""",0,L564),
IF(N564="""",0,N564),
IF(P564="""",0,P564)
})"),"")</f>
        <v/>
      </c>
      <c r="U564" s="7" t="str">
        <f ca="1">IFERROR(__xludf.DUMMYFUNCTION("SPARKLINE({
IF(E564="""",0,E564),
IF(G564="""",0,G564),
IF(I564="""",0,I564),
IF(K564="""",0,K564),
IF(M564="""",0,M564),
IF(O564="""",0,O564),
IF(Q564="""",0,Q564)
})"),"")</f>
        <v/>
      </c>
      <c r="V564" s="8" t="e">
        <f t="array" aca="1" ref="V564" ca="1">IF($C$4="Giao",_xludf.Xlookup(C564,#REF!,#REF!,),_xludf.Xlookup(C564,#REF!,#REF!,))</f>
        <v>#NAME?</v>
      </c>
      <c r="W564" s="8">
        <f t="array" ref="W564">IF($C$4="Giao", _xludf.Xlookup(C564,#REF!,#REF!,),)</f>
        <v>0</v>
      </c>
      <c r="X564" s="9">
        <f t="shared" si="8"/>
        <v>0</v>
      </c>
      <c r="Y564" s="7"/>
      <c r="Z564" s="7"/>
    </row>
    <row r="565" spans="1:26" ht="13" x14ac:dyDescent="0.6">
      <c r="A565" s="28" t="str">
        <f t="shared" si="7"/>
        <v/>
      </c>
      <c r="B565" s="7"/>
      <c r="C565" s="7"/>
      <c r="D565" s="9"/>
      <c r="E565" s="9"/>
      <c r="F565" s="9"/>
      <c r="G565" s="9"/>
      <c r="H565" s="9"/>
      <c r="I565" s="9"/>
      <c r="J565" s="9"/>
      <c r="K565" s="9"/>
      <c r="L565" s="9"/>
      <c r="M565" s="9"/>
      <c r="N565" s="9"/>
      <c r="O565" s="9"/>
      <c r="P565" s="29"/>
      <c r="Q565" s="29"/>
      <c r="R565" s="7"/>
      <c r="S565" s="7"/>
      <c r="T565" s="7" t="str">
        <f ca="1">IFERROR(__xludf.DUMMYFUNCTION("SPARKLINE({
IF(D565="""",0,D565),
IF(F565="""",0,F565),
IF(H565="""",0,H565),
IF(J565="""",0,J565),
IF(L565="""",0,L565),
IF(N565="""",0,N565),
IF(P565="""",0,P565)
})"),"")</f>
        <v/>
      </c>
      <c r="U565" s="7" t="str">
        <f ca="1">IFERROR(__xludf.DUMMYFUNCTION("SPARKLINE({
IF(E565="""",0,E565),
IF(G565="""",0,G565),
IF(I565="""",0,I565),
IF(K565="""",0,K565),
IF(M565="""",0,M565),
IF(O565="""",0,O565),
IF(Q565="""",0,Q565)
})"),"")</f>
        <v/>
      </c>
      <c r="V565" s="8" t="e">
        <f t="array" aca="1" ref="V565" ca="1">IF($C$4="Giao",_xludf.Xlookup(C565,#REF!,#REF!,),_xludf.Xlookup(C565,#REF!,#REF!,))</f>
        <v>#NAME?</v>
      </c>
      <c r="W565" s="8">
        <f t="array" ref="W565">IF($C$4="Giao", _xludf.Xlookup(C565,#REF!,#REF!,),)</f>
        <v>0</v>
      </c>
      <c r="X565" s="9">
        <f t="shared" si="8"/>
        <v>0</v>
      </c>
      <c r="Y565" s="7"/>
      <c r="Z565" s="7"/>
    </row>
    <row r="566" spans="1:26" ht="13" x14ac:dyDescent="0.6">
      <c r="A566" s="28" t="str">
        <f t="shared" si="7"/>
        <v/>
      </c>
      <c r="B566" s="7"/>
      <c r="C566" s="7"/>
      <c r="D566" s="9"/>
      <c r="E566" s="9"/>
      <c r="F566" s="9"/>
      <c r="G566" s="9"/>
      <c r="H566" s="9"/>
      <c r="I566" s="9"/>
      <c r="J566" s="9"/>
      <c r="K566" s="9"/>
      <c r="L566" s="9"/>
      <c r="M566" s="9"/>
      <c r="N566" s="9"/>
      <c r="O566" s="9"/>
      <c r="P566" s="29"/>
      <c r="Q566" s="29"/>
      <c r="R566" s="7"/>
      <c r="S566" s="7"/>
      <c r="T566" s="7" t="str">
        <f ca="1">IFERROR(__xludf.DUMMYFUNCTION("SPARKLINE({
IF(D566="""",0,D566),
IF(F566="""",0,F566),
IF(H566="""",0,H566),
IF(J566="""",0,J566),
IF(L566="""",0,L566),
IF(N566="""",0,N566),
IF(P566="""",0,P566)
})"),"")</f>
        <v/>
      </c>
      <c r="U566" s="7" t="str">
        <f ca="1">IFERROR(__xludf.DUMMYFUNCTION("SPARKLINE({
IF(E566="""",0,E566),
IF(G566="""",0,G566),
IF(I566="""",0,I566),
IF(K566="""",0,K566),
IF(M566="""",0,M566),
IF(O566="""",0,O566),
IF(Q566="""",0,Q566)
})"),"")</f>
        <v/>
      </c>
      <c r="V566" s="8" t="e">
        <f t="array" aca="1" ref="V566" ca="1">IF($C$4="Giao",_xludf.Xlookup(C566,#REF!,#REF!,),_xludf.Xlookup(C566,#REF!,#REF!,))</f>
        <v>#NAME?</v>
      </c>
      <c r="W566" s="8">
        <f t="array" ref="W566">IF($C$4="Giao", _xludf.Xlookup(C566,#REF!,#REF!,),)</f>
        <v>0</v>
      </c>
      <c r="X566" s="9">
        <f t="shared" si="8"/>
        <v>0</v>
      </c>
      <c r="Y566" s="7"/>
      <c r="Z566" s="7"/>
    </row>
    <row r="567" spans="1:26" ht="13" x14ac:dyDescent="0.6">
      <c r="A567" s="28" t="str">
        <f t="shared" si="7"/>
        <v/>
      </c>
      <c r="B567" s="7"/>
      <c r="C567" s="7"/>
      <c r="D567" s="9"/>
      <c r="E567" s="9"/>
      <c r="F567" s="9"/>
      <c r="G567" s="9"/>
      <c r="H567" s="9"/>
      <c r="I567" s="9"/>
      <c r="J567" s="9"/>
      <c r="K567" s="9"/>
      <c r="L567" s="9"/>
      <c r="M567" s="9"/>
      <c r="N567" s="9"/>
      <c r="O567" s="9"/>
      <c r="P567" s="29"/>
      <c r="Q567" s="29"/>
      <c r="R567" s="7"/>
      <c r="S567" s="7"/>
      <c r="T567" s="7" t="str">
        <f ca="1">IFERROR(__xludf.DUMMYFUNCTION("SPARKLINE({
IF(D567="""",0,D567),
IF(F567="""",0,F567),
IF(H567="""",0,H567),
IF(J567="""",0,J567),
IF(L567="""",0,L567),
IF(N567="""",0,N567),
IF(P567="""",0,P567)
})"),"")</f>
        <v/>
      </c>
      <c r="U567" s="7" t="str">
        <f ca="1">IFERROR(__xludf.DUMMYFUNCTION("SPARKLINE({
IF(E567="""",0,E567),
IF(G567="""",0,G567),
IF(I567="""",0,I567),
IF(K567="""",0,K567),
IF(M567="""",0,M567),
IF(O567="""",0,O567),
IF(Q567="""",0,Q567)
})"),"")</f>
        <v/>
      </c>
      <c r="V567" s="8" t="e">
        <f t="array" aca="1" ref="V567" ca="1">IF($C$4="Giao",_xludf.Xlookup(C567,#REF!,#REF!,),_xludf.Xlookup(C567,#REF!,#REF!,))</f>
        <v>#NAME?</v>
      </c>
      <c r="W567" s="8">
        <f t="array" ref="W567">IF($C$4="Giao", _xludf.Xlookup(C567,#REF!,#REF!,),)</f>
        <v>0</v>
      </c>
      <c r="X567" s="9">
        <f t="shared" si="8"/>
        <v>0</v>
      </c>
      <c r="Y567" s="7"/>
      <c r="Z567" s="7"/>
    </row>
    <row r="568" spans="1:26" ht="13" x14ac:dyDescent="0.6">
      <c r="A568" s="28" t="str">
        <f t="shared" si="7"/>
        <v/>
      </c>
      <c r="B568" s="7"/>
      <c r="C568" s="7"/>
      <c r="D568" s="9"/>
      <c r="E568" s="9"/>
      <c r="F568" s="9"/>
      <c r="G568" s="9"/>
      <c r="H568" s="9"/>
      <c r="I568" s="9"/>
      <c r="J568" s="9"/>
      <c r="K568" s="9"/>
      <c r="L568" s="9"/>
      <c r="M568" s="9"/>
      <c r="N568" s="9"/>
      <c r="O568" s="9"/>
      <c r="P568" s="29"/>
      <c r="Q568" s="29"/>
      <c r="R568" s="7"/>
      <c r="S568" s="7"/>
      <c r="T568" s="7" t="str">
        <f ca="1">IFERROR(__xludf.DUMMYFUNCTION("SPARKLINE({
IF(D568="""",0,D568),
IF(F568="""",0,F568),
IF(H568="""",0,H568),
IF(J568="""",0,J568),
IF(L568="""",0,L568),
IF(N568="""",0,N568),
IF(P568="""",0,P568)
})"),"")</f>
        <v/>
      </c>
      <c r="U568" s="7" t="str">
        <f ca="1">IFERROR(__xludf.DUMMYFUNCTION("SPARKLINE({
IF(E568="""",0,E568),
IF(G568="""",0,G568),
IF(I568="""",0,I568),
IF(K568="""",0,K568),
IF(M568="""",0,M568),
IF(O568="""",0,O568),
IF(Q568="""",0,Q568)
})"),"")</f>
        <v/>
      </c>
      <c r="V568" s="8" t="e">
        <f t="array" aca="1" ref="V568" ca="1">IF($C$4="Giao",_xludf.Xlookup(C568,#REF!,#REF!,),_xludf.Xlookup(C568,#REF!,#REF!,))</f>
        <v>#NAME?</v>
      </c>
      <c r="W568" s="8">
        <f t="array" ref="W568">IF($C$4="Giao", _xludf.Xlookup(C568,#REF!,#REF!,),)</f>
        <v>0</v>
      </c>
      <c r="X568" s="9">
        <f t="shared" si="8"/>
        <v>0</v>
      </c>
      <c r="Y568" s="7"/>
      <c r="Z568" s="7"/>
    </row>
    <row r="569" spans="1:26" ht="13" x14ac:dyDescent="0.6">
      <c r="A569" s="28" t="str">
        <f t="shared" si="7"/>
        <v/>
      </c>
      <c r="B569" s="7"/>
      <c r="C569" s="7"/>
      <c r="D569" s="9"/>
      <c r="E569" s="9"/>
      <c r="F569" s="9"/>
      <c r="G569" s="9"/>
      <c r="H569" s="9"/>
      <c r="I569" s="9"/>
      <c r="J569" s="9"/>
      <c r="K569" s="9"/>
      <c r="L569" s="9"/>
      <c r="M569" s="9"/>
      <c r="N569" s="9"/>
      <c r="O569" s="9"/>
      <c r="P569" s="29"/>
      <c r="Q569" s="29"/>
      <c r="R569" s="7"/>
      <c r="S569" s="7"/>
      <c r="T569" s="7" t="str">
        <f ca="1">IFERROR(__xludf.DUMMYFUNCTION("SPARKLINE({
IF(D569="""",0,D569),
IF(F569="""",0,F569),
IF(H569="""",0,H569),
IF(J569="""",0,J569),
IF(L569="""",0,L569),
IF(N569="""",0,N569),
IF(P569="""",0,P569)
})"),"")</f>
        <v/>
      </c>
      <c r="U569" s="7" t="str">
        <f ca="1">IFERROR(__xludf.DUMMYFUNCTION("SPARKLINE({
IF(E569="""",0,E569),
IF(G569="""",0,G569),
IF(I569="""",0,I569),
IF(K569="""",0,K569),
IF(M569="""",0,M569),
IF(O569="""",0,O569),
IF(Q569="""",0,Q569)
})"),"")</f>
        <v/>
      </c>
      <c r="V569" s="8" t="e">
        <f t="array" aca="1" ref="V569" ca="1">IF($C$4="Giao",_xludf.Xlookup(C569,#REF!,#REF!,),_xludf.Xlookup(C569,#REF!,#REF!,))</f>
        <v>#NAME?</v>
      </c>
      <c r="W569" s="8">
        <f t="array" ref="W569">IF($C$4="Giao", _xludf.Xlookup(C569,#REF!,#REF!,),)</f>
        <v>0</v>
      </c>
      <c r="X569" s="9">
        <f t="shared" si="8"/>
        <v>0</v>
      </c>
      <c r="Y569" s="7"/>
      <c r="Z569" s="7"/>
    </row>
    <row r="570" spans="1:26" ht="13" x14ac:dyDescent="0.6">
      <c r="A570" s="28" t="str">
        <f t="shared" si="7"/>
        <v/>
      </c>
      <c r="B570" s="7"/>
      <c r="C570" s="7"/>
      <c r="D570" s="9"/>
      <c r="E570" s="9"/>
      <c r="F570" s="9"/>
      <c r="G570" s="9"/>
      <c r="H570" s="9"/>
      <c r="I570" s="9"/>
      <c r="J570" s="9"/>
      <c r="K570" s="9"/>
      <c r="L570" s="9"/>
      <c r="M570" s="9"/>
      <c r="N570" s="9"/>
      <c r="O570" s="9"/>
      <c r="P570" s="29"/>
      <c r="Q570" s="29"/>
      <c r="R570" s="7"/>
      <c r="S570" s="7"/>
      <c r="T570" s="7" t="str">
        <f ca="1">IFERROR(__xludf.DUMMYFUNCTION("SPARKLINE({
IF(D570="""",0,D570),
IF(F570="""",0,F570),
IF(H570="""",0,H570),
IF(J570="""",0,J570),
IF(L570="""",0,L570),
IF(N570="""",0,N570),
IF(P570="""",0,P570)
})"),"")</f>
        <v/>
      </c>
      <c r="U570" s="7" t="str">
        <f ca="1">IFERROR(__xludf.DUMMYFUNCTION("SPARKLINE({
IF(E570="""",0,E570),
IF(G570="""",0,G570),
IF(I570="""",0,I570),
IF(K570="""",0,K570),
IF(M570="""",0,M570),
IF(O570="""",0,O570),
IF(Q570="""",0,Q570)
})"),"")</f>
        <v/>
      </c>
      <c r="V570" s="8" t="e">
        <f t="array" aca="1" ref="V570" ca="1">IF($C$4="Giao",_xludf.Xlookup(C570,#REF!,#REF!,),_xludf.Xlookup(C570,#REF!,#REF!,))</f>
        <v>#NAME?</v>
      </c>
      <c r="W570" s="8">
        <f t="array" ref="W570">IF($C$4="Giao", _xludf.Xlookup(C570,#REF!,#REF!,),)</f>
        <v>0</v>
      </c>
      <c r="X570" s="9">
        <f t="shared" si="8"/>
        <v>0</v>
      </c>
      <c r="Y570" s="7"/>
      <c r="Z570" s="7"/>
    </row>
    <row r="571" spans="1:26" ht="13" x14ac:dyDescent="0.6">
      <c r="A571" s="28" t="str">
        <f t="shared" si="7"/>
        <v/>
      </c>
      <c r="B571" s="7"/>
      <c r="C571" s="7"/>
      <c r="D571" s="9"/>
      <c r="E571" s="9"/>
      <c r="F571" s="9"/>
      <c r="G571" s="9"/>
      <c r="H571" s="9"/>
      <c r="I571" s="9"/>
      <c r="J571" s="9"/>
      <c r="K571" s="9"/>
      <c r="L571" s="9"/>
      <c r="M571" s="9"/>
      <c r="N571" s="9"/>
      <c r="O571" s="9"/>
      <c r="P571" s="29"/>
      <c r="Q571" s="29"/>
      <c r="R571" s="7"/>
      <c r="S571" s="7"/>
      <c r="T571" s="7" t="str">
        <f ca="1">IFERROR(__xludf.DUMMYFUNCTION("SPARKLINE({
IF(D571="""",0,D571),
IF(F571="""",0,F571),
IF(H571="""",0,H571),
IF(J571="""",0,J571),
IF(L571="""",0,L571),
IF(N571="""",0,N571),
IF(P571="""",0,P571)
})"),"")</f>
        <v/>
      </c>
      <c r="U571" s="7" t="str">
        <f ca="1">IFERROR(__xludf.DUMMYFUNCTION("SPARKLINE({
IF(E571="""",0,E571),
IF(G571="""",0,G571),
IF(I571="""",0,I571),
IF(K571="""",0,K571),
IF(M571="""",0,M571),
IF(O571="""",0,O571),
IF(Q571="""",0,Q571)
})"),"")</f>
        <v/>
      </c>
      <c r="V571" s="8" t="e">
        <f t="array" aca="1" ref="V571" ca="1">IF($C$4="Giao",_xludf.Xlookup(C571,#REF!,#REF!,),_xludf.Xlookup(C571,#REF!,#REF!,))</f>
        <v>#NAME?</v>
      </c>
      <c r="W571" s="8">
        <f t="array" ref="W571">IF($C$4="Giao", _xludf.Xlookup(C571,#REF!,#REF!,),)</f>
        <v>0</v>
      </c>
      <c r="X571" s="9">
        <f t="shared" si="8"/>
        <v>0</v>
      </c>
      <c r="Y571" s="7"/>
      <c r="Z571" s="7"/>
    </row>
    <row r="572" spans="1:26" ht="13" x14ac:dyDescent="0.6">
      <c r="A572" s="28" t="str">
        <f t="shared" si="7"/>
        <v/>
      </c>
      <c r="B572" s="7"/>
      <c r="C572" s="7"/>
      <c r="D572" s="9"/>
      <c r="E572" s="9"/>
      <c r="F572" s="9"/>
      <c r="G572" s="9"/>
      <c r="H572" s="9"/>
      <c r="I572" s="9"/>
      <c r="J572" s="9"/>
      <c r="K572" s="9"/>
      <c r="L572" s="9"/>
      <c r="M572" s="9"/>
      <c r="N572" s="9"/>
      <c r="O572" s="9"/>
      <c r="P572" s="29"/>
      <c r="Q572" s="29"/>
      <c r="R572" s="7"/>
      <c r="S572" s="7"/>
      <c r="T572" s="7" t="str">
        <f ca="1">IFERROR(__xludf.DUMMYFUNCTION("SPARKLINE({
IF(D572="""",0,D572),
IF(F572="""",0,F572),
IF(H572="""",0,H572),
IF(J572="""",0,J572),
IF(L572="""",0,L572),
IF(N572="""",0,N572),
IF(P572="""",0,P572)
})"),"")</f>
        <v/>
      </c>
      <c r="U572" s="7" t="str">
        <f ca="1">IFERROR(__xludf.DUMMYFUNCTION("SPARKLINE({
IF(E572="""",0,E572),
IF(G572="""",0,G572),
IF(I572="""",0,I572),
IF(K572="""",0,K572),
IF(M572="""",0,M572),
IF(O572="""",0,O572),
IF(Q572="""",0,Q572)
})"),"")</f>
        <v/>
      </c>
      <c r="V572" s="8" t="e">
        <f t="array" aca="1" ref="V572" ca="1">IF($C$4="Giao",_xludf.Xlookup(C572,#REF!,#REF!,),_xludf.Xlookup(C572,#REF!,#REF!,))</f>
        <v>#NAME?</v>
      </c>
      <c r="W572" s="8">
        <f t="array" ref="W572">IF($C$4="Giao", _xludf.Xlookup(C572,#REF!,#REF!,),)</f>
        <v>0</v>
      </c>
      <c r="X572" s="9">
        <f t="shared" si="8"/>
        <v>0</v>
      </c>
      <c r="Y572" s="7"/>
      <c r="Z572" s="7"/>
    </row>
    <row r="573" spans="1:26" ht="13" x14ac:dyDescent="0.6">
      <c r="A573" s="28" t="str">
        <f t="shared" si="7"/>
        <v/>
      </c>
      <c r="B573" s="7"/>
      <c r="C573" s="7"/>
      <c r="D573" s="9"/>
      <c r="E573" s="9"/>
      <c r="F573" s="9"/>
      <c r="G573" s="9"/>
      <c r="H573" s="9"/>
      <c r="I573" s="9"/>
      <c r="J573" s="9"/>
      <c r="K573" s="9"/>
      <c r="L573" s="9"/>
      <c r="M573" s="9"/>
      <c r="N573" s="9"/>
      <c r="O573" s="9"/>
      <c r="P573" s="29"/>
      <c r="Q573" s="29"/>
      <c r="R573" s="7"/>
      <c r="S573" s="7"/>
      <c r="T573" s="7" t="str">
        <f ca="1">IFERROR(__xludf.DUMMYFUNCTION("SPARKLINE({
IF(D573="""",0,D573),
IF(F573="""",0,F573),
IF(H573="""",0,H573),
IF(J573="""",0,J573),
IF(L573="""",0,L573),
IF(N573="""",0,N573),
IF(P573="""",0,P573)
})"),"")</f>
        <v/>
      </c>
      <c r="U573" s="7" t="str">
        <f ca="1">IFERROR(__xludf.DUMMYFUNCTION("SPARKLINE({
IF(E573="""",0,E573),
IF(G573="""",0,G573),
IF(I573="""",0,I573),
IF(K573="""",0,K573),
IF(M573="""",0,M573),
IF(O573="""",0,O573),
IF(Q573="""",0,Q573)
})"),"")</f>
        <v/>
      </c>
      <c r="V573" s="8" t="e">
        <f t="array" aca="1" ref="V573" ca="1">IF($C$4="Giao",_xludf.Xlookup(C573,#REF!,#REF!,),_xludf.Xlookup(C573,#REF!,#REF!,))</f>
        <v>#NAME?</v>
      </c>
      <c r="W573" s="8">
        <f t="array" ref="W573">IF($C$4="Giao", _xludf.Xlookup(C573,#REF!,#REF!,),)</f>
        <v>0</v>
      </c>
      <c r="X573" s="9">
        <f t="shared" si="8"/>
        <v>0</v>
      </c>
      <c r="Y573" s="7"/>
      <c r="Z573" s="7"/>
    </row>
    <row r="574" spans="1:26" ht="13" x14ac:dyDescent="0.6">
      <c r="A574" s="28" t="str">
        <f t="shared" si="7"/>
        <v/>
      </c>
      <c r="B574" s="7"/>
      <c r="C574" s="7"/>
      <c r="D574" s="9"/>
      <c r="E574" s="9"/>
      <c r="F574" s="9"/>
      <c r="G574" s="9"/>
      <c r="H574" s="9"/>
      <c r="I574" s="9"/>
      <c r="J574" s="9"/>
      <c r="K574" s="9"/>
      <c r="L574" s="9"/>
      <c r="M574" s="9"/>
      <c r="N574" s="9"/>
      <c r="O574" s="9"/>
      <c r="P574" s="29"/>
      <c r="Q574" s="29"/>
      <c r="R574" s="7"/>
      <c r="S574" s="7"/>
      <c r="T574" s="7" t="str">
        <f ca="1">IFERROR(__xludf.DUMMYFUNCTION("SPARKLINE({
IF(D574="""",0,D574),
IF(F574="""",0,F574),
IF(H574="""",0,H574),
IF(J574="""",0,J574),
IF(L574="""",0,L574),
IF(N574="""",0,N574),
IF(P574="""",0,P574)
})"),"")</f>
        <v/>
      </c>
      <c r="U574" s="7" t="str">
        <f ca="1">IFERROR(__xludf.DUMMYFUNCTION("SPARKLINE({
IF(E574="""",0,E574),
IF(G574="""",0,G574),
IF(I574="""",0,I574),
IF(K574="""",0,K574),
IF(M574="""",0,M574),
IF(O574="""",0,O574),
IF(Q574="""",0,Q574)
})"),"")</f>
        <v/>
      </c>
      <c r="V574" s="8" t="e">
        <f t="array" aca="1" ref="V574" ca="1">IF($C$4="Giao",_xludf.Xlookup(C574,#REF!,#REF!,),_xludf.Xlookup(C574,#REF!,#REF!,))</f>
        <v>#NAME?</v>
      </c>
      <c r="W574" s="8">
        <f t="array" ref="W574">IF($C$4="Giao", _xludf.Xlookup(C574,#REF!,#REF!,),)</f>
        <v>0</v>
      </c>
      <c r="X574" s="9">
        <f t="shared" si="8"/>
        <v>0</v>
      </c>
      <c r="Y574" s="7"/>
      <c r="Z574" s="7"/>
    </row>
    <row r="575" spans="1:26" ht="13" x14ac:dyDescent="0.6">
      <c r="A575" s="28" t="str">
        <f t="shared" si="7"/>
        <v/>
      </c>
      <c r="B575" s="7"/>
      <c r="C575" s="7"/>
      <c r="D575" s="9"/>
      <c r="E575" s="9"/>
      <c r="F575" s="9"/>
      <c r="G575" s="9"/>
      <c r="H575" s="9"/>
      <c r="I575" s="9"/>
      <c r="J575" s="9"/>
      <c r="K575" s="9"/>
      <c r="L575" s="9"/>
      <c r="M575" s="9"/>
      <c r="N575" s="9"/>
      <c r="O575" s="9"/>
      <c r="P575" s="29"/>
      <c r="Q575" s="29"/>
      <c r="R575" s="7"/>
      <c r="S575" s="7"/>
      <c r="T575" s="7" t="str">
        <f ca="1">IFERROR(__xludf.DUMMYFUNCTION("SPARKLINE({
IF(D575="""",0,D575),
IF(F575="""",0,F575),
IF(H575="""",0,H575),
IF(J575="""",0,J575),
IF(L575="""",0,L575),
IF(N575="""",0,N575),
IF(P575="""",0,P575)
})"),"")</f>
        <v/>
      </c>
      <c r="U575" s="7" t="str">
        <f ca="1">IFERROR(__xludf.DUMMYFUNCTION("SPARKLINE({
IF(E575="""",0,E575),
IF(G575="""",0,G575),
IF(I575="""",0,I575),
IF(K575="""",0,K575),
IF(M575="""",0,M575),
IF(O575="""",0,O575),
IF(Q575="""",0,Q575)
})"),"")</f>
        <v/>
      </c>
      <c r="V575" s="8" t="e">
        <f t="array" aca="1" ref="V575" ca="1">IF($C$4="Giao",_xludf.Xlookup(C575,#REF!,#REF!,),_xludf.Xlookup(C575,#REF!,#REF!,))</f>
        <v>#NAME?</v>
      </c>
      <c r="W575" s="8">
        <f t="array" ref="W575">IF($C$4="Giao", _xludf.Xlookup(C575,#REF!,#REF!,),)</f>
        <v>0</v>
      </c>
      <c r="X575" s="9">
        <f t="shared" si="8"/>
        <v>0</v>
      </c>
      <c r="Y575" s="7"/>
      <c r="Z575" s="7"/>
    </row>
    <row r="576" spans="1:26" ht="13" x14ac:dyDescent="0.6">
      <c r="A576" s="28" t="str">
        <f t="shared" si="7"/>
        <v/>
      </c>
      <c r="B576" s="7"/>
      <c r="C576" s="7"/>
      <c r="D576" s="9"/>
      <c r="E576" s="9"/>
      <c r="F576" s="9"/>
      <c r="G576" s="9"/>
      <c r="H576" s="9"/>
      <c r="I576" s="9"/>
      <c r="J576" s="9"/>
      <c r="K576" s="9"/>
      <c r="L576" s="9"/>
      <c r="M576" s="9"/>
      <c r="N576" s="9"/>
      <c r="O576" s="9"/>
      <c r="P576" s="29"/>
      <c r="Q576" s="29"/>
      <c r="R576" s="7"/>
      <c r="S576" s="7"/>
      <c r="T576" s="7" t="str">
        <f ca="1">IFERROR(__xludf.DUMMYFUNCTION("SPARKLINE({
IF(D576="""",0,D576),
IF(F576="""",0,F576),
IF(H576="""",0,H576),
IF(J576="""",0,J576),
IF(L576="""",0,L576),
IF(N576="""",0,N576),
IF(P576="""",0,P576)
})"),"")</f>
        <v/>
      </c>
      <c r="U576" s="7" t="str">
        <f ca="1">IFERROR(__xludf.DUMMYFUNCTION("SPARKLINE({
IF(E576="""",0,E576),
IF(G576="""",0,G576),
IF(I576="""",0,I576),
IF(K576="""",0,K576),
IF(M576="""",0,M576),
IF(O576="""",0,O576),
IF(Q576="""",0,Q576)
})"),"")</f>
        <v/>
      </c>
      <c r="V576" s="8" t="e">
        <f t="array" aca="1" ref="V576" ca="1">IF($C$4="Giao",_xludf.Xlookup(C576,#REF!,#REF!,),_xludf.Xlookup(C576,#REF!,#REF!,))</f>
        <v>#NAME?</v>
      </c>
      <c r="W576" s="8">
        <f t="array" ref="W576">IF($C$4="Giao", _xludf.Xlookup(C576,#REF!,#REF!,),)</f>
        <v>0</v>
      </c>
      <c r="X576" s="9">
        <f t="shared" si="8"/>
        <v>0</v>
      </c>
      <c r="Y576" s="7"/>
      <c r="Z576" s="7"/>
    </row>
    <row r="577" spans="1:26" ht="13" x14ac:dyDescent="0.6">
      <c r="A577" s="28" t="str">
        <f t="shared" si="7"/>
        <v/>
      </c>
      <c r="B577" s="7"/>
      <c r="C577" s="7"/>
      <c r="D577" s="9"/>
      <c r="E577" s="9"/>
      <c r="F577" s="9"/>
      <c r="G577" s="9"/>
      <c r="H577" s="9"/>
      <c r="I577" s="9"/>
      <c r="J577" s="9"/>
      <c r="K577" s="9"/>
      <c r="L577" s="9"/>
      <c r="M577" s="9"/>
      <c r="N577" s="9"/>
      <c r="O577" s="9"/>
      <c r="P577" s="29"/>
      <c r="Q577" s="29"/>
      <c r="R577" s="7"/>
      <c r="S577" s="7"/>
      <c r="T577" s="7" t="str">
        <f ca="1">IFERROR(__xludf.DUMMYFUNCTION("SPARKLINE({
IF(D577="""",0,D577),
IF(F577="""",0,F577),
IF(H577="""",0,H577),
IF(J577="""",0,J577),
IF(L577="""",0,L577),
IF(N577="""",0,N577),
IF(P577="""",0,P577)
})"),"")</f>
        <v/>
      </c>
      <c r="U577" s="7" t="str">
        <f ca="1">IFERROR(__xludf.DUMMYFUNCTION("SPARKLINE({
IF(E577="""",0,E577),
IF(G577="""",0,G577),
IF(I577="""",0,I577),
IF(K577="""",0,K577),
IF(M577="""",0,M577),
IF(O577="""",0,O577),
IF(Q577="""",0,Q577)
})"),"")</f>
        <v/>
      </c>
      <c r="V577" s="8" t="e">
        <f t="array" aca="1" ref="V577" ca="1">IF($C$4="Giao",_xludf.Xlookup(C577,#REF!,#REF!,),_xludf.Xlookup(C577,#REF!,#REF!,))</f>
        <v>#NAME?</v>
      </c>
      <c r="W577" s="8">
        <f t="array" ref="W577">IF($C$4="Giao", _xludf.Xlookup(C577,#REF!,#REF!,),)</f>
        <v>0</v>
      </c>
      <c r="X577" s="9">
        <f t="shared" si="8"/>
        <v>0</v>
      </c>
      <c r="Y577" s="7"/>
      <c r="Z577" s="7"/>
    </row>
    <row r="578" spans="1:26" ht="13" x14ac:dyDescent="0.6">
      <c r="A578" s="28" t="str">
        <f t="shared" si="7"/>
        <v/>
      </c>
      <c r="B578" s="7"/>
      <c r="C578" s="7"/>
      <c r="D578" s="9"/>
      <c r="E578" s="9"/>
      <c r="F578" s="9"/>
      <c r="G578" s="9"/>
      <c r="H578" s="9"/>
      <c r="I578" s="9"/>
      <c r="J578" s="9"/>
      <c r="K578" s="9"/>
      <c r="L578" s="9"/>
      <c r="M578" s="9"/>
      <c r="N578" s="9"/>
      <c r="O578" s="9"/>
      <c r="P578" s="29"/>
      <c r="Q578" s="29"/>
      <c r="R578" s="7"/>
      <c r="S578" s="7"/>
      <c r="T578" s="7" t="str">
        <f ca="1">IFERROR(__xludf.DUMMYFUNCTION("SPARKLINE({
IF(D578="""",0,D578),
IF(F578="""",0,F578),
IF(H578="""",0,H578),
IF(J578="""",0,J578),
IF(L578="""",0,L578),
IF(N578="""",0,N578),
IF(P578="""",0,P578)
})"),"")</f>
        <v/>
      </c>
      <c r="U578" s="7" t="str">
        <f ca="1">IFERROR(__xludf.DUMMYFUNCTION("SPARKLINE({
IF(E578="""",0,E578),
IF(G578="""",0,G578),
IF(I578="""",0,I578),
IF(K578="""",0,K578),
IF(M578="""",0,M578),
IF(O578="""",0,O578),
IF(Q578="""",0,Q578)
})"),"")</f>
        <v/>
      </c>
      <c r="V578" s="8" t="e">
        <f t="array" aca="1" ref="V578" ca="1">IF($C$4="Giao",_xludf.Xlookup(C578,#REF!,#REF!,),_xludf.Xlookup(C578,#REF!,#REF!,))</f>
        <v>#NAME?</v>
      </c>
      <c r="W578" s="8">
        <f t="array" ref="W578">IF($C$4="Giao", _xludf.Xlookup(C578,#REF!,#REF!,),)</f>
        <v>0</v>
      </c>
      <c r="X578" s="9">
        <f t="shared" si="8"/>
        <v>0</v>
      </c>
      <c r="Y578" s="7"/>
      <c r="Z578" s="7"/>
    </row>
    <row r="579" spans="1:26" ht="13" x14ac:dyDescent="0.6">
      <c r="A579" s="28" t="str">
        <f t="shared" si="7"/>
        <v/>
      </c>
      <c r="B579" s="7"/>
      <c r="C579" s="7"/>
      <c r="D579" s="9"/>
      <c r="E579" s="9"/>
      <c r="F579" s="9"/>
      <c r="G579" s="9"/>
      <c r="H579" s="9"/>
      <c r="I579" s="9"/>
      <c r="J579" s="9"/>
      <c r="K579" s="9"/>
      <c r="L579" s="9"/>
      <c r="M579" s="9"/>
      <c r="N579" s="9"/>
      <c r="O579" s="9"/>
      <c r="P579" s="29"/>
      <c r="Q579" s="29"/>
      <c r="R579" s="7"/>
      <c r="S579" s="7"/>
      <c r="T579" s="7" t="str">
        <f ca="1">IFERROR(__xludf.DUMMYFUNCTION("SPARKLINE({
IF(D579="""",0,D579),
IF(F579="""",0,F579),
IF(H579="""",0,H579),
IF(J579="""",0,J579),
IF(L579="""",0,L579),
IF(N579="""",0,N579),
IF(P579="""",0,P579)
})"),"")</f>
        <v/>
      </c>
      <c r="U579" s="7" t="str">
        <f ca="1">IFERROR(__xludf.DUMMYFUNCTION("SPARKLINE({
IF(E579="""",0,E579),
IF(G579="""",0,G579),
IF(I579="""",0,I579),
IF(K579="""",0,K579),
IF(M579="""",0,M579),
IF(O579="""",0,O579),
IF(Q579="""",0,Q579)
})"),"")</f>
        <v/>
      </c>
      <c r="V579" s="8" t="e">
        <f t="array" aca="1" ref="V579" ca="1">IF($C$4="Giao",_xludf.Xlookup(C579,#REF!,#REF!,),_xludf.Xlookup(C579,#REF!,#REF!,))</f>
        <v>#NAME?</v>
      </c>
      <c r="W579" s="8">
        <f t="array" ref="W579">IF($C$4="Giao", _xludf.Xlookup(C579,#REF!,#REF!,),)</f>
        <v>0</v>
      </c>
      <c r="X579" s="9">
        <f t="shared" si="8"/>
        <v>0</v>
      </c>
      <c r="Y579" s="7"/>
      <c r="Z579" s="7"/>
    </row>
    <row r="580" spans="1:26" ht="13" x14ac:dyDescent="0.6">
      <c r="A580" s="28" t="str">
        <f t="shared" si="7"/>
        <v/>
      </c>
      <c r="B580" s="7"/>
      <c r="C580" s="7"/>
      <c r="D580" s="9"/>
      <c r="E580" s="9"/>
      <c r="F580" s="9"/>
      <c r="G580" s="9"/>
      <c r="H580" s="9"/>
      <c r="I580" s="9"/>
      <c r="J580" s="9"/>
      <c r="K580" s="9"/>
      <c r="L580" s="9"/>
      <c r="M580" s="9"/>
      <c r="N580" s="9"/>
      <c r="O580" s="9"/>
      <c r="P580" s="29"/>
      <c r="Q580" s="29"/>
      <c r="R580" s="7"/>
      <c r="S580" s="7"/>
      <c r="T580" s="7" t="str">
        <f ca="1">IFERROR(__xludf.DUMMYFUNCTION("SPARKLINE({
IF(D580="""",0,D580),
IF(F580="""",0,F580),
IF(H580="""",0,H580),
IF(J580="""",0,J580),
IF(L580="""",0,L580),
IF(N580="""",0,N580),
IF(P580="""",0,P580)
})"),"")</f>
        <v/>
      </c>
      <c r="U580" s="7" t="str">
        <f ca="1">IFERROR(__xludf.DUMMYFUNCTION("SPARKLINE({
IF(E580="""",0,E580),
IF(G580="""",0,G580),
IF(I580="""",0,I580),
IF(K580="""",0,K580),
IF(M580="""",0,M580),
IF(O580="""",0,O580),
IF(Q580="""",0,Q580)
})"),"")</f>
        <v/>
      </c>
      <c r="V580" s="8" t="e">
        <f t="array" aca="1" ref="V580" ca="1">IF($C$4="Giao",_xludf.Xlookup(C580,#REF!,#REF!,),_xludf.Xlookup(C580,#REF!,#REF!,))</f>
        <v>#NAME?</v>
      </c>
      <c r="W580" s="8">
        <f t="array" ref="W580">IF($C$4="Giao", _xludf.Xlookup(C580,#REF!,#REF!,),)</f>
        <v>0</v>
      </c>
      <c r="X580" s="9">
        <f t="shared" si="8"/>
        <v>0</v>
      </c>
      <c r="Y580" s="7"/>
      <c r="Z580" s="7"/>
    </row>
    <row r="581" spans="1:26" ht="13" x14ac:dyDescent="0.6">
      <c r="A581" s="28" t="str">
        <f t="shared" si="7"/>
        <v/>
      </c>
      <c r="B581" s="7"/>
      <c r="C581" s="7"/>
      <c r="D581" s="9"/>
      <c r="E581" s="9"/>
      <c r="F581" s="9"/>
      <c r="G581" s="9"/>
      <c r="H581" s="9"/>
      <c r="I581" s="9"/>
      <c r="J581" s="9"/>
      <c r="K581" s="9"/>
      <c r="L581" s="9"/>
      <c r="M581" s="9"/>
      <c r="N581" s="9"/>
      <c r="O581" s="9"/>
      <c r="P581" s="29"/>
      <c r="Q581" s="29"/>
      <c r="R581" s="7"/>
      <c r="S581" s="7"/>
      <c r="T581" s="7" t="str">
        <f ca="1">IFERROR(__xludf.DUMMYFUNCTION("SPARKLINE({
IF(D581="""",0,D581),
IF(F581="""",0,F581),
IF(H581="""",0,H581),
IF(J581="""",0,J581),
IF(L581="""",0,L581),
IF(N581="""",0,N581),
IF(P581="""",0,P581)
})"),"")</f>
        <v/>
      </c>
      <c r="U581" s="7" t="str">
        <f ca="1">IFERROR(__xludf.DUMMYFUNCTION("SPARKLINE({
IF(E581="""",0,E581),
IF(G581="""",0,G581),
IF(I581="""",0,I581),
IF(K581="""",0,K581),
IF(M581="""",0,M581),
IF(O581="""",0,O581),
IF(Q581="""",0,Q581)
})"),"")</f>
        <v/>
      </c>
      <c r="V581" s="8" t="e">
        <f t="array" aca="1" ref="V581" ca="1">IF($C$4="Giao",_xludf.Xlookup(C581,#REF!,#REF!,),_xludf.Xlookup(C581,#REF!,#REF!,))</f>
        <v>#NAME?</v>
      </c>
      <c r="W581" s="8">
        <f t="array" ref="W581">IF($C$4="Giao", _xludf.Xlookup(C581,#REF!,#REF!,),)</f>
        <v>0</v>
      </c>
      <c r="X581" s="9">
        <f t="shared" si="8"/>
        <v>0</v>
      </c>
      <c r="Y581" s="7"/>
      <c r="Z581" s="7"/>
    </row>
    <row r="582" spans="1:26" ht="13" x14ac:dyDescent="0.6">
      <c r="A582" s="28" t="str">
        <f t="shared" si="7"/>
        <v/>
      </c>
      <c r="B582" s="7"/>
      <c r="C582" s="7"/>
      <c r="D582" s="9"/>
      <c r="E582" s="9"/>
      <c r="F582" s="9"/>
      <c r="G582" s="9"/>
      <c r="H582" s="9"/>
      <c r="I582" s="9"/>
      <c r="J582" s="9"/>
      <c r="K582" s="9"/>
      <c r="L582" s="9"/>
      <c r="M582" s="9"/>
      <c r="N582" s="9"/>
      <c r="O582" s="9"/>
      <c r="P582" s="29"/>
      <c r="Q582" s="29"/>
      <c r="R582" s="7"/>
      <c r="S582" s="7"/>
      <c r="T582" s="7" t="str">
        <f ca="1">IFERROR(__xludf.DUMMYFUNCTION("SPARKLINE({
IF(D582="""",0,D582),
IF(F582="""",0,F582),
IF(H582="""",0,H582),
IF(J582="""",0,J582),
IF(L582="""",0,L582),
IF(N582="""",0,N582),
IF(P582="""",0,P582)
})"),"")</f>
        <v/>
      </c>
      <c r="U582" s="7" t="str">
        <f ca="1">IFERROR(__xludf.DUMMYFUNCTION("SPARKLINE({
IF(E582="""",0,E582),
IF(G582="""",0,G582),
IF(I582="""",0,I582),
IF(K582="""",0,K582),
IF(M582="""",0,M582),
IF(O582="""",0,O582),
IF(Q582="""",0,Q582)
})"),"")</f>
        <v/>
      </c>
      <c r="V582" s="8" t="e">
        <f t="array" aca="1" ref="V582" ca="1">IF($C$4="Giao",_xludf.Xlookup(C582,#REF!,#REF!,),_xludf.Xlookup(C582,#REF!,#REF!,))</f>
        <v>#NAME?</v>
      </c>
      <c r="W582" s="8">
        <f t="array" ref="W582">IF($C$4="Giao", _xludf.Xlookup(C582,#REF!,#REF!,),)</f>
        <v>0</v>
      </c>
      <c r="X582" s="9">
        <f t="shared" si="8"/>
        <v>0</v>
      </c>
      <c r="Y582" s="7"/>
      <c r="Z582" s="7"/>
    </row>
    <row r="583" spans="1:26" ht="13" x14ac:dyDescent="0.6">
      <c r="A583" s="28" t="str">
        <f t="shared" si="7"/>
        <v/>
      </c>
      <c r="B583" s="7"/>
      <c r="C583" s="7"/>
      <c r="D583" s="9"/>
      <c r="E583" s="9"/>
      <c r="F583" s="9"/>
      <c r="G583" s="9"/>
      <c r="H583" s="9"/>
      <c r="I583" s="9"/>
      <c r="J583" s="9"/>
      <c r="K583" s="9"/>
      <c r="L583" s="9"/>
      <c r="M583" s="9"/>
      <c r="N583" s="9"/>
      <c r="O583" s="9"/>
      <c r="P583" s="29"/>
      <c r="Q583" s="29"/>
      <c r="R583" s="7"/>
      <c r="S583" s="7"/>
      <c r="T583" s="7" t="str">
        <f ca="1">IFERROR(__xludf.DUMMYFUNCTION("SPARKLINE({
IF(D583="""",0,D583),
IF(F583="""",0,F583),
IF(H583="""",0,H583),
IF(J583="""",0,J583),
IF(L583="""",0,L583),
IF(N583="""",0,N583),
IF(P583="""",0,P583)
})"),"")</f>
        <v/>
      </c>
      <c r="U583" s="7" t="str">
        <f ca="1">IFERROR(__xludf.DUMMYFUNCTION("SPARKLINE({
IF(E583="""",0,E583),
IF(G583="""",0,G583),
IF(I583="""",0,I583),
IF(K583="""",0,K583),
IF(M583="""",0,M583),
IF(O583="""",0,O583),
IF(Q583="""",0,Q583)
})"),"")</f>
        <v/>
      </c>
      <c r="V583" s="8" t="e">
        <f t="array" aca="1" ref="V583" ca="1">IF($C$4="Giao",_xludf.Xlookup(C583,#REF!,#REF!,),_xludf.Xlookup(C583,#REF!,#REF!,))</f>
        <v>#NAME?</v>
      </c>
      <c r="W583" s="8">
        <f t="array" ref="W583">IF($C$4="Giao", _xludf.Xlookup(C583,#REF!,#REF!,),)</f>
        <v>0</v>
      </c>
      <c r="X583" s="9">
        <f t="shared" si="8"/>
        <v>0</v>
      </c>
      <c r="Y583" s="7"/>
      <c r="Z583" s="7"/>
    </row>
    <row r="584" spans="1:26" ht="13" x14ac:dyDescent="0.6">
      <c r="A584" s="28" t="str">
        <f t="shared" si="7"/>
        <v/>
      </c>
      <c r="B584" s="7"/>
      <c r="C584" s="7"/>
      <c r="D584" s="9"/>
      <c r="E584" s="9"/>
      <c r="F584" s="9"/>
      <c r="G584" s="9"/>
      <c r="H584" s="9"/>
      <c r="I584" s="9"/>
      <c r="J584" s="9"/>
      <c r="K584" s="9"/>
      <c r="L584" s="9"/>
      <c r="M584" s="9"/>
      <c r="N584" s="9"/>
      <c r="O584" s="9"/>
      <c r="P584" s="29"/>
      <c r="Q584" s="29"/>
      <c r="R584" s="7"/>
      <c r="S584" s="7"/>
      <c r="T584" s="7" t="str">
        <f ca="1">IFERROR(__xludf.DUMMYFUNCTION("SPARKLINE({
IF(D584="""",0,D584),
IF(F584="""",0,F584),
IF(H584="""",0,H584),
IF(J584="""",0,J584),
IF(L584="""",0,L584),
IF(N584="""",0,N584),
IF(P584="""",0,P584)
})"),"")</f>
        <v/>
      </c>
      <c r="U584" s="7" t="str">
        <f ca="1">IFERROR(__xludf.DUMMYFUNCTION("SPARKLINE({
IF(E584="""",0,E584),
IF(G584="""",0,G584),
IF(I584="""",0,I584),
IF(K584="""",0,K584),
IF(M584="""",0,M584),
IF(O584="""",0,O584),
IF(Q584="""",0,Q584)
})"),"")</f>
        <v/>
      </c>
      <c r="V584" s="8" t="e">
        <f t="array" aca="1" ref="V584" ca="1">IF($C$4="Giao",_xludf.Xlookup(C584,#REF!,#REF!,),_xludf.Xlookup(C584,#REF!,#REF!,))</f>
        <v>#NAME?</v>
      </c>
      <c r="W584" s="8">
        <f t="array" ref="W584">IF($C$4="Giao", _xludf.Xlookup(C584,#REF!,#REF!,),)</f>
        <v>0</v>
      </c>
      <c r="X584" s="9">
        <f t="shared" si="8"/>
        <v>0</v>
      </c>
      <c r="Y584" s="7"/>
      <c r="Z584" s="7"/>
    </row>
    <row r="585" spans="1:26" ht="13" x14ac:dyDescent="0.6">
      <c r="A585" s="28" t="str">
        <f t="shared" si="7"/>
        <v/>
      </c>
      <c r="B585" s="7"/>
      <c r="C585" s="7"/>
      <c r="D585" s="9"/>
      <c r="E585" s="9"/>
      <c r="F585" s="9"/>
      <c r="G585" s="9"/>
      <c r="H585" s="9"/>
      <c r="I585" s="9"/>
      <c r="J585" s="9"/>
      <c r="K585" s="9"/>
      <c r="L585" s="9"/>
      <c r="M585" s="9"/>
      <c r="N585" s="9"/>
      <c r="O585" s="9"/>
      <c r="P585" s="29"/>
      <c r="Q585" s="29"/>
      <c r="R585" s="7"/>
      <c r="S585" s="7"/>
      <c r="T585" s="7" t="str">
        <f ca="1">IFERROR(__xludf.DUMMYFUNCTION("SPARKLINE({
IF(D585="""",0,D585),
IF(F585="""",0,F585),
IF(H585="""",0,H585),
IF(J585="""",0,J585),
IF(L585="""",0,L585),
IF(N585="""",0,N585),
IF(P585="""",0,P585)
})"),"")</f>
        <v/>
      </c>
      <c r="U585" s="7" t="str">
        <f ca="1">IFERROR(__xludf.DUMMYFUNCTION("SPARKLINE({
IF(E585="""",0,E585),
IF(G585="""",0,G585),
IF(I585="""",0,I585),
IF(K585="""",0,K585),
IF(M585="""",0,M585),
IF(O585="""",0,O585),
IF(Q585="""",0,Q585)
})"),"")</f>
        <v/>
      </c>
      <c r="V585" s="8" t="e">
        <f t="array" aca="1" ref="V585" ca="1">IF($C$4="Giao",_xludf.Xlookup(C585,#REF!,#REF!,),_xludf.Xlookup(C585,#REF!,#REF!,))</f>
        <v>#NAME?</v>
      </c>
      <c r="W585" s="8">
        <f t="array" ref="W585">IF($C$4="Giao", _xludf.Xlookup(C585,#REF!,#REF!,),)</f>
        <v>0</v>
      </c>
      <c r="X585" s="9">
        <f t="shared" si="8"/>
        <v>0</v>
      </c>
      <c r="Y585" s="7"/>
      <c r="Z585" s="7"/>
    </row>
    <row r="586" spans="1:26" ht="13" x14ac:dyDescent="0.6">
      <c r="A586" s="28" t="str">
        <f t="shared" si="7"/>
        <v/>
      </c>
      <c r="B586" s="7"/>
      <c r="C586" s="7"/>
      <c r="D586" s="9"/>
      <c r="E586" s="9"/>
      <c r="F586" s="9"/>
      <c r="G586" s="9"/>
      <c r="H586" s="9"/>
      <c r="I586" s="9"/>
      <c r="J586" s="9"/>
      <c r="K586" s="9"/>
      <c r="L586" s="9"/>
      <c r="M586" s="9"/>
      <c r="N586" s="9"/>
      <c r="O586" s="9"/>
      <c r="P586" s="29"/>
      <c r="Q586" s="29"/>
      <c r="R586" s="7"/>
      <c r="S586" s="7"/>
      <c r="T586" s="7" t="str">
        <f ca="1">IFERROR(__xludf.DUMMYFUNCTION("SPARKLINE({
IF(D586="""",0,D586),
IF(F586="""",0,F586),
IF(H586="""",0,H586),
IF(J586="""",0,J586),
IF(L586="""",0,L586),
IF(N586="""",0,N586),
IF(P586="""",0,P586)
})"),"")</f>
        <v/>
      </c>
      <c r="U586" s="7" t="str">
        <f ca="1">IFERROR(__xludf.DUMMYFUNCTION("SPARKLINE({
IF(E586="""",0,E586),
IF(G586="""",0,G586),
IF(I586="""",0,I586),
IF(K586="""",0,K586),
IF(M586="""",0,M586),
IF(O586="""",0,O586),
IF(Q586="""",0,Q586)
})"),"")</f>
        <v/>
      </c>
      <c r="V586" s="8" t="e">
        <f t="array" aca="1" ref="V586" ca="1">IF($C$4="Giao",_xludf.Xlookup(C586,#REF!,#REF!,),_xludf.Xlookup(C586,#REF!,#REF!,))</f>
        <v>#NAME?</v>
      </c>
      <c r="W586" s="8">
        <f t="array" ref="W586">IF($C$4="Giao", _xludf.Xlookup(C586,#REF!,#REF!,),)</f>
        <v>0</v>
      </c>
      <c r="X586" s="9">
        <f t="shared" si="8"/>
        <v>0</v>
      </c>
      <c r="Y586" s="7"/>
      <c r="Z586" s="7"/>
    </row>
    <row r="587" spans="1:26" ht="13" x14ac:dyDescent="0.6">
      <c r="A587" s="28" t="str">
        <f t="shared" si="7"/>
        <v/>
      </c>
      <c r="B587" s="7"/>
      <c r="C587" s="7"/>
      <c r="D587" s="9"/>
      <c r="E587" s="9"/>
      <c r="F587" s="9"/>
      <c r="G587" s="9"/>
      <c r="H587" s="9"/>
      <c r="I587" s="9"/>
      <c r="J587" s="9"/>
      <c r="K587" s="9"/>
      <c r="L587" s="9"/>
      <c r="M587" s="9"/>
      <c r="N587" s="9"/>
      <c r="O587" s="9"/>
      <c r="P587" s="29"/>
      <c r="Q587" s="29"/>
      <c r="R587" s="7"/>
      <c r="S587" s="7"/>
      <c r="T587" s="7" t="str">
        <f ca="1">IFERROR(__xludf.DUMMYFUNCTION("SPARKLINE({
IF(D587="""",0,D587),
IF(F587="""",0,F587),
IF(H587="""",0,H587),
IF(J587="""",0,J587),
IF(L587="""",0,L587),
IF(N587="""",0,N587),
IF(P587="""",0,P587)
})"),"")</f>
        <v/>
      </c>
      <c r="U587" s="7" t="str">
        <f ca="1">IFERROR(__xludf.DUMMYFUNCTION("SPARKLINE({
IF(E587="""",0,E587),
IF(G587="""",0,G587),
IF(I587="""",0,I587),
IF(K587="""",0,K587),
IF(M587="""",0,M587),
IF(O587="""",0,O587),
IF(Q587="""",0,Q587)
})"),"")</f>
        <v/>
      </c>
      <c r="V587" s="8" t="e">
        <f t="array" aca="1" ref="V587" ca="1">IF($C$4="Giao",_xludf.Xlookup(C587,#REF!,#REF!,),_xludf.Xlookup(C587,#REF!,#REF!,))</f>
        <v>#NAME?</v>
      </c>
      <c r="W587" s="8">
        <f t="array" ref="W587">IF($C$4="Giao", _xludf.Xlookup(C587,#REF!,#REF!,),)</f>
        <v>0</v>
      </c>
      <c r="X587" s="9">
        <f t="shared" si="8"/>
        <v>0</v>
      </c>
      <c r="Y587" s="7"/>
      <c r="Z587" s="7"/>
    </row>
    <row r="588" spans="1:26" ht="13" x14ac:dyDescent="0.6">
      <c r="A588" s="28" t="str">
        <f t="shared" si="7"/>
        <v/>
      </c>
      <c r="B588" s="7"/>
      <c r="C588" s="7"/>
      <c r="D588" s="9"/>
      <c r="E588" s="9"/>
      <c r="F588" s="9"/>
      <c r="G588" s="9"/>
      <c r="H588" s="9"/>
      <c r="I588" s="9"/>
      <c r="J588" s="9"/>
      <c r="K588" s="9"/>
      <c r="L588" s="9"/>
      <c r="M588" s="9"/>
      <c r="N588" s="9"/>
      <c r="O588" s="9"/>
      <c r="P588" s="29"/>
      <c r="Q588" s="29"/>
      <c r="R588" s="7"/>
      <c r="S588" s="7"/>
      <c r="T588" s="7" t="str">
        <f ca="1">IFERROR(__xludf.DUMMYFUNCTION("SPARKLINE({
IF(D588="""",0,D588),
IF(F588="""",0,F588),
IF(H588="""",0,H588),
IF(J588="""",0,J588),
IF(L588="""",0,L588),
IF(N588="""",0,N588),
IF(P588="""",0,P588)
})"),"")</f>
        <v/>
      </c>
      <c r="U588" s="7" t="str">
        <f ca="1">IFERROR(__xludf.DUMMYFUNCTION("SPARKLINE({
IF(E588="""",0,E588),
IF(G588="""",0,G588),
IF(I588="""",0,I588),
IF(K588="""",0,K588),
IF(M588="""",0,M588),
IF(O588="""",0,O588),
IF(Q588="""",0,Q588)
})"),"")</f>
        <v/>
      </c>
      <c r="V588" s="8" t="e">
        <f t="array" aca="1" ref="V588" ca="1">IF($C$4="Giao",_xludf.Xlookup(C588,#REF!,#REF!,),_xludf.Xlookup(C588,#REF!,#REF!,))</f>
        <v>#NAME?</v>
      </c>
      <c r="W588" s="8">
        <f t="array" ref="W588">IF($C$4="Giao", _xludf.Xlookup(C588,#REF!,#REF!,),)</f>
        <v>0</v>
      </c>
      <c r="X588" s="9">
        <f t="shared" si="8"/>
        <v>0</v>
      </c>
      <c r="Y588" s="7"/>
      <c r="Z588" s="7"/>
    </row>
    <row r="589" spans="1:26" ht="13" x14ac:dyDescent="0.6">
      <c r="A589" s="28" t="str">
        <f t="shared" si="7"/>
        <v/>
      </c>
      <c r="B589" s="7"/>
      <c r="C589" s="7"/>
      <c r="D589" s="9"/>
      <c r="E589" s="9"/>
      <c r="F589" s="9"/>
      <c r="G589" s="9"/>
      <c r="H589" s="9"/>
      <c r="I589" s="9"/>
      <c r="J589" s="9"/>
      <c r="K589" s="9"/>
      <c r="L589" s="9"/>
      <c r="M589" s="9"/>
      <c r="N589" s="9"/>
      <c r="O589" s="9"/>
      <c r="P589" s="29"/>
      <c r="Q589" s="29"/>
      <c r="R589" s="7"/>
      <c r="S589" s="7"/>
      <c r="T589" s="7" t="str">
        <f ca="1">IFERROR(__xludf.DUMMYFUNCTION("SPARKLINE({
IF(D589="""",0,D589),
IF(F589="""",0,F589),
IF(H589="""",0,H589),
IF(J589="""",0,J589),
IF(L589="""",0,L589),
IF(N589="""",0,N589),
IF(P589="""",0,P589)
})"),"")</f>
        <v/>
      </c>
      <c r="U589" s="7" t="str">
        <f ca="1">IFERROR(__xludf.DUMMYFUNCTION("SPARKLINE({
IF(E589="""",0,E589),
IF(G589="""",0,G589),
IF(I589="""",0,I589),
IF(K589="""",0,K589),
IF(M589="""",0,M589),
IF(O589="""",0,O589),
IF(Q589="""",0,Q589)
})"),"")</f>
        <v/>
      </c>
      <c r="V589" s="8" t="e">
        <f t="array" aca="1" ref="V589" ca="1">IF($C$4="Giao",_xludf.Xlookup(C589,#REF!,#REF!,),_xludf.Xlookup(C589,#REF!,#REF!,))</f>
        <v>#NAME?</v>
      </c>
      <c r="W589" s="8">
        <f t="array" ref="W589">IF($C$4="Giao", _xludf.Xlookup(C589,#REF!,#REF!,),)</f>
        <v>0</v>
      </c>
      <c r="X589" s="9">
        <f t="shared" si="8"/>
        <v>0</v>
      </c>
      <c r="Y589" s="7"/>
      <c r="Z589" s="7"/>
    </row>
    <row r="590" spans="1:26" ht="13" x14ac:dyDescent="0.6">
      <c r="A590" s="28" t="str">
        <f t="shared" si="7"/>
        <v/>
      </c>
      <c r="B590" s="7"/>
      <c r="C590" s="7"/>
      <c r="D590" s="9"/>
      <c r="E590" s="9"/>
      <c r="F590" s="9"/>
      <c r="G590" s="9"/>
      <c r="H590" s="9"/>
      <c r="I590" s="9"/>
      <c r="J590" s="9"/>
      <c r="K590" s="9"/>
      <c r="L590" s="9"/>
      <c r="M590" s="9"/>
      <c r="N590" s="9"/>
      <c r="O590" s="9"/>
      <c r="P590" s="29"/>
      <c r="Q590" s="29"/>
      <c r="R590" s="7"/>
      <c r="S590" s="7"/>
      <c r="T590" s="7" t="str">
        <f ca="1">IFERROR(__xludf.DUMMYFUNCTION("SPARKLINE({
IF(D590="""",0,D590),
IF(F590="""",0,F590),
IF(H590="""",0,H590),
IF(J590="""",0,J590),
IF(L590="""",0,L590),
IF(N590="""",0,N590),
IF(P590="""",0,P590)
})"),"")</f>
        <v/>
      </c>
      <c r="U590" s="7" t="str">
        <f ca="1">IFERROR(__xludf.DUMMYFUNCTION("SPARKLINE({
IF(E590="""",0,E590),
IF(G590="""",0,G590),
IF(I590="""",0,I590),
IF(K590="""",0,K590),
IF(M590="""",0,M590),
IF(O590="""",0,O590),
IF(Q590="""",0,Q590)
})"),"")</f>
        <v/>
      </c>
      <c r="V590" s="8" t="e">
        <f t="array" aca="1" ref="V590" ca="1">IF($C$4="Giao",_xludf.Xlookup(C590,#REF!,#REF!,),_xludf.Xlookup(C590,#REF!,#REF!,))</f>
        <v>#NAME?</v>
      </c>
      <c r="W590" s="8">
        <f t="array" ref="W590">IF($C$4="Giao", _xludf.Xlookup(C590,#REF!,#REF!,),)</f>
        <v>0</v>
      </c>
      <c r="X590" s="9">
        <f t="shared" si="8"/>
        <v>0</v>
      </c>
      <c r="Y590" s="7"/>
      <c r="Z590" s="7"/>
    </row>
    <row r="591" spans="1:26" ht="13" x14ac:dyDescent="0.6">
      <c r="A591" s="28" t="str">
        <f t="shared" si="7"/>
        <v/>
      </c>
      <c r="B591" s="7"/>
      <c r="C591" s="7"/>
      <c r="D591" s="9"/>
      <c r="E591" s="9"/>
      <c r="F591" s="9"/>
      <c r="G591" s="9"/>
      <c r="H591" s="9"/>
      <c r="I591" s="9"/>
      <c r="J591" s="9"/>
      <c r="K591" s="9"/>
      <c r="L591" s="9"/>
      <c r="M591" s="9"/>
      <c r="N591" s="9"/>
      <c r="O591" s="9"/>
      <c r="P591" s="29"/>
      <c r="Q591" s="29"/>
      <c r="R591" s="7"/>
      <c r="S591" s="7"/>
      <c r="T591" s="7" t="str">
        <f ca="1">IFERROR(__xludf.DUMMYFUNCTION("SPARKLINE({
IF(D591="""",0,D591),
IF(F591="""",0,F591),
IF(H591="""",0,H591),
IF(J591="""",0,J591),
IF(L591="""",0,L591),
IF(N591="""",0,N591),
IF(P591="""",0,P591)
})"),"")</f>
        <v/>
      </c>
      <c r="U591" s="7" t="str">
        <f ca="1">IFERROR(__xludf.DUMMYFUNCTION("SPARKLINE({
IF(E591="""",0,E591),
IF(G591="""",0,G591),
IF(I591="""",0,I591),
IF(K591="""",0,K591),
IF(M591="""",0,M591),
IF(O591="""",0,O591),
IF(Q591="""",0,Q591)
})"),"")</f>
        <v/>
      </c>
      <c r="V591" s="8" t="e">
        <f t="array" aca="1" ref="V591" ca="1">IF($C$4="Giao",_xludf.Xlookup(C591,#REF!,#REF!,),_xludf.Xlookup(C591,#REF!,#REF!,))</f>
        <v>#NAME?</v>
      </c>
      <c r="W591" s="8">
        <f t="array" ref="W591">IF($C$4="Giao", _xludf.Xlookup(C591,#REF!,#REF!,),)</f>
        <v>0</v>
      </c>
      <c r="X591" s="9">
        <f t="shared" si="8"/>
        <v>0</v>
      </c>
      <c r="Y591" s="7"/>
      <c r="Z591" s="7"/>
    </row>
    <row r="592" spans="1:26" ht="13" x14ac:dyDescent="0.6">
      <c r="A592" s="28" t="str">
        <f t="shared" si="7"/>
        <v/>
      </c>
      <c r="B592" s="7"/>
      <c r="C592" s="7"/>
      <c r="D592" s="9"/>
      <c r="E592" s="9"/>
      <c r="F592" s="9"/>
      <c r="G592" s="9"/>
      <c r="H592" s="9"/>
      <c r="I592" s="9"/>
      <c r="J592" s="9"/>
      <c r="K592" s="9"/>
      <c r="L592" s="9"/>
      <c r="M592" s="9"/>
      <c r="N592" s="9"/>
      <c r="O592" s="9"/>
      <c r="P592" s="29"/>
      <c r="Q592" s="29"/>
      <c r="R592" s="7"/>
      <c r="S592" s="7"/>
      <c r="T592" s="7" t="str">
        <f ca="1">IFERROR(__xludf.DUMMYFUNCTION("SPARKLINE({
IF(D592="""",0,D592),
IF(F592="""",0,F592),
IF(H592="""",0,H592),
IF(J592="""",0,J592),
IF(L592="""",0,L592),
IF(N592="""",0,N592),
IF(P592="""",0,P592)
})"),"")</f>
        <v/>
      </c>
      <c r="U592" s="7" t="str">
        <f ca="1">IFERROR(__xludf.DUMMYFUNCTION("SPARKLINE({
IF(E592="""",0,E592),
IF(G592="""",0,G592),
IF(I592="""",0,I592),
IF(K592="""",0,K592),
IF(M592="""",0,M592),
IF(O592="""",0,O592),
IF(Q592="""",0,Q592)
})"),"")</f>
        <v/>
      </c>
      <c r="V592" s="8" t="e">
        <f t="array" aca="1" ref="V592" ca="1">IF($C$4="Giao",_xludf.Xlookup(C592,#REF!,#REF!,),_xludf.Xlookup(C592,#REF!,#REF!,))</f>
        <v>#NAME?</v>
      </c>
      <c r="W592" s="8">
        <f t="array" ref="W592">IF($C$4="Giao", _xludf.Xlookup(C592,#REF!,#REF!,),)</f>
        <v>0</v>
      </c>
      <c r="X592" s="9">
        <f t="shared" si="8"/>
        <v>0</v>
      </c>
      <c r="Y592" s="7"/>
      <c r="Z592" s="7"/>
    </row>
    <row r="593" spans="1:26" ht="13" x14ac:dyDescent="0.6">
      <c r="A593" s="28" t="str">
        <f t="shared" si="7"/>
        <v/>
      </c>
      <c r="B593" s="7"/>
      <c r="C593" s="7"/>
      <c r="D593" s="9"/>
      <c r="E593" s="9"/>
      <c r="F593" s="9"/>
      <c r="G593" s="9"/>
      <c r="H593" s="9"/>
      <c r="I593" s="9"/>
      <c r="J593" s="9"/>
      <c r="K593" s="9"/>
      <c r="L593" s="9"/>
      <c r="M593" s="9"/>
      <c r="N593" s="9"/>
      <c r="O593" s="9"/>
      <c r="P593" s="29"/>
      <c r="Q593" s="29"/>
      <c r="R593" s="7"/>
      <c r="S593" s="7"/>
      <c r="T593" s="7" t="str">
        <f ca="1">IFERROR(__xludf.DUMMYFUNCTION("SPARKLINE({
IF(D593="""",0,D593),
IF(F593="""",0,F593),
IF(H593="""",0,H593),
IF(J593="""",0,J593),
IF(L593="""",0,L593),
IF(N593="""",0,N593),
IF(P593="""",0,P593)
})"),"")</f>
        <v/>
      </c>
      <c r="U593" s="7" t="str">
        <f ca="1">IFERROR(__xludf.DUMMYFUNCTION("SPARKLINE({
IF(E593="""",0,E593),
IF(G593="""",0,G593),
IF(I593="""",0,I593),
IF(K593="""",0,K593),
IF(M593="""",0,M593),
IF(O593="""",0,O593),
IF(Q593="""",0,Q593)
})"),"")</f>
        <v/>
      </c>
      <c r="V593" s="8" t="e">
        <f t="array" aca="1" ref="V593" ca="1">IF($C$4="Giao",_xludf.Xlookup(C593,#REF!,#REF!,),_xludf.Xlookup(C593,#REF!,#REF!,))</f>
        <v>#NAME?</v>
      </c>
      <c r="W593" s="8">
        <f t="array" ref="W593">IF($C$4="Giao", _xludf.Xlookup(C593,#REF!,#REF!,),)</f>
        <v>0</v>
      </c>
      <c r="X593" s="9">
        <f t="shared" si="8"/>
        <v>0</v>
      </c>
      <c r="Y593" s="7"/>
      <c r="Z593" s="7"/>
    </row>
    <row r="594" spans="1:26" ht="13" x14ac:dyDescent="0.6">
      <c r="A594" s="28" t="str">
        <f t="shared" si="7"/>
        <v/>
      </c>
      <c r="B594" s="7"/>
      <c r="C594" s="7"/>
      <c r="D594" s="9"/>
      <c r="E594" s="9"/>
      <c r="F594" s="9"/>
      <c r="G594" s="9"/>
      <c r="H594" s="9"/>
      <c r="I594" s="9"/>
      <c r="J594" s="9"/>
      <c r="K594" s="9"/>
      <c r="L594" s="9"/>
      <c r="M594" s="9"/>
      <c r="N594" s="9"/>
      <c r="O594" s="9"/>
      <c r="P594" s="29"/>
      <c r="Q594" s="29"/>
      <c r="R594" s="7"/>
      <c r="S594" s="7"/>
      <c r="T594" s="7" t="str">
        <f ca="1">IFERROR(__xludf.DUMMYFUNCTION("SPARKLINE({
IF(D594="""",0,D594),
IF(F594="""",0,F594),
IF(H594="""",0,H594),
IF(J594="""",0,J594),
IF(L594="""",0,L594),
IF(N594="""",0,N594),
IF(P594="""",0,P594)
})"),"")</f>
        <v/>
      </c>
      <c r="U594" s="7" t="str">
        <f ca="1">IFERROR(__xludf.DUMMYFUNCTION("SPARKLINE({
IF(E594="""",0,E594),
IF(G594="""",0,G594),
IF(I594="""",0,I594),
IF(K594="""",0,K594),
IF(M594="""",0,M594),
IF(O594="""",0,O594),
IF(Q594="""",0,Q594)
})"),"")</f>
        <v/>
      </c>
      <c r="V594" s="8" t="e">
        <f t="array" aca="1" ref="V594" ca="1">IF($C$4="Giao",_xludf.Xlookup(C594,#REF!,#REF!,),_xludf.Xlookup(C594,#REF!,#REF!,))</f>
        <v>#NAME?</v>
      </c>
      <c r="W594" s="8">
        <f t="array" ref="W594">IF($C$4="Giao", _xludf.Xlookup(C594,#REF!,#REF!,),)</f>
        <v>0</v>
      </c>
      <c r="X594" s="9">
        <f t="shared" si="8"/>
        <v>0</v>
      </c>
      <c r="Y594" s="7"/>
      <c r="Z594" s="7"/>
    </row>
    <row r="595" spans="1:26" ht="13" x14ac:dyDescent="0.6">
      <c r="A595" s="28" t="str">
        <f t="shared" si="7"/>
        <v/>
      </c>
      <c r="B595" s="7"/>
      <c r="C595" s="7"/>
      <c r="D595" s="9"/>
      <c r="E595" s="9"/>
      <c r="F595" s="9"/>
      <c r="G595" s="9"/>
      <c r="H595" s="9"/>
      <c r="I595" s="9"/>
      <c r="J595" s="9"/>
      <c r="K595" s="9"/>
      <c r="L595" s="9"/>
      <c r="M595" s="9"/>
      <c r="N595" s="9"/>
      <c r="O595" s="9"/>
      <c r="P595" s="29"/>
      <c r="Q595" s="29"/>
      <c r="R595" s="7"/>
      <c r="S595" s="7"/>
      <c r="T595" s="7" t="str">
        <f ca="1">IFERROR(__xludf.DUMMYFUNCTION("SPARKLINE({
IF(D595="""",0,D595),
IF(F595="""",0,F595),
IF(H595="""",0,H595),
IF(J595="""",0,J595),
IF(L595="""",0,L595),
IF(N595="""",0,N595),
IF(P595="""",0,P595)
})"),"")</f>
        <v/>
      </c>
      <c r="U595" s="7" t="str">
        <f ca="1">IFERROR(__xludf.DUMMYFUNCTION("SPARKLINE({
IF(E595="""",0,E595),
IF(G595="""",0,G595),
IF(I595="""",0,I595),
IF(K595="""",0,K595),
IF(M595="""",0,M595),
IF(O595="""",0,O595),
IF(Q595="""",0,Q595)
})"),"")</f>
        <v/>
      </c>
      <c r="V595" s="8" t="e">
        <f t="array" aca="1" ref="V595" ca="1">IF($C$4="Giao",_xludf.Xlookup(C595,#REF!,#REF!,),_xludf.Xlookup(C595,#REF!,#REF!,))</f>
        <v>#NAME?</v>
      </c>
      <c r="W595" s="8">
        <f t="array" ref="W595">IF($C$4="Giao", _xludf.Xlookup(C595,#REF!,#REF!,),)</f>
        <v>0</v>
      </c>
      <c r="X595" s="9">
        <f t="shared" si="8"/>
        <v>0</v>
      </c>
      <c r="Y595" s="7"/>
      <c r="Z595" s="7"/>
    </row>
    <row r="596" spans="1:26" ht="13" x14ac:dyDescent="0.6">
      <c r="A596" s="28" t="str">
        <f t="shared" si="7"/>
        <v/>
      </c>
      <c r="B596" s="7"/>
      <c r="C596" s="7"/>
      <c r="D596" s="9"/>
      <c r="E596" s="9"/>
      <c r="F596" s="9"/>
      <c r="G596" s="9"/>
      <c r="H596" s="9"/>
      <c r="I596" s="9"/>
      <c r="J596" s="9"/>
      <c r="K596" s="9"/>
      <c r="L596" s="9"/>
      <c r="M596" s="9"/>
      <c r="N596" s="9"/>
      <c r="O596" s="9"/>
      <c r="P596" s="29"/>
      <c r="Q596" s="29"/>
      <c r="R596" s="7"/>
      <c r="S596" s="7"/>
      <c r="T596" s="7" t="str">
        <f ca="1">IFERROR(__xludf.DUMMYFUNCTION("SPARKLINE({
IF(D596="""",0,D596),
IF(F596="""",0,F596),
IF(H596="""",0,H596),
IF(J596="""",0,J596),
IF(L596="""",0,L596),
IF(N596="""",0,N596),
IF(P596="""",0,P596)
})"),"")</f>
        <v/>
      </c>
      <c r="U596" s="7" t="str">
        <f ca="1">IFERROR(__xludf.DUMMYFUNCTION("SPARKLINE({
IF(E596="""",0,E596),
IF(G596="""",0,G596),
IF(I596="""",0,I596),
IF(K596="""",0,K596),
IF(M596="""",0,M596),
IF(O596="""",0,O596),
IF(Q596="""",0,Q596)
})"),"")</f>
        <v/>
      </c>
      <c r="V596" s="8" t="e">
        <f t="array" aca="1" ref="V596" ca="1">IF($C$4="Giao",_xludf.Xlookup(C596,#REF!,#REF!,),_xludf.Xlookup(C596,#REF!,#REF!,))</f>
        <v>#NAME?</v>
      </c>
      <c r="W596" s="8">
        <f t="array" ref="W596">IF($C$4="Giao", _xludf.Xlookup(C596,#REF!,#REF!,),)</f>
        <v>0</v>
      </c>
      <c r="X596" s="9">
        <f t="shared" si="8"/>
        <v>0</v>
      </c>
      <c r="Y596" s="7"/>
      <c r="Z596" s="7"/>
    </row>
    <row r="597" spans="1:26" ht="13" x14ac:dyDescent="0.6">
      <c r="A597" s="28" t="str">
        <f t="shared" si="7"/>
        <v/>
      </c>
      <c r="B597" s="7"/>
      <c r="C597" s="7"/>
      <c r="D597" s="9"/>
      <c r="E597" s="9"/>
      <c r="F597" s="9"/>
      <c r="G597" s="9"/>
      <c r="H597" s="9"/>
      <c r="I597" s="9"/>
      <c r="J597" s="9"/>
      <c r="K597" s="9"/>
      <c r="L597" s="9"/>
      <c r="M597" s="9"/>
      <c r="N597" s="9"/>
      <c r="O597" s="9"/>
      <c r="P597" s="29"/>
      <c r="Q597" s="29"/>
      <c r="R597" s="7"/>
      <c r="S597" s="7"/>
      <c r="T597" s="7" t="str">
        <f ca="1">IFERROR(__xludf.DUMMYFUNCTION("SPARKLINE({
IF(D597="""",0,D597),
IF(F597="""",0,F597),
IF(H597="""",0,H597),
IF(J597="""",0,J597),
IF(L597="""",0,L597),
IF(N597="""",0,N597),
IF(P597="""",0,P597)
})"),"")</f>
        <v/>
      </c>
      <c r="U597" s="7" t="str">
        <f ca="1">IFERROR(__xludf.DUMMYFUNCTION("SPARKLINE({
IF(E597="""",0,E597),
IF(G597="""",0,G597),
IF(I597="""",0,I597),
IF(K597="""",0,K597),
IF(M597="""",0,M597),
IF(O597="""",0,O597),
IF(Q597="""",0,Q597)
})"),"")</f>
        <v/>
      </c>
      <c r="V597" s="8" t="e">
        <f t="array" aca="1" ref="V597" ca="1">IF($C$4="Giao",_xludf.Xlookup(C597,#REF!,#REF!,),_xludf.Xlookup(C597,#REF!,#REF!,))</f>
        <v>#NAME?</v>
      </c>
      <c r="W597" s="8">
        <f t="array" ref="W597">IF($C$4="Giao", _xludf.Xlookup(C597,#REF!,#REF!,),)</f>
        <v>0</v>
      </c>
      <c r="X597" s="9">
        <f t="shared" si="8"/>
        <v>0</v>
      </c>
      <c r="Y597" s="7"/>
      <c r="Z597" s="7"/>
    </row>
    <row r="598" spans="1:26" ht="13" x14ac:dyDescent="0.6">
      <c r="A598" s="28" t="str">
        <f t="shared" si="7"/>
        <v/>
      </c>
      <c r="B598" s="7"/>
      <c r="C598" s="7"/>
      <c r="D598" s="9"/>
      <c r="E598" s="9"/>
      <c r="F598" s="9"/>
      <c r="G598" s="9"/>
      <c r="H598" s="9"/>
      <c r="I598" s="9"/>
      <c r="J598" s="9"/>
      <c r="K598" s="9"/>
      <c r="L598" s="9"/>
      <c r="M598" s="9"/>
      <c r="N598" s="9"/>
      <c r="O598" s="9"/>
      <c r="P598" s="29"/>
      <c r="Q598" s="29"/>
      <c r="R598" s="7"/>
      <c r="S598" s="7"/>
      <c r="T598" s="7" t="str">
        <f ca="1">IFERROR(__xludf.DUMMYFUNCTION("SPARKLINE({
IF(D598="""",0,D598),
IF(F598="""",0,F598),
IF(H598="""",0,H598),
IF(J598="""",0,J598),
IF(L598="""",0,L598),
IF(N598="""",0,N598),
IF(P598="""",0,P598)
})"),"")</f>
        <v/>
      </c>
      <c r="U598" s="7" t="str">
        <f ca="1">IFERROR(__xludf.DUMMYFUNCTION("SPARKLINE({
IF(E598="""",0,E598),
IF(G598="""",0,G598),
IF(I598="""",0,I598),
IF(K598="""",0,K598),
IF(M598="""",0,M598),
IF(O598="""",0,O598),
IF(Q598="""",0,Q598)
})"),"")</f>
        <v/>
      </c>
      <c r="V598" s="8" t="e">
        <f t="array" aca="1" ref="V598" ca="1">IF($C$4="Giao",_xludf.Xlookup(C598,#REF!,#REF!,),_xludf.Xlookup(C598,#REF!,#REF!,))</f>
        <v>#NAME?</v>
      </c>
      <c r="W598" s="8">
        <f t="array" ref="W598">IF($C$4="Giao", _xludf.Xlookup(C598,#REF!,#REF!,),)</f>
        <v>0</v>
      </c>
      <c r="X598" s="9">
        <f t="shared" si="8"/>
        <v>0</v>
      </c>
      <c r="Y598" s="7"/>
      <c r="Z598" s="7"/>
    </row>
    <row r="599" spans="1:26" ht="13" x14ac:dyDescent="0.6">
      <c r="A599" s="28" t="str">
        <f t="shared" si="7"/>
        <v/>
      </c>
      <c r="B599" s="7"/>
      <c r="C599" s="7"/>
      <c r="D599" s="9"/>
      <c r="E599" s="9"/>
      <c r="F599" s="9"/>
      <c r="G599" s="9"/>
      <c r="H599" s="9"/>
      <c r="I599" s="9"/>
      <c r="J599" s="9"/>
      <c r="K599" s="9"/>
      <c r="L599" s="9"/>
      <c r="M599" s="9"/>
      <c r="N599" s="9"/>
      <c r="O599" s="9"/>
      <c r="P599" s="29"/>
      <c r="Q599" s="29"/>
      <c r="R599" s="7"/>
      <c r="S599" s="7"/>
      <c r="T599" s="7" t="str">
        <f ca="1">IFERROR(__xludf.DUMMYFUNCTION("SPARKLINE({
IF(D599="""",0,D599),
IF(F599="""",0,F599),
IF(H599="""",0,H599),
IF(J599="""",0,J599),
IF(L599="""",0,L599),
IF(N599="""",0,N599),
IF(P599="""",0,P599)
})"),"")</f>
        <v/>
      </c>
      <c r="U599" s="7" t="str">
        <f ca="1">IFERROR(__xludf.DUMMYFUNCTION("SPARKLINE({
IF(E599="""",0,E599),
IF(G599="""",0,G599),
IF(I599="""",0,I599),
IF(K599="""",0,K599),
IF(M599="""",0,M599),
IF(O599="""",0,O599),
IF(Q599="""",0,Q599)
})"),"")</f>
        <v/>
      </c>
      <c r="V599" s="8" t="e">
        <f t="array" aca="1" ref="V599" ca="1">IF($C$4="Giao",_xludf.Xlookup(C599,#REF!,#REF!,),_xludf.Xlookup(C599,#REF!,#REF!,))</f>
        <v>#NAME?</v>
      </c>
      <c r="W599" s="8">
        <f t="array" ref="W599">IF($C$4="Giao", _xludf.Xlookup(C599,#REF!,#REF!,),)</f>
        <v>0</v>
      </c>
      <c r="X599" s="9">
        <f t="shared" si="8"/>
        <v>0</v>
      </c>
      <c r="Y599" s="7"/>
      <c r="Z599" s="7"/>
    </row>
    <row r="600" spans="1:26" ht="13" x14ac:dyDescent="0.6">
      <c r="A600" s="28" t="str">
        <f t="shared" si="7"/>
        <v/>
      </c>
      <c r="B600" s="7"/>
      <c r="C600" s="7"/>
      <c r="D600" s="9"/>
      <c r="E600" s="9"/>
      <c r="F600" s="9"/>
      <c r="G600" s="9"/>
      <c r="H600" s="9"/>
      <c r="I600" s="9"/>
      <c r="J600" s="9"/>
      <c r="K600" s="9"/>
      <c r="L600" s="9"/>
      <c r="M600" s="9"/>
      <c r="N600" s="9"/>
      <c r="O600" s="9"/>
      <c r="P600" s="29"/>
      <c r="Q600" s="29"/>
      <c r="R600" s="7"/>
      <c r="S600" s="7"/>
      <c r="T600" s="7" t="str">
        <f ca="1">IFERROR(__xludf.DUMMYFUNCTION("SPARKLINE({
IF(D600="""",0,D600),
IF(F600="""",0,F600),
IF(H600="""",0,H600),
IF(J600="""",0,J600),
IF(L600="""",0,L600),
IF(N600="""",0,N600),
IF(P600="""",0,P600)
})"),"")</f>
        <v/>
      </c>
      <c r="U600" s="7" t="str">
        <f ca="1">IFERROR(__xludf.DUMMYFUNCTION("SPARKLINE({
IF(E600="""",0,E600),
IF(G600="""",0,G600),
IF(I600="""",0,I600),
IF(K600="""",0,K600),
IF(M600="""",0,M600),
IF(O600="""",0,O600),
IF(Q600="""",0,Q600)
})"),"")</f>
        <v/>
      </c>
      <c r="V600" s="8" t="e">
        <f t="array" aca="1" ref="V600" ca="1">IF($C$4="Giao",_xludf.Xlookup(C600,#REF!,#REF!,),_xludf.Xlookup(C600,#REF!,#REF!,))</f>
        <v>#NAME?</v>
      </c>
      <c r="W600" s="8">
        <f t="array" ref="W600">IF($C$4="Giao", _xludf.Xlookup(C600,#REF!,#REF!,),)</f>
        <v>0</v>
      </c>
      <c r="X600" s="9">
        <f t="shared" si="8"/>
        <v>0</v>
      </c>
      <c r="Y600" s="7"/>
      <c r="Z600" s="7"/>
    </row>
    <row r="601" spans="1:26" ht="13" x14ac:dyDescent="0.6">
      <c r="A601" s="28" t="str">
        <f t="shared" si="7"/>
        <v/>
      </c>
      <c r="B601" s="7"/>
      <c r="C601" s="7"/>
      <c r="D601" s="9"/>
      <c r="E601" s="9"/>
      <c r="F601" s="9"/>
      <c r="G601" s="9"/>
      <c r="H601" s="9"/>
      <c r="I601" s="9"/>
      <c r="J601" s="9"/>
      <c r="K601" s="9"/>
      <c r="L601" s="9"/>
      <c r="M601" s="9"/>
      <c r="N601" s="9"/>
      <c r="O601" s="9"/>
      <c r="P601" s="29"/>
      <c r="Q601" s="29"/>
      <c r="R601" s="7"/>
      <c r="S601" s="7"/>
      <c r="T601" s="7" t="str">
        <f ca="1">IFERROR(__xludf.DUMMYFUNCTION("SPARKLINE({
IF(D601="""",0,D601),
IF(F601="""",0,F601),
IF(H601="""",0,H601),
IF(J601="""",0,J601),
IF(L601="""",0,L601),
IF(N601="""",0,N601),
IF(P601="""",0,P601)
})"),"")</f>
        <v/>
      </c>
      <c r="U601" s="7" t="str">
        <f ca="1">IFERROR(__xludf.DUMMYFUNCTION("SPARKLINE({
IF(E601="""",0,E601),
IF(G601="""",0,G601),
IF(I601="""",0,I601),
IF(K601="""",0,K601),
IF(M601="""",0,M601),
IF(O601="""",0,O601),
IF(Q601="""",0,Q601)
})"),"")</f>
        <v/>
      </c>
      <c r="V601" s="8" t="e">
        <f t="array" aca="1" ref="V601" ca="1">IF($C$4="Giao",_xludf.Xlookup(C601,#REF!,#REF!,),_xludf.Xlookup(C601,#REF!,#REF!,))</f>
        <v>#NAME?</v>
      </c>
      <c r="W601" s="8">
        <f t="array" ref="W601">IF($C$4="Giao", _xludf.Xlookup(C601,#REF!,#REF!,),)</f>
        <v>0</v>
      </c>
      <c r="X601" s="9">
        <f t="shared" si="8"/>
        <v>0</v>
      </c>
      <c r="Y601" s="7"/>
      <c r="Z601" s="7"/>
    </row>
    <row r="602" spans="1:26" ht="13" x14ac:dyDescent="0.6">
      <c r="A602" s="28" t="str">
        <f t="shared" si="7"/>
        <v/>
      </c>
      <c r="B602" s="7"/>
      <c r="C602" s="7"/>
      <c r="D602" s="9"/>
      <c r="E602" s="9"/>
      <c r="F602" s="9"/>
      <c r="G602" s="9"/>
      <c r="H602" s="9"/>
      <c r="I602" s="9"/>
      <c r="J602" s="9"/>
      <c r="K602" s="9"/>
      <c r="L602" s="9"/>
      <c r="M602" s="9"/>
      <c r="N602" s="9"/>
      <c r="O602" s="9"/>
      <c r="P602" s="29"/>
      <c r="Q602" s="29"/>
      <c r="R602" s="7"/>
      <c r="S602" s="7"/>
      <c r="T602" s="7" t="str">
        <f ca="1">IFERROR(__xludf.DUMMYFUNCTION("SPARKLINE({
IF(D602="""",0,D602),
IF(F602="""",0,F602),
IF(H602="""",0,H602),
IF(J602="""",0,J602),
IF(L602="""",0,L602),
IF(N602="""",0,N602),
IF(P602="""",0,P602)
})"),"")</f>
        <v/>
      </c>
      <c r="U602" s="7" t="str">
        <f ca="1">IFERROR(__xludf.DUMMYFUNCTION("SPARKLINE({
IF(E602="""",0,E602),
IF(G602="""",0,G602),
IF(I602="""",0,I602),
IF(K602="""",0,K602),
IF(M602="""",0,M602),
IF(O602="""",0,O602),
IF(Q602="""",0,Q602)
})"),"")</f>
        <v/>
      </c>
      <c r="V602" s="8" t="e">
        <f t="array" aca="1" ref="V602" ca="1">IF($C$4="Giao",_xludf.Xlookup(C602,#REF!,#REF!,),_xludf.Xlookup(C602,#REF!,#REF!,))</f>
        <v>#NAME?</v>
      </c>
      <c r="W602" s="8">
        <f t="array" ref="W602">IF($C$4="Giao", _xludf.Xlookup(C602,#REF!,#REF!,),)</f>
        <v>0</v>
      </c>
      <c r="X602" s="9">
        <f t="shared" si="8"/>
        <v>0</v>
      </c>
      <c r="Y602" s="7"/>
      <c r="Z602" s="7"/>
    </row>
    <row r="603" spans="1:26" ht="13" x14ac:dyDescent="0.6">
      <c r="A603" s="28" t="str">
        <f t="shared" si="7"/>
        <v/>
      </c>
      <c r="B603" s="7"/>
      <c r="C603" s="7"/>
      <c r="D603" s="9"/>
      <c r="E603" s="9"/>
      <c r="F603" s="9"/>
      <c r="G603" s="9"/>
      <c r="H603" s="9"/>
      <c r="I603" s="9"/>
      <c r="J603" s="9"/>
      <c r="K603" s="9"/>
      <c r="L603" s="9"/>
      <c r="M603" s="9"/>
      <c r="N603" s="9"/>
      <c r="O603" s="9"/>
      <c r="P603" s="29"/>
      <c r="Q603" s="29"/>
      <c r="R603" s="7"/>
      <c r="S603" s="7"/>
      <c r="T603" s="7" t="str">
        <f ca="1">IFERROR(__xludf.DUMMYFUNCTION("SPARKLINE({
IF(D603="""",0,D603),
IF(F603="""",0,F603),
IF(H603="""",0,H603),
IF(J603="""",0,J603),
IF(L603="""",0,L603),
IF(N603="""",0,N603),
IF(P603="""",0,P603)
})"),"")</f>
        <v/>
      </c>
      <c r="U603" s="7" t="str">
        <f ca="1">IFERROR(__xludf.DUMMYFUNCTION("SPARKLINE({
IF(E603="""",0,E603),
IF(G603="""",0,G603),
IF(I603="""",0,I603),
IF(K603="""",0,K603),
IF(M603="""",0,M603),
IF(O603="""",0,O603),
IF(Q603="""",0,Q603)
})"),"")</f>
        <v/>
      </c>
      <c r="V603" s="8" t="e">
        <f t="array" aca="1" ref="V603" ca="1">IF($C$4="Giao",_xludf.Xlookup(C603,#REF!,#REF!,),_xludf.Xlookup(C603,#REF!,#REF!,))</f>
        <v>#NAME?</v>
      </c>
      <c r="W603" s="8">
        <f t="array" ref="W603">IF($C$4="Giao", _xludf.Xlookup(C603,#REF!,#REF!,),)</f>
        <v>0</v>
      </c>
      <c r="X603" s="9">
        <f t="shared" si="8"/>
        <v>0</v>
      </c>
      <c r="Y603" s="7"/>
      <c r="Z603" s="7"/>
    </row>
    <row r="604" spans="1:26" ht="13" x14ac:dyDescent="0.6">
      <c r="A604" s="28" t="str">
        <f t="shared" si="7"/>
        <v/>
      </c>
      <c r="B604" s="7"/>
      <c r="C604" s="7"/>
      <c r="D604" s="9"/>
      <c r="E604" s="9"/>
      <c r="F604" s="9"/>
      <c r="G604" s="9"/>
      <c r="H604" s="9"/>
      <c r="I604" s="9"/>
      <c r="J604" s="9"/>
      <c r="K604" s="9"/>
      <c r="L604" s="9"/>
      <c r="M604" s="9"/>
      <c r="N604" s="9"/>
      <c r="O604" s="9"/>
      <c r="P604" s="29"/>
      <c r="Q604" s="29"/>
      <c r="R604" s="7"/>
      <c r="S604" s="7"/>
      <c r="T604" s="7" t="str">
        <f ca="1">IFERROR(__xludf.DUMMYFUNCTION("SPARKLINE({
IF(D604="""",0,D604),
IF(F604="""",0,F604),
IF(H604="""",0,H604),
IF(J604="""",0,J604),
IF(L604="""",0,L604),
IF(N604="""",0,N604),
IF(P604="""",0,P604)
})"),"")</f>
        <v/>
      </c>
      <c r="U604" s="7" t="str">
        <f ca="1">IFERROR(__xludf.DUMMYFUNCTION("SPARKLINE({
IF(E604="""",0,E604),
IF(G604="""",0,G604),
IF(I604="""",0,I604),
IF(K604="""",0,K604),
IF(M604="""",0,M604),
IF(O604="""",0,O604),
IF(Q604="""",0,Q604)
})"),"")</f>
        <v/>
      </c>
      <c r="V604" s="8" t="e">
        <f t="array" aca="1" ref="V604" ca="1">IF($C$4="Giao",_xludf.Xlookup(C604,#REF!,#REF!,),_xludf.Xlookup(C604,#REF!,#REF!,))</f>
        <v>#NAME?</v>
      </c>
      <c r="W604" s="8">
        <f t="array" ref="W604">IF($C$4="Giao", _xludf.Xlookup(C604,#REF!,#REF!,),)</f>
        <v>0</v>
      </c>
      <c r="X604" s="9">
        <f t="shared" si="8"/>
        <v>0</v>
      </c>
      <c r="Y604" s="7"/>
      <c r="Z604" s="7"/>
    </row>
    <row r="605" spans="1:26" ht="13" x14ac:dyDescent="0.6">
      <c r="A605" s="28" t="str">
        <f t="shared" si="7"/>
        <v/>
      </c>
      <c r="B605" s="7"/>
      <c r="C605" s="7"/>
      <c r="D605" s="9"/>
      <c r="E605" s="9"/>
      <c r="F605" s="9"/>
      <c r="G605" s="9"/>
      <c r="H605" s="9"/>
      <c r="I605" s="9"/>
      <c r="J605" s="9"/>
      <c r="K605" s="9"/>
      <c r="L605" s="9"/>
      <c r="M605" s="9"/>
      <c r="N605" s="9"/>
      <c r="O605" s="9"/>
      <c r="P605" s="29"/>
      <c r="Q605" s="29"/>
      <c r="R605" s="7"/>
      <c r="S605" s="7"/>
      <c r="T605" s="7" t="str">
        <f ca="1">IFERROR(__xludf.DUMMYFUNCTION("SPARKLINE({
IF(D605="""",0,D605),
IF(F605="""",0,F605),
IF(H605="""",0,H605),
IF(J605="""",0,J605),
IF(L605="""",0,L605),
IF(N605="""",0,N605),
IF(P605="""",0,P605)
})"),"")</f>
        <v/>
      </c>
      <c r="U605" s="7" t="str">
        <f ca="1">IFERROR(__xludf.DUMMYFUNCTION("SPARKLINE({
IF(E605="""",0,E605),
IF(G605="""",0,G605),
IF(I605="""",0,I605),
IF(K605="""",0,K605),
IF(M605="""",0,M605),
IF(O605="""",0,O605),
IF(Q605="""",0,Q605)
})"),"")</f>
        <v/>
      </c>
      <c r="V605" s="8" t="e">
        <f t="array" aca="1" ref="V605" ca="1">IF($C$4="Giao",_xludf.Xlookup(C605,#REF!,#REF!,),_xludf.Xlookup(C605,#REF!,#REF!,))</f>
        <v>#NAME?</v>
      </c>
      <c r="W605" s="8">
        <f t="array" ref="W605">IF($C$4="Giao", _xludf.Xlookup(C605,#REF!,#REF!,),)</f>
        <v>0</v>
      </c>
      <c r="X605" s="9">
        <f t="shared" si="8"/>
        <v>0</v>
      </c>
      <c r="Y605" s="7"/>
      <c r="Z605" s="7"/>
    </row>
    <row r="606" spans="1:26" ht="13" x14ac:dyDescent="0.6">
      <c r="A606" s="28" t="str">
        <f t="shared" si="7"/>
        <v/>
      </c>
      <c r="B606" s="7"/>
      <c r="C606" s="7"/>
      <c r="D606" s="9"/>
      <c r="E606" s="9"/>
      <c r="F606" s="9"/>
      <c r="G606" s="9"/>
      <c r="H606" s="9"/>
      <c r="I606" s="9"/>
      <c r="J606" s="9"/>
      <c r="K606" s="9"/>
      <c r="L606" s="9"/>
      <c r="M606" s="9"/>
      <c r="N606" s="9"/>
      <c r="O606" s="9"/>
      <c r="P606" s="29"/>
      <c r="Q606" s="29"/>
      <c r="R606" s="7"/>
      <c r="S606" s="7"/>
      <c r="T606" s="7" t="str">
        <f ca="1">IFERROR(__xludf.DUMMYFUNCTION("SPARKLINE({
IF(D606="""",0,D606),
IF(F606="""",0,F606),
IF(H606="""",0,H606),
IF(J606="""",0,J606),
IF(L606="""",0,L606),
IF(N606="""",0,N606),
IF(P606="""",0,P606)
})"),"")</f>
        <v/>
      </c>
      <c r="U606" s="7" t="str">
        <f ca="1">IFERROR(__xludf.DUMMYFUNCTION("SPARKLINE({
IF(E606="""",0,E606),
IF(G606="""",0,G606),
IF(I606="""",0,I606),
IF(K606="""",0,K606),
IF(M606="""",0,M606),
IF(O606="""",0,O606),
IF(Q606="""",0,Q606)
})"),"")</f>
        <v/>
      </c>
      <c r="V606" s="8" t="e">
        <f t="array" aca="1" ref="V606" ca="1">IF($C$4="Giao",_xludf.Xlookup(C606,#REF!,#REF!,),_xludf.Xlookup(C606,#REF!,#REF!,))</f>
        <v>#NAME?</v>
      </c>
      <c r="W606" s="8">
        <f t="array" ref="W606">IF($C$4="Giao", _xludf.Xlookup(C606,#REF!,#REF!,),)</f>
        <v>0</v>
      </c>
      <c r="X606" s="9">
        <f t="shared" si="8"/>
        <v>0</v>
      </c>
      <c r="Y606" s="7"/>
      <c r="Z606" s="7"/>
    </row>
    <row r="607" spans="1:26" ht="13" x14ac:dyDescent="0.6">
      <c r="A607" s="28" t="str">
        <f t="shared" si="7"/>
        <v/>
      </c>
      <c r="B607" s="7"/>
      <c r="C607" s="7"/>
      <c r="D607" s="9"/>
      <c r="E607" s="9"/>
      <c r="F607" s="9"/>
      <c r="G607" s="9"/>
      <c r="H607" s="9"/>
      <c r="I607" s="9"/>
      <c r="J607" s="9"/>
      <c r="K607" s="9"/>
      <c r="L607" s="9"/>
      <c r="M607" s="9"/>
      <c r="N607" s="9"/>
      <c r="O607" s="9"/>
      <c r="P607" s="29"/>
      <c r="Q607" s="29"/>
      <c r="R607" s="7"/>
      <c r="S607" s="7"/>
      <c r="T607" s="7" t="str">
        <f ca="1">IFERROR(__xludf.DUMMYFUNCTION("SPARKLINE({
IF(D607="""",0,D607),
IF(F607="""",0,F607),
IF(H607="""",0,H607),
IF(J607="""",0,J607),
IF(L607="""",0,L607),
IF(N607="""",0,N607),
IF(P607="""",0,P607)
})"),"")</f>
        <v/>
      </c>
      <c r="U607" s="7" t="str">
        <f ca="1">IFERROR(__xludf.DUMMYFUNCTION("SPARKLINE({
IF(E607="""",0,E607),
IF(G607="""",0,G607),
IF(I607="""",0,I607),
IF(K607="""",0,K607),
IF(M607="""",0,M607),
IF(O607="""",0,O607),
IF(Q607="""",0,Q607)
})"),"")</f>
        <v/>
      </c>
      <c r="V607" s="8" t="e">
        <f t="array" aca="1" ref="V607" ca="1">IF($C$4="Giao",_xludf.Xlookup(C607,#REF!,#REF!,),_xludf.Xlookup(C607,#REF!,#REF!,))</f>
        <v>#NAME?</v>
      </c>
      <c r="W607" s="8">
        <f t="array" ref="W607">IF($C$4="Giao", _xludf.Xlookup(C607,#REF!,#REF!,),)</f>
        <v>0</v>
      </c>
      <c r="X607" s="9">
        <f t="shared" si="8"/>
        <v>0</v>
      </c>
      <c r="Y607" s="7"/>
      <c r="Z607" s="7"/>
    </row>
    <row r="608" spans="1:26" ht="13" x14ac:dyDescent="0.6">
      <c r="A608" s="28" t="str">
        <f t="shared" si="7"/>
        <v/>
      </c>
      <c r="B608" s="7"/>
      <c r="C608" s="7"/>
      <c r="D608" s="9"/>
      <c r="E608" s="9"/>
      <c r="F608" s="9"/>
      <c r="G608" s="9"/>
      <c r="H608" s="9"/>
      <c r="I608" s="9"/>
      <c r="J608" s="9"/>
      <c r="K608" s="9"/>
      <c r="L608" s="9"/>
      <c r="M608" s="9"/>
      <c r="N608" s="9"/>
      <c r="O608" s="9"/>
      <c r="P608" s="29"/>
      <c r="Q608" s="29"/>
      <c r="R608" s="7"/>
      <c r="S608" s="7"/>
      <c r="T608" s="7" t="str">
        <f ca="1">IFERROR(__xludf.DUMMYFUNCTION("SPARKLINE({
IF(D608="""",0,D608),
IF(F608="""",0,F608),
IF(H608="""",0,H608),
IF(J608="""",0,J608),
IF(L608="""",0,L608),
IF(N608="""",0,N608),
IF(P608="""",0,P608)
})"),"")</f>
        <v/>
      </c>
      <c r="U608" s="7" t="str">
        <f ca="1">IFERROR(__xludf.DUMMYFUNCTION("SPARKLINE({
IF(E608="""",0,E608),
IF(G608="""",0,G608),
IF(I608="""",0,I608),
IF(K608="""",0,K608),
IF(M608="""",0,M608),
IF(O608="""",0,O608),
IF(Q608="""",0,Q608)
})"),"")</f>
        <v/>
      </c>
      <c r="V608" s="8" t="e">
        <f t="array" aca="1" ref="V608" ca="1">IF($C$4="Giao",_xludf.Xlookup(C608,#REF!,#REF!,),_xludf.Xlookup(C608,#REF!,#REF!,))</f>
        <v>#NAME?</v>
      </c>
      <c r="W608" s="8">
        <f t="array" ref="W608">IF($C$4="Giao", _xludf.Xlookup(C608,#REF!,#REF!,),)</f>
        <v>0</v>
      </c>
      <c r="X608" s="9">
        <f t="shared" si="8"/>
        <v>0</v>
      </c>
      <c r="Y608" s="7"/>
      <c r="Z608" s="7"/>
    </row>
    <row r="609" spans="1:26" ht="13" x14ac:dyDescent="0.6">
      <c r="A609" s="28" t="str">
        <f t="shared" si="7"/>
        <v/>
      </c>
      <c r="B609" s="7"/>
      <c r="C609" s="7"/>
      <c r="D609" s="9"/>
      <c r="E609" s="9"/>
      <c r="F609" s="9"/>
      <c r="G609" s="9"/>
      <c r="H609" s="9"/>
      <c r="I609" s="9"/>
      <c r="J609" s="9"/>
      <c r="K609" s="9"/>
      <c r="L609" s="9"/>
      <c r="M609" s="9"/>
      <c r="N609" s="9"/>
      <c r="O609" s="9"/>
      <c r="P609" s="29"/>
      <c r="Q609" s="29"/>
      <c r="R609" s="7"/>
      <c r="S609" s="7"/>
      <c r="T609" s="7" t="str">
        <f ca="1">IFERROR(__xludf.DUMMYFUNCTION("SPARKLINE({
IF(D609="""",0,D609),
IF(F609="""",0,F609),
IF(H609="""",0,H609),
IF(J609="""",0,J609),
IF(L609="""",0,L609),
IF(N609="""",0,N609),
IF(P609="""",0,P609)
})"),"")</f>
        <v/>
      </c>
      <c r="U609" s="7" t="str">
        <f ca="1">IFERROR(__xludf.DUMMYFUNCTION("SPARKLINE({
IF(E609="""",0,E609),
IF(G609="""",0,G609),
IF(I609="""",0,I609),
IF(K609="""",0,K609),
IF(M609="""",0,M609),
IF(O609="""",0,O609),
IF(Q609="""",0,Q609)
})"),"")</f>
        <v/>
      </c>
      <c r="V609" s="8" t="e">
        <f t="array" aca="1" ref="V609" ca="1">IF($C$4="Giao",_xludf.Xlookup(C609,#REF!,#REF!,),_xludf.Xlookup(C609,#REF!,#REF!,))</f>
        <v>#NAME?</v>
      </c>
      <c r="W609" s="8">
        <f t="array" ref="W609">IF($C$4="Giao", _xludf.Xlookup(C609,#REF!,#REF!,),)</f>
        <v>0</v>
      </c>
      <c r="X609" s="9">
        <f t="shared" si="8"/>
        <v>0</v>
      </c>
      <c r="Y609" s="7"/>
      <c r="Z609" s="7"/>
    </row>
    <row r="610" spans="1:26" ht="13" x14ac:dyDescent="0.6">
      <c r="A610" s="28" t="str">
        <f t="shared" si="7"/>
        <v/>
      </c>
      <c r="B610" s="7"/>
      <c r="C610" s="7"/>
      <c r="D610" s="9"/>
      <c r="E610" s="9"/>
      <c r="F610" s="9"/>
      <c r="G610" s="9"/>
      <c r="H610" s="9"/>
      <c r="I610" s="9"/>
      <c r="J610" s="9"/>
      <c r="K610" s="9"/>
      <c r="L610" s="9"/>
      <c r="M610" s="9"/>
      <c r="N610" s="9"/>
      <c r="O610" s="9"/>
      <c r="P610" s="29"/>
      <c r="Q610" s="29"/>
      <c r="R610" s="7"/>
      <c r="S610" s="7"/>
      <c r="T610" s="7" t="str">
        <f ca="1">IFERROR(__xludf.DUMMYFUNCTION("SPARKLINE({
IF(D610="""",0,D610),
IF(F610="""",0,F610),
IF(H610="""",0,H610),
IF(J610="""",0,J610),
IF(L610="""",0,L610),
IF(N610="""",0,N610),
IF(P610="""",0,P610)
})"),"")</f>
        <v/>
      </c>
      <c r="U610" s="7" t="str">
        <f ca="1">IFERROR(__xludf.DUMMYFUNCTION("SPARKLINE({
IF(E610="""",0,E610),
IF(G610="""",0,G610),
IF(I610="""",0,I610),
IF(K610="""",0,K610),
IF(M610="""",0,M610),
IF(O610="""",0,O610),
IF(Q610="""",0,Q610)
})"),"")</f>
        <v/>
      </c>
      <c r="V610" s="8" t="e">
        <f t="array" aca="1" ref="V610" ca="1">IF($C$4="Giao",_xludf.Xlookup(C610,#REF!,#REF!,),_xludf.Xlookup(C610,#REF!,#REF!,))</f>
        <v>#NAME?</v>
      </c>
      <c r="W610" s="8">
        <f t="array" ref="W610">IF($C$4="Giao", _xludf.Xlookup(C610,#REF!,#REF!,),)</f>
        <v>0</v>
      </c>
      <c r="X610" s="9">
        <f t="shared" si="8"/>
        <v>0</v>
      </c>
      <c r="Y610" s="7"/>
      <c r="Z610" s="7"/>
    </row>
    <row r="611" spans="1:26" ht="13" x14ac:dyDescent="0.6">
      <c r="A611" s="28" t="str">
        <f t="shared" si="7"/>
        <v/>
      </c>
      <c r="B611" s="7"/>
      <c r="C611" s="7"/>
      <c r="D611" s="9"/>
      <c r="E611" s="9"/>
      <c r="F611" s="9"/>
      <c r="G611" s="9"/>
      <c r="H611" s="9"/>
      <c r="I611" s="9"/>
      <c r="J611" s="9"/>
      <c r="K611" s="9"/>
      <c r="L611" s="9"/>
      <c r="M611" s="9"/>
      <c r="N611" s="9"/>
      <c r="O611" s="9"/>
      <c r="P611" s="29"/>
      <c r="Q611" s="29"/>
      <c r="R611" s="7"/>
      <c r="S611" s="7"/>
      <c r="T611" s="7" t="str">
        <f ca="1">IFERROR(__xludf.DUMMYFUNCTION("SPARKLINE({
IF(D611="""",0,D611),
IF(F611="""",0,F611),
IF(H611="""",0,H611),
IF(J611="""",0,J611),
IF(L611="""",0,L611),
IF(N611="""",0,N611),
IF(P611="""",0,P611)
})"),"")</f>
        <v/>
      </c>
      <c r="U611" s="7" t="str">
        <f ca="1">IFERROR(__xludf.DUMMYFUNCTION("SPARKLINE({
IF(E611="""",0,E611),
IF(G611="""",0,G611),
IF(I611="""",0,I611),
IF(K611="""",0,K611),
IF(M611="""",0,M611),
IF(O611="""",0,O611),
IF(Q611="""",0,Q611)
})"),"")</f>
        <v/>
      </c>
      <c r="V611" s="8" t="e">
        <f t="array" aca="1" ref="V611" ca="1">IF($C$4="Giao",_xludf.Xlookup(C611,#REF!,#REF!,),_xludf.Xlookup(C611,#REF!,#REF!,))</f>
        <v>#NAME?</v>
      </c>
      <c r="W611" s="8">
        <f t="array" ref="W611">IF($C$4="Giao", _xludf.Xlookup(C611,#REF!,#REF!,),)</f>
        <v>0</v>
      </c>
      <c r="X611" s="9">
        <f t="shared" si="8"/>
        <v>0</v>
      </c>
      <c r="Y611" s="7"/>
      <c r="Z611" s="7"/>
    </row>
    <row r="612" spans="1:26" ht="13" x14ac:dyDescent="0.6">
      <c r="A612" s="28" t="str">
        <f t="shared" si="7"/>
        <v/>
      </c>
      <c r="B612" s="7"/>
      <c r="C612" s="7"/>
      <c r="D612" s="9"/>
      <c r="E612" s="9"/>
      <c r="F612" s="9"/>
      <c r="G612" s="9"/>
      <c r="H612" s="9"/>
      <c r="I612" s="9"/>
      <c r="J612" s="9"/>
      <c r="K612" s="9"/>
      <c r="L612" s="9"/>
      <c r="M612" s="9"/>
      <c r="N612" s="9"/>
      <c r="O612" s="9"/>
      <c r="P612" s="29"/>
      <c r="Q612" s="29"/>
      <c r="R612" s="7"/>
      <c r="S612" s="7"/>
      <c r="T612" s="7" t="str">
        <f ca="1">IFERROR(__xludf.DUMMYFUNCTION("SPARKLINE({
IF(D612="""",0,D612),
IF(F612="""",0,F612),
IF(H612="""",0,H612),
IF(J612="""",0,J612),
IF(L612="""",0,L612),
IF(N612="""",0,N612),
IF(P612="""",0,P612)
})"),"")</f>
        <v/>
      </c>
      <c r="U612" s="7" t="str">
        <f ca="1">IFERROR(__xludf.DUMMYFUNCTION("SPARKLINE({
IF(E612="""",0,E612),
IF(G612="""",0,G612),
IF(I612="""",0,I612),
IF(K612="""",0,K612),
IF(M612="""",0,M612),
IF(O612="""",0,O612),
IF(Q612="""",0,Q612)
})"),"")</f>
        <v/>
      </c>
      <c r="V612" s="8" t="e">
        <f t="array" aca="1" ref="V612" ca="1">IF($C$4="Giao",_xludf.Xlookup(C612,#REF!,#REF!,),_xludf.Xlookup(C612,#REF!,#REF!,))</f>
        <v>#NAME?</v>
      </c>
      <c r="W612" s="8">
        <f t="array" ref="W612">IF($C$4="Giao", _xludf.Xlookup(C612,#REF!,#REF!,),)</f>
        <v>0</v>
      </c>
      <c r="X612" s="9">
        <f t="shared" si="8"/>
        <v>0</v>
      </c>
      <c r="Y612" s="7"/>
      <c r="Z612" s="7"/>
    </row>
    <row r="613" spans="1:26" ht="13" x14ac:dyDescent="0.6">
      <c r="A613" s="28" t="str">
        <f t="shared" si="7"/>
        <v/>
      </c>
      <c r="B613" s="7"/>
      <c r="C613" s="7"/>
      <c r="D613" s="9"/>
      <c r="E613" s="9"/>
      <c r="F613" s="9"/>
      <c r="G613" s="9"/>
      <c r="H613" s="9"/>
      <c r="I613" s="9"/>
      <c r="J613" s="9"/>
      <c r="K613" s="9"/>
      <c r="L613" s="9"/>
      <c r="M613" s="9"/>
      <c r="N613" s="9"/>
      <c r="O613" s="9"/>
      <c r="P613" s="29"/>
      <c r="Q613" s="29"/>
      <c r="R613" s="7"/>
      <c r="S613" s="7"/>
      <c r="T613" s="7" t="str">
        <f ca="1">IFERROR(__xludf.DUMMYFUNCTION("SPARKLINE({
IF(D613="""",0,D613),
IF(F613="""",0,F613),
IF(H613="""",0,H613),
IF(J613="""",0,J613),
IF(L613="""",0,L613),
IF(N613="""",0,N613),
IF(P613="""",0,P613)
})"),"")</f>
        <v/>
      </c>
      <c r="U613" s="7" t="str">
        <f ca="1">IFERROR(__xludf.DUMMYFUNCTION("SPARKLINE({
IF(E613="""",0,E613),
IF(G613="""",0,G613),
IF(I613="""",0,I613),
IF(K613="""",0,K613),
IF(M613="""",0,M613),
IF(O613="""",0,O613),
IF(Q613="""",0,Q613)
})"),"")</f>
        <v/>
      </c>
      <c r="V613" s="8" t="e">
        <f t="array" aca="1" ref="V613" ca="1">IF($C$4="Giao",_xludf.Xlookup(C613,#REF!,#REF!,),_xludf.Xlookup(C613,#REF!,#REF!,))</f>
        <v>#NAME?</v>
      </c>
      <c r="W613" s="8">
        <f t="array" ref="W613">IF($C$4="Giao", _xludf.Xlookup(C613,#REF!,#REF!,),)</f>
        <v>0</v>
      </c>
      <c r="X613" s="9">
        <f t="shared" si="8"/>
        <v>0</v>
      </c>
      <c r="Y613" s="7"/>
      <c r="Z613" s="7"/>
    </row>
    <row r="614" spans="1:26" ht="13" x14ac:dyDescent="0.6">
      <c r="A614" s="28" t="str">
        <f t="shared" si="7"/>
        <v/>
      </c>
      <c r="B614" s="7"/>
      <c r="C614" s="7"/>
      <c r="D614" s="9"/>
      <c r="E614" s="9"/>
      <c r="F614" s="9"/>
      <c r="G614" s="9"/>
      <c r="H614" s="9"/>
      <c r="I614" s="9"/>
      <c r="J614" s="9"/>
      <c r="K614" s="9"/>
      <c r="L614" s="9"/>
      <c r="M614" s="9"/>
      <c r="N614" s="9"/>
      <c r="O614" s="9"/>
      <c r="P614" s="29"/>
      <c r="Q614" s="29"/>
      <c r="R614" s="7"/>
      <c r="S614" s="7"/>
      <c r="T614" s="7" t="str">
        <f ca="1">IFERROR(__xludf.DUMMYFUNCTION("SPARKLINE({
IF(D614="""",0,D614),
IF(F614="""",0,F614),
IF(H614="""",0,H614),
IF(J614="""",0,J614),
IF(L614="""",0,L614),
IF(N614="""",0,N614),
IF(P614="""",0,P614)
})"),"")</f>
        <v/>
      </c>
      <c r="U614" s="7" t="str">
        <f ca="1">IFERROR(__xludf.DUMMYFUNCTION("SPARKLINE({
IF(E614="""",0,E614),
IF(G614="""",0,G614),
IF(I614="""",0,I614),
IF(K614="""",0,K614),
IF(M614="""",0,M614),
IF(O614="""",0,O614),
IF(Q614="""",0,Q614)
})"),"")</f>
        <v/>
      </c>
      <c r="V614" s="8" t="e">
        <f t="array" aca="1" ref="V614" ca="1">IF($C$4="Giao",_xludf.Xlookup(C614,#REF!,#REF!,),_xludf.Xlookup(C614,#REF!,#REF!,))</f>
        <v>#NAME?</v>
      </c>
      <c r="W614" s="8">
        <f t="array" ref="W614">IF($C$4="Giao", _xludf.Xlookup(C614,#REF!,#REF!,),)</f>
        <v>0</v>
      </c>
      <c r="X614" s="9">
        <f t="shared" si="8"/>
        <v>0</v>
      </c>
      <c r="Y614" s="7"/>
      <c r="Z614" s="7"/>
    </row>
    <row r="615" spans="1:26" ht="13" x14ac:dyDescent="0.6">
      <c r="A615" s="28" t="str">
        <f t="shared" si="7"/>
        <v/>
      </c>
      <c r="B615" s="7"/>
      <c r="C615" s="7"/>
      <c r="D615" s="9"/>
      <c r="E615" s="9"/>
      <c r="F615" s="9"/>
      <c r="G615" s="9"/>
      <c r="H615" s="9"/>
      <c r="I615" s="9"/>
      <c r="J615" s="9"/>
      <c r="K615" s="9"/>
      <c r="L615" s="9"/>
      <c r="M615" s="9"/>
      <c r="N615" s="9"/>
      <c r="O615" s="9"/>
      <c r="P615" s="29"/>
      <c r="Q615" s="29"/>
      <c r="R615" s="7"/>
      <c r="S615" s="7"/>
      <c r="T615" s="7" t="str">
        <f ca="1">IFERROR(__xludf.DUMMYFUNCTION("SPARKLINE({
IF(D615="""",0,D615),
IF(F615="""",0,F615),
IF(H615="""",0,H615),
IF(J615="""",0,J615),
IF(L615="""",0,L615),
IF(N615="""",0,N615),
IF(P615="""",0,P615)
})"),"")</f>
        <v/>
      </c>
      <c r="U615" s="7" t="str">
        <f ca="1">IFERROR(__xludf.DUMMYFUNCTION("SPARKLINE({
IF(E615="""",0,E615),
IF(G615="""",0,G615),
IF(I615="""",0,I615),
IF(K615="""",0,K615),
IF(M615="""",0,M615),
IF(O615="""",0,O615),
IF(Q615="""",0,Q615)
})"),"")</f>
        <v/>
      </c>
      <c r="V615" s="8" t="e">
        <f t="array" aca="1" ref="V615" ca="1">IF($C$4="Giao",_xludf.Xlookup(C615,#REF!,#REF!,),_xludf.Xlookup(C615,#REF!,#REF!,))</f>
        <v>#NAME?</v>
      </c>
      <c r="W615" s="8">
        <f t="array" ref="W615">IF($C$4="Giao", _xludf.Xlookup(C615,#REF!,#REF!,),)</f>
        <v>0</v>
      </c>
      <c r="X615" s="9">
        <f t="shared" si="8"/>
        <v>0</v>
      </c>
      <c r="Y615" s="7"/>
      <c r="Z615" s="7"/>
    </row>
    <row r="616" spans="1:26" ht="13" x14ac:dyDescent="0.6">
      <c r="A616" s="28" t="str">
        <f t="shared" si="7"/>
        <v/>
      </c>
      <c r="B616" s="7"/>
      <c r="C616" s="7"/>
      <c r="D616" s="9"/>
      <c r="E616" s="9"/>
      <c r="F616" s="9"/>
      <c r="G616" s="9"/>
      <c r="H616" s="9"/>
      <c r="I616" s="9"/>
      <c r="J616" s="9"/>
      <c r="K616" s="9"/>
      <c r="L616" s="9"/>
      <c r="M616" s="9"/>
      <c r="N616" s="9"/>
      <c r="O616" s="9"/>
      <c r="P616" s="29"/>
      <c r="Q616" s="29"/>
      <c r="R616" s="7"/>
      <c r="S616" s="7"/>
      <c r="T616" s="7" t="str">
        <f ca="1">IFERROR(__xludf.DUMMYFUNCTION("SPARKLINE({
IF(D616="""",0,D616),
IF(F616="""",0,F616),
IF(H616="""",0,H616),
IF(J616="""",0,J616),
IF(L616="""",0,L616),
IF(N616="""",0,N616),
IF(P616="""",0,P616)
})"),"")</f>
        <v/>
      </c>
      <c r="U616" s="7" t="str">
        <f ca="1">IFERROR(__xludf.DUMMYFUNCTION("SPARKLINE({
IF(E616="""",0,E616),
IF(G616="""",0,G616),
IF(I616="""",0,I616),
IF(K616="""",0,K616),
IF(M616="""",0,M616),
IF(O616="""",0,O616),
IF(Q616="""",0,Q616)
})"),"")</f>
        <v/>
      </c>
      <c r="V616" s="8" t="e">
        <f t="array" aca="1" ref="V616" ca="1">IF($C$4="Giao",_xludf.Xlookup(C616,#REF!,#REF!,),_xludf.Xlookup(C616,#REF!,#REF!,))</f>
        <v>#NAME?</v>
      </c>
      <c r="W616" s="8">
        <f t="array" ref="W616">IF($C$4="Giao", _xludf.Xlookup(C616,#REF!,#REF!,),)</f>
        <v>0</v>
      </c>
      <c r="X616" s="9">
        <f t="shared" si="8"/>
        <v>0</v>
      </c>
      <c r="Y616" s="7"/>
      <c r="Z616" s="7"/>
    </row>
    <row r="617" spans="1:26" ht="13" x14ac:dyDescent="0.6">
      <c r="A617" s="28" t="str">
        <f t="shared" si="7"/>
        <v/>
      </c>
      <c r="B617" s="7"/>
      <c r="C617" s="7"/>
      <c r="D617" s="9"/>
      <c r="E617" s="9"/>
      <c r="F617" s="9"/>
      <c r="G617" s="9"/>
      <c r="H617" s="9"/>
      <c r="I617" s="9"/>
      <c r="J617" s="9"/>
      <c r="K617" s="9"/>
      <c r="L617" s="9"/>
      <c r="M617" s="9"/>
      <c r="N617" s="9"/>
      <c r="O617" s="9"/>
      <c r="P617" s="29"/>
      <c r="Q617" s="29"/>
      <c r="R617" s="7"/>
      <c r="S617" s="7"/>
      <c r="T617" s="7" t="str">
        <f ca="1">IFERROR(__xludf.DUMMYFUNCTION("SPARKLINE({
IF(D617="""",0,D617),
IF(F617="""",0,F617),
IF(H617="""",0,H617),
IF(J617="""",0,J617),
IF(L617="""",0,L617),
IF(N617="""",0,N617),
IF(P617="""",0,P617)
})"),"")</f>
        <v/>
      </c>
      <c r="U617" s="7" t="str">
        <f ca="1">IFERROR(__xludf.DUMMYFUNCTION("SPARKLINE({
IF(E617="""",0,E617),
IF(G617="""",0,G617),
IF(I617="""",0,I617),
IF(K617="""",0,K617),
IF(M617="""",0,M617),
IF(O617="""",0,O617),
IF(Q617="""",0,Q617)
})"),"")</f>
        <v/>
      </c>
      <c r="V617" s="8" t="e">
        <f t="array" aca="1" ref="V617" ca="1">IF($C$4="Giao",_xludf.Xlookup(C617,#REF!,#REF!,),_xludf.Xlookup(C617,#REF!,#REF!,))</f>
        <v>#NAME?</v>
      </c>
      <c r="W617" s="8">
        <f t="array" ref="W617">IF($C$4="Giao", _xludf.Xlookup(C617,#REF!,#REF!,),)</f>
        <v>0</v>
      </c>
      <c r="X617" s="9">
        <f t="shared" si="8"/>
        <v>0</v>
      </c>
      <c r="Y617" s="7"/>
      <c r="Z617" s="7"/>
    </row>
    <row r="618" spans="1:26" ht="13" x14ac:dyDescent="0.6">
      <c r="A618" s="28" t="str">
        <f t="shared" si="7"/>
        <v/>
      </c>
      <c r="B618" s="7"/>
      <c r="C618" s="7"/>
      <c r="D618" s="9"/>
      <c r="E618" s="9"/>
      <c r="F618" s="9"/>
      <c r="G618" s="9"/>
      <c r="H618" s="9"/>
      <c r="I618" s="9"/>
      <c r="J618" s="9"/>
      <c r="K618" s="9"/>
      <c r="L618" s="9"/>
      <c r="M618" s="9"/>
      <c r="N618" s="9"/>
      <c r="O618" s="9"/>
      <c r="P618" s="29"/>
      <c r="Q618" s="29"/>
      <c r="R618" s="7"/>
      <c r="S618" s="7"/>
      <c r="T618" s="7" t="str">
        <f ca="1">IFERROR(__xludf.DUMMYFUNCTION("SPARKLINE({
IF(D618="""",0,D618),
IF(F618="""",0,F618),
IF(H618="""",0,H618),
IF(J618="""",0,J618),
IF(L618="""",0,L618),
IF(N618="""",0,N618),
IF(P618="""",0,P618)
})"),"")</f>
        <v/>
      </c>
      <c r="U618" s="7" t="str">
        <f ca="1">IFERROR(__xludf.DUMMYFUNCTION("SPARKLINE({
IF(E618="""",0,E618),
IF(G618="""",0,G618),
IF(I618="""",0,I618),
IF(K618="""",0,K618),
IF(M618="""",0,M618),
IF(O618="""",0,O618),
IF(Q618="""",0,Q618)
})"),"")</f>
        <v/>
      </c>
      <c r="V618" s="8" t="e">
        <f t="array" aca="1" ref="V618" ca="1">IF($C$4="Giao",_xludf.Xlookup(C618,#REF!,#REF!,),_xludf.Xlookup(C618,#REF!,#REF!,))</f>
        <v>#NAME?</v>
      </c>
      <c r="W618" s="8">
        <f t="array" ref="W618">IF($C$4="Giao", _xludf.Xlookup(C618,#REF!,#REF!,),)</f>
        <v>0</v>
      </c>
      <c r="X618" s="9">
        <f t="shared" si="8"/>
        <v>0</v>
      </c>
      <c r="Y618" s="7"/>
      <c r="Z618" s="7"/>
    </row>
    <row r="619" spans="1:26" ht="13" x14ac:dyDescent="0.6">
      <c r="A619" s="28" t="str">
        <f t="shared" si="7"/>
        <v/>
      </c>
      <c r="B619" s="7"/>
      <c r="C619" s="7"/>
      <c r="D619" s="9"/>
      <c r="E619" s="9"/>
      <c r="F619" s="9"/>
      <c r="G619" s="9"/>
      <c r="H619" s="9"/>
      <c r="I619" s="9"/>
      <c r="J619" s="9"/>
      <c r="K619" s="9"/>
      <c r="L619" s="9"/>
      <c r="M619" s="9"/>
      <c r="N619" s="9"/>
      <c r="O619" s="9"/>
      <c r="P619" s="29"/>
      <c r="Q619" s="29"/>
      <c r="R619" s="7"/>
      <c r="S619" s="7"/>
      <c r="T619" s="7" t="str">
        <f ca="1">IFERROR(__xludf.DUMMYFUNCTION("SPARKLINE({
IF(D619="""",0,D619),
IF(F619="""",0,F619),
IF(H619="""",0,H619),
IF(J619="""",0,J619),
IF(L619="""",0,L619),
IF(N619="""",0,N619),
IF(P619="""",0,P619)
})"),"")</f>
        <v/>
      </c>
      <c r="U619" s="7" t="str">
        <f ca="1">IFERROR(__xludf.DUMMYFUNCTION("SPARKLINE({
IF(E619="""",0,E619),
IF(G619="""",0,G619),
IF(I619="""",0,I619),
IF(K619="""",0,K619),
IF(M619="""",0,M619),
IF(O619="""",0,O619),
IF(Q619="""",0,Q619)
})"),"")</f>
        <v/>
      </c>
      <c r="V619" s="8" t="e">
        <f t="array" aca="1" ref="V619" ca="1">IF($C$4="Giao",_xludf.Xlookup(C619,#REF!,#REF!,),_xludf.Xlookup(C619,#REF!,#REF!,))</f>
        <v>#NAME?</v>
      </c>
      <c r="W619" s="8">
        <f t="array" ref="W619">IF($C$4="Giao", _xludf.Xlookup(C619,#REF!,#REF!,),)</f>
        <v>0</v>
      </c>
      <c r="X619" s="9">
        <f t="shared" si="8"/>
        <v>0</v>
      </c>
      <c r="Y619" s="7"/>
      <c r="Z619" s="7"/>
    </row>
    <row r="620" spans="1:26" ht="13" x14ac:dyDescent="0.6">
      <c r="A620" s="28" t="str">
        <f t="shared" si="7"/>
        <v/>
      </c>
      <c r="B620" s="7"/>
      <c r="C620" s="7"/>
      <c r="D620" s="9"/>
      <c r="E620" s="9"/>
      <c r="F620" s="9"/>
      <c r="G620" s="9"/>
      <c r="H620" s="9"/>
      <c r="I620" s="9"/>
      <c r="J620" s="9"/>
      <c r="K620" s="9"/>
      <c r="L620" s="9"/>
      <c r="M620" s="9"/>
      <c r="N620" s="9"/>
      <c r="O620" s="9"/>
      <c r="P620" s="29"/>
      <c r="Q620" s="29"/>
      <c r="R620" s="7"/>
      <c r="S620" s="7"/>
      <c r="T620" s="7" t="str">
        <f ca="1">IFERROR(__xludf.DUMMYFUNCTION("SPARKLINE({
IF(D620="""",0,D620),
IF(F620="""",0,F620),
IF(H620="""",0,H620),
IF(J620="""",0,J620),
IF(L620="""",0,L620),
IF(N620="""",0,N620),
IF(P620="""",0,P620)
})"),"")</f>
        <v/>
      </c>
      <c r="U620" s="7" t="str">
        <f ca="1">IFERROR(__xludf.DUMMYFUNCTION("SPARKLINE({
IF(E620="""",0,E620),
IF(G620="""",0,G620),
IF(I620="""",0,I620),
IF(K620="""",0,K620),
IF(M620="""",0,M620),
IF(O620="""",0,O620),
IF(Q620="""",0,Q620)
})"),"")</f>
        <v/>
      </c>
      <c r="V620" s="8" t="e">
        <f t="array" aca="1" ref="V620" ca="1">IF($C$4="Giao",_xludf.Xlookup(C620,#REF!,#REF!,),_xludf.Xlookup(C620,#REF!,#REF!,))</f>
        <v>#NAME?</v>
      </c>
      <c r="W620" s="8">
        <f t="array" ref="W620">IF($C$4="Giao", _xludf.Xlookup(C620,#REF!,#REF!,),)</f>
        <v>0</v>
      </c>
      <c r="X620" s="9">
        <f t="shared" si="8"/>
        <v>0</v>
      </c>
      <c r="Y620" s="7"/>
      <c r="Z620" s="7"/>
    </row>
    <row r="621" spans="1:26" ht="13" x14ac:dyDescent="0.6">
      <c r="A621" s="28" t="str">
        <f t="shared" si="7"/>
        <v/>
      </c>
      <c r="B621" s="7"/>
      <c r="C621" s="7"/>
      <c r="D621" s="9"/>
      <c r="E621" s="9"/>
      <c r="F621" s="9"/>
      <c r="G621" s="9"/>
      <c r="H621" s="9"/>
      <c r="I621" s="9"/>
      <c r="J621" s="9"/>
      <c r="K621" s="9"/>
      <c r="L621" s="9"/>
      <c r="M621" s="9"/>
      <c r="N621" s="9"/>
      <c r="O621" s="9"/>
      <c r="P621" s="29"/>
      <c r="Q621" s="29"/>
      <c r="R621" s="7"/>
      <c r="S621" s="7"/>
      <c r="T621" s="7" t="str">
        <f ca="1">IFERROR(__xludf.DUMMYFUNCTION("SPARKLINE({
IF(D621="""",0,D621),
IF(F621="""",0,F621),
IF(H621="""",0,H621),
IF(J621="""",0,J621),
IF(L621="""",0,L621),
IF(N621="""",0,N621),
IF(P621="""",0,P621)
})"),"")</f>
        <v/>
      </c>
      <c r="U621" s="7" t="str">
        <f ca="1">IFERROR(__xludf.DUMMYFUNCTION("SPARKLINE({
IF(E621="""",0,E621),
IF(G621="""",0,G621),
IF(I621="""",0,I621),
IF(K621="""",0,K621),
IF(M621="""",0,M621),
IF(O621="""",0,O621),
IF(Q621="""",0,Q621)
})"),"")</f>
        <v/>
      </c>
      <c r="V621" s="8" t="e">
        <f t="array" aca="1" ref="V621" ca="1">IF($C$4="Giao",_xludf.Xlookup(C621,#REF!,#REF!,),_xludf.Xlookup(C621,#REF!,#REF!,))</f>
        <v>#NAME?</v>
      </c>
      <c r="W621" s="8">
        <f t="array" ref="W621">IF($C$4="Giao", _xludf.Xlookup(C621,#REF!,#REF!,),)</f>
        <v>0</v>
      </c>
      <c r="X621" s="9">
        <f t="shared" si="8"/>
        <v>0</v>
      </c>
      <c r="Y621" s="7"/>
      <c r="Z621" s="7"/>
    </row>
    <row r="622" spans="1:26" ht="13" x14ac:dyDescent="0.6">
      <c r="A622" s="28" t="str">
        <f t="shared" si="7"/>
        <v/>
      </c>
      <c r="B622" s="7"/>
      <c r="C622" s="7"/>
      <c r="D622" s="9"/>
      <c r="E622" s="9"/>
      <c r="F622" s="9"/>
      <c r="G622" s="9"/>
      <c r="H622" s="9"/>
      <c r="I622" s="9"/>
      <c r="J622" s="9"/>
      <c r="K622" s="9"/>
      <c r="L622" s="9"/>
      <c r="M622" s="9"/>
      <c r="N622" s="9"/>
      <c r="O622" s="9"/>
      <c r="P622" s="29"/>
      <c r="Q622" s="29"/>
      <c r="R622" s="7"/>
      <c r="S622" s="7"/>
      <c r="T622" s="7" t="str">
        <f ca="1">IFERROR(__xludf.DUMMYFUNCTION("SPARKLINE({
IF(D622="""",0,D622),
IF(F622="""",0,F622),
IF(H622="""",0,H622),
IF(J622="""",0,J622),
IF(L622="""",0,L622),
IF(N622="""",0,N622),
IF(P622="""",0,P622)
})"),"")</f>
        <v/>
      </c>
      <c r="U622" s="7" t="str">
        <f ca="1">IFERROR(__xludf.DUMMYFUNCTION("SPARKLINE({
IF(E622="""",0,E622),
IF(G622="""",0,G622),
IF(I622="""",0,I622),
IF(K622="""",0,K622),
IF(M622="""",0,M622),
IF(O622="""",0,O622),
IF(Q622="""",0,Q622)
})"),"")</f>
        <v/>
      </c>
      <c r="V622" s="8" t="e">
        <f t="array" aca="1" ref="V622" ca="1">IF($C$4="Giao",_xludf.Xlookup(C622,#REF!,#REF!,),_xludf.Xlookup(C622,#REF!,#REF!,))</f>
        <v>#NAME?</v>
      </c>
      <c r="W622" s="8">
        <f t="array" ref="W622">IF($C$4="Giao", _xludf.Xlookup(C622,#REF!,#REF!,),)</f>
        <v>0</v>
      </c>
      <c r="X622" s="9">
        <f t="shared" si="8"/>
        <v>0</v>
      </c>
      <c r="Y622" s="7"/>
      <c r="Z622" s="7"/>
    </row>
    <row r="623" spans="1:26" ht="13" x14ac:dyDescent="0.6">
      <c r="A623" s="28" t="str">
        <f t="shared" si="7"/>
        <v/>
      </c>
      <c r="B623" s="7"/>
      <c r="C623" s="7"/>
      <c r="D623" s="9"/>
      <c r="E623" s="9"/>
      <c r="F623" s="9"/>
      <c r="G623" s="9"/>
      <c r="H623" s="9"/>
      <c r="I623" s="9"/>
      <c r="J623" s="9"/>
      <c r="K623" s="9"/>
      <c r="L623" s="9"/>
      <c r="M623" s="9"/>
      <c r="N623" s="9"/>
      <c r="O623" s="9"/>
      <c r="P623" s="29"/>
      <c r="Q623" s="29"/>
      <c r="R623" s="7"/>
      <c r="S623" s="7"/>
      <c r="T623" s="7" t="str">
        <f ca="1">IFERROR(__xludf.DUMMYFUNCTION("SPARKLINE({
IF(D623="""",0,D623),
IF(F623="""",0,F623),
IF(H623="""",0,H623),
IF(J623="""",0,J623),
IF(L623="""",0,L623),
IF(N623="""",0,N623),
IF(P623="""",0,P623)
})"),"")</f>
        <v/>
      </c>
      <c r="U623" s="7" t="str">
        <f ca="1">IFERROR(__xludf.DUMMYFUNCTION("SPARKLINE({
IF(E623="""",0,E623),
IF(G623="""",0,G623),
IF(I623="""",0,I623),
IF(K623="""",0,K623),
IF(M623="""",0,M623),
IF(O623="""",0,O623),
IF(Q623="""",0,Q623)
})"),"")</f>
        <v/>
      </c>
      <c r="V623" s="8" t="e">
        <f t="array" aca="1" ref="V623" ca="1">IF($C$4="Giao",_xludf.Xlookup(C623,#REF!,#REF!,),_xludf.Xlookup(C623,#REF!,#REF!,))</f>
        <v>#NAME?</v>
      </c>
      <c r="W623" s="8">
        <f t="array" ref="W623">IF($C$4="Giao", _xludf.Xlookup(C623,#REF!,#REF!,),)</f>
        <v>0</v>
      </c>
      <c r="X623" s="9">
        <f t="shared" si="8"/>
        <v>0</v>
      </c>
      <c r="Y623" s="7"/>
      <c r="Z623" s="7"/>
    </row>
    <row r="624" spans="1:26" ht="13" x14ac:dyDescent="0.6">
      <c r="A624" s="28" t="str">
        <f t="shared" si="7"/>
        <v/>
      </c>
      <c r="B624" s="7"/>
      <c r="C624" s="7"/>
      <c r="D624" s="9"/>
      <c r="E624" s="9"/>
      <c r="F624" s="9"/>
      <c r="G624" s="9"/>
      <c r="H624" s="9"/>
      <c r="I624" s="9"/>
      <c r="J624" s="9"/>
      <c r="K624" s="9"/>
      <c r="L624" s="9"/>
      <c r="M624" s="9"/>
      <c r="N624" s="9"/>
      <c r="O624" s="9"/>
      <c r="P624" s="29"/>
      <c r="Q624" s="29"/>
      <c r="R624" s="7"/>
      <c r="S624" s="7"/>
      <c r="T624" s="7" t="str">
        <f ca="1">IFERROR(__xludf.DUMMYFUNCTION("SPARKLINE({
IF(D624="""",0,D624),
IF(F624="""",0,F624),
IF(H624="""",0,H624),
IF(J624="""",0,J624),
IF(L624="""",0,L624),
IF(N624="""",0,N624),
IF(P624="""",0,P624)
})"),"")</f>
        <v/>
      </c>
      <c r="U624" s="7" t="str">
        <f ca="1">IFERROR(__xludf.DUMMYFUNCTION("SPARKLINE({
IF(E624="""",0,E624),
IF(G624="""",0,G624),
IF(I624="""",0,I624),
IF(K624="""",0,K624),
IF(M624="""",0,M624),
IF(O624="""",0,O624),
IF(Q624="""",0,Q624)
})"),"")</f>
        <v/>
      </c>
      <c r="V624" s="8" t="e">
        <f t="array" aca="1" ref="V624" ca="1">IF($C$4="Giao",_xludf.Xlookup(C624,#REF!,#REF!,),_xludf.Xlookup(C624,#REF!,#REF!,))</f>
        <v>#NAME?</v>
      </c>
      <c r="W624" s="8">
        <f t="array" ref="W624">IF($C$4="Giao", _xludf.Xlookup(C624,#REF!,#REF!,),)</f>
        <v>0</v>
      </c>
      <c r="X624" s="9">
        <f t="shared" si="8"/>
        <v>0</v>
      </c>
      <c r="Y624" s="7"/>
      <c r="Z624" s="7"/>
    </row>
    <row r="625" spans="1:26" ht="13" x14ac:dyDescent="0.6">
      <c r="A625" s="28" t="str">
        <f t="shared" si="7"/>
        <v/>
      </c>
      <c r="B625" s="7"/>
      <c r="C625" s="7"/>
      <c r="D625" s="9"/>
      <c r="E625" s="9"/>
      <c r="F625" s="9"/>
      <c r="G625" s="9"/>
      <c r="H625" s="9"/>
      <c r="I625" s="9"/>
      <c r="J625" s="9"/>
      <c r="K625" s="9"/>
      <c r="L625" s="9"/>
      <c r="M625" s="9"/>
      <c r="N625" s="9"/>
      <c r="O625" s="9"/>
      <c r="P625" s="29"/>
      <c r="Q625" s="29"/>
      <c r="R625" s="7"/>
      <c r="S625" s="7"/>
      <c r="T625" s="7" t="str">
        <f ca="1">IFERROR(__xludf.DUMMYFUNCTION("SPARKLINE({
IF(D625="""",0,D625),
IF(F625="""",0,F625),
IF(H625="""",0,H625),
IF(J625="""",0,J625),
IF(L625="""",0,L625),
IF(N625="""",0,N625),
IF(P625="""",0,P625)
})"),"")</f>
        <v/>
      </c>
      <c r="U625" s="7" t="str">
        <f ca="1">IFERROR(__xludf.DUMMYFUNCTION("SPARKLINE({
IF(E625="""",0,E625),
IF(G625="""",0,G625),
IF(I625="""",0,I625),
IF(K625="""",0,K625),
IF(M625="""",0,M625),
IF(O625="""",0,O625),
IF(Q625="""",0,Q625)
})"),"")</f>
        <v/>
      </c>
      <c r="V625" s="8" t="e">
        <f t="array" aca="1" ref="V625" ca="1">IF($C$4="Giao",_xludf.Xlookup(C625,#REF!,#REF!,),_xludf.Xlookup(C625,#REF!,#REF!,))</f>
        <v>#NAME?</v>
      </c>
      <c r="W625" s="8">
        <f t="array" ref="W625">IF($C$4="Giao", _xludf.Xlookup(C625,#REF!,#REF!,),)</f>
        <v>0</v>
      </c>
      <c r="X625" s="9">
        <f t="shared" si="8"/>
        <v>0</v>
      </c>
      <c r="Y625" s="7"/>
      <c r="Z625" s="7"/>
    </row>
    <row r="626" spans="1:26" ht="13" x14ac:dyDescent="0.6">
      <c r="A626" s="28" t="str">
        <f t="shared" si="7"/>
        <v/>
      </c>
      <c r="B626" s="7"/>
      <c r="C626" s="7"/>
      <c r="D626" s="9"/>
      <c r="E626" s="9"/>
      <c r="F626" s="9"/>
      <c r="G626" s="9"/>
      <c r="H626" s="9"/>
      <c r="I626" s="9"/>
      <c r="J626" s="9"/>
      <c r="K626" s="9"/>
      <c r="L626" s="9"/>
      <c r="M626" s="9"/>
      <c r="N626" s="9"/>
      <c r="O626" s="9"/>
      <c r="P626" s="29"/>
      <c r="Q626" s="29"/>
      <c r="R626" s="7"/>
      <c r="S626" s="7"/>
      <c r="T626" s="7" t="str">
        <f ca="1">IFERROR(__xludf.DUMMYFUNCTION("SPARKLINE({
IF(D626="""",0,D626),
IF(F626="""",0,F626),
IF(H626="""",0,H626),
IF(J626="""",0,J626),
IF(L626="""",0,L626),
IF(N626="""",0,N626),
IF(P626="""",0,P626)
})"),"")</f>
        <v/>
      </c>
      <c r="U626" s="7" t="str">
        <f ca="1">IFERROR(__xludf.DUMMYFUNCTION("SPARKLINE({
IF(E626="""",0,E626),
IF(G626="""",0,G626),
IF(I626="""",0,I626),
IF(K626="""",0,K626),
IF(M626="""",0,M626),
IF(O626="""",0,O626),
IF(Q626="""",0,Q626)
})"),"")</f>
        <v/>
      </c>
      <c r="V626" s="8" t="e">
        <f t="array" aca="1" ref="V626" ca="1">IF($C$4="Giao",_xludf.Xlookup(C626,#REF!,#REF!,),_xludf.Xlookup(C626,#REF!,#REF!,))</f>
        <v>#NAME?</v>
      </c>
      <c r="W626" s="8">
        <f t="array" ref="W626">IF($C$4="Giao", _xludf.Xlookup(C626,#REF!,#REF!,),)</f>
        <v>0</v>
      </c>
      <c r="X626" s="9">
        <f t="shared" si="8"/>
        <v>0</v>
      </c>
      <c r="Y626" s="7"/>
      <c r="Z626" s="7"/>
    </row>
    <row r="627" spans="1:26" ht="13" x14ac:dyDescent="0.6">
      <c r="A627" s="28" t="str">
        <f t="shared" si="7"/>
        <v/>
      </c>
      <c r="B627" s="7"/>
      <c r="C627" s="7"/>
      <c r="D627" s="9"/>
      <c r="E627" s="9"/>
      <c r="F627" s="9"/>
      <c r="G627" s="9"/>
      <c r="H627" s="9"/>
      <c r="I627" s="9"/>
      <c r="J627" s="9"/>
      <c r="K627" s="9"/>
      <c r="L627" s="9"/>
      <c r="M627" s="9"/>
      <c r="N627" s="9"/>
      <c r="O627" s="9"/>
      <c r="P627" s="29"/>
      <c r="Q627" s="29"/>
      <c r="R627" s="7"/>
      <c r="S627" s="7"/>
      <c r="T627" s="7" t="str">
        <f ca="1">IFERROR(__xludf.DUMMYFUNCTION("SPARKLINE({
IF(D627="""",0,D627),
IF(F627="""",0,F627),
IF(H627="""",0,H627),
IF(J627="""",0,J627),
IF(L627="""",0,L627),
IF(N627="""",0,N627),
IF(P627="""",0,P627)
})"),"")</f>
        <v/>
      </c>
      <c r="U627" s="7" t="str">
        <f ca="1">IFERROR(__xludf.DUMMYFUNCTION("SPARKLINE({
IF(E627="""",0,E627),
IF(G627="""",0,G627),
IF(I627="""",0,I627),
IF(K627="""",0,K627),
IF(M627="""",0,M627),
IF(O627="""",0,O627),
IF(Q627="""",0,Q627)
})"),"")</f>
        <v/>
      </c>
      <c r="V627" s="8" t="e">
        <f t="array" aca="1" ref="V627" ca="1">IF($C$4="Giao",_xludf.Xlookup(C627,#REF!,#REF!,),_xludf.Xlookup(C627,#REF!,#REF!,))</f>
        <v>#NAME?</v>
      </c>
      <c r="W627" s="8">
        <f t="array" ref="W627">IF($C$4="Giao", _xludf.Xlookup(C627,#REF!,#REF!,),)</f>
        <v>0</v>
      </c>
      <c r="X627" s="9">
        <f t="shared" si="8"/>
        <v>0</v>
      </c>
      <c r="Y627" s="7"/>
      <c r="Z627" s="7"/>
    </row>
    <row r="628" spans="1:26" ht="13" x14ac:dyDescent="0.6">
      <c r="A628" s="28" t="str">
        <f t="shared" si="7"/>
        <v/>
      </c>
      <c r="B628" s="7"/>
      <c r="C628" s="7"/>
      <c r="D628" s="9"/>
      <c r="E628" s="9"/>
      <c r="F628" s="9"/>
      <c r="G628" s="9"/>
      <c r="H628" s="9"/>
      <c r="I628" s="9"/>
      <c r="J628" s="9"/>
      <c r="K628" s="9"/>
      <c r="L628" s="9"/>
      <c r="M628" s="9"/>
      <c r="N628" s="9"/>
      <c r="O628" s="9"/>
      <c r="P628" s="29"/>
      <c r="Q628" s="29"/>
      <c r="R628" s="7"/>
      <c r="S628" s="7"/>
      <c r="T628" s="7" t="str">
        <f ca="1">IFERROR(__xludf.DUMMYFUNCTION("SPARKLINE({
IF(D628="""",0,D628),
IF(F628="""",0,F628),
IF(H628="""",0,H628),
IF(J628="""",0,J628),
IF(L628="""",0,L628),
IF(N628="""",0,N628),
IF(P628="""",0,P628)
})"),"")</f>
        <v/>
      </c>
      <c r="U628" s="7" t="str">
        <f ca="1">IFERROR(__xludf.DUMMYFUNCTION("SPARKLINE({
IF(E628="""",0,E628),
IF(G628="""",0,G628),
IF(I628="""",0,I628),
IF(K628="""",0,K628),
IF(M628="""",0,M628),
IF(O628="""",0,O628),
IF(Q628="""",0,Q628)
})"),"")</f>
        <v/>
      </c>
      <c r="V628" s="8" t="e">
        <f t="array" aca="1" ref="V628" ca="1">IF($C$4="Giao",_xludf.Xlookup(C628,#REF!,#REF!,),_xludf.Xlookup(C628,#REF!,#REF!,))</f>
        <v>#NAME?</v>
      </c>
      <c r="W628" s="8">
        <f t="array" ref="W628">IF($C$4="Giao", _xludf.Xlookup(C628,#REF!,#REF!,),)</f>
        <v>0</v>
      </c>
      <c r="X628" s="9">
        <f t="shared" si="8"/>
        <v>0</v>
      </c>
      <c r="Y628" s="7"/>
      <c r="Z628" s="7"/>
    </row>
    <row r="629" spans="1:26" ht="13" x14ac:dyDescent="0.6">
      <c r="A629" s="28" t="str">
        <f t="shared" si="7"/>
        <v/>
      </c>
      <c r="B629" s="7"/>
      <c r="C629" s="7"/>
      <c r="D629" s="9"/>
      <c r="E629" s="9"/>
      <c r="F629" s="9"/>
      <c r="G629" s="9"/>
      <c r="H629" s="9"/>
      <c r="I629" s="9"/>
      <c r="J629" s="9"/>
      <c r="K629" s="9"/>
      <c r="L629" s="9"/>
      <c r="M629" s="9"/>
      <c r="N629" s="9"/>
      <c r="O629" s="9"/>
      <c r="P629" s="29"/>
      <c r="Q629" s="29"/>
      <c r="R629" s="7"/>
      <c r="S629" s="7"/>
      <c r="T629" s="7" t="str">
        <f ca="1">IFERROR(__xludf.DUMMYFUNCTION("SPARKLINE({
IF(D629="""",0,D629),
IF(F629="""",0,F629),
IF(H629="""",0,H629),
IF(J629="""",0,J629),
IF(L629="""",0,L629),
IF(N629="""",0,N629),
IF(P629="""",0,P629)
})"),"")</f>
        <v/>
      </c>
      <c r="U629" s="7" t="str">
        <f ca="1">IFERROR(__xludf.DUMMYFUNCTION("SPARKLINE({
IF(E629="""",0,E629),
IF(G629="""",0,G629),
IF(I629="""",0,I629),
IF(K629="""",0,K629),
IF(M629="""",0,M629),
IF(O629="""",0,O629),
IF(Q629="""",0,Q629)
})"),"")</f>
        <v/>
      </c>
      <c r="V629" s="8" t="e">
        <f t="array" aca="1" ref="V629" ca="1">IF($C$4="Giao",_xludf.Xlookup(C629,#REF!,#REF!,),_xludf.Xlookup(C629,#REF!,#REF!,))</f>
        <v>#NAME?</v>
      </c>
      <c r="W629" s="8">
        <f t="array" ref="W629">IF($C$4="Giao", _xludf.Xlookup(C629,#REF!,#REF!,),)</f>
        <v>0</v>
      </c>
      <c r="X629" s="9">
        <f t="shared" si="8"/>
        <v>0</v>
      </c>
      <c r="Y629" s="7"/>
      <c r="Z629" s="7"/>
    </row>
    <row r="630" spans="1:26" ht="13" x14ac:dyDescent="0.6">
      <c r="A630" s="28" t="str">
        <f t="shared" si="7"/>
        <v/>
      </c>
      <c r="B630" s="7"/>
      <c r="C630" s="7"/>
      <c r="D630" s="9"/>
      <c r="E630" s="9"/>
      <c r="F630" s="9"/>
      <c r="G630" s="9"/>
      <c r="H630" s="9"/>
      <c r="I630" s="9"/>
      <c r="J630" s="9"/>
      <c r="K630" s="9"/>
      <c r="L630" s="9"/>
      <c r="M630" s="9"/>
      <c r="N630" s="9"/>
      <c r="O630" s="9"/>
      <c r="P630" s="29"/>
      <c r="Q630" s="29"/>
      <c r="R630" s="7"/>
      <c r="S630" s="7"/>
      <c r="T630" s="7" t="str">
        <f ca="1">IFERROR(__xludf.DUMMYFUNCTION("SPARKLINE({
IF(D630="""",0,D630),
IF(F630="""",0,F630),
IF(H630="""",0,H630),
IF(J630="""",0,J630),
IF(L630="""",0,L630),
IF(N630="""",0,N630),
IF(P630="""",0,P630)
})"),"")</f>
        <v/>
      </c>
      <c r="U630" s="7" t="str">
        <f ca="1">IFERROR(__xludf.DUMMYFUNCTION("SPARKLINE({
IF(E630="""",0,E630),
IF(G630="""",0,G630),
IF(I630="""",0,I630),
IF(K630="""",0,K630),
IF(M630="""",0,M630),
IF(O630="""",0,O630),
IF(Q630="""",0,Q630)
})"),"")</f>
        <v/>
      </c>
      <c r="V630" s="8" t="e">
        <f t="array" aca="1" ref="V630" ca="1">IF($C$4="Giao",_xludf.Xlookup(C630,#REF!,#REF!,),_xludf.Xlookup(C630,#REF!,#REF!,))</f>
        <v>#NAME?</v>
      </c>
      <c r="W630" s="8">
        <f t="array" ref="W630">IF($C$4="Giao", _xludf.Xlookup(C630,#REF!,#REF!,),)</f>
        <v>0</v>
      </c>
      <c r="X630" s="9">
        <f t="shared" si="8"/>
        <v>0</v>
      </c>
      <c r="Y630" s="7"/>
      <c r="Z630" s="7"/>
    </row>
    <row r="631" spans="1:26" ht="13" x14ac:dyDescent="0.6">
      <c r="A631" s="28" t="str">
        <f t="shared" si="7"/>
        <v/>
      </c>
      <c r="B631" s="7"/>
      <c r="C631" s="7"/>
      <c r="D631" s="9"/>
      <c r="E631" s="9"/>
      <c r="F631" s="9"/>
      <c r="G631" s="9"/>
      <c r="H631" s="9"/>
      <c r="I631" s="9"/>
      <c r="J631" s="9"/>
      <c r="K631" s="9"/>
      <c r="L631" s="9"/>
      <c r="M631" s="9"/>
      <c r="N631" s="9"/>
      <c r="O631" s="9"/>
      <c r="P631" s="29"/>
      <c r="Q631" s="29"/>
      <c r="R631" s="7"/>
      <c r="S631" s="7"/>
      <c r="T631" s="7" t="str">
        <f ca="1">IFERROR(__xludf.DUMMYFUNCTION("SPARKLINE({
IF(D631="""",0,D631),
IF(F631="""",0,F631),
IF(H631="""",0,H631),
IF(J631="""",0,J631),
IF(L631="""",0,L631),
IF(N631="""",0,N631),
IF(P631="""",0,P631)
})"),"")</f>
        <v/>
      </c>
      <c r="U631" s="7" t="str">
        <f ca="1">IFERROR(__xludf.DUMMYFUNCTION("SPARKLINE({
IF(E631="""",0,E631),
IF(G631="""",0,G631),
IF(I631="""",0,I631),
IF(K631="""",0,K631),
IF(M631="""",0,M631),
IF(O631="""",0,O631),
IF(Q631="""",0,Q631)
})"),"")</f>
        <v/>
      </c>
      <c r="V631" s="8" t="e">
        <f t="array" aca="1" ref="V631" ca="1">IF($C$4="Giao",_xludf.Xlookup(C631,#REF!,#REF!,),_xludf.Xlookup(C631,#REF!,#REF!,))</f>
        <v>#NAME?</v>
      </c>
      <c r="W631" s="8">
        <f t="array" ref="W631">IF($C$4="Giao", _xludf.Xlookup(C631,#REF!,#REF!,),)</f>
        <v>0</v>
      </c>
      <c r="X631" s="9">
        <f t="shared" si="8"/>
        <v>0</v>
      </c>
      <c r="Y631" s="7"/>
      <c r="Z631" s="7"/>
    </row>
    <row r="632" spans="1:26" ht="13" x14ac:dyDescent="0.6">
      <c r="A632" s="28" t="str">
        <f t="shared" si="7"/>
        <v/>
      </c>
      <c r="B632" s="7"/>
      <c r="C632" s="7"/>
      <c r="D632" s="9"/>
      <c r="E632" s="9"/>
      <c r="F632" s="9"/>
      <c r="G632" s="9"/>
      <c r="H632" s="9"/>
      <c r="I632" s="9"/>
      <c r="J632" s="9"/>
      <c r="K632" s="9"/>
      <c r="L632" s="9"/>
      <c r="M632" s="9"/>
      <c r="N632" s="9"/>
      <c r="O632" s="9"/>
      <c r="P632" s="29"/>
      <c r="Q632" s="29"/>
      <c r="R632" s="7"/>
      <c r="S632" s="7"/>
      <c r="T632" s="7" t="str">
        <f ca="1">IFERROR(__xludf.DUMMYFUNCTION("SPARKLINE({
IF(D632="""",0,D632),
IF(F632="""",0,F632),
IF(H632="""",0,H632),
IF(J632="""",0,J632),
IF(L632="""",0,L632),
IF(N632="""",0,N632),
IF(P632="""",0,P632)
})"),"")</f>
        <v/>
      </c>
      <c r="U632" s="7" t="str">
        <f ca="1">IFERROR(__xludf.DUMMYFUNCTION("SPARKLINE({
IF(E632="""",0,E632),
IF(G632="""",0,G632),
IF(I632="""",0,I632),
IF(K632="""",0,K632),
IF(M632="""",0,M632),
IF(O632="""",0,O632),
IF(Q632="""",0,Q632)
})"),"")</f>
        <v/>
      </c>
      <c r="V632" s="8" t="e">
        <f t="array" aca="1" ref="V632" ca="1">IF($C$4="Giao",_xludf.Xlookup(C632,#REF!,#REF!,),_xludf.Xlookup(C632,#REF!,#REF!,))</f>
        <v>#NAME?</v>
      </c>
      <c r="W632" s="8">
        <f t="array" ref="W632">IF($C$4="Giao", _xludf.Xlookup(C632,#REF!,#REF!,),)</f>
        <v>0</v>
      </c>
      <c r="X632" s="9">
        <f t="shared" si="8"/>
        <v>0</v>
      </c>
      <c r="Y632" s="7"/>
      <c r="Z632" s="7"/>
    </row>
    <row r="633" spans="1:26" ht="13" x14ac:dyDescent="0.6">
      <c r="A633" s="28" t="str">
        <f t="shared" si="7"/>
        <v/>
      </c>
      <c r="B633" s="7"/>
      <c r="C633" s="7"/>
      <c r="D633" s="9"/>
      <c r="E633" s="9"/>
      <c r="F633" s="9"/>
      <c r="G633" s="9"/>
      <c r="H633" s="9"/>
      <c r="I633" s="9"/>
      <c r="J633" s="9"/>
      <c r="K633" s="9"/>
      <c r="L633" s="9"/>
      <c r="M633" s="9"/>
      <c r="N633" s="9"/>
      <c r="O633" s="9"/>
      <c r="P633" s="29"/>
      <c r="Q633" s="29"/>
      <c r="R633" s="7"/>
      <c r="S633" s="7"/>
      <c r="T633" s="7" t="str">
        <f ca="1">IFERROR(__xludf.DUMMYFUNCTION("SPARKLINE({
IF(D633="""",0,D633),
IF(F633="""",0,F633),
IF(H633="""",0,H633),
IF(J633="""",0,J633),
IF(L633="""",0,L633),
IF(N633="""",0,N633),
IF(P633="""",0,P633)
})"),"")</f>
        <v/>
      </c>
      <c r="U633" s="7" t="str">
        <f ca="1">IFERROR(__xludf.DUMMYFUNCTION("SPARKLINE({
IF(E633="""",0,E633),
IF(G633="""",0,G633),
IF(I633="""",0,I633),
IF(K633="""",0,K633),
IF(M633="""",0,M633),
IF(O633="""",0,O633),
IF(Q633="""",0,Q633)
})"),"")</f>
        <v/>
      </c>
      <c r="V633" s="8" t="e">
        <f t="array" aca="1" ref="V633" ca="1">IF($C$4="Giao",_xludf.Xlookup(C633,#REF!,#REF!,),_xludf.Xlookup(C633,#REF!,#REF!,))</f>
        <v>#NAME?</v>
      </c>
      <c r="W633" s="8">
        <f t="array" ref="W633">IF($C$4="Giao", _xludf.Xlookup(C633,#REF!,#REF!,),)</f>
        <v>0</v>
      </c>
      <c r="X633" s="9">
        <f t="shared" si="8"/>
        <v>0</v>
      </c>
      <c r="Y633" s="7"/>
      <c r="Z633" s="7"/>
    </row>
    <row r="634" spans="1:26" ht="13" x14ac:dyDescent="0.6">
      <c r="A634" s="28" t="str">
        <f t="shared" si="7"/>
        <v/>
      </c>
      <c r="B634" s="7"/>
      <c r="C634" s="7"/>
      <c r="D634" s="9"/>
      <c r="E634" s="9"/>
      <c r="F634" s="9"/>
      <c r="G634" s="9"/>
      <c r="H634" s="9"/>
      <c r="I634" s="9"/>
      <c r="J634" s="9"/>
      <c r="K634" s="9"/>
      <c r="L634" s="9"/>
      <c r="M634" s="9"/>
      <c r="N634" s="9"/>
      <c r="O634" s="9"/>
      <c r="P634" s="29"/>
      <c r="Q634" s="29"/>
      <c r="R634" s="7"/>
      <c r="S634" s="7"/>
      <c r="T634" s="7" t="str">
        <f ca="1">IFERROR(__xludf.DUMMYFUNCTION("SPARKLINE({
IF(D634="""",0,D634),
IF(F634="""",0,F634),
IF(H634="""",0,H634),
IF(J634="""",0,J634),
IF(L634="""",0,L634),
IF(N634="""",0,N634),
IF(P634="""",0,P634)
})"),"")</f>
        <v/>
      </c>
      <c r="U634" s="7" t="str">
        <f ca="1">IFERROR(__xludf.DUMMYFUNCTION("SPARKLINE({
IF(E634="""",0,E634),
IF(G634="""",0,G634),
IF(I634="""",0,I634),
IF(K634="""",0,K634),
IF(M634="""",0,M634),
IF(O634="""",0,O634),
IF(Q634="""",0,Q634)
})"),"")</f>
        <v/>
      </c>
      <c r="V634" s="8" t="e">
        <f t="array" aca="1" ref="V634" ca="1">IF($C$4="Giao",_xludf.Xlookup(C634,#REF!,#REF!,),_xludf.Xlookup(C634,#REF!,#REF!,))</f>
        <v>#NAME?</v>
      </c>
      <c r="W634" s="8">
        <f t="array" ref="W634">IF($C$4="Giao", _xludf.Xlookup(C634,#REF!,#REF!,),)</f>
        <v>0</v>
      </c>
      <c r="X634" s="9">
        <f t="shared" si="8"/>
        <v>0</v>
      </c>
      <c r="Y634" s="7"/>
      <c r="Z634" s="7"/>
    </row>
    <row r="635" spans="1:26" ht="13" x14ac:dyDescent="0.6">
      <c r="A635" s="28" t="str">
        <f t="shared" si="7"/>
        <v/>
      </c>
      <c r="B635" s="7"/>
      <c r="C635" s="7"/>
      <c r="D635" s="9"/>
      <c r="E635" s="9"/>
      <c r="F635" s="9"/>
      <c r="G635" s="9"/>
      <c r="H635" s="9"/>
      <c r="I635" s="9"/>
      <c r="J635" s="9"/>
      <c r="K635" s="9"/>
      <c r="L635" s="9"/>
      <c r="M635" s="9"/>
      <c r="N635" s="9"/>
      <c r="O635" s="9"/>
      <c r="P635" s="29"/>
      <c r="Q635" s="29"/>
      <c r="R635" s="7"/>
      <c r="S635" s="7"/>
      <c r="T635" s="7" t="str">
        <f ca="1">IFERROR(__xludf.DUMMYFUNCTION("SPARKLINE({
IF(D635="""",0,D635),
IF(F635="""",0,F635),
IF(H635="""",0,H635),
IF(J635="""",0,J635),
IF(L635="""",0,L635),
IF(N635="""",0,N635),
IF(P635="""",0,P635)
})"),"")</f>
        <v/>
      </c>
      <c r="U635" s="7" t="str">
        <f ca="1">IFERROR(__xludf.DUMMYFUNCTION("SPARKLINE({
IF(E635="""",0,E635),
IF(G635="""",0,G635),
IF(I635="""",0,I635),
IF(K635="""",0,K635),
IF(M635="""",0,M635),
IF(O635="""",0,O635),
IF(Q635="""",0,Q635)
})"),"")</f>
        <v/>
      </c>
      <c r="V635" s="8" t="e">
        <f t="array" aca="1" ref="V635" ca="1">IF($C$4="Giao",_xludf.Xlookup(C635,#REF!,#REF!,),_xludf.Xlookup(C635,#REF!,#REF!,))</f>
        <v>#NAME?</v>
      </c>
      <c r="W635" s="8">
        <f t="array" ref="W635">IF($C$4="Giao", _xludf.Xlookup(C635,#REF!,#REF!,),)</f>
        <v>0</v>
      </c>
      <c r="X635" s="9">
        <f t="shared" si="8"/>
        <v>0</v>
      </c>
      <c r="Y635" s="7"/>
      <c r="Z635" s="7"/>
    </row>
    <row r="636" spans="1:26" ht="13" x14ac:dyDescent="0.6">
      <c r="A636" s="28" t="str">
        <f t="shared" si="7"/>
        <v/>
      </c>
      <c r="B636" s="7"/>
      <c r="C636" s="7"/>
      <c r="D636" s="9"/>
      <c r="E636" s="9"/>
      <c r="F636" s="9"/>
      <c r="G636" s="9"/>
      <c r="H636" s="9"/>
      <c r="I636" s="9"/>
      <c r="J636" s="9"/>
      <c r="K636" s="9"/>
      <c r="L636" s="9"/>
      <c r="M636" s="9"/>
      <c r="N636" s="9"/>
      <c r="O636" s="9"/>
      <c r="P636" s="29"/>
      <c r="Q636" s="29"/>
      <c r="R636" s="7"/>
      <c r="S636" s="7"/>
      <c r="T636" s="7" t="str">
        <f ca="1">IFERROR(__xludf.DUMMYFUNCTION("SPARKLINE({
IF(D636="""",0,D636),
IF(F636="""",0,F636),
IF(H636="""",0,H636),
IF(J636="""",0,J636),
IF(L636="""",0,L636),
IF(N636="""",0,N636),
IF(P636="""",0,P636)
})"),"")</f>
        <v/>
      </c>
      <c r="U636" s="7" t="str">
        <f ca="1">IFERROR(__xludf.DUMMYFUNCTION("SPARKLINE({
IF(E636="""",0,E636),
IF(G636="""",0,G636),
IF(I636="""",0,I636),
IF(K636="""",0,K636),
IF(M636="""",0,M636),
IF(O636="""",0,O636),
IF(Q636="""",0,Q636)
})"),"")</f>
        <v/>
      </c>
      <c r="V636" s="8" t="e">
        <f t="array" aca="1" ref="V636" ca="1">IF($C$4="Giao",_xludf.Xlookup(C636,#REF!,#REF!,),_xludf.Xlookup(C636,#REF!,#REF!,))</f>
        <v>#NAME?</v>
      </c>
      <c r="W636" s="8">
        <f t="array" ref="W636">IF($C$4="Giao", _xludf.Xlookup(C636,#REF!,#REF!,),)</f>
        <v>0</v>
      </c>
      <c r="X636" s="9">
        <f t="shared" si="8"/>
        <v>0</v>
      </c>
      <c r="Y636" s="7"/>
      <c r="Z636" s="7"/>
    </row>
    <row r="637" spans="1:26" ht="13" x14ac:dyDescent="0.6">
      <c r="A637" s="28" t="str">
        <f t="shared" si="7"/>
        <v/>
      </c>
      <c r="B637" s="7"/>
      <c r="C637" s="7"/>
      <c r="D637" s="9"/>
      <c r="E637" s="9"/>
      <c r="F637" s="9"/>
      <c r="G637" s="9"/>
      <c r="H637" s="9"/>
      <c r="I637" s="9"/>
      <c r="J637" s="9"/>
      <c r="K637" s="9"/>
      <c r="L637" s="9"/>
      <c r="M637" s="9"/>
      <c r="N637" s="9"/>
      <c r="O637" s="9"/>
      <c r="P637" s="29"/>
      <c r="Q637" s="29"/>
      <c r="R637" s="7"/>
      <c r="S637" s="7"/>
      <c r="T637" s="7" t="str">
        <f ca="1">IFERROR(__xludf.DUMMYFUNCTION("SPARKLINE({
IF(D637="""",0,D637),
IF(F637="""",0,F637),
IF(H637="""",0,H637),
IF(J637="""",0,J637),
IF(L637="""",0,L637),
IF(N637="""",0,N637),
IF(P637="""",0,P637)
})"),"")</f>
        <v/>
      </c>
      <c r="U637" s="7" t="str">
        <f ca="1">IFERROR(__xludf.DUMMYFUNCTION("SPARKLINE({
IF(E637="""",0,E637),
IF(G637="""",0,G637),
IF(I637="""",0,I637),
IF(K637="""",0,K637),
IF(M637="""",0,M637),
IF(O637="""",0,O637),
IF(Q637="""",0,Q637)
})"),"")</f>
        <v/>
      </c>
      <c r="V637" s="8" t="e">
        <f t="array" aca="1" ref="V637" ca="1">IF($C$4="Giao",_xludf.Xlookup(C637,#REF!,#REF!,),_xludf.Xlookup(C637,#REF!,#REF!,))</f>
        <v>#NAME?</v>
      </c>
      <c r="W637" s="8">
        <f t="array" ref="W637">IF($C$4="Giao", _xludf.Xlookup(C637,#REF!,#REF!,),)</f>
        <v>0</v>
      </c>
      <c r="X637" s="9">
        <f t="shared" si="8"/>
        <v>0</v>
      </c>
      <c r="Y637" s="7"/>
      <c r="Z637" s="7"/>
    </row>
    <row r="638" spans="1:26" ht="13" x14ac:dyDescent="0.6">
      <c r="A638" s="28" t="str">
        <f t="shared" si="7"/>
        <v/>
      </c>
      <c r="B638" s="7"/>
      <c r="C638" s="7"/>
      <c r="D638" s="9"/>
      <c r="E638" s="9"/>
      <c r="F638" s="9"/>
      <c r="G638" s="9"/>
      <c r="H638" s="9"/>
      <c r="I638" s="9"/>
      <c r="J638" s="9"/>
      <c r="K638" s="9"/>
      <c r="L638" s="9"/>
      <c r="M638" s="9"/>
      <c r="N638" s="9"/>
      <c r="O638" s="9"/>
      <c r="P638" s="29"/>
      <c r="Q638" s="29"/>
      <c r="R638" s="7"/>
      <c r="S638" s="7"/>
      <c r="T638" s="7" t="str">
        <f ca="1">IFERROR(__xludf.DUMMYFUNCTION("SPARKLINE({
IF(D638="""",0,D638),
IF(F638="""",0,F638),
IF(H638="""",0,H638),
IF(J638="""",0,J638),
IF(L638="""",0,L638),
IF(N638="""",0,N638),
IF(P638="""",0,P638)
})"),"")</f>
        <v/>
      </c>
      <c r="U638" s="7" t="str">
        <f ca="1">IFERROR(__xludf.DUMMYFUNCTION("SPARKLINE({
IF(E638="""",0,E638),
IF(G638="""",0,G638),
IF(I638="""",0,I638),
IF(K638="""",0,K638),
IF(M638="""",0,M638),
IF(O638="""",0,O638),
IF(Q638="""",0,Q638)
})"),"")</f>
        <v/>
      </c>
      <c r="V638" s="8" t="e">
        <f t="array" aca="1" ref="V638" ca="1">IF($C$4="Giao",_xludf.Xlookup(C638,#REF!,#REF!,),_xludf.Xlookup(C638,#REF!,#REF!,))</f>
        <v>#NAME?</v>
      </c>
      <c r="W638" s="8">
        <f t="array" ref="W638">IF($C$4="Giao", _xludf.Xlookup(C638,#REF!,#REF!,),)</f>
        <v>0</v>
      </c>
      <c r="X638" s="9">
        <f t="shared" si="8"/>
        <v>0</v>
      </c>
      <c r="Y638" s="7"/>
      <c r="Z638" s="7"/>
    </row>
    <row r="639" spans="1:26" ht="13" x14ac:dyDescent="0.6">
      <c r="A639" s="28" t="str">
        <f t="shared" si="7"/>
        <v/>
      </c>
      <c r="B639" s="7"/>
      <c r="C639" s="7"/>
      <c r="D639" s="9"/>
      <c r="E639" s="9"/>
      <c r="F639" s="9"/>
      <c r="G639" s="9"/>
      <c r="H639" s="9"/>
      <c r="I639" s="9"/>
      <c r="J639" s="9"/>
      <c r="K639" s="9"/>
      <c r="L639" s="9"/>
      <c r="M639" s="9"/>
      <c r="N639" s="9"/>
      <c r="O639" s="9"/>
      <c r="P639" s="29"/>
      <c r="Q639" s="29"/>
      <c r="R639" s="7"/>
      <c r="S639" s="7"/>
      <c r="T639" s="7" t="str">
        <f ca="1">IFERROR(__xludf.DUMMYFUNCTION("SPARKLINE({
IF(D639="""",0,D639),
IF(F639="""",0,F639),
IF(H639="""",0,H639),
IF(J639="""",0,J639),
IF(L639="""",0,L639),
IF(N639="""",0,N639),
IF(P639="""",0,P639)
})"),"")</f>
        <v/>
      </c>
      <c r="U639" s="7" t="str">
        <f ca="1">IFERROR(__xludf.DUMMYFUNCTION("SPARKLINE({
IF(E639="""",0,E639),
IF(G639="""",0,G639),
IF(I639="""",0,I639),
IF(K639="""",0,K639),
IF(M639="""",0,M639),
IF(O639="""",0,O639),
IF(Q639="""",0,Q639)
})"),"")</f>
        <v/>
      </c>
      <c r="V639" s="8" t="e">
        <f t="array" aca="1" ref="V639" ca="1">IF($C$4="Giao",_xludf.Xlookup(C639,#REF!,#REF!,),_xludf.Xlookup(C639,#REF!,#REF!,))</f>
        <v>#NAME?</v>
      </c>
      <c r="W639" s="8">
        <f t="array" ref="W639">IF($C$4="Giao", _xludf.Xlookup(C639,#REF!,#REF!,),)</f>
        <v>0</v>
      </c>
      <c r="X639" s="9">
        <f t="shared" si="8"/>
        <v>0</v>
      </c>
      <c r="Y639" s="7"/>
      <c r="Z639" s="7"/>
    </row>
    <row r="640" spans="1:26" ht="13" x14ac:dyDescent="0.6">
      <c r="A640" s="28" t="str">
        <f t="shared" si="7"/>
        <v/>
      </c>
      <c r="B640" s="7"/>
      <c r="C640" s="7"/>
      <c r="D640" s="9"/>
      <c r="E640" s="9"/>
      <c r="F640" s="9"/>
      <c r="G640" s="9"/>
      <c r="H640" s="9"/>
      <c r="I640" s="9"/>
      <c r="J640" s="9"/>
      <c r="K640" s="9"/>
      <c r="L640" s="9"/>
      <c r="M640" s="9"/>
      <c r="N640" s="9"/>
      <c r="O640" s="9"/>
      <c r="P640" s="29"/>
      <c r="Q640" s="29"/>
      <c r="R640" s="7"/>
      <c r="S640" s="7"/>
      <c r="T640" s="7" t="str">
        <f ca="1">IFERROR(__xludf.DUMMYFUNCTION("SPARKLINE({
IF(D640="""",0,D640),
IF(F640="""",0,F640),
IF(H640="""",0,H640),
IF(J640="""",0,J640),
IF(L640="""",0,L640),
IF(N640="""",0,N640),
IF(P640="""",0,P640)
})"),"")</f>
        <v/>
      </c>
      <c r="U640" s="7" t="str">
        <f ca="1">IFERROR(__xludf.DUMMYFUNCTION("SPARKLINE({
IF(E640="""",0,E640),
IF(G640="""",0,G640),
IF(I640="""",0,I640),
IF(K640="""",0,K640),
IF(M640="""",0,M640),
IF(O640="""",0,O640),
IF(Q640="""",0,Q640)
})"),"")</f>
        <v/>
      </c>
      <c r="V640" s="8" t="e">
        <f t="array" aca="1" ref="V640" ca="1">IF($C$4="Giao",_xludf.Xlookup(C640,#REF!,#REF!,),_xludf.Xlookup(C640,#REF!,#REF!,))</f>
        <v>#NAME?</v>
      </c>
      <c r="W640" s="8">
        <f t="array" ref="W640">IF($C$4="Giao", _xludf.Xlookup(C640,#REF!,#REF!,),)</f>
        <v>0</v>
      </c>
      <c r="X640" s="9">
        <f t="shared" si="8"/>
        <v>0</v>
      </c>
      <c r="Y640" s="7"/>
      <c r="Z640" s="7"/>
    </row>
    <row r="641" spans="1:26" ht="13" x14ac:dyDescent="0.6">
      <c r="A641" s="28" t="str">
        <f t="shared" si="7"/>
        <v/>
      </c>
      <c r="B641" s="7"/>
      <c r="C641" s="7"/>
      <c r="D641" s="9"/>
      <c r="E641" s="9"/>
      <c r="F641" s="9"/>
      <c r="G641" s="9"/>
      <c r="H641" s="9"/>
      <c r="I641" s="9"/>
      <c r="J641" s="9"/>
      <c r="K641" s="9"/>
      <c r="L641" s="9"/>
      <c r="M641" s="9"/>
      <c r="N641" s="9"/>
      <c r="O641" s="9"/>
      <c r="P641" s="29"/>
      <c r="Q641" s="29"/>
      <c r="R641" s="7"/>
      <c r="S641" s="7"/>
      <c r="T641" s="7" t="str">
        <f ca="1">IFERROR(__xludf.DUMMYFUNCTION("SPARKLINE({
IF(D641="""",0,D641),
IF(F641="""",0,F641),
IF(H641="""",0,H641),
IF(J641="""",0,J641),
IF(L641="""",0,L641),
IF(N641="""",0,N641),
IF(P641="""",0,P641)
})"),"")</f>
        <v/>
      </c>
      <c r="U641" s="7" t="str">
        <f ca="1">IFERROR(__xludf.DUMMYFUNCTION("SPARKLINE({
IF(E641="""",0,E641),
IF(G641="""",0,G641),
IF(I641="""",0,I641),
IF(K641="""",0,K641),
IF(M641="""",0,M641),
IF(O641="""",0,O641),
IF(Q641="""",0,Q641)
})"),"")</f>
        <v/>
      </c>
      <c r="V641" s="8" t="e">
        <f t="array" aca="1" ref="V641" ca="1">IF($C$4="Giao",_xludf.Xlookup(C641,#REF!,#REF!,),_xludf.Xlookup(C641,#REF!,#REF!,))</f>
        <v>#NAME?</v>
      </c>
      <c r="W641" s="8">
        <f t="array" ref="W641">IF($C$4="Giao", _xludf.Xlookup(C641,#REF!,#REF!,),)</f>
        <v>0</v>
      </c>
      <c r="X641" s="9">
        <f t="shared" si="8"/>
        <v>0</v>
      </c>
      <c r="Y641" s="7"/>
      <c r="Z641" s="7"/>
    </row>
    <row r="642" spans="1:26" ht="13" x14ac:dyDescent="0.6">
      <c r="A642" s="28" t="str">
        <f t="shared" si="7"/>
        <v/>
      </c>
      <c r="B642" s="7"/>
      <c r="C642" s="7"/>
      <c r="D642" s="9"/>
      <c r="E642" s="9"/>
      <c r="F642" s="9"/>
      <c r="G642" s="9"/>
      <c r="H642" s="9"/>
      <c r="I642" s="9"/>
      <c r="J642" s="9"/>
      <c r="K642" s="9"/>
      <c r="L642" s="9"/>
      <c r="M642" s="9"/>
      <c r="N642" s="9"/>
      <c r="O642" s="9"/>
      <c r="P642" s="29"/>
      <c r="Q642" s="29"/>
      <c r="R642" s="7"/>
      <c r="S642" s="7"/>
      <c r="T642" s="7" t="str">
        <f ca="1">IFERROR(__xludf.DUMMYFUNCTION("SPARKLINE({
IF(D642="""",0,D642),
IF(F642="""",0,F642),
IF(H642="""",0,H642),
IF(J642="""",0,J642),
IF(L642="""",0,L642),
IF(N642="""",0,N642),
IF(P642="""",0,P642)
})"),"")</f>
        <v/>
      </c>
      <c r="U642" s="7" t="str">
        <f ca="1">IFERROR(__xludf.DUMMYFUNCTION("SPARKLINE({
IF(E642="""",0,E642),
IF(G642="""",0,G642),
IF(I642="""",0,I642),
IF(K642="""",0,K642),
IF(M642="""",0,M642),
IF(O642="""",0,O642),
IF(Q642="""",0,Q642)
})"),"")</f>
        <v/>
      </c>
      <c r="V642" s="8" t="e">
        <f t="array" aca="1" ref="V642" ca="1">IF($C$4="Giao",_xludf.Xlookup(C642,#REF!,#REF!,),_xludf.Xlookup(C642,#REF!,#REF!,))</f>
        <v>#NAME?</v>
      </c>
      <c r="W642" s="8">
        <f t="array" ref="W642">IF($C$4="Giao", _xludf.Xlookup(C642,#REF!,#REF!,),)</f>
        <v>0</v>
      </c>
      <c r="X642" s="9">
        <f t="shared" si="8"/>
        <v>0</v>
      </c>
      <c r="Y642" s="7"/>
      <c r="Z642" s="7"/>
    </row>
    <row r="643" spans="1:26" ht="13" x14ac:dyDescent="0.6">
      <c r="A643" s="28" t="str">
        <f t="shared" si="7"/>
        <v/>
      </c>
      <c r="B643" s="7"/>
      <c r="C643" s="7"/>
      <c r="D643" s="9"/>
      <c r="E643" s="9"/>
      <c r="F643" s="9"/>
      <c r="G643" s="9"/>
      <c r="H643" s="9"/>
      <c r="I643" s="9"/>
      <c r="J643" s="9"/>
      <c r="K643" s="9"/>
      <c r="L643" s="9"/>
      <c r="M643" s="9"/>
      <c r="N643" s="9"/>
      <c r="O643" s="9"/>
      <c r="P643" s="29"/>
      <c r="Q643" s="29"/>
      <c r="R643" s="7"/>
      <c r="S643" s="7"/>
      <c r="T643" s="7" t="str">
        <f ca="1">IFERROR(__xludf.DUMMYFUNCTION("SPARKLINE({
IF(D643="""",0,D643),
IF(F643="""",0,F643),
IF(H643="""",0,H643),
IF(J643="""",0,J643),
IF(L643="""",0,L643),
IF(N643="""",0,N643),
IF(P643="""",0,P643)
})"),"")</f>
        <v/>
      </c>
      <c r="U643" s="7" t="str">
        <f ca="1">IFERROR(__xludf.DUMMYFUNCTION("SPARKLINE({
IF(E643="""",0,E643),
IF(G643="""",0,G643),
IF(I643="""",0,I643),
IF(K643="""",0,K643),
IF(M643="""",0,M643),
IF(O643="""",0,O643),
IF(Q643="""",0,Q643)
})"),"")</f>
        <v/>
      </c>
      <c r="V643" s="8" t="e">
        <f t="array" aca="1" ref="V643" ca="1">IF($C$4="Giao",_xludf.Xlookup(C643,#REF!,#REF!,),_xludf.Xlookup(C643,#REF!,#REF!,))</f>
        <v>#NAME?</v>
      </c>
      <c r="W643" s="8">
        <f t="array" ref="W643">IF($C$4="Giao", _xludf.Xlookup(C643,#REF!,#REF!,),)</f>
        <v>0</v>
      </c>
      <c r="X643" s="9">
        <f t="shared" si="8"/>
        <v>0</v>
      </c>
      <c r="Y643" s="7"/>
      <c r="Z643" s="7"/>
    </row>
    <row r="644" spans="1:26" ht="13" x14ac:dyDescent="0.6">
      <c r="A644" s="28" t="str">
        <f t="shared" si="7"/>
        <v/>
      </c>
      <c r="B644" s="7"/>
      <c r="C644" s="7"/>
      <c r="D644" s="9"/>
      <c r="E644" s="9"/>
      <c r="F644" s="9"/>
      <c r="G644" s="9"/>
      <c r="H644" s="9"/>
      <c r="I644" s="9"/>
      <c r="J644" s="9"/>
      <c r="K644" s="9"/>
      <c r="L644" s="9"/>
      <c r="M644" s="9"/>
      <c r="N644" s="9"/>
      <c r="O644" s="9"/>
      <c r="P644" s="29"/>
      <c r="Q644" s="29"/>
      <c r="R644" s="7"/>
      <c r="S644" s="7"/>
      <c r="T644" s="7" t="str">
        <f ca="1">IFERROR(__xludf.DUMMYFUNCTION("SPARKLINE({
IF(D644="""",0,D644),
IF(F644="""",0,F644),
IF(H644="""",0,H644),
IF(J644="""",0,J644),
IF(L644="""",0,L644),
IF(N644="""",0,N644),
IF(P644="""",0,P644)
})"),"")</f>
        <v/>
      </c>
      <c r="U644" s="7" t="str">
        <f ca="1">IFERROR(__xludf.DUMMYFUNCTION("SPARKLINE({
IF(E644="""",0,E644),
IF(G644="""",0,G644),
IF(I644="""",0,I644),
IF(K644="""",0,K644),
IF(M644="""",0,M644),
IF(O644="""",0,O644),
IF(Q644="""",0,Q644)
})"),"")</f>
        <v/>
      </c>
      <c r="V644" s="8" t="e">
        <f t="array" aca="1" ref="V644" ca="1">IF($C$4="Giao",_xludf.Xlookup(C644,#REF!,#REF!,),_xludf.Xlookup(C644,#REF!,#REF!,))</f>
        <v>#NAME?</v>
      </c>
      <c r="W644" s="8">
        <f t="array" ref="W644">IF($C$4="Giao", _xludf.Xlookup(C644,#REF!,#REF!,),)</f>
        <v>0</v>
      </c>
      <c r="X644" s="9">
        <f t="shared" si="8"/>
        <v>0</v>
      </c>
      <c r="Y644" s="7"/>
      <c r="Z644" s="7"/>
    </row>
    <row r="645" spans="1:26" ht="13" x14ac:dyDescent="0.6">
      <c r="A645" s="28" t="str">
        <f t="shared" si="7"/>
        <v/>
      </c>
      <c r="B645" s="7"/>
      <c r="C645" s="7"/>
      <c r="D645" s="9"/>
      <c r="E645" s="9"/>
      <c r="F645" s="9"/>
      <c r="G645" s="9"/>
      <c r="H645" s="9"/>
      <c r="I645" s="9"/>
      <c r="J645" s="9"/>
      <c r="K645" s="9"/>
      <c r="L645" s="9"/>
      <c r="M645" s="9"/>
      <c r="N645" s="9"/>
      <c r="O645" s="9"/>
      <c r="P645" s="29"/>
      <c r="Q645" s="29"/>
      <c r="R645" s="7"/>
      <c r="S645" s="7"/>
      <c r="T645" s="7" t="str">
        <f ca="1">IFERROR(__xludf.DUMMYFUNCTION("SPARKLINE({
IF(D645="""",0,D645),
IF(F645="""",0,F645),
IF(H645="""",0,H645),
IF(J645="""",0,J645),
IF(L645="""",0,L645),
IF(N645="""",0,N645),
IF(P645="""",0,P645)
})"),"")</f>
        <v/>
      </c>
      <c r="U645" s="7" t="str">
        <f ca="1">IFERROR(__xludf.DUMMYFUNCTION("SPARKLINE({
IF(E645="""",0,E645),
IF(G645="""",0,G645),
IF(I645="""",0,I645),
IF(K645="""",0,K645),
IF(M645="""",0,M645),
IF(O645="""",0,O645),
IF(Q645="""",0,Q645)
})"),"")</f>
        <v/>
      </c>
      <c r="V645" s="8" t="e">
        <f t="array" aca="1" ref="V645" ca="1">IF($C$4="Giao",_xludf.Xlookup(C645,#REF!,#REF!,),_xludf.Xlookup(C645,#REF!,#REF!,))</f>
        <v>#NAME?</v>
      </c>
      <c r="W645" s="8">
        <f t="array" ref="W645">IF($C$4="Giao", _xludf.Xlookup(C645,#REF!,#REF!,),)</f>
        <v>0</v>
      </c>
      <c r="X645" s="9">
        <f t="shared" si="8"/>
        <v>0</v>
      </c>
      <c r="Y645" s="7"/>
      <c r="Z645" s="7"/>
    </row>
    <row r="646" spans="1:26" ht="13" x14ac:dyDescent="0.6">
      <c r="A646" s="28" t="str">
        <f t="shared" si="7"/>
        <v/>
      </c>
      <c r="B646" s="7"/>
      <c r="C646" s="7"/>
      <c r="D646" s="9"/>
      <c r="E646" s="9"/>
      <c r="F646" s="9"/>
      <c r="G646" s="9"/>
      <c r="H646" s="9"/>
      <c r="I646" s="9"/>
      <c r="J646" s="9"/>
      <c r="K646" s="9"/>
      <c r="L646" s="9"/>
      <c r="M646" s="9"/>
      <c r="N646" s="9"/>
      <c r="O646" s="9"/>
      <c r="P646" s="29"/>
      <c r="Q646" s="29"/>
      <c r="R646" s="7"/>
      <c r="S646" s="7"/>
      <c r="T646" s="7" t="str">
        <f ca="1">IFERROR(__xludf.DUMMYFUNCTION("SPARKLINE({
IF(D646="""",0,D646),
IF(F646="""",0,F646),
IF(H646="""",0,H646),
IF(J646="""",0,J646),
IF(L646="""",0,L646),
IF(N646="""",0,N646),
IF(P646="""",0,P646)
})"),"")</f>
        <v/>
      </c>
      <c r="U646" s="7" t="str">
        <f ca="1">IFERROR(__xludf.DUMMYFUNCTION("SPARKLINE({
IF(E646="""",0,E646),
IF(G646="""",0,G646),
IF(I646="""",0,I646),
IF(K646="""",0,K646),
IF(M646="""",0,M646),
IF(O646="""",0,O646),
IF(Q646="""",0,Q646)
})"),"")</f>
        <v/>
      </c>
      <c r="V646" s="8" t="e">
        <f t="array" aca="1" ref="V646" ca="1">IF($C$4="Giao",_xludf.Xlookup(C646,#REF!,#REF!,),_xludf.Xlookup(C646,#REF!,#REF!,))</f>
        <v>#NAME?</v>
      </c>
      <c r="W646" s="8">
        <f t="array" ref="W646">IF($C$4="Giao", _xludf.Xlookup(C646,#REF!,#REF!,),)</f>
        <v>0</v>
      </c>
      <c r="X646" s="9">
        <f t="shared" si="8"/>
        <v>0</v>
      </c>
      <c r="Y646" s="7"/>
      <c r="Z646" s="7"/>
    </row>
    <row r="647" spans="1:26" ht="13" x14ac:dyDescent="0.6">
      <c r="A647" s="28" t="str">
        <f t="shared" si="7"/>
        <v/>
      </c>
      <c r="B647" s="7"/>
      <c r="C647" s="7"/>
      <c r="D647" s="9"/>
      <c r="E647" s="9"/>
      <c r="F647" s="9"/>
      <c r="G647" s="9"/>
      <c r="H647" s="9"/>
      <c r="I647" s="9"/>
      <c r="J647" s="9"/>
      <c r="K647" s="9"/>
      <c r="L647" s="9"/>
      <c r="M647" s="9"/>
      <c r="N647" s="9"/>
      <c r="O647" s="9"/>
      <c r="P647" s="29"/>
      <c r="Q647" s="29"/>
      <c r="R647" s="7"/>
      <c r="S647" s="7"/>
      <c r="T647" s="7" t="str">
        <f ca="1">IFERROR(__xludf.DUMMYFUNCTION("SPARKLINE({
IF(D647="""",0,D647),
IF(F647="""",0,F647),
IF(H647="""",0,H647),
IF(J647="""",0,J647),
IF(L647="""",0,L647),
IF(N647="""",0,N647),
IF(P647="""",0,P647)
})"),"")</f>
        <v/>
      </c>
      <c r="U647" s="7" t="str">
        <f ca="1">IFERROR(__xludf.DUMMYFUNCTION("SPARKLINE({
IF(E647="""",0,E647),
IF(G647="""",0,G647),
IF(I647="""",0,I647),
IF(K647="""",0,K647),
IF(M647="""",0,M647),
IF(O647="""",0,O647),
IF(Q647="""",0,Q647)
})"),"")</f>
        <v/>
      </c>
      <c r="V647" s="8" t="e">
        <f t="array" aca="1" ref="V647" ca="1">IF($C$4="Giao",_xludf.Xlookup(C647,#REF!,#REF!,),_xludf.Xlookup(C647,#REF!,#REF!,))</f>
        <v>#NAME?</v>
      </c>
      <c r="W647" s="8">
        <f t="array" ref="W647">IF($C$4="Giao", _xludf.Xlookup(C647,#REF!,#REF!,),)</f>
        <v>0</v>
      </c>
      <c r="X647" s="9">
        <f t="shared" si="8"/>
        <v>0</v>
      </c>
      <c r="Y647" s="7"/>
      <c r="Z647" s="7"/>
    </row>
    <row r="648" spans="1:26" ht="13" x14ac:dyDescent="0.6">
      <c r="A648" s="28" t="str">
        <f t="shared" si="7"/>
        <v/>
      </c>
      <c r="B648" s="7"/>
      <c r="C648" s="7"/>
      <c r="D648" s="9"/>
      <c r="E648" s="9"/>
      <c r="F648" s="9"/>
      <c r="G648" s="9"/>
      <c r="H648" s="9"/>
      <c r="I648" s="9"/>
      <c r="J648" s="9"/>
      <c r="K648" s="9"/>
      <c r="L648" s="9"/>
      <c r="M648" s="9"/>
      <c r="N648" s="9"/>
      <c r="O648" s="9"/>
      <c r="P648" s="29"/>
      <c r="Q648" s="29"/>
      <c r="R648" s="7"/>
      <c r="S648" s="7"/>
      <c r="T648" s="7" t="str">
        <f ca="1">IFERROR(__xludf.DUMMYFUNCTION("SPARKLINE({
IF(D648="""",0,D648),
IF(F648="""",0,F648),
IF(H648="""",0,H648),
IF(J648="""",0,J648),
IF(L648="""",0,L648),
IF(N648="""",0,N648),
IF(P648="""",0,P648)
})"),"")</f>
        <v/>
      </c>
      <c r="U648" s="7" t="str">
        <f ca="1">IFERROR(__xludf.DUMMYFUNCTION("SPARKLINE({
IF(E648="""",0,E648),
IF(G648="""",0,G648),
IF(I648="""",0,I648),
IF(K648="""",0,K648),
IF(M648="""",0,M648),
IF(O648="""",0,O648),
IF(Q648="""",0,Q648)
})"),"")</f>
        <v/>
      </c>
      <c r="V648" s="8" t="e">
        <f t="array" aca="1" ref="V648" ca="1">IF($C$4="Giao",_xludf.Xlookup(C648,#REF!,#REF!,),_xludf.Xlookup(C648,#REF!,#REF!,))</f>
        <v>#NAME?</v>
      </c>
      <c r="W648" s="8">
        <f t="array" ref="W648">IF($C$4="Giao", _xludf.Xlookup(C648,#REF!,#REF!,),)</f>
        <v>0</v>
      </c>
      <c r="X648" s="9">
        <f t="shared" si="8"/>
        <v>0</v>
      </c>
      <c r="Y648" s="7"/>
      <c r="Z648" s="7"/>
    </row>
    <row r="649" spans="1:26" ht="13" x14ac:dyDescent="0.6">
      <c r="A649" s="28" t="str">
        <f t="shared" si="7"/>
        <v/>
      </c>
      <c r="B649" s="7"/>
      <c r="C649" s="7"/>
      <c r="D649" s="9"/>
      <c r="E649" s="9"/>
      <c r="F649" s="9"/>
      <c r="G649" s="9"/>
      <c r="H649" s="9"/>
      <c r="I649" s="9"/>
      <c r="J649" s="9"/>
      <c r="K649" s="9"/>
      <c r="L649" s="9"/>
      <c r="M649" s="9"/>
      <c r="N649" s="9"/>
      <c r="O649" s="9"/>
      <c r="P649" s="29"/>
      <c r="Q649" s="29"/>
      <c r="R649" s="7"/>
      <c r="S649" s="7"/>
      <c r="T649" s="7" t="str">
        <f ca="1">IFERROR(__xludf.DUMMYFUNCTION("SPARKLINE({
IF(D649="""",0,D649),
IF(F649="""",0,F649),
IF(H649="""",0,H649),
IF(J649="""",0,J649),
IF(L649="""",0,L649),
IF(N649="""",0,N649),
IF(P649="""",0,P649)
})"),"")</f>
        <v/>
      </c>
      <c r="U649" s="7" t="str">
        <f ca="1">IFERROR(__xludf.DUMMYFUNCTION("SPARKLINE({
IF(E649="""",0,E649),
IF(G649="""",0,G649),
IF(I649="""",0,I649),
IF(K649="""",0,K649),
IF(M649="""",0,M649),
IF(O649="""",0,O649),
IF(Q649="""",0,Q649)
})"),"")</f>
        <v/>
      </c>
      <c r="V649" s="8" t="e">
        <f t="array" aca="1" ref="V649" ca="1">IF($C$4="Giao",_xludf.Xlookup(C649,#REF!,#REF!,),_xludf.Xlookup(C649,#REF!,#REF!,))</f>
        <v>#NAME?</v>
      </c>
      <c r="W649" s="8">
        <f t="array" ref="W649">IF($C$4="Giao", _xludf.Xlookup(C649,#REF!,#REF!,),)</f>
        <v>0</v>
      </c>
      <c r="X649" s="9">
        <f t="shared" si="8"/>
        <v>0</v>
      </c>
      <c r="Y649" s="7"/>
      <c r="Z649" s="7"/>
    </row>
    <row r="650" spans="1:26" ht="13" x14ac:dyDescent="0.6">
      <c r="A650" s="28" t="str">
        <f t="shared" si="7"/>
        <v/>
      </c>
      <c r="B650" s="7"/>
      <c r="C650" s="7"/>
      <c r="D650" s="9"/>
      <c r="E650" s="9"/>
      <c r="F650" s="9"/>
      <c r="G650" s="9"/>
      <c r="H650" s="9"/>
      <c r="I650" s="9"/>
      <c r="J650" s="9"/>
      <c r="K650" s="9"/>
      <c r="L650" s="9"/>
      <c r="M650" s="9"/>
      <c r="N650" s="9"/>
      <c r="O650" s="9"/>
      <c r="P650" s="29"/>
      <c r="Q650" s="29"/>
      <c r="R650" s="7"/>
      <c r="S650" s="7"/>
      <c r="T650" s="7" t="str">
        <f ca="1">IFERROR(__xludf.DUMMYFUNCTION("SPARKLINE({
IF(D650="""",0,D650),
IF(F650="""",0,F650),
IF(H650="""",0,H650),
IF(J650="""",0,J650),
IF(L650="""",0,L650),
IF(N650="""",0,N650),
IF(P650="""",0,P650)
})"),"")</f>
        <v/>
      </c>
      <c r="U650" s="7" t="str">
        <f ca="1">IFERROR(__xludf.DUMMYFUNCTION("SPARKLINE({
IF(E650="""",0,E650),
IF(G650="""",0,G650),
IF(I650="""",0,I650),
IF(K650="""",0,K650),
IF(M650="""",0,M650),
IF(O650="""",0,O650),
IF(Q650="""",0,Q650)
})"),"")</f>
        <v/>
      </c>
      <c r="V650" s="8" t="e">
        <f t="array" aca="1" ref="V650" ca="1">IF($C$4="Giao",_xludf.Xlookup(C650,#REF!,#REF!,),_xludf.Xlookup(C650,#REF!,#REF!,))</f>
        <v>#NAME?</v>
      </c>
      <c r="W650" s="8">
        <f t="array" ref="W650">IF($C$4="Giao", _xludf.Xlookup(C650,#REF!,#REF!,),)</f>
        <v>0</v>
      </c>
      <c r="X650" s="9">
        <f t="shared" si="8"/>
        <v>0</v>
      </c>
      <c r="Y650" s="7"/>
      <c r="Z650" s="7"/>
    </row>
    <row r="651" spans="1:26" ht="13" x14ac:dyDescent="0.6">
      <c r="A651" s="28" t="str">
        <f t="shared" si="7"/>
        <v/>
      </c>
      <c r="B651" s="7"/>
      <c r="C651" s="7"/>
      <c r="D651" s="9"/>
      <c r="E651" s="9"/>
      <c r="F651" s="9"/>
      <c r="G651" s="9"/>
      <c r="H651" s="9"/>
      <c r="I651" s="9"/>
      <c r="J651" s="9"/>
      <c r="K651" s="9"/>
      <c r="L651" s="9"/>
      <c r="M651" s="9"/>
      <c r="N651" s="9"/>
      <c r="O651" s="9"/>
      <c r="P651" s="29"/>
      <c r="Q651" s="29"/>
      <c r="R651" s="7"/>
      <c r="S651" s="7"/>
      <c r="T651" s="7" t="str">
        <f ca="1">IFERROR(__xludf.DUMMYFUNCTION("SPARKLINE({
IF(D651="""",0,D651),
IF(F651="""",0,F651),
IF(H651="""",0,H651),
IF(J651="""",0,J651),
IF(L651="""",0,L651),
IF(N651="""",0,N651),
IF(P651="""",0,P651)
})"),"")</f>
        <v/>
      </c>
      <c r="U651" s="7" t="str">
        <f ca="1">IFERROR(__xludf.DUMMYFUNCTION("SPARKLINE({
IF(E651="""",0,E651),
IF(G651="""",0,G651),
IF(I651="""",0,I651),
IF(K651="""",0,K651),
IF(M651="""",0,M651),
IF(O651="""",0,O651),
IF(Q651="""",0,Q651)
})"),"")</f>
        <v/>
      </c>
      <c r="V651" s="8" t="e">
        <f t="array" aca="1" ref="V651" ca="1">IF($C$4="Giao",_xludf.Xlookup(C651,#REF!,#REF!,),_xludf.Xlookup(C651,#REF!,#REF!,))</f>
        <v>#NAME?</v>
      </c>
      <c r="W651" s="8">
        <f t="array" ref="W651">IF($C$4="Giao", _xludf.Xlookup(C651,#REF!,#REF!,),)</f>
        <v>0</v>
      </c>
      <c r="X651" s="9">
        <f t="shared" si="8"/>
        <v>0</v>
      </c>
      <c r="Y651" s="7"/>
      <c r="Z651" s="7"/>
    </row>
    <row r="652" spans="1:26" ht="13" x14ac:dyDescent="0.6">
      <c r="A652" s="28" t="str">
        <f t="shared" si="7"/>
        <v/>
      </c>
      <c r="B652" s="7"/>
      <c r="C652" s="7"/>
      <c r="D652" s="9"/>
      <c r="E652" s="9"/>
      <c r="F652" s="9"/>
      <c r="G652" s="9"/>
      <c r="H652" s="9"/>
      <c r="I652" s="9"/>
      <c r="J652" s="9"/>
      <c r="K652" s="9"/>
      <c r="L652" s="9"/>
      <c r="M652" s="9"/>
      <c r="N652" s="9"/>
      <c r="O652" s="9"/>
      <c r="P652" s="29"/>
      <c r="Q652" s="29"/>
      <c r="R652" s="7"/>
      <c r="S652" s="7"/>
      <c r="T652" s="7" t="str">
        <f ca="1">IFERROR(__xludf.DUMMYFUNCTION("SPARKLINE({
IF(D652="""",0,D652),
IF(F652="""",0,F652),
IF(H652="""",0,H652),
IF(J652="""",0,J652),
IF(L652="""",0,L652),
IF(N652="""",0,N652),
IF(P652="""",0,P652)
})"),"")</f>
        <v/>
      </c>
      <c r="U652" s="7" t="str">
        <f ca="1">IFERROR(__xludf.DUMMYFUNCTION("SPARKLINE({
IF(E652="""",0,E652),
IF(G652="""",0,G652),
IF(I652="""",0,I652),
IF(K652="""",0,K652),
IF(M652="""",0,M652),
IF(O652="""",0,O652),
IF(Q652="""",0,Q652)
})"),"")</f>
        <v/>
      </c>
      <c r="V652" s="8" t="e">
        <f t="array" aca="1" ref="V652" ca="1">IF($C$4="Giao",_xludf.Xlookup(C652,#REF!,#REF!,),_xludf.Xlookup(C652,#REF!,#REF!,))</f>
        <v>#NAME?</v>
      </c>
      <c r="W652" s="8">
        <f t="array" ref="W652">IF($C$4="Giao", _xludf.Xlookup(C652,#REF!,#REF!,),)</f>
        <v>0</v>
      </c>
      <c r="X652" s="9">
        <f t="shared" si="8"/>
        <v>0</v>
      </c>
      <c r="Y652" s="7"/>
      <c r="Z652" s="7"/>
    </row>
    <row r="653" spans="1:26" ht="13" x14ac:dyDescent="0.6">
      <c r="A653" s="28" t="str">
        <f t="shared" si="7"/>
        <v/>
      </c>
      <c r="B653" s="7"/>
      <c r="C653" s="7"/>
      <c r="D653" s="9"/>
      <c r="E653" s="9"/>
      <c r="F653" s="9"/>
      <c r="G653" s="9"/>
      <c r="H653" s="9"/>
      <c r="I653" s="9"/>
      <c r="J653" s="9"/>
      <c r="K653" s="9"/>
      <c r="L653" s="9"/>
      <c r="M653" s="9"/>
      <c r="N653" s="9"/>
      <c r="O653" s="9"/>
      <c r="P653" s="29"/>
      <c r="Q653" s="29"/>
      <c r="R653" s="7"/>
      <c r="S653" s="7"/>
      <c r="T653" s="7" t="str">
        <f ca="1">IFERROR(__xludf.DUMMYFUNCTION("SPARKLINE({
IF(D653="""",0,D653),
IF(F653="""",0,F653),
IF(H653="""",0,H653),
IF(J653="""",0,J653),
IF(L653="""",0,L653),
IF(N653="""",0,N653),
IF(P653="""",0,P653)
})"),"")</f>
        <v/>
      </c>
      <c r="U653" s="7" t="str">
        <f ca="1">IFERROR(__xludf.DUMMYFUNCTION("SPARKLINE({
IF(E653="""",0,E653),
IF(G653="""",0,G653),
IF(I653="""",0,I653),
IF(K653="""",0,K653),
IF(M653="""",0,M653),
IF(O653="""",0,O653),
IF(Q653="""",0,Q653)
})"),"")</f>
        <v/>
      </c>
      <c r="V653" s="8" t="e">
        <f t="array" aca="1" ref="V653" ca="1">IF($C$4="Giao",_xludf.Xlookup(C653,#REF!,#REF!,),_xludf.Xlookup(C653,#REF!,#REF!,))</f>
        <v>#NAME?</v>
      </c>
      <c r="W653" s="8">
        <f t="array" ref="W653">IF($C$4="Giao", _xludf.Xlookup(C653,#REF!,#REF!,),)</f>
        <v>0</v>
      </c>
      <c r="X653" s="9">
        <f t="shared" si="8"/>
        <v>0</v>
      </c>
      <c r="Y653" s="7"/>
      <c r="Z653" s="7"/>
    </row>
    <row r="654" spans="1:26" ht="13" x14ac:dyDescent="0.6">
      <c r="A654" s="28" t="str">
        <f t="shared" si="7"/>
        <v/>
      </c>
      <c r="B654" s="7"/>
      <c r="C654" s="7"/>
      <c r="D654" s="9"/>
      <c r="E654" s="9"/>
      <c r="F654" s="9"/>
      <c r="G654" s="9"/>
      <c r="H654" s="9"/>
      <c r="I654" s="9"/>
      <c r="J654" s="9"/>
      <c r="K654" s="9"/>
      <c r="L654" s="9"/>
      <c r="M654" s="9"/>
      <c r="N654" s="9"/>
      <c r="O654" s="9"/>
      <c r="P654" s="29"/>
      <c r="Q654" s="29"/>
      <c r="R654" s="7"/>
      <c r="S654" s="7"/>
      <c r="T654" s="7" t="str">
        <f ca="1">IFERROR(__xludf.DUMMYFUNCTION("SPARKLINE({
IF(D654="""",0,D654),
IF(F654="""",0,F654),
IF(H654="""",0,H654),
IF(J654="""",0,J654),
IF(L654="""",0,L654),
IF(N654="""",0,N654),
IF(P654="""",0,P654)
})"),"")</f>
        <v/>
      </c>
      <c r="U654" s="7" t="str">
        <f ca="1">IFERROR(__xludf.DUMMYFUNCTION("SPARKLINE({
IF(E654="""",0,E654),
IF(G654="""",0,G654),
IF(I654="""",0,I654),
IF(K654="""",0,K654),
IF(M654="""",0,M654),
IF(O654="""",0,O654),
IF(Q654="""",0,Q654)
})"),"")</f>
        <v/>
      </c>
      <c r="V654" s="8" t="e">
        <f t="array" aca="1" ref="V654" ca="1">IF($C$4="Giao",_xludf.Xlookup(C654,#REF!,#REF!,),_xludf.Xlookup(C654,#REF!,#REF!,))</f>
        <v>#NAME?</v>
      </c>
      <c r="W654" s="8">
        <f t="array" ref="W654">IF($C$4="Giao", _xludf.Xlookup(C654,#REF!,#REF!,),)</f>
        <v>0</v>
      </c>
      <c r="X654" s="9">
        <f t="shared" si="8"/>
        <v>0</v>
      </c>
      <c r="Y654" s="7"/>
      <c r="Z654" s="7"/>
    </row>
    <row r="655" spans="1:26" ht="13" x14ac:dyDescent="0.6">
      <c r="A655" s="28" t="str">
        <f t="shared" si="7"/>
        <v/>
      </c>
      <c r="B655" s="7"/>
      <c r="C655" s="7"/>
      <c r="D655" s="9"/>
      <c r="E655" s="9"/>
      <c r="F655" s="9"/>
      <c r="G655" s="9"/>
      <c r="H655" s="9"/>
      <c r="I655" s="9"/>
      <c r="J655" s="9"/>
      <c r="K655" s="9"/>
      <c r="L655" s="9"/>
      <c r="M655" s="9"/>
      <c r="N655" s="9"/>
      <c r="O655" s="9"/>
      <c r="P655" s="29"/>
      <c r="Q655" s="29"/>
      <c r="R655" s="7"/>
      <c r="S655" s="7"/>
      <c r="T655" s="7" t="str">
        <f ca="1">IFERROR(__xludf.DUMMYFUNCTION("SPARKLINE({
IF(D655="""",0,D655),
IF(F655="""",0,F655),
IF(H655="""",0,H655),
IF(J655="""",0,J655),
IF(L655="""",0,L655),
IF(N655="""",0,N655),
IF(P655="""",0,P655)
})"),"")</f>
        <v/>
      </c>
      <c r="U655" s="7" t="str">
        <f ca="1">IFERROR(__xludf.DUMMYFUNCTION("SPARKLINE({
IF(E655="""",0,E655),
IF(G655="""",0,G655),
IF(I655="""",0,I655),
IF(K655="""",0,K655),
IF(M655="""",0,M655),
IF(O655="""",0,O655),
IF(Q655="""",0,Q655)
})"),"")</f>
        <v/>
      </c>
      <c r="V655" s="8" t="e">
        <f t="array" aca="1" ref="V655" ca="1">IF($C$4="Giao",_xludf.Xlookup(C655,#REF!,#REF!,),_xludf.Xlookup(C655,#REF!,#REF!,))</f>
        <v>#NAME?</v>
      </c>
      <c r="W655" s="8">
        <f t="array" ref="W655">IF($C$4="Giao", _xludf.Xlookup(C655,#REF!,#REF!,),)</f>
        <v>0</v>
      </c>
      <c r="X655" s="9">
        <f t="shared" si="8"/>
        <v>0</v>
      </c>
      <c r="Y655" s="7"/>
      <c r="Z655" s="7"/>
    </row>
    <row r="656" spans="1:26" ht="13" x14ac:dyDescent="0.6">
      <c r="A656" s="28" t="str">
        <f t="shared" si="7"/>
        <v/>
      </c>
      <c r="B656" s="7"/>
      <c r="C656" s="7"/>
      <c r="D656" s="9"/>
      <c r="E656" s="9"/>
      <c r="F656" s="9"/>
      <c r="G656" s="9"/>
      <c r="H656" s="9"/>
      <c r="I656" s="9"/>
      <c r="J656" s="9"/>
      <c r="K656" s="9"/>
      <c r="L656" s="9"/>
      <c r="M656" s="9"/>
      <c r="N656" s="9"/>
      <c r="O656" s="9"/>
      <c r="P656" s="29"/>
      <c r="Q656" s="29"/>
      <c r="R656" s="7"/>
      <c r="S656" s="7"/>
      <c r="T656" s="7" t="str">
        <f ca="1">IFERROR(__xludf.DUMMYFUNCTION("SPARKLINE({
IF(D656="""",0,D656),
IF(F656="""",0,F656),
IF(H656="""",0,H656),
IF(J656="""",0,J656),
IF(L656="""",0,L656),
IF(N656="""",0,N656),
IF(P656="""",0,P656)
})"),"")</f>
        <v/>
      </c>
      <c r="U656" s="7" t="str">
        <f ca="1">IFERROR(__xludf.DUMMYFUNCTION("SPARKLINE({
IF(E656="""",0,E656),
IF(G656="""",0,G656),
IF(I656="""",0,I656),
IF(K656="""",0,K656),
IF(M656="""",0,M656),
IF(O656="""",0,O656),
IF(Q656="""",0,Q656)
})"),"")</f>
        <v/>
      </c>
      <c r="V656" s="8" t="e">
        <f t="array" aca="1" ref="V656" ca="1">IF($C$4="Giao",_xludf.Xlookup(C656,#REF!,#REF!,),_xludf.Xlookup(C656,#REF!,#REF!,))</f>
        <v>#NAME?</v>
      </c>
      <c r="W656" s="8">
        <f t="array" ref="W656">IF($C$4="Giao", _xludf.Xlookup(C656,#REF!,#REF!,),)</f>
        <v>0</v>
      </c>
      <c r="X656" s="9">
        <f t="shared" si="8"/>
        <v>0</v>
      </c>
      <c r="Y656" s="7"/>
      <c r="Z656" s="7"/>
    </row>
    <row r="657" spans="1:26" ht="13" x14ac:dyDescent="0.6">
      <c r="A657" s="28" t="str">
        <f t="shared" si="7"/>
        <v/>
      </c>
      <c r="B657" s="7"/>
      <c r="C657" s="7"/>
      <c r="D657" s="9"/>
      <c r="E657" s="9"/>
      <c r="F657" s="9"/>
      <c r="G657" s="9"/>
      <c r="H657" s="9"/>
      <c r="I657" s="9"/>
      <c r="J657" s="9"/>
      <c r="K657" s="9"/>
      <c r="L657" s="9"/>
      <c r="M657" s="9"/>
      <c r="N657" s="9"/>
      <c r="O657" s="9"/>
      <c r="P657" s="29"/>
      <c r="Q657" s="29"/>
      <c r="R657" s="7"/>
      <c r="S657" s="7"/>
      <c r="T657" s="7" t="str">
        <f ca="1">IFERROR(__xludf.DUMMYFUNCTION("SPARKLINE({
IF(D657="""",0,D657),
IF(F657="""",0,F657),
IF(H657="""",0,H657),
IF(J657="""",0,J657),
IF(L657="""",0,L657),
IF(N657="""",0,N657),
IF(P657="""",0,P657)
})"),"")</f>
        <v/>
      </c>
      <c r="U657" s="7" t="str">
        <f ca="1">IFERROR(__xludf.DUMMYFUNCTION("SPARKLINE({
IF(E657="""",0,E657),
IF(G657="""",0,G657),
IF(I657="""",0,I657),
IF(K657="""",0,K657),
IF(M657="""",0,M657),
IF(O657="""",0,O657),
IF(Q657="""",0,Q657)
})"),"")</f>
        <v/>
      </c>
      <c r="V657" s="8" t="e">
        <f t="array" aca="1" ref="V657" ca="1">IF($C$4="Giao",_xludf.Xlookup(C657,#REF!,#REF!,),_xludf.Xlookup(C657,#REF!,#REF!,))</f>
        <v>#NAME?</v>
      </c>
      <c r="W657" s="8">
        <f t="array" ref="W657">IF($C$4="Giao", _xludf.Xlookup(C657,#REF!,#REF!,),)</f>
        <v>0</v>
      </c>
      <c r="X657" s="9">
        <f t="shared" si="8"/>
        <v>0</v>
      </c>
      <c r="Y657" s="7"/>
      <c r="Z657" s="7"/>
    </row>
    <row r="658" spans="1:26" ht="13" x14ac:dyDescent="0.6">
      <c r="A658" s="28" t="str">
        <f t="shared" si="7"/>
        <v/>
      </c>
      <c r="B658" s="7"/>
      <c r="C658" s="7"/>
      <c r="D658" s="9"/>
      <c r="E658" s="9"/>
      <c r="F658" s="9"/>
      <c r="G658" s="9"/>
      <c r="H658" s="9"/>
      <c r="I658" s="9"/>
      <c r="J658" s="9"/>
      <c r="K658" s="9"/>
      <c r="L658" s="9"/>
      <c r="M658" s="9"/>
      <c r="N658" s="9"/>
      <c r="O658" s="9"/>
      <c r="P658" s="29"/>
      <c r="Q658" s="29"/>
      <c r="R658" s="7"/>
      <c r="S658" s="7"/>
      <c r="T658" s="7" t="str">
        <f ca="1">IFERROR(__xludf.DUMMYFUNCTION("SPARKLINE({
IF(D658="""",0,D658),
IF(F658="""",0,F658),
IF(H658="""",0,H658),
IF(J658="""",0,J658),
IF(L658="""",0,L658),
IF(N658="""",0,N658),
IF(P658="""",0,P658)
})"),"")</f>
        <v/>
      </c>
      <c r="U658" s="7" t="str">
        <f ca="1">IFERROR(__xludf.DUMMYFUNCTION("SPARKLINE({
IF(E658="""",0,E658),
IF(G658="""",0,G658),
IF(I658="""",0,I658),
IF(K658="""",0,K658),
IF(M658="""",0,M658),
IF(O658="""",0,O658),
IF(Q658="""",0,Q658)
})"),"")</f>
        <v/>
      </c>
      <c r="V658" s="8" t="e">
        <f t="array" aca="1" ref="V658" ca="1">IF($C$4="Giao",_xludf.Xlookup(C658,#REF!,#REF!,),_xludf.Xlookup(C658,#REF!,#REF!,))</f>
        <v>#NAME?</v>
      </c>
      <c r="W658" s="8">
        <f t="array" ref="W658">IF($C$4="Giao", _xludf.Xlookup(C658,#REF!,#REF!,),)</f>
        <v>0</v>
      </c>
      <c r="X658" s="9">
        <f t="shared" si="8"/>
        <v>0</v>
      </c>
      <c r="Y658" s="7"/>
      <c r="Z658" s="7"/>
    </row>
    <row r="659" spans="1:26" ht="13" x14ac:dyDescent="0.6">
      <c r="A659" s="28" t="str">
        <f t="shared" si="7"/>
        <v/>
      </c>
      <c r="B659" s="7"/>
      <c r="C659" s="7"/>
      <c r="D659" s="9"/>
      <c r="E659" s="9"/>
      <c r="F659" s="9"/>
      <c r="G659" s="9"/>
      <c r="H659" s="9"/>
      <c r="I659" s="9"/>
      <c r="J659" s="9"/>
      <c r="K659" s="9"/>
      <c r="L659" s="9"/>
      <c r="M659" s="9"/>
      <c r="N659" s="9"/>
      <c r="O659" s="9"/>
      <c r="P659" s="29"/>
      <c r="Q659" s="29"/>
      <c r="R659" s="7"/>
      <c r="S659" s="7"/>
      <c r="T659" s="7" t="str">
        <f ca="1">IFERROR(__xludf.DUMMYFUNCTION("SPARKLINE({
IF(D659="""",0,D659),
IF(F659="""",0,F659),
IF(H659="""",0,H659),
IF(J659="""",0,J659),
IF(L659="""",0,L659),
IF(N659="""",0,N659),
IF(P659="""",0,P659)
})"),"")</f>
        <v/>
      </c>
      <c r="U659" s="7" t="str">
        <f ca="1">IFERROR(__xludf.DUMMYFUNCTION("SPARKLINE({
IF(E659="""",0,E659),
IF(G659="""",0,G659),
IF(I659="""",0,I659),
IF(K659="""",0,K659),
IF(M659="""",0,M659),
IF(O659="""",0,O659),
IF(Q659="""",0,Q659)
})"),"")</f>
        <v/>
      </c>
      <c r="V659" s="8" t="e">
        <f t="array" aca="1" ref="V659" ca="1">IF($C$4="Giao",_xludf.Xlookup(C659,#REF!,#REF!,),_xludf.Xlookup(C659,#REF!,#REF!,))</f>
        <v>#NAME?</v>
      </c>
      <c r="W659" s="8">
        <f t="array" ref="W659">IF($C$4="Giao", _xludf.Xlookup(C659,#REF!,#REF!,),)</f>
        <v>0</v>
      </c>
      <c r="X659" s="9">
        <f t="shared" si="8"/>
        <v>0</v>
      </c>
      <c r="Y659" s="7"/>
      <c r="Z659" s="7"/>
    </row>
    <row r="660" spans="1:26" ht="13" x14ac:dyDescent="0.6">
      <c r="A660" s="28" t="str">
        <f t="shared" si="7"/>
        <v/>
      </c>
      <c r="B660" s="7"/>
      <c r="C660" s="7"/>
      <c r="D660" s="9"/>
      <c r="E660" s="9"/>
      <c r="F660" s="9"/>
      <c r="G660" s="9"/>
      <c r="H660" s="9"/>
      <c r="I660" s="9"/>
      <c r="J660" s="9"/>
      <c r="K660" s="9"/>
      <c r="L660" s="9"/>
      <c r="M660" s="9"/>
      <c r="N660" s="9"/>
      <c r="O660" s="9"/>
      <c r="P660" s="29"/>
      <c r="Q660" s="29"/>
      <c r="R660" s="7"/>
      <c r="S660" s="7"/>
      <c r="T660" s="7" t="str">
        <f ca="1">IFERROR(__xludf.DUMMYFUNCTION("SPARKLINE({
IF(D660="""",0,D660),
IF(F660="""",0,F660),
IF(H660="""",0,H660),
IF(J660="""",0,J660),
IF(L660="""",0,L660),
IF(N660="""",0,N660),
IF(P660="""",0,P660)
})"),"")</f>
        <v/>
      </c>
      <c r="U660" s="7" t="str">
        <f ca="1">IFERROR(__xludf.DUMMYFUNCTION("SPARKLINE({
IF(E660="""",0,E660),
IF(G660="""",0,G660),
IF(I660="""",0,I660),
IF(K660="""",0,K660),
IF(M660="""",0,M660),
IF(O660="""",0,O660),
IF(Q660="""",0,Q660)
})"),"")</f>
        <v/>
      </c>
      <c r="V660" s="8" t="e">
        <f t="array" aca="1" ref="V660" ca="1">IF($C$4="Giao",_xludf.Xlookup(C660,#REF!,#REF!,),_xludf.Xlookup(C660,#REF!,#REF!,))</f>
        <v>#NAME?</v>
      </c>
      <c r="W660" s="8">
        <f t="array" ref="W660">IF($C$4="Giao", _xludf.Xlookup(C660,#REF!,#REF!,),)</f>
        <v>0</v>
      </c>
      <c r="X660" s="9">
        <f t="shared" si="8"/>
        <v>0</v>
      </c>
      <c r="Y660" s="7"/>
      <c r="Z660" s="7"/>
    </row>
    <row r="661" spans="1:26" ht="13" x14ac:dyDescent="0.6">
      <c r="A661" s="28" t="str">
        <f t="shared" si="7"/>
        <v/>
      </c>
      <c r="B661" s="7"/>
      <c r="C661" s="7"/>
      <c r="D661" s="9"/>
      <c r="E661" s="9"/>
      <c r="F661" s="9"/>
      <c r="G661" s="9"/>
      <c r="H661" s="9"/>
      <c r="I661" s="9"/>
      <c r="J661" s="9"/>
      <c r="K661" s="9"/>
      <c r="L661" s="9"/>
      <c r="M661" s="9"/>
      <c r="N661" s="9"/>
      <c r="O661" s="9"/>
      <c r="P661" s="29"/>
      <c r="Q661" s="29"/>
      <c r="R661" s="7"/>
      <c r="S661" s="7"/>
      <c r="T661" s="7" t="str">
        <f ca="1">IFERROR(__xludf.DUMMYFUNCTION("SPARKLINE({
IF(D661="""",0,D661),
IF(F661="""",0,F661),
IF(H661="""",0,H661),
IF(J661="""",0,J661),
IF(L661="""",0,L661),
IF(N661="""",0,N661),
IF(P661="""",0,P661)
})"),"")</f>
        <v/>
      </c>
      <c r="U661" s="7" t="str">
        <f ca="1">IFERROR(__xludf.DUMMYFUNCTION("SPARKLINE({
IF(E661="""",0,E661),
IF(G661="""",0,G661),
IF(I661="""",0,I661),
IF(K661="""",0,K661),
IF(M661="""",0,M661),
IF(O661="""",0,O661),
IF(Q661="""",0,Q661)
})"),"")</f>
        <v/>
      </c>
      <c r="V661" s="8" t="e">
        <f t="array" aca="1" ref="V661" ca="1">IF($C$4="Giao",_xludf.Xlookup(C661,#REF!,#REF!,),_xludf.Xlookup(C661,#REF!,#REF!,))</f>
        <v>#NAME?</v>
      </c>
      <c r="W661" s="8">
        <f t="array" ref="W661">IF($C$4="Giao", _xludf.Xlookup(C661,#REF!,#REF!,),)</f>
        <v>0</v>
      </c>
      <c r="X661" s="9">
        <f t="shared" si="8"/>
        <v>0</v>
      </c>
      <c r="Y661" s="7"/>
      <c r="Z661" s="7"/>
    </row>
    <row r="662" spans="1:26" ht="13" x14ac:dyDescent="0.6">
      <c r="A662" s="28" t="str">
        <f t="shared" si="7"/>
        <v/>
      </c>
      <c r="B662" s="7"/>
      <c r="C662" s="7"/>
      <c r="D662" s="9"/>
      <c r="E662" s="9"/>
      <c r="F662" s="9"/>
      <c r="G662" s="9"/>
      <c r="H662" s="9"/>
      <c r="I662" s="9"/>
      <c r="J662" s="9"/>
      <c r="K662" s="9"/>
      <c r="L662" s="9"/>
      <c r="M662" s="9"/>
      <c r="N662" s="9"/>
      <c r="O662" s="9"/>
      <c r="P662" s="29"/>
      <c r="Q662" s="29"/>
      <c r="R662" s="7"/>
      <c r="S662" s="7"/>
      <c r="T662" s="7" t="str">
        <f ca="1">IFERROR(__xludf.DUMMYFUNCTION("SPARKLINE({
IF(D662="""",0,D662),
IF(F662="""",0,F662),
IF(H662="""",0,H662),
IF(J662="""",0,J662),
IF(L662="""",0,L662),
IF(N662="""",0,N662),
IF(P662="""",0,P662)
})"),"")</f>
        <v/>
      </c>
      <c r="U662" s="7" t="str">
        <f ca="1">IFERROR(__xludf.DUMMYFUNCTION("SPARKLINE({
IF(E662="""",0,E662),
IF(G662="""",0,G662),
IF(I662="""",0,I662),
IF(K662="""",0,K662),
IF(M662="""",0,M662),
IF(O662="""",0,O662),
IF(Q662="""",0,Q662)
})"),"")</f>
        <v/>
      </c>
      <c r="V662" s="8" t="e">
        <f t="array" aca="1" ref="V662" ca="1">IF($C$4="Giao",_xludf.Xlookup(C662,#REF!,#REF!,),_xludf.Xlookup(C662,#REF!,#REF!,))</f>
        <v>#NAME?</v>
      </c>
      <c r="W662" s="8">
        <f t="array" ref="W662">IF($C$4="Giao", _xludf.Xlookup(C662,#REF!,#REF!,),)</f>
        <v>0</v>
      </c>
      <c r="X662" s="9">
        <f t="shared" si="8"/>
        <v>0</v>
      </c>
      <c r="Y662" s="7"/>
      <c r="Z662" s="7"/>
    </row>
    <row r="663" spans="1:26" ht="13" x14ac:dyDescent="0.6">
      <c r="A663" s="28" t="str">
        <f t="shared" si="7"/>
        <v/>
      </c>
      <c r="B663" s="7"/>
      <c r="C663" s="7"/>
      <c r="D663" s="9"/>
      <c r="E663" s="9"/>
      <c r="F663" s="9"/>
      <c r="G663" s="9"/>
      <c r="H663" s="9"/>
      <c r="I663" s="9"/>
      <c r="J663" s="9"/>
      <c r="K663" s="9"/>
      <c r="L663" s="9"/>
      <c r="M663" s="9"/>
      <c r="N663" s="9"/>
      <c r="O663" s="9"/>
      <c r="P663" s="29"/>
      <c r="Q663" s="29"/>
      <c r="R663" s="7"/>
      <c r="S663" s="7"/>
      <c r="T663" s="7" t="str">
        <f ca="1">IFERROR(__xludf.DUMMYFUNCTION("SPARKLINE({
IF(D663="""",0,D663),
IF(F663="""",0,F663),
IF(H663="""",0,H663),
IF(J663="""",0,J663),
IF(L663="""",0,L663),
IF(N663="""",0,N663),
IF(P663="""",0,P663)
})"),"")</f>
        <v/>
      </c>
      <c r="U663" s="7" t="str">
        <f ca="1">IFERROR(__xludf.DUMMYFUNCTION("SPARKLINE({
IF(E663="""",0,E663),
IF(G663="""",0,G663),
IF(I663="""",0,I663),
IF(K663="""",0,K663),
IF(M663="""",0,M663),
IF(O663="""",0,O663),
IF(Q663="""",0,Q663)
})"),"")</f>
        <v/>
      </c>
      <c r="V663" s="8" t="e">
        <f t="array" aca="1" ref="V663" ca="1">IF($C$4="Giao",_xludf.Xlookup(C663,#REF!,#REF!,),_xludf.Xlookup(C663,#REF!,#REF!,))</f>
        <v>#NAME?</v>
      </c>
      <c r="W663" s="8">
        <f t="array" ref="W663">IF($C$4="Giao", _xludf.Xlookup(C663,#REF!,#REF!,),)</f>
        <v>0</v>
      </c>
      <c r="X663" s="9">
        <f t="shared" si="8"/>
        <v>0</v>
      </c>
      <c r="Y663" s="7"/>
      <c r="Z663" s="7"/>
    </row>
    <row r="664" spans="1:26" ht="13" x14ac:dyDescent="0.6">
      <c r="A664" s="28" t="str">
        <f t="shared" si="7"/>
        <v/>
      </c>
      <c r="B664" s="7"/>
      <c r="C664" s="7"/>
      <c r="D664" s="9"/>
      <c r="E664" s="9"/>
      <c r="F664" s="9"/>
      <c r="G664" s="9"/>
      <c r="H664" s="9"/>
      <c r="I664" s="9"/>
      <c r="J664" s="9"/>
      <c r="K664" s="9"/>
      <c r="L664" s="9"/>
      <c r="M664" s="9"/>
      <c r="N664" s="9"/>
      <c r="O664" s="9"/>
      <c r="P664" s="29"/>
      <c r="Q664" s="29"/>
      <c r="R664" s="7"/>
      <c r="S664" s="7"/>
      <c r="T664" s="7" t="str">
        <f ca="1">IFERROR(__xludf.DUMMYFUNCTION("SPARKLINE({
IF(D664="""",0,D664),
IF(F664="""",0,F664),
IF(H664="""",0,H664),
IF(J664="""",0,J664),
IF(L664="""",0,L664),
IF(N664="""",0,N664),
IF(P664="""",0,P664)
})"),"")</f>
        <v/>
      </c>
      <c r="U664" s="7" t="str">
        <f ca="1">IFERROR(__xludf.DUMMYFUNCTION("SPARKLINE({
IF(E664="""",0,E664),
IF(G664="""",0,G664),
IF(I664="""",0,I664),
IF(K664="""",0,K664),
IF(M664="""",0,M664),
IF(O664="""",0,O664),
IF(Q664="""",0,Q664)
})"),"")</f>
        <v/>
      </c>
      <c r="V664" s="8" t="e">
        <f t="array" aca="1" ref="V664" ca="1">IF($C$4="Giao",_xludf.Xlookup(C664,#REF!,#REF!,),_xludf.Xlookup(C664,#REF!,#REF!,))</f>
        <v>#NAME?</v>
      </c>
      <c r="W664" s="8">
        <f t="array" ref="W664">IF($C$4="Giao", _xludf.Xlookup(C664,#REF!,#REF!,),)</f>
        <v>0</v>
      </c>
      <c r="X664" s="9">
        <f t="shared" si="8"/>
        <v>0</v>
      </c>
      <c r="Y664" s="7"/>
      <c r="Z664" s="7"/>
    </row>
    <row r="665" spans="1:26" ht="13" x14ac:dyDescent="0.6">
      <c r="A665" s="28" t="str">
        <f t="shared" si="7"/>
        <v/>
      </c>
      <c r="B665" s="7"/>
      <c r="C665" s="7"/>
      <c r="D665" s="9"/>
      <c r="E665" s="9"/>
      <c r="F665" s="9"/>
      <c r="G665" s="9"/>
      <c r="H665" s="9"/>
      <c r="I665" s="9"/>
      <c r="J665" s="9"/>
      <c r="K665" s="9"/>
      <c r="L665" s="9"/>
      <c r="M665" s="9"/>
      <c r="N665" s="9"/>
      <c r="O665" s="9"/>
      <c r="P665" s="29"/>
      <c r="Q665" s="29"/>
      <c r="R665" s="7"/>
      <c r="S665" s="7"/>
      <c r="T665" s="7" t="str">
        <f ca="1">IFERROR(__xludf.DUMMYFUNCTION("SPARKLINE({
IF(D665="""",0,D665),
IF(F665="""",0,F665),
IF(H665="""",0,H665),
IF(J665="""",0,J665),
IF(L665="""",0,L665),
IF(N665="""",0,N665),
IF(P665="""",0,P665)
})"),"")</f>
        <v/>
      </c>
      <c r="U665" s="7" t="str">
        <f ca="1">IFERROR(__xludf.DUMMYFUNCTION("SPARKLINE({
IF(E665="""",0,E665),
IF(G665="""",0,G665),
IF(I665="""",0,I665),
IF(K665="""",0,K665),
IF(M665="""",0,M665),
IF(O665="""",0,O665),
IF(Q665="""",0,Q665)
})"),"")</f>
        <v/>
      </c>
      <c r="V665" s="8" t="e">
        <f t="array" aca="1" ref="V665" ca="1">IF($C$4="Giao",_xludf.Xlookup(C665,#REF!,#REF!,),_xludf.Xlookup(C665,#REF!,#REF!,))</f>
        <v>#NAME?</v>
      </c>
      <c r="W665" s="8">
        <f t="array" ref="W665">IF($C$4="Giao", _xludf.Xlookup(C665,#REF!,#REF!,),)</f>
        <v>0</v>
      </c>
      <c r="X665" s="9">
        <f t="shared" si="8"/>
        <v>0</v>
      </c>
      <c r="Y665" s="7"/>
      <c r="Z665" s="7"/>
    </row>
    <row r="666" spans="1:26" ht="13" x14ac:dyDescent="0.6">
      <c r="A666" s="28" t="str">
        <f t="shared" si="7"/>
        <v/>
      </c>
      <c r="B666" s="7"/>
      <c r="C666" s="7"/>
      <c r="D666" s="9"/>
      <c r="E666" s="9"/>
      <c r="F666" s="9"/>
      <c r="G666" s="9"/>
      <c r="H666" s="9"/>
      <c r="I666" s="9"/>
      <c r="J666" s="9"/>
      <c r="K666" s="9"/>
      <c r="L666" s="9"/>
      <c r="M666" s="9"/>
      <c r="N666" s="9"/>
      <c r="O666" s="9"/>
      <c r="P666" s="29"/>
      <c r="Q666" s="29"/>
      <c r="R666" s="7"/>
      <c r="S666" s="7"/>
      <c r="T666" s="7" t="str">
        <f ca="1">IFERROR(__xludf.DUMMYFUNCTION("SPARKLINE({
IF(D666="""",0,D666),
IF(F666="""",0,F666),
IF(H666="""",0,H666),
IF(J666="""",0,J666),
IF(L666="""",0,L666),
IF(N666="""",0,N666),
IF(P666="""",0,P666)
})"),"")</f>
        <v/>
      </c>
      <c r="U666" s="7" t="str">
        <f ca="1">IFERROR(__xludf.DUMMYFUNCTION("SPARKLINE({
IF(E666="""",0,E666),
IF(G666="""",0,G666),
IF(I666="""",0,I666),
IF(K666="""",0,K666),
IF(M666="""",0,M666),
IF(O666="""",0,O666),
IF(Q666="""",0,Q666)
})"),"")</f>
        <v/>
      </c>
      <c r="V666" s="8" t="e">
        <f t="array" aca="1" ref="V666" ca="1">IF($C$4="Giao",_xludf.Xlookup(C666,#REF!,#REF!,),_xludf.Xlookup(C666,#REF!,#REF!,))</f>
        <v>#NAME?</v>
      </c>
      <c r="W666" s="8">
        <f t="array" ref="W666">IF($C$4="Giao", _xludf.Xlookup(C666,#REF!,#REF!,),)</f>
        <v>0</v>
      </c>
      <c r="X666" s="9">
        <f t="shared" si="8"/>
        <v>0</v>
      </c>
      <c r="Y666" s="7"/>
      <c r="Z666" s="7"/>
    </row>
    <row r="667" spans="1:26" ht="13" x14ac:dyDescent="0.6">
      <c r="A667" s="28" t="str">
        <f t="shared" si="7"/>
        <v/>
      </c>
      <c r="B667" s="7"/>
      <c r="C667" s="7"/>
      <c r="D667" s="9"/>
      <c r="E667" s="9"/>
      <c r="F667" s="9"/>
      <c r="G667" s="9"/>
      <c r="H667" s="9"/>
      <c r="I667" s="9"/>
      <c r="J667" s="9"/>
      <c r="K667" s="9"/>
      <c r="L667" s="9"/>
      <c r="M667" s="9"/>
      <c r="N667" s="9"/>
      <c r="O667" s="9"/>
      <c r="P667" s="29"/>
      <c r="Q667" s="29"/>
      <c r="R667" s="7"/>
      <c r="S667" s="7"/>
      <c r="T667" s="7" t="str">
        <f ca="1">IFERROR(__xludf.DUMMYFUNCTION("SPARKLINE({
IF(D667="""",0,D667),
IF(F667="""",0,F667),
IF(H667="""",0,H667),
IF(J667="""",0,J667),
IF(L667="""",0,L667),
IF(N667="""",0,N667),
IF(P667="""",0,P667)
})"),"")</f>
        <v/>
      </c>
      <c r="U667" s="7" t="str">
        <f ca="1">IFERROR(__xludf.DUMMYFUNCTION("SPARKLINE({
IF(E667="""",0,E667),
IF(G667="""",0,G667),
IF(I667="""",0,I667),
IF(K667="""",0,K667),
IF(M667="""",0,M667),
IF(O667="""",0,O667),
IF(Q667="""",0,Q667)
})"),"")</f>
        <v/>
      </c>
      <c r="V667" s="8" t="e">
        <f t="array" aca="1" ref="V667" ca="1">IF($C$4="Giao",_xludf.Xlookup(C667,#REF!,#REF!,),_xludf.Xlookup(C667,#REF!,#REF!,))</f>
        <v>#NAME?</v>
      </c>
      <c r="W667" s="8">
        <f t="array" ref="W667">IF($C$4="Giao", _xludf.Xlookup(C667,#REF!,#REF!,),)</f>
        <v>0</v>
      </c>
      <c r="X667" s="9">
        <f t="shared" si="8"/>
        <v>0</v>
      </c>
      <c r="Y667" s="7"/>
      <c r="Z667" s="7"/>
    </row>
    <row r="668" spans="1:26" ht="13" x14ac:dyDescent="0.6">
      <c r="A668" s="28" t="str">
        <f t="shared" si="7"/>
        <v/>
      </c>
      <c r="B668" s="7"/>
      <c r="C668" s="7"/>
      <c r="D668" s="9"/>
      <c r="E668" s="9"/>
      <c r="F668" s="9"/>
      <c r="G668" s="9"/>
      <c r="H668" s="9"/>
      <c r="I668" s="9"/>
      <c r="J668" s="9"/>
      <c r="K668" s="9"/>
      <c r="L668" s="9"/>
      <c r="M668" s="9"/>
      <c r="N668" s="9"/>
      <c r="O668" s="9"/>
      <c r="P668" s="29"/>
      <c r="Q668" s="29"/>
      <c r="R668" s="7"/>
      <c r="S668" s="7"/>
      <c r="T668" s="7" t="str">
        <f ca="1">IFERROR(__xludf.DUMMYFUNCTION("SPARKLINE({
IF(D668="""",0,D668),
IF(F668="""",0,F668),
IF(H668="""",0,H668),
IF(J668="""",0,J668),
IF(L668="""",0,L668),
IF(N668="""",0,N668),
IF(P668="""",0,P668)
})"),"")</f>
        <v/>
      </c>
      <c r="U668" s="7" t="str">
        <f ca="1">IFERROR(__xludf.DUMMYFUNCTION("SPARKLINE({
IF(E668="""",0,E668),
IF(G668="""",0,G668),
IF(I668="""",0,I668),
IF(K668="""",0,K668),
IF(M668="""",0,M668),
IF(O668="""",0,O668),
IF(Q668="""",0,Q668)
})"),"")</f>
        <v/>
      </c>
      <c r="V668" s="8" t="e">
        <f t="array" aca="1" ref="V668" ca="1">IF($C$4="Giao",_xludf.Xlookup(C668,#REF!,#REF!,),_xludf.Xlookup(C668,#REF!,#REF!,))</f>
        <v>#NAME?</v>
      </c>
      <c r="W668" s="8">
        <f t="array" ref="W668">IF($C$4="Giao", _xludf.Xlookup(C668,#REF!,#REF!,),)</f>
        <v>0</v>
      </c>
      <c r="X668" s="9">
        <f t="shared" si="8"/>
        <v>0</v>
      </c>
      <c r="Y668" s="7"/>
      <c r="Z668" s="7"/>
    </row>
    <row r="669" spans="1:26" ht="13" x14ac:dyDescent="0.6">
      <c r="A669" s="28" t="str">
        <f t="shared" si="7"/>
        <v/>
      </c>
      <c r="B669" s="7"/>
      <c r="C669" s="7"/>
      <c r="D669" s="9"/>
      <c r="E669" s="9"/>
      <c r="F669" s="9"/>
      <c r="G669" s="9"/>
      <c r="H669" s="9"/>
      <c r="I669" s="9"/>
      <c r="J669" s="9"/>
      <c r="K669" s="9"/>
      <c r="L669" s="9"/>
      <c r="M669" s="9"/>
      <c r="N669" s="9"/>
      <c r="O669" s="9"/>
      <c r="P669" s="29"/>
      <c r="Q669" s="29"/>
      <c r="R669" s="7"/>
      <c r="S669" s="7"/>
      <c r="T669" s="7" t="str">
        <f ca="1">IFERROR(__xludf.DUMMYFUNCTION("SPARKLINE({
IF(D669="""",0,D669),
IF(F669="""",0,F669),
IF(H669="""",0,H669),
IF(J669="""",0,J669),
IF(L669="""",0,L669),
IF(N669="""",0,N669),
IF(P669="""",0,P669)
})"),"")</f>
        <v/>
      </c>
      <c r="U669" s="7" t="str">
        <f ca="1">IFERROR(__xludf.DUMMYFUNCTION("SPARKLINE({
IF(E669="""",0,E669),
IF(G669="""",0,G669),
IF(I669="""",0,I669),
IF(K669="""",0,K669),
IF(M669="""",0,M669),
IF(O669="""",0,O669),
IF(Q669="""",0,Q669)
})"),"")</f>
        <v/>
      </c>
      <c r="V669" s="8" t="e">
        <f t="array" aca="1" ref="V669" ca="1">IF($C$4="Giao",_xludf.Xlookup(C669,#REF!,#REF!,),_xludf.Xlookup(C669,#REF!,#REF!,))</f>
        <v>#NAME?</v>
      </c>
      <c r="W669" s="8">
        <f t="array" ref="W669">IF($C$4="Giao", _xludf.Xlookup(C669,#REF!,#REF!,),)</f>
        <v>0</v>
      </c>
      <c r="X669" s="9">
        <f t="shared" si="8"/>
        <v>0</v>
      </c>
      <c r="Y669" s="7"/>
      <c r="Z669" s="7"/>
    </row>
    <row r="670" spans="1:26" ht="13" x14ac:dyDescent="0.6">
      <c r="A670" s="28" t="str">
        <f t="shared" si="7"/>
        <v/>
      </c>
      <c r="B670" s="7"/>
      <c r="C670" s="7"/>
      <c r="D670" s="9"/>
      <c r="E670" s="9"/>
      <c r="F670" s="9"/>
      <c r="G670" s="9"/>
      <c r="H670" s="9"/>
      <c r="I670" s="9"/>
      <c r="J670" s="9"/>
      <c r="K670" s="9"/>
      <c r="L670" s="9"/>
      <c r="M670" s="9"/>
      <c r="N670" s="9"/>
      <c r="O670" s="9"/>
      <c r="P670" s="29"/>
      <c r="Q670" s="29"/>
      <c r="R670" s="7"/>
      <c r="S670" s="7"/>
      <c r="T670" s="7" t="str">
        <f ca="1">IFERROR(__xludf.DUMMYFUNCTION("SPARKLINE({
IF(D670="""",0,D670),
IF(F670="""",0,F670),
IF(H670="""",0,H670),
IF(J670="""",0,J670),
IF(L670="""",0,L670),
IF(N670="""",0,N670),
IF(P670="""",0,P670)
})"),"")</f>
        <v/>
      </c>
      <c r="U670" s="7" t="str">
        <f ca="1">IFERROR(__xludf.DUMMYFUNCTION("SPARKLINE({
IF(E670="""",0,E670),
IF(G670="""",0,G670),
IF(I670="""",0,I670),
IF(K670="""",0,K670),
IF(M670="""",0,M670),
IF(O670="""",0,O670),
IF(Q670="""",0,Q670)
})"),"")</f>
        <v/>
      </c>
      <c r="V670" s="8" t="e">
        <f t="array" aca="1" ref="V670" ca="1">IF($C$4="Giao",_xludf.Xlookup(C670,#REF!,#REF!,),_xludf.Xlookup(C670,#REF!,#REF!,))</f>
        <v>#NAME?</v>
      </c>
      <c r="W670" s="8">
        <f t="array" ref="W670">IF($C$4="Giao", _xludf.Xlookup(C670,#REF!,#REF!,),)</f>
        <v>0</v>
      </c>
      <c r="X670" s="9">
        <f t="shared" si="8"/>
        <v>0</v>
      </c>
      <c r="Y670" s="7"/>
      <c r="Z670" s="7"/>
    </row>
    <row r="671" spans="1:26" ht="13" x14ac:dyDescent="0.6">
      <c r="A671" s="28" t="str">
        <f t="shared" si="7"/>
        <v/>
      </c>
      <c r="B671" s="7"/>
      <c r="C671" s="7"/>
      <c r="D671" s="9"/>
      <c r="E671" s="9"/>
      <c r="F671" s="9"/>
      <c r="G671" s="9"/>
      <c r="H671" s="9"/>
      <c r="I671" s="9"/>
      <c r="J671" s="9"/>
      <c r="K671" s="9"/>
      <c r="L671" s="9"/>
      <c r="M671" s="9"/>
      <c r="N671" s="9"/>
      <c r="O671" s="9"/>
      <c r="P671" s="29"/>
      <c r="Q671" s="29"/>
      <c r="R671" s="7"/>
      <c r="S671" s="7"/>
      <c r="T671" s="7" t="str">
        <f ca="1">IFERROR(__xludf.DUMMYFUNCTION("SPARKLINE({
IF(D671="""",0,D671),
IF(F671="""",0,F671),
IF(H671="""",0,H671),
IF(J671="""",0,J671),
IF(L671="""",0,L671),
IF(N671="""",0,N671),
IF(P671="""",0,P671)
})"),"")</f>
        <v/>
      </c>
      <c r="U671" s="7" t="str">
        <f ca="1">IFERROR(__xludf.DUMMYFUNCTION("SPARKLINE({
IF(E671="""",0,E671),
IF(G671="""",0,G671),
IF(I671="""",0,I671),
IF(K671="""",0,K671),
IF(M671="""",0,M671),
IF(O671="""",0,O671),
IF(Q671="""",0,Q671)
})"),"")</f>
        <v/>
      </c>
      <c r="V671" s="8" t="e">
        <f t="array" aca="1" ref="V671" ca="1">IF($C$4="Giao",_xludf.Xlookup(C671,#REF!,#REF!,),_xludf.Xlookup(C671,#REF!,#REF!,))</f>
        <v>#NAME?</v>
      </c>
      <c r="W671" s="8">
        <f t="array" ref="W671">IF($C$4="Giao", _xludf.Xlookup(C671,#REF!,#REF!,),)</f>
        <v>0</v>
      </c>
      <c r="X671" s="9">
        <f t="shared" si="8"/>
        <v>0</v>
      </c>
      <c r="Y671" s="7"/>
      <c r="Z671" s="7"/>
    </row>
    <row r="672" spans="1:26" ht="13" x14ac:dyDescent="0.6">
      <c r="A672" s="28" t="str">
        <f t="shared" si="7"/>
        <v/>
      </c>
      <c r="B672" s="7"/>
      <c r="C672" s="7"/>
      <c r="D672" s="9"/>
      <c r="E672" s="9"/>
      <c r="F672" s="9"/>
      <c r="G672" s="9"/>
      <c r="H672" s="9"/>
      <c r="I672" s="9"/>
      <c r="J672" s="9"/>
      <c r="K672" s="9"/>
      <c r="L672" s="9"/>
      <c r="M672" s="9"/>
      <c r="N672" s="9"/>
      <c r="O672" s="9"/>
      <c r="P672" s="29"/>
      <c r="Q672" s="29"/>
      <c r="R672" s="7"/>
      <c r="S672" s="7"/>
      <c r="T672" s="7" t="str">
        <f ca="1">IFERROR(__xludf.DUMMYFUNCTION("SPARKLINE({
IF(D672="""",0,D672),
IF(F672="""",0,F672),
IF(H672="""",0,H672),
IF(J672="""",0,J672),
IF(L672="""",0,L672),
IF(N672="""",0,N672),
IF(P672="""",0,P672)
})"),"")</f>
        <v/>
      </c>
      <c r="U672" s="7" t="str">
        <f ca="1">IFERROR(__xludf.DUMMYFUNCTION("SPARKLINE({
IF(E672="""",0,E672),
IF(G672="""",0,G672),
IF(I672="""",0,I672),
IF(K672="""",0,K672),
IF(M672="""",0,M672),
IF(O672="""",0,O672),
IF(Q672="""",0,Q672)
})"),"")</f>
        <v/>
      </c>
      <c r="V672" s="8" t="e">
        <f t="array" aca="1" ref="V672" ca="1">IF($C$4="Giao",_xludf.Xlookup(C672,#REF!,#REF!,),_xludf.Xlookup(C672,#REF!,#REF!,))</f>
        <v>#NAME?</v>
      </c>
      <c r="W672" s="8">
        <f t="array" ref="W672">IF($C$4="Giao", _xludf.Xlookup(C672,#REF!,#REF!,),)</f>
        <v>0</v>
      </c>
      <c r="X672" s="9">
        <f t="shared" si="8"/>
        <v>0</v>
      </c>
      <c r="Y672" s="7"/>
      <c r="Z672" s="7"/>
    </row>
    <row r="673" spans="1:26" ht="13" x14ac:dyDescent="0.6">
      <c r="A673" s="28" t="str">
        <f t="shared" si="7"/>
        <v/>
      </c>
      <c r="B673" s="7"/>
      <c r="C673" s="7"/>
      <c r="D673" s="9"/>
      <c r="E673" s="9"/>
      <c r="F673" s="9"/>
      <c r="G673" s="9"/>
      <c r="H673" s="9"/>
      <c r="I673" s="9"/>
      <c r="J673" s="9"/>
      <c r="K673" s="9"/>
      <c r="L673" s="9"/>
      <c r="M673" s="9"/>
      <c r="N673" s="9"/>
      <c r="O673" s="9"/>
      <c r="P673" s="29"/>
      <c r="Q673" s="29"/>
      <c r="R673" s="7"/>
      <c r="S673" s="7"/>
      <c r="T673" s="7" t="str">
        <f ca="1">IFERROR(__xludf.DUMMYFUNCTION("SPARKLINE({
IF(D673="""",0,D673),
IF(F673="""",0,F673),
IF(H673="""",0,H673),
IF(J673="""",0,J673),
IF(L673="""",0,L673),
IF(N673="""",0,N673),
IF(P673="""",0,P673)
})"),"")</f>
        <v/>
      </c>
      <c r="U673" s="7" t="str">
        <f ca="1">IFERROR(__xludf.DUMMYFUNCTION("SPARKLINE({
IF(E673="""",0,E673),
IF(G673="""",0,G673),
IF(I673="""",0,I673),
IF(K673="""",0,K673),
IF(M673="""",0,M673),
IF(O673="""",0,O673),
IF(Q673="""",0,Q673)
})"),"")</f>
        <v/>
      </c>
      <c r="V673" s="8" t="e">
        <f t="array" aca="1" ref="V673" ca="1">IF($C$4="Giao",_xludf.Xlookup(C673,#REF!,#REF!,),_xludf.Xlookup(C673,#REF!,#REF!,))</f>
        <v>#NAME?</v>
      </c>
      <c r="W673" s="8">
        <f t="array" ref="W673">IF($C$4="Giao", _xludf.Xlookup(C673,#REF!,#REF!,),)</f>
        <v>0</v>
      </c>
      <c r="X673" s="9">
        <f t="shared" si="8"/>
        <v>0</v>
      </c>
      <c r="Y673" s="7"/>
      <c r="Z673" s="7"/>
    </row>
    <row r="674" spans="1:26" ht="13" x14ac:dyDescent="0.6">
      <c r="A674" s="28" t="str">
        <f t="shared" si="7"/>
        <v/>
      </c>
      <c r="B674" s="7"/>
      <c r="C674" s="7"/>
      <c r="D674" s="9"/>
      <c r="E674" s="9"/>
      <c r="F674" s="9"/>
      <c r="G674" s="9"/>
      <c r="H674" s="9"/>
      <c r="I674" s="9"/>
      <c r="J674" s="9"/>
      <c r="K674" s="9"/>
      <c r="L674" s="9"/>
      <c r="M674" s="9"/>
      <c r="N674" s="9"/>
      <c r="O674" s="9"/>
      <c r="P674" s="29"/>
      <c r="Q674" s="29"/>
      <c r="R674" s="7"/>
      <c r="S674" s="7"/>
      <c r="T674" s="7" t="str">
        <f ca="1">IFERROR(__xludf.DUMMYFUNCTION("SPARKLINE({
IF(D674="""",0,D674),
IF(F674="""",0,F674),
IF(H674="""",0,H674),
IF(J674="""",0,J674),
IF(L674="""",0,L674),
IF(N674="""",0,N674),
IF(P674="""",0,P674)
})"),"")</f>
        <v/>
      </c>
      <c r="U674" s="7" t="str">
        <f ca="1">IFERROR(__xludf.DUMMYFUNCTION("SPARKLINE({
IF(E674="""",0,E674),
IF(G674="""",0,G674),
IF(I674="""",0,I674),
IF(K674="""",0,K674),
IF(M674="""",0,M674),
IF(O674="""",0,O674),
IF(Q674="""",0,Q674)
})"),"")</f>
        <v/>
      </c>
      <c r="V674" s="8" t="e">
        <f t="array" aca="1" ref="V674" ca="1">IF($C$4="Giao",_xludf.Xlookup(C674,#REF!,#REF!,),_xludf.Xlookup(C674,#REF!,#REF!,))</f>
        <v>#NAME?</v>
      </c>
      <c r="W674" s="8">
        <f t="array" ref="W674">IF($C$4="Giao", _xludf.Xlookup(C674,#REF!,#REF!,),)</f>
        <v>0</v>
      </c>
      <c r="X674" s="9">
        <f t="shared" si="8"/>
        <v>0</v>
      </c>
      <c r="Y674" s="7"/>
      <c r="Z674" s="7"/>
    </row>
    <row r="675" spans="1:26" ht="13" x14ac:dyDescent="0.6">
      <c r="A675" s="28" t="str">
        <f t="shared" si="7"/>
        <v/>
      </c>
      <c r="B675" s="7"/>
      <c r="C675" s="7"/>
      <c r="D675" s="9"/>
      <c r="E675" s="9"/>
      <c r="F675" s="9"/>
      <c r="G675" s="9"/>
      <c r="H675" s="9"/>
      <c r="I675" s="9"/>
      <c r="J675" s="9"/>
      <c r="K675" s="9"/>
      <c r="L675" s="9"/>
      <c r="M675" s="9"/>
      <c r="N675" s="9"/>
      <c r="O675" s="9"/>
      <c r="P675" s="29"/>
      <c r="Q675" s="29"/>
      <c r="R675" s="7"/>
      <c r="S675" s="7"/>
      <c r="T675" s="7" t="str">
        <f ca="1">IFERROR(__xludf.DUMMYFUNCTION("SPARKLINE({
IF(D675="""",0,D675),
IF(F675="""",0,F675),
IF(H675="""",0,H675),
IF(J675="""",0,J675),
IF(L675="""",0,L675),
IF(N675="""",0,N675),
IF(P675="""",0,P675)
})"),"")</f>
        <v/>
      </c>
      <c r="U675" s="7" t="str">
        <f ca="1">IFERROR(__xludf.DUMMYFUNCTION("SPARKLINE({
IF(E675="""",0,E675),
IF(G675="""",0,G675),
IF(I675="""",0,I675),
IF(K675="""",0,K675),
IF(M675="""",0,M675),
IF(O675="""",0,O675),
IF(Q675="""",0,Q675)
})"),"")</f>
        <v/>
      </c>
      <c r="V675" s="8" t="e">
        <f t="array" aca="1" ref="V675" ca="1">IF($C$4="Giao",_xludf.Xlookup(C675,#REF!,#REF!,),_xludf.Xlookup(C675,#REF!,#REF!,))</f>
        <v>#NAME?</v>
      </c>
      <c r="W675" s="8">
        <f t="array" ref="W675">IF($C$4="Giao", _xludf.Xlookup(C675,#REF!,#REF!,),)</f>
        <v>0</v>
      </c>
      <c r="X675" s="9">
        <f t="shared" si="8"/>
        <v>0</v>
      </c>
      <c r="Y675" s="7"/>
      <c r="Z675" s="7"/>
    </row>
    <row r="676" spans="1:26" ht="13" x14ac:dyDescent="0.6">
      <c r="A676" s="28" t="str">
        <f t="shared" si="7"/>
        <v/>
      </c>
      <c r="B676" s="7"/>
      <c r="C676" s="7"/>
      <c r="D676" s="9"/>
      <c r="E676" s="9"/>
      <c r="F676" s="9"/>
      <c r="G676" s="9"/>
      <c r="H676" s="9"/>
      <c r="I676" s="9"/>
      <c r="J676" s="9"/>
      <c r="K676" s="9"/>
      <c r="L676" s="9"/>
      <c r="M676" s="9"/>
      <c r="N676" s="9"/>
      <c r="O676" s="9"/>
      <c r="P676" s="29"/>
      <c r="Q676" s="29"/>
      <c r="R676" s="7"/>
      <c r="S676" s="7"/>
      <c r="T676" s="7" t="str">
        <f ca="1">IFERROR(__xludf.DUMMYFUNCTION("SPARKLINE({
IF(D676="""",0,D676),
IF(F676="""",0,F676),
IF(H676="""",0,H676),
IF(J676="""",0,J676),
IF(L676="""",0,L676),
IF(N676="""",0,N676),
IF(P676="""",0,P676)
})"),"")</f>
        <v/>
      </c>
      <c r="U676" s="7" t="str">
        <f ca="1">IFERROR(__xludf.DUMMYFUNCTION("SPARKLINE({
IF(E676="""",0,E676),
IF(G676="""",0,G676),
IF(I676="""",0,I676),
IF(K676="""",0,K676),
IF(M676="""",0,M676),
IF(O676="""",0,O676),
IF(Q676="""",0,Q676)
})"),"")</f>
        <v/>
      </c>
      <c r="V676" s="8" t="e">
        <f t="array" aca="1" ref="V676" ca="1">IF($C$4="Giao",_xludf.Xlookup(C676,#REF!,#REF!,),_xludf.Xlookup(C676,#REF!,#REF!,))</f>
        <v>#NAME?</v>
      </c>
      <c r="W676" s="8">
        <f t="array" ref="W676">IF($C$4="Giao", _xludf.Xlookup(C676,#REF!,#REF!,),)</f>
        <v>0</v>
      </c>
      <c r="X676" s="9">
        <f t="shared" si="8"/>
        <v>0</v>
      </c>
      <c r="Y676" s="7"/>
      <c r="Z676" s="7"/>
    </row>
    <row r="677" spans="1:26" ht="13" x14ac:dyDescent="0.6">
      <c r="A677" s="28" t="str">
        <f t="shared" si="7"/>
        <v/>
      </c>
      <c r="B677" s="7"/>
      <c r="C677" s="7"/>
      <c r="D677" s="9"/>
      <c r="E677" s="9"/>
      <c r="F677" s="9"/>
      <c r="G677" s="9"/>
      <c r="H677" s="9"/>
      <c r="I677" s="9"/>
      <c r="J677" s="9"/>
      <c r="K677" s="9"/>
      <c r="L677" s="9"/>
      <c r="M677" s="9"/>
      <c r="N677" s="9"/>
      <c r="O677" s="9"/>
      <c r="P677" s="29"/>
      <c r="Q677" s="29"/>
      <c r="R677" s="7"/>
      <c r="S677" s="7"/>
      <c r="T677" s="7" t="str">
        <f ca="1">IFERROR(__xludf.DUMMYFUNCTION("SPARKLINE({
IF(D677="""",0,D677),
IF(F677="""",0,F677),
IF(H677="""",0,H677),
IF(J677="""",0,J677),
IF(L677="""",0,L677),
IF(N677="""",0,N677),
IF(P677="""",0,P677)
})"),"")</f>
        <v/>
      </c>
      <c r="U677" s="7" t="str">
        <f ca="1">IFERROR(__xludf.DUMMYFUNCTION("SPARKLINE({
IF(E677="""",0,E677),
IF(G677="""",0,G677),
IF(I677="""",0,I677),
IF(K677="""",0,K677),
IF(M677="""",0,M677),
IF(O677="""",0,O677),
IF(Q677="""",0,Q677)
})"),"")</f>
        <v/>
      </c>
      <c r="V677" s="8" t="e">
        <f t="array" aca="1" ref="V677" ca="1">IF($C$4="Giao",_xludf.Xlookup(C677,#REF!,#REF!,),_xludf.Xlookup(C677,#REF!,#REF!,))</f>
        <v>#NAME?</v>
      </c>
      <c r="W677" s="8">
        <f t="array" ref="W677">IF($C$4="Giao", _xludf.Xlookup(C677,#REF!,#REF!,),)</f>
        <v>0</v>
      </c>
      <c r="X677" s="9">
        <f t="shared" si="8"/>
        <v>0</v>
      </c>
      <c r="Y677" s="7"/>
      <c r="Z677" s="7"/>
    </row>
    <row r="678" spans="1:26" ht="13" x14ac:dyDescent="0.6">
      <c r="A678" s="28" t="str">
        <f t="shared" si="7"/>
        <v/>
      </c>
      <c r="B678" s="7"/>
      <c r="C678" s="7"/>
      <c r="D678" s="9"/>
      <c r="E678" s="9"/>
      <c r="F678" s="9"/>
      <c r="G678" s="9"/>
      <c r="H678" s="9"/>
      <c r="I678" s="9"/>
      <c r="J678" s="9"/>
      <c r="K678" s="9"/>
      <c r="L678" s="9"/>
      <c r="M678" s="9"/>
      <c r="N678" s="9"/>
      <c r="O678" s="9"/>
      <c r="P678" s="29"/>
      <c r="Q678" s="29"/>
      <c r="R678" s="7"/>
      <c r="S678" s="7"/>
      <c r="T678" s="7" t="str">
        <f ca="1">IFERROR(__xludf.DUMMYFUNCTION("SPARKLINE({
IF(D678="""",0,D678),
IF(F678="""",0,F678),
IF(H678="""",0,H678),
IF(J678="""",0,J678),
IF(L678="""",0,L678),
IF(N678="""",0,N678),
IF(P678="""",0,P678)
})"),"")</f>
        <v/>
      </c>
      <c r="U678" s="7" t="str">
        <f ca="1">IFERROR(__xludf.DUMMYFUNCTION("SPARKLINE({
IF(E678="""",0,E678),
IF(G678="""",0,G678),
IF(I678="""",0,I678),
IF(K678="""",0,K678),
IF(M678="""",0,M678),
IF(O678="""",0,O678),
IF(Q678="""",0,Q678)
})"),"")</f>
        <v/>
      </c>
      <c r="V678" s="8" t="e">
        <f t="array" aca="1" ref="V678" ca="1">IF($C$4="Giao",_xludf.Xlookup(C678,#REF!,#REF!,),_xludf.Xlookup(C678,#REF!,#REF!,))</f>
        <v>#NAME?</v>
      </c>
      <c r="W678" s="8">
        <f t="array" ref="W678">IF($C$4="Giao", _xludf.Xlookup(C678,#REF!,#REF!,),)</f>
        <v>0</v>
      </c>
      <c r="X678" s="9">
        <f t="shared" si="8"/>
        <v>0</v>
      </c>
      <c r="Y678" s="7"/>
      <c r="Z678" s="7"/>
    </row>
    <row r="679" spans="1:26" ht="13" x14ac:dyDescent="0.6">
      <c r="A679" s="28" t="str">
        <f t="shared" si="7"/>
        <v/>
      </c>
      <c r="B679" s="7"/>
      <c r="C679" s="7"/>
      <c r="D679" s="9"/>
      <c r="E679" s="9"/>
      <c r="F679" s="9"/>
      <c r="G679" s="9"/>
      <c r="H679" s="9"/>
      <c r="I679" s="9"/>
      <c r="J679" s="9"/>
      <c r="K679" s="9"/>
      <c r="L679" s="9"/>
      <c r="M679" s="9"/>
      <c r="N679" s="9"/>
      <c r="O679" s="9"/>
      <c r="P679" s="29"/>
      <c r="Q679" s="29"/>
      <c r="R679" s="7"/>
      <c r="S679" s="7"/>
      <c r="T679" s="7" t="str">
        <f ca="1">IFERROR(__xludf.DUMMYFUNCTION("SPARKLINE({
IF(D679="""",0,D679),
IF(F679="""",0,F679),
IF(H679="""",0,H679),
IF(J679="""",0,J679),
IF(L679="""",0,L679),
IF(N679="""",0,N679),
IF(P679="""",0,P679)
})"),"")</f>
        <v/>
      </c>
      <c r="U679" s="7" t="str">
        <f ca="1">IFERROR(__xludf.DUMMYFUNCTION("SPARKLINE({
IF(E679="""",0,E679),
IF(G679="""",0,G679),
IF(I679="""",0,I679),
IF(K679="""",0,K679),
IF(M679="""",0,M679),
IF(O679="""",0,O679),
IF(Q679="""",0,Q679)
})"),"")</f>
        <v/>
      </c>
      <c r="V679" s="8" t="e">
        <f t="array" aca="1" ref="V679" ca="1">IF($C$4="Giao",_xludf.Xlookup(C679,#REF!,#REF!,),_xludf.Xlookup(C679,#REF!,#REF!,))</f>
        <v>#NAME?</v>
      </c>
      <c r="W679" s="8">
        <f t="array" ref="W679">IF($C$4="Giao", _xludf.Xlookup(C679,#REF!,#REF!,),)</f>
        <v>0</v>
      </c>
      <c r="X679" s="9">
        <f t="shared" si="8"/>
        <v>0</v>
      </c>
      <c r="Y679" s="7"/>
      <c r="Z679" s="7"/>
    </row>
    <row r="680" spans="1:26" ht="13" x14ac:dyDescent="0.6">
      <c r="A680" s="28" t="str">
        <f t="shared" si="7"/>
        <v/>
      </c>
      <c r="B680" s="7"/>
      <c r="C680" s="7"/>
      <c r="D680" s="9"/>
      <c r="E680" s="9"/>
      <c r="F680" s="9"/>
      <c r="G680" s="9"/>
      <c r="H680" s="9"/>
      <c r="I680" s="9"/>
      <c r="J680" s="9"/>
      <c r="K680" s="9"/>
      <c r="L680" s="9"/>
      <c r="M680" s="9"/>
      <c r="N680" s="9"/>
      <c r="O680" s="9"/>
      <c r="P680" s="29"/>
      <c r="Q680" s="29"/>
      <c r="R680" s="7"/>
      <c r="S680" s="7"/>
      <c r="T680" s="7" t="str">
        <f ca="1">IFERROR(__xludf.DUMMYFUNCTION("SPARKLINE({
IF(D680="""",0,D680),
IF(F680="""",0,F680),
IF(H680="""",0,H680),
IF(J680="""",0,J680),
IF(L680="""",0,L680),
IF(N680="""",0,N680),
IF(P680="""",0,P680)
})"),"")</f>
        <v/>
      </c>
      <c r="U680" s="7" t="str">
        <f ca="1">IFERROR(__xludf.DUMMYFUNCTION("SPARKLINE({
IF(E680="""",0,E680),
IF(G680="""",0,G680),
IF(I680="""",0,I680),
IF(K680="""",0,K680),
IF(M680="""",0,M680),
IF(O680="""",0,O680),
IF(Q680="""",0,Q680)
})"),"")</f>
        <v/>
      </c>
      <c r="V680" s="8" t="e">
        <f t="array" aca="1" ref="V680" ca="1">IF($C$4="Giao",_xludf.Xlookup(C680,#REF!,#REF!,),_xludf.Xlookup(C680,#REF!,#REF!,))</f>
        <v>#NAME?</v>
      </c>
      <c r="W680" s="8">
        <f t="array" ref="W680">IF($C$4="Giao", _xludf.Xlookup(C680,#REF!,#REF!,),)</f>
        <v>0</v>
      </c>
      <c r="X680" s="9">
        <f t="shared" si="8"/>
        <v>0</v>
      </c>
      <c r="Y680" s="7"/>
      <c r="Z680" s="7"/>
    </row>
    <row r="681" spans="1:26" ht="13" x14ac:dyDescent="0.6">
      <c r="A681" s="28" t="str">
        <f t="shared" si="7"/>
        <v/>
      </c>
      <c r="B681" s="7"/>
      <c r="C681" s="7"/>
      <c r="D681" s="9"/>
      <c r="E681" s="9"/>
      <c r="F681" s="9"/>
      <c r="G681" s="9"/>
      <c r="H681" s="9"/>
      <c r="I681" s="9"/>
      <c r="J681" s="9"/>
      <c r="K681" s="9"/>
      <c r="L681" s="9"/>
      <c r="M681" s="9"/>
      <c r="N681" s="9"/>
      <c r="O681" s="9"/>
      <c r="P681" s="29"/>
      <c r="Q681" s="29"/>
      <c r="R681" s="7"/>
      <c r="S681" s="7"/>
      <c r="T681" s="7" t="str">
        <f ca="1">IFERROR(__xludf.DUMMYFUNCTION("SPARKLINE({
IF(D681="""",0,D681),
IF(F681="""",0,F681),
IF(H681="""",0,H681),
IF(J681="""",0,J681),
IF(L681="""",0,L681),
IF(N681="""",0,N681),
IF(P681="""",0,P681)
})"),"")</f>
        <v/>
      </c>
      <c r="U681" s="7" t="str">
        <f ca="1">IFERROR(__xludf.DUMMYFUNCTION("SPARKLINE({
IF(E681="""",0,E681),
IF(G681="""",0,G681),
IF(I681="""",0,I681),
IF(K681="""",0,K681),
IF(M681="""",0,M681),
IF(O681="""",0,O681),
IF(Q681="""",0,Q681)
})"),"")</f>
        <v/>
      </c>
      <c r="V681" s="8" t="e">
        <f t="array" aca="1" ref="V681" ca="1">IF($C$4="Giao",_xludf.Xlookup(C681,#REF!,#REF!,),_xludf.Xlookup(C681,#REF!,#REF!,))</f>
        <v>#NAME?</v>
      </c>
      <c r="W681" s="8">
        <f t="array" ref="W681">IF($C$4="Giao", _xludf.Xlookup(C681,#REF!,#REF!,),)</f>
        <v>0</v>
      </c>
      <c r="X681" s="9">
        <f t="shared" si="8"/>
        <v>0</v>
      </c>
      <c r="Y681" s="7"/>
      <c r="Z681" s="7"/>
    </row>
    <row r="682" spans="1:26" ht="13" x14ac:dyDescent="0.6">
      <c r="A682" s="28" t="str">
        <f t="shared" si="7"/>
        <v/>
      </c>
      <c r="B682" s="7"/>
      <c r="C682" s="7"/>
      <c r="D682" s="9"/>
      <c r="E682" s="9"/>
      <c r="F682" s="9"/>
      <c r="G682" s="9"/>
      <c r="H682" s="9"/>
      <c r="I682" s="9"/>
      <c r="J682" s="9"/>
      <c r="K682" s="9"/>
      <c r="L682" s="9"/>
      <c r="M682" s="9"/>
      <c r="N682" s="9"/>
      <c r="O682" s="9"/>
      <c r="P682" s="29"/>
      <c r="Q682" s="29"/>
      <c r="R682" s="7"/>
      <c r="S682" s="7"/>
      <c r="T682" s="7" t="str">
        <f ca="1">IFERROR(__xludf.DUMMYFUNCTION("SPARKLINE({
IF(D682="""",0,D682),
IF(F682="""",0,F682),
IF(H682="""",0,H682),
IF(J682="""",0,J682),
IF(L682="""",0,L682),
IF(N682="""",0,N682),
IF(P682="""",0,P682)
})"),"")</f>
        <v/>
      </c>
      <c r="U682" s="7" t="str">
        <f ca="1">IFERROR(__xludf.DUMMYFUNCTION("SPARKLINE({
IF(E682="""",0,E682),
IF(G682="""",0,G682),
IF(I682="""",0,I682),
IF(K682="""",0,K682),
IF(M682="""",0,M682),
IF(O682="""",0,O682),
IF(Q682="""",0,Q682)
})"),"")</f>
        <v/>
      </c>
      <c r="V682" s="8" t="e">
        <f t="array" aca="1" ref="V682" ca="1">IF($C$4="Giao",_xludf.Xlookup(C682,#REF!,#REF!,),_xludf.Xlookup(C682,#REF!,#REF!,))</f>
        <v>#NAME?</v>
      </c>
      <c r="W682" s="8">
        <f t="array" ref="W682">IF($C$4="Giao", _xludf.Xlookup(C682,#REF!,#REF!,),)</f>
        <v>0</v>
      </c>
      <c r="X682" s="9">
        <f t="shared" si="8"/>
        <v>0</v>
      </c>
      <c r="Y682" s="7"/>
      <c r="Z682" s="7"/>
    </row>
    <row r="683" spans="1:26" ht="13" x14ac:dyDescent="0.6">
      <c r="A683" s="28" t="str">
        <f t="shared" si="7"/>
        <v/>
      </c>
      <c r="B683" s="7"/>
      <c r="C683" s="7"/>
      <c r="D683" s="9"/>
      <c r="E683" s="9"/>
      <c r="F683" s="9"/>
      <c r="G683" s="9"/>
      <c r="H683" s="9"/>
      <c r="I683" s="9"/>
      <c r="J683" s="9"/>
      <c r="K683" s="9"/>
      <c r="L683" s="9"/>
      <c r="M683" s="9"/>
      <c r="N683" s="9"/>
      <c r="O683" s="9"/>
      <c r="P683" s="29"/>
      <c r="Q683" s="29"/>
      <c r="R683" s="7"/>
      <c r="S683" s="7"/>
      <c r="T683" s="7" t="str">
        <f ca="1">IFERROR(__xludf.DUMMYFUNCTION("SPARKLINE({
IF(D683="""",0,D683),
IF(F683="""",0,F683),
IF(H683="""",0,H683),
IF(J683="""",0,J683),
IF(L683="""",0,L683),
IF(N683="""",0,N683),
IF(P683="""",0,P683)
})"),"")</f>
        <v/>
      </c>
      <c r="U683" s="7" t="str">
        <f ca="1">IFERROR(__xludf.DUMMYFUNCTION("SPARKLINE({
IF(E683="""",0,E683),
IF(G683="""",0,G683),
IF(I683="""",0,I683),
IF(K683="""",0,K683),
IF(M683="""",0,M683),
IF(O683="""",0,O683),
IF(Q683="""",0,Q683)
})"),"")</f>
        <v/>
      </c>
      <c r="V683" s="8" t="e">
        <f t="array" aca="1" ref="V683" ca="1">IF($C$4="Giao",_xludf.Xlookup(C683,#REF!,#REF!,),_xludf.Xlookup(C683,#REF!,#REF!,))</f>
        <v>#NAME?</v>
      </c>
      <c r="W683" s="8">
        <f t="array" ref="W683">IF($C$4="Giao", _xludf.Xlookup(C683,#REF!,#REF!,),)</f>
        <v>0</v>
      </c>
      <c r="X683" s="9">
        <f t="shared" si="8"/>
        <v>0</v>
      </c>
      <c r="Y683" s="7"/>
      <c r="Z683" s="7"/>
    </row>
    <row r="684" spans="1:26" ht="13" x14ac:dyDescent="0.6">
      <c r="A684" s="28" t="str">
        <f t="shared" si="7"/>
        <v/>
      </c>
      <c r="B684" s="7"/>
      <c r="C684" s="7"/>
      <c r="D684" s="9"/>
      <c r="E684" s="9"/>
      <c r="F684" s="9"/>
      <c r="G684" s="9"/>
      <c r="H684" s="9"/>
      <c r="I684" s="9"/>
      <c r="J684" s="9"/>
      <c r="K684" s="9"/>
      <c r="L684" s="9"/>
      <c r="M684" s="9"/>
      <c r="N684" s="9"/>
      <c r="O684" s="9"/>
      <c r="P684" s="29"/>
      <c r="Q684" s="29"/>
      <c r="R684" s="7"/>
      <c r="S684" s="7"/>
      <c r="T684" s="7" t="str">
        <f ca="1">IFERROR(__xludf.DUMMYFUNCTION("SPARKLINE({
IF(D684="""",0,D684),
IF(F684="""",0,F684),
IF(H684="""",0,H684),
IF(J684="""",0,J684),
IF(L684="""",0,L684),
IF(N684="""",0,N684),
IF(P684="""",0,P684)
})"),"")</f>
        <v/>
      </c>
      <c r="U684" s="7" t="str">
        <f ca="1">IFERROR(__xludf.DUMMYFUNCTION("SPARKLINE({
IF(E684="""",0,E684),
IF(G684="""",0,G684),
IF(I684="""",0,I684),
IF(K684="""",0,K684),
IF(M684="""",0,M684),
IF(O684="""",0,O684),
IF(Q684="""",0,Q684)
})"),"")</f>
        <v/>
      </c>
      <c r="V684" s="8" t="e">
        <f t="array" aca="1" ref="V684" ca="1">IF($C$4="Giao",_xludf.Xlookup(C684,#REF!,#REF!,),_xludf.Xlookup(C684,#REF!,#REF!,))</f>
        <v>#NAME?</v>
      </c>
      <c r="W684" s="8">
        <f t="array" ref="W684">IF($C$4="Giao", _xludf.Xlookup(C684,#REF!,#REF!,),)</f>
        <v>0</v>
      </c>
      <c r="X684" s="9">
        <f t="shared" si="8"/>
        <v>0</v>
      </c>
      <c r="Y684" s="7"/>
      <c r="Z684" s="7"/>
    </row>
    <row r="685" spans="1:26" ht="13" x14ac:dyDescent="0.6">
      <c r="A685" s="28" t="str">
        <f t="shared" si="7"/>
        <v/>
      </c>
      <c r="B685" s="7"/>
      <c r="C685" s="7"/>
      <c r="D685" s="9"/>
      <c r="E685" s="9"/>
      <c r="F685" s="9"/>
      <c r="G685" s="9"/>
      <c r="H685" s="9"/>
      <c r="I685" s="9"/>
      <c r="J685" s="9"/>
      <c r="K685" s="9"/>
      <c r="L685" s="9"/>
      <c r="M685" s="9"/>
      <c r="N685" s="9"/>
      <c r="O685" s="9"/>
      <c r="P685" s="29"/>
      <c r="Q685" s="29"/>
      <c r="R685" s="7"/>
      <c r="S685" s="7"/>
      <c r="T685" s="7" t="str">
        <f ca="1">IFERROR(__xludf.DUMMYFUNCTION("SPARKLINE({
IF(D685="""",0,D685),
IF(F685="""",0,F685),
IF(H685="""",0,H685),
IF(J685="""",0,J685),
IF(L685="""",0,L685),
IF(N685="""",0,N685),
IF(P685="""",0,P685)
})"),"")</f>
        <v/>
      </c>
      <c r="U685" s="7" t="str">
        <f ca="1">IFERROR(__xludf.DUMMYFUNCTION("SPARKLINE({
IF(E685="""",0,E685),
IF(G685="""",0,G685),
IF(I685="""",0,I685),
IF(K685="""",0,K685),
IF(M685="""",0,M685),
IF(O685="""",0,O685),
IF(Q685="""",0,Q685)
})"),"")</f>
        <v/>
      </c>
      <c r="V685" s="8" t="e">
        <f t="array" aca="1" ref="V685" ca="1">IF($C$4="Giao",_xludf.Xlookup(C685,#REF!,#REF!,),_xludf.Xlookup(C685,#REF!,#REF!,))</f>
        <v>#NAME?</v>
      </c>
      <c r="W685" s="8">
        <f t="array" ref="W685">IF($C$4="Giao", _xludf.Xlookup(C685,#REF!,#REF!,),)</f>
        <v>0</v>
      </c>
      <c r="X685" s="9">
        <f t="shared" si="8"/>
        <v>0</v>
      </c>
      <c r="Y685" s="7"/>
      <c r="Z685" s="7"/>
    </row>
    <row r="686" spans="1:26" ht="13" x14ac:dyDescent="0.6">
      <c r="A686" s="28" t="str">
        <f t="shared" si="7"/>
        <v/>
      </c>
      <c r="B686" s="7"/>
      <c r="C686" s="7"/>
      <c r="D686" s="9"/>
      <c r="E686" s="9"/>
      <c r="F686" s="9"/>
      <c r="G686" s="9"/>
      <c r="H686" s="9"/>
      <c r="I686" s="9"/>
      <c r="J686" s="9"/>
      <c r="K686" s="9"/>
      <c r="L686" s="9"/>
      <c r="M686" s="9"/>
      <c r="N686" s="9"/>
      <c r="O686" s="9"/>
      <c r="P686" s="29"/>
      <c r="Q686" s="29"/>
      <c r="R686" s="7"/>
      <c r="S686" s="7"/>
      <c r="T686" s="7" t="str">
        <f ca="1">IFERROR(__xludf.DUMMYFUNCTION("SPARKLINE({
IF(D686="""",0,D686),
IF(F686="""",0,F686),
IF(H686="""",0,H686),
IF(J686="""",0,J686),
IF(L686="""",0,L686),
IF(N686="""",0,N686),
IF(P686="""",0,P686)
})"),"")</f>
        <v/>
      </c>
      <c r="U686" s="7" t="str">
        <f ca="1">IFERROR(__xludf.DUMMYFUNCTION("SPARKLINE({
IF(E686="""",0,E686),
IF(G686="""",0,G686),
IF(I686="""",0,I686),
IF(K686="""",0,K686),
IF(M686="""",0,M686),
IF(O686="""",0,O686),
IF(Q686="""",0,Q686)
})"),"")</f>
        <v/>
      </c>
      <c r="V686" s="8" t="e">
        <f t="array" aca="1" ref="V686" ca="1">IF($C$4="Giao",_xludf.Xlookup(C686,#REF!,#REF!,),_xludf.Xlookup(C686,#REF!,#REF!,))</f>
        <v>#NAME?</v>
      </c>
      <c r="W686" s="8">
        <f t="array" ref="W686">IF($C$4="Giao", _xludf.Xlookup(C686,#REF!,#REF!,),)</f>
        <v>0</v>
      </c>
      <c r="X686" s="9">
        <f t="shared" si="8"/>
        <v>0</v>
      </c>
      <c r="Y686" s="7"/>
      <c r="Z686" s="7"/>
    </row>
    <row r="687" spans="1:26" ht="13" x14ac:dyDescent="0.6">
      <c r="A687" s="28" t="str">
        <f t="shared" si="7"/>
        <v/>
      </c>
      <c r="B687" s="7"/>
      <c r="C687" s="7"/>
      <c r="D687" s="9"/>
      <c r="E687" s="9"/>
      <c r="F687" s="9"/>
      <c r="G687" s="9"/>
      <c r="H687" s="9"/>
      <c r="I687" s="9"/>
      <c r="J687" s="9"/>
      <c r="K687" s="9"/>
      <c r="L687" s="9"/>
      <c r="M687" s="9"/>
      <c r="N687" s="9"/>
      <c r="O687" s="9"/>
      <c r="P687" s="29"/>
      <c r="Q687" s="29"/>
      <c r="R687" s="7"/>
      <c r="S687" s="7"/>
      <c r="T687" s="7" t="str">
        <f ca="1">IFERROR(__xludf.DUMMYFUNCTION("SPARKLINE({
IF(D687="""",0,D687),
IF(F687="""",0,F687),
IF(H687="""",0,H687),
IF(J687="""",0,J687),
IF(L687="""",0,L687),
IF(N687="""",0,N687),
IF(P687="""",0,P687)
})"),"")</f>
        <v/>
      </c>
      <c r="U687" s="7" t="str">
        <f ca="1">IFERROR(__xludf.DUMMYFUNCTION("SPARKLINE({
IF(E687="""",0,E687),
IF(G687="""",0,G687),
IF(I687="""",0,I687),
IF(K687="""",0,K687),
IF(M687="""",0,M687),
IF(O687="""",0,O687),
IF(Q687="""",0,Q687)
})"),"")</f>
        <v/>
      </c>
      <c r="V687" s="8" t="e">
        <f t="array" aca="1" ref="V687" ca="1">IF($C$4="Giao",_xludf.Xlookup(C687,#REF!,#REF!,),_xludf.Xlookup(C687,#REF!,#REF!,))</f>
        <v>#NAME?</v>
      </c>
      <c r="W687" s="8">
        <f t="array" ref="W687">IF($C$4="Giao", _xludf.Xlookup(C687,#REF!,#REF!,),)</f>
        <v>0</v>
      </c>
      <c r="X687" s="9">
        <f t="shared" si="8"/>
        <v>0</v>
      </c>
      <c r="Y687" s="7"/>
      <c r="Z687" s="7"/>
    </row>
    <row r="688" spans="1:26" ht="13" x14ac:dyDescent="0.6">
      <c r="A688" s="28" t="str">
        <f t="shared" si="7"/>
        <v/>
      </c>
      <c r="B688" s="7"/>
      <c r="C688" s="7"/>
      <c r="D688" s="9"/>
      <c r="E688" s="9"/>
      <c r="F688" s="9"/>
      <c r="G688" s="9"/>
      <c r="H688" s="9"/>
      <c r="I688" s="9"/>
      <c r="J688" s="9"/>
      <c r="K688" s="9"/>
      <c r="L688" s="9"/>
      <c r="M688" s="9"/>
      <c r="N688" s="9"/>
      <c r="O688" s="9"/>
      <c r="P688" s="29"/>
      <c r="Q688" s="29"/>
      <c r="R688" s="7"/>
      <c r="S688" s="7"/>
      <c r="T688" s="7" t="str">
        <f ca="1">IFERROR(__xludf.DUMMYFUNCTION("SPARKLINE({
IF(D688="""",0,D688),
IF(F688="""",0,F688),
IF(H688="""",0,H688),
IF(J688="""",0,J688),
IF(L688="""",0,L688),
IF(N688="""",0,N688),
IF(P688="""",0,P688)
})"),"")</f>
        <v/>
      </c>
      <c r="U688" s="7" t="str">
        <f ca="1">IFERROR(__xludf.DUMMYFUNCTION("SPARKLINE({
IF(E688="""",0,E688),
IF(G688="""",0,G688),
IF(I688="""",0,I688),
IF(K688="""",0,K688),
IF(M688="""",0,M688),
IF(O688="""",0,O688),
IF(Q688="""",0,Q688)
})"),"")</f>
        <v/>
      </c>
      <c r="V688" s="8" t="e">
        <f t="array" aca="1" ref="V688" ca="1">IF($C$4="Giao",_xludf.Xlookup(C688,#REF!,#REF!,),_xludf.Xlookup(C688,#REF!,#REF!,))</f>
        <v>#NAME?</v>
      </c>
      <c r="W688" s="8">
        <f t="array" ref="W688">IF($C$4="Giao", _xludf.Xlookup(C688,#REF!,#REF!,),)</f>
        <v>0</v>
      </c>
      <c r="X688" s="9">
        <f t="shared" si="8"/>
        <v>0</v>
      </c>
      <c r="Y688" s="7"/>
      <c r="Z688" s="7"/>
    </row>
    <row r="689" spans="1:26" ht="13" x14ac:dyDescent="0.6">
      <c r="A689" s="28" t="str">
        <f t="shared" si="7"/>
        <v/>
      </c>
      <c r="B689" s="7"/>
      <c r="C689" s="7"/>
      <c r="D689" s="9"/>
      <c r="E689" s="9"/>
      <c r="F689" s="9"/>
      <c r="G689" s="9"/>
      <c r="H689" s="9"/>
      <c r="I689" s="9"/>
      <c r="J689" s="9"/>
      <c r="K689" s="9"/>
      <c r="L689" s="9"/>
      <c r="M689" s="9"/>
      <c r="N689" s="9"/>
      <c r="O689" s="9"/>
      <c r="P689" s="29"/>
      <c r="Q689" s="29"/>
      <c r="R689" s="7"/>
      <c r="S689" s="7"/>
      <c r="T689" s="7" t="str">
        <f ca="1">IFERROR(__xludf.DUMMYFUNCTION("SPARKLINE({
IF(D689="""",0,D689),
IF(F689="""",0,F689),
IF(H689="""",0,H689),
IF(J689="""",0,J689),
IF(L689="""",0,L689),
IF(N689="""",0,N689),
IF(P689="""",0,P689)
})"),"")</f>
        <v/>
      </c>
      <c r="U689" s="7" t="str">
        <f ca="1">IFERROR(__xludf.DUMMYFUNCTION("SPARKLINE({
IF(E689="""",0,E689),
IF(G689="""",0,G689),
IF(I689="""",0,I689),
IF(K689="""",0,K689),
IF(M689="""",0,M689),
IF(O689="""",0,O689),
IF(Q689="""",0,Q689)
})"),"")</f>
        <v/>
      </c>
      <c r="V689" s="8" t="e">
        <f t="array" aca="1" ref="V689" ca="1">IF($C$4="Giao",_xludf.Xlookup(C689,#REF!,#REF!,),_xludf.Xlookup(C689,#REF!,#REF!,))</f>
        <v>#NAME?</v>
      </c>
      <c r="W689" s="8">
        <f t="array" ref="W689">IF($C$4="Giao", _xludf.Xlookup(C689,#REF!,#REF!,),)</f>
        <v>0</v>
      </c>
      <c r="X689" s="9">
        <f t="shared" si="8"/>
        <v>0</v>
      </c>
      <c r="Y689" s="7"/>
      <c r="Z689" s="7"/>
    </row>
    <row r="690" spans="1:26" ht="13" x14ac:dyDescent="0.6">
      <c r="A690" s="28" t="str">
        <f t="shared" si="7"/>
        <v/>
      </c>
      <c r="B690" s="7"/>
      <c r="C690" s="7"/>
      <c r="D690" s="9"/>
      <c r="E690" s="9"/>
      <c r="F690" s="9"/>
      <c r="G690" s="9"/>
      <c r="H690" s="9"/>
      <c r="I690" s="9"/>
      <c r="J690" s="9"/>
      <c r="K690" s="9"/>
      <c r="L690" s="9"/>
      <c r="M690" s="9"/>
      <c r="N690" s="9"/>
      <c r="O690" s="9"/>
      <c r="P690" s="29"/>
      <c r="Q690" s="29"/>
      <c r="R690" s="7"/>
      <c r="S690" s="7"/>
      <c r="T690" s="7" t="str">
        <f ca="1">IFERROR(__xludf.DUMMYFUNCTION("SPARKLINE({
IF(D690="""",0,D690),
IF(F690="""",0,F690),
IF(H690="""",0,H690),
IF(J690="""",0,J690),
IF(L690="""",0,L690),
IF(N690="""",0,N690),
IF(P690="""",0,P690)
})"),"")</f>
        <v/>
      </c>
      <c r="U690" s="7" t="str">
        <f ca="1">IFERROR(__xludf.DUMMYFUNCTION("SPARKLINE({
IF(E690="""",0,E690),
IF(G690="""",0,G690),
IF(I690="""",0,I690),
IF(K690="""",0,K690),
IF(M690="""",0,M690),
IF(O690="""",0,O690),
IF(Q690="""",0,Q690)
})"),"")</f>
        <v/>
      </c>
      <c r="V690" s="8" t="e">
        <f t="array" aca="1" ref="V690" ca="1">IF($C$4="Giao",_xludf.Xlookup(C690,#REF!,#REF!,),_xludf.Xlookup(C690,#REF!,#REF!,))</f>
        <v>#NAME?</v>
      </c>
      <c r="W690" s="8">
        <f t="array" ref="W690">IF($C$4="Giao", _xludf.Xlookup(C690,#REF!,#REF!,),)</f>
        <v>0</v>
      </c>
      <c r="X690" s="9">
        <f t="shared" si="8"/>
        <v>0</v>
      </c>
      <c r="Y690" s="7"/>
      <c r="Z690" s="7"/>
    </row>
    <row r="691" spans="1:26" ht="13" x14ac:dyDescent="0.6">
      <c r="A691" s="28" t="str">
        <f t="shared" si="7"/>
        <v/>
      </c>
      <c r="B691" s="7"/>
      <c r="C691" s="7"/>
      <c r="D691" s="9"/>
      <c r="E691" s="9"/>
      <c r="F691" s="9"/>
      <c r="G691" s="9"/>
      <c r="H691" s="9"/>
      <c r="I691" s="9"/>
      <c r="J691" s="9"/>
      <c r="K691" s="9"/>
      <c r="L691" s="9"/>
      <c r="M691" s="9"/>
      <c r="N691" s="9"/>
      <c r="O691" s="9"/>
      <c r="P691" s="29"/>
      <c r="Q691" s="29"/>
      <c r="R691" s="7"/>
      <c r="S691" s="7"/>
      <c r="T691" s="7" t="str">
        <f ca="1">IFERROR(__xludf.DUMMYFUNCTION("SPARKLINE({
IF(D691="""",0,D691),
IF(F691="""",0,F691),
IF(H691="""",0,H691),
IF(J691="""",0,J691),
IF(L691="""",0,L691),
IF(N691="""",0,N691),
IF(P691="""",0,P691)
})"),"")</f>
        <v/>
      </c>
      <c r="U691" s="7" t="str">
        <f ca="1">IFERROR(__xludf.DUMMYFUNCTION("SPARKLINE({
IF(E691="""",0,E691),
IF(G691="""",0,G691),
IF(I691="""",0,I691),
IF(K691="""",0,K691),
IF(M691="""",0,M691),
IF(O691="""",0,O691),
IF(Q691="""",0,Q691)
})"),"")</f>
        <v/>
      </c>
      <c r="V691" s="8" t="e">
        <f t="array" aca="1" ref="V691" ca="1">IF($C$4="Giao",_xludf.Xlookup(C691,#REF!,#REF!,),_xludf.Xlookup(C691,#REF!,#REF!,))</f>
        <v>#NAME?</v>
      </c>
      <c r="W691" s="8">
        <f t="array" ref="W691">IF($C$4="Giao", _xludf.Xlookup(C691,#REF!,#REF!,),)</f>
        <v>0</v>
      </c>
      <c r="X691" s="9">
        <f t="shared" si="8"/>
        <v>0</v>
      </c>
      <c r="Y691" s="7"/>
      <c r="Z691" s="7"/>
    </row>
    <row r="692" spans="1:26" ht="13" x14ac:dyDescent="0.6">
      <c r="A692" s="28" t="str">
        <f t="shared" si="7"/>
        <v/>
      </c>
      <c r="B692" s="7"/>
      <c r="C692" s="7"/>
      <c r="D692" s="9"/>
      <c r="E692" s="9"/>
      <c r="F692" s="9"/>
      <c r="G692" s="9"/>
      <c r="H692" s="9"/>
      <c r="I692" s="9"/>
      <c r="J692" s="9"/>
      <c r="K692" s="9"/>
      <c r="L692" s="9"/>
      <c r="M692" s="9"/>
      <c r="N692" s="9"/>
      <c r="O692" s="9"/>
      <c r="P692" s="29"/>
      <c r="Q692" s="29"/>
      <c r="R692" s="7"/>
      <c r="S692" s="7"/>
      <c r="T692" s="7" t="str">
        <f ca="1">IFERROR(__xludf.DUMMYFUNCTION("SPARKLINE({
IF(D692="""",0,D692),
IF(F692="""",0,F692),
IF(H692="""",0,H692),
IF(J692="""",0,J692),
IF(L692="""",0,L692),
IF(N692="""",0,N692),
IF(P692="""",0,P692)
})"),"")</f>
        <v/>
      </c>
      <c r="U692" s="7" t="str">
        <f ca="1">IFERROR(__xludf.DUMMYFUNCTION("SPARKLINE({
IF(E692="""",0,E692),
IF(G692="""",0,G692),
IF(I692="""",0,I692),
IF(K692="""",0,K692),
IF(M692="""",0,M692),
IF(O692="""",0,O692),
IF(Q692="""",0,Q692)
})"),"")</f>
        <v/>
      </c>
      <c r="V692" s="8" t="e">
        <f t="array" aca="1" ref="V692" ca="1">IF($C$4="Giao",_xludf.Xlookup(C692,#REF!,#REF!,),_xludf.Xlookup(C692,#REF!,#REF!,))</f>
        <v>#NAME?</v>
      </c>
      <c r="W692" s="8">
        <f t="array" ref="W692">IF($C$4="Giao", _xludf.Xlookup(C692,#REF!,#REF!,),)</f>
        <v>0</v>
      </c>
      <c r="X692" s="9">
        <f t="shared" si="8"/>
        <v>0</v>
      </c>
      <c r="Y692" s="7"/>
      <c r="Z692" s="7"/>
    </row>
    <row r="693" spans="1:26" ht="13" x14ac:dyDescent="0.6">
      <c r="A693" s="28" t="str">
        <f t="shared" si="7"/>
        <v/>
      </c>
      <c r="B693" s="7"/>
      <c r="C693" s="7"/>
      <c r="D693" s="9"/>
      <c r="E693" s="9"/>
      <c r="F693" s="9"/>
      <c r="G693" s="9"/>
      <c r="H693" s="9"/>
      <c r="I693" s="9"/>
      <c r="J693" s="9"/>
      <c r="K693" s="9"/>
      <c r="L693" s="9"/>
      <c r="M693" s="9"/>
      <c r="N693" s="9"/>
      <c r="O693" s="9"/>
      <c r="P693" s="29"/>
      <c r="Q693" s="29"/>
      <c r="R693" s="7"/>
      <c r="S693" s="7"/>
      <c r="T693" s="7" t="str">
        <f ca="1">IFERROR(__xludf.DUMMYFUNCTION("SPARKLINE({
IF(D693="""",0,D693),
IF(F693="""",0,F693),
IF(H693="""",0,H693),
IF(J693="""",0,J693),
IF(L693="""",0,L693),
IF(N693="""",0,N693),
IF(P693="""",0,P693)
})"),"")</f>
        <v/>
      </c>
      <c r="U693" s="7" t="str">
        <f ca="1">IFERROR(__xludf.DUMMYFUNCTION("SPARKLINE({
IF(E693="""",0,E693),
IF(G693="""",0,G693),
IF(I693="""",0,I693),
IF(K693="""",0,K693),
IF(M693="""",0,M693),
IF(O693="""",0,O693),
IF(Q693="""",0,Q693)
})"),"")</f>
        <v/>
      </c>
      <c r="V693" s="8" t="e">
        <f t="array" aca="1" ref="V693" ca="1">IF($C$4="Giao",_xludf.Xlookup(C693,#REF!,#REF!,),_xludf.Xlookup(C693,#REF!,#REF!,))</f>
        <v>#NAME?</v>
      </c>
      <c r="W693" s="8">
        <f t="array" ref="W693">IF($C$4="Giao", _xludf.Xlookup(C693,#REF!,#REF!,),)</f>
        <v>0</v>
      </c>
      <c r="X693" s="9">
        <f t="shared" si="8"/>
        <v>0</v>
      </c>
      <c r="Y693" s="7"/>
      <c r="Z693" s="7"/>
    </row>
    <row r="694" spans="1:26" ht="13" x14ac:dyDescent="0.6">
      <c r="A694" s="28" t="str">
        <f t="shared" si="7"/>
        <v/>
      </c>
      <c r="B694" s="7"/>
      <c r="C694" s="7"/>
      <c r="D694" s="9"/>
      <c r="E694" s="9"/>
      <c r="F694" s="9"/>
      <c r="G694" s="9"/>
      <c r="H694" s="9"/>
      <c r="I694" s="9"/>
      <c r="J694" s="9"/>
      <c r="K694" s="9"/>
      <c r="L694" s="9"/>
      <c r="M694" s="9"/>
      <c r="N694" s="9"/>
      <c r="O694" s="9"/>
      <c r="P694" s="29"/>
      <c r="Q694" s="29"/>
      <c r="R694" s="7"/>
      <c r="S694" s="7"/>
      <c r="T694" s="7" t="str">
        <f ca="1">IFERROR(__xludf.DUMMYFUNCTION("SPARKLINE({
IF(D694="""",0,D694),
IF(F694="""",0,F694),
IF(H694="""",0,H694),
IF(J694="""",0,J694),
IF(L694="""",0,L694),
IF(N694="""",0,N694),
IF(P694="""",0,P694)
})"),"")</f>
        <v/>
      </c>
      <c r="U694" s="7" t="str">
        <f ca="1">IFERROR(__xludf.DUMMYFUNCTION("SPARKLINE({
IF(E694="""",0,E694),
IF(G694="""",0,G694),
IF(I694="""",0,I694),
IF(K694="""",0,K694),
IF(M694="""",0,M694),
IF(O694="""",0,O694),
IF(Q694="""",0,Q694)
})"),"")</f>
        <v/>
      </c>
      <c r="V694" s="8" t="e">
        <f t="array" aca="1" ref="V694" ca="1">IF($C$4="Giao",_xludf.Xlookup(C694,#REF!,#REF!,),_xludf.Xlookup(C694,#REF!,#REF!,))</f>
        <v>#NAME?</v>
      </c>
      <c r="W694" s="8">
        <f t="array" ref="W694">IF($C$4="Giao", _xludf.Xlookup(C694,#REF!,#REF!,),)</f>
        <v>0</v>
      </c>
      <c r="X694" s="9">
        <f t="shared" si="8"/>
        <v>0</v>
      </c>
      <c r="Y694" s="7"/>
      <c r="Z694" s="7"/>
    </row>
    <row r="695" spans="1:26" ht="13" x14ac:dyDescent="0.6">
      <c r="A695" s="28" t="str">
        <f t="shared" si="7"/>
        <v/>
      </c>
      <c r="B695" s="7"/>
      <c r="C695" s="7"/>
      <c r="D695" s="9"/>
      <c r="E695" s="9"/>
      <c r="F695" s="9"/>
      <c r="G695" s="9"/>
      <c r="H695" s="9"/>
      <c r="I695" s="9"/>
      <c r="J695" s="9"/>
      <c r="K695" s="9"/>
      <c r="L695" s="9"/>
      <c r="M695" s="9"/>
      <c r="N695" s="9"/>
      <c r="O695" s="9"/>
      <c r="P695" s="29"/>
      <c r="Q695" s="29"/>
      <c r="R695" s="7"/>
      <c r="S695" s="7"/>
      <c r="T695" s="7" t="str">
        <f ca="1">IFERROR(__xludf.DUMMYFUNCTION("SPARKLINE({
IF(D695="""",0,D695),
IF(F695="""",0,F695),
IF(H695="""",0,H695),
IF(J695="""",0,J695),
IF(L695="""",0,L695),
IF(N695="""",0,N695),
IF(P695="""",0,P695)
})"),"")</f>
        <v/>
      </c>
      <c r="U695" s="7" t="str">
        <f ca="1">IFERROR(__xludf.DUMMYFUNCTION("SPARKLINE({
IF(E695="""",0,E695),
IF(G695="""",0,G695),
IF(I695="""",0,I695),
IF(K695="""",0,K695),
IF(M695="""",0,M695),
IF(O695="""",0,O695),
IF(Q695="""",0,Q695)
})"),"")</f>
        <v/>
      </c>
      <c r="V695" s="8" t="e">
        <f t="array" aca="1" ref="V695" ca="1">IF($C$4="Giao",_xludf.Xlookup(C695,#REF!,#REF!,),_xludf.Xlookup(C695,#REF!,#REF!,))</f>
        <v>#NAME?</v>
      </c>
      <c r="W695" s="8">
        <f t="array" ref="W695">IF($C$4="Giao", _xludf.Xlookup(C695,#REF!,#REF!,),)</f>
        <v>0</v>
      </c>
      <c r="X695" s="9">
        <f t="shared" si="8"/>
        <v>0</v>
      </c>
      <c r="Y695" s="7"/>
      <c r="Z695" s="7"/>
    </row>
    <row r="696" spans="1:26" ht="13" x14ac:dyDescent="0.6">
      <c r="A696" s="28" t="str">
        <f t="shared" si="7"/>
        <v/>
      </c>
      <c r="B696" s="7"/>
      <c r="C696" s="7"/>
      <c r="D696" s="9"/>
      <c r="E696" s="9"/>
      <c r="F696" s="9"/>
      <c r="G696" s="9"/>
      <c r="H696" s="9"/>
      <c r="I696" s="9"/>
      <c r="J696" s="9"/>
      <c r="K696" s="9"/>
      <c r="L696" s="9"/>
      <c r="M696" s="9"/>
      <c r="N696" s="9"/>
      <c r="O696" s="9"/>
      <c r="P696" s="29"/>
      <c r="Q696" s="29"/>
      <c r="R696" s="7"/>
      <c r="S696" s="7"/>
      <c r="T696" s="7" t="str">
        <f ca="1">IFERROR(__xludf.DUMMYFUNCTION("SPARKLINE({
IF(D696="""",0,D696),
IF(F696="""",0,F696),
IF(H696="""",0,H696),
IF(J696="""",0,J696),
IF(L696="""",0,L696),
IF(N696="""",0,N696),
IF(P696="""",0,P696)
})"),"")</f>
        <v/>
      </c>
      <c r="U696" s="7" t="str">
        <f ca="1">IFERROR(__xludf.DUMMYFUNCTION("SPARKLINE({
IF(E696="""",0,E696),
IF(G696="""",0,G696),
IF(I696="""",0,I696),
IF(K696="""",0,K696),
IF(M696="""",0,M696),
IF(O696="""",0,O696),
IF(Q696="""",0,Q696)
})"),"")</f>
        <v/>
      </c>
      <c r="V696" s="8" t="e">
        <f t="array" aca="1" ref="V696" ca="1">IF($C$4="Giao",_xludf.Xlookup(C696,#REF!,#REF!,),_xludf.Xlookup(C696,#REF!,#REF!,))</f>
        <v>#NAME?</v>
      </c>
      <c r="W696" s="8">
        <f t="array" ref="W696">IF($C$4="Giao", _xludf.Xlookup(C696,#REF!,#REF!,),)</f>
        <v>0</v>
      </c>
      <c r="X696" s="9">
        <f t="shared" si="8"/>
        <v>0</v>
      </c>
      <c r="Y696" s="7"/>
      <c r="Z696" s="7"/>
    </row>
    <row r="697" spans="1:26" ht="13" x14ac:dyDescent="0.6">
      <c r="A697" s="28" t="str">
        <f t="shared" si="7"/>
        <v/>
      </c>
      <c r="B697" s="7"/>
      <c r="C697" s="7"/>
      <c r="D697" s="9"/>
      <c r="E697" s="9"/>
      <c r="F697" s="9"/>
      <c r="G697" s="9"/>
      <c r="H697" s="9"/>
      <c r="I697" s="9"/>
      <c r="J697" s="9"/>
      <c r="K697" s="9"/>
      <c r="L697" s="9"/>
      <c r="M697" s="9"/>
      <c r="N697" s="9"/>
      <c r="O697" s="9"/>
      <c r="P697" s="29"/>
      <c r="Q697" s="29"/>
      <c r="R697" s="7"/>
      <c r="S697" s="7"/>
      <c r="T697" s="7" t="str">
        <f ca="1">IFERROR(__xludf.DUMMYFUNCTION("SPARKLINE({
IF(D697="""",0,D697),
IF(F697="""",0,F697),
IF(H697="""",0,H697),
IF(J697="""",0,J697),
IF(L697="""",0,L697),
IF(N697="""",0,N697),
IF(P697="""",0,P697)
})"),"")</f>
        <v/>
      </c>
      <c r="U697" s="7" t="str">
        <f ca="1">IFERROR(__xludf.DUMMYFUNCTION("SPARKLINE({
IF(E697="""",0,E697),
IF(G697="""",0,G697),
IF(I697="""",0,I697),
IF(K697="""",0,K697),
IF(M697="""",0,M697),
IF(O697="""",0,O697),
IF(Q697="""",0,Q697)
})"),"")</f>
        <v/>
      </c>
      <c r="V697" s="8" t="e">
        <f t="array" aca="1" ref="V697" ca="1">IF($C$4="Giao",_xludf.Xlookup(C697,#REF!,#REF!,),_xludf.Xlookup(C697,#REF!,#REF!,))</f>
        <v>#NAME?</v>
      </c>
      <c r="W697" s="8">
        <f t="array" ref="W697">IF($C$4="Giao", _xludf.Xlookup(C697,#REF!,#REF!,),)</f>
        <v>0</v>
      </c>
      <c r="X697" s="9">
        <f t="shared" si="8"/>
        <v>0</v>
      </c>
      <c r="Y697" s="7"/>
      <c r="Z697" s="7"/>
    </row>
    <row r="698" spans="1:26" ht="13" x14ac:dyDescent="0.6">
      <c r="A698" s="28" t="str">
        <f t="shared" si="7"/>
        <v/>
      </c>
      <c r="B698" s="7"/>
      <c r="C698" s="7"/>
      <c r="D698" s="9"/>
      <c r="E698" s="9"/>
      <c r="F698" s="9"/>
      <c r="G698" s="9"/>
      <c r="H698" s="9"/>
      <c r="I698" s="9"/>
      <c r="J698" s="9"/>
      <c r="K698" s="9"/>
      <c r="L698" s="9"/>
      <c r="M698" s="9"/>
      <c r="N698" s="9"/>
      <c r="O698" s="9"/>
      <c r="P698" s="29"/>
      <c r="Q698" s="29"/>
      <c r="R698" s="7"/>
      <c r="S698" s="7"/>
      <c r="T698" s="7" t="str">
        <f ca="1">IFERROR(__xludf.DUMMYFUNCTION("SPARKLINE({
IF(D698="""",0,D698),
IF(F698="""",0,F698),
IF(H698="""",0,H698),
IF(J698="""",0,J698),
IF(L698="""",0,L698),
IF(N698="""",0,N698),
IF(P698="""",0,P698)
})"),"")</f>
        <v/>
      </c>
      <c r="U698" s="7" t="str">
        <f ca="1">IFERROR(__xludf.DUMMYFUNCTION("SPARKLINE({
IF(E698="""",0,E698),
IF(G698="""",0,G698),
IF(I698="""",0,I698),
IF(K698="""",0,K698),
IF(M698="""",0,M698),
IF(O698="""",0,O698),
IF(Q698="""",0,Q698)
})"),"")</f>
        <v/>
      </c>
      <c r="V698" s="8" t="e">
        <f t="array" aca="1" ref="V698" ca="1">IF($C$4="Giao",_xludf.Xlookup(C698,#REF!,#REF!,),_xludf.Xlookup(C698,#REF!,#REF!,))</f>
        <v>#NAME?</v>
      </c>
      <c r="W698" s="8">
        <f t="array" ref="W698">IF($C$4="Giao", _xludf.Xlookup(C698,#REF!,#REF!,),)</f>
        <v>0</v>
      </c>
      <c r="X698" s="9">
        <f t="shared" si="8"/>
        <v>0</v>
      </c>
      <c r="Y698" s="7"/>
      <c r="Z698" s="7"/>
    </row>
    <row r="699" spans="1:26" ht="13" x14ac:dyDescent="0.6">
      <c r="A699" s="28" t="str">
        <f t="shared" si="7"/>
        <v/>
      </c>
      <c r="B699" s="7"/>
      <c r="C699" s="7"/>
      <c r="D699" s="9"/>
      <c r="E699" s="9"/>
      <c r="F699" s="9"/>
      <c r="G699" s="9"/>
      <c r="H699" s="9"/>
      <c r="I699" s="9"/>
      <c r="J699" s="9"/>
      <c r="K699" s="9"/>
      <c r="L699" s="9"/>
      <c r="M699" s="9"/>
      <c r="N699" s="9"/>
      <c r="O699" s="9"/>
      <c r="P699" s="29"/>
      <c r="Q699" s="29"/>
      <c r="R699" s="7"/>
      <c r="S699" s="7"/>
      <c r="T699" s="7" t="str">
        <f ca="1">IFERROR(__xludf.DUMMYFUNCTION("SPARKLINE({
IF(D699="""",0,D699),
IF(F699="""",0,F699),
IF(H699="""",0,H699),
IF(J699="""",0,J699),
IF(L699="""",0,L699),
IF(N699="""",0,N699),
IF(P699="""",0,P699)
})"),"")</f>
        <v/>
      </c>
      <c r="U699" s="7" t="str">
        <f ca="1">IFERROR(__xludf.DUMMYFUNCTION("SPARKLINE({
IF(E699="""",0,E699),
IF(G699="""",0,G699),
IF(I699="""",0,I699),
IF(K699="""",0,K699),
IF(M699="""",0,M699),
IF(O699="""",0,O699),
IF(Q699="""",0,Q699)
})"),"")</f>
        <v/>
      </c>
      <c r="V699" s="8" t="e">
        <f t="array" aca="1" ref="V699" ca="1">IF($C$4="Giao",_xludf.Xlookup(C699,#REF!,#REF!,),_xludf.Xlookup(C699,#REF!,#REF!,))</f>
        <v>#NAME?</v>
      </c>
      <c r="W699" s="8">
        <f t="array" ref="W699">IF($C$4="Giao", _xludf.Xlookup(C699,#REF!,#REF!,),)</f>
        <v>0</v>
      </c>
      <c r="X699" s="9">
        <f t="shared" si="8"/>
        <v>0</v>
      </c>
      <c r="Y699" s="7"/>
      <c r="Z699" s="7"/>
    </row>
    <row r="700" spans="1:26" ht="13" x14ac:dyDescent="0.6">
      <c r="A700" s="28" t="str">
        <f t="shared" si="7"/>
        <v/>
      </c>
      <c r="B700" s="7"/>
      <c r="C700" s="7"/>
      <c r="D700" s="9"/>
      <c r="E700" s="9"/>
      <c r="F700" s="9"/>
      <c r="G700" s="9"/>
      <c r="H700" s="9"/>
      <c r="I700" s="9"/>
      <c r="J700" s="9"/>
      <c r="K700" s="9"/>
      <c r="L700" s="9"/>
      <c r="M700" s="9"/>
      <c r="N700" s="9"/>
      <c r="O700" s="9"/>
      <c r="P700" s="29"/>
      <c r="Q700" s="29"/>
      <c r="R700" s="7"/>
      <c r="S700" s="7"/>
      <c r="T700" s="7" t="str">
        <f ca="1">IFERROR(__xludf.DUMMYFUNCTION("SPARKLINE({
IF(D700="""",0,D700),
IF(F700="""",0,F700),
IF(H700="""",0,H700),
IF(J700="""",0,J700),
IF(L700="""",0,L700),
IF(N700="""",0,N700),
IF(P700="""",0,P700)
})"),"")</f>
        <v/>
      </c>
      <c r="U700" s="7" t="str">
        <f ca="1">IFERROR(__xludf.DUMMYFUNCTION("SPARKLINE({
IF(E700="""",0,E700),
IF(G700="""",0,G700),
IF(I700="""",0,I700),
IF(K700="""",0,K700),
IF(M700="""",0,M700),
IF(O700="""",0,O700),
IF(Q700="""",0,Q700)
})"),"")</f>
        <v/>
      </c>
      <c r="V700" s="8" t="e">
        <f t="array" aca="1" ref="V700" ca="1">IF($C$4="Giao",_xludf.Xlookup(C700,#REF!,#REF!,),_xludf.Xlookup(C700,#REF!,#REF!,))</f>
        <v>#NAME?</v>
      </c>
      <c r="W700" s="8">
        <f t="array" ref="W700">IF($C$4="Giao", _xludf.Xlookup(C700,#REF!,#REF!,),)</f>
        <v>0</v>
      </c>
      <c r="X700" s="9">
        <f t="shared" si="8"/>
        <v>0</v>
      </c>
      <c r="Y700" s="7"/>
      <c r="Z700" s="7"/>
    </row>
    <row r="701" spans="1:26" ht="13" x14ac:dyDescent="0.6">
      <c r="A701" s="28" t="str">
        <f t="shared" si="7"/>
        <v/>
      </c>
      <c r="B701" s="7"/>
      <c r="C701" s="7"/>
      <c r="D701" s="9"/>
      <c r="E701" s="9"/>
      <c r="F701" s="9"/>
      <c r="G701" s="9"/>
      <c r="H701" s="9"/>
      <c r="I701" s="9"/>
      <c r="J701" s="9"/>
      <c r="K701" s="9"/>
      <c r="L701" s="9"/>
      <c r="M701" s="9"/>
      <c r="N701" s="9"/>
      <c r="O701" s="9"/>
      <c r="P701" s="29"/>
      <c r="Q701" s="29"/>
      <c r="R701" s="7"/>
      <c r="S701" s="7"/>
      <c r="T701" s="7" t="str">
        <f ca="1">IFERROR(__xludf.DUMMYFUNCTION("SPARKLINE({
IF(D701="""",0,D701),
IF(F701="""",0,F701),
IF(H701="""",0,H701),
IF(J701="""",0,J701),
IF(L701="""",0,L701),
IF(N701="""",0,N701),
IF(P701="""",0,P701)
})"),"")</f>
        <v/>
      </c>
      <c r="U701" s="7" t="str">
        <f ca="1">IFERROR(__xludf.DUMMYFUNCTION("SPARKLINE({
IF(E701="""",0,E701),
IF(G701="""",0,G701),
IF(I701="""",0,I701),
IF(K701="""",0,K701),
IF(M701="""",0,M701),
IF(O701="""",0,O701),
IF(Q701="""",0,Q701)
})"),"")</f>
        <v/>
      </c>
      <c r="V701" s="8" t="e">
        <f t="array" aca="1" ref="V701" ca="1">IF($C$4="Giao",_xludf.Xlookup(C701,#REF!,#REF!,),_xludf.Xlookup(C701,#REF!,#REF!,))</f>
        <v>#NAME?</v>
      </c>
      <c r="W701" s="8">
        <f t="array" ref="W701">IF($C$4="Giao", _xludf.Xlookup(C701,#REF!,#REF!,),)</f>
        <v>0</v>
      </c>
      <c r="X701" s="9">
        <f t="shared" si="8"/>
        <v>0</v>
      </c>
      <c r="Y701" s="7"/>
      <c r="Z701" s="7"/>
    </row>
    <row r="702" spans="1:26" ht="13" x14ac:dyDescent="0.6">
      <c r="A702" s="28" t="str">
        <f t="shared" si="7"/>
        <v/>
      </c>
      <c r="B702" s="7"/>
      <c r="C702" s="7"/>
      <c r="D702" s="9"/>
      <c r="E702" s="9"/>
      <c r="F702" s="9"/>
      <c r="G702" s="9"/>
      <c r="H702" s="9"/>
      <c r="I702" s="9"/>
      <c r="J702" s="9"/>
      <c r="K702" s="9"/>
      <c r="L702" s="9"/>
      <c r="M702" s="9"/>
      <c r="N702" s="9"/>
      <c r="O702" s="9"/>
      <c r="P702" s="29"/>
      <c r="Q702" s="29"/>
      <c r="R702" s="7"/>
      <c r="S702" s="7"/>
      <c r="T702" s="7" t="str">
        <f ca="1">IFERROR(__xludf.DUMMYFUNCTION("SPARKLINE({
IF(D702="""",0,D702),
IF(F702="""",0,F702),
IF(H702="""",0,H702),
IF(J702="""",0,J702),
IF(L702="""",0,L702),
IF(N702="""",0,N702),
IF(P702="""",0,P702)
})"),"")</f>
        <v/>
      </c>
      <c r="U702" s="7" t="str">
        <f ca="1">IFERROR(__xludf.DUMMYFUNCTION("SPARKLINE({
IF(E702="""",0,E702),
IF(G702="""",0,G702),
IF(I702="""",0,I702),
IF(K702="""",0,K702),
IF(M702="""",0,M702),
IF(O702="""",0,O702),
IF(Q702="""",0,Q702)
})"),"")</f>
        <v/>
      </c>
      <c r="V702" s="8" t="e">
        <f t="array" aca="1" ref="V702" ca="1">IF($C$4="Giao",_xludf.Xlookup(C702,#REF!,#REF!,),_xludf.Xlookup(C702,#REF!,#REF!,))</f>
        <v>#NAME?</v>
      </c>
      <c r="W702" s="8">
        <f t="array" ref="W702">IF($C$4="Giao", _xludf.Xlookup(C702,#REF!,#REF!,),)</f>
        <v>0</v>
      </c>
      <c r="X702" s="9">
        <f t="shared" si="8"/>
        <v>0</v>
      </c>
      <c r="Y702" s="7"/>
      <c r="Z702" s="7"/>
    </row>
    <row r="703" spans="1:26" ht="13" x14ac:dyDescent="0.6">
      <c r="A703" s="28" t="str">
        <f t="shared" si="7"/>
        <v/>
      </c>
      <c r="B703" s="7"/>
      <c r="C703" s="7"/>
      <c r="D703" s="9"/>
      <c r="E703" s="9"/>
      <c r="F703" s="9"/>
      <c r="G703" s="9"/>
      <c r="H703" s="9"/>
      <c r="I703" s="9"/>
      <c r="J703" s="9"/>
      <c r="K703" s="9"/>
      <c r="L703" s="9"/>
      <c r="M703" s="9"/>
      <c r="N703" s="9"/>
      <c r="O703" s="9"/>
      <c r="P703" s="29"/>
      <c r="Q703" s="29"/>
      <c r="R703" s="7"/>
      <c r="S703" s="7"/>
      <c r="T703" s="7" t="str">
        <f ca="1">IFERROR(__xludf.DUMMYFUNCTION("SPARKLINE({
IF(D703="""",0,D703),
IF(F703="""",0,F703),
IF(H703="""",0,H703),
IF(J703="""",0,J703),
IF(L703="""",0,L703),
IF(N703="""",0,N703),
IF(P703="""",0,P703)
})"),"")</f>
        <v/>
      </c>
      <c r="U703" s="7" t="str">
        <f ca="1">IFERROR(__xludf.DUMMYFUNCTION("SPARKLINE({
IF(E703="""",0,E703),
IF(G703="""",0,G703),
IF(I703="""",0,I703),
IF(K703="""",0,K703),
IF(M703="""",0,M703),
IF(O703="""",0,O703),
IF(Q703="""",0,Q703)
})"),"")</f>
        <v/>
      </c>
      <c r="V703" s="8" t="e">
        <f t="array" aca="1" ref="V703" ca="1">IF($C$4="Giao",_xludf.Xlookup(C703,#REF!,#REF!,),_xludf.Xlookup(C703,#REF!,#REF!,))</f>
        <v>#NAME?</v>
      </c>
      <c r="W703" s="8">
        <f t="array" ref="W703">IF($C$4="Giao", _xludf.Xlookup(C703,#REF!,#REF!,),)</f>
        <v>0</v>
      </c>
      <c r="X703" s="9">
        <f t="shared" si="8"/>
        <v>0</v>
      </c>
      <c r="Y703" s="7"/>
      <c r="Z703" s="7"/>
    </row>
    <row r="704" spans="1:26" ht="13" x14ac:dyDescent="0.6">
      <c r="A704" s="28" t="str">
        <f t="shared" si="7"/>
        <v/>
      </c>
      <c r="B704" s="7"/>
      <c r="C704" s="7"/>
      <c r="D704" s="9"/>
      <c r="E704" s="9"/>
      <c r="F704" s="9"/>
      <c r="G704" s="9"/>
      <c r="H704" s="9"/>
      <c r="I704" s="9"/>
      <c r="J704" s="9"/>
      <c r="K704" s="9"/>
      <c r="L704" s="9"/>
      <c r="M704" s="9"/>
      <c r="N704" s="9"/>
      <c r="O704" s="9"/>
      <c r="P704" s="29"/>
      <c r="Q704" s="29"/>
      <c r="R704" s="7"/>
      <c r="S704" s="7"/>
      <c r="T704" s="7" t="str">
        <f ca="1">IFERROR(__xludf.DUMMYFUNCTION("SPARKLINE({
IF(D704="""",0,D704),
IF(F704="""",0,F704),
IF(H704="""",0,H704),
IF(J704="""",0,J704),
IF(L704="""",0,L704),
IF(N704="""",0,N704),
IF(P704="""",0,P704)
})"),"")</f>
        <v/>
      </c>
      <c r="U704" s="7" t="str">
        <f ca="1">IFERROR(__xludf.DUMMYFUNCTION("SPARKLINE({
IF(E704="""",0,E704),
IF(G704="""",0,G704),
IF(I704="""",0,I704),
IF(K704="""",0,K704),
IF(M704="""",0,M704),
IF(O704="""",0,O704),
IF(Q704="""",0,Q704)
})"),"")</f>
        <v/>
      </c>
      <c r="V704" s="8" t="e">
        <f t="array" aca="1" ref="V704" ca="1">IF($C$4="Giao",_xludf.Xlookup(C704,#REF!,#REF!,),_xludf.Xlookup(C704,#REF!,#REF!,))</f>
        <v>#NAME?</v>
      </c>
      <c r="W704" s="8">
        <f t="array" ref="W704">IF($C$4="Giao", _xludf.Xlookup(C704,#REF!,#REF!,),)</f>
        <v>0</v>
      </c>
      <c r="X704" s="9">
        <f t="shared" si="8"/>
        <v>0</v>
      </c>
      <c r="Y704" s="7"/>
      <c r="Z704" s="7"/>
    </row>
    <row r="705" spans="1:26" ht="13" x14ac:dyDescent="0.6">
      <c r="A705" s="28" t="str">
        <f t="shared" si="7"/>
        <v/>
      </c>
      <c r="B705" s="7"/>
      <c r="C705" s="7"/>
      <c r="D705" s="9"/>
      <c r="E705" s="9"/>
      <c r="F705" s="9"/>
      <c r="G705" s="9"/>
      <c r="H705" s="9"/>
      <c r="I705" s="9"/>
      <c r="J705" s="9"/>
      <c r="K705" s="9"/>
      <c r="L705" s="9"/>
      <c r="M705" s="9"/>
      <c r="N705" s="9"/>
      <c r="O705" s="9"/>
      <c r="P705" s="29"/>
      <c r="Q705" s="29"/>
      <c r="R705" s="7"/>
      <c r="S705" s="7"/>
      <c r="T705" s="7" t="str">
        <f ca="1">IFERROR(__xludf.DUMMYFUNCTION("SPARKLINE({
IF(D705="""",0,D705),
IF(F705="""",0,F705),
IF(H705="""",0,H705),
IF(J705="""",0,J705),
IF(L705="""",0,L705),
IF(N705="""",0,N705),
IF(P705="""",0,P705)
})"),"")</f>
        <v/>
      </c>
      <c r="U705" s="7" t="str">
        <f ca="1">IFERROR(__xludf.DUMMYFUNCTION("SPARKLINE({
IF(E705="""",0,E705),
IF(G705="""",0,G705),
IF(I705="""",0,I705),
IF(K705="""",0,K705),
IF(M705="""",0,M705),
IF(O705="""",0,O705),
IF(Q705="""",0,Q705)
})"),"")</f>
        <v/>
      </c>
      <c r="V705" s="8" t="e">
        <f t="array" aca="1" ref="V705" ca="1">IF($C$4="Giao",_xludf.Xlookup(C705,#REF!,#REF!,),_xludf.Xlookup(C705,#REF!,#REF!,))</f>
        <v>#NAME?</v>
      </c>
      <c r="W705" s="8">
        <f t="array" ref="W705">IF($C$4="Giao", _xludf.Xlookup(C705,#REF!,#REF!,),)</f>
        <v>0</v>
      </c>
      <c r="X705" s="9">
        <f t="shared" si="8"/>
        <v>0</v>
      </c>
      <c r="Y705" s="7"/>
      <c r="Z705" s="7"/>
    </row>
    <row r="706" spans="1:26" ht="13" x14ac:dyDescent="0.6">
      <c r="A706" s="28" t="str">
        <f t="shared" si="7"/>
        <v/>
      </c>
      <c r="B706" s="7"/>
      <c r="C706" s="7"/>
      <c r="D706" s="9"/>
      <c r="E706" s="9"/>
      <c r="F706" s="9"/>
      <c r="G706" s="9"/>
      <c r="H706" s="9"/>
      <c r="I706" s="9"/>
      <c r="J706" s="9"/>
      <c r="K706" s="9"/>
      <c r="L706" s="9"/>
      <c r="M706" s="9"/>
      <c r="N706" s="9"/>
      <c r="O706" s="9"/>
      <c r="P706" s="29"/>
      <c r="Q706" s="29"/>
      <c r="R706" s="7"/>
      <c r="S706" s="7"/>
      <c r="T706" s="7" t="str">
        <f ca="1">IFERROR(__xludf.DUMMYFUNCTION("SPARKLINE({
IF(D706="""",0,D706),
IF(F706="""",0,F706),
IF(H706="""",0,H706),
IF(J706="""",0,J706),
IF(L706="""",0,L706),
IF(N706="""",0,N706),
IF(P706="""",0,P706)
})"),"")</f>
        <v/>
      </c>
      <c r="U706" s="7" t="str">
        <f ca="1">IFERROR(__xludf.DUMMYFUNCTION("SPARKLINE({
IF(E706="""",0,E706),
IF(G706="""",0,G706),
IF(I706="""",0,I706),
IF(K706="""",0,K706),
IF(M706="""",0,M706),
IF(O706="""",0,O706),
IF(Q706="""",0,Q706)
})"),"")</f>
        <v/>
      </c>
      <c r="V706" s="8" t="e">
        <f t="array" aca="1" ref="V706" ca="1">IF($C$4="Giao",_xludf.Xlookup(C706,#REF!,#REF!,),_xludf.Xlookup(C706,#REF!,#REF!,))</f>
        <v>#NAME?</v>
      </c>
      <c r="W706" s="8">
        <f t="array" ref="W706">IF($C$4="Giao", _xludf.Xlookup(C706,#REF!,#REF!,),)</f>
        <v>0</v>
      </c>
      <c r="X706" s="9">
        <f t="shared" si="8"/>
        <v>0</v>
      </c>
      <c r="Y706" s="7"/>
      <c r="Z706" s="7"/>
    </row>
    <row r="707" spans="1:26" ht="13" x14ac:dyDescent="0.6">
      <c r="A707" s="28" t="str">
        <f t="shared" si="7"/>
        <v/>
      </c>
      <c r="B707" s="7"/>
      <c r="C707" s="7"/>
      <c r="D707" s="9"/>
      <c r="E707" s="9"/>
      <c r="F707" s="9"/>
      <c r="G707" s="9"/>
      <c r="H707" s="9"/>
      <c r="I707" s="9"/>
      <c r="J707" s="9"/>
      <c r="K707" s="9"/>
      <c r="L707" s="9"/>
      <c r="M707" s="9"/>
      <c r="N707" s="9"/>
      <c r="O707" s="9"/>
      <c r="P707" s="29"/>
      <c r="Q707" s="29"/>
      <c r="R707" s="7"/>
      <c r="S707" s="7"/>
      <c r="T707" s="7" t="str">
        <f ca="1">IFERROR(__xludf.DUMMYFUNCTION("SPARKLINE({
IF(D707="""",0,D707),
IF(F707="""",0,F707),
IF(H707="""",0,H707),
IF(J707="""",0,J707),
IF(L707="""",0,L707),
IF(N707="""",0,N707),
IF(P707="""",0,P707)
})"),"")</f>
        <v/>
      </c>
      <c r="U707" s="7" t="str">
        <f ca="1">IFERROR(__xludf.DUMMYFUNCTION("SPARKLINE({
IF(E707="""",0,E707),
IF(G707="""",0,G707),
IF(I707="""",0,I707),
IF(K707="""",0,K707),
IF(M707="""",0,M707),
IF(O707="""",0,O707),
IF(Q707="""",0,Q707)
})"),"")</f>
        <v/>
      </c>
      <c r="V707" s="8" t="e">
        <f t="array" aca="1" ref="V707" ca="1">IF($C$4="Giao",_xludf.Xlookup(C707,#REF!,#REF!,),_xludf.Xlookup(C707,#REF!,#REF!,))</f>
        <v>#NAME?</v>
      </c>
      <c r="W707" s="8">
        <f t="array" ref="W707">IF($C$4="Giao", _xludf.Xlookup(C707,#REF!,#REF!,),)</f>
        <v>0</v>
      </c>
      <c r="X707" s="9">
        <f t="shared" si="8"/>
        <v>0</v>
      </c>
      <c r="Y707" s="7"/>
      <c r="Z707" s="7"/>
    </row>
    <row r="708" spans="1:26" ht="13" x14ac:dyDescent="0.6">
      <c r="A708" s="28" t="str">
        <f t="shared" si="7"/>
        <v/>
      </c>
      <c r="B708" s="7"/>
      <c r="C708" s="7"/>
      <c r="D708" s="9"/>
      <c r="E708" s="9"/>
      <c r="F708" s="9"/>
      <c r="G708" s="9"/>
      <c r="H708" s="9"/>
      <c r="I708" s="9"/>
      <c r="J708" s="9"/>
      <c r="K708" s="9"/>
      <c r="L708" s="9"/>
      <c r="M708" s="9"/>
      <c r="N708" s="9"/>
      <c r="O708" s="9"/>
      <c r="P708" s="29"/>
      <c r="Q708" s="29"/>
      <c r="R708" s="7"/>
      <c r="S708" s="7"/>
      <c r="T708" s="7" t="str">
        <f ca="1">IFERROR(__xludf.DUMMYFUNCTION("SPARKLINE({
IF(D708="""",0,D708),
IF(F708="""",0,F708),
IF(H708="""",0,H708),
IF(J708="""",0,J708),
IF(L708="""",0,L708),
IF(N708="""",0,N708),
IF(P708="""",0,P708)
})"),"")</f>
        <v/>
      </c>
      <c r="U708" s="7" t="str">
        <f ca="1">IFERROR(__xludf.DUMMYFUNCTION("SPARKLINE({
IF(E708="""",0,E708),
IF(G708="""",0,G708),
IF(I708="""",0,I708),
IF(K708="""",0,K708),
IF(M708="""",0,M708),
IF(O708="""",0,O708),
IF(Q708="""",0,Q708)
})"),"")</f>
        <v/>
      </c>
      <c r="V708" s="8" t="e">
        <f t="array" aca="1" ref="V708" ca="1">IF($C$4="Giao",_xludf.Xlookup(C708,#REF!,#REF!,),_xludf.Xlookup(C708,#REF!,#REF!,))</f>
        <v>#NAME?</v>
      </c>
      <c r="W708" s="8">
        <f t="array" ref="W708">IF($C$4="Giao", _xludf.Xlookup(C708,#REF!,#REF!,),)</f>
        <v>0</v>
      </c>
      <c r="X708" s="9">
        <f t="shared" si="8"/>
        <v>0</v>
      </c>
      <c r="Y708" s="7"/>
      <c r="Z708" s="7"/>
    </row>
    <row r="709" spans="1:26" ht="13" x14ac:dyDescent="0.6">
      <c r="A709" s="28" t="str">
        <f t="shared" si="7"/>
        <v/>
      </c>
      <c r="B709" s="7"/>
      <c r="C709" s="7"/>
      <c r="D709" s="9"/>
      <c r="E709" s="9"/>
      <c r="F709" s="9"/>
      <c r="G709" s="9"/>
      <c r="H709" s="9"/>
      <c r="I709" s="9"/>
      <c r="J709" s="9"/>
      <c r="K709" s="9"/>
      <c r="L709" s="9"/>
      <c r="M709" s="9"/>
      <c r="N709" s="9"/>
      <c r="O709" s="9"/>
      <c r="P709" s="29"/>
      <c r="Q709" s="29"/>
      <c r="R709" s="7"/>
      <c r="S709" s="7"/>
      <c r="T709" s="7" t="str">
        <f ca="1">IFERROR(__xludf.DUMMYFUNCTION("SPARKLINE({
IF(D709="""",0,D709),
IF(F709="""",0,F709),
IF(H709="""",0,H709),
IF(J709="""",0,J709),
IF(L709="""",0,L709),
IF(N709="""",0,N709),
IF(P709="""",0,P709)
})"),"")</f>
        <v/>
      </c>
      <c r="U709" s="7" t="str">
        <f ca="1">IFERROR(__xludf.DUMMYFUNCTION("SPARKLINE({
IF(E709="""",0,E709),
IF(G709="""",0,G709),
IF(I709="""",0,I709),
IF(K709="""",0,K709),
IF(M709="""",0,M709),
IF(O709="""",0,O709),
IF(Q709="""",0,Q709)
})"),"")</f>
        <v/>
      </c>
      <c r="V709" s="8" t="e">
        <f t="array" aca="1" ref="V709" ca="1">IF($C$4="Giao",_xludf.Xlookup(C709,#REF!,#REF!,),_xludf.Xlookup(C709,#REF!,#REF!,))</f>
        <v>#NAME?</v>
      </c>
      <c r="W709" s="8">
        <f t="array" ref="W709">IF($C$4="Giao", _xludf.Xlookup(C709,#REF!,#REF!,),)</f>
        <v>0</v>
      </c>
      <c r="X709" s="9">
        <f t="shared" si="8"/>
        <v>0</v>
      </c>
      <c r="Y709" s="7"/>
      <c r="Z709" s="7"/>
    </row>
    <row r="710" spans="1:26" ht="13" x14ac:dyDescent="0.6">
      <c r="A710" s="28" t="str">
        <f t="shared" si="7"/>
        <v/>
      </c>
      <c r="B710" s="7"/>
      <c r="C710" s="7"/>
      <c r="D710" s="9"/>
      <c r="E710" s="9"/>
      <c r="F710" s="9"/>
      <c r="G710" s="9"/>
      <c r="H710" s="9"/>
      <c r="I710" s="9"/>
      <c r="J710" s="9"/>
      <c r="K710" s="9"/>
      <c r="L710" s="9"/>
      <c r="M710" s="9"/>
      <c r="N710" s="9"/>
      <c r="O710" s="9"/>
      <c r="P710" s="29"/>
      <c r="Q710" s="29"/>
      <c r="R710" s="7"/>
      <c r="S710" s="7"/>
      <c r="T710" s="7" t="str">
        <f ca="1">IFERROR(__xludf.DUMMYFUNCTION("SPARKLINE({
IF(D710="""",0,D710),
IF(F710="""",0,F710),
IF(H710="""",0,H710),
IF(J710="""",0,J710),
IF(L710="""",0,L710),
IF(N710="""",0,N710),
IF(P710="""",0,P710)
})"),"")</f>
        <v/>
      </c>
      <c r="U710" s="7" t="str">
        <f ca="1">IFERROR(__xludf.DUMMYFUNCTION("SPARKLINE({
IF(E710="""",0,E710),
IF(G710="""",0,G710),
IF(I710="""",0,I710),
IF(K710="""",0,K710),
IF(M710="""",0,M710),
IF(O710="""",0,O710),
IF(Q710="""",0,Q710)
})"),"")</f>
        <v/>
      </c>
      <c r="V710" s="8" t="e">
        <f t="array" aca="1" ref="V710" ca="1">IF($C$4="Giao",_xludf.Xlookup(C710,#REF!,#REF!,),_xludf.Xlookup(C710,#REF!,#REF!,))</f>
        <v>#NAME?</v>
      </c>
      <c r="W710" s="8">
        <f t="array" ref="W710">IF($C$4="Giao", _xludf.Xlookup(C710,#REF!,#REF!,),)</f>
        <v>0</v>
      </c>
      <c r="X710" s="9">
        <f t="shared" si="8"/>
        <v>0</v>
      </c>
      <c r="Y710" s="7"/>
      <c r="Z710" s="7"/>
    </row>
    <row r="711" spans="1:26" ht="13" x14ac:dyDescent="0.6">
      <c r="A711" s="28" t="str">
        <f t="shared" si="7"/>
        <v/>
      </c>
      <c r="B711" s="7"/>
      <c r="C711" s="7"/>
      <c r="D711" s="9"/>
      <c r="E711" s="9"/>
      <c r="F711" s="9"/>
      <c r="G711" s="9"/>
      <c r="H711" s="9"/>
      <c r="I711" s="9"/>
      <c r="J711" s="9"/>
      <c r="K711" s="9"/>
      <c r="L711" s="9"/>
      <c r="M711" s="9"/>
      <c r="N711" s="9"/>
      <c r="O711" s="9"/>
      <c r="P711" s="29"/>
      <c r="Q711" s="29"/>
      <c r="R711" s="7"/>
      <c r="S711" s="7"/>
      <c r="T711" s="7" t="str">
        <f ca="1">IFERROR(__xludf.DUMMYFUNCTION("SPARKLINE({
IF(D711="""",0,D711),
IF(F711="""",0,F711),
IF(H711="""",0,H711),
IF(J711="""",0,J711),
IF(L711="""",0,L711),
IF(N711="""",0,N711),
IF(P711="""",0,P711)
})"),"")</f>
        <v/>
      </c>
      <c r="U711" s="7" t="str">
        <f ca="1">IFERROR(__xludf.DUMMYFUNCTION("SPARKLINE({
IF(E711="""",0,E711),
IF(G711="""",0,G711),
IF(I711="""",0,I711),
IF(K711="""",0,K711),
IF(M711="""",0,M711),
IF(O711="""",0,O711),
IF(Q711="""",0,Q711)
})"),"")</f>
        <v/>
      </c>
      <c r="V711" s="8" t="e">
        <f t="array" aca="1" ref="V711" ca="1">IF($C$4="Giao",_xludf.Xlookup(C711,#REF!,#REF!,),_xludf.Xlookup(C711,#REF!,#REF!,))</f>
        <v>#NAME?</v>
      </c>
      <c r="W711" s="8">
        <f t="array" ref="W711">IF($C$4="Giao", _xludf.Xlookup(C711,#REF!,#REF!,),)</f>
        <v>0</v>
      </c>
      <c r="X711" s="9">
        <f t="shared" si="8"/>
        <v>0</v>
      </c>
      <c r="Y711" s="7"/>
      <c r="Z711" s="7"/>
    </row>
    <row r="712" spans="1:26" ht="13" x14ac:dyDescent="0.6">
      <c r="A712" s="28" t="str">
        <f t="shared" si="7"/>
        <v/>
      </c>
      <c r="B712" s="7"/>
      <c r="C712" s="7"/>
      <c r="D712" s="9"/>
      <c r="E712" s="9"/>
      <c r="F712" s="9"/>
      <c r="G712" s="9"/>
      <c r="H712" s="9"/>
      <c r="I712" s="9"/>
      <c r="J712" s="9"/>
      <c r="K712" s="9"/>
      <c r="L712" s="9"/>
      <c r="M712" s="9"/>
      <c r="N712" s="9"/>
      <c r="O712" s="9"/>
      <c r="P712" s="29"/>
      <c r="Q712" s="29"/>
      <c r="R712" s="7"/>
      <c r="S712" s="7"/>
      <c r="T712" s="7" t="str">
        <f ca="1">IFERROR(__xludf.DUMMYFUNCTION("SPARKLINE({
IF(D712="""",0,D712),
IF(F712="""",0,F712),
IF(H712="""",0,H712),
IF(J712="""",0,J712),
IF(L712="""",0,L712),
IF(N712="""",0,N712),
IF(P712="""",0,P712)
})"),"")</f>
        <v/>
      </c>
      <c r="U712" s="7" t="str">
        <f ca="1">IFERROR(__xludf.DUMMYFUNCTION("SPARKLINE({
IF(E712="""",0,E712),
IF(G712="""",0,G712),
IF(I712="""",0,I712),
IF(K712="""",0,K712),
IF(M712="""",0,M712),
IF(O712="""",0,O712),
IF(Q712="""",0,Q712)
})"),"")</f>
        <v/>
      </c>
      <c r="V712" s="8" t="e">
        <f t="array" aca="1" ref="V712" ca="1">IF($C$4="Giao",_xludf.Xlookup(C712,#REF!,#REF!,),_xludf.Xlookup(C712,#REF!,#REF!,))</f>
        <v>#NAME?</v>
      </c>
      <c r="W712" s="8">
        <f t="array" ref="W712">IF($C$4="Giao", _xludf.Xlookup(C712,#REF!,#REF!,),)</f>
        <v>0</v>
      </c>
      <c r="X712" s="9">
        <f t="shared" si="8"/>
        <v>0</v>
      </c>
      <c r="Y712" s="7"/>
      <c r="Z712" s="7"/>
    </row>
    <row r="713" spans="1:26" ht="13" x14ac:dyDescent="0.6">
      <c r="A713" s="28" t="str">
        <f t="shared" si="7"/>
        <v/>
      </c>
      <c r="B713" s="7"/>
      <c r="C713" s="7"/>
      <c r="D713" s="9"/>
      <c r="E713" s="9"/>
      <c r="F713" s="9"/>
      <c r="G713" s="9"/>
      <c r="H713" s="9"/>
      <c r="I713" s="9"/>
      <c r="J713" s="9"/>
      <c r="K713" s="9"/>
      <c r="L713" s="9"/>
      <c r="M713" s="9"/>
      <c r="N713" s="9"/>
      <c r="O713" s="9"/>
      <c r="P713" s="29"/>
      <c r="Q713" s="29"/>
      <c r="R713" s="7"/>
      <c r="S713" s="7"/>
      <c r="T713" s="7" t="str">
        <f ca="1">IFERROR(__xludf.DUMMYFUNCTION("SPARKLINE({
IF(D713="""",0,D713),
IF(F713="""",0,F713),
IF(H713="""",0,H713),
IF(J713="""",0,J713),
IF(L713="""",0,L713),
IF(N713="""",0,N713),
IF(P713="""",0,P713)
})"),"")</f>
        <v/>
      </c>
      <c r="U713" s="7" t="str">
        <f ca="1">IFERROR(__xludf.DUMMYFUNCTION("SPARKLINE({
IF(E713="""",0,E713),
IF(G713="""",0,G713),
IF(I713="""",0,I713),
IF(K713="""",0,K713),
IF(M713="""",0,M713),
IF(O713="""",0,O713),
IF(Q713="""",0,Q713)
})"),"")</f>
        <v/>
      </c>
      <c r="V713" s="8" t="e">
        <f t="array" aca="1" ref="V713" ca="1">IF($C$4="Giao",_xludf.Xlookup(C713,#REF!,#REF!,),_xludf.Xlookup(C713,#REF!,#REF!,))</f>
        <v>#NAME?</v>
      </c>
      <c r="W713" s="8">
        <f t="array" ref="W713">IF($C$4="Giao", _xludf.Xlookup(C713,#REF!,#REF!,),)</f>
        <v>0</v>
      </c>
      <c r="X713" s="9">
        <f t="shared" si="8"/>
        <v>0</v>
      </c>
      <c r="Y713" s="7"/>
      <c r="Z713" s="7"/>
    </row>
    <row r="714" spans="1:26" ht="13" x14ac:dyDescent="0.6">
      <c r="A714" s="28" t="str">
        <f t="shared" si="7"/>
        <v/>
      </c>
      <c r="B714" s="7"/>
      <c r="C714" s="7"/>
      <c r="D714" s="9"/>
      <c r="E714" s="9"/>
      <c r="F714" s="9"/>
      <c r="G714" s="9"/>
      <c r="H714" s="9"/>
      <c r="I714" s="9"/>
      <c r="J714" s="9"/>
      <c r="K714" s="9"/>
      <c r="L714" s="9"/>
      <c r="M714" s="9"/>
      <c r="N714" s="9"/>
      <c r="O714" s="9"/>
      <c r="P714" s="29"/>
      <c r="Q714" s="29"/>
      <c r="R714" s="7"/>
      <c r="S714" s="7"/>
      <c r="T714" s="7" t="str">
        <f ca="1">IFERROR(__xludf.DUMMYFUNCTION("SPARKLINE({
IF(D714="""",0,D714),
IF(F714="""",0,F714),
IF(H714="""",0,H714),
IF(J714="""",0,J714),
IF(L714="""",0,L714),
IF(N714="""",0,N714),
IF(P714="""",0,P714)
})"),"")</f>
        <v/>
      </c>
      <c r="U714" s="7" t="str">
        <f ca="1">IFERROR(__xludf.DUMMYFUNCTION("SPARKLINE({
IF(E714="""",0,E714),
IF(G714="""",0,G714),
IF(I714="""",0,I714),
IF(K714="""",0,K714),
IF(M714="""",0,M714),
IF(O714="""",0,O714),
IF(Q714="""",0,Q714)
})"),"")</f>
        <v/>
      </c>
      <c r="V714" s="8" t="e">
        <f t="array" aca="1" ref="V714" ca="1">IF($C$4="Giao",_xludf.Xlookup(C714,#REF!,#REF!,),_xludf.Xlookup(C714,#REF!,#REF!,))</f>
        <v>#NAME?</v>
      </c>
      <c r="W714" s="8">
        <f t="array" ref="W714">IF($C$4="Giao", _xludf.Xlookup(C714,#REF!,#REF!,),)</f>
        <v>0</v>
      </c>
      <c r="X714" s="9">
        <f t="shared" si="8"/>
        <v>0</v>
      </c>
      <c r="Y714" s="7"/>
      <c r="Z714" s="7"/>
    </row>
    <row r="715" spans="1:26" ht="13" x14ac:dyDescent="0.6">
      <c r="A715" s="28" t="str">
        <f t="shared" si="7"/>
        <v/>
      </c>
      <c r="B715" s="7"/>
      <c r="C715" s="7"/>
      <c r="D715" s="9"/>
      <c r="E715" s="9"/>
      <c r="F715" s="9"/>
      <c r="G715" s="9"/>
      <c r="H715" s="9"/>
      <c r="I715" s="9"/>
      <c r="J715" s="9"/>
      <c r="K715" s="9"/>
      <c r="L715" s="9"/>
      <c r="M715" s="9"/>
      <c r="N715" s="9"/>
      <c r="O715" s="9"/>
      <c r="P715" s="29"/>
      <c r="Q715" s="29"/>
      <c r="R715" s="7"/>
      <c r="S715" s="7"/>
      <c r="T715" s="7" t="str">
        <f ca="1">IFERROR(__xludf.DUMMYFUNCTION("SPARKLINE({
IF(D715="""",0,D715),
IF(F715="""",0,F715),
IF(H715="""",0,H715),
IF(J715="""",0,J715),
IF(L715="""",0,L715),
IF(N715="""",0,N715),
IF(P715="""",0,P715)
})"),"")</f>
        <v/>
      </c>
      <c r="U715" s="7" t="str">
        <f ca="1">IFERROR(__xludf.DUMMYFUNCTION("SPARKLINE({
IF(E715="""",0,E715),
IF(G715="""",0,G715),
IF(I715="""",0,I715),
IF(K715="""",0,K715),
IF(M715="""",0,M715),
IF(O715="""",0,O715),
IF(Q715="""",0,Q715)
})"),"")</f>
        <v/>
      </c>
      <c r="V715" s="8" t="e">
        <f t="array" aca="1" ref="V715" ca="1">IF($C$4="Giao",_xludf.Xlookup(C715,#REF!,#REF!,),_xludf.Xlookup(C715,#REF!,#REF!,))</f>
        <v>#NAME?</v>
      </c>
      <c r="W715" s="8">
        <f t="array" ref="W715">IF($C$4="Giao", _xludf.Xlookup(C715,#REF!,#REF!,),)</f>
        <v>0</v>
      </c>
      <c r="X715" s="9">
        <f t="shared" si="8"/>
        <v>0</v>
      </c>
      <c r="Y715" s="7"/>
      <c r="Z715" s="7"/>
    </row>
    <row r="716" spans="1:26" ht="13" x14ac:dyDescent="0.6">
      <c r="A716" s="28" t="str">
        <f t="shared" si="7"/>
        <v/>
      </c>
      <c r="B716" s="7"/>
      <c r="C716" s="7"/>
      <c r="D716" s="9"/>
      <c r="E716" s="9"/>
      <c r="F716" s="9"/>
      <c r="G716" s="9"/>
      <c r="H716" s="9"/>
      <c r="I716" s="9"/>
      <c r="J716" s="9"/>
      <c r="K716" s="9"/>
      <c r="L716" s="9"/>
      <c r="M716" s="9"/>
      <c r="N716" s="9"/>
      <c r="O716" s="9"/>
      <c r="P716" s="29"/>
      <c r="Q716" s="29"/>
      <c r="R716" s="7"/>
      <c r="S716" s="7"/>
      <c r="T716" s="7" t="str">
        <f ca="1">IFERROR(__xludf.DUMMYFUNCTION("SPARKLINE({
IF(D716="""",0,D716),
IF(F716="""",0,F716),
IF(H716="""",0,H716),
IF(J716="""",0,J716),
IF(L716="""",0,L716),
IF(N716="""",0,N716),
IF(P716="""",0,P716)
})"),"")</f>
        <v/>
      </c>
      <c r="U716" s="7" t="str">
        <f ca="1">IFERROR(__xludf.DUMMYFUNCTION("SPARKLINE({
IF(E716="""",0,E716),
IF(G716="""",0,G716),
IF(I716="""",0,I716),
IF(K716="""",0,K716),
IF(M716="""",0,M716),
IF(O716="""",0,O716),
IF(Q716="""",0,Q716)
})"),"")</f>
        <v/>
      </c>
      <c r="V716" s="8" t="e">
        <f t="array" aca="1" ref="V716" ca="1">IF($C$4="Giao",_xludf.Xlookup(C716,#REF!,#REF!,),_xludf.Xlookup(C716,#REF!,#REF!,))</f>
        <v>#NAME?</v>
      </c>
      <c r="W716" s="8">
        <f t="array" ref="W716">IF($C$4="Giao", _xludf.Xlookup(C716,#REF!,#REF!,),)</f>
        <v>0</v>
      </c>
      <c r="X716" s="9">
        <f t="shared" si="8"/>
        <v>0</v>
      </c>
      <c r="Y716" s="7"/>
      <c r="Z716" s="7"/>
    </row>
    <row r="717" spans="1:26" ht="13" x14ac:dyDescent="0.6">
      <c r="A717" s="28" t="str">
        <f t="shared" si="7"/>
        <v/>
      </c>
      <c r="B717" s="7"/>
      <c r="C717" s="7"/>
      <c r="D717" s="9"/>
      <c r="E717" s="9"/>
      <c r="F717" s="9"/>
      <c r="G717" s="9"/>
      <c r="H717" s="9"/>
      <c r="I717" s="9"/>
      <c r="J717" s="9"/>
      <c r="K717" s="9"/>
      <c r="L717" s="9"/>
      <c r="M717" s="9"/>
      <c r="N717" s="9"/>
      <c r="O717" s="9"/>
      <c r="P717" s="29"/>
      <c r="Q717" s="29"/>
      <c r="R717" s="7"/>
      <c r="S717" s="7"/>
      <c r="T717" s="7" t="str">
        <f ca="1">IFERROR(__xludf.DUMMYFUNCTION("SPARKLINE({
IF(D717="""",0,D717),
IF(F717="""",0,F717),
IF(H717="""",0,H717),
IF(J717="""",0,J717),
IF(L717="""",0,L717),
IF(N717="""",0,N717),
IF(P717="""",0,P717)
})"),"")</f>
        <v/>
      </c>
      <c r="U717" s="7" t="str">
        <f ca="1">IFERROR(__xludf.DUMMYFUNCTION("SPARKLINE({
IF(E717="""",0,E717),
IF(G717="""",0,G717),
IF(I717="""",0,I717),
IF(K717="""",0,K717),
IF(M717="""",0,M717),
IF(O717="""",0,O717),
IF(Q717="""",0,Q717)
})"),"")</f>
        <v/>
      </c>
      <c r="V717" s="8" t="e">
        <f t="array" aca="1" ref="V717" ca="1">IF($C$4="Giao",_xludf.Xlookup(C717,#REF!,#REF!,),_xludf.Xlookup(C717,#REF!,#REF!,))</f>
        <v>#NAME?</v>
      </c>
      <c r="W717" s="8">
        <f t="array" ref="W717">IF($C$4="Giao", _xludf.Xlookup(C717,#REF!,#REF!,),)</f>
        <v>0</v>
      </c>
      <c r="X717" s="9">
        <f t="shared" si="8"/>
        <v>0</v>
      </c>
      <c r="Y717" s="7"/>
      <c r="Z717" s="7"/>
    </row>
    <row r="718" spans="1:26" ht="13" x14ac:dyDescent="0.6">
      <c r="A718" s="28" t="str">
        <f t="shared" si="7"/>
        <v/>
      </c>
      <c r="B718" s="7"/>
      <c r="C718" s="7"/>
      <c r="D718" s="9"/>
      <c r="E718" s="9"/>
      <c r="F718" s="9"/>
      <c r="G718" s="9"/>
      <c r="H718" s="9"/>
      <c r="I718" s="9"/>
      <c r="J718" s="9"/>
      <c r="K718" s="9"/>
      <c r="L718" s="9"/>
      <c r="M718" s="9"/>
      <c r="N718" s="9"/>
      <c r="O718" s="9"/>
      <c r="P718" s="29"/>
      <c r="Q718" s="29"/>
      <c r="R718" s="7"/>
      <c r="S718" s="7"/>
      <c r="T718" s="7" t="str">
        <f ca="1">IFERROR(__xludf.DUMMYFUNCTION("SPARKLINE({
IF(D718="""",0,D718),
IF(F718="""",0,F718),
IF(H718="""",0,H718),
IF(J718="""",0,J718),
IF(L718="""",0,L718),
IF(N718="""",0,N718),
IF(P718="""",0,P718)
})"),"")</f>
        <v/>
      </c>
      <c r="U718" s="7" t="str">
        <f ca="1">IFERROR(__xludf.DUMMYFUNCTION("SPARKLINE({
IF(E718="""",0,E718),
IF(G718="""",0,G718),
IF(I718="""",0,I718),
IF(K718="""",0,K718),
IF(M718="""",0,M718),
IF(O718="""",0,O718),
IF(Q718="""",0,Q718)
})"),"")</f>
        <v/>
      </c>
      <c r="V718" s="8" t="e">
        <f t="array" aca="1" ref="V718" ca="1">IF($C$4="Giao",_xludf.Xlookup(C718,#REF!,#REF!,),_xludf.Xlookup(C718,#REF!,#REF!,))</f>
        <v>#NAME?</v>
      </c>
      <c r="W718" s="8">
        <f t="array" ref="W718">IF($C$4="Giao", _xludf.Xlookup(C718,#REF!,#REF!,),)</f>
        <v>0</v>
      </c>
      <c r="X718" s="9">
        <f t="shared" si="8"/>
        <v>0</v>
      </c>
      <c r="Y718" s="7"/>
      <c r="Z718" s="7"/>
    </row>
    <row r="719" spans="1:26" ht="13" x14ac:dyDescent="0.6">
      <c r="A719" s="28" t="str">
        <f t="shared" si="7"/>
        <v/>
      </c>
      <c r="B719" s="7"/>
      <c r="C719" s="7"/>
      <c r="D719" s="9"/>
      <c r="E719" s="9"/>
      <c r="F719" s="9"/>
      <c r="G719" s="9"/>
      <c r="H719" s="9"/>
      <c r="I719" s="9"/>
      <c r="J719" s="9"/>
      <c r="K719" s="9"/>
      <c r="L719" s="9"/>
      <c r="M719" s="9"/>
      <c r="N719" s="9"/>
      <c r="O719" s="9"/>
      <c r="P719" s="29"/>
      <c r="Q719" s="29"/>
      <c r="R719" s="7"/>
      <c r="S719" s="7"/>
      <c r="T719" s="7" t="str">
        <f ca="1">IFERROR(__xludf.DUMMYFUNCTION("SPARKLINE({
IF(D719="""",0,D719),
IF(F719="""",0,F719),
IF(H719="""",0,H719),
IF(J719="""",0,J719),
IF(L719="""",0,L719),
IF(N719="""",0,N719),
IF(P719="""",0,P719)
})"),"")</f>
        <v/>
      </c>
      <c r="U719" s="7" t="str">
        <f ca="1">IFERROR(__xludf.DUMMYFUNCTION("SPARKLINE({
IF(E719="""",0,E719),
IF(G719="""",0,G719),
IF(I719="""",0,I719),
IF(K719="""",0,K719),
IF(M719="""",0,M719),
IF(O719="""",0,O719),
IF(Q719="""",0,Q719)
})"),"")</f>
        <v/>
      </c>
      <c r="V719" s="8" t="e">
        <f t="array" aca="1" ref="V719" ca="1">IF($C$4="Giao",_xludf.Xlookup(C719,#REF!,#REF!,),_xludf.Xlookup(C719,#REF!,#REF!,))</f>
        <v>#NAME?</v>
      </c>
      <c r="W719" s="8">
        <f t="array" ref="W719">IF($C$4="Giao", _xludf.Xlookup(C719,#REF!,#REF!,),)</f>
        <v>0</v>
      </c>
      <c r="X719" s="9">
        <f t="shared" si="8"/>
        <v>0</v>
      </c>
      <c r="Y719" s="7"/>
      <c r="Z719" s="7"/>
    </row>
    <row r="720" spans="1:26" ht="13" x14ac:dyDescent="0.6">
      <c r="A720" s="28" t="str">
        <f t="shared" si="7"/>
        <v/>
      </c>
      <c r="B720" s="7"/>
      <c r="C720" s="7"/>
      <c r="D720" s="9"/>
      <c r="E720" s="9"/>
      <c r="F720" s="9"/>
      <c r="G720" s="9"/>
      <c r="H720" s="9"/>
      <c r="I720" s="9"/>
      <c r="J720" s="9"/>
      <c r="K720" s="9"/>
      <c r="L720" s="9"/>
      <c r="M720" s="9"/>
      <c r="N720" s="9"/>
      <c r="O720" s="9"/>
      <c r="P720" s="29"/>
      <c r="Q720" s="29"/>
      <c r="R720" s="7"/>
      <c r="S720" s="7"/>
      <c r="T720" s="7" t="str">
        <f ca="1">IFERROR(__xludf.DUMMYFUNCTION("SPARKLINE({
IF(D720="""",0,D720),
IF(F720="""",0,F720),
IF(H720="""",0,H720),
IF(J720="""",0,J720),
IF(L720="""",0,L720),
IF(N720="""",0,N720),
IF(P720="""",0,P720)
})"),"")</f>
        <v/>
      </c>
      <c r="U720" s="7" t="str">
        <f ca="1">IFERROR(__xludf.DUMMYFUNCTION("SPARKLINE({
IF(E720="""",0,E720),
IF(G720="""",0,G720),
IF(I720="""",0,I720),
IF(K720="""",0,K720),
IF(M720="""",0,M720),
IF(O720="""",0,O720),
IF(Q720="""",0,Q720)
})"),"")</f>
        <v/>
      </c>
      <c r="V720" s="8" t="e">
        <f t="array" aca="1" ref="V720" ca="1">IF($C$4="Giao",_xludf.Xlookup(C720,#REF!,#REF!,),_xludf.Xlookup(C720,#REF!,#REF!,))</f>
        <v>#NAME?</v>
      </c>
      <c r="W720" s="8">
        <f t="array" ref="W720">IF($C$4="Giao", _xludf.Xlookup(C720,#REF!,#REF!,),)</f>
        <v>0</v>
      </c>
      <c r="X720" s="9">
        <f t="shared" si="8"/>
        <v>0</v>
      </c>
      <c r="Y720" s="7"/>
      <c r="Z720" s="7"/>
    </row>
    <row r="721" spans="1:26" ht="13" x14ac:dyDescent="0.6">
      <c r="A721" s="28" t="str">
        <f t="shared" si="7"/>
        <v/>
      </c>
      <c r="B721" s="7"/>
      <c r="C721" s="7"/>
      <c r="D721" s="9"/>
      <c r="E721" s="9"/>
      <c r="F721" s="9"/>
      <c r="G721" s="9"/>
      <c r="H721" s="9"/>
      <c r="I721" s="9"/>
      <c r="J721" s="9"/>
      <c r="K721" s="9"/>
      <c r="L721" s="9"/>
      <c r="M721" s="9"/>
      <c r="N721" s="9"/>
      <c r="O721" s="9"/>
      <c r="P721" s="29"/>
      <c r="Q721" s="29"/>
      <c r="R721" s="7"/>
      <c r="S721" s="7"/>
      <c r="T721" s="7" t="str">
        <f ca="1">IFERROR(__xludf.DUMMYFUNCTION("SPARKLINE({
IF(D721="""",0,D721),
IF(F721="""",0,F721),
IF(H721="""",0,H721),
IF(J721="""",0,J721),
IF(L721="""",0,L721),
IF(N721="""",0,N721),
IF(P721="""",0,P721)
})"),"")</f>
        <v/>
      </c>
      <c r="U721" s="7" t="str">
        <f ca="1">IFERROR(__xludf.DUMMYFUNCTION("SPARKLINE({
IF(E721="""",0,E721),
IF(G721="""",0,G721),
IF(I721="""",0,I721),
IF(K721="""",0,K721),
IF(M721="""",0,M721),
IF(O721="""",0,O721),
IF(Q721="""",0,Q721)
})"),"")</f>
        <v/>
      </c>
      <c r="V721" s="8" t="e">
        <f t="array" aca="1" ref="V721" ca="1">IF($C$4="Giao",_xludf.Xlookup(C721,#REF!,#REF!,),_xludf.Xlookup(C721,#REF!,#REF!,))</f>
        <v>#NAME?</v>
      </c>
      <c r="W721" s="8">
        <f t="array" ref="W721">IF($C$4="Giao", _xludf.Xlookup(C721,#REF!,#REF!,),)</f>
        <v>0</v>
      </c>
      <c r="X721" s="9">
        <f t="shared" si="8"/>
        <v>0</v>
      </c>
      <c r="Y721" s="7"/>
      <c r="Z721" s="7"/>
    </row>
    <row r="722" spans="1:26" ht="13" x14ac:dyDescent="0.6">
      <c r="A722" s="28" t="str">
        <f t="shared" si="7"/>
        <v/>
      </c>
      <c r="B722" s="7"/>
      <c r="C722" s="7"/>
      <c r="D722" s="9"/>
      <c r="E722" s="9"/>
      <c r="F722" s="9"/>
      <c r="G722" s="9"/>
      <c r="H722" s="9"/>
      <c r="I722" s="9"/>
      <c r="J722" s="9"/>
      <c r="K722" s="9"/>
      <c r="L722" s="9"/>
      <c r="M722" s="9"/>
      <c r="N722" s="9"/>
      <c r="O722" s="9"/>
      <c r="P722" s="29"/>
      <c r="Q722" s="29"/>
      <c r="R722" s="7"/>
      <c r="S722" s="7"/>
      <c r="T722" s="7" t="str">
        <f ca="1">IFERROR(__xludf.DUMMYFUNCTION("SPARKLINE({
IF(D722="""",0,D722),
IF(F722="""",0,F722),
IF(H722="""",0,H722),
IF(J722="""",0,J722),
IF(L722="""",0,L722),
IF(N722="""",0,N722),
IF(P722="""",0,P722)
})"),"")</f>
        <v/>
      </c>
      <c r="U722" s="7" t="str">
        <f ca="1">IFERROR(__xludf.DUMMYFUNCTION("SPARKLINE({
IF(E722="""",0,E722),
IF(G722="""",0,G722),
IF(I722="""",0,I722),
IF(K722="""",0,K722),
IF(M722="""",0,M722),
IF(O722="""",0,O722),
IF(Q722="""",0,Q722)
})"),"")</f>
        <v/>
      </c>
      <c r="V722" s="8" t="e">
        <f t="array" aca="1" ref="V722" ca="1">IF($C$4="Giao",_xludf.Xlookup(C722,#REF!,#REF!,),_xludf.Xlookup(C722,#REF!,#REF!,))</f>
        <v>#NAME?</v>
      </c>
      <c r="W722" s="8">
        <f t="array" ref="W722">IF($C$4="Giao", _xludf.Xlookup(C722,#REF!,#REF!,),)</f>
        <v>0</v>
      </c>
      <c r="X722" s="9">
        <f t="shared" si="8"/>
        <v>0</v>
      </c>
      <c r="Y722" s="7"/>
      <c r="Z722" s="7"/>
    </row>
    <row r="723" spans="1:26" ht="13" x14ac:dyDescent="0.6">
      <c r="A723" s="28" t="str">
        <f t="shared" si="7"/>
        <v/>
      </c>
      <c r="B723" s="7"/>
      <c r="C723" s="7"/>
      <c r="D723" s="9"/>
      <c r="E723" s="9"/>
      <c r="F723" s="9"/>
      <c r="G723" s="9"/>
      <c r="H723" s="9"/>
      <c r="I723" s="9"/>
      <c r="J723" s="9"/>
      <c r="K723" s="9"/>
      <c r="L723" s="9"/>
      <c r="M723" s="9"/>
      <c r="N723" s="9"/>
      <c r="O723" s="9"/>
      <c r="P723" s="29"/>
      <c r="Q723" s="29"/>
      <c r="R723" s="7"/>
      <c r="S723" s="7"/>
      <c r="T723" s="7" t="str">
        <f ca="1">IFERROR(__xludf.DUMMYFUNCTION("SPARKLINE({
IF(D723="""",0,D723),
IF(F723="""",0,F723),
IF(H723="""",0,H723),
IF(J723="""",0,J723),
IF(L723="""",0,L723),
IF(N723="""",0,N723),
IF(P723="""",0,P723)
})"),"")</f>
        <v/>
      </c>
      <c r="U723" s="7" t="str">
        <f ca="1">IFERROR(__xludf.DUMMYFUNCTION("SPARKLINE({
IF(E723="""",0,E723),
IF(G723="""",0,G723),
IF(I723="""",0,I723),
IF(K723="""",0,K723),
IF(M723="""",0,M723),
IF(O723="""",0,O723),
IF(Q723="""",0,Q723)
})"),"")</f>
        <v/>
      </c>
      <c r="V723" s="8" t="e">
        <f t="array" aca="1" ref="V723" ca="1">IF($C$4="Giao",_xludf.Xlookup(C723,#REF!,#REF!,),_xludf.Xlookup(C723,#REF!,#REF!,))</f>
        <v>#NAME?</v>
      </c>
      <c r="W723" s="8">
        <f t="array" ref="W723">IF($C$4="Giao", _xludf.Xlookup(C723,#REF!,#REF!,),)</f>
        <v>0</v>
      </c>
      <c r="X723" s="9">
        <f t="shared" si="8"/>
        <v>0</v>
      </c>
      <c r="Y723" s="7"/>
      <c r="Z723" s="7"/>
    </row>
    <row r="724" spans="1:26" ht="13" x14ac:dyDescent="0.6">
      <c r="A724" s="28" t="str">
        <f t="shared" si="7"/>
        <v/>
      </c>
      <c r="B724" s="7"/>
      <c r="C724" s="7"/>
      <c r="D724" s="9"/>
      <c r="E724" s="9"/>
      <c r="F724" s="9"/>
      <c r="G724" s="9"/>
      <c r="H724" s="9"/>
      <c r="I724" s="9"/>
      <c r="J724" s="9"/>
      <c r="K724" s="9"/>
      <c r="L724" s="9"/>
      <c r="M724" s="9"/>
      <c r="N724" s="9"/>
      <c r="O724" s="9"/>
      <c r="P724" s="29"/>
      <c r="Q724" s="29"/>
      <c r="R724" s="7"/>
      <c r="S724" s="7"/>
      <c r="T724" s="7" t="str">
        <f ca="1">IFERROR(__xludf.DUMMYFUNCTION("SPARKLINE({
IF(D724="""",0,D724),
IF(F724="""",0,F724),
IF(H724="""",0,H724),
IF(J724="""",0,J724),
IF(L724="""",0,L724),
IF(N724="""",0,N724),
IF(P724="""",0,P724)
})"),"")</f>
        <v/>
      </c>
      <c r="U724" s="7" t="str">
        <f ca="1">IFERROR(__xludf.DUMMYFUNCTION("SPARKLINE({
IF(E724="""",0,E724),
IF(G724="""",0,G724),
IF(I724="""",0,I724),
IF(K724="""",0,K724),
IF(M724="""",0,M724),
IF(O724="""",0,O724),
IF(Q724="""",0,Q724)
})"),"")</f>
        <v/>
      </c>
      <c r="V724" s="8" t="e">
        <f t="array" aca="1" ref="V724" ca="1">IF($C$4="Giao",_xludf.Xlookup(C724,#REF!,#REF!,),_xludf.Xlookup(C724,#REF!,#REF!,))</f>
        <v>#NAME?</v>
      </c>
      <c r="W724" s="8">
        <f t="array" ref="W724">IF($C$4="Giao", _xludf.Xlookup(C724,#REF!,#REF!,),)</f>
        <v>0</v>
      </c>
      <c r="X724" s="9">
        <f t="shared" si="8"/>
        <v>0</v>
      </c>
      <c r="Y724" s="7"/>
      <c r="Z724" s="7"/>
    </row>
    <row r="725" spans="1:26" ht="13" x14ac:dyDescent="0.6">
      <c r="A725" s="28" t="str">
        <f t="shared" si="7"/>
        <v/>
      </c>
      <c r="B725" s="7"/>
      <c r="C725" s="7"/>
      <c r="D725" s="9"/>
      <c r="E725" s="9"/>
      <c r="F725" s="9"/>
      <c r="G725" s="9"/>
      <c r="H725" s="9"/>
      <c r="I725" s="9"/>
      <c r="J725" s="9"/>
      <c r="K725" s="9"/>
      <c r="L725" s="9"/>
      <c r="M725" s="9"/>
      <c r="N725" s="9"/>
      <c r="O725" s="9"/>
      <c r="P725" s="29"/>
      <c r="Q725" s="29"/>
      <c r="R725" s="7"/>
      <c r="S725" s="7"/>
      <c r="T725" s="7" t="str">
        <f ca="1">IFERROR(__xludf.DUMMYFUNCTION("SPARKLINE({
IF(D725="""",0,D725),
IF(F725="""",0,F725),
IF(H725="""",0,H725),
IF(J725="""",0,J725),
IF(L725="""",0,L725),
IF(N725="""",0,N725),
IF(P725="""",0,P725)
})"),"")</f>
        <v/>
      </c>
      <c r="U725" s="7" t="str">
        <f ca="1">IFERROR(__xludf.DUMMYFUNCTION("SPARKLINE({
IF(E725="""",0,E725),
IF(G725="""",0,G725),
IF(I725="""",0,I725),
IF(K725="""",0,K725),
IF(M725="""",0,M725),
IF(O725="""",0,O725),
IF(Q725="""",0,Q725)
})"),"")</f>
        <v/>
      </c>
      <c r="V725" s="8" t="e">
        <f t="array" aca="1" ref="V725" ca="1">IF($C$4="Giao",_xludf.Xlookup(C725,#REF!,#REF!,),_xludf.Xlookup(C725,#REF!,#REF!,))</f>
        <v>#NAME?</v>
      </c>
      <c r="W725" s="8">
        <f t="array" ref="W725">IF($C$4="Giao", _xludf.Xlookup(C725,#REF!,#REF!,),)</f>
        <v>0</v>
      </c>
      <c r="X725" s="9">
        <f t="shared" si="8"/>
        <v>0</v>
      </c>
      <c r="Y725" s="7"/>
      <c r="Z725" s="7"/>
    </row>
    <row r="726" spans="1:26" ht="13" x14ac:dyDescent="0.6">
      <c r="A726" s="28" t="str">
        <f t="shared" si="7"/>
        <v/>
      </c>
      <c r="B726" s="7"/>
      <c r="C726" s="7"/>
      <c r="D726" s="9"/>
      <c r="E726" s="9"/>
      <c r="F726" s="9"/>
      <c r="G726" s="9"/>
      <c r="H726" s="9"/>
      <c r="I726" s="9"/>
      <c r="J726" s="9"/>
      <c r="K726" s="9"/>
      <c r="L726" s="9"/>
      <c r="M726" s="9"/>
      <c r="N726" s="9"/>
      <c r="O726" s="9"/>
      <c r="P726" s="29"/>
      <c r="Q726" s="29"/>
      <c r="R726" s="7"/>
      <c r="S726" s="7"/>
      <c r="T726" s="7" t="str">
        <f ca="1">IFERROR(__xludf.DUMMYFUNCTION("SPARKLINE({
IF(D726="""",0,D726),
IF(F726="""",0,F726),
IF(H726="""",0,H726),
IF(J726="""",0,J726),
IF(L726="""",0,L726),
IF(N726="""",0,N726),
IF(P726="""",0,P726)
})"),"")</f>
        <v/>
      </c>
      <c r="U726" s="7" t="str">
        <f ca="1">IFERROR(__xludf.DUMMYFUNCTION("SPARKLINE({
IF(E726="""",0,E726),
IF(G726="""",0,G726),
IF(I726="""",0,I726),
IF(K726="""",0,K726),
IF(M726="""",0,M726),
IF(O726="""",0,O726),
IF(Q726="""",0,Q726)
})"),"")</f>
        <v/>
      </c>
      <c r="V726" s="8" t="e">
        <f t="array" aca="1" ref="V726" ca="1">IF($C$4="Giao",_xludf.Xlookup(C726,#REF!,#REF!,),_xludf.Xlookup(C726,#REF!,#REF!,))</f>
        <v>#NAME?</v>
      </c>
      <c r="W726" s="8">
        <f t="array" ref="W726">IF($C$4="Giao", _xludf.Xlookup(C726,#REF!,#REF!,),)</f>
        <v>0</v>
      </c>
      <c r="X726" s="9">
        <f t="shared" si="8"/>
        <v>0</v>
      </c>
      <c r="Y726" s="7"/>
      <c r="Z726" s="7"/>
    </row>
    <row r="727" spans="1:26" ht="13" x14ac:dyDescent="0.6">
      <c r="A727" s="28" t="str">
        <f t="shared" si="7"/>
        <v/>
      </c>
      <c r="B727" s="7"/>
      <c r="C727" s="7"/>
      <c r="D727" s="9"/>
      <c r="E727" s="9"/>
      <c r="F727" s="9"/>
      <c r="G727" s="9"/>
      <c r="H727" s="9"/>
      <c r="I727" s="9"/>
      <c r="J727" s="9"/>
      <c r="K727" s="9"/>
      <c r="L727" s="9"/>
      <c r="M727" s="9"/>
      <c r="N727" s="9"/>
      <c r="O727" s="9"/>
      <c r="P727" s="29"/>
      <c r="Q727" s="29"/>
      <c r="R727" s="7"/>
      <c r="S727" s="7"/>
      <c r="T727" s="7" t="str">
        <f ca="1">IFERROR(__xludf.DUMMYFUNCTION("SPARKLINE({
IF(D727="""",0,D727),
IF(F727="""",0,F727),
IF(H727="""",0,H727),
IF(J727="""",0,J727),
IF(L727="""",0,L727),
IF(N727="""",0,N727),
IF(P727="""",0,P727)
})"),"")</f>
        <v/>
      </c>
      <c r="U727" s="7" t="str">
        <f ca="1">IFERROR(__xludf.DUMMYFUNCTION("SPARKLINE({
IF(E727="""",0,E727),
IF(G727="""",0,G727),
IF(I727="""",0,I727),
IF(K727="""",0,K727),
IF(M727="""",0,M727),
IF(O727="""",0,O727),
IF(Q727="""",0,Q727)
})"),"")</f>
        <v/>
      </c>
      <c r="V727" s="8" t="e">
        <f t="array" aca="1" ref="V727" ca="1">IF($C$4="Giao",_xludf.Xlookup(C727,#REF!,#REF!,),_xludf.Xlookup(C727,#REF!,#REF!,))</f>
        <v>#NAME?</v>
      </c>
      <c r="W727" s="8">
        <f t="array" ref="W727">IF($C$4="Giao", _xludf.Xlookup(C727,#REF!,#REF!,),)</f>
        <v>0</v>
      </c>
      <c r="X727" s="9">
        <f t="shared" si="8"/>
        <v>0</v>
      </c>
      <c r="Y727" s="7"/>
      <c r="Z727" s="7"/>
    </row>
    <row r="728" spans="1:26" ht="13" x14ac:dyDescent="0.6">
      <c r="A728" s="28" t="str">
        <f t="shared" si="7"/>
        <v/>
      </c>
      <c r="B728" s="7"/>
      <c r="C728" s="7"/>
      <c r="D728" s="9"/>
      <c r="E728" s="9"/>
      <c r="F728" s="9"/>
      <c r="G728" s="9"/>
      <c r="H728" s="9"/>
      <c r="I728" s="9"/>
      <c r="J728" s="9"/>
      <c r="K728" s="9"/>
      <c r="L728" s="9"/>
      <c r="M728" s="9"/>
      <c r="N728" s="9"/>
      <c r="O728" s="9"/>
      <c r="P728" s="29"/>
      <c r="Q728" s="29"/>
      <c r="R728" s="7"/>
      <c r="S728" s="7"/>
      <c r="T728" s="7" t="str">
        <f ca="1">IFERROR(__xludf.DUMMYFUNCTION("SPARKLINE({
IF(D728="""",0,D728),
IF(F728="""",0,F728),
IF(H728="""",0,H728),
IF(J728="""",0,J728),
IF(L728="""",0,L728),
IF(N728="""",0,N728),
IF(P728="""",0,P728)
})"),"")</f>
        <v/>
      </c>
      <c r="U728" s="7" t="str">
        <f ca="1">IFERROR(__xludf.DUMMYFUNCTION("SPARKLINE({
IF(E728="""",0,E728),
IF(G728="""",0,G728),
IF(I728="""",0,I728),
IF(K728="""",0,K728),
IF(M728="""",0,M728),
IF(O728="""",0,O728),
IF(Q728="""",0,Q728)
})"),"")</f>
        <v/>
      </c>
      <c r="V728" s="8" t="e">
        <f t="array" aca="1" ref="V728" ca="1">IF($C$4="Giao",_xludf.Xlookup(C728,#REF!,#REF!,),_xludf.Xlookup(C728,#REF!,#REF!,))</f>
        <v>#NAME?</v>
      </c>
      <c r="W728" s="8">
        <f t="array" ref="W728">IF($C$4="Giao", _xludf.Xlookup(C728,#REF!,#REF!,),)</f>
        <v>0</v>
      </c>
      <c r="X728" s="9">
        <f t="shared" si="8"/>
        <v>0</v>
      </c>
      <c r="Y728" s="7"/>
      <c r="Z728" s="7"/>
    </row>
    <row r="729" spans="1:26" ht="13" x14ac:dyDescent="0.6">
      <c r="A729" s="28" t="str">
        <f t="shared" si="7"/>
        <v/>
      </c>
      <c r="B729" s="7"/>
      <c r="C729" s="7"/>
      <c r="D729" s="9"/>
      <c r="E729" s="9"/>
      <c r="F729" s="9"/>
      <c r="G729" s="9"/>
      <c r="H729" s="9"/>
      <c r="I729" s="9"/>
      <c r="J729" s="9"/>
      <c r="K729" s="9"/>
      <c r="L729" s="9"/>
      <c r="M729" s="9"/>
      <c r="N729" s="9"/>
      <c r="O729" s="9"/>
      <c r="P729" s="29"/>
      <c r="Q729" s="29"/>
      <c r="R729" s="7"/>
      <c r="S729" s="7"/>
      <c r="T729" s="7" t="str">
        <f ca="1">IFERROR(__xludf.DUMMYFUNCTION("SPARKLINE({
IF(D729="""",0,D729),
IF(F729="""",0,F729),
IF(H729="""",0,H729),
IF(J729="""",0,J729),
IF(L729="""",0,L729),
IF(N729="""",0,N729),
IF(P729="""",0,P729)
})"),"")</f>
        <v/>
      </c>
      <c r="U729" s="7" t="str">
        <f ca="1">IFERROR(__xludf.DUMMYFUNCTION("SPARKLINE({
IF(E729="""",0,E729),
IF(G729="""",0,G729),
IF(I729="""",0,I729),
IF(K729="""",0,K729),
IF(M729="""",0,M729),
IF(O729="""",0,O729),
IF(Q729="""",0,Q729)
})"),"")</f>
        <v/>
      </c>
      <c r="V729" s="8" t="e">
        <f t="array" aca="1" ref="V729" ca="1">IF($C$4="Giao",_xludf.Xlookup(C729,#REF!,#REF!,),_xludf.Xlookup(C729,#REF!,#REF!,))</f>
        <v>#NAME?</v>
      </c>
      <c r="W729" s="8">
        <f t="array" ref="W729">IF($C$4="Giao", _xludf.Xlookup(C729,#REF!,#REF!,),)</f>
        <v>0</v>
      </c>
      <c r="X729" s="9">
        <f t="shared" si="8"/>
        <v>0</v>
      </c>
      <c r="Y729" s="7"/>
      <c r="Z729" s="7"/>
    </row>
    <row r="730" spans="1:26" ht="13" x14ac:dyDescent="0.6">
      <c r="A730" s="28" t="str">
        <f t="shared" si="7"/>
        <v/>
      </c>
      <c r="B730" s="7"/>
      <c r="C730" s="7"/>
      <c r="D730" s="9"/>
      <c r="E730" s="9"/>
      <c r="F730" s="9"/>
      <c r="G730" s="9"/>
      <c r="H730" s="9"/>
      <c r="I730" s="9"/>
      <c r="J730" s="9"/>
      <c r="K730" s="9"/>
      <c r="L730" s="9"/>
      <c r="M730" s="9"/>
      <c r="N730" s="9"/>
      <c r="O730" s="9"/>
      <c r="P730" s="29"/>
      <c r="Q730" s="29"/>
      <c r="R730" s="7"/>
      <c r="S730" s="7"/>
      <c r="T730" s="7" t="str">
        <f ca="1">IFERROR(__xludf.DUMMYFUNCTION("SPARKLINE({
IF(D730="""",0,D730),
IF(F730="""",0,F730),
IF(H730="""",0,H730),
IF(J730="""",0,J730),
IF(L730="""",0,L730),
IF(N730="""",0,N730),
IF(P730="""",0,P730)
})"),"")</f>
        <v/>
      </c>
      <c r="U730" s="7" t="str">
        <f ca="1">IFERROR(__xludf.DUMMYFUNCTION("SPARKLINE({
IF(E730="""",0,E730),
IF(G730="""",0,G730),
IF(I730="""",0,I730),
IF(K730="""",0,K730),
IF(M730="""",0,M730),
IF(O730="""",0,O730),
IF(Q730="""",0,Q730)
})"),"")</f>
        <v/>
      </c>
      <c r="V730" s="8" t="e">
        <f t="array" aca="1" ref="V730" ca="1">IF($C$4="Giao",_xludf.Xlookup(C730,#REF!,#REF!,),_xludf.Xlookup(C730,#REF!,#REF!,))</f>
        <v>#NAME?</v>
      </c>
      <c r="W730" s="8">
        <f t="array" ref="W730">IF($C$4="Giao", _xludf.Xlookup(C730,#REF!,#REF!,),)</f>
        <v>0</v>
      </c>
      <c r="X730" s="9">
        <f t="shared" si="8"/>
        <v>0</v>
      </c>
      <c r="Y730" s="7"/>
      <c r="Z730" s="7"/>
    </row>
    <row r="731" spans="1:26" ht="13" x14ac:dyDescent="0.6">
      <c r="A731" s="28" t="str">
        <f t="shared" si="7"/>
        <v/>
      </c>
      <c r="B731" s="7"/>
      <c r="C731" s="7"/>
      <c r="D731" s="9"/>
      <c r="E731" s="9"/>
      <c r="F731" s="9"/>
      <c r="G731" s="9"/>
      <c r="H731" s="9"/>
      <c r="I731" s="9"/>
      <c r="J731" s="9"/>
      <c r="K731" s="9"/>
      <c r="L731" s="9"/>
      <c r="M731" s="9"/>
      <c r="N731" s="9"/>
      <c r="O731" s="9"/>
      <c r="P731" s="29"/>
      <c r="Q731" s="29"/>
      <c r="R731" s="7"/>
      <c r="S731" s="7"/>
      <c r="T731" s="7" t="str">
        <f ca="1">IFERROR(__xludf.DUMMYFUNCTION("SPARKLINE({
IF(D731="""",0,D731),
IF(F731="""",0,F731),
IF(H731="""",0,H731),
IF(J731="""",0,J731),
IF(L731="""",0,L731),
IF(N731="""",0,N731),
IF(P731="""",0,P731)
})"),"")</f>
        <v/>
      </c>
      <c r="U731" s="7" t="str">
        <f ca="1">IFERROR(__xludf.DUMMYFUNCTION("SPARKLINE({
IF(E731="""",0,E731),
IF(G731="""",0,G731),
IF(I731="""",0,I731),
IF(K731="""",0,K731),
IF(M731="""",0,M731),
IF(O731="""",0,O731),
IF(Q731="""",0,Q731)
})"),"")</f>
        <v/>
      </c>
      <c r="V731" s="8" t="e">
        <f t="array" aca="1" ref="V731" ca="1">IF($C$4="Giao",_xludf.Xlookup(C731,#REF!,#REF!,),_xludf.Xlookup(C731,#REF!,#REF!,))</f>
        <v>#NAME?</v>
      </c>
      <c r="W731" s="8">
        <f t="array" ref="W731">IF($C$4="Giao", _xludf.Xlookup(C731,#REF!,#REF!,),)</f>
        <v>0</v>
      </c>
      <c r="X731" s="9">
        <f t="shared" si="8"/>
        <v>0</v>
      </c>
      <c r="Y731" s="7"/>
      <c r="Z731" s="7"/>
    </row>
    <row r="732" spans="1:26" ht="13" x14ac:dyDescent="0.6">
      <c r="A732" s="28" t="str">
        <f t="shared" si="7"/>
        <v/>
      </c>
      <c r="B732" s="7"/>
      <c r="C732" s="7"/>
      <c r="D732" s="9"/>
      <c r="E732" s="9"/>
      <c r="F732" s="9"/>
      <c r="G732" s="9"/>
      <c r="H732" s="9"/>
      <c r="I732" s="9"/>
      <c r="J732" s="9"/>
      <c r="K732" s="9"/>
      <c r="L732" s="9"/>
      <c r="M732" s="9"/>
      <c r="N732" s="9"/>
      <c r="O732" s="9"/>
      <c r="P732" s="29"/>
      <c r="Q732" s="29"/>
      <c r="R732" s="7"/>
      <c r="S732" s="7"/>
      <c r="T732" s="7" t="str">
        <f ca="1">IFERROR(__xludf.DUMMYFUNCTION("SPARKLINE({
IF(D732="""",0,D732),
IF(F732="""",0,F732),
IF(H732="""",0,H732),
IF(J732="""",0,J732),
IF(L732="""",0,L732),
IF(N732="""",0,N732),
IF(P732="""",0,P732)
})"),"")</f>
        <v/>
      </c>
      <c r="U732" s="7" t="str">
        <f ca="1">IFERROR(__xludf.DUMMYFUNCTION("SPARKLINE({
IF(E732="""",0,E732),
IF(G732="""",0,G732),
IF(I732="""",0,I732),
IF(K732="""",0,K732),
IF(M732="""",0,M732),
IF(O732="""",0,O732),
IF(Q732="""",0,Q732)
})"),"")</f>
        <v/>
      </c>
      <c r="V732" s="8" t="e">
        <f t="array" aca="1" ref="V732" ca="1">IF($C$4="Giao",_xludf.Xlookup(C732,#REF!,#REF!,),_xludf.Xlookup(C732,#REF!,#REF!,))</f>
        <v>#NAME?</v>
      </c>
      <c r="W732" s="8">
        <f t="array" ref="W732">IF($C$4="Giao", _xludf.Xlookup(C732,#REF!,#REF!,),)</f>
        <v>0</v>
      </c>
      <c r="X732" s="9">
        <f t="shared" si="8"/>
        <v>0</v>
      </c>
      <c r="Y732" s="7"/>
      <c r="Z732" s="7"/>
    </row>
    <row r="733" spans="1:26" ht="13" x14ac:dyDescent="0.6">
      <c r="A733" s="28" t="str">
        <f t="shared" si="7"/>
        <v/>
      </c>
      <c r="B733" s="7"/>
      <c r="C733" s="7"/>
      <c r="D733" s="9"/>
      <c r="E733" s="9"/>
      <c r="F733" s="9"/>
      <c r="G733" s="9"/>
      <c r="H733" s="9"/>
      <c r="I733" s="9"/>
      <c r="J733" s="9"/>
      <c r="K733" s="9"/>
      <c r="L733" s="9"/>
      <c r="M733" s="9"/>
      <c r="N733" s="9"/>
      <c r="O733" s="9"/>
      <c r="P733" s="29"/>
      <c r="Q733" s="29"/>
      <c r="R733" s="7"/>
      <c r="S733" s="7"/>
      <c r="T733" s="7" t="str">
        <f ca="1">IFERROR(__xludf.DUMMYFUNCTION("SPARKLINE({
IF(D733="""",0,D733),
IF(F733="""",0,F733),
IF(H733="""",0,H733),
IF(J733="""",0,J733),
IF(L733="""",0,L733),
IF(N733="""",0,N733),
IF(P733="""",0,P733)
})"),"")</f>
        <v/>
      </c>
      <c r="U733" s="7" t="str">
        <f ca="1">IFERROR(__xludf.DUMMYFUNCTION("SPARKLINE({
IF(E733="""",0,E733),
IF(G733="""",0,G733),
IF(I733="""",0,I733),
IF(K733="""",0,K733),
IF(M733="""",0,M733),
IF(O733="""",0,O733),
IF(Q733="""",0,Q733)
})"),"")</f>
        <v/>
      </c>
      <c r="V733" s="8" t="e">
        <f t="array" aca="1" ref="V733" ca="1">IF($C$4="Giao",_xludf.Xlookup(C733,#REF!,#REF!,),_xludf.Xlookup(C733,#REF!,#REF!,))</f>
        <v>#NAME?</v>
      </c>
      <c r="W733" s="8">
        <f t="array" ref="W733">IF($C$4="Giao", _xludf.Xlookup(C733,#REF!,#REF!,),)</f>
        <v>0</v>
      </c>
      <c r="X733" s="9">
        <f t="shared" si="8"/>
        <v>0</v>
      </c>
      <c r="Y733" s="7"/>
      <c r="Z733" s="7"/>
    </row>
    <row r="734" spans="1:26" ht="13" x14ac:dyDescent="0.6">
      <c r="A734" s="28" t="str">
        <f t="shared" si="7"/>
        <v/>
      </c>
      <c r="B734" s="7"/>
      <c r="C734" s="7"/>
      <c r="D734" s="9"/>
      <c r="E734" s="9"/>
      <c r="F734" s="9"/>
      <c r="G734" s="9"/>
      <c r="H734" s="9"/>
      <c r="I734" s="9"/>
      <c r="J734" s="9"/>
      <c r="K734" s="9"/>
      <c r="L734" s="9"/>
      <c r="M734" s="9"/>
      <c r="N734" s="9"/>
      <c r="O734" s="9"/>
      <c r="P734" s="29"/>
      <c r="Q734" s="29"/>
      <c r="R734" s="7"/>
      <c r="S734" s="7"/>
      <c r="T734" s="7" t="str">
        <f ca="1">IFERROR(__xludf.DUMMYFUNCTION("SPARKLINE({
IF(D734="""",0,D734),
IF(F734="""",0,F734),
IF(H734="""",0,H734),
IF(J734="""",0,J734),
IF(L734="""",0,L734),
IF(N734="""",0,N734),
IF(P734="""",0,P734)
})"),"")</f>
        <v/>
      </c>
      <c r="U734" s="7" t="str">
        <f ca="1">IFERROR(__xludf.DUMMYFUNCTION("SPARKLINE({
IF(E734="""",0,E734),
IF(G734="""",0,G734),
IF(I734="""",0,I734),
IF(K734="""",0,K734),
IF(M734="""",0,M734),
IF(O734="""",0,O734),
IF(Q734="""",0,Q734)
})"),"")</f>
        <v/>
      </c>
      <c r="V734" s="8" t="e">
        <f t="array" aca="1" ref="V734" ca="1">IF($C$4="Giao",_xludf.Xlookup(C734,#REF!,#REF!,),_xludf.Xlookup(C734,#REF!,#REF!,))</f>
        <v>#NAME?</v>
      </c>
      <c r="W734" s="8">
        <f t="array" ref="W734">IF($C$4="Giao", _xludf.Xlookup(C734,#REF!,#REF!,),)</f>
        <v>0</v>
      </c>
      <c r="X734" s="9">
        <f t="shared" si="8"/>
        <v>0</v>
      </c>
      <c r="Y734" s="7"/>
      <c r="Z734" s="7"/>
    </row>
    <row r="735" spans="1:26" ht="13" x14ac:dyDescent="0.6">
      <c r="A735" s="28" t="str">
        <f t="shared" si="7"/>
        <v/>
      </c>
      <c r="B735" s="7"/>
      <c r="C735" s="7"/>
      <c r="D735" s="9"/>
      <c r="E735" s="9"/>
      <c r="F735" s="9"/>
      <c r="G735" s="9"/>
      <c r="H735" s="9"/>
      <c r="I735" s="9"/>
      <c r="J735" s="9"/>
      <c r="K735" s="9"/>
      <c r="L735" s="9"/>
      <c r="M735" s="9"/>
      <c r="N735" s="9"/>
      <c r="O735" s="9"/>
      <c r="P735" s="29"/>
      <c r="Q735" s="29"/>
      <c r="R735" s="7"/>
      <c r="S735" s="7"/>
      <c r="T735" s="7" t="str">
        <f ca="1">IFERROR(__xludf.DUMMYFUNCTION("SPARKLINE({
IF(D735="""",0,D735),
IF(F735="""",0,F735),
IF(H735="""",0,H735),
IF(J735="""",0,J735),
IF(L735="""",0,L735),
IF(N735="""",0,N735),
IF(P735="""",0,P735)
})"),"")</f>
        <v/>
      </c>
      <c r="U735" s="7" t="str">
        <f ca="1">IFERROR(__xludf.DUMMYFUNCTION("SPARKLINE({
IF(E735="""",0,E735),
IF(G735="""",0,G735),
IF(I735="""",0,I735),
IF(K735="""",0,K735),
IF(M735="""",0,M735),
IF(O735="""",0,O735),
IF(Q735="""",0,Q735)
})"),"")</f>
        <v/>
      </c>
      <c r="V735" s="8" t="e">
        <f t="array" aca="1" ref="V735" ca="1">IF($C$4="Giao",_xludf.Xlookup(C735,#REF!,#REF!,),_xludf.Xlookup(C735,#REF!,#REF!,))</f>
        <v>#NAME?</v>
      </c>
      <c r="W735" s="8">
        <f t="array" ref="W735">IF($C$4="Giao", _xludf.Xlookup(C735,#REF!,#REF!,),)</f>
        <v>0</v>
      </c>
      <c r="X735" s="9">
        <f t="shared" si="8"/>
        <v>0</v>
      </c>
      <c r="Y735" s="7"/>
      <c r="Z735" s="7"/>
    </row>
    <row r="736" spans="1:26" ht="13" x14ac:dyDescent="0.6">
      <c r="A736" s="28" t="str">
        <f t="shared" si="7"/>
        <v/>
      </c>
      <c r="B736" s="7"/>
      <c r="C736" s="7"/>
      <c r="D736" s="9"/>
      <c r="E736" s="9"/>
      <c r="F736" s="9"/>
      <c r="G736" s="9"/>
      <c r="H736" s="9"/>
      <c r="I736" s="9"/>
      <c r="J736" s="9"/>
      <c r="K736" s="9"/>
      <c r="L736" s="9"/>
      <c r="M736" s="9"/>
      <c r="N736" s="9"/>
      <c r="O736" s="9"/>
      <c r="P736" s="29"/>
      <c r="Q736" s="29"/>
      <c r="R736" s="7"/>
      <c r="S736" s="7"/>
      <c r="T736" s="7" t="str">
        <f ca="1">IFERROR(__xludf.DUMMYFUNCTION("SPARKLINE({
IF(D736="""",0,D736),
IF(F736="""",0,F736),
IF(H736="""",0,H736),
IF(J736="""",0,J736),
IF(L736="""",0,L736),
IF(N736="""",0,N736),
IF(P736="""",0,P736)
})"),"")</f>
        <v/>
      </c>
      <c r="U736" s="7" t="str">
        <f ca="1">IFERROR(__xludf.DUMMYFUNCTION("SPARKLINE({
IF(E736="""",0,E736),
IF(G736="""",0,G736),
IF(I736="""",0,I736),
IF(K736="""",0,K736),
IF(M736="""",0,M736),
IF(O736="""",0,O736),
IF(Q736="""",0,Q736)
})"),"")</f>
        <v/>
      </c>
      <c r="V736" s="8" t="e">
        <f t="array" aca="1" ref="V736" ca="1">IF($C$4="Giao",_xludf.Xlookup(C736,#REF!,#REF!,),_xludf.Xlookup(C736,#REF!,#REF!,))</f>
        <v>#NAME?</v>
      </c>
      <c r="W736" s="8">
        <f t="array" ref="W736">IF($C$4="Giao", _xludf.Xlookup(C736,#REF!,#REF!,),)</f>
        <v>0</v>
      </c>
      <c r="X736" s="9">
        <f t="shared" si="8"/>
        <v>0</v>
      </c>
      <c r="Y736" s="7"/>
      <c r="Z736" s="7"/>
    </row>
    <row r="737" spans="1:26" ht="13" x14ac:dyDescent="0.6">
      <c r="A737" s="28" t="str">
        <f t="shared" si="7"/>
        <v/>
      </c>
      <c r="B737" s="7"/>
      <c r="C737" s="7"/>
      <c r="D737" s="9"/>
      <c r="E737" s="9"/>
      <c r="F737" s="9"/>
      <c r="G737" s="9"/>
      <c r="H737" s="9"/>
      <c r="I737" s="9"/>
      <c r="J737" s="9"/>
      <c r="K737" s="9"/>
      <c r="L737" s="9"/>
      <c r="M737" s="9"/>
      <c r="N737" s="9"/>
      <c r="O737" s="9"/>
      <c r="P737" s="29"/>
      <c r="Q737" s="29"/>
      <c r="R737" s="7"/>
      <c r="S737" s="7"/>
      <c r="T737" s="7" t="str">
        <f ca="1">IFERROR(__xludf.DUMMYFUNCTION("SPARKLINE({
IF(D737="""",0,D737),
IF(F737="""",0,F737),
IF(H737="""",0,H737),
IF(J737="""",0,J737),
IF(L737="""",0,L737),
IF(N737="""",0,N737),
IF(P737="""",0,P737)
})"),"")</f>
        <v/>
      </c>
      <c r="U737" s="7" t="str">
        <f ca="1">IFERROR(__xludf.DUMMYFUNCTION("SPARKLINE({
IF(E737="""",0,E737),
IF(G737="""",0,G737),
IF(I737="""",0,I737),
IF(K737="""",0,K737),
IF(M737="""",0,M737),
IF(O737="""",0,O737),
IF(Q737="""",0,Q737)
})"),"")</f>
        <v/>
      </c>
      <c r="V737" s="8" t="e">
        <f t="array" aca="1" ref="V737" ca="1">IF($C$4="Giao",_xludf.Xlookup(C737,#REF!,#REF!,),_xludf.Xlookup(C737,#REF!,#REF!,))</f>
        <v>#NAME?</v>
      </c>
      <c r="W737" s="8">
        <f t="array" ref="W737">IF($C$4="Giao", _xludf.Xlookup(C737,#REF!,#REF!,),)</f>
        <v>0</v>
      </c>
      <c r="X737" s="9">
        <f t="shared" si="8"/>
        <v>0</v>
      </c>
      <c r="Y737" s="7"/>
      <c r="Z737" s="7"/>
    </row>
    <row r="738" spans="1:26" ht="13" x14ac:dyDescent="0.6">
      <c r="A738" s="28" t="str">
        <f t="shared" si="7"/>
        <v/>
      </c>
      <c r="B738" s="7"/>
      <c r="C738" s="7"/>
      <c r="D738" s="9"/>
      <c r="E738" s="9"/>
      <c r="F738" s="9"/>
      <c r="G738" s="9"/>
      <c r="H738" s="9"/>
      <c r="I738" s="9"/>
      <c r="J738" s="9"/>
      <c r="K738" s="9"/>
      <c r="L738" s="9"/>
      <c r="M738" s="9"/>
      <c r="N738" s="9"/>
      <c r="O738" s="9"/>
      <c r="P738" s="29"/>
      <c r="Q738" s="29"/>
      <c r="R738" s="7"/>
      <c r="S738" s="7"/>
      <c r="T738" s="7" t="str">
        <f ca="1">IFERROR(__xludf.DUMMYFUNCTION("SPARKLINE({
IF(D738="""",0,D738),
IF(F738="""",0,F738),
IF(H738="""",0,H738),
IF(J738="""",0,J738),
IF(L738="""",0,L738),
IF(N738="""",0,N738),
IF(P738="""",0,P738)
})"),"")</f>
        <v/>
      </c>
      <c r="U738" s="7" t="str">
        <f ca="1">IFERROR(__xludf.DUMMYFUNCTION("SPARKLINE({
IF(E738="""",0,E738),
IF(G738="""",0,G738),
IF(I738="""",0,I738),
IF(K738="""",0,K738),
IF(M738="""",0,M738),
IF(O738="""",0,O738),
IF(Q738="""",0,Q738)
})"),"")</f>
        <v/>
      </c>
      <c r="V738" s="8" t="e">
        <f t="array" aca="1" ref="V738" ca="1">IF($C$4="Giao",_xludf.Xlookup(C738,#REF!,#REF!,),_xludf.Xlookup(C738,#REF!,#REF!,))</f>
        <v>#NAME?</v>
      </c>
      <c r="W738" s="8">
        <f t="array" ref="W738">IF($C$4="Giao", _xludf.Xlookup(C738,#REF!,#REF!,),)</f>
        <v>0</v>
      </c>
      <c r="X738" s="9">
        <f t="shared" si="8"/>
        <v>0</v>
      </c>
      <c r="Y738" s="7"/>
      <c r="Z738" s="7"/>
    </row>
    <row r="739" spans="1:26" ht="13" x14ac:dyDescent="0.6">
      <c r="A739" s="28" t="str">
        <f t="shared" si="7"/>
        <v/>
      </c>
      <c r="B739" s="7"/>
      <c r="C739" s="7"/>
      <c r="D739" s="9"/>
      <c r="E739" s="9"/>
      <c r="F739" s="9"/>
      <c r="G739" s="9"/>
      <c r="H739" s="9"/>
      <c r="I739" s="9"/>
      <c r="J739" s="9"/>
      <c r="K739" s="9"/>
      <c r="L739" s="9"/>
      <c r="M739" s="9"/>
      <c r="N739" s="9"/>
      <c r="O739" s="9"/>
      <c r="P739" s="29"/>
      <c r="Q739" s="29"/>
      <c r="R739" s="7"/>
      <c r="S739" s="7"/>
      <c r="T739" s="7" t="str">
        <f ca="1">IFERROR(__xludf.DUMMYFUNCTION("SPARKLINE({
IF(D739="""",0,D739),
IF(F739="""",0,F739),
IF(H739="""",0,H739),
IF(J739="""",0,J739),
IF(L739="""",0,L739),
IF(N739="""",0,N739),
IF(P739="""",0,P739)
})"),"")</f>
        <v/>
      </c>
      <c r="U739" s="7" t="str">
        <f ca="1">IFERROR(__xludf.DUMMYFUNCTION("SPARKLINE({
IF(E739="""",0,E739),
IF(G739="""",0,G739),
IF(I739="""",0,I739),
IF(K739="""",0,K739),
IF(M739="""",0,M739),
IF(O739="""",0,O739),
IF(Q739="""",0,Q739)
})"),"")</f>
        <v/>
      </c>
      <c r="V739" s="8" t="e">
        <f t="array" aca="1" ref="V739" ca="1">IF($C$4="Giao",_xludf.Xlookup(C739,#REF!,#REF!,),_xludf.Xlookup(C739,#REF!,#REF!,))</f>
        <v>#NAME?</v>
      </c>
      <c r="W739" s="8">
        <f t="array" ref="W739">IF($C$4="Giao", _xludf.Xlookup(C739,#REF!,#REF!,),)</f>
        <v>0</v>
      </c>
      <c r="X739" s="9">
        <f t="shared" si="8"/>
        <v>0</v>
      </c>
      <c r="Y739" s="7"/>
      <c r="Z739" s="7"/>
    </row>
    <row r="740" spans="1:26" ht="13" x14ac:dyDescent="0.6">
      <c r="A740" s="28" t="str">
        <f t="shared" si="7"/>
        <v/>
      </c>
      <c r="B740" s="7"/>
      <c r="C740" s="7"/>
      <c r="D740" s="9"/>
      <c r="E740" s="9"/>
      <c r="F740" s="9"/>
      <c r="G740" s="9"/>
      <c r="H740" s="9"/>
      <c r="I740" s="9"/>
      <c r="J740" s="9"/>
      <c r="K740" s="9"/>
      <c r="L740" s="9"/>
      <c r="M740" s="9"/>
      <c r="N740" s="9"/>
      <c r="O740" s="9"/>
      <c r="P740" s="29"/>
      <c r="Q740" s="29"/>
      <c r="R740" s="7"/>
      <c r="S740" s="7"/>
      <c r="T740" s="7" t="str">
        <f ca="1">IFERROR(__xludf.DUMMYFUNCTION("SPARKLINE({
IF(D740="""",0,D740),
IF(F740="""",0,F740),
IF(H740="""",0,H740),
IF(J740="""",0,J740),
IF(L740="""",0,L740),
IF(N740="""",0,N740),
IF(P740="""",0,P740)
})"),"")</f>
        <v/>
      </c>
      <c r="U740" s="7" t="str">
        <f ca="1">IFERROR(__xludf.DUMMYFUNCTION("SPARKLINE({
IF(E740="""",0,E740),
IF(G740="""",0,G740),
IF(I740="""",0,I740),
IF(K740="""",0,K740),
IF(M740="""",0,M740),
IF(O740="""",0,O740),
IF(Q740="""",0,Q740)
})"),"")</f>
        <v/>
      </c>
      <c r="V740" s="8" t="e">
        <f t="array" aca="1" ref="V740" ca="1">IF($C$4="Giao",_xludf.Xlookup(C740,#REF!,#REF!,),_xludf.Xlookup(C740,#REF!,#REF!,))</f>
        <v>#NAME?</v>
      </c>
      <c r="W740" s="8">
        <f t="array" ref="W740">IF($C$4="Giao", _xludf.Xlookup(C740,#REF!,#REF!,),)</f>
        <v>0</v>
      </c>
      <c r="X740" s="9">
        <f t="shared" si="8"/>
        <v>0</v>
      </c>
      <c r="Y740" s="7"/>
      <c r="Z740" s="7"/>
    </row>
    <row r="741" spans="1:26" ht="13" x14ac:dyDescent="0.6">
      <c r="A741" s="28" t="str">
        <f t="shared" si="7"/>
        <v/>
      </c>
      <c r="B741" s="7"/>
      <c r="C741" s="7"/>
      <c r="D741" s="9"/>
      <c r="E741" s="9"/>
      <c r="F741" s="9"/>
      <c r="G741" s="9"/>
      <c r="H741" s="9"/>
      <c r="I741" s="9"/>
      <c r="J741" s="9"/>
      <c r="K741" s="9"/>
      <c r="L741" s="9"/>
      <c r="M741" s="9"/>
      <c r="N741" s="9"/>
      <c r="O741" s="9"/>
      <c r="P741" s="29"/>
      <c r="Q741" s="29"/>
      <c r="R741" s="7"/>
      <c r="S741" s="7"/>
      <c r="T741" s="7" t="str">
        <f ca="1">IFERROR(__xludf.DUMMYFUNCTION("SPARKLINE({
IF(D741="""",0,D741),
IF(F741="""",0,F741),
IF(H741="""",0,H741),
IF(J741="""",0,J741),
IF(L741="""",0,L741),
IF(N741="""",0,N741),
IF(P741="""",0,P741)
})"),"")</f>
        <v/>
      </c>
      <c r="U741" s="7" t="str">
        <f ca="1">IFERROR(__xludf.DUMMYFUNCTION("SPARKLINE({
IF(E741="""",0,E741),
IF(G741="""",0,G741),
IF(I741="""",0,I741),
IF(K741="""",0,K741),
IF(M741="""",0,M741),
IF(O741="""",0,O741),
IF(Q741="""",0,Q741)
})"),"")</f>
        <v/>
      </c>
      <c r="V741" s="8" t="e">
        <f t="array" aca="1" ref="V741" ca="1">IF($C$4="Giao",_xludf.Xlookup(C741,#REF!,#REF!,),_xludf.Xlookup(C741,#REF!,#REF!,))</f>
        <v>#NAME?</v>
      </c>
      <c r="W741" s="8">
        <f t="array" ref="W741">IF($C$4="Giao", _xludf.Xlookup(C741,#REF!,#REF!,),)</f>
        <v>0</v>
      </c>
      <c r="X741" s="9">
        <f t="shared" si="8"/>
        <v>0</v>
      </c>
      <c r="Y741" s="7"/>
      <c r="Z741" s="7"/>
    </row>
    <row r="742" spans="1:26" ht="13" x14ac:dyDescent="0.6">
      <c r="A742" s="28" t="str">
        <f t="shared" si="7"/>
        <v/>
      </c>
      <c r="B742" s="7"/>
      <c r="C742" s="7"/>
      <c r="D742" s="9"/>
      <c r="E742" s="9"/>
      <c r="F742" s="9"/>
      <c r="G742" s="9"/>
      <c r="H742" s="9"/>
      <c r="I742" s="9"/>
      <c r="J742" s="9"/>
      <c r="K742" s="9"/>
      <c r="L742" s="9"/>
      <c r="M742" s="9"/>
      <c r="N742" s="9"/>
      <c r="O742" s="9"/>
      <c r="P742" s="29"/>
      <c r="Q742" s="29"/>
      <c r="R742" s="7"/>
      <c r="S742" s="7"/>
      <c r="T742" s="7" t="str">
        <f ca="1">IFERROR(__xludf.DUMMYFUNCTION("SPARKLINE({
IF(D742="""",0,D742),
IF(F742="""",0,F742),
IF(H742="""",0,H742),
IF(J742="""",0,J742),
IF(L742="""",0,L742),
IF(N742="""",0,N742),
IF(P742="""",0,P742)
})"),"")</f>
        <v/>
      </c>
      <c r="U742" s="7" t="str">
        <f ca="1">IFERROR(__xludf.DUMMYFUNCTION("SPARKLINE({
IF(E742="""",0,E742),
IF(G742="""",0,G742),
IF(I742="""",0,I742),
IF(K742="""",0,K742),
IF(M742="""",0,M742),
IF(O742="""",0,O742),
IF(Q742="""",0,Q742)
})"),"")</f>
        <v/>
      </c>
      <c r="V742" s="8" t="e">
        <f t="array" aca="1" ref="V742" ca="1">IF($C$4="Giao",_xludf.Xlookup(C742,#REF!,#REF!,),_xludf.Xlookup(C742,#REF!,#REF!,))</f>
        <v>#NAME?</v>
      </c>
      <c r="W742" s="8">
        <f t="array" ref="W742">IF($C$4="Giao", _xludf.Xlookup(C742,#REF!,#REF!,),)</f>
        <v>0</v>
      </c>
      <c r="X742" s="9">
        <f t="shared" si="8"/>
        <v>0</v>
      </c>
      <c r="Y742" s="7"/>
      <c r="Z742" s="7"/>
    </row>
    <row r="743" spans="1:26" ht="13" x14ac:dyDescent="0.6">
      <c r="A743" s="28" t="str">
        <f t="shared" si="7"/>
        <v/>
      </c>
      <c r="B743" s="7"/>
      <c r="C743" s="7"/>
      <c r="D743" s="9"/>
      <c r="E743" s="9"/>
      <c r="F743" s="9"/>
      <c r="G743" s="9"/>
      <c r="H743" s="9"/>
      <c r="I743" s="9"/>
      <c r="J743" s="9"/>
      <c r="K743" s="9"/>
      <c r="L743" s="9"/>
      <c r="M743" s="9"/>
      <c r="N743" s="9"/>
      <c r="O743" s="9"/>
      <c r="P743" s="29"/>
      <c r="Q743" s="29"/>
      <c r="R743" s="7"/>
      <c r="S743" s="7"/>
      <c r="T743" s="7" t="str">
        <f ca="1">IFERROR(__xludf.DUMMYFUNCTION("SPARKLINE({
IF(D743="""",0,D743),
IF(F743="""",0,F743),
IF(H743="""",0,H743),
IF(J743="""",0,J743),
IF(L743="""",0,L743),
IF(N743="""",0,N743),
IF(P743="""",0,P743)
})"),"")</f>
        <v/>
      </c>
      <c r="U743" s="7" t="str">
        <f ca="1">IFERROR(__xludf.DUMMYFUNCTION("SPARKLINE({
IF(E743="""",0,E743),
IF(G743="""",0,G743),
IF(I743="""",0,I743),
IF(K743="""",0,K743),
IF(M743="""",0,M743),
IF(O743="""",0,O743),
IF(Q743="""",0,Q743)
})"),"")</f>
        <v/>
      </c>
      <c r="V743" s="8" t="e">
        <f t="array" aca="1" ref="V743" ca="1">IF($C$4="Giao",_xludf.Xlookup(C743,#REF!,#REF!,),_xludf.Xlookup(C743,#REF!,#REF!,))</f>
        <v>#NAME?</v>
      </c>
      <c r="W743" s="8">
        <f t="array" ref="W743">IF($C$4="Giao", _xludf.Xlookup(C743,#REF!,#REF!,),)</f>
        <v>0</v>
      </c>
      <c r="X743" s="9">
        <f t="shared" si="8"/>
        <v>0</v>
      </c>
      <c r="Y743" s="7"/>
      <c r="Z743" s="7"/>
    </row>
    <row r="744" spans="1:26" ht="13" x14ac:dyDescent="0.6">
      <c r="A744" s="28" t="str">
        <f t="shared" si="7"/>
        <v/>
      </c>
      <c r="B744" s="7"/>
      <c r="C744" s="7"/>
      <c r="D744" s="9"/>
      <c r="E744" s="9"/>
      <c r="F744" s="9"/>
      <c r="G744" s="9"/>
      <c r="H744" s="9"/>
      <c r="I744" s="9"/>
      <c r="J744" s="9"/>
      <c r="K744" s="9"/>
      <c r="L744" s="9"/>
      <c r="M744" s="9"/>
      <c r="N744" s="9"/>
      <c r="O744" s="9"/>
      <c r="P744" s="29"/>
      <c r="Q744" s="29"/>
      <c r="R744" s="7"/>
      <c r="S744" s="7"/>
      <c r="T744" s="7" t="str">
        <f ca="1">IFERROR(__xludf.DUMMYFUNCTION("SPARKLINE({
IF(D744="""",0,D744),
IF(F744="""",0,F744),
IF(H744="""",0,H744),
IF(J744="""",0,J744),
IF(L744="""",0,L744),
IF(N744="""",0,N744),
IF(P744="""",0,P744)
})"),"")</f>
        <v/>
      </c>
      <c r="U744" s="7" t="str">
        <f ca="1">IFERROR(__xludf.DUMMYFUNCTION("SPARKLINE({
IF(E744="""",0,E744),
IF(G744="""",0,G744),
IF(I744="""",0,I744),
IF(K744="""",0,K744),
IF(M744="""",0,M744),
IF(O744="""",0,O744),
IF(Q744="""",0,Q744)
})"),"")</f>
        <v/>
      </c>
      <c r="V744" s="8" t="e">
        <f t="array" aca="1" ref="V744" ca="1">IF($C$4="Giao",_xludf.Xlookup(C744,#REF!,#REF!,),_xludf.Xlookup(C744,#REF!,#REF!,))</f>
        <v>#NAME?</v>
      </c>
      <c r="W744" s="8">
        <f t="array" ref="W744">IF($C$4="Giao", _xludf.Xlookup(C744,#REF!,#REF!,),)</f>
        <v>0</v>
      </c>
      <c r="X744" s="9">
        <f t="shared" si="8"/>
        <v>0</v>
      </c>
      <c r="Y744" s="7"/>
      <c r="Z744" s="7"/>
    </row>
    <row r="745" spans="1:26" ht="13" x14ac:dyDescent="0.6">
      <c r="A745" s="28" t="str">
        <f t="shared" si="7"/>
        <v/>
      </c>
      <c r="B745" s="7"/>
      <c r="C745" s="7"/>
      <c r="D745" s="9"/>
      <c r="E745" s="9"/>
      <c r="F745" s="9"/>
      <c r="G745" s="9"/>
      <c r="H745" s="9"/>
      <c r="I745" s="9"/>
      <c r="J745" s="9"/>
      <c r="K745" s="9"/>
      <c r="L745" s="9"/>
      <c r="M745" s="9"/>
      <c r="N745" s="9"/>
      <c r="O745" s="9"/>
      <c r="P745" s="29"/>
      <c r="Q745" s="29"/>
      <c r="R745" s="7"/>
      <c r="S745" s="7"/>
      <c r="T745" s="7" t="str">
        <f ca="1">IFERROR(__xludf.DUMMYFUNCTION("SPARKLINE({
IF(D745="""",0,D745),
IF(F745="""",0,F745),
IF(H745="""",0,H745),
IF(J745="""",0,J745),
IF(L745="""",0,L745),
IF(N745="""",0,N745),
IF(P745="""",0,P745)
})"),"")</f>
        <v/>
      </c>
      <c r="U745" s="7" t="str">
        <f ca="1">IFERROR(__xludf.DUMMYFUNCTION("SPARKLINE({
IF(E745="""",0,E745),
IF(G745="""",0,G745),
IF(I745="""",0,I745),
IF(K745="""",0,K745),
IF(M745="""",0,M745),
IF(O745="""",0,O745),
IF(Q745="""",0,Q745)
})"),"")</f>
        <v/>
      </c>
      <c r="V745" s="8" t="e">
        <f t="array" aca="1" ref="V745" ca="1">IF($C$4="Giao",_xludf.Xlookup(C745,#REF!,#REF!,),_xludf.Xlookup(C745,#REF!,#REF!,))</f>
        <v>#NAME?</v>
      </c>
      <c r="W745" s="8">
        <f t="array" ref="W745">IF($C$4="Giao", _xludf.Xlookup(C745,#REF!,#REF!,),)</f>
        <v>0</v>
      </c>
      <c r="X745" s="9">
        <f t="shared" si="8"/>
        <v>0</v>
      </c>
      <c r="Y745" s="7"/>
      <c r="Z745" s="7"/>
    </row>
    <row r="746" spans="1:26" ht="13" x14ac:dyDescent="0.6">
      <c r="A746" s="28" t="str">
        <f t="shared" si="7"/>
        <v/>
      </c>
      <c r="B746" s="7"/>
      <c r="C746" s="7"/>
      <c r="D746" s="9"/>
      <c r="E746" s="9"/>
      <c r="F746" s="9"/>
      <c r="G746" s="9"/>
      <c r="H746" s="9"/>
      <c r="I746" s="9"/>
      <c r="J746" s="9"/>
      <c r="K746" s="9"/>
      <c r="L746" s="9"/>
      <c r="M746" s="9"/>
      <c r="N746" s="9"/>
      <c r="O746" s="9"/>
      <c r="P746" s="29"/>
      <c r="Q746" s="29"/>
      <c r="R746" s="7"/>
      <c r="S746" s="7"/>
      <c r="T746" s="7" t="str">
        <f ca="1">IFERROR(__xludf.DUMMYFUNCTION("SPARKLINE({
IF(D746="""",0,D746),
IF(F746="""",0,F746),
IF(H746="""",0,H746),
IF(J746="""",0,J746),
IF(L746="""",0,L746),
IF(N746="""",0,N746),
IF(P746="""",0,P746)
})"),"")</f>
        <v/>
      </c>
      <c r="U746" s="7" t="str">
        <f ca="1">IFERROR(__xludf.DUMMYFUNCTION("SPARKLINE({
IF(E746="""",0,E746),
IF(G746="""",0,G746),
IF(I746="""",0,I746),
IF(K746="""",0,K746),
IF(M746="""",0,M746),
IF(O746="""",0,O746),
IF(Q746="""",0,Q746)
})"),"")</f>
        <v/>
      </c>
      <c r="V746" s="8" t="e">
        <f t="array" aca="1" ref="V746" ca="1">IF($C$4="Giao",_xludf.Xlookup(C746,#REF!,#REF!,),_xludf.Xlookup(C746,#REF!,#REF!,))</f>
        <v>#NAME?</v>
      </c>
      <c r="W746" s="8">
        <f t="array" ref="W746">IF($C$4="Giao", _xludf.Xlookup(C746,#REF!,#REF!,),)</f>
        <v>0</v>
      </c>
      <c r="X746" s="9">
        <f t="shared" si="8"/>
        <v>0</v>
      </c>
      <c r="Y746" s="7"/>
      <c r="Z746" s="7"/>
    </row>
    <row r="747" spans="1:26" ht="13" x14ac:dyDescent="0.6">
      <c r="A747" s="28" t="str">
        <f t="shared" si="7"/>
        <v/>
      </c>
      <c r="B747" s="7"/>
      <c r="C747" s="7"/>
      <c r="D747" s="9"/>
      <c r="E747" s="9"/>
      <c r="F747" s="9"/>
      <c r="G747" s="9"/>
      <c r="H747" s="9"/>
      <c r="I747" s="9"/>
      <c r="J747" s="9"/>
      <c r="K747" s="9"/>
      <c r="L747" s="9"/>
      <c r="M747" s="9"/>
      <c r="N747" s="9"/>
      <c r="O747" s="9"/>
      <c r="P747" s="29"/>
      <c r="Q747" s="29"/>
      <c r="R747" s="7"/>
      <c r="S747" s="7"/>
      <c r="T747" s="7" t="str">
        <f ca="1">IFERROR(__xludf.DUMMYFUNCTION("SPARKLINE({
IF(D747="""",0,D747),
IF(F747="""",0,F747),
IF(H747="""",0,H747),
IF(J747="""",0,J747),
IF(L747="""",0,L747),
IF(N747="""",0,N747),
IF(P747="""",0,P747)
})"),"")</f>
        <v/>
      </c>
      <c r="U747" s="7" t="str">
        <f ca="1">IFERROR(__xludf.DUMMYFUNCTION("SPARKLINE({
IF(E747="""",0,E747),
IF(G747="""",0,G747),
IF(I747="""",0,I747),
IF(K747="""",0,K747),
IF(M747="""",0,M747),
IF(O747="""",0,O747),
IF(Q747="""",0,Q747)
})"),"")</f>
        <v/>
      </c>
      <c r="V747" s="8" t="e">
        <f t="array" aca="1" ref="V747" ca="1">IF($C$4="Giao",_xludf.Xlookup(C747,#REF!,#REF!,),_xludf.Xlookup(C747,#REF!,#REF!,))</f>
        <v>#NAME?</v>
      </c>
      <c r="W747" s="8">
        <f t="array" ref="W747">IF($C$4="Giao", _xludf.Xlookup(C747,#REF!,#REF!,),)</f>
        <v>0</v>
      </c>
      <c r="X747" s="9">
        <f t="shared" si="8"/>
        <v>0</v>
      </c>
      <c r="Y747" s="7"/>
      <c r="Z747" s="7"/>
    </row>
    <row r="748" spans="1:26" ht="13" x14ac:dyDescent="0.6">
      <c r="A748" s="28" t="str">
        <f t="shared" si="7"/>
        <v/>
      </c>
      <c r="B748" s="7"/>
      <c r="C748" s="7"/>
      <c r="D748" s="9"/>
      <c r="E748" s="9"/>
      <c r="F748" s="9"/>
      <c r="G748" s="9"/>
      <c r="H748" s="9"/>
      <c r="I748" s="9"/>
      <c r="J748" s="9"/>
      <c r="K748" s="9"/>
      <c r="L748" s="9"/>
      <c r="M748" s="9"/>
      <c r="N748" s="9"/>
      <c r="O748" s="9"/>
      <c r="P748" s="29"/>
      <c r="Q748" s="29"/>
      <c r="R748" s="7"/>
      <c r="S748" s="7"/>
      <c r="T748" s="7" t="str">
        <f ca="1">IFERROR(__xludf.DUMMYFUNCTION("SPARKLINE({
IF(D748="""",0,D748),
IF(F748="""",0,F748),
IF(H748="""",0,H748),
IF(J748="""",0,J748),
IF(L748="""",0,L748),
IF(N748="""",0,N748),
IF(P748="""",0,P748)
})"),"")</f>
        <v/>
      </c>
      <c r="U748" s="7" t="str">
        <f ca="1">IFERROR(__xludf.DUMMYFUNCTION("SPARKLINE({
IF(E748="""",0,E748),
IF(G748="""",0,G748),
IF(I748="""",0,I748),
IF(K748="""",0,K748),
IF(M748="""",0,M748),
IF(O748="""",0,O748),
IF(Q748="""",0,Q748)
})"),"")</f>
        <v/>
      </c>
      <c r="V748" s="8" t="e">
        <f t="array" aca="1" ref="V748" ca="1">IF($C$4="Giao",_xludf.Xlookup(C748,#REF!,#REF!,),_xludf.Xlookup(C748,#REF!,#REF!,))</f>
        <v>#NAME?</v>
      </c>
      <c r="W748" s="8">
        <f t="array" ref="W748">IF($C$4="Giao", _xludf.Xlookup(C748,#REF!,#REF!,),)</f>
        <v>0</v>
      </c>
      <c r="X748" s="9">
        <f t="shared" si="8"/>
        <v>0</v>
      </c>
      <c r="Y748" s="7"/>
      <c r="Z748" s="7"/>
    </row>
    <row r="749" spans="1:26" ht="13" x14ac:dyDescent="0.6">
      <c r="A749" s="28" t="str">
        <f t="shared" si="7"/>
        <v/>
      </c>
      <c r="B749" s="7"/>
      <c r="C749" s="7"/>
      <c r="D749" s="9"/>
      <c r="E749" s="9"/>
      <c r="F749" s="9"/>
      <c r="G749" s="9"/>
      <c r="H749" s="9"/>
      <c r="I749" s="9"/>
      <c r="J749" s="9"/>
      <c r="K749" s="9"/>
      <c r="L749" s="9"/>
      <c r="M749" s="9"/>
      <c r="N749" s="9"/>
      <c r="O749" s="9"/>
      <c r="P749" s="29"/>
      <c r="Q749" s="29"/>
      <c r="R749" s="7"/>
      <c r="S749" s="7"/>
      <c r="T749" s="7" t="str">
        <f ca="1">IFERROR(__xludf.DUMMYFUNCTION("SPARKLINE({
IF(D749="""",0,D749),
IF(F749="""",0,F749),
IF(H749="""",0,H749),
IF(J749="""",0,J749),
IF(L749="""",0,L749),
IF(N749="""",0,N749),
IF(P749="""",0,P749)
})"),"")</f>
        <v/>
      </c>
      <c r="U749" s="7" t="str">
        <f ca="1">IFERROR(__xludf.DUMMYFUNCTION("SPARKLINE({
IF(E749="""",0,E749),
IF(G749="""",0,G749),
IF(I749="""",0,I749),
IF(K749="""",0,K749),
IF(M749="""",0,M749),
IF(O749="""",0,O749),
IF(Q749="""",0,Q749)
})"),"")</f>
        <v/>
      </c>
      <c r="V749" s="8" t="e">
        <f t="array" aca="1" ref="V749" ca="1">IF($C$4="Giao",_xludf.Xlookup(C749,#REF!,#REF!,),_xludf.Xlookup(C749,#REF!,#REF!,))</f>
        <v>#NAME?</v>
      </c>
      <c r="W749" s="8">
        <f t="array" ref="W749">IF($C$4="Giao", _xludf.Xlookup(C749,#REF!,#REF!,),)</f>
        <v>0</v>
      </c>
      <c r="X749" s="9">
        <f t="shared" si="8"/>
        <v>0</v>
      </c>
      <c r="Y749" s="7"/>
      <c r="Z749" s="7"/>
    </row>
    <row r="750" spans="1:26" ht="13" x14ac:dyDescent="0.6">
      <c r="A750" s="28" t="str">
        <f t="shared" si="7"/>
        <v/>
      </c>
      <c r="B750" s="7"/>
      <c r="C750" s="7"/>
      <c r="D750" s="9"/>
      <c r="E750" s="9"/>
      <c r="F750" s="9"/>
      <c r="G750" s="9"/>
      <c r="H750" s="9"/>
      <c r="I750" s="9"/>
      <c r="J750" s="9"/>
      <c r="K750" s="9"/>
      <c r="L750" s="9"/>
      <c r="M750" s="9"/>
      <c r="N750" s="9"/>
      <c r="O750" s="9"/>
      <c r="P750" s="29"/>
      <c r="Q750" s="29"/>
      <c r="R750" s="7"/>
      <c r="S750" s="7"/>
      <c r="T750" s="7" t="str">
        <f ca="1">IFERROR(__xludf.DUMMYFUNCTION("SPARKLINE({
IF(D750="""",0,D750),
IF(F750="""",0,F750),
IF(H750="""",0,H750),
IF(J750="""",0,J750),
IF(L750="""",0,L750),
IF(N750="""",0,N750),
IF(P750="""",0,P750)
})"),"")</f>
        <v/>
      </c>
      <c r="U750" s="7" t="str">
        <f ca="1">IFERROR(__xludf.DUMMYFUNCTION("SPARKLINE({
IF(E750="""",0,E750),
IF(G750="""",0,G750),
IF(I750="""",0,I750),
IF(K750="""",0,K750),
IF(M750="""",0,M750),
IF(O750="""",0,O750),
IF(Q750="""",0,Q750)
})"),"")</f>
        <v/>
      </c>
      <c r="V750" s="8" t="e">
        <f t="array" aca="1" ref="V750" ca="1">IF($C$4="Giao",_xludf.Xlookup(C750,#REF!,#REF!,),_xludf.Xlookup(C750,#REF!,#REF!,))</f>
        <v>#NAME?</v>
      </c>
      <c r="W750" s="8">
        <f t="array" ref="W750">IF($C$4="Giao", _xludf.Xlookup(C750,#REF!,#REF!,),)</f>
        <v>0</v>
      </c>
      <c r="X750" s="9">
        <f t="shared" si="8"/>
        <v>0</v>
      </c>
      <c r="Y750" s="7"/>
      <c r="Z750" s="7"/>
    </row>
    <row r="751" spans="1:26" ht="13" x14ac:dyDescent="0.6">
      <c r="A751" s="28" t="str">
        <f t="shared" si="7"/>
        <v/>
      </c>
      <c r="B751" s="7"/>
      <c r="C751" s="7"/>
      <c r="D751" s="9"/>
      <c r="E751" s="9"/>
      <c r="F751" s="9"/>
      <c r="G751" s="9"/>
      <c r="H751" s="9"/>
      <c r="I751" s="9"/>
      <c r="J751" s="9"/>
      <c r="K751" s="9"/>
      <c r="L751" s="9"/>
      <c r="M751" s="9"/>
      <c r="N751" s="9"/>
      <c r="O751" s="9"/>
      <c r="P751" s="29"/>
      <c r="Q751" s="29"/>
      <c r="R751" s="7"/>
      <c r="S751" s="7"/>
      <c r="T751" s="7" t="str">
        <f ca="1">IFERROR(__xludf.DUMMYFUNCTION("SPARKLINE({
IF(D751="""",0,D751),
IF(F751="""",0,F751),
IF(H751="""",0,H751),
IF(J751="""",0,J751),
IF(L751="""",0,L751),
IF(N751="""",0,N751),
IF(P751="""",0,P751)
})"),"")</f>
        <v/>
      </c>
      <c r="U751" s="7" t="str">
        <f ca="1">IFERROR(__xludf.DUMMYFUNCTION("SPARKLINE({
IF(E751="""",0,E751),
IF(G751="""",0,G751),
IF(I751="""",0,I751),
IF(K751="""",0,K751),
IF(M751="""",0,M751),
IF(O751="""",0,O751),
IF(Q751="""",0,Q751)
})"),"")</f>
        <v/>
      </c>
      <c r="V751" s="8" t="e">
        <f t="array" aca="1" ref="V751" ca="1">IF($C$4="Giao",_xludf.Xlookup(C751,#REF!,#REF!,),_xludf.Xlookup(C751,#REF!,#REF!,))</f>
        <v>#NAME?</v>
      </c>
      <c r="W751" s="8">
        <f t="array" ref="W751">IF($C$4="Giao", _xludf.Xlookup(C751,#REF!,#REF!,),)</f>
        <v>0</v>
      </c>
      <c r="X751" s="9">
        <f t="shared" si="8"/>
        <v>0</v>
      </c>
      <c r="Y751" s="7"/>
      <c r="Z751" s="7"/>
    </row>
    <row r="752" spans="1:26" ht="13" x14ac:dyDescent="0.6">
      <c r="A752" s="28" t="str">
        <f t="shared" si="7"/>
        <v/>
      </c>
      <c r="B752" s="7"/>
      <c r="C752" s="7"/>
      <c r="D752" s="9"/>
      <c r="E752" s="9"/>
      <c r="F752" s="9"/>
      <c r="G752" s="9"/>
      <c r="H752" s="9"/>
      <c r="I752" s="9"/>
      <c r="J752" s="9"/>
      <c r="K752" s="9"/>
      <c r="L752" s="9"/>
      <c r="M752" s="9"/>
      <c r="N752" s="9"/>
      <c r="O752" s="9"/>
      <c r="P752" s="29"/>
      <c r="Q752" s="29"/>
      <c r="R752" s="7"/>
      <c r="S752" s="7"/>
      <c r="T752" s="7" t="str">
        <f ca="1">IFERROR(__xludf.DUMMYFUNCTION("SPARKLINE({
IF(D752="""",0,D752),
IF(F752="""",0,F752),
IF(H752="""",0,H752),
IF(J752="""",0,J752),
IF(L752="""",0,L752),
IF(N752="""",0,N752),
IF(P752="""",0,P752)
})"),"")</f>
        <v/>
      </c>
      <c r="U752" s="7" t="str">
        <f ca="1">IFERROR(__xludf.DUMMYFUNCTION("SPARKLINE({
IF(E752="""",0,E752),
IF(G752="""",0,G752),
IF(I752="""",0,I752),
IF(K752="""",0,K752),
IF(M752="""",0,M752),
IF(O752="""",0,O752),
IF(Q752="""",0,Q752)
})"),"")</f>
        <v/>
      </c>
      <c r="V752" s="8" t="e">
        <f t="array" aca="1" ref="V752" ca="1">IF($C$4="Giao",_xludf.Xlookup(C752,#REF!,#REF!,),_xludf.Xlookup(C752,#REF!,#REF!,))</f>
        <v>#NAME?</v>
      </c>
      <c r="W752" s="8">
        <f t="array" ref="W752">IF($C$4="Giao", _xludf.Xlookup(C752,#REF!,#REF!,),)</f>
        <v>0</v>
      </c>
      <c r="X752" s="9">
        <f t="shared" si="8"/>
        <v>0</v>
      </c>
      <c r="Y752" s="7"/>
      <c r="Z752" s="7"/>
    </row>
    <row r="753" spans="1:26" ht="13" x14ac:dyDescent="0.6">
      <c r="A753" s="28" t="str">
        <f t="shared" si="7"/>
        <v/>
      </c>
      <c r="B753" s="7"/>
      <c r="C753" s="7"/>
      <c r="D753" s="9"/>
      <c r="E753" s="9"/>
      <c r="F753" s="9"/>
      <c r="G753" s="9"/>
      <c r="H753" s="9"/>
      <c r="I753" s="9"/>
      <c r="J753" s="9"/>
      <c r="K753" s="9"/>
      <c r="L753" s="9"/>
      <c r="M753" s="9"/>
      <c r="N753" s="9"/>
      <c r="O753" s="9"/>
      <c r="P753" s="29"/>
      <c r="Q753" s="29"/>
      <c r="R753" s="7"/>
      <c r="S753" s="7"/>
      <c r="T753" s="7" t="str">
        <f ca="1">IFERROR(__xludf.DUMMYFUNCTION("SPARKLINE({
IF(D753="""",0,D753),
IF(F753="""",0,F753),
IF(H753="""",0,H753),
IF(J753="""",0,J753),
IF(L753="""",0,L753),
IF(N753="""",0,N753),
IF(P753="""",0,P753)
})"),"")</f>
        <v/>
      </c>
      <c r="U753" s="7" t="str">
        <f ca="1">IFERROR(__xludf.DUMMYFUNCTION("SPARKLINE({
IF(E753="""",0,E753),
IF(G753="""",0,G753),
IF(I753="""",0,I753),
IF(K753="""",0,K753),
IF(M753="""",0,M753),
IF(O753="""",0,O753),
IF(Q753="""",0,Q753)
})"),"")</f>
        <v/>
      </c>
      <c r="V753" s="8" t="e">
        <f t="array" aca="1" ref="V753" ca="1">IF($C$4="Giao",_xludf.Xlookup(C753,#REF!,#REF!,),_xludf.Xlookup(C753,#REF!,#REF!,))</f>
        <v>#NAME?</v>
      </c>
      <c r="W753" s="8">
        <f t="array" ref="W753">IF($C$4="Giao", _xludf.Xlookup(C753,#REF!,#REF!,),)</f>
        <v>0</v>
      </c>
      <c r="X753" s="9">
        <f t="shared" si="8"/>
        <v>0</v>
      </c>
      <c r="Y753" s="7"/>
      <c r="Z753" s="7"/>
    </row>
    <row r="754" spans="1:26" ht="13" x14ac:dyDescent="0.6">
      <c r="A754" s="28" t="str">
        <f t="shared" si="7"/>
        <v/>
      </c>
      <c r="B754" s="7"/>
      <c r="C754" s="7"/>
      <c r="D754" s="9"/>
      <c r="E754" s="9"/>
      <c r="F754" s="9"/>
      <c r="G754" s="9"/>
      <c r="H754" s="9"/>
      <c r="I754" s="9"/>
      <c r="J754" s="9"/>
      <c r="K754" s="9"/>
      <c r="L754" s="9"/>
      <c r="M754" s="9"/>
      <c r="N754" s="9"/>
      <c r="O754" s="9"/>
      <c r="P754" s="29"/>
      <c r="Q754" s="29"/>
      <c r="R754" s="7"/>
      <c r="S754" s="7"/>
      <c r="T754" s="7" t="str">
        <f ca="1">IFERROR(__xludf.DUMMYFUNCTION("SPARKLINE({
IF(D754="""",0,D754),
IF(F754="""",0,F754),
IF(H754="""",0,H754),
IF(J754="""",0,J754),
IF(L754="""",0,L754),
IF(N754="""",0,N754),
IF(P754="""",0,P754)
})"),"")</f>
        <v/>
      </c>
      <c r="U754" s="7" t="str">
        <f ca="1">IFERROR(__xludf.DUMMYFUNCTION("SPARKLINE({
IF(E754="""",0,E754),
IF(G754="""",0,G754),
IF(I754="""",0,I754),
IF(K754="""",0,K754),
IF(M754="""",0,M754),
IF(O754="""",0,O754),
IF(Q754="""",0,Q754)
})"),"")</f>
        <v/>
      </c>
      <c r="V754" s="8" t="e">
        <f t="array" aca="1" ref="V754" ca="1">IF($C$4="Giao",_xludf.Xlookup(C754,#REF!,#REF!,),_xludf.Xlookup(C754,#REF!,#REF!,))</f>
        <v>#NAME?</v>
      </c>
      <c r="W754" s="8">
        <f t="array" ref="W754">IF($C$4="Giao", _xludf.Xlookup(C754,#REF!,#REF!,),)</f>
        <v>0</v>
      </c>
      <c r="X754" s="9">
        <f t="shared" si="8"/>
        <v>0</v>
      </c>
      <c r="Y754" s="7"/>
      <c r="Z754" s="7"/>
    </row>
    <row r="755" spans="1:26" ht="13" x14ac:dyDescent="0.6">
      <c r="A755" s="28" t="str">
        <f t="shared" si="7"/>
        <v/>
      </c>
      <c r="B755" s="7"/>
      <c r="C755" s="7"/>
      <c r="D755" s="9"/>
      <c r="E755" s="9"/>
      <c r="F755" s="9"/>
      <c r="G755" s="9"/>
      <c r="H755" s="9"/>
      <c r="I755" s="9"/>
      <c r="J755" s="9"/>
      <c r="K755" s="9"/>
      <c r="L755" s="9"/>
      <c r="M755" s="9"/>
      <c r="N755" s="9"/>
      <c r="O755" s="9"/>
      <c r="P755" s="29"/>
      <c r="Q755" s="29"/>
      <c r="R755" s="7"/>
      <c r="S755" s="7"/>
      <c r="T755" s="7" t="str">
        <f ca="1">IFERROR(__xludf.DUMMYFUNCTION("SPARKLINE({
IF(D755="""",0,D755),
IF(F755="""",0,F755),
IF(H755="""",0,H755),
IF(J755="""",0,J755),
IF(L755="""",0,L755),
IF(N755="""",0,N755),
IF(P755="""",0,P755)
})"),"")</f>
        <v/>
      </c>
      <c r="U755" s="7" t="str">
        <f ca="1">IFERROR(__xludf.DUMMYFUNCTION("SPARKLINE({
IF(E755="""",0,E755),
IF(G755="""",0,G755),
IF(I755="""",0,I755),
IF(K755="""",0,K755),
IF(M755="""",0,M755),
IF(O755="""",0,O755),
IF(Q755="""",0,Q755)
})"),"")</f>
        <v/>
      </c>
      <c r="V755" s="8" t="e">
        <f t="array" aca="1" ref="V755" ca="1">IF($C$4="Giao",_xludf.Xlookup(C755,#REF!,#REF!,),_xludf.Xlookup(C755,#REF!,#REF!,))</f>
        <v>#NAME?</v>
      </c>
      <c r="W755" s="8">
        <f t="array" ref="W755">IF($C$4="Giao", _xludf.Xlookup(C755,#REF!,#REF!,),)</f>
        <v>0</v>
      </c>
      <c r="X755" s="9">
        <f t="shared" si="8"/>
        <v>0</v>
      </c>
      <c r="Y755" s="7"/>
      <c r="Z755" s="7"/>
    </row>
    <row r="756" spans="1:26" ht="13" x14ac:dyDescent="0.6">
      <c r="A756" s="28" t="str">
        <f t="shared" si="7"/>
        <v/>
      </c>
      <c r="B756" s="7"/>
      <c r="C756" s="7"/>
      <c r="D756" s="9"/>
      <c r="E756" s="9"/>
      <c r="F756" s="9"/>
      <c r="G756" s="9"/>
      <c r="H756" s="9"/>
      <c r="I756" s="9"/>
      <c r="J756" s="9"/>
      <c r="K756" s="9"/>
      <c r="L756" s="9"/>
      <c r="M756" s="9"/>
      <c r="N756" s="9"/>
      <c r="O756" s="9"/>
      <c r="P756" s="29"/>
      <c r="Q756" s="29"/>
      <c r="R756" s="7"/>
      <c r="S756" s="7"/>
      <c r="T756" s="7" t="str">
        <f ca="1">IFERROR(__xludf.DUMMYFUNCTION("SPARKLINE({
IF(D756="""",0,D756),
IF(F756="""",0,F756),
IF(H756="""",0,H756),
IF(J756="""",0,J756),
IF(L756="""",0,L756),
IF(N756="""",0,N756),
IF(P756="""",0,P756)
})"),"")</f>
        <v/>
      </c>
      <c r="U756" s="7" t="str">
        <f ca="1">IFERROR(__xludf.DUMMYFUNCTION("SPARKLINE({
IF(E756="""",0,E756),
IF(G756="""",0,G756),
IF(I756="""",0,I756),
IF(K756="""",0,K756),
IF(M756="""",0,M756),
IF(O756="""",0,O756),
IF(Q756="""",0,Q756)
})"),"")</f>
        <v/>
      </c>
      <c r="V756" s="8" t="e">
        <f t="array" aca="1" ref="V756" ca="1">IF($C$4="Giao",_xludf.Xlookup(C756,#REF!,#REF!,),_xludf.Xlookup(C756,#REF!,#REF!,))</f>
        <v>#NAME?</v>
      </c>
      <c r="W756" s="8">
        <f t="array" ref="W756">IF($C$4="Giao", _xludf.Xlookup(C756,#REF!,#REF!,),)</f>
        <v>0</v>
      </c>
      <c r="X756" s="9">
        <f t="shared" si="8"/>
        <v>0</v>
      </c>
      <c r="Y756" s="7"/>
      <c r="Z756" s="7"/>
    </row>
    <row r="757" spans="1:26" ht="13" x14ac:dyDescent="0.6">
      <c r="A757" s="28" t="str">
        <f t="shared" si="7"/>
        <v/>
      </c>
      <c r="B757" s="7"/>
      <c r="C757" s="7"/>
      <c r="D757" s="9"/>
      <c r="E757" s="9"/>
      <c r="F757" s="9"/>
      <c r="G757" s="9"/>
      <c r="H757" s="9"/>
      <c r="I757" s="9"/>
      <c r="J757" s="9"/>
      <c r="K757" s="9"/>
      <c r="L757" s="9"/>
      <c r="M757" s="9"/>
      <c r="N757" s="9"/>
      <c r="O757" s="9"/>
      <c r="P757" s="29"/>
      <c r="Q757" s="29"/>
      <c r="R757" s="7"/>
      <c r="S757" s="7"/>
      <c r="T757" s="7" t="str">
        <f ca="1">IFERROR(__xludf.DUMMYFUNCTION("SPARKLINE({
IF(D757="""",0,D757),
IF(F757="""",0,F757),
IF(H757="""",0,H757),
IF(J757="""",0,J757),
IF(L757="""",0,L757),
IF(N757="""",0,N757),
IF(P757="""",0,P757)
})"),"")</f>
        <v/>
      </c>
      <c r="U757" s="7" t="str">
        <f ca="1">IFERROR(__xludf.DUMMYFUNCTION("SPARKLINE({
IF(E757="""",0,E757),
IF(G757="""",0,G757),
IF(I757="""",0,I757),
IF(K757="""",0,K757),
IF(M757="""",0,M757),
IF(O757="""",0,O757),
IF(Q757="""",0,Q757)
})"),"")</f>
        <v/>
      </c>
      <c r="V757" s="8" t="e">
        <f t="array" aca="1" ref="V757" ca="1">IF($C$4="Giao",_xludf.Xlookup(C757,#REF!,#REF!,),_xludf.Xlookup(C757,#REF!,#REF!,))</f>
        <v>#NAME?</v>
      </c>
      <c r="W757" s="8">
        <f t="array" ref="W757">IF($C$4="Giao", _xludf.Xlookup(C757,#REF!,#REF!,),)</f>
        <v>0</v>
      </c>
      <c r="X757" s="9">
        <f t="shared" si="8"/>
        <v>0</v>
      </c>
      <c r="Y757" s="7"/>
      <c r="Z757" s="7"/>
    </row>
    <row r="758" spans="1:26" ht="13" x14ac:dyDescent="0.6">
      <c r="A758" s="28" t="str">
        <f t="shared" si="7"/>
        <v/>
      </c>
      <c r="B758" s="7"/>
      <c r="C758" s="7"/>
      <c r="D758" s="9"/>
      <c r="E758" s="9"/>
      <c r="F758" s="9"/>
      <c r="G758" s="9"/>
      <c r="H758" s="9"/>
      <c r="I758" s="9"/>
      <c r="J758" s="9"/>
      <c r="K758" s="9"/>
      <c r="L758" s="9"/>
      <c r="M758" s="9"/>
      <c r="N758" s="9"/>
      <c r="O758" s="9"/>
      <c r="P758" s="29"/>
      <c r="Q758" s="29"/>
      <c r="R758" s="7"/>
      <c r="S758" s="7"/>
      <c r="T758" s="7" t="str">
        <f ca="1">IFERROR(__xludf.DUMMYFUNCTION("SPARKLINE({
IF(D758="""",0,D758),
IF(F758="""",0,F758),
IF(H758="""",0,H758),
IF(J758="""",0,J758),
IF(L758="""",0,L758),
IF(N758="""",0,N758),
IF(P758="""",0,P758)
})"),"")</f>
        <v/>
      </c>
      <c r="U758" s="7" t="str">
        <f ca="1">IFERROR(__xludf.DUMMYFUNCTION("SPARKLINE({
IF(E758="""",0,E758),
IF(G758="""",0,G758),
IF(I758="""",0,I758),
IF(K758="""",0,K758),
IF(M758="""",0,M758),
IF(O758="""",0,O758),
IF(Q758="""",0,Q758)
})"),"")</f>
        <v/>
      </c>
      <c r="V758" s="8" t="e">
        <f t="array" aca="1" ref="V758" ca="1">IF($C$4="Giao",_xludf.Xlookup(C758,#REF!,#REF!,),_xludf.Xlookup(C758,#REF!,#REF!,))</f>
        <v>#NAME?</v>
      </c>
      <c r="W758" s="8">
        <f t="array" ref="W758">IF($C$4="Giao", _xludf.Xlookup(C758,#REF!,#REF!,),)</f>
        <v>0</v>
      </c>
      <c r="X758" s="9">
        <f t="shared" si="8"/>
        <v>0</v>
      </c>
      <c r="Y758" s="7"/>
      <c r="Z758" s="7"/>
    </row>
    <row r="759" spans="1:26" ht="13" x14ac:dyDescent="0.6">
      <c r="A759" s="28" t="str">
        <f t="shared" si="7"/>
        <v/>
      </c>
      <c r="B759" s="7"/>
      <c r="C759" s="7"/>
      <c r="D759" s="9"/>
      <c r="E759" s="9"/>
      <c r="F759" s="9"/>
      <c r="G759" s="9"/>
      <c r="H759" s="9"/>
      <c r="I759" s="9"/>
      <c r="J759" s="9"/>
      <c r="K759" s="9"/>
      <c r="L759" s="9"/>
      <c r="M759" s="9"/>
      <c r="N759" s="9"/>
      <c r="O759" s="9"/>
      <c r="P759" s="29"/>
      <c r="Q759" s="29"/>
      <c r="R759" s="7"/>
      <c r="S759" s="7"/>
      <c r="T759" s="7" t="str">
        <f ca="1">IFERROR(__xludf.DUMMYFUNCTION("SPARKLINE({
IF(D759="""",0,D759),
IF(F759="""",0,F759),
IF(H759="""",0,H759),
IF(J759="""",0,J759),
IF(L759="""",0,L759),
IF(N759="""",0,N759),
IF(P759="""",0,P759)
})"),"")</f>
        <v/>
      </c>
      <c r="U759" s="7" t="str">
        <f ca="1">IFERROR(__xludf.DUMMYFUNCTION("SPARKLINE({
IF(E759="""",0,E759),
IF(G759="""",0,G759),
IF(I759="""",0,I759),
IF(K759="""",0,K759),
IF(M759="""",0,M759),
IF(O759="""",0,O759),
IF(Q759="""",0,Q759)
})"),"")</f>
        <v/>
      </c>
      <c r="V759" s="8" t="e">
        <f t="array" aca="1" ref="V759" ca="1">IF($C$4="Giao",_xludf.Xlookup(C759,#REF!,#REF!,),_xludf.Xlookup(C759,#REF!,#REF!,))</f>
        <v>#NAME?</v>
      </c>
      <c r="W759" s="8">
        <f t="array" ref="W759">IF($C$4="Giao", _xludf.Xlookup(C759,#REF!,#REF!,),)</f>
        <v>0</v>
      </c>
      <c r="X759" s="9">
        <f t="shared" si="8"/>
        <v>0</v>
      </c>
      <c r="Y759" s="7"/>
      <c r="Z759" s="7"/>
    </row>
    <row r="760" spans="1:26" ht="13" x14ac:dyDescent="0.6">
      <c r="A760" s="28" t="str">
        <f t="shared" si="7"/>
        <v/>
      </c>
      <c r="B760" s="7"/>
      <c r="C760" s="7"/>
      <c r="D760" s="9"/>
      <c r="E760" s="9"/>
      <c r="F760" s="9"/>
      <c r="G760" s="9"/>
      <c r="H760" s="9"/>
      <c r="I760" s="9"/>
      <c r="J760" s="9"/>
      <c r="K760" s="9"/>
      <c r="L760" s="9"/>
      <c r="M760" s="9"/>
      <c r="N760" s="9"/>
      <c r="O760" s="9"/>
      <c r="P760" s="29"/>
      <c r="Q760" s="29"/>
      <c r="R760" s="7"/>
      <c r="S760" s="7"/>
      <c r="T760" s="7" t="str">
        <f ca="1">IFERROR(__xludf.DUMMYFUNCTION("SPARKLINE({
IF(D760="""",0,D760),
IF(F760="""",0,F760),
IF(H760="""",0,H760),
IF(J760="""",0,J760),
IF(L760="""",0,L760),
IF(N760="""",0,N760),
IF(P760="""",0,P760)
})"),"")</f>
        <v/>
      </c>
      <c r="U760" s="7" t="str">
        <f ca="1">IFERROR(__xludf.DUMMYFUNCTION("SPARKLINE({
IF(E760="""",0,E760),
IF(G760="""",0,G760),
IF(I760="""",0,I760),
IF(K760="""",0,K760),
IF(M760="""",0,M760),
IF(O760="""",0,O760),
IF(Q760="""",0,Q760)
})"),"")</f>
        <v/>
      </c>
      <c r="V760" s="8" t="e">
        <f t="array" aca="1" ref="V760" ca="1">IF($C$4="Giao",_xludf.Xlookup(C760,#REF!,#REF!,),_xludf.Xlookup(C760,#REF!,#REF!,))</f>
        <v>#NAME?</v>
      </c>
      <c r="W760" s="8">
        <f t="array" ref="W760">IF($C$4="Giao", _xludf.Xlookup(C760,#REF!,#REF!,),)</f>
        <v>0</v>
      </c>
      <c r="X760" s="9">
        <f t="shared" si="8"/>
        <v>0</v>
      </c>
      <c r="Y760" s="7"/>
      <c r="Z760" s="7"/>
    </row>
    <row r="761" spans="1:26" ht="13" x14ac:dyDescent="0.6">
      <c r="A761" s="28" t="str">
        <f t="shared" si="7"/>
        <v/>
      </c>
      <c r="B761" s="7"/>
      <c r="C761" s="7"/>
      <c r="D761" s="9"/>
      <c r="E761" s="9"/>
      <c r="F761" s="9"/>
      <c r="G761" s="9"/>
      <c r="H761" s="9"/>
      <c r="I761" s="9"/>
      <c r="J761" s="9"/>
      <c r="K761" s="9"/>
      <c r="L761" s="9"/>
      <c r="M761" s="9"/>
      <c r="N761" s="9"/>
      <c r="O761" s="9"/>
      <c r="P761" s="29"/>
      <c r="Q761" s="29"/>
      <c r="R761" s="7"/>
      <c r="S761" s="7"/>
      <c r="T761" s="7" t="str">
        <f ca="1">IFERROR(__xludf.DUMMYFUNCTION("SPARKLINE({
IF(D761="""",0,D761),
IF(F761="""",0,F761),
IF(H761="""",0,H761),
IF(J761="""",0,J761),
IF(L761="""",0,L761),
IF(N761="""",0,N761),
IF(P761="""",0,P761)
})"),"")</f>
        <v/>
      </c>
      <c r="U761" s="7" t="str">
        <f ca="1">IFERROR(__xludf.DUMMYFUNCTION("SPARKLINE({
IF(E761="""",0,E761),
IF(G761="""",0,G761),
IF(I761="""",0,I761),
IF(K761="""",0,K761),
IF(M761="""",0,M761),
IF(O761="""",0,O761),
IF(Q761="""",0,Q761)
})"),"")</f>
        <v/>
      </c>
      <c r="V761" s="8" t="e">
        <f t="array" aca="1" ref="V761" ca="1">IF($C$4="Giao",_xludf.Xlookup(C761,#REF!,#REF!,),_xludf.Xlookup(C761,#REF!,#REF!,))</f>
        <v>#NAME?</v>
      </c>
      <c r="W761" s="8">
        <f t="array" ref="W761">IF($C$4="Giao", _xludf.Xlookup(C761,#REF!,#REF!,),)</f>
        <v>0</v>
      </c>
      <c r="X761" s="9">
        <f t="shared" si="8"/>
        <v>0</v>
      </c>
      <c r="Y761" s="7"/>
      <c r="Z761" s="7"/>
    </row>
    <row r="762" spans="1:26" ht="13" x14ac:dyDescent="0.6">
      <c r="A762" s="28" t="str">
        <f t="shared" si="7"/>
        <v/>
      </c>
      <c r="B762" s="7"/>
      <c r="C762" s="7"/>
      <c r="D762" s="9"/>
      <c r="E762" s="9"/>
      <c r="F762" s="9"/>
      <c r="G762" s="9"/>
      <c r="H762" s="9"/>
      <c r="I762" s="9"/>
      <c r="J762" s="9"/>
      <c r="K762" s="9"/>
      <c r="L762" s="9"/>
      <c r="M762" s="9"/>
      <c r="N762" s="9"/>
      <c r="O762" s="9"/>
      <c r="P762" s="29"/>
      <c r="Q762" s="29"/>
      <c r="R762" s="7"/>
      <c r="S762" s="7"/>
      <c r="T762" s="7" t="str">
        <f ca="1">IFERROR(__xludf.DUMMYFUNCTION("SPARKLINE({
IF(D762="""",0,D762),
IF(F762="""",0,F762),
IF(H762="""",0,H762),
IF(J762="""",0,J762),
IF(L762="""",0,L762),
IF(N762="""",0,N762),
IF(P762="""",0,P762)
})"),"")</f>
        <v/>
      </c>
      <c r="U762" s="7" t="str">
        <f ca="1">IFERROR(__xludf.DUMMYFUNCTION("SPARKLINE({
IF(E762="""",0,E762),
IF(G762="""",0,G762),
IF(I762="""",0,I762),
IF(K762="""",0,K762),
IF(M762="""",0,M762),
IF(O762="""",0,O762),
IF(Q762="""",0,Q762)
})"),"")</f>
        <v/>
      </c>
      <c r="V762" s="8" t="e">
        <f t="array" aca="1" ref="V762" ca="1">IF($C$4="Giao",_xludf.Xlookup(C762,#REF!,#REF!,),_xludf.Xlookup(C762,#REF!,#REF!,))</f>
        <v>#NAME?</v>
      </c>
      <c r="W762" s="8">
        <f t="array" ref="W762">IF($C$4="Giao", _xludf.Xlookup(C762,#REF!,#REF!,),)</f>
        <v>0</v>
      </c>
      <c r="X762" s="9">
        <f t="shared" si="8"/>
        <v>0</v>
      </c>
      <c r="Y762" s="7"/>
      <c r="Z762" s="7"/>
    </row>
    <row r="763" spans="1:26" ht="13" x14ac:dyDescent="0.6">
      <c r="A763" s="28" t="str">
        <f t="shared" si="7"/>
        <v/>
      </c>
      <c r="B763" s="7"/>
      <c r="C763" s="7"/>
      <c r="D763" s="9"/>
      <c r="E763" s="9"/>
      <c r="F763" s="9"/>
      <c r="G763" s="9"/>
      <c r="H763" s="9"/>
      <c r="I763" s="9"/>
      <c r="J763" s="9"/>
      <c r="K763" s="9"/>
      <c r="L763" s="9"/>
      <c r="M763" s="9"/>
      <c r="N763" s="9"/>
      <c r="O763" s="9"/>
      <c r="P763" s="29"/>
      <c r="Q763" s="29"/>
      <c r="R763" s="7"/>
      <c r="S763" s="7"/>
      <c r="T763" s="7" t="str">
        <f ca="1">IFERROR(__xludf.DUMMYFUNCTION("SPARKLINE({
IF(D763="""",0,D763),
IF(F763="""",0,F763),
IF(H763="""",0,H763),
IF(J763="""",0,J763),
IF(L763="""",0,L763),
IF(N763="""",0,N763),
IF(P763="""",0,P763)
})"),"")</f>
        <v/>
      </c>
      <c r="U763" s="7" t="str">
        <f ca="1">IFERROR(__xludf.DUMMYFUNCTION("SPARKLINE({
IF(E763="""",0,E763),
IF(G763="""",0,G763),
IF(I763="""",0,I763),
IF(K763="""",0,K763),
IF(M763="""",0,M763),
IF(O763="""",0,O763),
IF(Q763="""",0,Q763)
})"),"")</f>
        <v/>
      </c>
      <c r="V763" s="8" t="e">
        <f t="array" aca="1" ref="V763" ca="1">IF($C$4="Giao",_xludf.Xlookup(C763,#REF!,#REF!,),_xludf.Xlookup(C763,#REF!,#REF!,))</f>
        <v>#NAME?</v>
      </c>
      <c r="W763" s="8">
        <f t="array" ref="W763">IF($C$4="Giao", _xludf.Xlookup(C763,#REF!,#REF!,),)</f>
        <v>0</v>
      </c>
      <c r="X763" s="9">
        <f t="shared" si="8"/>
        <v>0</v>
      </c>
      <c r="Y763" s="7"/>
      <c r="Z763" s="7"/>
    </row>
    <row r="764" spans="1:26" ht="13" x14ac:dyDescent="0.6">
      <c r="A764" s="28" t="str">
        <f t="shared" si="7"/>
        <v/>
      </c>
      <c r="B764" s="7"/>
      <c r="C764" s="7"/>
      <c r="D764" s="9"/>
      <c r="E764" s="9"/>
      <c r="F764" s="9"/>
      <c r="G764" s="9"/>
      <c r="H764" s="9"/>
      <c r="I764" s="9"/>
      <c r="J764" s="9"/>
      <c r="K764" s="9"/>
      <c r="L764" s="9"/>
      <c r="M764" s="9"/>
      <c r="N764" s="9"/>
      <c r="O764" s="9"/>
      <c r="P764" s="29"/>
      <c r="Q764" s="29"/>
      <c r="R764" s="7"/>
      <c r="S764" s="7"/>
      <c r="T764" s="7" t="str">
        <f ca="1">IFERROR(__xludf.DUMMYFUNCTION("SPARKLINE({
IF(D764="""",0,D764),
IF(F764="""",0,F764),
IF(H764="""",0,H764),
IF(J764="""",0,J764),
IF(L764="""",0,L764),
IF(N764="""",0,N764),
IF(P764="""",0,P764)
})"),"")</f>
        <v/>
      </c>
      <c r="U764" s="7" t="str">
        <f ca="1">IFERROR(__xludf.DUMMYFUNCTION("SPARKLINE({
IF(E764="""",0,E764),
IF(G764="""",0,G764),
IF(I764="""",0,I764),
IF(K764="""",0,K764),
IF(M764="""",0,M764),
IF(O764="""",0,O764),
IF(Q764="""",0,Q764)
})"),"")</f>
        <v/>
      </c>
      <c r="V764" s="8" t="e">
        <f t="array" aca="1" ref="V764" ca="1">IF($C$4="Giao",_xludf.Xlookup(C764,#REF!,#REF!,),_xludf.Xlookup(C764,#REF!,#REF!,))</f>
        <v>#NAME?</v>
      </c>
      <c r="W764" s="8">
        <f t="array" ref="W764">IF($C$4="Giao", _xludf.Xlookup(C764,#REF!,#REF!,),)</f>
        <v>0</v>
      </c>
      <c r="X764" s="9">
        <f t="shared" si="8"/>
        <v>0</v>
      </c>
      <c r="Y764" s="7"/>
      <c r="Z764" s="7"/>
    </row>
    <row r="765" spans="1:26" ht="13" x14ac:dyDescent="0.6">
      <c r="A765" s="28" t="str">
        <f t="shared" si="7"/>
        <v/>
      </c>
      <c r="B765" s="7"/>
      <c r="C765" s="7"/>
      <c r="D765" s="9"/>
      <c r="E765" s="9"/>
      <c r="F765" s="9"/>
      <c r="G765" s="9"/>
      <c r="H765" s="9"/>
      <c r="I765" s="9"/>
      <c r="J765" s="9"/>
      <c r="K765" s="9"/>
      <c r="L765" s="9"/>
      <c r="M765" s="9"/>
      <c r="N765" s="9"/>
      <c r="O765" s="9"/>
      <c r="P765" s="29"/>
      <c r="Q765" s="29"/>
      <c r="R765" s="7"/>
      <c r="S765" s="7"/>
      <c r="T765" s="7" t="str">
        <f ca="1">IFERROR(__xludf.DUMMYFUNCTION("SPARKLINE({
IF(D765="""",0,D765),
IF(F765="""",0,F765),
IF(H765="""",0,H765),
IF(J765="""",0,J765),
IF(L765="""",0,L765),
IF(N765="""",0,N765),
IF(P765="""",0,P765)
})"),"")</f>
        <v/>
      </c>
      <c r="U765" s="7" t="str">
        <f ca="1">IFERROR(__xludf.DUMMYFUNCTION("SPARKLINE({
IF(E765="""",0,E765),
IF(G765="""",0,G765),
IF(I765="""",0,I765),
IF(K765="""",0,K765),
IF(M765="""",0,M765),
IF(O765="""",0,O765),
IF(Q765="""",0,Q765)
})"),"")</f>
        <v/>
      </c>
      <c r="V765" s="8" t="e">
        <f t="array" aca="1" ref="V765" ca="1">IF($C$4="Giao",_xludf.Xlookup(C765,#REF!,#REF!,),_xludf.Xlookup(C765,#REF!,#REF!,))</f>
        <v>#NAME?</v>
      </c>
      <c r="W765" s="8">
        <f t="array" ref="W765">IF($C$4="Giao", _xludf.Xlookup(C765,#REF!,#REF!,),)</f>
        <v>0</v>
      </c>
      <c r="X765" s="9">
        <f t="shared" si="8"/>
        <v>0</v>
      </c>
      <c r="Y765" s="7"/>
      <c r="Z765" s="7"/>
    </row>
    <row r="766" spans="1:26" ht="13" x14ac:dyDescent="0.6">
      <c r="A766" s="28" t="str">
        <f t="shared" si="7"/>
        <v/>
      </c>
      <c r="B766" s="7"/>
      <c r="C766" s="7"/>
      <c r="D766" s="9"/>
      <c r="E766" s="9"/>
      <c r="F766" s="9"/>
      <c r="G766" s="9"/>
      <c r="H766" s="9"/>
      <c r="I766" s="9"/>
      <c r="J766" s="9"/>
      <c r="K766" s="9"/>
      <c r="L766" s="9"/>
      <c r="M766" s="9"/>
      <c r="N766" s="9"/>
      <c r="O766" s="9"/>
      <c r="P766" s="29"/>
      <c r="Q766" s="29"/>
      <c r="R766" s="7"/>
      <c r="S766" s="7"/>
      <c r="T766" s="7" t="str">
        <f ca="1">IFERROR(__xludf.DUMMYFUNCTION("SPARKLINE({
IF(D766="""",0,D766),
IF(F766="""",0,F766),
IF(H766="""",0,H766),
IF(J766="""",0,J766),
IF(L766="""",0,L766),
IF(N766="""",0,N766),
IF(P766="""",0,P766)
})"),"")</f>
        <v/>
      </c>
      <c r="U766" s="7" t="str">
        <f ca="1">IFERROR(__xludf.DUMMYFUNCTION("SPARKLINE({
IF(E766="""",0,E766),
IF(G766="""",0,G766),
IF(I766="""",0,I766),
IF(K766="""",0,K766),
IF(M766="""",0,M766),
IF(O766="""",0,O766),
IF(Q766="""",0,Q766)
})"),"")</f>
        <v/>
      </c>
      <c r="V766" s="8" t="e">
        <f t="array" aca="1" ref="V766" ca="1">IF($C$4="Giao",_xludf.Xlookup(C766,#REF!,#REF!,),_xludf.Xlookup(C766,#REF!,#REF!,))</f>
        <v>#NAME?</v>
      </c>
      <c r="W766" s="8">
        <f t="array" ref="W766">IF($C$4="Giao", _xludf.Xlookup(C766,#REF!,#REF!,),)</f>
        <v>0</v>
      </c>
      <c r="X766" s="9">
        <f t="shared" si="8"/>
        <v>0</v>
      </c>
      <c r="Y766" s="7"/>
      <c r="Z766" s="7"/>
    </row>
    <row r="767" spans="1:26" ht="13" x14ac:dyDescent="0.6">
      <c r="A767" s="28" t="str">
        <f t="shared" si="7"/>
        <v/>
      </c>
      <c r="B767" s="7"/>
      <c r="C767" s="7"/>
      <c r="D767" s="9"/>
      <c r="E767" s="9"/>
      <c r="F767" s="9"/>
      <c r="G767" s="9"/>
      <c r="H767" s="9"/>
      <c r="I767" s="9"/>
      <c r="J767" s="9"/>
      <c r="K767" s="9"/>
      <c r="L767" s="9"/>
      <c r="M767" s="9"/>
      <c r="N767" s="9"/>
      <c r="O767" s="9"/>
      <c r="P767" s="29"/>
      <c r="Q767" s="29"/>
      <c r="R767" s="7"/>
      <c r="S767" s="7"/>
      <c r="T767" s="7" t="str">
        <f ca="1">IFERROR(__xludf.DUMMYFUNCTION("SPARKLINE({
IF(D767="""",0,D767),
IF(F767="""",0,F767),
IF(H767="""",0,H767),
IF(J767="""",0,J767),
IF(L767="""",0,L767),
IF(N767="""",0,N767),
IF(P767="""",0,P767)
})"),"")</f>
        <v/>
      </c>
      <c r="U767" s="7" t="str">
        <f ca="1">IFERROR(__xludf.DUMMYFUNCTION("SPARKLINE({
IF(E767="""",0,E767),
IF(G767="""",0,G767),
IF(I767="""",0,I767),
IF(K767="""",0,K767),
IF(M767="""",0,M767),
IF(O767="""",0,O767),
IF(Q767="""",0,Q767)
})"),"")</f>
        <v/>
      </c>
      <c r="V767" s="8" t="e">
        <f t="array" aca="1" ref="V767" ca="1">IF($C$4="Giao",_xludf.Xlookup(C767,#REF!,#REF!,),_xludf.Xlookup(C767,#REF!,#REF!,))</f>
        <v>#NAME?</v>
      </c>
      <c r="W767" s="8">
        <f t="array" ref="W767">IF($C$4="Giao", _xludf.Xlookup(C767,#REF!,#REF!,),)</f>
        <v>0</v>
      </c>
      <c r="X767" s="9">
        <f t="shared" si="8"/>
        <v>0</v>
      </c>
      <c r="Y767" s="7"/>
      <c r="Z767" s="7"/>
    </row>
    <row r="768" spans="1:26" ht="13" x14ac:dyDescent="0.6">
      <c r="A768" s="28" t="str">
        <f t="shared" si="7"/>
        <v/>
      </c>
      <c r="B768" s="7"/>
      <c r="C768" s="7"/>
      <c r="D768" s="9"/>
      <c r="E768" s="9"/>
      <c r="F768" s="9"/>
      <c r="G768" s="9"/>
      <c r="H768" s="9"/>
      <c r="I768" s="9"/>
      <c r="J768" s="9"/>
      <c r="K768" s="9"/>
      <c r="L768" s="9"/>
      <c r="M768" s="9"/>
      <c r="N768" s="9"/>
      <c r="O768" s="9"/>
      <c r="P768" s="29"/>
      <c r="Q768" s="29"/>
      <c r="R768" s="7"/>
      <c r="S768" s="7"/>
      <c r="T768" s="7" t="str">
        <f ca="1">IFERROR(__xludf.DUMMYFUNCTION("SPARKLINE({
IF(D768="""",0,D768),
IF(F768="""",0,F768),
IF(H768="""",0,H768),
IF(J768="""",0,J768),
IF(L768="""",0,L768),
IF(N768="""",0,N768),
IF(P768="""",0,P768)
})"),"")</f>
        <v/>
      </c>
      <c r="U768" s="7" t="str">
        <f ca="1">IFERROR(__xludf.DUMMYFUNCTION("SPARKLINE({
IF(E768="""",0,E768),
IF(G768="""",0,G768),
IF(I768="""",0,I768),
IF(K768="""",0,K768),
IF(M768="""",0,M768),
IF(O768="""",0,O768),
IF(Q768="""",0,Q768)
})"),"")</f>
        <v/>
      </c>
      <c r="V768" s="8" t="e">
        <f t="array" aca="1" ref="V768" ca="1">IF($C$4="Giao",_xludf.Xlookup(C768,#REF!,#REF!,),_xludf.Xlookup(C768,#REF!,#REF!,))</f>
        <v>#NAME?</v>
      </c>
      <c r="W768" s="8">
        <f t="array" ref="W768">IF($C$4="Giao", _xludf.Xlookup(C768,#REF!,#REF!,),)</f>
        <v>0</v>
      </c>
      <c r="X768" s="9">
        <f t="shared" si="8"/>
        <v>0</v>
      </c>
      <c r="Y768" s="7"/>
      <c r="Z768" s="7"/>
    </row>
    <row r="769" spans="1:26" ht="13" x14ac:dyDescent="0.6">
      <c r="A769" s="28" t="str">
        <f t="shared" si="7"/>
        <v/>
      </c>
      <c r="B769" s="7"/>
      <c r="C769" s="7"/>
      <c r="D769" s="9"/>
      <c r="E769" s="9"/>
      <c r="F769" s="9"/>
      <c r="G769" s="9"/>
      <c r="H769" s="9"/>
      <c r="I769" s="9"/>
      <c r="J769" s="9"/>
      <c r="K769" s="9"/>
      <c r="L769" s="9"/>
      <c r="M769" s="9"/>
      <c r="N769" s="9"/>
      <c r="O769" s="9"/>
      <c r="P769" s="29"/>
      <c r="Q769" s="29"/>
      <c r="R769" s="7"/>
      <c r="S769" s="7"/>
      <c r="T769" s="7" t="str">
        <f ca="1">IFERROR(__xludf.DUMMYFUNCTION("SPARKLINE({
IF(D769="""",0,D769),
IF(F769="""",0,F769),
IF(H769="""",0,H769),
IF(J769="""",0,J769),
IF(L769="""",0,L769),
IF(N769="""",0,N769),
IF(P769="""",0,P769)
})"),"")</f>
        <v/>
      </c>
      <c r="U769" s="7" t="str">
        <f ca="1">IFERROR(__xludf.DUMMYFUNCTION("SPARKLINE({
IF(E769="""",0,E769),
IF(G769="""",0,G769),
IF(I769="""",0,I769),
IF(K769="""",0,K769),
IF(M769="""",0,M769),
IF(O769="""",0,O769),
IF(Q769="""",0,Q769)
})"),"")</f>
        <v/>
      </c>
      <c r="V769" s="8" t="e">
        <f t="array" aca="1" ref="V769" ca="1">IF($C$4="Giao",_xludf.Xlookup(C769,#REF!,#REF!,),_xludf.Xlookup(C769,#REF!,#REF!,))</f>
        <v>#NAME?</v>
      </c>
      <c r="W769" s="8">
        <f t="array" ref="W769">IF($C$4="Giao", _xludf.Xlookup(C769,#REF!,#REF!,),)</f>
        <v>0</v>
      </c>
      <c r="X769" s="9">
        <f t="shared" si="8"/>
        <v>0</v>
      </c>
      <c r="Y769" s="7"/>
      <c r="Z769" s="7"/>
    </row>
    <row r="770" spans="1:26" ht="13" x14ac:dyDescent="0.6">
      <c r="A770" s="28" t="str">
        <f t="shared" si="7"/>
        <v/>
      </c>
      <c r="B770" s="7"/>
      <c r="C770" s="7"/>
      <c r="D770" s="9"/>
      <c r="E770" s="9"/>
      <c r="F770" s="9"/>
      <c r="G770" s="9"/>
      <c r="H770" s="9"/>
      <c r="I770" s="9"/>
      <c r="J770" s="9"/>
      <c r="K770" s="9"/>
      <c r="L770" s="9"/>
      <c r="M770" s="9"/>
      <c r="N770" s="9"/>
      <c r="O770" s="9"/>
      <c r="P770" s="29"/>
      <c r="Q770" s="29"/>
      <c r="R770" s="7"/>
      <c r="S770" s="7"/>
      <c r="T770" s="7" t="str">
        <f ca="1">IFERROR(__xludf.DUMMYFUNCTION("SPARKLINE({
IF(D770="""",0,D770),
IF(F770="""",0,F770),
IF(H770="""",0,H770),
IF(J770="""",0,J770),
IF(L770="""",0,L770),
IF(N770="""",0,N770),
IF(P770="""",0,P770)
})"),"")</f>
        <v/>
      </c>
      <c r="U770" s="7" t="str">
        <f ca="1">IFERROR(__xludf.DUMMYFUNCTION("SPARKLINE({
IF(E770="""",0,E770),
IF(G770="""",0,G770),
IF(I770="""",0,I770),
IF(K770="""",0,K770),
IF(M770="""",0,M770),
IF(O770="""",0,O770),
IF(Q770="""",0,Q770)
})"),"")</f>
        <v/>
      </c>
      <c r="V770" s="8" t="e">
        <f t="array" aca="1" ref="V770" ca="1">IF($C$4="Giao",_xludf.Xlookup(C770,#REF!,#REF!,),_xludf.Xlookup(C770,#REF!,#REF!,))</f>
        <v>#NAME?</v>
      </c>
      <c r="W770" s="8">
        <f t="array" ref="W770">IF($C$4="Giao", _xludf.Xlookup(C770,#REF!,#REF!,),)</f>
        <v>0</v>
      </c>
      <c r="X770" s="9">
        <f t="shared" si="8"/>
        <v>0</v>
      </c>
      <c r="Y770" s="7"/>
      <c r="Z770" s="7"/>
    </row>
    <row r="771" spans="1:26" ht="13" x14ac:dyDescent="0.6">
      <c r="A771" s="28" t="str">
        <f t="shared" si="7"/>
        <v/>
      </c>
      <c r="B771" s="7"/>
      <c r="C771" s="7"/>
      <c r="D771" s="9"/>
      <c r="E771" s="9"/>
      <c r="F771" s="9"/>
      <c r="G771" s="9"/>
      <c r="H771" s="9"/>
      <c r="I771" s="9"/>
      <c r="J771" s="9"/>
      <c r="K771" s="9"/>
      <c r="L771" s="9"/>
      <c r="M771" s="9"/>
      <c r="N771" s="9"/>
      <c r="O771" s="9"/>
      <c r="P771" s="29"/>
      <c r="Q771" s="29"/>
      <c r="R771" s="7"/>
      <c r="S771" s="7"/>
      <c r="T771" s="7" t="str">
        <f ca="1">IFERROR(__xludf.DUMMYFUNCTION("SPARKLINE({
IF(D771="""",0,D771),
IF(F771="""",0,F771),
IF(H771="""",0,H771),
IF(J771="""",0,J771),
IF(L771="""",0,L771),
IF(N771="""",0,N771),
IF(P771="""",0,P771)
})"),"")</f>
        <v/>
      </c>
      <c r="U771" s="7" t="str">
        <f ca="1">IFERROR(__xludf.DUMMYFUNCTION("SPARKLINE({
IF(E771="""",0,E771),
IF(G771="""",0,G771),
IF(I771="""",0,I771),
IF(K771="""",0,K771),
IF(M771="""",0,M771),
IF(O771="""",0,O771),
IF(Q771="""",0,Q771)
})"),"")</f>
        <v/>
      </c>
      <c r="V771" s="8" t="e">
        <f t="array" aca="1" ref="V771" ca="1">IF($C$4="Giao",_xludf.Xlookup(C771,#REF!,#REF!,),_xludf.Xlookup(C771,#REF!,#REF!,))</f>
        <v>#NAME?</v>
      </c>
      <c r="W771" s="8">
        <f t="array" ref="W771">IF($C$4="Giao", _xludf.Xlookup(C771,#REF!,#REF!,),)</f>
        <v>0</v>
      </c>
      <c r="X771" s="9">
        <f t="shared" si="8"/>
        <v>0</v>
      </c>
      <c r="Y771" s="7"/>
      <c r="Z771" s="7"/>
    </row>
    <row r="772" spans="1:26" ht="13" x14ac:dyDescent="0.6">
      <c r="A772" s="28" t="str">
        <f t="shared" si="7"/>
        <v/>
      </c>
      <c r="B772" s="7"/>
      <c r="C772" s="7"/>
      <c r="D772" s="9"/>
      <c r="E772" s="9"/>
      <c r="F772" s="9"/>
      <c r="G772" s="9"/>
      <c r="H772" s="9"/>
      <c r="I772" s="9"/>
      <c r="J772" s="9"/>
      <c r="K772" s="9"/>
      <c r="L772" s="9"/>
      <c r="M772" s="9"/>
      <c r="N772" s="9"/>
      <c r="O772" s="9"/>
      <c r="P772" s="29"/>
      <c r="Q772" s="29"/>
      <c r="R772" s="7"/>
      <c r="S772" s="7"/>
      <c r="T772" s="7" t="str">
        <f ca="1">IFERROR(__xludf.DUMMYFUNCTION("SPARKLINE({
IF(D772="""",0,D772),
IF(F772="""",0,F772),
IF(H772="""",0,H772),
IF(J772="""",0,J772),
IF(L772="""",0,L772),
IF(N772="""",0,N772),
IF(P772="""",0,P772)
})"),"")</f>
        <v/>
      </c>
      <c r="U772" s="7" t="str">
        <f ca="1">IFERROR(__xludf.DUMMYFUNCTION("SPARKLINE({
IF(E772="""",0,E772),
IF(G772="""",0,G772),
IF(I772="""",0,I772),
IF(K772="""",0,K772),
IF(M772="""",0,M772),
IF(O772="""",0,O772),
IF(Q772="""",0,Q772)
})"),"")</f>
        <v/>
      </c>
      <c r="V772" s="8" t="e">
        <f t="array" aca="1" ref="V772" ca="1">IF($C$4="Giao",_xludf.Xlookup(C772,#REF!,#REF!,),_xludf.Xlookup(C772,#REF!,#REF!,))</f>
        <v>#NAME?</v>
      </c>
      <c r="W772" s="8">
        <f t="array" ref="W772">IF($C$4="Giao", _xludf.Xlookup(C772,#REF!,#REF!,),)</f>
        <v>0</v>
      </c>
      <c r="X772" s="9">
        <f t="shared" si="8"/>
        <v>0</v>
      </c>
      <c r="Y772" s="7"/>
      <c r="Z772" s="7"/>
    </row>
    <row r="773" spans="1:26" ht="13" x14ac:dyDescent="0.6">
      <c r="A773" s="28" t="str">
        <f t="shared" ref="A773:A1003" si="9">IF(B773="","",COUNTA($B$8:B773))</f>
        <v/>
      </c>
      <c r="B773" s="7"/>
      <c r="C773" s="7"/>
      <c r="D773" s="9"/>
      <c r="E773" s="9"/>
      <c r="F773" s="9"/>
      <c r="G773" s="9"/>
      <c r="H773" s="9"/>
      <c r="I773" s="9"/>
      <c r="J773" s="9"/>
      <c r="K773" s="9"/>
      <c r="L773" s="9"/>
      <c r="M773" s="9"/>
      <c r="N773" s="9"/>
      <c r="O773" s="9"/>
      <c r="P773" s="29"/>
      <c r="Q773" s="29"/>
      <c r="R773" s="7"/>
      <c r="S773" s="7"/>
      <c r="T773" s="7" t="str">
        <f ca="1">IFERROR(__xludf.DUMMYFUNCTION("SPARKLINE({
IF(D773="""",0,D773),
IF(F773="""",0,F773),
IF(H773="""",0,H773),
IF(J773="""",0,J773),
IF(L773="""",0,L773),
IF(N773="""",0,N773),
IF(P773="""",0,P773)
})"),"")</f>
        <v/>
      </c>
      <c r="U773" s="7" t="str">
        <f ca="1">IFERROR(__xludf.DUMMYFUNCTION("SPARKLINE({
IF(E773="""",0,E773),
IF(G773="""",0,G773),
IF(I773="""",0,I773),
IF(K773="""",0,K773),
IF(M773="""",0,M773),
IF(O773="""",0,O773),
IF(Q773="""",0,Q773)
})"),"")</f>
        <v/>
      </c>
      <c r="V773" s="8" t="e">
        <f t="array" aca="1" ref="V773" ca="1">IF($C$4="Giao",_xludf.Xlookup(C773,#REF!,#REF!,),_xludf.Xlookup(C773,#REF!,#REF!,))</f>
        <v>#NAME?</v>
      </c>
      <c r="W773" s="8">
        <f t="array" ref="W773">IF($C$4="Giao", _xludf.Xlookup(C773,#REF!,#REF!,),)</f>
        <v>0</v>
      </c>
      <c r="X773" s="9">
        <f t="shared" ref="X773:X1003" si="10">W773*1.08</f>
        <v>0</v>
      </c>
      <c r="Y773" s="7"/>
      <c r="Z773" s="7"/>
    </row>
    <row r="774" spans="1:26" ht="13" x14ac:dyDescent="0.6">
      <c r="A774" s="28" t="str">
        <f t="shared" si="9"/>
        <v/>
      </c>
      <c r="B774" s="7"/>
      <c r="C774" s="7"/>
      <c r="D774" s="9"/>
      <c r="E774" s="9"/>
      <c r="F774" s="9"/>
      <c r="G774" s="9"/>
      <c r="H774" s="9"/>
      <c r="I774" s="9"/>
      <c r="J774" s="9"/>
      <c r="K774" s="9"/>
      <c r="L774" s="9"/>
      <c r="M774" s="9"/>
      <c r="N774" s="9"/>
      <c r="O774" s="9"/>
      <c r="P774" s="29"/>
      <c r="Q774" s="29"/>
      <c r="R774" s="7"/>
      <c r="S774" s="7"/>
      <c r="T774" s="7" t="str">
        <f ca="1">IFERROR(__xludf.DUMMYFUNCTION("SPARKLINE({
IF(D774="""",0,D774),
IF(F774="""",0,F774),
IF(H774="""",0,H774),
IF(J774="""",0,J774),
IF(L774="""",0,L774),
IF(N774="""",0,N774),
IF(P774="""",0,P774)
})"),"")</f>
        <v/>
      </c>
      <c r="U774" s="7" t="str">
        <f ca="1">IFERROR(__xludf.DUMMYFUNCTION("SPARKLINE({
IF(E774="""",0,E774),
IF(G774="""",0,G774),
IF(I774="""",0,I774),
IF(K774="""",0,K774),
IF(M774="""",0,M774),
IF(O774="""",0,O774),
IF(Q774="""",0,Q774)
})"),"")</f>
        <v/>
      </c>
      <c r="V774" s="8" t="e">
        <f t="array" aca="1" ref="V774" ca="1">IF($C$4="Giao",_xludf.Xlookup(C774,#REF!,#REF!,),_xludf.Xlookup(C774,#REF!,#REF!,))</f>
        <v>#NAME?</v>
      </c>
      <c r="W774" s="8">
        <f t="array" ref="W774">IF($C$4="Giao", _xludf.Xlookup(C774,#REF!,#REF!,),)</f>
        <v>0</v>
      </c>
      <c r="X774" s="9">
        <f t="shared" si="10"/>
        <v>0</v>
      </c>
      <c r="Y774" s="7"/>
      <c r="Z774" s="7"/>
    </row>
    <row r="775" spans="1:26" ht="13" x14ac:dyDescent="0.6">
      <c r="A775" s="28" t="str">
        <f t="shared" si="9"/>
        <v/>
      </c>
      <c r="B775" s="7"/>
      <c r="C775" s="7"/>
      <c r="D775" s="9"/>
      <c r="E775" s="9"/>
      <c r="F775" s="9"/>
      <c r="G775" s="9"/>
      <c r="H775" s="9"/>
      <c r="I775" s="9"/>
      <c r="J775" s="9"/>
      <c r="K775" s="9"/>
      <c r="L775" s="9"/>
      <c r="M775" s="9"/>
      <c r="N775" s="9"/>
      <c r="O775" s="9"/>
      <c r="P775" s="29"/>
      <c r="Q775" s="29"/>
      <c r="R775" s="7"/>
      <c r="S775" s="7"/>
      <c r="T775" s="7" t="str">
        <f ca="1">IFERROR(__xludf.DUMMYFUNCTION("SPARKLINE({
IF(D775="""",0,D775),
IF(F775="""",0,F775),
IF(H775="""",0,H775),
IF(J775="""",0,J775),
IF(L775="""",0,L775),
IF(N775="""",0,N775),
IF(P775="""",0,P775)
})"),"")</f>
        <v/>
      </c>
      <c r="U775" s="7" t="str">
        <f ca="1">IFERROR(__xludf.DUMMYFUNCTION("SPARKLINE({
IF(E775="""",0,E775),
IF(G775="""",0,G775),
IF(I775="""",0,I775),
IF(K775="""",0,K775),
IF(M775="""",0,M775),
IF(O775="""",0,O775),
IF(Q775="""",0,Q775)
})"),"")</f>
        <v/>
      </c>
      <c r="V775" s="8" t="e">
        <f t="array" aca="1" ref="V775" ca="1">IF($C$4="Giao",_xludf.Xlookup(C775,#REF!,#REF!,),_xludf.Xlookup(C775,#REF!,#REF!,))</f>
        <v>#NAME?</v>
      </c>
      <c r="W775" s="8">
        <f t="array" ref="W775">IF($C$4="Giao", _xludf.Xlookup(C775,#REF!,#REF!,),)</f>
        <v>0</v>
      </c>
      <c r="X775" s="9">
        <f t="shared" si="10"/>
        <v>0</v>
      </c>
      <c r="Y775" s="7"/>
      <c r="Z775" s="7"/>
    </row>
    <row r="776" spans="1:26" ht="13" x14ac:dyDescent="0.6">
      <c r="A776" s="28" t="str">
        <f t="shared" si="9"/>
        <v/>
      </c>
      <c r="B776" s="7"/>
      <c r="C776" s="7"/>
      <c r="D776" s="9"/>
      <c r="E776" s="9"/>
      <c r="F776" s="9"/>
      <c r="G776" s="9"/>
      <c r="H776" s="9"/>
      <c r="I776" s="9"/>
      <c r="J776" s="9"/>
      <c r="K776" s="9"/>
      <c r="L776" s="9"/>
      <c r="M776" s="9"/>
      <c r="N776" s="9"/>
      <c r="O776" s="9"/>
      <c r="P776" s="29"/>
      <c r="Q776" s="29"/>
      <c r="R776" s="7"/>
      <c r="S776" s="7"/>
      <c r="T776" s="7" t="str">
        <f ca="1">IFERROR(__xludf.DUMMYFUNCTION("SPARKLINE({
IF(D776="""",0,D776),
IF(F776="""",0,F776),
IF(H776="""",0,H776),
IF(J776="""",0,J776),
IF(L776="""",0,L776),
IF(N776="""",0,N776),
IF(P776="""",0,P776)
})"),"")</f>
        <v/>
      </c>
      <c r="U776" s="7" t="str">
        <f ca="1">IFERROR(__xludf.DUMMYFUNCTION("SPARKLINE({
IF(E776="""",0,E776),
IF(G776="""",0,G776),
IF(I776="""",0,I776),
IF(K776="""",0,K776),
IF(M776="""",0,M776),
IF(O776="""",0,O776),
IF(Q776="""",0,Q776)
})"),"")</f>
        <v/>
      </c>
      <c r="V776" s="8" t="e">
        <f t="array" aca="1" ref="V776" ca="1">IF($C$4="Giao",_xludf.Xlookup(C776,#REF!,#REF!,),_xludf.Xlookup(C776,#REF!,#REF!,))</f>
        <v>#NAME?</v>
      </c>
      <c r="W776" s="8">
        <f t="array" ref="W776">IF($C$4="Giao", _xludf.Xlookup(C776,#REF!,#REF!,),)</f>
        <v>0</v>
      </c>
      <c r="X776" s="9">
        <f t="shared" si="10"/>
        <v>0</v>
      </c>
      <c r="Y776" s="7"/>
      <c r="Z776" s="7"/>
    </row>
    <row r="777" spans="1:26" ht="13" x14ac:dyDescent="0.6">
      <c r="A777" s="28" t="str">
        <f t="shared" si="9"/>
        <v/>
      </c>
      <c r="B777" s="7"/>
      <c r="C777" s="7"/>
      <c r="D777" s="9"/>
      <c r="E777" s="9"/>
      <c r="F777" s="9"/>
      <c r="G777" s="9"/>
      <c r="H777" s="9"/>
      <c r="I777" s="9"/>
      <c r="J777" s="9"/>
      <c r="K777" s="9"/>
      <c r="L777" s="9"/>
      <c r="M777" s="9"/>
      <c r="N777" s="9"/>
      <c r="O777" s="9"/>
      <c r="P777" s="29"/>
      <c r="Q777" s="29"/>
      <c r="R777" s="7"/>
      <c r="S777" s="7"/>
      <c r="T777" s="7" t="str">
        <f ca="1">IFERROR(__xludf.DUMMYFUNCTION("SPARKLINE({
IF(D777="""",0,D777),
IF(F777="""",0,F777),
IF(H777="""",0,H777),
IF(J777="""",0,J777),
IF(L777="""",0,L777),
IF(N777="""",0,N777),
IF(P777="""",0,P777)
})"),"")</f>
        <v/>
      </c>
      <c r="U777" s="7" t="str">
        <f ca="1">IFERROR(__xludf.DUMMYFUNCTION("SPARKLINE({
IF(E777="""",0,E777),
IF(G777="""",0,G777),
IF(I777="""",0,I777),
IF(K777="""",0,K777),
IF(M777="""",0,M777),
IF(O777="""",0,O777),
IF(Q777="""",0,Q777)
})"),"")</f>
        <v/>
      </c>
      <c r="V777" s="8" t="e">
        <f t="array" aca="1" ref="V777" ca="1">IF($C$4="Giao",_xludf.Xlookup(C777,#REF!,#REF!,),_xludf.Xlookup(C777,#REF!,#REF!,))</f>
        <v>#NAME?</v>
      </c>
      <c r="W777" s="8">
        <f t="array" ref="W777">IF($C$4="Giao", _xludf.Xlookup(C777,#REF!,#REF!,),)</f>
        <v>0</v>
      </c>
      <c r="X777" s="9">
        <f t="shared" si="10"/>
        <v>0</v>
      </c>
      <c r="Y777" s="7"/>
      <c r="Z777" s="7"/>
    </row>
    <row r="778" spans="1:26" ht="13" x14ac:dyDescent="0.6">
      <c r="A778" s="28" t="str">
        <f t="shared" si="9"/>
        <v/>
      </c>
      <c r="B778" s="7"/>
      <c r="C778" s="7"/>
      <c r="D778" s="9"/>
      <c r="E778" s="9"/>
      <c r="F778" s="9"/>
      <c r="G778" s="9"/>
      <c r="H778" s="9"/>
      <c r="I778" s="9"/>
      <c r="J778" s="9"/>
      <c r="K778" s="9"/>
      <c r="L778" s="9"/>
      <c r="M778" s="9"/>
      <c r="N778" s="9"/>
      <c r="O778" s="9"/>
      <c r="P778" s="29"/>
      <c r="Q778" s="29"/>
      <c r="R778" s="7"/>
      <c r="S778" s="7"/>
      <c r="T778" s="7" t="str">
        <f ca="1">IFERROR(__xludf.DUMMYFUNCTION("SPARKLINE({
IF(D778="""",0,D778),
IF(F778="""",0,F778),
IF(H778="""",0,H778),
IF(J778="""",0,J778),
IF(L778="""",0,L778),
IF(N778="""",0,N778),
IF(P778="""",0,P778)
})"),"")</f>
        <v/>
      </c>
      <c r="U778" s="7" t="str">
        <f ca="1">IFERROR(__xludf.DUMMYFUNCTION("SPARKLINE({
IF(E778="""",0,E778),
IF(G778="""",0,G778),
IF(I778="""",0,I778),
IF(K778="""",0,K778),
IF(M778="""",0,M778),
IF(O778="""",0,O778),
IF(Q778="""",0,Q778)
})"),"")</f>
        <v/>
      </c>
      <c r="V778" s="8" t="e">
        <f t="array" aca="1" ref="V778" ca="1">IF($C$4="Giao",_xludf.Xlookup(C778,#REF!,#REF!,),_xludf.Xlookup(C778,#REF!,#REF!,))</f>
        <v>#NAME?</v>
      </c>
      <c r="W778" s="8">
        <f t="array" ref="W778">IF($C$4="Giao", _xludf.Xlookup(C778,#REF!,#REF!,),)</f>
        <v>0</v>
      </c>
      <c r="X778" s="9">
        <f t="shared" si="10"/>
        <v>0</v>
      </c>
      <c r="Y778" s="7"/>
      <c r="Z778" s="7"/>
    </row>
    <row r="779" spans="1:26" ht="13" x14ac:dyDescent="0.6">
      <c r="A779" s="28" t="str">
        <f t="shared" si="9"/>
        <v/>
      </c>
      <c r="B779" s="7"/>
      <c r="C779" s="7"/>
      <c r="D779" s="9"/>
      <c r="E779" s="9"/>
      <c r="F779" s="9"/>
      <c r="G779" s="9"/>
      <c r="H779" s="9"/>
      <c r="I779" s="9"/>
      <c r="J779" s="9"/>
      <c r="K779" s="9"/>
      <c r="L779" s="9"/>
      <c r="M779" s="9"/>
      <c r="N779" s="9"/>
      <c r="O779" s="9"/>
      <c r="P779" s="29"/>
      <c r="Q779" s="29"/>
      <c r="R779" s="7"/>
      <c r="S779" s="7"/>
      <c r="T779" s="7" t="str">
        <f ca="1">IFERROR(__xludf.DUMMYFUNCTION("SPARKLINE({
IF(D779="""",0,D779),
IF(F779="""",0,F779),
IF(H779="""",0,H779),
IF(J779="""",0,J779),
IF(L779="""",0,L779),
IF(N779="""",0,N779),
IF(P779="""",0,P779)
})"),"")</f>
        <v/>
      </c>
      <c r="U779" s="7" t="str">
        <f ca="1">IFERROR(__xludf.DUMMYFUNCTION("SPARKLINE({
IF(E779="""",0,E779),
IF(G779="""",0,G779),
IF(I779="""",0,I779),
IF(K779="""",0,K779),
IF(M779="""",0,M779),
IF(O779="""",0,O779),
IF(Q779="""",0,Q779)
})"),"")</f>
        <v/>
      </c>
      <c r="V779" s="8" t="e">
        <f t="array" aca="1" ref="V779" ca="1">IF($C$4="Giao",_xludf.Xlookup(C779,#REF!,#REF!,),_xludf.Xlookup(C779,#REF!,#REF!,))</f>
        <v>#NAME?</v>
      </c>
      <c r="W779" s="8">
        <f t="array" ref="W779">IF($C$4="Giao", _xludf.Xlookup(C779,#REF!,#REF!,),)</f>
        <v>0</v>
      </c>
      <c r="X779" s="9">
        <f t="shared" si="10"/>
        <v>0</v>
      </c>
      <c r="Y779" s="7"/>
      <c r="Z779" s="7"/>
    </row>
    <row r="780" spans="1:26" ht="13" x14ac:dyDescent="0.6">
      <c r="A780" s="28" t="str">
        <f t="shared" si="9"/>
        <v/>
      </c>
      <c r="B780" s="7"/>
      <c r="C780" s="7"/>
      <c r="D780" s="9"/>
      <c r="E780" s="9"/>
      <c r="F780" s="9"/>
      <c r="G780" s="9"/>
      <c r="H780" s="9"/>
      <c r="I780" s="9"/>
      <c r="J780" s="9"/>
      <c r="K780" s="9"/>
      <c r="L780" s="9"/>
      <c r="M780" s="9"/>
      <c r="N780" s="9"/>
      <c r="O780" s="9"/>
      <c r="P780" s="29"/>
      <c r="Q780" s="29"/>
      <c r="R780" s="7"/>
      <c r="S780" s="7"/>
      <c r="T780" s="7" t="str">
        <f ca="1">IFERROR(__xludf.DUMMYFUNCTION("SPARKLINE({
IF(D780="""",0,D780),
IF(F780="""",0,F780),
IF(H780="""",0,H780),
IF(J780="""",0,J780),
IF(L780="""",0,L780),
IF(N780="""",0,N780),
IF(P780="""",0,P780)
})"),"")</f>
        <v/>
      </c>
      <c r="U780" s="7" t="str">
        <f ca="1">IFERROR(__xludf.DUMMYFUNCTION("SPARKLINE({
IF(E780="""",0,E780),
IF(G780="""",0,G780),
IF(I780="""",0,I780),
IF(K780="""",0,K780),
IF(M780="""",0,M780),
IF(O780="""",0,O780),
IF(Q780="""",0,Q780)
})"),"")</f>
        <v/>
      </c>
      <c r="V780" s="8" t="e">
        <f t="array" aca="1" ref="V780" ca="1">IF($C$4="Giao",_xludf.Xlookup(C780,#REF!,#REF!,),_xludf.Xlookup(C780,#REF!,#REF!,))</f>
        <v>#NAME?</v>
      </c>
      <c r="W780" s="8">
        <f t="array" ref="W780">IF($C$4="Giao", _xludf.Xlookup(C780,#REF!,#REF!,),)</f>
        <v>0</v>
      </c>
      <c r="X780" s="9">
        <f t="shared" si="10"/>
        <v>0</v>
      </c>
      <c r="Y780" s="7"/>
      <c r="Z780" s="7"/>
    </row>
    <row r="781" spans="1:26" ht="13" x14ac:dyDescent="0.6">
      <c r="A781" s="28" t="str">
        <f t="shared" si="9"/>
        <v/>
      </c>
      <c r="B781" s="7"/>
      <c r="C781" s="7"/>
      <c r="D781" s="9"/>
      <c r="E781" s="9"/>
      <c r="F781" s="9"/>
      <c r="G781" s="9"/>
      <c r="H781" s="9"/>
      <c r="I781" s="9"/>
      <c r="J781" s="9"/>
      <c r="K781" s="9"/>
      <c r="L781" s="9"/>
      <c r="M781" s="9"/>
      <c r="N781" s="9"/>
      <c r="O781" s="9"/>
      <c r="P781" s="29"/>
      <c r="Q781" s="29"/>
      <c r="R781" s="7"/>
      <c r="S781" s="7"/>
      <c r="T781" s="7" t="str">
        <f ca="1">IFERROR(__xludf.DUMMYFUNCTION("SPARKLINE({
IF(D781="""",0,D781),
IF(F781="""",0,F781),
IF(H781="""",0,H781),
IF(J781="""",0,J781),
IF(L781="""",0,L781),
IF(N781="""",0,N781),
IF(P781="""",0,P781)
})"),"")</f>
        <v/>
      </c>
      <c r="U781" s="7" t="str">
        <f ca="1">IFERROR(__xludf.DUMMYFUNCTION("SPARKLINE({
IF(E781="""",0,E781),
IF(G781="""",0,G781),
IF(I781="""",0,I781),
IF(K781="""",0,K781),
IF(M781="""",0,M781),
IF(O781="""",0,O781),
IF(Q781="""",0,Q781)
})"),"")</f>
        <v/>
      </c>
      <c r="V781" s="8" t="e">
        <f t="array" aca="1" ref="V781" ca="1">IF($C$4="Giao",_xludf.Xlookup(C781,#REF!,#REF!,),_xludf.Xlookup(C781,#REF!,#REF!,))</f>
        <v>#NAME?</v>
      </c>
      <c r="W781" s="8">
        <f t="array" ref="W781">IF($C$4="Giao", _xludf.Xlookup(C781,#REF!,#REF!,),)</f>
        <v>0</v>
      </c>
      <c r="X781" s="9">
        <f t="shared" si="10"/>
        <v>0</v>
      </c>
      <c r="Y781" s="7"/>
      <c r="Z781" s="7"/>
    </row>
    <row r="782" spans="1:26" ht="13" x14ac:dyDescent="0.6">
      <c r="A782" s="28" t="str">
        <f t="shared" si="9"/>
        <v/>
      </c>
      <c r="B782" s="7"/>
      <c r="C782" s="7"/>
      <c r="D782" s="9"/>
      <c r="E782" s="9"/>
      <c r="F782" s="9"/>
      <c r="G782" s="9"/>
      <c r="H782" s="9"/>
      <c r="I782" s="9"/>
      <c r="J782" s="9"/>
      <c r="K782" s="9"/>
      <c r="L782" s="9"/>
      <c r="M782" s="9"/>
      <c r="N782" s="9"/>
      <c r="O782" s="9"/>
      <c r="P782" s="29"/>
      <c r="Q782" s="29"/>
      <c r="R782" s="7"/>
      <c r="S782" s="7"/>
      <c r="T782" s="7" t="str">
        <f ca="1">IFERROR(__xludf.DUMMYFUNCTION("SPARKLINE({
IF(D782="""",0,D782),
IF(F782="""",0,F782),
IF(H782="""",0,H782),
IF(J782="""",0,J782),
IF(L782="""",0,L782),
IF(N782="""",0,N782),
IF(P782="""",0,P782)
})"),"")</f>
        <v/>
      </c>
      <c r="U782" s="7" t="str">
        <f ca="1">IFERROR(__xludf.DUMMYFUNCTION("SPARKLINE({
IF(E782="""",0,E782),
IF(G782="""",0,G782),
IF(I782="""",0,I782),
IF(K782="""",0,K782),
IF(M782="""",0,M782),
IF(O782="""",0,O782),
IF(Q782="""",0,Q782)
})"),"")</f>
        <v/>
      </c>
      <c r="V782" s="8" t="e">
        <f t="array" aca="1" ref="V782" ca="1">IF($C$4="Giao",_xludf.Xlookup(C782,#REF!,#REF!,),_xludf.Xlookup(C782,#REF!,#REF!,))</f>
        <v>#NAME?</v>
      </c>
      <c r="W782" s="8">
        <f t="array" ref="W782">IF($C$4="Giao", _xludf.Xlookup(C782,#REF!,#REF!,),)</f>
        <v>0</v>
      </c>
      <c r="X782" s="9">
        <f t="shared" si="10"/>
        <v>0</v>
      </c>
      <c r="Y782" s="7"/>
      <c r="Z782" s="7"/>
    </row>
    <row r="783" spans="1:26" ht="13" x14ac:dyDescent="0.6">
      <c r="A783" s="28" t="str">
        <f t="shared" si="9"/>
        <v/>
      </c>
      <c r="B783" s="7"/>
      <c r="C783" s="7"/>
      <c r="D783" s="9"/>
      <c r="E783" s="9"/>
      <c r="F783" s="9"/>
      <c r="G783" s="9"/>
      <c r="H783" s="9"/>
      <c r="I783" s="9"/>
      <c r="J783" s="9"/>
      <c r="K783" s="9"/>
      <c r="L783" s="9"/>
      <c r="M783" s="9"/>
      <c r="N783" s="9"/>
      <c r="O783" s="9"/>
      <c r="P783" s="29"/>
      <c r="Q783" s="29"/>
      <c r="R783" s="7"/>
      <c r="S783" s="7"/>
      <c r="T783" s="7" t="str">
        <f ca="1">IFERROR(__xludf.DUMMYFUNCTION("SPARKLINE({
IF(D783="""",0,D783),
IF(F783="""",0,F783),
IF(H783="""",0,H783),
IF(J783="""",0,J783),
IF(L783="""",0,L783),
IF(N783="""",0,N783),
IF(P783="""",0,P783)
})"),"")</f>
        <v/>
      </c>
      <c r="U783" s="7" t="str">
        <f ca="1">IFERROR(__xludf.DUMMYFUNCTION("SPARKLINE({
IF(E783="""",0,E783),
IF(G783="""",0,G783),
IF(I783="""",0,I783),
IF(K783="""",0,K783),
IF(M783="""",0,M783),
IF(O783="""",0,O783),
IF(Q783="""",0,Q783)
})"),"")</f>
        <v/>
      </c>
      <c r="V783" s="8" t="e">
        <f t="array" aca="1" ref="V783" ca="1">IF($C$4="Giao",_xludf.Xlookup(C783,#REF!,#REF!,),_xludf.Xlookup(C783,#REF!,#REF!,))</f>
        <v>#NAME?</v>
      </c>
      <c r="W783" s="8">
        <f t="array" ref="W783">IF($C$4="Giao", _xludf.Xlookup(C783,#REF!,#REF!,),)</f>
        <v>0</v>
      </c>
      <c r="X783" s="9">
        <f t="shared" si="10"/>
        <v>0</v>
      </c>
      <c r="Y783" s="7"/>
      <c r="Z783" s="7"/>
    </row>
    <row r="784" spans="1:26" ht="13" x14ac:dyDescent="0.6">
      <c r="A784" s="28" t="str">
        <f t="shared" si="9"/>
        <v/>
      </c>
      <c r="B784" s="7"/>
      <c r="C784" s="7"/>
      <c r="D784" s="9"/>
      <c r="E784" s="9"/>
      <c r="F784" s="9"/>
      <c r="G784" s="9"/>
      <c r="H784" s="9"/>
      <c r="I784" s="9"/>
      <c r="J784" s="9"/>
      <c r="K784" s="9"/>
      <c r="L784" s="9"/>
      <c r="M784" s="9"/>
      <c r="N784" s="9"/>
      <c r="O784" s="9"/>
      <c r="P784" s="29"/>
      <c r="Q784" s="29"/>
      <c r="R784" s="7"/>
      <c r="S784" s="7"/>
      <c r="T784" s="7" t="str">
        <f ca="1">IFERROR(__xludf.DUMMYFUNCTION("SPARKLINE({
IF(D784="""",0,D784),
IF(F784="""",0,F784),
IF(H784="""",0,H784),
IF(J784="""",0,J784),
IF(L784="""",0,L784),
IF(N784="""",0,N784),
IF(P784="""",0,P784)
})"),"")</f>
        <v/>
      </c>
      <c r="U784" s="7" t="str">
        <f ca="1">IFERROR(__xludf.DUMMYFUNCTION("SPARKLINE({
IF(E784="""",0,E784),
IF(G784="""",0,G784),
IF(I784="""",0,I784),
IF(K784="""",0,K784),
IF(M784="""",0,M784),
IF(O784="""",0,O784),
IF(Q784="""",0,Q784)
})"),"")</f>
        <v/>
      </c>
      <c r="V784" s="8" t="e">
        <f t="array" aca="1" ref="V784" ca="1">IF($C$4="Giao",_xludf.Xlookup(C784,#REF!,#REF!,),_xludf.Xlookup(C784,#REF!,#REF!,))</f>
        <v>#NAME?</v>
      </c>
      <c r="W784" s="8">
        <f t="array" ref="W784">IF($C$4="Giao", _xludf.Xlookup(C784,#REF!,#REF!,),)</f>
        <v>0</v>
      </c>
      <c r="X784" s="9">
        <f t="shared" si="10"/>
        <v>0</v>
      </c>
      <c r="Y784" s="7"/>
      <c r="Z784" s="7"/>
    </row>
    <row r="785" spans="1:26" ht="13" x14ac:dyDescent="0.6">
      <c r="A785" s="28" t="str">
        <f t="shared" si="9"/>
        <v/>
      </c>
      <c r="B785" s="7"/>
      <c r="C785" s="7"/>
      <c r="D785" s="9"/>
      <c r="E785" s="9"/>
      <c r="F785" s="9"/>
      <c r="G785" s="9"/>
      <c r="H785" s="9"/>
      <c r="I785" s="9"/>
      <c r="J785" s="9"/>
      <c r="K785" s="9"/>
      <c r="L785" s="9"/>
      <c r="M785" s="9"/>
      <c r="N785" s="9"/>
      <c r="O785" s="9"/>
      <c r="P785" s="29"/>
      <c r="Q785" s="29"/>
      <c r="R785" s="7"/>
      <c r="S785" s="7"/>
      <c r="T785" s="7" t="str">
        <f ca="1">IFERROR(__xludf.DUMMYFUNCTION("SPARKLINE({
IF(D785="""",0,D785),
IF(F785="""",0,F785),
IF(H785="""",0,H785),
IF(J785="""",0,J785),
IF(L785="""",0,L785),
IF(N785="""",0,N785),
IF(P785="""",0,P785)
})"),"")</f>
        <v/>
      </c>
      <c r="U785" s="7" t="str">
        <f ca="1">IFERROR(__xludf.DUMMYFUNCTION("SPARKLINE({
IF(E785="""",0,E785),
IF(G785="""",0,G785),
IF(I785="""",0,I785),
IF(K785="""",0,K785),
IF(M785="""",0,M785),
IF(O785="""",0,O785),
IF(Q785="""",0,Q785)
})"),"")</f>
        <v/>
      </c>
      <c r="V785" s="8" t="e">
        <f t="array" aca="1" ref="V785" ca="1">IF($C$4="Giao",_xludf.Xlookup(C785,#REF!,#REF!,),_xludf.Xlookup(C785,#REF!,#REF!,))</f>
        <v>#NAME?</v>
      </c>
      <c r="W785" s="8">
        <f t="array" ref="W785">IF($C$4="Giao", _xludf.Xlookup(C785,#REF!,#REF!,),)</f>
        <v>0</v>
      </c>
      <c r="X785" s="9">
        <f t="shared" si="10"/>
        <v>0</v>
      </c>
      <c r="Y785" s="7"/>
      <c r="Z785" s="7"/>
    </row>
    <row r="786" spans="1:26" ht="13" x14ac:dyDescent="0.6">
      <c r="A786" s="28" t="str">
        <f t="shared" si="9"/>
        <v/>
      </c>
      <c r="B786" s="7"/>
      <c r="C786" s="7"/>
      <c r="D786" s="9"/>
      <c r="E786" s="9"/>
      <c r="F786" s="9"/>
      <c r="G786" s="9"/>
      <c r="H786" s="9"/>
      <c r="I786" s="9"/>
      <c r="J786" s="9"/>
      <c r="K786" s="9"/>
      <c r="L786" s="9"/>
      <c r="M786" s="9"/>
      <c r="N786" s="9"/>
      <c r="O786" s="9"/>
      <c r="P786" s="29"/>
      <c r="Q786" s="29"/>
      <c r="R786" s="7"/>
      <c r="S786" s="7"/>
      <c r="T786" s="7" t="str">
        <f ca="1">IFERROR(__xludf.DUMMYFUNCTION("SPARKLINE({
IF(D786="""",0,D786),
IF(F786="""",0,F786),
IF(H786="""",0,H786),
IF(J786="""",0,J786),
IF(L786="""",0,L786),
IF(N786="""",0,N786),
IF(P786="""",0,P786)
})"),"")</f>
        <v/>
      </c>
      <c r="U786" s="7" t="str">
        <f ca="1">IFERROR(__xludf.DUMMYFUNCTION("SPARKLINE({
IF(E786="""",0,E786),
IF(G786="""",0,G786),
IF(I786="""",0,I786),
IF(K786="""",0,K786),
IF(M786="""",0,M786),
IF(O786="""",0,O786),
IF(Q786="""",0,Q786)
})"),"")</f>
        <v/>
      </c>
      <c r="V786" s="8" t="e">
        <f t="array" aca="1" ref="V786" ca="1">IF($C$4="Giao",_xludf.Xlookup(C786,#REF!,#REF!,),_xludf.Xlookup(C786,#REF!,#REF!,))</f>
        <v>#NAME?</v>
      </c>
      <c r="W786" s="8">
        <f t="array" ref="W786">IF($C$4="Giao", _xludf.Xlookup(C786,#REF!,#REF!,),)</f>
        <v>0</v>
      </c>
      <c r="X786" s="9">
        <f t="shared" si="10"/>
        <v>0</v>
      </c>
      <c r="Y786" s="7"/>
      <c r="Z786" s="7"/>
    </row>
    <row r="787" spans="1:26" ht="13" x14ac:dyDescent="0.6">
      <c r="A787" s="28" t="str">
        <f t="shared" si="9"/>
        <v/>
      </c>
      <c r="B787" s="7"/>
      <c r="C787" s="7"/>
      <c r="D787" s="9"/>
      <c r="E787" s="9"/>
      <c r="F787" s="9"/>
      <c r="G787" s="9"/>
      <c r="H787" s="9"/>
      <c r="I787" s="9"/>
      <c r="J787" s="9"/>
      <c r="K787" s="9"/>
      <c r="L787" s="9"/>
      <c r="M787" s="9"/>
      <c r="N787" s="9"/>
      <c r="O787" s="9"/>
      <c r="P787" s="29"/>
      <c r="Q787" s="29"/>
      <c r="R787" s="7"/>
      <c r="S787" s="7"/>
      <c r="T787" s="7" t="str">
        <f ca="1">IFERROR(__xludf.DUMMYFUNCTION("SPARKLINE({
IF(D787="""",0,D787),
IF(F787="""",0,F787),
IF(H787="""",0,H787),
IF(J787="""",0,J787),
IF(L787="""",0,L787),
IF(N787="""",0,N787),
IF(P787="""",0,P787)
})"),"")</f>
        <v/>
      </c>
      <c r="U787" s="7" t="str">
        <f ca="1">IFERROR(__xludf.DUMMYFUNCTION("SPARKLINE({
IF(E787="""",0,E787),
IF(G787="""",0,G787),
IF(I787="""",0,I787),
IF(K787="""",0,K787),
IF(M787="""",0,M787),
IF(O787="""",0,O787),
IF(Q787="""",0,Q787)
})"),"")</f>
        <v/>
      </c>
      <c r="V787" s="8" t="e">
        <f t="array" aca="1" ref="V787" ca="1">IF($C$4="Giao",_xludf.Xlookup(C787,#REF!,#REF!,),_xludf.Xlookup(C787,#REF!,#REF!,))</f>
        <v>#NAME?</v>
      </c>
      <c r="W787" s="8">
        <f t="array" ref="W787">IF($C$4="Giao", _xludf.Xlookup(C787,#REF!,#REF!,),)</f>
        <v>0</v>
      </c>
      <c r="X787" s="9">
        <f t="shared" si="10"/>
        <v>0</v>
      </c>
      <c r="Y787" s="7"/>
      <c r="Z787" s="7"/>
    </row>
    <row r="788" spans="1:26" ht="13" x14ac:dyDescent="0.6">
      <c r="A788" s="28" t="str">
        <f t="shared" si="9"/>
        <v/>
      </c>
      <c r="B788" s="7"/>
      <c r="C788" s="7"/>
      <c r="D788" s="9"/>
      <c r="E788" s="9"/>
      <c r="F788" s="9"/>
      <c r="G788" s="9"/>
      <c r="H788" s="9"/>
      <c r="I788" s="9"/>
      <c r="J788" s="9"/>
      <c r="K788" s="9"/>
      <c r="L788" s="9"/>
      <c r="M788" s="9"/>
      <c r="N788" s="9"/>
      <c r="O788" s="9"/>
      <c r="P788" s="29"/>
      <c r="Q788" s="29"/>
      <c r="R788" s="7"/>
      <c r="S788" s="7"/>
      <c r="T788" s="7" t="str">
        <f ca="1">IFERROR(__xludf.DUMMYFUNCTION("SPARKLINE({
IF(D788="""",0,D788),
IF(F788="""",0,F788),
IF(H788="""",0,H788),
IF(J788="""",0,J788),
IF(L788="""",0,L788),
IF(N788="""",0,N788),
IF(P788="""",0,P788)
})"),"")</f>
        <v/>
      </c>
      <c r="U788" s="7" t="str">
        <f ca="1">IFERROR(__xludf.DUMMYFUNCTION("SPARKLINE({
IF(E788="""",0,E788),
IF(G788="""",0,G788),
IF(I788="""",0,I788),
IF(K788="""",0,K788),
IF(M788="""",0,M788),
IF(O788="""",0,O788),
IF(Q788="""",0,Q788)
})"),"")</f>
        <v/>
      </c>
      <c r="V788" s="8" t="e">
        <f t="array" aca="1" ref="V788" ca="1">IF($C$4="Giao",_xludf.Xlookup(C788,#REF!,#REF!,),_xludf.Xlookup(C788,#REF!,#REF!,))</f>
        <v>#NAME?</v>
      </c>
      <c r="W788" s="8">
        <f t="array" ref="W788">IF($C$4="Giao", _xludf.Xlookup(C788,#REF!,#REF!,),)</f>
        <v>0</v>
      </c>
      <c r="X788" s="9">
        <f t="shared" si="10"/>
        <v>0</v>
      </c>
      <c r="Y788" s="7"/>
      <c r="Z788" s="7"/>
    </row>
    <row r="789" spans="1:26" ht="13" x14ac:dyDescent="0.6">
      <c r="A789" s="28" t="str">
        <f t="shared" si="9"/>
        <v/>
      </c>
      <c r="B789" s="7"/>
      <c r="C789" s="7"/>
      <c r="D789" s="9"/>
      <c r="E789" s="9"/>
      <c r="F789" s="9"/>
      <c r="G789" s="9"/>
      <c r="H789" s="9"/>
      <c r="I789" s="9"/>
      <c r="J789" s="9"/>
      <c r="K789" s="9"/>
      <c r="L789" s="9"/>
      <c r="M789" s="9"/>
      <c r="N789" s="9"/>
      <c r="O789" s="9"/>
      <c r="P789" s="29"/>
      <c r="Q789" s="29"/>
      <c r="R789" s="7"/>
      <c r="S789" s="7"/>
      <c r="T789" s="7" t="str">
        <f ca="1">IFERROR(__xludf.DUMMYFUNCTION("SPARKLINE({
IF(D789="""",0,D789),
IF(F789="""",0,F789),
IF(H789="""",0,H789),
IF(J789="""",0,J789),
IF(L789="""",0,L789),
IF(N789="""",0,N789),
IF(P789="""",0,P789)
})"),"")</f>
        <v/>
      </c>
      <c r="U789" s="7" t="str">
        <f ca="1">IFERROR(__xludf.DUMMYFUNCTION("SPARKLINE({
IF(E789="""",0,E789),
IF(G789="""",0,G789),
IF(I789="""",0,I789),
IF(K789="""",0,K789),
IF(M789="""",0,M789),
IF(O789="""",0,O789),
IF(Q789="""",0,Q789)
})"),"")</f>
        <v/>
      </c>
      <c r="V789" s="8" t="e">
        <f t="array" aca="1" ref="V789" ca="1">IF($C$4="Giao",_xludf.Xlookup(C789,#REF!,#REF!,),_xludf.Xlookup(C789,#REF!,#REF!,))</f>
        <v>#NAME?</v>
      </c>
      <c r="W789" s="8">
        <f t="array" ref="W789">IF($C$4="Giao", _xludf.Xlookup(C789,#REF!,#REF!,),)</f>
        <v>0</v>
      </c>
      <c r="X789" s="9">
        <f t="shared" si="10"/>
        <v>0</v>
      </c>
      <c r="Y789" s="7"/>
      <c r="Z789" s="7"/>
    </row>
    <row r="790" spans="1:26" ht="13" x14ac:dyDescent="0.6">
      <c r="A790" s="28" t="str">
        <f t="shared" si="9"/>
        <v/>
      </c>
      <c r="B790" s="7"/>
      <c r="C790" s="7"/>
      <c r="D790" s="9"/>
      <c r="E790" s="9"/>
      <c r="F790" s="9"/>
      <c r="G790" s="9"/>
      <c r="H790" s="9"/>
      <c r="I790" s="9"/>
      <c r="J790" s="9"/>
      <c r="K790" s="9"/>
      <c r="L790" s="9"/>
      <c r="M790" s="9"/>
      <c r="N790" s="9"/>
      <c r="O790" s="9"/>
      <c r="P790" s="29"/>
      <c r="Q790" s="29"/>
      <c r="R790" s="7"/>
      <c r="S790" s="7"/>
      <c r="T790" s="7" t="str">
        <f ca="1">IFERROR(__xludf.DUMMYFUNCTION("SPARKLINE({
IF(D790="""",0,D790),
IF(F790="""",0,F790),
IF(H790="""",0,H790),
IF(J790="""",0,J790),
IF(L790="""",0,L790),
IF(N790="""",0,N790),
IF(P790="""",0,P790)
})"),"")</f>
        <v/>
      </c>
      <c r="U790" s="7" t="str">
        <f ca="1">IFERROR(__xludf.DUMMYFUNCTION("SPARKLINE({
IF(E790="""",0,E790),
IF(G790="""",0,G790),
IF(I790="""",0,I790),
IF(K790="""",0,K790),
IF(M790="""",0,M790),
IF(O790="""",0,O790),
IF(Q790="""",0,Q790)
})"),"")</f>
        <v/>
      </c>
      <c r="V790" s="8" t="e">
        <f t="array" aca="1" ref="V790" ca="1">IF($C$4="Giao",_xludf.Xlookup(C790,#REF!,#REF!,),_xludf.Xlookup(C790,#REF!,#REF!,))</f>
        <v>#NAME?</v>
      </c>
      <c r="W790" s="8">
        <f t="array" ref="W790">IF($C$4="Giao", _xludf.Xlookup(C790,#REF!,#REF!,),)</f>
        <v>0</v>
      </c>
      <c r="X790" s="9">
        <f t="shared" si="10"/>
        <v>0</v>
      </c>
      <c r="Y790" s="7"/>
      <c r="Z790" s="7"/>
    </row>
    <row r="791" spans="1:26" ht="13" x14ac:dyDescent="0.6">
      <c r="A791" s="28" t="str">
        <f t="shared" si="9"/>
        <v/>
      </c>
      <c r="B791" s="7"/>
      <c r="C791" s="7"/>
      <c r="D791" s="9"/>
      <c r="E791" s="9"/>
      <c r="F791" s="9"/>
      <c r="G791" s="9"/>
      <c r="H791" s="9"/>
      <c r="I791" s="9"/>
      <c r="J791" s="9"/>
      <c r="K791" s="9"/>
      <c r="L791" s="9"/>
      <c r="M791" s="9"/>
      <c r="N791" s="9"/>
      <c r="O791" s="9"/>
      <c r="P791" s="29"/>
      <c r="Q791" s="29"/>
      <c r="R791" s="7"/>
      <c r="S791" s="7"/>
      <c r="T791" s="7" t="str">
        <f ca="1">IFERROR(__xludf.DUMMYFUNCTION("SPARKLINE({
IF(D791="""",0,D791),
IF(F791="""",0,F791),
IF(H791="""",0,H791),
IF(J791="""",0,J791),
IF(L791="""",0,L791),
IF(N791="""",0,N791),
IF(P791="""",0,P791)
})"),"")</f>
        <v/>
      </c>
      <c r="U791" s="7" t="str">
        <f ca="1">IFERROR(__xludf.DUMMYFUNCTION("SPARKLINE({
IF(E791="""",0,E791),
IF(G791="""",0,G791),
IF(I791="""",0,I791),
IF(K791="""",0,K791),
IF(M791="""",0,M791),
IF(O791="""",0,O791),
IF(Q791="""",0,Q791)
})"),"")</f>
        <v/>
      </c>
      <c r="V791" s="8" t="e">
        <f t="array" aca="1" ref="V791" ca="1">IF($C$4="Giao",_xludf.Xlookup(C791,#REF!,#REF!,),_xludf.Xlookup(C791,#REF!,#REF!,))</f>
        <v>#NAME?</v>
      </c>
      <c r="W791" s="8">
        <f t="array" ref="W791">IF($C$4="Giao", _xludf.Xlookup(C791,#REF!,#REF!,),)</f>
        <v>0</v>
      </c>
      <c r="X791" s="9">
        <f t="shared" si="10"/>
        <v>0</v>
      </c>
      <c r="Y791" s="7"/>
      <c r="Z791" s="7"/>
    </row>
    <row r="792" spans="1:26" ht="13" x14ac:dyDescent="0.6">
      <c r="A792" s="28" t="str">
        <f t="shared" si="9"/>
        <v/>
      </c>
      <c r="B792" s="7"/>
      <c r="C792" s="7"/>
      <c r="D792" s="9"/>
      <c r="E792" s="9"/>
      <c r="F792" s="9"/>
      <c r="G792" s="9"/>
      <c r="H792" s="9"/>
      <c r="I792" s="9"/>
      <c r="J792" s="9"/>
      <c r="K792" s="9"/>
      <c r="L792" s="9"/>
      <c r="M792" s="9"/>
      <c r="N792" s="9"/>
      <c r="O792" s="9"/>
      <c r="P792" s="29"/>
      <c r="Q792" s="29"/>
      <c r="R792" s="7"/>
      <c r="S792" s="7"/>
      <c r="T792" s="7" t="str">
        <f ca="1">IFERROR(__xludf.DUMMYFUNCTION("SPARKLINE({
IF(D792="""",0,D792),
IF(F792="""",0,F792),
IF(H792="""",0,H792),
IF(J792="""",0,J792),
IF(L792="""",0,L792),
IF(N792="""",0,N792),
IF(P792="""",0,P792)
})"),"")</f>
        <v/>
      </c>
      <c r="U792" s="7" t="str">
        <f ca="1">IFERROR(__xludf.DUMMYFUNCTION("SPARKLINE({
IF(E792="""",0,E792),
IF(G792="""",0,G792),
IF(I792="""",0,I792),
IF(K792="""",0,K792),
IF(M792="""",0,M792),
IF(O792="""",0,O792),
IF(Q792="""",0,Q792)
})"),"")</f>
        <v/>
      </c>
      <c r="V792" s="8" t="e">
        <f t="array" aca="1" ref="V792" ca="1">IF($C$4="Giao",_xludf.Xlookup(C792,#REF!,#REF!,),_xludf.Xlookup(C792,#REF!,#REF!,))</f>
        <v>#NAME?</v>
      </c>
      <c r="W792" s="8">
        <f t="array" ref="W792">IF($C$4="Giao", _xludf.Xlookup(C792,#REF!,#REF!,),)</f>
        <v>0</v>
      </c>
      <c r="X792" s="9">
        <f t="shared" si="10"/>
        <v>0</v>
      </c>
      <c r="Y792" s="7"/>
      <c r="Z792" s="7"/>
    </row>
    <row r="793" spans="1:26" ht="13" x14ac:dyDescent="0.6">
      <c r="A793" s="28" t="str">
        <f t="shared" si="9"/>
        <v/>
      </c>
      <c r="B793" s="7"/>
      <c r="C793" s="7"/>
      <c r="D793" s="9"/>
      <c r="E793" s="9"/>
      <c r="F793" s="9"/>
      <c r="G793" s="9"/>
      <c r="H793" s="9"/>
      <c r="I793" s="9"/>
      <c r="J793" s="9"/>
      <c r="K793" s="9"/>
      <c r="L793" s="9"/>
      <c r="M793" s="9"/>
      <c r="N793" s="9"/>
      <c r="O793" s="9"/>
      <c r="P793" s="29"/>
      <c r="Q793" s="29"/>
      <c r="R793" s="7"/>
      <c r="S793" s="7"/>
      <c r="T793" s="7" t="str">
        <f ca="1">IFERROR(__xludf.DUMMYFUNCTION("SPARKLINE({
IF(D793="""",0,D793),
IF(F793="""",0,F793),
IF(H793="""",0,H793),
IF(J793="""",0,J793),
IF(L793="""",0,L793),
IF(N793="""",0,N793),
IF(P793="""",0,P793)
})"),"")</f>
        <v/>
      </c>
      <c r="U793" s="7" t="str">
        <f ca="1">IFERROR(__xludf.DUMMYFUNCTION("SPARKLINE({
IF(E793="""",0,E793),
IF(G793="""",0,G793),
IF(I793="""",0,I793),
IF(K793="""",0,K793),
IF(M793="""",0,M793),
IF(O793="""",0,O793),
IF(Q793="""",0,Q793)
})"),"")</f>
        <v/>
      </c>
      <c r="V793" s="8" t="e">
        <f t="array" aca="1" ref="V793" ca="1">IF($C$4="Giao",_xludf.Xlookup(C793,#REF!,#REF!,),_xludf.Xlookup(C793,#REF!,#REF!,))</f>
        <v>#NAME?</v>
      </c>
      <c r="W793" s="8">
        <f t="array" ref="W793">IF($C$4="Giao", _xludf.Xlookup(C793,#REF!,#REF!,),)</f>
        <v>0</v>
      </c>
      <c r="X793" s="9">
        <f t="shared" si="10"/>
        <v>0</v>
      </c>
      <c r="Y793" s="7"/>
      <c r="Z793" s="7"/>
    </row>
    <row r="794" spans="1:26" ht="13" x14ac:dyDescent="0.6">
      <c r="A794" s="28" t="str">
        <f t="shared" si="9"/>
        <v/>
      </c>
      <c r="B794" s="7"/>
      <c r="C794" s="7"/>
      <c r="D794" s="9"/>
      <c r="E794" s="9"/>
      <c r="F794" s="9"/>
      <c r="G794" s="9"/>
      <c r="H794" s="9"/>
      <c r="I794" s="9"/>
      <c r="J794" s="9"/>
      <c r="K794" s="9"/>
      <c r="L794" s="9"/>
      <c r="M794" s="9"/>
      <c r="N794" s="9"/>
      <c r="O794" s="9"/>
      <c r="P794" s="29"/>
      <c r="Q794" s="29"/>
      <c r="R794" s="7"/>
      <c r="S794" s="7"/>
      <c r="T794" s="7" t="str">
        <f ca="1">IFERROR(__xludf.DUMMYFUNCTION("SPARKLINE({
IF(D794="""",0,D794),
IF(F794="""",0,F794),
IF(H794="""",0,H794),
IF(J794="""",0,J794),
IF(L794="""",0,L794),
IF(N794="""",0,N794),
IF(P794="""",0,P794)
})"),"")</f>
        <v/>
      </c>
      <c r="U794" s="7" t="str">
        <f ca="1">IFERROR(__xludf.DUMMYFUNCTION("SPARKLINE({
IF(E794="""",0,E794),
IF(G794="""",0,G794),
IF(I794="""",0,I794),
IF(K794="""",0,K794),
IF(M794="""",0,M794),
IF(O794="""",0,O794),
IF(Q794="""",0,Q794)
})"),"")</f>
        <v/>
      </c>
      <c r="V794" s="8" t="e">
        <f t="array" aca="1" ref="V794" ca="1">IF($C$4="Giao",_xludf.Xlookup(C794,#REF!,#REF!,),_xludf.Xlookup(C794,#REF!,#REF!,))</f>
        <v>#NAME?</v>
      </c>
      <c r="W794" s="8">
        <f t="array" ref="W794">IF($C$4="Giao", _xludf.Xlookup(C794,#REF!,#REF!,),)</f>
        <v>0</v>
      </c>
      <c r="X794" s="9">
        <f t="shared" si="10"/>
        <v>0</v>
      </c>
      <c r="Y794" s="7"/>
      <c r="Z794" s="7"/>
    </row>
    <row r="795" spans="1:26" ht="13" x14ac:dyDescent="0.6">
      <c r="A795" s="28" t="str">
        <f t="shared" si="9"/>
        <v/>
      </c>
      <c r="B795" s="7"/>
      <c r="C795" s="7"/>
      <c r="D795" s="9"/>
      <c r="E795" s="9"/>
      <c r="F795" s="9"/>
      <c r="G795" s="9"/>
      <c r="H795" s="9"/>
      <c r="I795" s="9"/>
      <c r="J795" s="9"/>
      <c r="K795" s="9"/>
      <c r="L795" s="9"/>
      <c r="M795" s="9"/>
      <c r="N795" s="9"/>
      <c r="O795" s="9"/>
      <c r="P795" s="29"/>
      <c r="Q795" s="29"/>
      <c r="R795" s="7"/>
      <c r="S795" s="7"/>
      <c r="T795" s="7" t="str">
        <f ca="1">IFERROR(__xludf.DUMMYFUNCTION("SPARKLINE({
IF(D795="""",0,D795),
IF(F795="""",0,F795),
IF(H795="""",0,H795),
IF(J795="""",0,J795),
IF(L795="""",0,L795),
IF(N795="""",0,N795),
IF(P795="""",0,P795)
})"),"")</f>
        <v/>
      </c>
      <c r="U795" s="7" t="str">
        <f ca="1">IFERROR(__xludf.DUMMYFUNCTION("SPARKLINE({
IF(E795="""",0,E795),
IF(G795="""",0,G795),
IF(I795="""",0,I795),
IF(K795="""",0,K795),
IF(M795="""",0,M795),
IF(O795="""",0,O795),
IF(Q795="""",0,Q795)
})"),"")</f>
        <v/>
      </c>
      <c r="V795" s="8" t="e">
        <f t="array" aca="1" ref="V795" ca="1">IF($C$4="Giao",_xludf.Xlookup(C795,#REF!,#REF!,),_xludf.Xlookup(C795,#REF!,#REF!,))</f>
        <v>#NAME?</v>
      </c>
      <c r="W795" s="8">
        <f t="array" ref="W795">IF($C$4="Giao", _xludf.Xlookup(C795,#REF!,#REF!,),)</f>
        <v>0</v>
      </c>
      <c r="X795" s="9">
        <f t="shared" si="10"/>
        <v>0</v>
      </c>
      <c r="Y795" s="7"/>
      <c r="Z795" s="7"/>
    </row>
    <row r="796" spans="1:26" ht="13" x14ac:dyDescent="0.6">
      <c r="A796" s="28" t="str">
        <f t="shared" si="9"/>
        <v/>
      </c>
      <c r="B796" s="7"/>
      <c r="C796" s="7"/>
      <c r="D796" s="9"/>
      <c r="E796" s="9"/>
      <c r="F796" s="9"/>
      <c r="G796" s="9"/>
      <c r="H796" s="9"/>
      <c r="I796" s="9"/>
      <c r="J796" s="9"/>
      <c r="K796" s="9"/>
      <c r="L796" s="9"/>
      <c r="M796" s="9"/>
      <c r="N796" s="9"/>
      <c r="O796" s="9"/>
      <c r="P796" s="29"/>
      <c r="Q796" s="29"/>
      <c r="R796" s="7"/>
      <c r="S796" s="7"/>
      <c r="T796" s="7" t="str">
        <f ca="1">IFERROR(__xludf.DUMMYFUNCTION("SPARKLINE({
IF(D796="""",0,D796),
IF(F796="""",0,F796),
IF(H796="""",0,H796),
IF(J796="""",0,J796),
IF(L796="""",0,L796),
IF(N796="""",0,N796),
IF(P796="""",0,P796)
})"),"")</f>
        <v/>
      </c>
      <c r="U796" s="7" t="str">
        <f ca="1">IFERROR(__xludf.DUMMYFUNCTION("SPARKLINE({
IF(E796="""",0,E796),
IF(G796="""",0,G796),
IF(I796="""",0,I796),
IF(K796="""",0,K796),
IF(M796="""",0,M796),
IF(O796="""",0,O796),
IF(Q796="""",0,Q796)
})"),"")</f>
        <v/>
      </c>
      <c r="V796" s="8" t="e">
        <f t="array" aca="1" ref="V796" ca="1">IF($C$4="Giao",_xludf.Xlookup(C796,#REF!,#REF!,),_xludf.Xlookup(C796,#REF!,#REF!,))</f>
        <v>#NAME?</v>
      </c>
      <c r="W796" s="8">
        <f t="array" ref="W796">IF($C$4="Giao", _xludf.Xlookup(C796,#REF!,#REF!,),)</f>
        <v>0</v>
      </c>
      <c r="X796" s="9">
        <f t="shared" si="10"/>
        <v>0</v>
      </c>
      <c r="Y796" s="7"/>
      <c r="Z796" s="7"/>
    </row>
    <row r="797" spans="1:26" ht="13" x14ac:dyDescent="0.6">
      <c r="A797" s="28" t="str">
        <f t="shared" si="9"/>
        <v/>
      </c>
      <c r="B797" s="7"/>
      <c r="C797" s="7"/>
      <c r="D797" s="9"/>
      <c r="E797" s="9"/>
      <c r="F797" s="9"/>
      <c r="G797" s="9"/>
      <c r="H797" s="9"/>
      <c r="I797" s="9"/>
      <c r="J797" s="9"/>
      <c r="K797" s="9"/>
      <c r="L797" s="9"/>
      <c r="M797" s="9"/>
      <c r="N797" s="9"/>
      <c r="O797" s="9"/>
      <c r="P797" s="29"/>
      <c r="Q797" s="29"/>
      <c r="R797" s="7"/>
      <c r="S797" s="7"/>
      <c r="T797" s="7" t="str">
        <f ca="1">IFERROR(__xludf.DUMMYFUNCTION("SPARKLINE({
IF(D797="""",0,D797),
IF(F797="""",0,F797),
IF(H797="""",0,H797),
IF(J797="""",0,J797),
IF(L797="""",0,L797),
IF(N797="""",0,N797),
IF(P797="""",0,P797)
})"),"")</f>
        <v/>
      </c>
      <c r="U797" s="7" t="str">
        <f ca="1">IFERROR(__xludf.DUMMYFUNCTION("SPARKLINE({
IF(E797="""",0,E797),
IF(G797="""",0,G797),
IF(I797="""",0,I797),
IF(K797="""",0,K797),
IF(M797="""",0,M797),
IF(O797="""",0,O797),
IF(Q797="""",0,Q797)
})"),"")</f>
        <v/>
      </c>
      <c r="V797" s="8" t="e">
        <f t="array" aca="1" ref="V797" ca="1">IF($C$4="Giao",_xludf.Xlookup(C797,#REF!,#REF!,),_xludf.Xlookup(C797,#REF!,#REF!,))</f>
        <v>#NAME?</v>
      </c>
      <c r="W797" s="8">
        <f t="array" ref="W797">IF($C$4="Giao", _xludf.Xlookup(C797,#REF!,#REF!,),)</f>
        <v>0</v>
      </c>
      <c r="X797" s="9">
        <f t="shared" si="10"/>
        <v>0</v>
      </c>
      <c r="Y797" s="7"/>
      <c r="Z797" s="7"/>
    </row>
    <row r="798" spans="1:26" ht="13" x14ac:dyDescent="0.6">
      <c r="A798" s="28" t="str">
        <f t="shared" si="9"/>
        <v/>
      </c>
      <c r="B798" s="7"/>
      <c r="C798" s="7"/>
      <c r="D798" s="9"/>
      <c r="E798" s="9"/>
      <c r="F798" s="9"/>
      <c r="G798" s="9"/>
      <c r="H798" s="9"/>
      <c r="I798" s="9"/>
      <c r="J798" s="9"/>
      <c r="K798" s="9"/>
      <c r="L798" s="9"/>
      <c r="M798" s="9"/>
      <c r="N798" s="9"/>
      <c r="O798" s="9"/>
      <c r="P798" s="29"/>
      <c r="Q798" s="29"/>
      <c r="R798" s="7"/>
      <c r="S798" s="7"/>
      <c r="T798" s="7" t="str">
        <f ca="1">IFERROR(__xludf.DUMMYFUNCTION("SPARKLINE({
IF(D798="""",0,D798),
IF(F798="""",0,F798),
IF(H798="""",0,H798),
IF(J798="""",0,J798),
IF(L798="""",0,L798),
IF(N798="""",0,N798),
IF(P798="""",0,P798)
})"),"")</f>
        <v/>
      </c>
      <c r="U798" s="7" t="str">
        <f ca="1">IFERROR(__xludf.DUMMYFUNCTION("SPARKLINE({
IF(E798="""",0,E798),
IF(G798="""",0,G798),
IF(I798="""",0,I798),
IF(K798="""",0,K798),
IF(M798="""",0,M798),
IF(O798="""",0,O798),
IF(Q798="""",0,Q798)
})"),"")</f>
        <v/>
      </c>
      <c r="V798" s="8" t="e">
        <f t="array" aca="1" ref="V798" ca="1">IF($C$4="Giao",_xludf.Xlookup(C798,#REF!,#REF!,),_xludf.Xlookup(C798,#REF!,#REF!,))</f>
        <v>#NAME?</v>
      </c>
      <c r="W798" s="8">
        <f t="array" ref="W798">IF($C$4="Giao", _xludf.Xlookup(C798,#REF!,#REF!,),)</f>
        <v>0</v>
      </c>
      <c r="X798" s="9">
        <f t="shared" si="10"/>
        <v>0</v>
      </c>
      <c r="Y798" s="7"/>
      <c r="Z798" s="7"/>
    </row>
    <row r="799" spans="1:26" ht="13" x14ac:dyDescent="0.6">
      <c r="A799" s="28" t="str">
        <f t="shared" si="9"/>
        <v/>
      </c>
      <c r="B799" s="7"/>
      <c r="C799" s="7"/>
      <c r="D799" s="9"/>
      <c r="E799" s="9"/>
      <c r="F799" s="9"/>
      <c r="G799" s="9"/>
      <c r="H799" s="9"/>
      <c r="I799" s="9"/>
      <c r="J799" s="9"/>
      <c r="K799" s="9"/>
      <c r="L799" s="9"/>
      <c r="M799" s="9"/>
      <c r="N799" s="9"/>
      <c r="O799" s="9"/>
      <c r="P799" s="29"/>
      <c r="Q799" s="29"/>
      <c r="R799" s="7"/>
      <c r="S799" s="7"/>
      <c r="T799" s="7" t="str">
        <f ca="1">IFERROR(__xludf.DUMMYFUNCTION("SPARKLINE({
IF(D799="""",0,D799),
IF(F799="""",0,F799),
IF(H799="""",0,H799),
IF(J799="""",0,J799),
IF(L799="""",0,L799),
IF(N799="""",0,N799),
IF(P799="""",0,P799)
})"),"")</f>
        <v/>
      </c>
      <c r="U799" s="7" t="str">
        <f ca="1">IFERROR(__xludf.DUMMYFUNCTION("SPARKLINE({
IF(E799="""",0,E799),
IF(G799="""",0,G799),
IF(I799="""",0,I799),
IF(K799="""",0,K799),
IF(M799="""",0,M799),
IF(O799="""",0,O799),
IF(Q799="""",0,Q799)
})"),"")</f>
        <v/>
      </c>
      <c r="V799" s="8" t="e">
        <f t="array" aca="1" ref="V799" ca="1">IF($C$4="Giao",_xludf.Xlookup(C799,#REF!,#REF!,),_xludf.Xlookup(C799,#REF!,#REF!,))</f>
        <v>#NAME?</v>
      </c>
      <c r="W799" s="8">
        <f t="array" ref="W799">IF($C$4="Giao", _xludf.Xlookup(C799,#REF!,#REF!,),)</f>
        <v>0</v>
      </c>
      <c r="X799" s="9">
        <f t="shared" si="10"/>
        <v>0</v>
      </c>
      <c r="Y799" s="7"/>
      <c r="Z799" s="7"/>
    </row>
    <row r="800" spans="1:26" ht="13" x14ac:dyDescent="0.6">
      <c r="A800" s="28" t="str">
        <f t="shared" si="9"/>
        <v/>
      </c>
      <c r="B800" s="7"/>
      <c r="C800" s="7"/>
      <c r="D800" s="9"/>
      <c r="E800" s="9"/>
      <c r="F800" s="9"/>
      <c r="G800" s="9"/>
      <c r="H800" s="9"/>
      <c r="I800" s="9"/>
      <c r="J800" s="9"/>
      <c r="K800" s="9"/>
      <c r="L800" s="9"/>
      <c r="M800" s="9"/>
      <c r="N800" s="9"/>
      <c r="O800" s="9"/>
      <c r="P800" s="29"/>
      <c r="Q800" s="29"/>
      <c r="R800" s="7"/>
      <c r="S800" s="7"/>
      <c r="T800" s="7" t="str">
        <f ca="1">IFERROR(__xludf.DUMMYFUNCTION("SPARKLINE({
IF(D800="""",0,D800),
IF(F800="""",0,F800),
IF(H800="""",0,H800),
IF(J800="""",0,J800),
IF(L800="""",0,L800),
IF(N800="""",0,N800),
IF(P800="""",0,P800)
})"),"")</f>
        <v/>
      </c>
      <c r="U800" s="7" t="str">
        <f ca="1">IFERROR(__xludf.DUMMYFUNCTION("SPARKLINE({
IF(E800="""",0,E800),
IF(G800="""",0,G800),
IF(I800="""",0,I800),
IF(K800="""",0,K800),
IF(M800="""",0,M800),
IF(O800="""",0,O800),
IF(Q800="""",0,Q800)
})"),"")</f>
        <v/>
      </c>
      <c r="V800" s="8" t="e">
        <f t="array" aca="1" ref="V800" ca="1">IF($C$4="Giao",_xludf.Xlookup(C800,#REF!,#REF!,),_xludf.Xlookup(C800,#REF!,#REF!,))</f>
        <v>#NAME?</v>
      </c>
      <c r="W800" s="8">
        <f t="array" ref="W800">IF($C$4="Giao", _xludf.Xlookup(C800,#REF!,#REF!,),)</f>
        <v>0</v>
      </c>
      <c r="X800" s="9">
        <f t="shared" si="10"/>
        <v>0</v>
      </c>
      <c r="Y800" s="7"/>
      <c r="Z800" s="7"/>
    </row>
    <row r="801" spans="1:26" ht="13" x14ac:dyDescent="0.6">
      <c r="A801" s="28" t="str">
        <f t="shared" si="9"/>
        <v/>
      </c>
      <c r="B801" s="7"/>
      <c r="C801" s="7"/>
      <c r="D801" s="9"/>
      <c r="E801" s="9"/>
      <c r="F801" s="9"/>
      <c r="G801" s="9"/>
      <c r="H801" s="9"/>
      <c r="I801" s="9"/>
      <c r="J801" s="9"/>
      <c r="K801" s="9"/>
      <c r="L801" s="9"/>
      <c r="M801" s="9"/>
      <c r="N801" s="9"/>
      <c r="O801" s="9"/>
      <c r="P801" s="29"/>
      <c r="Q801" s="29"/>
      <c r="R801" s="7"/>
      <c r="S801" s="7"/>
      <c r="T801" s="7" t="str">
        <f ca="1">IFERROR(__xludf.DUMMYFUNCTION("SPARKLINE({
IF(D801="""",0,D801),
IF(F801="""",0,F801),
IF(H801="""",0,H801),
IF(J801="""",0,J801),
IF(L801="""",0,L801),
IF(N801="""",0,N801),
IF(P801="""",0,P801)
})"),"")</f>
        <v/>
      </c>
      <c r="U801" s="7" t="str">
        <f ca="1">IFERROR(__xludf.DUMMYFUNCTION("SPARKLINE({
IF(E801="""",0,E801),
IF(G801="""",0,G801),
IF(I801="""",0,I801),
IF(K801="""",0,K801),
IF(M801="""",0,M801),
IF(O801="""",0,O801),
IF(Q801="""",0,Q801)
})"),"")</f>
        <v/>
      </c>
      <c r="V801" s="8" t="e">
        <f t="array" aca="1" ref="V801" ca="1">IF($C$4="Giao",_xludf.Xlookup(C801,#REF!,#REF!,),_xludf.Xlookup(C801,#REF!,#REF!,))</f>
        <v>#NAME?</v>
      </c>
      <c r="W801" s="8">
        <f t="array" ref="W801">IF($C$4="Giao", _xludf.Xlookup(C801,#REF!,#REF!,),)</f>
        <v>0</v>
      </c>
      <c r="X801" s="9">
        <f t="shared" si="10"/>
        <v>0</v>
      </c>
      <c r="Y801" s="7"/>
      <c r="Z801" s="7"/>
    </row>
    <row r="802" spans="1:26" ht="13" x14ac:dyDescent="0.6">
      <c r="A802" s="28" t="str">
        <f t="shared" si="9"/>
        <v/>
      </c>
      <c r="B802" s="7"/>
      <c r="C802" s="7"/>
      <c r="D802" s="9"/>
      <c r="E802" s="9"/>
      <c r="F802" s="9"/>
      <c r="G802" s="9"/>
      <c r="H802" s="9"/>
      <c r="I802" s="9"/>
      <c r="J802" s="9"/>
      <c r="K802" s="9"/>
      <c r="L802" s="9"/>
      <c r="M802" s="9"/>
      <c r="N802" s="9"/>
      <c r="O802" s="9"/>
      <c r="P802" s="29"/>
      <c r="Q802" s="29"/>
      <c r="R802" s="7"/>
      <c r="S802" s="7"/>
      <c r="T802" s="7" t="str">
        <f ca="1">IFERROR(__xludf.DUMMYFUNCTION("SPARKLINE({
IF(D802="""",0,D802),
IF(F802="""",0,F802),
IF(H802="""",0,H802),
IF(J802="""",0,J802),
IF(L802="""",0,L802),
IF(N802="""",0,N802),
IF(P802="""",0,P802)
})"),"")</f>
        <v/>
      </c>
      <c r="U802" s="7" t="str">
        <f ca="1">IFERROR(__xludf.DUMMYFUNCTION("SPARKLINE({
IF(E802="""",0,E802),
IF(G802="""",0,G802),
IF(I802="""",0,I802),
IF(K802="""",0,K802),
IF(M802="""",0,M802),
IF(O802="""",0,O802),
IF(Q802="""",0,Q802)
})"),"")</f>
        <v/>
      </c>
      <c r="V802" s="8" t="e">
        <f t="array" aca="1" ref="V802" ca="1">IF($C$4="Giao",_xludf.Xlookup(C802,#REF!,#REF!,),_xludf.Xlookup(C802,#REF!,#REF!,))</f>
        <v>#NAME?</v>
      </c>
      <c r="W802" s="8">
        <f t="array" ref="W802">IF($C$4="Giao", _xludf.Xlookup(C802,#REF!,#REF!,),)</f>
        <v>0</v>
      </c>
      <c r="X802" s="9">
        <f t="shared" si="10"/>
        <v>0</v>
      </c>
      <c r="Y802" s="7"/>
      <c r="Z802" s="7"/>
    </row>
    <row r="803" spans="1:26" ht="13" x14ac:dyDescent="0.6">
      <c r="A803" s="28" t="str">
        <f t="shared" si="9"/>
        <v/>
      </c>
      <c r="B803" s="7"/>
      <c r="C803" s="7"/>
      <c r="D803" s="9"/>
      <c r="E803" s="9"/>
      <c r="F803" s="9"/>
      <c r="G803" s="9"/>
      <c r="H803" s="9"/>
      <c r="I803" s="9"/>
      <c r="J803" s="9"/>
      <c r="K803" s="9"/>
      <c r="L803" s="9"/>
      <c r="M803" s="9"/>
      <c r="N803" s="9"/>
      <c r="O803" s="9"/>
      <c r="P803" s="29"/>
      <c r="Q803" s="29"/>
      <c r="R803" s="7"/>
      <c r="S803" s="7"/>
      <c r="T803" s="7" t="str">
        <f ca="1">IFERROR(__xludf.DUMMYFUNCTION("SPARKLINE({
IF(D803="""",0,D803),
IF(F803="""",0,F803),
IF(H803="""",0,H803),
IF(J803="""",0,J803),
IF(L803="""",0,L803),
IF(N803="""",0,N803),
IF(P803="""",0,P803)
})"),"")</f>
        <v/>
      </c>
      <c r="U803" s="7" t="str">
        <f ca="1">IFERROR(__xludf.DUMMYFUNCTION("SPARKLINE({
IF(E803="""",0,E803),
IF(G803="""",0,G803),
IF(I803="""",0,I803),
IF(K803="""",0,K803),
IF(M803="""",0,M803),
IF(O803="""",0,O803),
IF(Q803="""",0,Q803)
})"),"")</f>
        <v/>
      </c>
      <c r="V803" s="8" t="e">
        <f t="array" aca="1" ref="V803" ca="1">IF($C$4="Giao",_xludf.Xlookup(C803,#REF!,#REF!,),_xludf.Xlookup(C803,#REF!,#REF!,))</f>
        <v>#NAME?</v>
      </c>
      <c r="W803" s="8">
        <f t="array" ref="W803">IF($C$4="Giao", _xludf.Xlookup(C803,#REF!,#REF!,),)</f>
        <v>0</v>
      </c>
      <c r="X803" s="9">
        <f t="shared" si="10"/>
        <v>0</v>
      </c>
      <c r="Y803" s="7"/>
      <c r="Z803" s="7"/>
    </row>
    <row r="804" spans="1:26" ht="13" x14ac:dyDescent="0.6">
      <c r="A804" s="28" t="str">
        <f t="shared" si="9"/>
        <v/>
      </c>
      <c r="B804" s="7"/>
      <c r="C804" s="7"/>
      <c r="D804" s="9"/>
      <c r="E804" s="9"/>
      <c r="F804" s="9"/>
      <c r="G804" s="9"/>
      <c r="H804" s="9"/>
      <c r="I804" s="9"/>
      <c r="J804" s="9"/>
      <c r="K804" s="9"/>
      <c r="L804" s="9"/>
      <c r="M804" s="9"/>
      <c r="N804" s="9"/>
      <c r="O804" s="9"/>
      <c r="P804" s="29"/>
      <c r="Q804" s="29"/>
      <c r="R804" s="7"/>
      <c r="S804" s="7"/>
      <c r="T804" s="7" t="str">
        <f ca="1">IFERROR(__xludf.DUMMYFUNCTION("SPARKLINE({
IF(D804="""",0,D804),
IF(F804="""",0,F804),
IF(H804="""",0,H804),
IF(J804="""",0,J804),
IF(L804="""",0,L804),
IF(N804="""",0,N804),
IF(P804="""",0,P804)
})"),"")</f>
        <v/>
      </c>
      <c r="U804" s="7" t="str">
        <f ca="1">IFERROR(__xludf.DUMMYFUNCTION("SPARKLINE({
IF(E804="""",0,E804),
IF(G804="""",0,G804),
IF(I804="""",0,I804),
IF(K804="""",0,K804),
IF(M804="""",0,M804),
IF(O804="""",0,O804),
IF(Q804="""",0,Q804)
})"),"")</f>
        <v/>
      </c>
      <c r="V804" s="8" t="e">
        <f t="array" aca="1" ref="V804" ca="1">IF($C$4="Giao",_xludf.Xlookup(C804,#REF!,#REF!,),_xludf.Xlookup(C804,#REF!,#REF!,))</f>
        <v>#NAME?</v>
      </c>
      <c r="W804" s="8">
        <f t="array" ref="W804">IF($C$4="Giao", _xludf.Xlookup(C804,#REF!,#REF!,),)</f>
        <v>0</v>
      </c>
      <c r="X804" s="9">
        <f t="shared" si="10"/>
        <v>0</v>
      </c>
      <c r="Y804" s="7"/>
      <c r="Z804" s="7"/>
    </row>
    <row r="805" spans="1:26" ht="13" x14ac:dyDescent="0.6">
      <c r="A805" s="28" t="str">
        <f t="shared" si="9"/>
        <v/>
      </c>
      <c r="B805" s="7"/>
      <c r="C805" s="7"/>
      <c r="D805" s="9"/>
      <c r="E805" s="9"/>
      <c r="F805" s="9"/>
      <c r="G805" s="9"/>
      <c r="H805" s="9"/>
      <c r="I805" s="9"/>
      <c r="J805" s="9"/>
      <c r="K805" s="9"/>
      <c r="L805" s="9"/>
      <c r="M805" s="9"/>
      <c r="N805" s="9"/>
      <c r="O805" s="9"/>
      <c r="P805" s="29"/>
      <c r="Q805" s="29"/>
      <c r="R805" s="7"/>
      <c r="S805" s="7"/>
      <c r="T805" s="7" t="str">
        <f ca="1">IFERROR(__xludf.DUMMYFUNCTION("SPARKLINE({
IF(D805="""",0,D805),
IF(F805="""",0,F805),
IF(H805="""",0,H805),
IF(J805="""",0,J805),
IF(L805="""",0,L805),
IF(N805="""",0,N805),
IF(P805="""",0,P805)
})"),"")</f>
        <v/>
      </c>
      <c r="U805" s="7" t="str">
        <f ca="1">IFERROR(__xludf.DUMMYFUNCTION("SPARKLINE({
IF(E805="""",0,E805),
IF(G805="""",0,G805),
IF(I805="""",0,I805),
IF(K805="""",0,K805),
IF(M805="""",0,M805),
IF(O805="""",0,O805),
IF(Q805="""",0,Q805)
})"),"")</f>
        <v/>
      </c>
      <c r="V805" s="8" t="e">
        <f t="array" aca="1" ref="V805" ca="1">IF($C$4="Giao",_xludf.Xlookup(C805,#REF!,#REF!,),_xludf.Xlookup(C805,#REF!,#REF!,))</f>
        <v>#NAME?</v>
      </c>
      <c r="W805" s="8">
        <f t="array" ref="W805">IF($C$4="Giao", _xludf.Xlookup(C805,#REF!,#REF!,),)</f>
        <v>0</v>
      </c>
      <c r="X805" s="9">
        <f t="shared" si="10"/>
        <v>0</v>
      </c>
      <c r="Y805" s="7"/>
      <c r="Z805" s="7"/>
    </row>
    <row r="806" spans="1:26" ht="13" x14ac:dyDescent="0.6">
      <c r="A806" s="28" t="str">
        <f t="shared" si="9"/>
        <v/>
      </c>
      <c r="B806" s="7"/>
      <c r="C806" s="7"/>
      <c r="D806" s="9"/>
      <c r="E806" s="9"/>
      <c r="F806" s="9"/>
      <c r="G806" s="9"/>
      <c r="H806" s="9"/>
      <c r="I806" s="9"/>
      <c r="J806" s="9"/>
      <c r="K806" s="9"/>
      <c r="L806" s="9"/>
      <c r="M806" s="9"/>
      <c r="N806" s="9"/>
      <c r="O806" s="9"/>
      <c r="P806" s="29"/>
      <c r="Q806" s="29"/>
      <c r="R806" s="7"/>
      <c r="S806" s="7"/>
      <c r="T806" s="7" t="str">
        <f ca="1">IFERROR(__xludf.DUMMYFUNCTION("SPARKLINE({
IF(D806="""",0,D806),
IF(F806="""",0,F806),
IF(H806="""",0,H806),
IF(J806="""",0,J806),
IF(L806="""",0,L806),
IF(N806="""",0,N806),
IF(P806="""",0,P806)
})"),"")</f>
        <v/>
      </c>
      <c r="U806" s="7" t="str">
        <f ca="1">IFERROR(__xludf.DUMMYFUNCTION("SPARKLINE({
IF(E806="""",0,E806),
IF(G806="""",0,G806),
IF(I806="""",0,I806),
IF(K806="""",0,K806),
IF(M806="""",0,M806),
IF(O806="""",0,O806),
IF(Q806="""",0,Q806)
})"),"")</f>
        <v/>
      </c>
      <c r="V806" s="8" t="e">
        <f t="array" aca="1" ref="V806" ca="1">IF($C$4="Giao",_xludf.Xlookup(C806,#REF!,#REF!,),_xludf.Xlookup(C806,#REF!,#REF!,))</f>
        <v>#NAME?</v>
      </c>
      <c r="W806" s="8">
        <f t="array" ref="W806">IF($C$4="Giao", _xludf.Xlookup(C806,#REF!,#REF!,),)</f>
        <v>0</v>
      </c>
      <c r="X806" s="9">
        <f t="shared" si="10"/>
        <v>0</v>
      </c>
      <c r="Y806" s="7"/>
      <c r="Z806" s="7"/>
    </row>
    <row r="807" spans="1:26" ht="13" x14ac:dyDescent="0.6">
      <c r="A807" s="28" t="str">
        <f t="shared" si="9"/>
        <v/>
      </c>
      <c r="B807" s="7"/>
      <c r="C807" s="7"/>
      <c r="D807" s="9"/>
      <c r="E807" s="9"/>
      <c r="F807" s="9"/>
      <c r="G807" s="9"/>
      <c r="H807" s="9"/>
      <c r="I807" s="9"/>
      <c r="J807" s="9"/>
      <c r="K807" s="9"/>
      <c r="L807" s="9"/>
      <c r="M807" s="9"/>
      <c r="N807" s="9"/>
      <c r="O807" s="9"/>
      <c r="P807" s="29"/>
      <c r="Q807" s="29"/>
      <c r="R807" s="7"/>
      <c r="S807" s="7"/>
      <c r="T807" s="7" t="str">
        <f ca="1">IFERROR(__xludf.DUMMYFUNCTION("SPARKLINE({
IF(D807="""",0,D807),
IF(F807="""",0,F807),
IF(H807="""",0,H807),
IF(J807="""",0,J807),
IF(L807="""",0,L807),
IF(N807="""",0,N807),
IF(P807="""",0,P807)
})"),"")</f>
        <v/>
      </c>
      <c r="U807" s="7" t="str">
        <f ca="1">IFERROR(__xludf.DUMMYFUNCTION("SPARKLINE({
IF(E807="""",0,E807),
IF(G807="""",0,G807),
IF(I807="""",0,I807),
IF(K807="""",0,K807),
IF(M807="""",0,M807),
IF(O807="""",0,O807),
IF(Q807="""",0,Q807)
})"),"")</f>
        <v/>
      </c>
      <c r="V807" s="8" t="e">
        <f t="array" aca="1" ref="V807" ca="1">IF($C$4="Giao",_xludf.Xlookup(C807,#REF!,#REF!,),_xludf.Xlookup(C807,#REF!,#REF!,))</f>
        <v>#NAME?</v>
      </c>
      <c r="W807" s="8">
        <f t="array" ref="W807">IF($C$4="Giao", _xludf.Xlookup(C807,#REF!,#REF!,),)</f>
        <v>0</v>
      </c>
      <c r="X807" s="9">
        <f t="shared" si="10"/>
        <v>0</v>
      </c>
      <c r="Y807" s="7"/>
      <c r="Z807" s="7"/>
    </row>
    <row r="808" spans="1:26" ht="13" x14ac:dyDescent="0.6">
      <c r="A808" s="28" t="str">
        <f t="shared" si="9"/>
        <v/>
      </c>
      <c r="B808" s="7"/>
      <c r="C808" s="7"/>
      <c r="D808" s="9"/>
      <c r="E808" s="9"/>
      <c r="F808" s="9"/>
      <c r="G808" s="9"/>
      <c r="H808" s="9"/>
      <c r="I808" s="9"/>
      <c r="J808" s="9"/>
      <c r="K808" s="9"/>
      <c r="L808" s="9"/>
      <c r="M808" s="9"/>
      <c r="N808" s="9"/>
      <c r="O808" s="9"/>
      <c r="P808" s="29"/>
      <c r="Q808" s="29"/>
      <c r="R808" s="7"/>
      <c r="S808" s="7"/>
      <c r="T808" s="7" t="str">
        <f ca="1">IFERROR(__xludf.DUMMYFUNCTION("SPARKLINE({
IF(D808="""",0,D808),
IF(F808="""",0,F808),
IF(H808="""",0,H808),
IF(J808="""",0,J808),
IF(L808="""",0,L808),
IF(N808="""",0,N808),
IF(P808="""",0,P808)
})"),"")</f>
        <v/>
      </c>
      <c r="U808" s="7" t="str">
        <f ca="1">IFERROR(__xludf.DUMMYFUNCTION("SPARKLINE({
IF(E808="""",0,E808),
IF(G808="""",0,G808),
IF(I808="""",0,I808),
IF(K808="""",0,K808),
IF(M808="""",0,M808),
IF(O808="""",0,O808),
IF(Q808="""",0,Q808)
})"),"")</f>
        <v/>
      </c>
      <c r="V808" s="8" t="e">
        <f t="array" aca="1" ref="V808" ca="1">IF($C$4="Giao",_xludf.Xlookup(C808,#REF!,#REF!,),_xludf.Xlookup(C808,#REF!,#REF!,))</f>
        <v>#NAME?</v>
      </c>
      <c r="W808" s="8">
        <f t="array" ref="W808">IF($C$4="Giao", _xludf.Xlookup(C808,#REF!,#REF!,),)</f>
        <v>0</v>
      </c>
      <c r="X808" s="9">
        <f t="shared" si="10"/>
        <v>0</v>
      </c>
      <c r="Y808" s="7"/>
      <c r="Z808" s="7"/>
    </row>
    <row r="809" spans="1:26" ht="13" x14ac:dyDescent="0.6">
      <c r="A809" s="28" t="str">
        <f t="shared" si="9"/>
        <v/>
      </c>
      <c r="B809" s="7"/>
      <c r="C809" s="7"/>
      <c r="D809" s="9"/>
      <c r="E809" s="9"/>
      <c r="F809" s="9"/>
      <c r="G809" s="9"/>
      <c r="H809" s="9"/>
      <c r="I809" s="9"/>
      <c r="J809" s="9"/>
      <c r="K809" s="9"/>
      <c r="L809" s="9"/>
      <c r="M809" s="9"/>
      <c r="N809" s="9"/>
      <c r="O809" s="9"/>
      <c r="P809" s="29"/>
      <c r="Q809" s="29"/>
      <c r="R809" s="7"/>
      <c r="S809" s="7"/>
      <c r="T809" s="7" t="str">
        <f ca="1">IFERROR(__xludf.DUMMYFUNCTION("SPARKLINE({
IF(D809="""",0,D809),
IF(F809="""",0,F809),
IF(H809="""",0,H809),
IF(J809="""",0,J809),
IF(L809="""",0,L809),
IF(N809="""",0,N809),
IF(P809="""",0,P809)
})"),"")</f>
        <v/>
      </c>
      <c r="U809" s="7" t="str">
        <f ca="1">IFERROR(__xludf.DUMMYFUNCTION("SPARKLINE({
IF(E809="""",0,E809),
IF(G809="""",0,G809),
IF(I809="""",0,I809),
IF(K809="""",0,K809),
IF(M809="""",0,M809),
IF(O809="""",0,O809),
IF(Q809="""",0,Q809)
})"),"")</f>
        <v/>
      </c>
      <c r="V809" s="8" t="e">
        <f t="array" aca="1" ref="V809" ca="1">IF($C$4="Giao",_xludf.Xlookup(C809,#REF!,#REF!,),_xludf.Xlookup(C809,#REF!,#REF!,))</f>
        <v>#NAME?</v>
      </c>
      <c r="W809" s="8">
        <f t="array" ref="W809">IF($C$4="Giao", _xludf.Xlookup(C809,#REF!,#REF!,),)</f>
        <v>0</v>
      </c>
      <c r="X809" s="9">
        <f t="shared" si="10"/>
        <v>0</v>
      </c>
      <c r="Y809" s="7"/>
      <c r="Z809" s="7"/>
    </row>
    <row r="810" spans="1:26" ht="13" x14ac:dyDescent="0.6">
      <c r="A810" s="28" t="str">
        <f t="shared" si="9"/>
        <v/>
      </c>
      <c r="B810" s="7"/>
      <c r="C810" s="7"/>
      <c r="D810" s="9"/>
      <c r="E810" s="9"/>
      <c r="F810" s="9"/>
      <c r="G810" s="9"/>
      <c r="H810" s="9"/>
      <c r="I810" s="9"/>
      <c r="J810" s="9"/>
      <c r="K810" s="9"/>
      <c r="L810" s="9"/>
      <c r="M810" s="9"/>
      <c r="N810" s="9"/>
      <c r="O810" s="9"/>
      <c r="P810" s="29"/>
      <c r="Q810" s="29"/>
      <c r="R810" s="7"/>
      <c r="S810" s="7"/>
      <c r="T810" s="7" t="str">
        <f ca="1">IFERROR(__xludf.DUMMYFUNCTION("SPARKLINE({
IF(D810="""",0,D810),
IF(F810="""",0,F810),
IF(H810="""",0,H810),
IF(J810="""",0,J810),
IF(L810="""",0,L810),
IF(N810="""",0,N810),
IF(P810="""",0,P810)
})"),"")</f>
        <v/>
      </c>
      <c r="U810" s="7" t="str">
        <f ca="1">IFERROR(__xludf.DUMMYFUNCTION("SPARKLINE({
IF(E810="""",0,E810),
IF(G810="""",0,G810),
IF(I810="""",0,I810),
IF(K810="""",0,K810),
IF(M810="""",0,M810),
IF(O810="""",0,O810),
IF(Q810="""",0,Q810)
})"),"")</f>
        <v/>
      </c>
      <c r="V810" s="8" t="e">
        <f t="array" aca="1" ref="V810" ca="1">IF($C$4="Giao",_xludf.Xlookup(C810,#REF!,#REF!,),_xludf.Xlookup(C810,#REF!,#REF!,))</f>
        <v>#NAME?</v>
      </c>
      <c r="W810" s="8">
        <f t="array" ref="W810">IF($C$4="Giao", _xludf.Xlookup(C810,#REF!,#REF!,),)</f>
        <v>0</v>
      </c>
      <c r="X810" s="9">
        <f t="shared" si="10"/>
        <v>0</v>
      </c>
      <c r="Y810" s="7"/>
      <c r="Z810" s="7"/>
    </row>
    <row r="811" spans="1:26" ht="13" x14ac:dyDescent="0.6">
      <c r="A811" s="28" t="str">
        <f t="shared" si="9"/>
        <v/>
      </c>
      <c r="B811" s="7"/>
      <c r="C811" s="7"/>
      <c r="D811" s="9"/>
      <c r="E811" s="9"/>
      <c r="F811" s="9"/>
      <c r="G811" s="9"/>
      <c r="H811" s="9"/>
      <c r="I811" s="9"/>
      <c r="J811" s="9"/>
      <c r="K811" s="9"/>
      <c r="L811" s="9"/>
      <c r="M811" s="9"/>
      <c r="N811" s="9"/>
      <c r="O811" s="9"/>
      <c r="P811" s="29"/>
      <c r="Q811" s="29"/>
      <c r="R811" s="7"/>
      <c r="S811" s="7"/>
      <c r="T811" s="7" t="str">
        <f ca="1">IFERROR(__xludf.DUMMYFUNCTION("SPARKLINE({
IF(D811="""",0,D811),
IF(F811="""",0,F811),
IF(H811="""",0,H811),
IF(J811="""",0,J811),
IF(L811="""",0,L811),
IF(N811="""",0,N811),
IF(P811="""",0,P811)
})"),"")</f>
        <v/>
      </c>
      <c r="U811" s="7" t="str">
        <f ca="1">IFERROR(__xludf.DUMMYFUNCTION("SPARKLINE({
IF(E811="""",0,E811),
IF(G811="""",0,G811),
IF(I811="""",0,I811),
IF(K811="""",0,K811),
IF(M811="""",0,M811),
IF(O811="""",0,O811),
IF(Q811="""",0,Q811)
})"),"")</f>
        <v/>
      </c>
      <c r="V811" s="8" t="e">
        <f t="array" aca="1" ref="V811" ca="1">IF($C$4="Giao",_xludf.Xlookup(C811,#REF!,#REF!,),_xludf.Xlookup(C811,#REF!,#REF!,))</f>
        <v>#NAME?</v>
      </c>
      <c r="W811" s="8">
        <f t="array" ref="W811">IF($C$4="Giao", _xludf.Xlookup(C811,#REF!,#REF!,),)</f>
        <v>0</v>
      </c>
      <c r="X811" s="9">
        <f t="shared" si="10"/>
        <v>0</v>
      </c>
      <c r="Y811" s="7"/>
      <c r="Z811" s="7"/>
    </row>
    <row r="812" spans="1:26" ht="13" x14ac:dyDescent="0.6">
      <c r="A812" s="28" t="str">
        <f t="shared" si="9"/>
        <v/>
      </c>
      <c r="B812" s="7"/>
      <c r="C812" s="7"/>
      <c r="D812" s="9"/>
      <c r="E812" s="9"/>
      <c r="F812" s="9"/>
      <c r="G812" s="9"/>
      <c r="H812" s="9"/>
      <c r="I812" s="9"/>
      <c r="J812" s="9"/>
      <c r="K812" s="9"/>
      <c r="L812" s="9"/>
      <c r="M812" s="9"/>
      <c r="N812" s="9"/>
      <c r="O812" s="9"/>
      <c r="P812" s="29"/>
      <c r="Q812" s="29"/>
      <c r="R812" s="7"/>
      <c r="S812" s="7"/>
      <c r="T812" s="7" t="str">
        <f ca="1">IFERROR(__xludf.DUMMYFUNCTION("SPARKLINE({
IF(D812="""",0,D812),
IF(F812="""",0,F812),
IF(H812="""",0,H812),
IF(J812="""",0,J812),
IF(L812="""",0,L812),
IF(N812="""",0,N812),
IF(P812="""",0,P812)
})"),"")</f>
        <v/>
      </c>
      <c r="U812" s="7" t="str">
        <f ca="1">IFERROR(__xludf.DUMMYFUNCTION("SPARKLINE({
IF(E812="""",0,E812),
IF(G812="""",0,G812),
IF(I812="""",0,I812),
IF(K812="""",0,K812),
IF(M812="""",0,M812),
IF(O812="""",0,O812),
IF(Q812="""",0,Q812)
})"),"")</f>
        <v/>
      </c>
      <c r="V812" s="8" t="e">
        <f t="array" aca="1" ref="V812" ca="1">IF($C$4="Giao",_xludf.Xlookup(C812,#REF!,#REF!,),_xludf.Xlookup(C812,#REF!,#REF!,))</f>
        <v>#NAME?</v>
      </c>
      <c r="W812" s="8">
        <f t="array" ref="W812">IF($C$4="Giao", _xludf.Xlookup(C812,#REF!,#REF!,),)</f>
        <v>0</v>
      </c>
      <c r="X812" s="9">
        <f t="shared" si="10"/>
        <v>0</v>
      </c>
      <c r="Y812" s="7"/>
      <c r="Z812" s="7"/>
    </row>
    <row r="813" spans="1:26" ht="13" x14ac:dyDescent="0.6">
      <c r="A813" s="28" t="str">
        <f t="shared" si="9"/>
        <v/>
      </c>
      <c r="B813" s="7"/>
      <c r="C813" s="7"/>
      <c r="D813" s="9"/>
      <c r="E813" s="9"/>
      <c r="F813" s="9"/>
      <c r="G813" s="9"/>
      <c r="H813" s="9"/>
      <c r="I813" s="9"/>
      <c r="J813" s="9"/>
      <c r="K813" s="9"/>
      <c r="L813" s="9"/>
      <c r="M813" s="9"/>
      <c r="N813" s="9"/>
      <c r="O813" s="9"/>
      <c r="P813" s="29"/>
      <c r="Q813" s="29"/>
      <c r="R813" s="7"/>
      <c r="S813" s="7"/>
      <c r="T813" s="7" t="str">
        <f ca="1">IFERROR(__xludf.DUMMYFUNCTION("SPARKLINE({
IF(D813="""",0,D813),
IF(F813="""",0,F813),
IF(H813="""",0,H813),
IF(J813="""",0,J813),
IF(L813="""",0,L813),
IF(N813="""",0,N813),
IF(P813="""",0,P813)
})"),"")</f>
        <v/>
      </c>
      <c r="U813" s="7" t="str">
        <f ca="1">IFERROR(__xludf.DUMMYFUNCTION("SPARKLINE({
IF(E813="""",0,E813),
IF(G813="""",0,G813),
IF(I813="""",0,I813),
IF(K813="""",0,K813),
IF(M813="""",0,M813),
IF(O813="""",0,O813),
IF(Q813="""",0,Q813)
})"),"")</f>
        <v/>
      </c>
      <c r="V813" s="8" t="e">
        <f t="array" aca="1" ref="V813" ca="1">IF($C$4="Giao",_xludf.Xlookup(C813,#REF!,#REF!,),_xludf.Xlookup(C813,#REF!,#REF!,))</f>
        <v>#NAME?</v>
      </c>
      <c r="W813" s="8">
        <f t="array" ref="W813">IF($C$4="Giao", _xludf.Xlookup(C813,#REF!,#REF!,),)</f>
        <v>0</v>
      </c>
      <c r="X813" s="9">
        <f t="shared" si="10"/>
        <v>0</v>
      </c>
      <c r="Y813" s="7"/>
      <c r="Z813" s="7"/>
    </row>
    <row r="814" spans="1:26" ht="13" x14ac:dyDescent="0.6">
      <c r="A814" s="28" t="str">
        <f t="shared" si="9"/>
        <v/>
      </c>
      <c r="B814" s="7"/>
      <c r="C814" s="7"/>
      <c r="D814" s="9"/>
      <c r="E814" s="9"/>
      <c r="F814" s="9"/>
      <c r="G814" s="9"/>
      <c r="H814" s="9"/>
      <c r="I814" s="9"/>
      <c r="J814" s="9"/>
      <c r="K814" s="9"/>
      <c r="L814" s="9"/>
      <c r="M814" s="9"/>
      <c r="N814" s="9"/>
      <c r="O814" s="9"/>
      <c r="P814" s="29"/>
      <c r="Q814" s="29"/>
      <c r="R814" s="7"/>
      <c r="S814" s="7"/>
      <c r="T814" s="7" t="str">
        <f ca="1">IFERROR(__xludf.DUMMYFUNCTION("SPARKLINE({
IF(D814="""",0,D814),
IF(F814="""",0,F814),
IF(H814="""",0,H814),
IF(J814="""",0,J814),
IF(L814="""",0,L814),
IF(N814="""",0,N814),
IF(P814="""",0,P814)
})"),"")</f>
        <v/>
      </c>
      <c r="U814" s="7" t="str">
        <f ca="1">IFERROR(__xludf.DUMMYFUNCTION("SPARKLINE({
IF(E814="""",0,E814),
IF(G814="""",0,G814),
IF(I814="""",0,I814),
IF(K814="""",0,K814),
IF(M814="""",0,M814),
IF(O814="""",0,O814),
IF(Q814="""",0,Q814)
})"),"")</f>
        <v/>
      </c>
      <c r="V814" s="8" t="e">
        <f t="array" aca="1" ref="V814" ca="1">IF($C$4="Giao",_xludf.Xlookup(C814,#REF!,#REF!,),_xludf.Xlookup(C814,#REF!,#REF!,))</f>
        <v>#NAME?</v>
      </c>
      <c r="W814" s="8">
        <f t="array" ref="W814">IF($C$4="Giao", _xludf.Xlookup(C814,#REF!,#REF!,),)</f>
        <v>0</v>
      </c>
      <c r="X814" s="9">
        <f t="shared" si="10"/>
        <v>0</v>
      </c>
      <c r="Y814" s="7"/>
      <c r="Z814" s="7"/>
    </row>
    <row r="815" spans="1:26" ht="13" x14ac:dyDescent="0.6">
      <c r="A815" s="28" t="str">
        <f t="shared" si="9"/>
        <v/>
      </c>
      <c r="B815" s="7"/>
      <c r="C815" s="7"/>
      <c r="D815" s="9"/>
      <c r="E815" s="9"/>
      <c r="F815" s="9"/>
      <c r="G815" s="9"/>
      <c r="H815" s="9"/>
      <c r="I815" s="9"/>
      <c r="J815" s="9"/>
      <c r="K815" s="9"/>
      <c r="L815" s="9"/>
      <c r="M815" s="9"/>
      <c r="N815" s="9"/>
      <c r="O815" s="9"/>
      <c r="P815" s="29"/>
      <c r="Q815" s="29"/>
      <c r="R815" s="7"/>
      <c r="S815" s="7"/>
      <c r="T815" s="7" t="str">
        <f ca="1">IFERROR(__xludf.DUMMYFUNCTION("SPARKLINE({
IF(D815="""",0,D815),
IF(F815="""",0,F815),
IF(H815="""",0,H815),
IF(J815="""",0,J815),
IF(L815="""",0,L815),
IF(N815="""",0,N815),
IF(P815="""",0,P815)
})"),"")</f>
        <v/>
      </c>
      <c r="U815" s="7" t="str">
        <f ca="1">IFERROR(__xludf.DUMMYFUNCTION("SPARKLINE({
IF(E815="""",0,E815),
IF(G815="""",0,G815),
IF(I815="""",0,I815),
IF(K815="""",0,K815),
IF(M815="""",0,M815),
IF(O815="""",0,O815),
IF(Q815="""",0,Q815)
})"),"")</f>
        <v/>
      </c>
      <c r="V815" s="8" t="e">
        <f t="array" aca="1" ref="V815" ca="1">IF($C$4="Giao",_xludf.Xlookup(C815,#REF!,#REF!,),_xludf.Xlookup(C815,#REF!,#REF!,))</f>
        <v>#NAME?</v>
      </c>
      <c r="W815" s="8">
        <f t="array" ref="W815">IF($C$4="Giao", _xludf.Xlookup(C815,#REF!,#REF!,),)</f>
        <v>0</v>
      </c>
      <c r="X815" s="9">
        <f t="shared" si="10"/>
        <v>0</v>
      </c>
      <c r="Y815" s="7"/>
      <c r="Z815" s="7"/>
    </row>
    <row r="816" spans="1:26" ht="13" x14ac:dyDescent="0.6">
      <c r="A816" s="28" t="str">
        <f t="shared" si="9"/>
        <v/>
      </c>
      <c r="B816" s="7"/>
      <c r="C816" s="7"/>
      <c r="D816" s="9"/>
      <c r="E816" s="9"/>
      <c r="F816" s="9"/>
      <c r="G816" s="9"/>
      <c r="H816" s="9"/>
      <c r="I816" s="9"/>
      <c r="J816" s="9"/>
      <c r="K816" s="9"/>
      <c r="L816" s="9"/>
      <c r="M816" s="9"/>
      <c r="N816" s="9"/>
      <c r="O816" s="9"/>
      <c r="P816" s="29"/>
      <c r="Q816" s="29"/>
      <c r="R816" s="7"/>
      <c r="S816" s="7"/>
      <c r="T816" s="7" t="str">
        <f ca="1">IFERROR(__xludf.DUMMYFUNCTION("SPARKLINE({
IF(D816="""",0,D816),
IF(F816="""",0,F816),
IF(H816="""",0,H816),
IF(J816="""",0,J816),
IF(L816="""",0,L816),
IF(N816="""",0,N816),
IF(P816="""",0,P816)
})"),"")</f>
        <v/>
      </c>
      <c r="U816" s="7" t="str">
        <f ca="1">IFERROR(__xludf.DUMMYFUNCTION("SPARKLINE({
IF(E816="""",0,E816),
IF(G816="""",0,G816),
IF(I816="""",0,I816),
IF(K816="""",0,K816),
IF(M816="""",0,M816),
IF(O816="""",0,O816),
IF(Q816="""",0,Q816)
})"),"")</f>
        <v/>
      </c>
      <c r="V816" s="8" t="e">
        <f t="array" aca="1" ref="V816" ca="1">IF($C$4="Giao",_xludf.Xlookup(C816,#REF!,#REF!,),_xludf.Xlookup(C816,#REF!,#REF!,))</f>
        <v>#NAME?</v>
      </c>
      <c r="W816" s="8">
        <f t="array" ref="W816">IF($C$4="Giao", _xludf.Xlookup(C816,#REF!,#REF!,),)</f>
        <v>0</v>
      </c>
      <c r="X816" s="9">
        <f t="shared" si="10"/>
        <v>0</v>
      </c>
      <c r="Y816" s="7"/>
      <c r="Z816" s="7"/>
    </row>
    <row r="817" spans="1:26" ht="13" x14ac:dyDescent="0.6">
      <c r="A817" s="28" t="str">
        <f t="shared" si="9"/>
        <v/>
      </c>
      <c r="B817" s="7"/>
      <c r="C817" s="7"/>
      <c r="D817" s="9"/>
      <c r="E817" s="9"/>
      <c r="F817" s="9"/>
      <c r="G817" s="9"/>
      <c r="H817" s="9"/>
      <c r="I817" s="9"/>
      <c r="J817" s="9"/>
      <c r="K817" s="9"/>
      <c r="L817" s="9"/>
      <c r="M817" s="9"/>
      <c r="N817" s="9"/>
      <c r="O817" s="9"/>
      <c r="P817" s="29"/>
      <c r="Q817" s="29"/>
      <c r="R817" s="7"/>
      <c r="S817" s="7"/>
      <c r="T817" s="7" t="str">
        <f ca="1">IFERROR(__xludf.DUMMYFUNCTION("SPARKLINE({
IF(D817="""",0,D817),
IF(F817="""",0,F817),
IF(H817="""",0,H817),
IF(J817="""",0,J817),
IF(L817="""",0,L817),
IF(N817="""",0,N817),
IF(P817="""",0,P817)
})"),"")</f>
        <v/>
      </c>
      <c r="U817" s="7" t="str">
        <f ca="1">IFERROR(__xludf.DUMMYFUNCTION("SPARKLINE({
IF(E817="""",0,E817),
IF(G817="""",0,G817),
IF(I817="""",0,I817),
IF(K817="""",0,K817),
IF(M817="""",0,M817),
IF(O817="""",0,O817),
IF(Q817="""",0,Q817)
})"),"")</f>
        <v/>
      </c>
      <c r="V817" s="8" t="e">
        <f t="array" aca="1" ref="V817" ca="1">IF($C$4="Giao",_xludf.Xlookup(C817,#REF!,#REF!,),_xludf.Xlookup(C817,#REF!,#REF!,))</f>
        <v>#NAME?</v>
      </c>
      <c r="W817" s="8">
        <f t="array" ref="W817">IF($C$4="Giao", _xludf.Xlookup(C817,#REF!,#REF!,),)</f>
        <v>0</v>
      </c>
      <c r="X817" s="9">
        <f t="shared" si="10"/>
        <v>0</v>
      </c>
      <c r="Y817" s="7"/>
      <c r="Z817" s="7"/>
    </row>
    <row r="818" spans="1:26" ht="13" x14ac:dyDescent="0.6">
      <c r="A818" s="28" t="str">
        <f t="shared" si="9"/>
        <v/>
      </c>
      <c r="B818" s="7"/>
      <c r="C818" s="7"/>
      <c r="D818" s="9"/>
      <c r="E818" s="9"/>
      <c r="F818" s="9"/>
      <c r="G818" s="9"/>
      <c r="H818" s="9"/>
      <c r="I818" s="9"/>
      <c r="J818" s="9"/>
      <c r="K818" s="9"/>
      <c r="L818" s="9"/>
      <c r="M818" s="9"/>
      <c r="N818" s="9"/>
      <c r="O818" s="9"/>
      <c r="P818" s="29"/>
      <c r="Q818" s="29"/>
      <c r="R818" s="7"/>
      <c r="S818" s="7"/>
      <c r="T818" s="7" t="str">
        <f ca="1">IFERROR(__xludf.DUMMYFUNCTION("SPARKLINE({
IF(D818="""",0,D818),
IF(F818="""",0,F818),
IF(H818="""",0,H818),
IF(J818="""",0,J818),
IF(L818="""",0,L818),
IF(N818="""",0,N818),
IF(P818="""",0,P818)
})"),"")</f>
        <v/>
      </c>
      <c r="U818" s="7" t="str">
        <f ca="1">IFERROR(__xludf.DUMMYFUNCTION("SPARKLINE({
IF(E818="""",0,E818),
IF(G818="""",0,G818),
IF(I818="""",0,I818),
IF(K818="""",0,K818),
IF(M818="""",0,M818),
IF(O818="""",0,O818),
IF(Q818="""",0,Q818)
})"),"")</f>
        <v/>
      </c>
      <c r="V818" s="8" t="e">
        <f t="array" aca="1" ref="V818" ca="1">IF($C$4="Giao",_xludf.Xlookup(C818,#REF!,#REF!,),_xludf.Xlookup(C818,#REF!,#REF!,))</f>
        <v>#NAME?</v>
      </c>
      <c r="W818" s="8">
        <f t="array" ref="W818">IF($C$4="Giao", _xludf.Xlookup(C818,#REF!,#REF!,),)</f>
        <v>0</v>
      </c>
      <c r="X818" s="9">
        <f t="shared" si="10"/>
        <v>0</v>
      </c>
      <c r="Y818" s="7"/>
      <c r="Z818" s="7"/>
    </row>
    <row r="819" spans="1:26" ht="13" x14ac:dyDescent="0.6">
      <c r="A819" s="28" t="str">
        <f t="shared" si="9"/>
        <v/>
      </c>
      <c r="B819" s="7"/>
      <c r="C819" s="7"/>
      <c r="D819" s="9"/>
      <c r="E819" s="9"/>
      <c r="F819" s="9"/>
      <c r="G819" s="9"/>
      <c r="H819" s="9"/>
      <c r="I819" s="9"/>
      <c r="J819" s="9"/>
      <c r="K819" s="9"/>
      <c r="L819" s="9"/>
      <c r="M819" s="9"/>
      <c r="N819" s="9"/>
      <c r="O819" s="9"/>
      <c r="P819" s="29"/>
      <c r="Q819" s="29"/>
      <c r="R819" s="7"/>
      <c r="S819" s="7"/>
      <c r="T819" s="7" t="str">
        <f ca="1">IFERROR(__xludf.DUMMYFUNCTION("SPARKLINE({
IF(D819="""",0,D819),
IF(F819="""",0,F819),
IF(H819="""",0,H819),
IF(J819="""",0,J819),
IF(L819="""",0,L819),
IF(N819="""",0,N819),
IF(P819="""",0,P819)
})"),"")</f>
        <v/>
      </c>
      <c r="U819" s="7" t="str">
        <f ca="1">IFERROR(__xludf.DUMMYFUNCTION("SPARKLINE({
IF(E819="""",0,E819),
IF(G819="""",0,G819),
IF(I819="""",0,I819),
IF(K819="""",0,K819),
IF(M819="""",0,M819),
IF(O819="""",0,O819),
IF(Q819="""",0,Q819)
})"),"")</f>
        <v/>
      </c>
      <c r="V819" s="8" t="e">
        <f t="array" aca="1" ref="V819" ca="1">IF($C$4="Giao",_xludf.Xlookup(C819,#REF!,#REF!,),_xludf.Xlookup(C819,#REF!,#REF!,))</f>
        <v>#NAME?</v>
      </c>
      <c r="W819" s="8">
        <f t="array" ref="W819">IF($C$4="Giao", _xludf.Xlookup(C819,#REF!,#REF!,),)</f>
        <v>0</v>
      </c>
      <c r="X819" s="9">
        <f t="shared" si="10"/>
        <v>0</v>
      </c>
      <c r="Y819" s="7"/>
      <c r="Z819" s="7"/>
    </row>
    <row r="820" spans="1:26" ht="13" x14ac:dyDescent="0.6">
      <c r="A820" s="28" t="str">
        <f t="shared" si="9"/>
        <v/>
      </c>
      <c r="B820" s="7"/>
      <c r="C820" s="7"/>
      <c r="D820" s="9"/>
      <c r="E820" s="9"/>
      <c r="F820" s="9"/>
      <c r="G820" s="9"/>
      <c r="H820" s="9"/>
      <c r="I820" s="9"/>
      <c r="J820" s="9"/>
      <c r="K820" s="9"/>
      <c r="L820" s="9"/>
      <c r="M820" s="9"/>
      <c r="N820" s="9"/>
      <c r="O820" s="9"/>
      <c r="P820" s="29"/>
      <c r="Q820" s="29"/>
      <c r="R820" s="7"/>
      <c r="S820" s="7"/>
      <c r="T820" s="7" t="str">
        <f ca="1">IFERROR(__xludf.DUMMYFUNCTION("SPARKLINE({
IF(D820="""",0,D820),
IF(F820="""",0,F820),
IF(H820="""",0,H820),
IF(J820="""",0,J820),
IF(L820="""",0,L820),
IF(N820="""",0,N820),
IF(P820="""",0,P820)
})"),"")</f>
        <v/>
      </c>
      <c r="U820" s="7" t="str">
        <f ca="1">IFERROR(__xludf.DUMMYFUNCTION("SPARKLINE({
IF(E820="""",0,E820),
IF(G820="""",0,G820),
IF(I820="""",0,I820),
IF(K820="""",0,K820),
IF(M820="""",0,M820),
IF(O820="""",0,O820),
IF(Q820="""",0,Q820)
})"),"")</f>
        <v/>
      </c>
      <c r="V820" s="8" t="e">
        <f t="array" aca="1" ref="V820" ca="1">IF($C$4="Giao",_xludf.Xlookup(C820,#REF!,#REF!,),_xludf.Xlookup(C820,#REF!,#REF!,))</f>
        <v>#NAME?</v>
      </c>
      <c r="W820" s="8">
        <f t="array" ref="W820">IF($C$4="Giao", _xludf.Xlookup(C820,#REF!,#REF!,),)</f>
        <v>0</v>
      </c>
      <c r="X820" s="9">
        <f t="shared" si="10"/>
        <v>0</v>
      </c>
      <c r="Y820" s="7"/>
      <c r="Z820" s="7"/>
    </row>
    <row r="821" spans="1:26" ht="13" x14ac:dyDescent="0.6">
      <c r="A821" s="28" t="str">
        <f t="shared" si="9"/>
        <v/>
      </c>
      <c r="B821" s="7"/>
      <c r="C821" s="7"/>
      <c r="D821" s="9"/>
      <c r="E821" s="9"/>
      <c r="F821" s="9"/>
      <c r="G821" s="9"/>
      <c r="H821" s="9"/>
      <c r="I821" s="9"/>
      <c r="J821" s="9"/>
      <c r="K821" s="9"/>
      <c r="L821" s="9"/>
      <c r="M821" s="9"/>
      <c r="N821" s="9"/>
      <c r="O821" s="9"/>
      <c r="P821" s="29"/>
      <c r="Q821" s="29"/>
      <c r="R821" s="7"/>
      <c r="S821" s="7"/>
      <c r="T821" s="7" t="str">
        <f ca="1">IFERROR(__xludf.DUMMYFUNCTION("SPARKLINE({
IF(D821="""",0,D821),
IF(F821="""",0,F821),
IF(H821="""",0,H821),
IF(J821="""",0,J821),
IF(L821="""",0,L821),
IF(N821="""",0,N821),
IF(P821="""",0,P821)
})"),"")</f>
        <v/>
      </c>
      <c r="U821" s="7" t="str">
        <f ca="1">IFERROR(__xludf.DUMMYFUNCTION("SPARKLINE({
IF(E821="""",0,E821),
IF(G821="""",0,G821),
IF(I821="""",0,I821),
IF(K821="""",0,K821),
IF(M821="""",0,M821),
IF(O821="""",0,O821),
IF(Q821="""",0,Q821)
})"),"")</f>
        <v/>
      </c>
      <c r="V821" s="8" t="e">
        <f t="array" aca="1" ref="V821" ca="1">IF($C$4="Giao",_xludf.Xlookup(C821,#REF!,#REF!,),_xludf.Xlookup(C821,#REF!,#REF!,))</f>
        <v>#NAME?</v>
      </c>
      <c r="W821" s="8">
        <f t="array" ref="W821">IF($C$4="Giao", _xludf.Xlookup(C821,#REF!,#REF!,),)</f>
        <v>0</v>
      </c>
      <c r="X821" s="9">
        <f t="shared" si="10"/>
        <v>0</v>
      </c>
      <c r="Y821" s="7"/>
      <c r="Z821" s="7"/>
    </row>
    <row r="822" spans="1:26" ht="13" x14ac:dyDescent="0.6">
      <c r="A822" s="28" t="str">
        <f t="shared" si="9"/>
        <v/>
      </c>
      <c r="B822" s="7"/>
      <c r="C822" s="7"/>
      <c r="D822" s="9"/>
      <c r="E822" s="9"/>
      <c r="F822" s="9"/>
      <c r="G822" s="9"/>
      <c r="H822" s="9"/>
      <c r="I822" s="9"/>
      <c r="J822" s="9"/>
      <c r="K822" s="9"/>
      <c r="L822" s="9"/>
      <c r="M822" s="9"/>
      <c r="N822" s="9"/>
      <c r="O822" s="9"/>
      <c r="P822" s="29"/>
      <c r="Q822" s="29"/>
      <c r="R822" s="7"/>
      <c r="S822" s="7"/>
      <c r="T822" s="7" t="str">
        <f ca="1">IFERROR(__xludf.DUMMYFUNCTION("SPARKLINE({
IF(D822="""",0,D822),
IF(F822="""",0,F822),
IF(H822="""",0,H822),
IF(J822="""",0,J822),
IF(L822="""",0,L822),
IF(N822="""",0,N822),
IF(P822="""",0,P822)
})"),"")</f>
        <v/>
      </c>
      <c r="U822" s="7" t="str">
        <f ca="1">IFERROR(__xludf.DUMMYFUNCTION("SPARKLINE({
IF(E822="""",0,E822),
IF(G822="""",0,G822),
IF(I822="""",0,I822),
IF(K822="""",0,K822),
IF(M822="""",0,M822),
IF(O822="""",0,O822),
IF(Q822="""",0,Q822)
})"),"")</f>
        <v/>
      </c>
      <c r="V822" s="8" t="e">
        <f t="array" aca="1" ref="V822" ca="1">IF($C$4="Giao",_xludf.Xlookup(C822,#REF!,#REF!,),_xludf.Xlookup(C822,#REF!,#REF!,))</f>
        <v>#NAME?</v>
      </c>
      <c r="W822" s="8">
        <f t="array" ref="W822">IF($C$4="Giao", _xludf.Xlookup(C822,#REF!,#REF!,),)</f>
        <v>0</v>
      </c>
      <c r="X822" s="9">
        <f t="shared" si="10"/>
        <v>0</v>
      </c>
      <c r="Y822" s="7"/>
      <c r="Z822" s="7"/>
    </row>
    <row r="823" spans="1:26" ht="13" x14ac:dyDescent="0.6">
      <c r="A823" s="28" t="str">
        <f t="shared" si="9"/>
        <v/>
      </c>
      <c r="B823" s="7"/>
      <c r="C823" s="7"/>
      <c r="D823" s="9"/>
      <c r="E823" s="9"/>
      <c r="F823" s="9"/>
      <c r="G823" s="9"/>
      <c r="H823" s="9"/>
      <c r="I823" s="9"/>
      <c r="J823" s="9"/>
      <c r="K823" s="9"/>
      <c r="L823" s="9"/>
      <c r="M823" s="9"/>
      <c r="N823" s="9"/>
      <c r="O823" s="9"/>
      <c r="P823" s="29"/>
      <c r="Q823" s="29"/>
      <c r="R823" s="7"/>
      <c r="S823" s="7"/>
      <c r="T823" s="7" t="str">
        <f ca="1">IFERROR(__xludf.DUMMYFUNCTION("SPARKLINE({
IF(D823="""",0,D823),
IF(F823="""",0,F823),
IF(H823="""",0,H823),
IF(J823="""",0,J823),
IF(L823="""",0,L823),
IF(N823="""",0,N823),
IF(P823="""",0,P823)
})"),"")</f>
        <v/>
      </c>
      <c r="U823" s="7" t="str">
        <f ca="1">IFERROR(__xludf.DUMMYFUNCTION("SPARKLINE({
IF(E823="""",0,E823),
IF(G823="""",0,G823),
IF(I823="""",0,I823),
IF(K823="""",0,K823),
IF(M823="""",0,M823),
IF(O823="""",0,O823),
IF(Q823="""",0,Q823)
})"),"")</f>
        <v/>
      </c>
      <c r="V823" s="8" t="e">
        <f t="array" aca="1" ref="V823" ca="1">IF($C$4="Giao",_xludf.Xlookup(C823,#REF!,#REF!,),_xludf.Xlookup(C823,#REF!,#REF!,))</f>
        <v>#NAME?</v>
      </c>
      <c r="W823" s="8">
        <f t="array" ref="W823">IF($C$4="Giao", _xludf.Xlookup(C823,#REF!,#REF!,),)</f>
        <v>0</v>
      </c>
      <c r="X823" s="9">
        <f t="shared" si="10"/>
        <v>0</v>
      </c>
      <c r="Y823" s="7"/>
      <c r="Z823" s="7"/>
    </row>
    <row r="824" spans="1:26" ht="13" x14ac:dyDescent="0.6">
      <c r="A824" s="28" t="str">
        <f t="shared" si="9"/>
        <v/>
      </c>
      <c r="B824" s="7"/>
      <c r="C824" s="7"/>
      <c r="D824" s="9"/>
      <c r="E824" s="9"/>
      <c r="F824" s="9"/>
      <c r="G824" s="9"/>
      <c r="H824" s="9"/>
      <c r="I824" s="9"/>
      <c r="J824" s="9"/>
      <c r="K824" s="9"/>
      <c r="L824" s="9"/>
      <c r="M824" s="9"/>
      <c r="N824" s="9"/>
      <c r="O824" s="9"/>
      <c r="P824" s="29"/>
      <c r="Q824" s="29"/>
      <c r="R824" s="7"/>
      <c r="S824" s="7"/>
      <c r="T824" s="7" t="str">
        <f ca="1">IFERROR(__xludf.DUMMYFUNCTION("SPARKLINE({
IF(D824="""",0,D824),
IF(F824="""",0,F824),
IF(H824="""",0,H824),
IF(J824="""",0,J824),
IF(L824="""",0,L824),
IF(N824="""",0,N824),
IF(P824="""",0,P824)
})"),"")</f>
        <v/>
      </c>
      <c r="U824" s="7" t="str">
        <f ca="1">IFERROR(__xludf.DUMMYFUNCTION("SPARKLINE({
IF(E824="""",0,E824),
IF(G824="""",0,G824),
IF(I824="""",0,I824),
IF(K824="""",0,K824),
IF(M824="""",0,M824),
IF(O824="""",0,O824),
IF(Q824="""",0,Q824)
})"),"")</f>
        <v/>
      </c>
      <c r="V824" s="8" t="e">
        <f t="array" aca="1" ref="V824" ca="1">IF($C$4="Giao",_xludf.Xlookup(C824,#REF!,#REF!,),_xludf.Xlookup(C824,#REF!,#REF!,))</f>
        <v>#NAME?</v>
      </c>
      <c r="W824" s="8">
        <f t="array" ref="W824">IF($C$4="Giao", _xludf.Xlookup(C824,#REF!,#REF!,),)</f>
        <v>0</v>
      </c>
      <c r="X824" s="9">
        <f t="shared" si="10"/>
        <v>0</v>
      </c>
      <c r="Y824" s="7"/>
      <c r="Z824" s="7"/>
    </row>
    <row r="825" spans="1:26" ht="13" x14ac:dyDescent="0.6">
      <c r="A825" s="28" t="str">
        <f t="shared" si="9"/>
        <v/>
      </c>
      <c r="B825" s="7"/>
      <c r="C825" s="7"/>
      <c r="D825" s="9"/>
      <c r="E825" s="9"/>
      <c r="F825" s="9"/>
      <c r="G825" s="9"/>
      <c r="H825" s="9"/>
      <c r="I825" s="9"/>
      <c r="J825" s="9"/>
      <c r="K825" s="9"/>
      <c r="L825" s="9"/>
      <c r="M825" s="9"/>
      <c r="N825" s="9"/>
      <c r="O825" s="9"/>
      <c r="P825" s="29"/>
      <c r="Q825" s="29"/>
      <c r="R825" s="7"/>
      <c r="S825" s="7"/>
      <c r="T825" s="7" t="str">
        <f ca="1">IFERROR(__xludf.DUMMYFUNCTION("SPARKLINE({
IF(D825="""",0,D825),
IF(F825="""",0,F825),
IF(H825="""",0,H825),
IF(J825="""",0,J825),
IF(L825="""",0,L825),
IF(N825="""",0,N825),
IF(P825="""",0,P825)
})"),"")</f>
        <v/>
      </c>
      <c r="U825" s="7" t="str">
        <f ca="1">IFERROR(__xludf.DUMMYFUNCTION("SPARKLINE({
IF(E825="""",0,E825),
IF(G825="""",0,G825),
IF(I825="""",0,I825),
IF(K825="""",0,K825),
IF(M825="""",0,M825),
IF(O825="""",0,O825),
IF(Q825="""",0,Q825)
})"),"")</f>
        <v/>
      </c>
      <c r="V825" s="8" t="e">
        <f t="array" aca="1" ref="V825" ca="1">IF($C$4="Giao",_xludf.Xlookup(C825,#REF!,#REF!,),_xludf.Xlookup(C825,#REF!,#REF!,))</f>
        <v>#NAME?</v>
      </c>
      <c r="W825" s="8">
        <f t="array" ref="W825">IF($C$4="Giao", _xludf.Xlookup(C825,#REF!,#REF!,),)</f>
        <v>0</v>
      </c>
      <c r="X825" s="9">
        <f t="shared" si="10"/>
        <v>0</v>
      </c>
      <c r="Y825" s="7"/>
      <c r="Z825" s="7"/>
    </row>
    <row r="826" spans="1:26" ht="13" x14ac:dyDescent="0.6">
      <c r="A826" s="28" t="str">
        <f t="shared" si="9"/>
        <v/>
      </c>
      <c r="B826" s="7"/>
      <c r="C826" s="7"/>
      <c r="D826" s="9"/>
      <c r="E826" s="9"/>
      <c r="F826" s="9"/>
      <c r="G826" s="9"/>
      <c r="H826" s="9"/>
      <c r="I826" s="9"/>
      <c r="J826" s="9"/>
      <c r="K826" s="9"/>
      <c r="L826" s="9"/>
      <c r="M826" s="9"/>
      <c r="N826" s="9"/>
      <c r="O826" s="9"/>
      <c r="P826" s="29"/>
      <c r="Q826" s="29"/>
      <c r="R826" s="7"/>
      <c r="S826" s="7"/>
      <c r="T826" s="7" t="str">
        <f ca="1">IFERROR(__xludf.DUMMYFUNCTION("SPARKLINE({
IF(D826="""",0,D826),
IF(F826="""",0,F826),
IF(H826="""",0,H826),
IF(J826="""",0,J826),
IF(L826="""",0,L826),
IF(N826="""",0,N826),
IF(P826="""",0,P826)
})"),"")</f>
        <v/>
      </c>
      <c r="U826" s="7" t="str">
        <f ca="1">IFERROR(__xludf.DUMMYFUNCTION("SPARKLINE({
IF(E826="""",0,E826),
IF(G826="""",0,G826),
IF(I826="""",0,I826),
IF(K826="""",0,K826),
IF(M826="""",0,M826),
IF(O826="""",0,O826),
IF(Q826="""",0,Q826)
})"),"")</f>
        <v/>
      </c>
      <c r="V826" s="8" t="e">
        <f t="array" aca="1" ref="V826" ca="1">IF($C$4="Giao",_xludf.Xlookup(C826,#REF!,#REF!,),_xludf.Xlookup(C826,#REF!,#REF!,))</f>
        <v>#NAME?</v>
      </c>
      <c r="W826" s="8">
        <f t="array" ref="W826">IF($C$4="Giao", _xludf.Xlookup(C826,#REF!,#REF!,),)</f>
        <v>0</v>
      </c>
      <c r="X826" s="9">
        <f t="shared" si="10"/>
        <v>0</v>
      </c>
      <c r="Y826" s="7"/>
      <c r="Z826" s="7"/>
    </row>
    <row r="827" spans="1:26" ht="13" x14ac:dyDescent="0.6">
      <c r="A827" s="28" t="str">
        <f t="shared" si="9"/>
        <v/>
      </c>
      <c r="B827" s="7"/>
      <c r="C827" s="7"/>
      <c r="D827" s="9"/>
      <c r="E827" s="9"/>
      <c r="F827" s="9"/>
      <c r="G827" s="9"/>
      <c r="H827" s="9"/>
      <c r="I827" s="9"/>
      <c r="J827" s="9"/>
      <c r="K827" s="9"/>
      <c r="L827" s="9"/>
      <c r="M827" s="9"/>
      <c r="N827" s="9"/>
      <c r="O827" s="9"/>
      <c r="P827" s="29"/>
      <c r="Q827" s="29"/>
      <c r="R827" s="7"/>
      <c r="S827" s="7"/>
      <c r="T827" s="7" t="str">
        <f ca="1">IFERROR(__xludf.DUMMYFUNCTION("SPARKLINE({
IF(D827="""",0,D827),
IF(F827="""",0,F827),
IF(H827="""",0,H827),
IF(J827="""",0,J827),
IF(L827="""",0,L827),
IF(N827="""",0,N827),
IF(P827="""",0,P827)
})"),"")</f>
        <v/>
      </c>
      <c r="U827" s="7" t="str">
        <f ca="1">IFERROR(__xludf.DUMMYFUNCTION("SPARKLINE({
IF(E827="""",0,E827),
IF(G827="""",0,G827),
IF(I827="""",0,I827),
IF(K827="""",0,K827),
IF(M827="""",0,M827),
IF(O827="""",0,O827),
IF(Q827="""",0,Q827)
})"),"")</f>
        <v/>
      </c>
      <c r="V827" s="8" t="e">
        <f t="array" aca="1" ref="V827" ca="1">IF($C$4="Giao",_xludf.Xlookup(C827,#REF!,#REF!,),_xludf.Xlookup(C827,#REF!,#REF!,))</f>
        <v>#NAME?</v>
      </c>
      <c r="W827" s="8">
        <f t="array" ref="W827">IF($C$4="Giao", _xludf.Xlookup(C827,#REF!,#REF!,),)</f>
        <v>0</v>
      </c>
      <c r="X827" s="9">
        <f t="shared" si="10"/>
        <v>0</v>
      </c>
      <c r="Y827" s="7"/>
      <c r="Z827" s="7"/>
    </row>
    <row r="828" spans="1:26" ht="13" x14ac:dyDescent="0.6">
      <c r="A828" s="28" t="str">
        <f t="shared" si="9"/>
        <v/>
      </c>
      <c r="B828" s="7"/>
      <c r="C828" s="7"/>
      <c r="D828" s="9"/>
      <c r="E828" s="9"/>
      <c r="F828" s="9"/>
      <c r="G828" s="9"/>
      <c r="H828" s="9"/>
      <c r="I828" s="9"/>
      <c r="J828" s="9"/>
      <c r="K828" s="9"/>
      <c r="L828" s="9"/>
      <c r="M828" s="9"/>
      <c r="N828" s="9"/>
      <c r="O828" s="9"/>
      <c r="P828" s="29"/>
      <c r="Q828" s="29"/>
      <c r="R828" s="7"/>
      <c r="S828" s="7"/>
      <c r="T828" s="7" t="str">
        <f ca="1">IFERROR(__xludf.DUMMYFUNCTION("SPARKLINE({
IF(D828="""",0,D828),
IF(F828="""",0,F828),
IF(H828="""",0,H828),
IF(J828="""",0,J828),
IF(L828="""",0,L828),
IF(N828="""",0,N828),
IF(P828="""",0,P828)
})"),"")</f>
        <v/>
      </c>
      <c r="U828" s="7" t="str">
        <f ca="1">IFERROR(__xludf.DUMMYFUNCTION("SPARKLINE({
IF(E828="""",0,E828),
IF(G828="""",0,G828),
IF(I828="""",0,I828),
IF(K828="""",0,K828),
IF(M828="""",0,M828),
IF(O828="""",0,O828),
IF(Q828="""",0,Q828)
})"),"")</f>
        <v/>
      </c>
      <c r="V828" s="8" t="e">
        <f t="array" aca="1" ref="V828" ca="1">IF($C$4="Giao",_xludf.Xlookup(C828,#REF!,#REF!,),_xludf.Xlookup(C828,#REF!,#REF!,))</f>
        <v>#NAME?</v>
      </c>
      <c r="W828" s="8">
        <f t="array" ref="W828">IF($C$4="Giao", _xludf.Xlookup(C828,#REF!,#REF!,),)</f>
        <v>0</v>
      </c>
      <c r="X828" s="9">
        <f t="shared" si="10"/>
        <v>0</v>
      </c>
      <c r="Y828" s="7"/>
      <c r="Z828" s="7"/>
    </row>
    <row r="829" spans="1:26" ht="13" x14ac:dyDescent="0.6">
      <c r="A829" s="28" t="str">
        <f t="shared" si="9"/>
        <v/>
      </c>
      <c r="B829" s="7"/>
      <c r="C829" s="7"/>
      <c r="D829" s="9"/>
      <c r="E829" s="9"/>
      <c r="F829" s="9"/>
      <c r="G829" s="9"/>
      <c r="H829" s="9"/>
      <c r="I829" s="9"/>
      <c r="J829" s="9"/>
      <c r="K829" s="9"/>
      <c r="L829" s="9"/>
      <c r="M829" s="9"/>
      <c r="N829" s="9"/>
      <c r="O829" s="9"/>
      <c r="P829" s="29"/>
      <c r="Q829" s="29"/>
      <c r="R829" s="7"/>
      <c r="S829" s="7"/>
      <c r="T829" s="7" t="str">
        <f ca="1">IFERROR(__xludf.DUMMYFUNCTION("SPARKLINE({
IF(D829="""",0,D829),
IF(F829="""",0,F829),
IF(H829="""",0,H829),
IF(J829="""",0,J829),
IF(L829="""",0,L829),
IF(N829="""",0,N829),
IF(P829="""",0,P829)
})"),"")</f>
        <v/>
      </c>
      <c r="U829" s="7" t="str">
        <f ca="1">IFERROR(__xludf.DUMMYFUNCTION("SPARKLINE({
IF(E829="""",0,E829),
IF(G829="""",0,G829),
IF(I829="""",0,I829),
IF(K829="""",0,K829),
IF(M829="""",0,M829),
IF(O829="""",0,O829),
IF(Q829="""",0,Q829)
})"),"")</f>
        <v/>
      </c>
      <c r="V829" s="8" t="e">
        <f t="array" aca="1" ref="V829" ca="1">IF($C$4="Giao",_xludf.Xlookup(C829,#REF!,#REF!,),_xludf.Xlookup(C829,#REF!,#REF!,))</f>
        <v>#NAME?</v>
      </c>
      <c r="W829" s="8">
        <f t="array" ref="W829">IF($C$4="Giao", _xludf.Xlookup(C829,#REF!,#REF!,),)</f>
        <v>0</v>
      </c>
      <c r="X829" s="9">
        <f t="shared" si="10"/>
        <v>0</v>
      </c>
      <c r="Y829" s="7"/>
      <c r="Z829" s="7"/>
    </row>
    <row r="830" spans="1:26" ht="13" x14ac:dyDescent="0.6">
      <c r="A830" s="28" t="str">
        <f t="shared" si="9"/>
        <v/>
      </c>
      <c r="B830" s="7"/>
      <c r="C830" s="7"/>
      <c r="D830" s="9"/>
      <c r="E830" s="9"/>
      <c r="F830" s="9"/>
      <c r="G830" s="9"/>
      <c r="H830" s="9"/>
      <c r="I830" s="9"/>
      <c r="J830" s="9"/>
      <c r="K830" s="9"/>
      <c r="L830" s="9"/>
      <c r="M830" s="9"/>
      <c r="N830" s="9"/>
      <c r="O830" s="9"/>
      <c r="P830" s="29"/>
      <c r="Q830" s="29"/>
      <c r="R830" s="7"/>
      <c r="S830" s="7"/>
      <c r="T830" s="7" t="str">
        <f ca="1">IFERROR(__xludf.DUMMYFUNCTION("SPARKLINE({
IF(D830="""",0,D830),
IF(F830="""",0,F830),
IF(H830="""",0,H830),
IF(J830="""",0,J830),
IF(L830="""",0,L830),
IF(N830="""",0,N830),
IF(P830="""",0,P830)
})"),"")</f>
        <v/>
      </c>
      <c r="U830" s="7" t="str">
        <f ca="1">IFERROR(__xludf.DUMMYFUNCTION("SPARKLINE({
IF(E830="""",0,E830),
IF(G830="""",0,G830),
IF(I830="""",0,I830),
IF(K830="""",0,K830),
IF(M830="""",0,M830),
IF(O830="""",0,O830),
IF(Q830="""",0,Q830)
})"),"")</f>
        <v/>
      </c>
      <c r="V830" s="8" t="e">
        <f t="array" aca="1" ref="V830" ca="1">IF($C$4="Giao",_xludf.Xlookup(C830,#REF!,#REF!,),_xludf.Xlookup(C830,#REF!,#REF!,))</f>
        <v>#NAME?</v>
      </c>
      <c r="W830" s="8">
        <f t="array" ref="W830">IF($C$4="Giao", _xludf.Xlookup(C830,#REF!,#REF!,),)</f>
        <v>0</v>
      </c>
      <c r="X830" s="9">
        <f t="shared" si="10"/>
        <v>0</v>
      </c>
      <c r="Y830" s="7"/>
      <c r="Z830" s="7"/>
    </row>
    <row r="831" spans="1:26" ht="13" x14ac:dyDescent="0.6">
      <c r="A831" s="28" t="str">
        <f t="shared" si="9"/>
        <v/>
      </c>
      <c r="B831" s="7"/>
      <c r="C831" s="7"/>
      <c r="D831" s="9"/>
      <c r="E831" s="9"/>
      <c r="F831" s="9"/>
      <c r="G831" s="9"/>
      <c r="H831" s="9"/>
      <c r="I831" s="9"/>
      <c r="J831" s="9"/>
      <c r="K831" s="9"/>
      <c r="L831" s="9"/>
      <c r="M831" s="9"/>
      <c r="N831" s="9"/>
      <c r="O831" s="9"/>
      <c r="P831" s="29"/>
      <c r="Q831" s="29"/>
      <c r="R831" s="7"/>
      <c r="S831" s="7"/>
      <c r="T831" s="7" t="str">
        <f ca="1">IFERROR(__xludf.DUMMYFUNCTION("SPARKLINE({
IF(D831="""",0,D831),
IF(F831="""",0,F831),
IF(H831="""",0,H831),
IF(J831="""",0,J831),
IF(L831="""",0,L831),
IF(N831="""",0,N831),
IF(P831="""",0,P831)
})"),"")</f>
        <v/>
      </c>
      <c r="U831" s="7" t="str">
        <f ca="1">IFERROR(__xludf.DUMMYFUNCTION("SPARKLINE({
IF(E831="""",0,E831),
IF(G831="""",0,G831),
IF(I831="""",0,I831),
IF(K831="""",0,K831),
IF(M831="""",0,M831),
IF(O831="""",0,O831),
IF(Q831="""",0,Q831)
})"),"")</f>
        <v/>
      </c>
      <c r="V831" s="8" t="e">
        <f t="array" aca="1" ref="V831" ca="1">IF($C$4="Giao",_xludf.Xlookup(C831,#REF!,#REF!,),_xludf.Xlookup(C831,#REF!,#REF!,))</f>
        <v>#NAME?</v>
      </c>
      <c r="W831" s="8">
        <f t="array" ref="W831">IF($C$4="Giao", _xludf.Xlookup(C831,#REF!,#REF!,),)</f>
        <v>0</v>
      </c>
      <c r="X831" s="9">
        <f t="shared" si="10"/>
        <v>0</v>
      </c>
      <c r="Y831" s="7"/>
      <c r="Z831" s="7"/>
    </row>
    <row r="832" spans="1:26" ht="13" x14ac:dyDescent="0.6">
      <c r="A832" s="28" t="str">
        <f t="shared" si="9"/>
        <v/>
      </c>
      <c r="B832" s="7"/>
      <c r="C832" s="7"/>
      <c r="D832" s="9"/>
      <c r="E832" s="9"/>
      <c r="F832" s="9"/>
      <c r="G832" s="9"/>
      <c r="H832" s="9"/>
      <c r="I832" s="9"/>
      <c r="J832" s="9"/>
      <c r="K832" s="9"/>
      <c r="L832" s="9"/>
      <c r="M832" s="9"/>
      <c r="N832" s="9"/>
      <c r="O832" s="9"/>
      <c r="P832" s="29"/>
      <c r="Q832" s="29"/>
      <c r="R832" s="7"/>
      <c r="S832" s="7"/>
      <c r="T832" s="7" t="str">
        <f ca="1">IFERROR(__xludf.DUMMYFUNCTION("SPARKLINE({
IF(D832="""",0,D832),
IF(F832="""",0,F832),
IF(H832="""",0,H832),
IF(J832="""",0,J832),
IF(L832="""",0,L832),
IF(N832="""",0,N832),
IF(P832="""",0,P832)
})"),"")</f>
        <v/>
      </c>
      <c r="U832" s="7" t="str">
        <f ca="1">IFERROR(__xludf.DUMMYFUNCTION("SPARKLINE({
IF(E832="""",0,E832),
IF(G832="""",0,G832),
IF(I832="""",0,I832),
IF(K832="""",0,K832),
IF(M832="""",0,M832),
IF(O832="""",0,O832),
IF(Q832="""",0,Q832)
})"),"")</f>
        <v/>
      </c>
      <c r="V832" s="8" t="e">
        <f t="array" aca="1" ref="V832" ca="1">IF($C$4="Giao",_xludf.Xlookup(C832,#REF!,#REF!,),_xludf.Xlookup(C832,#REF!,#REF!,))</f>
        <v>#NAME?</v>
      </c>
      <c r="W832" s="8">
        <f t="array" ref="W832">IF($C$4="Giao", _xludf.Xlookup(C832,#REF!,#REF!,),)</f>
        <v>0</v>
      </c>
      <c r="X832" s="9">
        <f t="shared" si="10"/>
        <v>0</v>
      </c>
      <c r="Y832" s="7"/>
      <c r="Z832" s="7"/>
    </row>
    <row r="833" spans="1:26" ht="13" x14ac:dyDescent="0.6">
      <c r="A833" s="28" t="str">
        <f t="shared" si="9"/>
        <v/>
      </c>
      <c r="B833" s="7"/>
      <c r="C833" s="7"/>
      <c r="D833" s="9"/>
      <c r="E833" s="9"/>
      <c r="F833" s="9"/>
      <c r="G833" s="9"/>
      <c r="H833" s="9"/>
      <c r="I833" s="9"/>
      <c r="J833" s="9"/>
      <c r="K833" s="9"/>
      <c r="L833" s="9"/>
      <c r="M833" s="9"/>
      <c r="N833" s="9"/>
      <c r="O833" s="9"/>
      <c r="P833" s="29"/>
      <c r="Q833" s="29"/>
      <c r="R833" s="7"/>
      <c r="S833" s="7"/>
      <c r="T833" s="7" t="str">
        <f ca="1">IFERROR(__xludf.DUMMYFUNCTION("SPARKLINE({
IF(D833="""",0,D833),
IF(F833="""",0,F833),
IF(H833="""",0,H833),
IF(J833="""",0,J833),
IF(L833="""",0,L833),
IF(N833="""",0,N833),
IF(P833="""",0,P833)
})"),"")</f>
        <v/>
      </c>
      <c r="U833" s="7" t="str">
        <f ca="1">IFERROR(__xludf.DUMMYFUNCTION("SPARKLINE({
IF(E833="""",0,E833),
IF(G833="""",0,G833),
IF(I833="""",0,I833),
IF(K833="""",0,K833),
IF(M833="""",0,M833),
IF(O833="""",0,O833),
IF(Q833="""",0,Q833)
})"),"")</f>
        <v/>
      </c>
      <c r="V833" s="8" t="e">
        <f t="array" aca="1" ref="V833" ca="1">IF($C$4="Giao",_xludf.Xlookup(C833,#REF!,#REF!,),_xludf.Xlookup(C833,#REF!,#REF!,))</f>
        <v>#NAME?</v>
      </c>
      <c r="W833" s="8">
        <f t="array" ref="W833">IF($C$4="Giao", _xludf.Xlookup(C833,#REF!,#REF!,),)</f>
        <v>0</v>
      </c>
      <c r="X833" s="9">
        <f t="shared" si="10"/>
        <v>0</v>
      </c>
      <c r="Y833" s="7"/>
      <c r="Z833" s="7"/>
    </row>
    <row r="834" spans="1:26" ht="13" x14ac:dyDescent="0.6">
      <c r="A834" s="28" t="str">
        <f t="shared" si="9"/>
        <v/>
      </c>
      <c r="B834" s="7"/>
      <c r="C834" s="7"/>
      <c r="D834" s="9"/>
      <c r="E834" s="9"/>
      <c r="F834" s="9"/>
      <c r="G834" s="9"/>
      <c r="H834" s="9"/>
      <c r="I834" s="9"/>
      <c r="J834" s="9"/>
      <c r="K834" s="9"/>
      <c r="L834" s="9"/>
      <c r="M834" s="9"/>
      <c r="N834" s="9"/>
      <c r="O834" s="9"/>
      <c r="P834" s="29"/>
      <c r="Q834" s="29"/>
      <c r="R834" s="7"/>
      <c r="S834" s="7"/>
      <c r="T834" s="7" t="str">
        <f ca="1">IFERROR(__xludf.DUMMYFUNCTION("SPARKLINE({
IF(D834="""",0,D834),
IF(F834="""",0,F834),
IF(H834="""",0,H834),
IF(J834="""",0,J834),
IF(L834="""",0,L834),
IF(N834="""",0,N834),
IF(P834="""",0,P834)
})"),"")</f>
        <v/>
      </c>
      <c r="U834" s="7" t="str">
        <f ca="1">IFERROR(__xludf.DUMMYFUNCTION("SPARKLINE({
IF(E834="""",0,E834),
IF(G834="""",0,G834),
IF(I834="""",0,I834),
IF(K834="""",0,K834),
IF(M834="""",0,M834),
IF(O834="""",0,O834),
IF(Q834="""",0,Q834)
})"),"")</f>
        <v/>
      </c>
      <c r="V834" s="8" t="e">
        <f t="array" aca="1" ref="V834" ca="1">IF($C$4="Giao",_xludf.Xlookup(C834,#REF!,#REF!,),_xludf.Xlookup(C834,#REF!,#REF!,))</f>
        <v>#NAME?</v>
      </c>
      <c r="W834" s="8">
        <f t="array" ref="W834">IF($C$4="Giao", _xludf.Xlookup(C834,#REF!,#REF!,),)</f>
        <v>0</v>
      </c>
      <c r="X834" s="9">
        <f t="shared" si="10"/>
        <v>0</v>
      </c>
      <c r="Y834" s="7"/>
      <c r="Z834" s="7"/>
    </row>
    <row r="835" spans="1:26" ht="13" x14ac:dyDescent="0.6">
      <c r="A835" s="28" t="str">
        <f t="shared" si="9"/>
        <v/>
      </c>
      <c r="B835" s="7"/>
      <c r="C835" s="7"/>
      <c r="D835" s="9"/>
      <c r="E835" s="9"/>
      <c r="F835" s="9"/>
      <c r="G835" s="9"/>
      <c r="H835" s="9"/>
      <c r="I835" s="9"/>
      <c r="J835" s="9"/>
      <c r="K835" s="9"/>
      <c r="L835" s="9"/>
      <c r="M835" s="9"/>
      <c r="N835" s="9"/>
      <c r="O835" s="9"/>
      <c r="P835" s="29"/>
      <c r="Q835" s="29"/>
      <c r="R835" s="7"/>
      <c r="S835" s="7"/>
      <c r="T835" s="7" t="str">
        <f ca="1">IFERROR(__xludf.DUMMYFUNCTION("SPARKLINE({
IF(D835="""",0,D835),
IF(F835="""",0,F835),
IF(H835="""",0,H835),
IF(J835="""",0,J835),
IF(L835="""",0,L835),
IF(N835="""",0,N835),
IF(P835="""",0,P835)
})"),"")</f>
        <v/>
      </c>
      <c r="U835" s="7" t="str">
        <f ca="1">IFERROR(__xludf.DUMMYFUNCTION("SPARKLINE({
IF(E835="""",0,E835),
IF(G835="""",0,G835),
IF(I835="""",0,I835),
IF(K835="""",0,K835),
IF(M835="""",0,M835),
IF(O835="""",0,O835),
IF(Q835="""",0,Q835)
})"),"")</f>
        <v/>
      </c>
      <c r="V835" s="8" t="e">
        <f t="array" aca="1" ref="V835" ca="1">IF($C$4="Giao",_xludf.Xlookup(C835,#REF!,#REF!,),_xludf.Xlookup(C835,#REF!,#REF!,))</f>
        <v>#NAME?</v>
      </c>
      <c r="W835" s="8">
        <f t="array" ref="W835">IF($C$4="Giao", _xludf.Xlookup(C835,#REF!,#REF!,),)</f>
        <v>0</v>
      </c>
      <c r="X835" s="9">
        <f t="shared" si="10"/>
        <v>0</v>
      </c>
      <c r="Y835" s="7"/>
      <c r="Z835" s="7"/>
    </row>
    <row r="836" spans="1:26" ht="13" x14ac:dyDescent="0.6">
      <c r="A836" s="28" t="str">
        <f t="shared" si="9"/>
        <v/>
      </c>
      <c r="B836" s="7"/>
      <c r="C836" s="7"/>
      <c r="D836" s="9"/>
      <c r="E836" s="9"/>
      <c r="F836" s="9"/>
      <c r="G836" s="9"/>
      <c r="H836" s="9"/>
      <c r="I836" s="9"/>
      <c r="J836" s="9"/>
      <c r="K836" s="9"/>
      <c r="L836" s="9"/>
      <c r="M836" s="9"/>
      <c r="N836" s="9"/>
      <c r="O836" s="9"/>
      <c r="P836" s="29"/>
      <c r="Q836" s="29"/>
      <c r="R836" s="7"/>
      <c r="S836" s="7"/>
      <c r="T836" s="7" t="str">
        <f ca="1">IFERROR(__xludf.DUMMYFUNCTION("SPARKLINE({
IF(D836="""",0,D836),
IF(F836="""",0,F836),
IF(H836="""",0,H836),
IF(J836="""",0,J836),
IF(L836="""",0,L836),
IF(N836="""",0,N836),
IF(P836="""",0,P836)
})"),"")</f>
        <v/>
      </c>
      <c r="U836" s="7" t="str">
        <f ca="1">IFERROR(__xludf.DUMMYFUNCTION("SPARKLINE({
IF(E836="""",0,E836),
IF(G836="""",0,G836),
IF(I836="""",0,I836),
IF(K836="""",0,K836),
IF(M836="""",0,M836),
IF(O836="""",0,O836),
IF(Q836="""",0,Q836)
})"),"")</f>
        <v/>
      </c>
      <c r="V836" s="8" t="e">
        <f t="array" aca="1" ref="V836" ca="1">IF($C$4="Giao",_xludf.Xlookup(C836,#REF!,#REF!,),_xludf.Xlookup(C836,#REF!,#REF!,))</f>
        <v>#NAME?</v>
      </c>
      <c r="W836" s="8">
        <f t="array" ref="W836">IF($C$4="Giao", _xludf.Xlookup(C836,#REF!,#REF!,),)</f>
        <v>0</v>
      </c>
      <c r="X836" s="9">
        <f t="shared" si="10"/>
        <v>0</v>
      </c>
      <c r="Y836" s="7"/>
      <c r="Z836" s="7"/>
    </row>
    <row r="837" spans="1:26" ht="13" x14ac:dyDescent="0.6">
      <c r="A837" s="28" t="str">
        <f t="shared" si="9"/>
        <v/>
      </c>
      <c r="B837" s="7"/>
      <c r="C837" s="7"/>
      <c r="D837" s="9"/>
      <c r="E837" s="9"/>
      <c r="F837" s="9"/>
      <c r="G837" s="9"/>
      <c r="H837" s="9"/>
      <c r="I837" s="9"/>
      <c r="J837" s="9"/>
      <c r="K837" s="9"/>
      <c r="L837" s="9"/>
      <c r="M837" s="9"/>
      <c r="N837" s="9"/>
      <c r="O837" s="9"/>
      <c r="P837" s="29"/>
      <c r="Q837" s="29"/>
      <c r="R837" s="7"/>
      <c r="S837" s="7"/>
      <c r="T837" s="7" t="str">
        <f ca="1">IFERROR(__xludf.DUMMYFUNCTION("SPARKLINE({
IF(D837="""",0,D837),
IF(F837="""",0,F837),
IF(H837="""",0,H837),
IF(J837="""",0,J837),
IF(L837="""",0,L837),
IF(N837="""",0,N837),
IF(P837="""",0,P837)
})"),"")</f>
        <v/>
      </c>
      <c r="U837" s="7" t="str">
        <f ca="1">IFERROR(__xludf.DUMMYFUNCTION("SPARKLINE({
IF(E837="""",0,E837),
IF(G837="""",0,G837),
IF(I837="""",0,I837),
IF(K837="""",0,K837),
IF(M837="""",0,M837),
IF(O837="""",0,O837),
IF(Q837="""",0,Q837)
})"),"")</f>
        <v/>
      </c>
      <c r="V837" s="8" t="e">
        <f t="array" aca="1" ref="V837" ca="1">IF($C$4="Giao",_xludf.Xlookup(C837,#REF!,#REF!,),_xludf.Xlookup(C837,#REF!,#REF!,))</f>
        <v>#NAME?</v>
      </c>
      <c r="W837" s="8">
        <f t="array" ref="W837">IF($C$4="Giao", _xludf.Xlookup(C837,#REF!,#REF!,),)</f>
        <v>0</v>
      </c>
      <c r="X837" s="9">
        <f t="shared" si="10"/>
        <v>0</v>
      </c>
      <c r="Y837" s="7"/>
      <c r="Z837" s="7"/>
    </row>
    <row r="838" spans="1:26" ht="13" x14ac:dyDescent="0.6">
      <c r="A838" s="28" t="str">
        <f t="shared" si="9"/>
        <v/>
      </c>
      <c r="B838" s="7"/>
      <c r="C838" s="7"/>
      <c r="D838" s="9"/>
      <c r="E838" s="9"/>
      <c r="F838" s="9"/>
      <c r="G838" s="9"/>
      <c r="H838" s="9"/>
      <c r="I838" s="9"/>
      <c r="J838" s="9"/>
      <c r="K838" s="9"/>
      <c r="L838" s="9"/>
      <c r="M838" s="9"/>
      <c r="N838" s="9"/>
      <c r="O838" s="9"/>
      <c r="P838" s="29"/>
      <c r="Q838" s="29"/>
      <c r="R838" s="7"/>
      <c r="S838" s="7"/>
      <c r="T838" s="7" t="str">
        <f ca="1">IFERROR(__xludf.DUMMYFUNCTION("SPARKLINE({
IF(D838="""",0,D838),
IF(F838="""",0,F838),
IF(H838="""",0,H838),
IF(J838="""",0,J838),
IF(L838="""",0,L838),
IF(N838="""",0,N838),
IF(P838="""",0,P838)
})"),"")</f>
        <v/>
      </c>
      <c r="U838" s="7" t="str">
        <f ca="1">IFERROR(__xludf.DUMMYFUNCTION("SPARKLINE({
IF(E838="""",0,E838),
IF(G838="""",0,G838),
IF(I838="""",0,I838),
IF(K838="""",0,K838),
IF(M838="""",0,M838),
IF(O838="""",0,O838),
IF(Q838="""",0,Q838)
})"),"")</f>
        <v/>
      </c>
      <c r="V838" s="8" t="e">
        <f t="array" aca="1" ref="V838" ca="1">IF($C$4="Giao",_xludf.Xlookup(C838,#REF!,#REF!,),_xludf.Xlookup(C838,#REF!,#REF!,))</f>
        <v>#NAME?</v>
      </c>
      <c r="W838" s="8">
        <f t="array" ref="W838">IF($C$4="Giao", _xludf.Xlookup(C838,#REF!,#REF!,),)</f>
        <v>0</v>
      </c>
      <c r="X838" s="9">
        <f t="shared" si="10"/>
        <v>0</v>
      </c>
      <c r="Y838" s="7"/>
      <c r="Z838" s="7"/>
    </row>
    <row r="839" spans="1:26" ht="13" x14ac:dyDescent="0.6">
      <c r="A839" s="28" t="str">
        <f t="shared" si="9"/>
        <v/>
      </c>
      <c r="B839" s="7"/>
      <c r="C839" s="7"/>
      <c r="D839" s="9"/>
      <c r="E839" s="9"/>
      <c r="F839" s="9"/>
      <c r="G839" s="9"/>
      <c r="H839" s="9"/>
      <c r="I839" s="9"/>
      <c r="J839" s="9"/>
      <c r="K839" s="9"/>
      <c r="L839" s="9"/>
      <c r="M839" s="9"/>
      <c r="N839" s="9"/>
      <c r="O839" s="9"/>
      <c r="P839" s="29"/>
      <c r="Q839" s="29"/>
      <c r="R839" s="7"/>
      <c r="S839" s="7"/>
      <c r="T839" s="7" t="str">
        <f ca="1">IFERROR(__xludf.DUMMYFUNCTION("SPARKLINE({
IF(D839="""",0,D839),
IF(F839="""",0,F839),
IF(H839="""",0,H839),
IF(J839="""",0,J839),
IF(L839="""",0,L839),
IF(N839="""",0,N839),
IF(P839="""",0,P839)
})"),"")</f>
        <v/>
      </c>
      <c r="U839" s="7" t="str">
        <f ca="1">IFERROR(__xludf.DUMMYFUNCTION("SPARKLINE({
IF(E839="""",0,E839),
IF(G839="""",0,G839),
IF(I839="""",0,I839),
IF(K839="""",0,K839),
IF(M839="""",0,M839),
IF(O839="""",0,O839),
IF(Q839="""",0,Q839)
})"),"")</f>
        <v/>
      </c>
      <c r="V839" s="8" t="e">
        <f t="array" aca="1" ref="V839" ca="1">IF($C$4="Giao",_xludf.Xlookup(C839,#REF!,#REF!,),_xludf.Xlookup(C839,#REF!,#REF!,))</f>
        <v>#NAME?</v>
      </c>
      <c r="W839" s="8">
        <f t="array" ref="W839">IF($C$4="Giao", _xludf.Xlookup(C839,#REF!,#REF!,),)</f>
        <v>0</v>
      </c>
      <c r="X839" s="9">
        <f t="shared" si="10"/>
        <v>0</v>
      </c>
      <c r="Y839" s="7"/>
      <c r="Z839" s="7"/>
    </row>
    <row r="840" spans="1:26" ht="13" x14ac:dyDescent="0.6">
      <c r="A840" s="28" t="str">
        <f t="shared" si="9"/>
        <v/>
      </c>
      <c r="B840" s="7"/>
      <c r="C840" s="7"/>
      <c r="D840" s="9"/>
      <c r="E840" s="9"/>
      <c r="F840" s="9"/>
      <c r="G840" s="9"/>
      <c r="H840" s="9"/>
      <c r="I840" s="9"/>
      <c r="J840" s="9"/>
      <c r="K840" s="9"/>
      <c r="L840" s="9"/>
      <c r="M840" s="9"/>
      <c r="N840" s="9"/>
      <c r="O840" s="9"/>
      <c r="P840" s="29"/>
      <c r="Q840" s="29"/>
      <c r="R840" s="7"/>
      <c r="S840" s="7"/>
      <c r="T840" s="7" t="str">
        <f ca="1">IFERROR(__xludf.DUMMYFUNCTION("SPARKLINE({
IF(D840="""",0,D840),
IF(F840="""",0,F840),
IF(H840="""",0,H840),
IF(J840="""",0,J840),
IF(L840="""",0,L840),
IF(N840="""",0,N840),
IF(P840="""",0,P840)
})"),"")</f>
        <v/>
      </c>
      <c r="U840" s="7" t="str">
        <f ca="1">IFERROR(__xludf.DUMMYFUNCTION("SPARKLINE({
IF(E840="""",0,E840),
IF(G840="""",0,G840),
IF(I840="""",0,I840),
IF(K840="""",0,K840),
IF(M840="""",0,M840),
IF(O840="""",0,O840),
IF(Q840="""",0,Q840)
})"),"")</f>
        <v/>
      </c>
      <c r="V840" s="8" t="e">
        <f t="array" aca="1" ref="V840" ca="1">IF($C$4="Giao",_xludf.Xlookup(C840,#REF!,#REF!,),_xludf.Xlookup(C840,#REF!,#REF!,))</f>
        <v>#NAME?</v>
      </c>
      <c r="W840" s="8">
        <f t="array" ref="W840">IF($C$4="Giao", _xludf.Xlookup(C840,#REF!,#REF!,),)</f>
        <v>0</v>
      </c>
      <c r="X840" s="9">
        <f t="shared" si="10"/>
        <v>0</v>
      </c>
      <c r="Y840" s="7"/>
      <c r="Z840" s="7"/>
    </row>
    <row r="841" spans="1:26" ht="13" x14ac:dyDescent="0.6">
      <c r="A841" s="28" t="str">
        <f t="shared" si="9"/>
        <v/>
      </c>
      <c r="B841" s="7"/>
      <c r="C841" s="7"/>
      <c r="D841" s="9"/>
      <c r="E841" s="9"/>
      <c r="F841" s="9"/>
      <c r="G841" s="9"/>
      <c r="H841" s="9"/>
      <c r="I841" s="9"/>
      <c r="J841" s="9"/>
      <c r="K841" s="9"/>
      <c r="L841" s="9"/>
      <c r="M841" s="9"/>
      <c r="N841" s="9"/>
      <c r="O841" s="9"/>
      <c r="P841" s="29"/>
      <c r="Q841" s="29"/>
      <c r="R841" s="7"/>
      <c r="S841" s="7"/>
      <c r="T841" s="7" t="str">
        <f ca="1">IFERROR(__xludf.DUMMYFUNCTION("SPARKLINE({
IF(D841="""",0,D841),
IF(F841="""",0,F841),
IF(H841="""",0,H841),
IF(J841="""",0,J841),
IF(L841="""",0,L841),
IF(N841="""",0,N841),
IF(P841="""",0,P841)
})"),"")</f>
        <v/>
      </c>
      <c r="U841" s="7" t="str">
        <f ca="1">IFERROR(__xludf.DUMMYFUNCTION("SPARKLINE({
IF(E841="""",0,E841),
IF(G841="""",0,G841),
IF(I841="""",0,I841),
IF(K841="""",0,K841),
IF(M841="""",0,M841),
IF(O841="""",0,O841),
IF(Q841="""",0,Q841)
})"),"")</f>
        <v/>
      </c>
      <c r="V841" s="8" t="e">
        <f t="array" aca="1" ref="V841" ca="1">IF($C$4="Giao",_xludf.Xlookup(C841,#REF!,#REF!,),_xludf.Xlookup(C841,#REF!,#REF!,))</f>
        <v>#NAME?</v>
      </c>
      <c r="W841" s="8">
        <f t="array" ref="W841">IF($C$4="Giao", _xludf.Xlookup(C841,#REF!,#REF!,),)</f>
        <v>0</v>
      </c>
      <c r="X841" s="9">
        <f t="shared" si="10"/>
        <v>0</v>
      </c>
      <c r="Y841" s="7"/>
      <c r="Z841" s="7"/>
    </row>
    <row r="842" spans="1:26" ht="13" x14ac:dyDescent="0.6">
      <c r="A842" s="28" t="str">
        <f t="shared" si="9"/>
        <v/>
      </c>
      <c r="B842" s="7"/>
      <c r="C842" s="7"/>
      <c r="D842" s="9"/>
      <c r="E842" s="9"/>
      <c r="F842" s="9"/>
      <c r="G842" s="9"/>
      <c r="H842" s="9"/>
      <c r="I842" s="9"/>
      <c r="J842" s="9"/>
      <c r="K842" s="9"/>
      <c r="L842" s="9"/>
      <c r="M842" s="9"/>
      <c r="N842" s="9"/>
      <c r="O842" s="9"/>
      <c r="P842" s="29"/>
      <c r="Q842" s="29"/>
      <c r="R842" s="7"/>
      <c r="S842" s="7"/>
      <c r="T842" s="7" t="str">
        <f ca="1">IFERROR(__xludf.DUMMYFUNCTION("SPARKLINE({
IF(D842="""",0,D842),
IF(F842="""",0,F842),
IF(H842="""",0,H842),
IF(J842="""",0,J842),
IF(L842="""",0,L842),
IF(N842="""",0,N842),
IF(P842="""",0,P842)
})"),"")</f>
        <v/>
      </c>
      <c r="U842" s="7" t="str">
        <f ca="1">IFERROR(__xludf.DUMMYFUNCTION("SPARKLINE({
IF(E842="""",0,E842),
IF(G842="""",0,G842),
IF(I842="""",0,I842),
IF(K842="""",0,K842),
IF(M842="""",0,M842),
IF(O842="""",0,O842),
IF(Q842="""",0,Q842)
})"),"")</f>
        <v/>
      </c>
      <c r="V842" s="8" t="e">
        <f t="array" aca="1" ref="V842" ca="1">IF($C$4="Giao",_xludf.Xlookup(C842,#REF!,#REF!,),_xludf.Xlookup(C842,#REF!,#REF!,))</f>
        <v>#NAME?</v>
      </c>
      <c r="W842" s="8">
        <f t="array" ref="W842">IF($C$4="Giao", _xludf.Xlookup(C842,#REF!,#REF!,),)</f>
        <v>0</v>
      </c>
      <c r="X842" s="9">
        <f t="shared" si="10"/>
        <v>0</v>
      </c>
      <c r="Y842" s="7"/>
      <c r="Z842" s="7"/>
    </row>
    <row r="843" spans="1:26" ht="13" x14ac:dyDescent="0.6">
      <c r="A843" s="28" t="str">
        <f t="shared" si="9"/>
        <v/>
      </c>
      <c r="B843" s="7"/>
      <c r="C843" s="7"/>
      <c r="D843" s="9"/>
      <c r="E843" s="9"/>
      <c r="F843" s="9"/>
      <c r="G843" s="9"/>
      <c r="H843" s="9"/>
      <c r="I843" s="9"/>
      <c r="J843" s="9"/>
      <c r="K843" s="9"/>
      <c r="L843" s="9"/>
      <c r="M843" s="9"/>
      <c r="N843" s="9"/>
      <c r="O843" s="9"/>
      <c r="P843" s="29"/>
      <c r="Q843" s="29"/>
      <c r="R843" s="7"/>
      <c r="S843" s="7"/>
      <c r="T843" s="7" t="str">
        <f ca="1">IFERROR(__xludf.DUMMYFUNCTION("SPARKLINE({
IF(D843="""",0,D843),
IF(F843="""",0,F843),
IF(H843="""",0,H843),
IF(J843="""",0,J843),
IF(L843="""",0,L843),
IF(N843="""",0,N843),
IF(P843="""",0,P843)
})"),"")</f>
        <v/>
      </c>
      <c r="U843" s="7" t="str">
        <f ca="1">IFERROR(__xludf.DUMMYFUNCTION("SPARKLINE({
IF(E843="""",0,E843),
IF(G843="""",0,G843),
IF(I843="""",0,I843),
IF(K843="""",0,K843),
IF(M843="""",0,M843),
IF(O843="""",0,O843),
IF(Q843="""",0,Q843)
})"),"")</f>
        <v/>
      </c>
      <c r="V843" s="8" t="e">
        <f t="array" aca="1" ref="V843" ca="1">IF($C$4="Giao",_xludf.Xlookup(C843,#REF!,#REF!,),_xludf.Xlookup(C843,#REF!,#REF!,))</f>
        <v>#NAME?</v>
      </c>
      <c r="W843" s="8">
        <f t="array" ref="W843">IF($C$4="Giao", _xludf.Xlookup(C843,#REF!,#REF!,),)</f>
        <v>0</v>
      </c>
      <c r="X843" s="9">
        <f t="shared" si="10"/>
        <v>0</v>
      </c>
      <c r="Y843" s="7"/>
      <c r="Z843" s="7"/>
    </row>
    <row r="844" spans="1:26" ht="13" x14ac:dyDescent="0.6">
      <c r="A844" s="28" t="str">
        <f t="shared" si="9"/>
        <v/>
      </c>
      <c r="B844" s="7"/>
      <c r="C844" s="7"/>
      <c r="D844" s="9"/>
      <c r="E844" s="9"/>
      <c r="F844" s="9"/>
      <c r="G844" s="9"/>
      <c r="H844" s="9"/>
      <c r="I844" s="9"/>
      <c r="J844" s="9"/>
      <c r="K844" s="9"/>
      <c r="L844" s="9"/>
      <c r="M844" s="9"/>
      <c r="N844" s="9"/>
      <c r="O844" s="9"/>
      <c r="P844" s="29"/>
      <c r="Q844" s="29"/>
      <c r="R844" s="7"/>
      <c r="S844" s="7"/>
      <c r="T844" s="7" t="str">
        <f ca="1">IFERROR(__xludf.DUMMYFUNCTION("SPARKLINE({
IF(D844="""",0,D844),
IF(F844="""",0,F844),
IF(H844="""",0,H844),
IF(J844="""",0,J844),
IF(L844="""",0,L844),
IF(N844="""",0,N844),
IF(P844="""",0,P844)
})"),"")</f>
        <v/>
      </c>
      <c r="U844" s="7" t="str">
        <f ca="1">IFERROR(__xludf.DUMMYFUNCTION("SPARKLINE({
IF(E844="""",0,E844),
IF(G844="""",0,G844),
IF(I844="""",0,I844),
IF(K844="""",0,K844),
IF(M844="""",0,M844),
IF(O844="""",0,O844),
IF(Q844="""",0,Q844)
})"),"")</f>
        <v/>
      </c>
      <c r="V844" s="8" t="e">
        <f t="array" aca="1" ref="V844" ca="1">IF($C$4="Giao",_xludf.Xlookup(C844,#REF!,#REF!,),_xludf.Xlookup(C844,#REF!,#REF!,))</f>
        <v>#NAME?</v>
      </c>
      <c r="W844" s="8">
        <f t="array" ref="W844">IF($C$4="Giao", _xludf.Xlookup(C844,#REF!,#REF!,),)</f>
        <v>0</v>
      </c>
      <c r="X844" s="9">
        <f t="shared" si="10"/>
        <v>0</v>
      </c>
      <c r="Y844" s="7"/>
      <c r="Z844" s="7"/>
    </row>
    <row r="845" spans="1:26" ht="13" x14ac:dyDescent="0.6">
      <c r="A845" s="28" t="str">
        <f t="shared" si="9"/>
        <v/>
      </c>
      <c r="B845" s="7"/>
      <c r="C845" s="7"/>
      <c r="D845" s="9"/>
      <c r="E845" s="9"/>
      <c r="F845" s="9"/>
      <c r="G845" s="9"/>
      <c r="H845" s="9"/>
      <c r="I845" s="9"/>
      <c r="J845" s="9"/>
      <c r="K845" s="9"/>
      <c r="L845" s="9"/>
      <c r="M845" s="9"/>
      <c r="N845" s="9"/>
      <c r="O845" s="9"/>
      <c r="P845" s="29"/>
      <c r="Q845" s="29"/>
      <c r="R845" s="7"/>
      <c r="S845" s="7"/>
      <c r="T845" s="7" t="str">
        <f ca="1">IFERROR(__xludf.DUMMYFUNCTION("SPARKLINE({
IF(D845="""",0,D845),
IF(F845="""",0,F845),
IF(H845="""",0,H845),
IF(J845="""",0,J845),
IF(L845="""",0,L845),
IF(N845="""",0,N845),
IF(P845="""",0,P845)
})"),"")</f>
        <v/>
      </c>
      <c r="U845" s="7" t="str">
        <f ca="1">IFERROR(__xludf.DUMMYFUNCTION("SPARKLINE({
IF(E845="""",0,E845),
IF(G845="""",0,G845),
IF(I845="""",0,I845),
IF(K845="""",0,K845),
IF(M845="""",0,M845),
IF(O845="""",0,O845),
IF(Q845="""",0,Q845)
})"),"")</f>
        <v/>
      </c>
      <c r="V845" s="8" t="e">
        <f t="array" aca="1" ref="V845" ca="1">IF($C$4="Giao",_xludf.Xlookup(C845,#REF!,#REF!,),_xludf.Xlookup(C845,#REF!,#REF!,))</f>
        <v>#NAME?</v>
      </c>
      <c r="W845" s="8">
        <f t="array" ref="W845">IF($C$4="Giao", _xludf.Xlookup(C845,#REF!,#REF!,),)</f>
        <v>0</v>
      </c>
      <c r="X845" s="9">
        <f t="shared" si="10"/>
        <v>0</v>
      </c>
      <c r="Y845" s="7"/>
      <c r="Z845" s="7"/>
    </row>
    <row r="846" spans="1:26" ht="13" x14ac:dyDescent="0.6">
      <c r="A846" s="28" t="str">
        <f t="shared" si="9"/>
        <v/>
      </c>
      <c r="B846" s="7"/>
      <c r="C846" s="7"/>
      <c r="D846" s="9"/>
      <c r="E846" s="9"/>
      <c r="F846" s="9"/>
      <c r="G846" s="9"/>
      <c r="H846" s="9"/>
      <c r="I846" s="9"/>
      <c r="J846" s="9"/>
      <c r="K846" s="9"/>
      <c r="L846" s="9"/>
      <c r="M846" s="9"/>
      <c r="N846" s="9"/>
      <c r="O846" s="9"/>
      <c r="P846" s="29"/>
      <c r="Q846" s="29"/>
      <c r="R846" s="7"/>
      <c r="S846" s="7"/>
      <c r="T846" s="7" t="str">
        <f ca="1">IFERROR(__xludf.DUMMYFUNCTION("SPARKLINE({
IF(D846="""",0,D846),
IF(F846="""",0,F846),
IF(H846="""",0,H846),
IF(J846="""",0,J846),
IF(L846="""",0,L846),
IF(N846="""",0,N846),
IF(P846="""",0,P846)
})"),"")</f>
        <v/>
      </c>
      <c r="U846" s="7" t="str">
        <f ca="1">IFERROR(__xludf.DUMMYFUNCTION("SPARKLINE({
IF(E846="""",0,E846),
IF(G846="""",0,G846),
IF(I846="""",0,I846),
IF(K846="""",0,K846),
IF(M846="""",0,M846),
IF(O846="""",0,O846),
IF(Q846="""",0,Q846)
})"),"")</f>
        <v/>
      </c>
      <c r="V846" s="8" t="e">
        <f t="array" aca="1" ref="V846" ca="1">IF($C$4="Giao",_xludf.Xlookup(C846,#REF!,#REF!,),_xludf.Xlookup(C846,#REF!,#REF!,))</f>
        <v>#NAME?</v>
      </c>
      <c r="W846" s="8">
        <f t="array" ref="W846">IF($C$4="Giao", _xludf.Xlookup(C846,#REF!,#REF!,),)</f>
        <v>0</v>
      </c>
      <c r="X846" s="9">
        <f t="shared" si="10"/>
        <v>0</v>
      </c>
      <c r="Y846" s="7"/>
      <c r="Z846" s="7"/>
    </row>
    <row r="847" spans="1:26" ht="13" x14ac:dyDescent="0.6">
      <c r="A847" s="28" t="str">
        <f t="shared" si="9"/>
        <v/>
      </c>
      <c r="B847" s="7"/>
      <c r="C847" s="7"/>
      <c r="D847" s="9"/>
      <c r="E847" s="9"/>
      <c r="F847" s="9"/>
      <c r="G847" s="9"/>
      <c r="H847" s="9"/>
      <c r="I847" s="9"/>
      <c r="J847" s="9"/>
      <c r="K847" s="9"/>
      <c r="L847" s="9"/>
      <c r="M847" s="9"/>
      <c r="N847" s="9"/>
      <c r="O847" s="9"/>
      <c r="P847" s="29"/>
      <c r="Q847" s="29"/>
      <c r="R847" s="7"/>
      <c r="S847" s="7"/>
      <c r="T847" s="7" t="str">
        <f ca="1">IFERROR(__xludf.DUMMYFUNCTION("SPARKLINE({
IF(D847="""",0,D847),
IF(F847="""",0,F847),
IF(H847="""",0,H847),
IF(J847="""",0,J847),
IF(L847="""",0,L847),
IF(N847="""",0,N847),
IF(P847="""",0,P847)
})"),"")</f>
        <v/>
      </c>
      <c r="U847" s="7" t="str">
        <f ca="1">IFERROR(__xludf.DUMMYFUNCTION("SPARKLINE({
IF(E847="""",0,E847),
IF(G847="""",0,G847),
IF(I847="""",0,I847),
IF(K847="""",0,K847),
IF(M847="""",0,M847),
IF(O847="""",0,O847),
IF(Q847="""",0,Q847)
})"),"")</f>
        <v/>
      </c>
      <c r="V847" s="8" t="e">
        <f t="array" aca="1" ref="V847" ca="1">IF($C$4="Giao",_xludf.Xlookup(C847,#REF!,#REF!,),_xludf.Xlookup(C847,#REF!,#REF!,))</f>
        <v>#NAME?</v>
      </c>
      <c r="W847" s="8">
        <f t="array" ref="W847">IF($C$4="Giao", _xludf.Xlookup(C847,#REF!,#REF!,),)</f>
        <v>0</v>
      </c>
      <c r="X847" s="9">
        <f t="shared" si="10"/>
        <v>0</v>
      </c>
      <c r="Y847" s="7"/>
      <c r="Z847" s="7"/>
    </row>
    <row r="848" spans="1:26" ht="13" x14ac:dyDescent="0.6">
      <c r="A848" s="28" t="str">
        <f t="shared" si="9"/>
        <v/>
      </c>
      <c r="B848" s="7"/>
      <c r="C848" s="7"/>
      <c r="D848" s="9"/>
      <c r="E848" s="9"/>
      <c r="F848" s="9"/>
      <c r="G848" s="9"/>
      <c r="H848" s="9"/>
      <c r="I848" s="9"/>
      <c r="J848" s="9"/>
      <c r="K848" s="9"/>
      <c r="L848" s="9"/>
      <c r="M848" s="9"/>
      <c r="N848" s="9"/>
      <c r="O848" s="9"/>
      <c r="P848" s="29"/>
      <c r="Q848" s="29"/>
      <c r="R848" s="7"/>
      <c r="S848" s="7"/>
      <c r="T848" s="7" t="str">
        <f ca="1">IFERROR(__xludf.DUMMYFUNCTION("SPARKLINE({
IF(D848="""",0,D848),
IF(F848="""",0,F848),
IF(H848="""",0,H848),
IF(J848="""",0,J848),
IF(L848="""",0,L848),
IF(N848="""",0,N848),
IF(P848="""",0,P848)
})"),"")</f>
        <v/>
      </c>
      <c r="U848" s="7" t="str">
        <f ca="1">IFERROR(__xludf.DUMMYFUNCTION("SPARKLINE({
IF(E848="""",0,E848),
IF(G848="""",0,G848),
IF(I848="""",0,I848),
IF(K848="""",0,K848),
IF(M848="""",0,M848),
IF(O848="""",0,O848),
IF(Q848="""",0,Q848)
})"),"")</f>
        <v/>
      </c>
      <c r="V848" s="8" t="e">
        <f t="array" aca="1" ref="V848" ca="1">IF($C$4="Giao",_xludf.Xlookup(C848,#REF!,#REF!,),_xludf.Xlookup(C848,#REF!,#REF!,))</f>
        <v>#NAME?</v>
      </c>
      <c r="W848" s="8">
        <f t="array" ref="W848">IF($C$4="Giao", _xludf.Xlookup(C848,#REF!,#REF!,),)</f>
        <v>0</v>
      </c>
      <c r="X848" s="9">
        <f t="shared" si="10"/>
        <v>0</v>
      </c>
      <c r="Y848" s="7"/>
      <c r="Z848" s="7"/>
    </row>
    <row r="849" spans="1:26" ht="13" x14ac:dyDescent="0.6">
      <c r="A849" s="28" t="str">
        <f t="shared" si="9"/>
        <v/>
      </c>
      <c r="B849" s="7"/>
      <c r="C849" s="7"/>
      <c r="D849" s="9"/>
      <c r="E849" s="9"/>
      <c r="F849" s="9"/>
      <c r="G849" s="9"/>
      <c r="H849" s="9"/>
      <c r="I849" s="9"/>
      <c r="J849" s="9"/>
      <c r="K849" s="9"/>
      <c r="L849" s="9"/>
      <c r="M849" s="9"/>
      <c r="N849" s="9"/>
      <c r="O849" s="9"/>
      <c r="P849" s="29"/>
      <c r="Q849" s="29"/>
      <c r="R849" s="7"/>
      <c r="S849" s="7"/>
      <c r="T849" s="7" t="str">
        <f ca="1">IFERROR(__xludf.DUMMYFUNCTION("SPARKLINE({
IF(D849="""",0,D849),
IF(F849="""",0,F849),
IF(H849="""",0,H849),
IF(J849="""",0,J849),
IF(L849="""",0,L849),
IF(N849="""",0,N849),
IF(P849="""",0,P849)
})"),"")</f>
        <v/>
      </c>
      <c r="U849" s="7" t="str">
        <f ca="1">IFERROR(__xludf.DUMMYFUNCTION("SPARKLINE({
IF(E849="""",0,E849),
IF(G849="""",0,G849),
IF(I849="""",0,I849),
IF(K849="""",0,K849),
IF(M849="""",0,M849),
IF(O849="""",0,O849),
IF(Q849="""",0,Q849)
})"),"")</f>
        <v/>
      </c>
      <c r="V849" s="8" t="e">
        <f t="array" aca="1" ref="V849" ca="1">IF($C$4="Giao",_xludf.Xlookup(C849,#REF!,#REF!,),_xludf.Xlookup(C849,#REF!,#REF!,))</f>
        <v>#NAME?</v>
      </c>
      <c r="W849" s="8">
        <f t="array" ref="W849">IF($C$4="Giao", _xludf.Xlookup(C849,#REF!,#REF!,),)</f>
        <v>0</v>
      </c>
      <c r="X849" s="9">
        <f t="shared" si="10"/>
        <v>0</v>
      </c>
      <c r="Y849" s="7"/>
      <c r="Z849" s="7"/>
    </row>
    <row r="850" spans="1:26" ht="13" x14ac:dyDescent="0.6">
      <c r="A850" s="28" t="str">
        <f t="shared" si="9"/>
        <v/>
      </c>
      <c r="B850" s="7"/>
      <c r="C850" s="7"/>
      <c r="D850" s="9"/>
      <c r="E850" s="9"/>
      <c r="F850" s="9"/>
      <c r="G850" s="9"/>
      <c r="H850" s="9"/>
      <c r="I850" s="9"/>
      <c r="J850" s="9"/>
      <c r="K850" s="9"/>
      <c r="L850" s="9"/>
      <c r="M850" s="9"/>
      <c r="N850" s="9"/>
      <c r="O850" s="9"/>
      <c r="P850" s="29"/>
      <c r="Q850" s="29"/>
      <c r="R850" s="7"/>
      <c r="S850" s="7"/>
      <c r="T850" s="7" t="str">
        <f ca="1">IFERROR(__xludf.DUMMYFUNCTION("SPARKLINE({
IF(D850="""",0,D850),
IF(F850="""",0,F850),
IF(H850="""",0,H850),
IF(J850="""",0,J850),
IF(L850="""",0,L850),
IF(N850="""",0,N850),
IF(P850="""",0,P850)
})"),"")</f>
        <v/>
      </c>
      <c r="U850" s="7" t="str">
        <f ca="1">IFERROR(__xludf.DUMMYFUNCTION("SPARKLINE({
IF(E850="""",0,E850),
IF(G850="""",0,G850),
IF(I850="""",0,I850),
IF(K850="""",0,K850),
IF(M850="""",0,M850),
IF(O850="""",0,O850),
IF(Q850="""",0,Q850)
})"),"")</f>
        <v/>
      </c>
      <c r="V850" s="8" t="e">
        <f t="array" aca="1" ref="V850" ca="1">IF($C$4="Giao",_xludf.Xlookup(C850,#REF!,#REF!,),_xludf.Xlookup(C850,#REF!,#REF!,))</f>
        <v>#NAME?</v>
      </c>
      <c r="W850" s="8">
        <f t="array" ref="W850">IF($C$4="Giao", _xludf.Xlookup(C850,#REF!,#REF!,),)</f>
        <v>0</v>
      </c>
      <c r="X850" s="9">
        <f t="shared" si="10"/>
        <v>0</v>
      </c>
      <c r="Y850" s="7"/>
      <c r="Z850" s="7"/>
    </row>
    <row r="851" spans="1:26" ht="13" x14ac:dyDescent="0.6">
      <c r="A851" s="28" t="str">
        <f t="shared" si="9"/>
        <v/>
      </c>
      <c r="B851" s="7"/>
      <c r="C851" s="7"/>
      <c r="D851" s="9"/>
      <c r="E851" s="9"/>
      <c r="F851" s="9"/>
      <c r="G851" s="9"/>
      <c r="H851" s="9"/>
      <c r="I851" s="9"/>
      <c r="J851" s="9"/>
      <c r="K851" s="9"/>
      <c r="L851" s="9"/>
      <c r="M851" s="9"/>
      <c r="N851" s="9"/>
      <c r="O851" s="9"/>
      <c r="P851" s="29"/>
      <c r="Q851" s="29"/>
      <c r="R851" s="7"/>
      <c r="S851" s="7"/>
      <c r="T851" s="7" t="str">
        <f ca="1">IFERROR(__xludf.DUMMYFUNCTION("SPARKLINE({
IF(D851="""",0,D851),
IF(F851="""",0,F851),
IF(H851="""",0,H851),
IF(J851="""",0,J851),
IF(L851="""",0,L851),
IF(N851="""",0,N851),
IF(P851="""",0,P851)
})"),"")</f>
        <v/>
      </c>
      <c r="U851" s="7" t="str">
        <f ca="1">IFERROR(__xludf.DUMMYFUNCTION("SPARKLINE({
IF(E851="""",0,E851),
IF(G851="""",0,G851),
IF(I851="""",0,I851),
IF(K851="""",0,K851),
IF(M851="""",0,M851),
IF(O851="""",0,O851),
IF(Q851="""",0,Q851)
})"),"")</f>
        <v/>
      </c>
      <c r="V851" s="8" t="e">
        <f t="array" aca="1" ref="V851" ca="1">IF($C$4="Giao",_xludf.Xlookup(C851,#REF!,#REF!,),_xludf.Xlookup(C851,#REF!,#REF!,))</f>
        <v>#NAME?</v>
      </c>
      <c r="W851" s="8">
        <f t="array" ref="W851">IF($C$4="Giao", _xludf.Xlookup(C851,#REF!,#REF!,),)</f>
        <v>0</v>
      </c>
      <c r="X851" s="9">
        <f t="shared" si="10"/>
        <v>0</v>
      </c>
      <c r="Y851" s="7"/>
      <c r="Z851" s="7"/>
    </row>
    <row r="852" spans="1:26" ht="13" x14ac:dyDescent="0.6">
      <c r="A852" s="28" t="str">
        <f t="shared" si="9"/>
        <v/>
      </c>
      <c r="B852" s="7"/>
      <c r="C852" s="7"/>
      <c r="D852" s="9"/>
      <c r="E852" s="9"/>
      <c r="F852" s="9"/>
      <c r="G852" s="9"/>
      <c r="H852" s="9"/>
      <c r="I852" s="9"/>
      <c r="J852" s="9"/>
      <c r="K852" s="9"/>
      <c r="L852" s="9"/>
      <c r="M852" s="9"/>
      <c r="N852" s="9"/>
      <c r="O852" s="9"/>
      <c r="P852" s="29"/>
      <c r="Q852" s="29"/>
      <c r="R852" s="7"/>
      <c r="S852" s="7"/>
      <c r="T852" s="7" t="str">
        <f ca="1">IFERROR(__xludf.DUMMYFUNCTION("SPARKLINE({
IF(D852="""",0,D852),
IF(F852="""",0,F852),
IF(H852="""",0,H852),
IF(J852="""",0,J852),
IF(L852="""",0,L852),
IF(N852="""",0,N852),
IF(P852="""",0,P852)
})"),"")</f>
        <v/>
      </c>
      <c r="U852" s="7" t="str">
        <f ca="1">IFERROR(__xludf.DUMMYFUNCTION("SPARKLINE({
IF(E852="""",0,E852),
IF(G852="""",0,G852),
IF(I852="""",0,I852),
IF(K852="""",0,K852),
IF(M852="""",0,M852),
IF(O852="""",0,O852),
IF(Q852="""",0,Q852)
})"),"")</f>
        <v/>
      </c>
      <c r="V852" s="8" t="e">
        <f t="array" aca="1" ref="V852" ca="1">IF($C$4="Giao",_xludf.Xlookup(C852,#REF!,#REF!,),_xludf.Xlookup(C852,#REF!,#REF!,))</f>
        <v>#NAME?</v>
      </c>
      <c r="W852" s="8">
        <f t="array" ref="W852">IF($C$4="Giao", _xludf.Xlookup(C852,#REF!,#REF!,),)</f>
        <v>0</v>
      </c>
      <c r="X852" s="9">
        <f t="shared" si="10"/>
        <v>0</v>
      </c>
      <c r="Y852" s="7"/>
      <c r="Z852" s="7"/>
    </row>
    <row r="853" spans="1:26" ht="13" x14ac:dyDescent="0.6">
      <c r="A853" s="28" t="str">
        <f t="shared" si="9"/>
        <v/>
      </c>
      <c r="B853" s="7"/>
      <c r="C853" s="7"/>
      <c r="D853" s="9"/>
      <c r="E853" s="9"/>
      <c r="F853" s="9"/>
      <c r="G853" s="9"/>
      <c r="H853" s="9"/>
      <c r="I853" s="9"/>
      <c r="J853" s="9"/>
      <c r="K853" s="9"/>
      <c r="L853" s="9"/>
      <c r="M853" s="9"/>
      <c r="N853" s="9"/>
      <c r="O853" s="9"/>
      <c r="P853" s="29"/>
      <c r="Q853" s="29"/>
      <c r="R853" s="7"/>
      <c r="S853" s="7"/>
      <c r="T853" s="7" t="str">
        <f ca="1">IFERROR(__xludf.DUMMYFUNCTION("SPARKLINE({
IF(D853="""",0,D853),
IF(F853="""",0,F853),
IF(H853="""",0,H853),
IF(J853="""",0,J853),
IF(L853="""",0,L853),
IF(N853="""",0,N853),
IF(P853="""",0,P853)
})"),"")</f>
        <v/>
      </c>
      <c r="U853" s="7" t="str">
        <f ca="1">IFERROR(__xludf.DUMMYFUNCTION("SPARKLINE({
IF(E853="""",0,E853),
IF(G853="""",0,G853),
IF(I853="""",0,I853),
IF(K853="""",0,K853),
IF(M853="""",0,M853),
IF(O853="""",0,O853),
IF(Q853="""",0,Q853)
})"),"")</f>
        <v/>
      </c>
      <c r="V853" s="8" t="e">
        <f t="array" aca="1" ref="V853" ca="1">IF($C$4="Giao",_xludf.Xlookup(C853,#REF!,#REF!,),_xludf.Xlookup(C853,#REF!,#REF!,))</f>
        <v>#NAME?</v>
      </c>
      <c r="W853" s="8">
        <f t="array" ref="W853">IF($C$4="Giao", _xludf.Xlookup(C853,#REF!,#REF!,),)</f>
        <v>0</v>
      </c>
      <c r="X853" s="9">
        <f t="shared" si="10"/>
        <v>0</v>
      </c>
      <c r="Y853" s="7"/>
      <c r="Z853" s="7"/>
    </row>
    <row r="854" spans="1:26" ht="13" x14ac:dyDescent="0.6">
      <c r="A854" s="28" t="str">
        <f t="shared" si="9"/>
        <v/>
      </c>
      <c r="B854" s="7"/>
      <c r="C854" s="7"/>
      <c r="D854" s="9"/>
      <c r="E854" s="9"/>
      <c r="F854" s="9"/>
      <c r="G854" s="9"/>
      <c r="H854" s="9"/>
      <c r="I854" s="9"/>
      <c r="J854" s="9"/>
      <c r="K854" s="9"/>
      <c r="L854" s="9"/>
      <c r="M854" s="9"/>
      <c r="N854" s="9"/>
      <c r="O854" s="9"/>
      <c r="P854" s="29"/>
      <c r="Q854" s="29"/>
      <c r="R854" s="7"/>
      <c r="S854" s="7"/>
      <c r="T854" s="7" t="str">
        <f ca="1">IFERROR(__xludf.DUMMYFUNCTION("SPARKLINE({
IF(D854="""",0,D854),
IF(F854="""",0,F854),
IF(H854="""",0,H854),
IF(J854="""",0,J854),
IF(L854="""",0,L854),
IF(N854="""",0,N854),
IF(P854="""",0,P854)
})"),"")</f>
        <v/>
      </c>
      <c r="U854" s="7" t="str">
        <f ca="1">IFERROR(__xludf.DUMMYFUNCTION("SPARKLINE({
IF(E854="""",0,E854),
IF(G854="""",0,G854),
IF(I854="""",0,I854),
IF(K854="""",0,K854),
IF(M854="""",0,M854),
IF(O854="""",0,O854),
IF(Q854="""",0,Q854)
})"),"")</f>
        <v/>
      </c>
      <c r="V854" s="8" t="e">
        <f t="array" aca="1" ref="V854" ca="1">IF($C$4="Giao",_xludf.Xlookup(C854,#REF!,#REF!,),_xludf.Xlookup(C854,#REF!,#REF!,))</f>
        <v>#NAME?</v>
      </c>
      <c r="W854" s="8">
        <f t="array" ref="W854">IF($C$4="Giao", _xludf.Xlookup(C854,#REF!,#REF!,),)</f>
        <v>0</v>
      </c>
      <c r="X854" s="9">
        <f t="shared" si="10"/>
        <v>0</v>
      </c>
      <c r="Y854" s="7"/>
      <c r="Z854" s="7"/>
    </row>
    <row r="855" spans="1:26" ht="13" x14ac:dyDescent="0.6">
      <c r="A855" s="28" t="str">
        <f t="shared" si="9"/>
        <v/>
      </c>
      <c r="B855" s="7"/>
      <c r="C855" s="7"/>
      <c r="D855" s="9"/>
      <c r="E855" s="9"/>
      <c r="F855" s="9"/>
      <c r="G855" s="9"/>
      <c r="H855" s="9"/>
      <c r="I855" s="9"/>
      <c r="J855" s="9"/>
      <c r="K855" s="9"/>
      <c r="L855" s="9"/>
      <c r="M855" s="9"/>
      <c r="N855" s="9"/>
      <c r="O855" s="9"/>
      <c r="P855" s="29"/>
      <c r="Q855" s="29"/>
      <c r="R855" s="7"/>
      <c r="S855" s="7"/>
      <c r="T855" s="7" t="str">
        <f ca="1">IFERROR(__xludf.DUMMYFUNCTION("SPARKLINE({
IF(D855="""",0,D855),
IF(F855="""",0,F855),
IF(H855="""",0,H855),
IF(J855="""",0,J855),
IF(L855="""",0,L855),
IF(N855="""",0,N855),
IF(P855="""",0,P855)
})"),"")</f>
        <v/>
      </c>
      <c r="U855" s="7" t="str">
        <f ca="1">IFERROR(__xludf.DUMMYFUNCTION("SPARKLINE({
IF(E855="""",0,E855),
IF(G855="""",0,G855),
IF(I855="""",0,I855),
IF(K855="""",0,K855),
IF(M855="""",0,M855),
IF(O855="""",0,O855),
IF(Q855="""",0,Q855)
})"),"")</f>
        <v/>
      </c>
      <c r="V855" s="8" t="e">
        <f t="array" aca="1" ref="V855" ca="1">IF($C$4="Giao",_xludf.Xlookup(C855,#REF!,#REF!,),_xludf.Xlookup(C855,#REF!,#REF!,))</f>
        <v>#NAME?</v>
      </c>
      <c r="W855" s="8">
        <f t="array" ref="W855">IF($C$4="Giao", _xludf.Xlookup(C855,#REF!,#REF!,),)</f>
        <v>0</v>
      </c>
      <c r="X855" s="9">
        <f t="shared" si="10"/>
        <v>0</v>
      </c>
      <c r="Y855" s="7"/>
      <c r="Z855" s="7"/>
    </row>
    <row r="856" spans="1:26" ht="13" x14ac:dyDescent="0.6">
      <c r="A856" s="28" t="str">
        <f t="shared" si="9"/>
        <v/>
      </c>
      <c r="B856" s="7"/>
      <c r="C856" s="7"/>
      <c r="D856" s="9"/>
      <c r="E856" s="9"/>
      <c r="F856" s="9"/>
      <c r="G856" s="9"/>
      <c r="H856" s="9"/>
      <c r="I856" s="9"/>
      <c r="J856" s="9"/>
      <c r="K856" s="9"/>
      <c r="L856" s="9"/>
      <c r="M856" s="9"/>
      <c r="N856" s="9"/>
      <c r="O856" s="9"/>
      <c r="P856" s="29"/>
      <c r="Q856" s="29"/>
      <c r="R856" s="7"/>
      <c r="S856" s="7"/>
      <c r="T856" s="7" t="str">
        <f ca="1">IFERROR(__xludf.DUMMYFUNCTION("SPARKLINE({
IF(D856="""",0,D856),
IF(F856="""",0,F856),
IF(H856="""",0,H856),
IF(J856="""",0,J856),
IF(L856="""",0,L856),
IF(N856="""",0,N856),
IF(P856="""",0,P856)
})"),"")</f>
        <v/>
      </c>
      <c r="U856" s="7" t="str">
        <f ca="1">IFERROR(__xludf.DUMMYFUNCTION("SPARKLINE({
IF(E856="""",0,E856),
IF(G856="""",0,G856),
IF(I856="""",0,I856),
IF(K856="""",0,K856),
IF(M856="""",0,M856),
IF(O856="""",0,O856),
IF(Q856="""",0,Q856)
})"),"")</f>
        <v/>
      </c>
      <c r="V856" s="8" t="e">
        <f t="array" aca="1" ref="V856" ca="1">IF($C$4="Giao",_xludf.Xlookup(C856,#REF!,#REF!,),_xludf.Xlookup(C856,#REF!,#REF!,))</f>
        <v>#NAME?</v>
      </c>
      <c r="W856" s="8">
        <f t="array" ref="W856">IF($C$4="Giao", _xludf.Xlookup(C856,#REF!,#REF!,),)</f>
        <v>0</v>
      </c>
      <c r="X856" s="9">
        <f t="shared" si="10"/>
        <v>0</v>
      </c>
      <c r="Y856" s="7"/>
      <c r="Z856" s="7"/>
    </row>
    <row r="857" spans="1:26" ht="13" x14ac:dyDescent="0.6">
      <c r="A857" s="28" t="str">
        <f t="shared" si="9"/>
        <v/>
      </c>
      <c r="B857" s="7"/>
      <c r="C857" s="7"/>
      <c r="D857" s="9"/>
      <c r="E857" s="9"/>
      <c r="F857" s="9"/>
      <c r="G857" s="9"/>
      <c r="H857" s="9"/>
      <c r="I857" s="9"/>
      <c r="J857" s="9"/>
      <c r="K857" s="9"/>
      <c r="L857" s="9"/>
      <c r="M857" s="9"/>
      <c r="N857" s="9"/>
      <c r="O857" s="9"/>
      <c r="P857" s="29"/>
      <c r="Q857" s="29"/>
      <c r="R857" s="7"/>
      <c r="S857" s="7"/>
      <c r="T857" s="7" t="str">
        <f ca="1">IFERROR(__xludf.DUMMYFUNCTION("SPARKLINE({
IF(D857="""",0,D857),
IF(F857="""",0,F857),
IF(H857="""",0,H857),
IF(J857="""",0,J857),
IF(L857="""",0,L857),
IF(N857="""",0,N857),
IF(P857="""",0,P857)
})"),"")</f>
        <v/>
      </c>
      <c r="U857" s="7" t="str">
        <f ca="1">IFERROR(__xludf.DUMMYFUNCTION("SPARKLINE({
IF(E857="""",0,E857),
IF(G857="""",0,G857),
IF(I857="""",0,I857),
IF(K857="""",0,K857),
IF(M857="""",0,M857),
IF(O857="""",0,O857),
IF(Q857="""",0,Q857)
})"),"")</f>
        <v/>
      </c>
      <c r="V857" s="8" t="e">
        <f t="array" aca="1" ref="V857" ca="1">IF($C$4="Giao",_xludf.Xlookup(C857,#REF!,#REF!,),_xludf.Xlookup(C857,#REF!,#REF!,))</f>
        <v>#NAME?</v>
      </c>
      <c r="W857" s="8">
        <f t="array" ref="W857">IF($C$4="Giao", _xludf.Xlookup(C857,#REF!,#REF!,),)</f>
        <v>0</v>
      </c>
      <c r="X857" s="9">
        <f t="shared" si="10"/>
        <v>0</v>
      </c>
      <c r="Y857" s="7"/>
      <c r="Z857" s="7"/>
    </row>
    <row r="858" spans="1:26" ht="13" x14ac:dyDescent="0.6">
      <c r="A858" s="28" t="str">
        <f t="shared" si="9"/>
        <v/>
      </c>
      <c r="B858" s="7"/>
      <c r="C858" s="7"/>
      <c r="D858" s="9"/>
      <c r="E858" s="9"/>
      <c r="F858" s="9"/>
      <c r="G858" s="9"/>
      <c r="H858" s="9"/>
      <c r="I858" s="9"/>
      <c r="J858" s="9"/>
      <c r="K858" s="9"/>
      <c r="L858" s="9"/>
      <c r="M858" s="9"/>
      <c r="N858" s="9"/>
      <c r="O858" s="9"/>
      <c r="P858" s="29"/>
      <c r="Q858" s="29"/>
      <c r="R858" s="7"/>
      <c r="S858" s="7"/>
      <c r="T858" s="7" t="str">
        <f ca="1">IFERROR(__xludf.DUMMYFUNCTION("SPARKLINE({
IF(D858="""",0,D858),
IF(F858="""",0,F858),
IF(H858="""",0,H858),
IF(J858="""",0,J858),
IF(L858="""",0,L858),
IF(N858="""",0,N858),
IF(P858="""",0,P858)
})"),"")</f>
        <v/>
      </c>
      <c r="U858" s="7" t="str">
        <f ca="1">IFERROR(__xludf.DUMMYFUNCTION("SPARKLINE({
IF(E858="""",0,E858),
IF(G858="""",0,G858),
IF(I858="""",0,I858),
IF(K858="""",0,K858),
IF(M858="""",0,M858),
IF(O858="""",0,O858),
IF(Q858="""",0,Q858)
})"),"")</f>
        <v/>
      </c>
      <c r="V858" s="8" t="e">
        <f t="array" aca="1" ref="V858" ca="1">IF($C$4="Giao",_xludf.Xlookup(C858,#REF!,#REF!,),_xludf.Xlookup(C858,#REF!,#REF!,))</f>
        <v>#NAME?</v>
      </c>
      <c r="W858" s="8">
        <f t="array" ref="W858">IF($C$4="Giao", _xludf.Xlookup(C858,#REF!,#REF!,),)</f>
        <v>0</v>
      </c>
      <c r="X858" s="9">
        <f t="shared" si="10"/>
        <v>0</v>
      </c>
      <c r="Y858" s="7"/>
      <c r="Z858" s="7"/>
    </row>
    <row r="859" spans="1:26" ht="13" x14ac:dyDescent="0.6">
      <c r="A859" s="28" t="str">
        <f t="shared" si="9"/>
        <v/>
      </c>
      <c r="B859" s="7"/>
      <c r="C859" s="7"/>
      <c r="D859" s="9"/>
      <c r="E859" s="9"/>
      <c r="F859" s="9"/>
      <c r="G859" s="9"/>
      <c r="H859" s="9"/>
      <c r="I859" s="9"/>
      <c r="J859" s="9"/>
      <c r="K859" s="9"/>
      <c r="L859" s="9"/>
      <c r="M859" s="9"/>
      <c r="N859" s="9"/>
      <c r="O859" s="9"/>
      <c r="P859" s="29"/>
      <c r="Q859" s="29"/>
      <c r="R859" s="7"/>
      <c r="S859" s="7"/>
      <c r="T859" s="7" t="str">
        <f ca="1">IFERROR(__xludf.DUMMYFUNCTION("SPARKLINE({
IF(D859="""",0,D859),
IF(F859="""",0,F859),
IF(H859="""",0,H859),
IF(J859="""",0,J859),
IF(L859="""",0,L859),
IF(N859="""",0,N859),
IF(P859="""",0,P859)
})"),"")</f>
        <v/>
      </c>
      <c r="U859" s="7" t="str">
        <f ca="1">IFERROR(__xludf.DUMMYFUNCTION("SPARKLINE({
IF(E859="""",0,E859),
IF(G859="""",0,G859),
IF(I859="""",0,I859),
IF(K859="""",0,K859),
IF(M859="""",0,M859),
IF(O859="""",0,O859),
IF(Q859="""",0,Q859)
})"),"")</f>
        <v/>
      </c>
      <c r="V859" s="8" t="e">
        <f t="array" aca="1" ref="V859" ca="1">IF($C$4="Giao",_xludf.Xlookup(C859,#REF!,#REF!,),_xludf.Xlookup(C859,#REF!,#REF!,))</f>
        <v>#NAME?</v>
      </c>
      <c r="W859" s="8">
        <f t="array" ref="W859">IF($C$4="Giao", _xludf.Xlookup(C859,#REF!,#REF!,),)</f>
        <v>0</v>
      </c>
      <c r="X859" s="9">
        <f t="shared" si="10"/>
        <v>0</v>
      </c>
      <c r="Y859" s="7"/>
      <c r="Z859" s="7"/>
    </row>
    <row r="860" spans="1:26" ht="13" x14ac:dyDescent="0.6">
      <c r="A860" s="28" t="str">
        <f t="shared" si="9"/>
        <v/>
      </c>
      <c r="B860" s="7"/>
      <c r="C860" s="7"/>
      <c r="D860" s="9"/>
      <c r="E860" s="9"/>
      <c r="F860" s="9"/>
      <c r="G860" s="9"/>
      <c r="H860" s="9"/>
      <c r="I860" s="9"/>
      <c r="J860" s="9"/>
      <c r="K860" s="9"/>
      <c r="L860" s="9"/>
      <c r="M860" s="9"/>
      <c r="N860" s="9"/>
      <c r="O860" s="9"/>
      <c r="P860" s="29"/>
      <c r="Q860" s="29"/>
      <c r="R860" s="7"/>
      <c r="S860" s="7"/>
      <c r="T860" s="7" t="str">
        <f ca="1">IFERROR(__xludf.DUMMYFUNCTION("SPARKLINE({
IF(D860="""",0,D860),
IF(F860="""",0,F860),
IF(H860="""",0,H860),
IF(J860="""",0,J860),
IF(L860="""",0,L860),
IF(N860="""",0,N860),
IF(P860="""",0,P860)
})"),"")</f>
        <v/>
      </c>
      <c r="U860" s="7" t="str">
        <f ca="1">IFERROR(__xludf.DUMMYFUNCTION("SPARKLINE({
IF(E860="""",0,E860),
IF(G860="""",0,G860),
IF(I860="""",0,I860),
IF(K860="""",0,K860),
IF(M860="""",0,M860),
IF(O860="""",0,O860),
IF(Q860="""",0,Q860)
})"),"")</f>
        <v/>
      </c>
      <c r="V860" s="8" t="e">
        <f t="array" aca="1" ref="V860" ca="1">IF($C$4="Giao",_xludf.Xlookup(C860,#REF!,#REF!,),_xludf.Xlookup(C860,#REF!,#REF!,))</f>
        <v>#NAME?</v>
      </c>
      <c r="W860" s="8">
        <f t="array" ref="W860">IF($C$4="Giao", _xludf.Xlookup(C860,#REF!,#REF!,),)</f>
        <v>0</v>
      </c>
      <c r="X860" s="9">
        <f t="shared" si="10"/>
        <v>0</v>
      </c>
      <c r="Y860" s="7"/>
      <c r="Z860" s="7"/>
    </row>
    <row r="861" spans="1:26" ht="13" x14ac:dyDescent="0.6">
      <c r="A861" s="28" t="str">
        <f t="shared" si="9"/>
        <v/>
      </c>
      <c r="B861" s="7"/>
      <c r="C861" s="7"/>
      <c r="D861" s="9"/>
      <c r="E861" s="9"/>
      <c r="F861" s="9"/>
      <c r="G861" s="9"/>
      <c r="H861" s="9"/>
      <c r="I861" s="9"/>
      <c r="J861" s="9"/>
      <c r="K861" s="9"/>
      <c r="L861" s="9"/>
      <c r="M861" s="9"/>
      <c r="N861" s="9"/>
      <c r="O861" s="9"/>
      <c r="P861" s="29"/>
      <c r="Q861" s="29"/>
      <c r="R861" s="7"/>
      <c r="S861" s="7"/>
      <c r="T861" s="7" t="str">
        <f ca="1">IFERROR(__xludf.DUMMYFUNCTION("SPARKLINE({
IF(D861="""",0,D861),
IF(F861="""",0,F861),
IF(H861="""",0,H861),
IF(J861="""",0,J861),
IF(L861="""",0,L861),
IF(N861="""",0,N861),
IF(P861="""",0,P861)
})"),"")</f>
        <v/>
      </c>
      <c r="U861" s="7" t="str">
        <f ca="1">IFERROR(__xludf.DUMMYFUNCTION("SPARKLINE({
IF(E861="""",0,E861),
IF(G861="""",0,G861),
IF(I861="""",0,I861),
IF(K861="""",0,K861),
IF(M861="""",0,M861),
IF(O861="""",0,O861),
IF(Q861="""",0,Q861)
})"),"")</f>
        <v/>
      </c>
      <c r="V861" s="8" t="e">
        <f t="array" aca="1" ref="V861" ca="1">IF($C$4="Giao",_xludf.Xlookup(C861,#REF!,#REF!,),_xludf.Xlookup(C861,#REF!,#REF!,))</f>
        <v>#NAME?</v>
      </c>
      <c r="W861" s="8">
        <f t="array" ref="W861">IF($C$4="Giao", _xludf.Xlookup(C861,#REF!,#REF!,),)</f>
        <v>0</v>
      </c>
      <c r="X861" s="9">
        <f t="shared" si="10"/>
        <v>0</v>
      </c>
      <c r="Y861" s="7"/>
      <c r="Z861" s="7"/>
    </row>
    <row r="862" spans="1:26" ht="13" x14ac:dyDescent="0.6">
      <c r="A862" s="28" t="str">
        <f t="shared" si="9"/>
        <v/>
      </c>
      <c r="B862" s="7"/>
      <c r="C862" s="7"/>
      <c r="D862" s="9"/>
      <c r="E862" s="9"/>
      <c r="F862" s="9"/>
      <c r="G862" s="9"/>
      <c r="H862" s="9"/>
      <c r="I862" s="9"/>
      <c r="J862" s="9"/>
      <c r="K862" s="9"/>
      <c r="L862" s="9"/>
      <c r="M862" s="9"/>
      <c r="N862" s="9"/>
      <c r="O862" s="9"/>
      <c r="P862" s="29"/>
      <c r="Q862" s="29"/>
      <c r="R862" s="7"/>
      <c r="S862" s="7"/>
      <c r="T862" s="7" t="str">
        <f ca="1">IFERROR(__xludf.DUMMYFUNCTION("SPARKLINE({
IF(D862="""",0,D862),
IF(F862="""",0,F862),
IF(H862="""",0,H862),
IF(J862="""",0,J862),
IF(L862="""",0,L862),
IF(N862="""",0,N862),
IF(P862="""",0,P862)
})"),"")</f>
        <v/>
      </c>
      <c r="U862" s="7" t="str">
        <f ca="1">IFERROR(__xludf.DUMMYFUNCTION("SPARKLINE({
IF(E862="""",0,E862),
IF(G862="""",0,G862),
IF(I862="""",0,I862),
IF(K862="""",0,K862),
IF(M862="""",0,M862),
IF(O862="""",0,O862),
IF(Q862="""",0,Q862)
})"),"")</f>
        <v/>
      </c>
      <c r="V862" s="8" t="e">
        <f t="array" aca="1" ref="V862" ca="1">IF($C$4="Giao",_xludf.Xlookup(C862,#REF!,#REF!,),_xludf.Xlookup(C862,#REF!,#REF!,))</f>
        <v>#NAME?</v>
      </c>
      <c r="W862" s="8">
        <f t="array" ref="W862">IF($C$4="Giao", _xludf.Xlookup(C862,#REF!,#REF!,),)</f>
        <v>0</v>
      </c>
      <c r="X862" s="9">
        <f t="shared" si="10"/>
        <v>0</v>
      </c>
      <c r="Y862" s="7"/>
      <c r="Z862" s="7"/>
    </row>
    <row r="863" spans="1:26" ht="13" x14ac:dyDescent="0.6">
      <c r="A863" s="28" t="str">
        <f t="shared" si="9"/>
        <v/>
      </c>
      <c r="B863" s="7"/>
      <c r="C863" s="7"/>
      <c r="D863" s="9"/>
      <c r="E863" s="9"/>
      <c r="F863" s="9"/>
      <c r="G863" s="9"/>
      <c r="H863" s="9"/>
      <c r="I863" s="9"/>
      <c r="J863" s="9"/>
      <c r="K863" s="9"/>
      <c r="L863" s="9"/>
      <c r="M863" s="9"/>
      <c r="N863" s="9"/>
      <c r="O863" s="9"/>
      <c r="P863" s="29"/>
      <c r="Q863" s="29"/>
      <c r="R863" s="7"/>
      <c r="S863" s="7"/>
      <c r="T863" s="7" t="str">
        <f ca="1">IFERROR(__xludf.DUMMYFUNCTION("SPARKLINE({
IF(D863="""",0,D863),
IF(F863="""",0,F863),
IF(H863="""",0,H863),
IF(J863="""",0,J863),
IF(L863="""",0,L863),
IF(N863="""",0,N863),
IF(P863="""",0,P863)
})"),"")</f>
        <v/>
      </c>
      <c r="U863" s="7" t="str">
        <f ca="1">IFERROR(__xludf.DUMMYFUNCTION("SPARKLINE({
IF(E863="""",0,E863),
IF(G863="""",0,G863),
IF(I863="""",0,I863),
IF(K863="""",0,K863),
IF(M863="""",0,M863),
IF(O863="""",0,O863),
IF(Q863="""",0,Q863)
})"),"")</f>
        <v/>
      </c>
      <c r="V863" s="8" t="e">
        <f t="array" aca="1" ref="V863" ca="1">IF($C$4="Giao",_xludf.Xlookup(C863,#REF!,#REF!,),_xludf.Xlookup(C863,#REF!,#REF!,))</f>
        <v>#NAME?</v>
      </c>
      <c r="W863" s="8">
        <f t="array" ref="W863">IF($C$4="Giao", _xludf.Xlookup(C863,#REF!,#REF!,),)</f>
        <v>0</v>
      </c>
      <c r="X863" s="9">
        <f t="shared" si="10"/>
        <v>0</v>
      </c>
      <c r="Y863" s="7"/>
      <c r="Z863" s="7"/>
    </row>
    <row r="864" spans="1:26" ht="13" x14ac:dyDescent="0.6">
      <c r="A864" s="28" t="str">
        <f t="shared" si="9"/>
        <v/>
      </c>
      <c r="B864" s="7"/>
      <c r="C864" s="7"/>
      <c r="D864" s="9"/>
      <c r="E864" s="9"/>
      <c r="F864" s="9"/>
      <c r="G864" s="9"/>
      <c r="H864" s="9"/>
      <c r="I864" s="9"/>
      <c r="J864" s="9"/>
      <c r="K864" s="9"/>
      <c r="L864" s="9"/>
      <c r="M864" s="9"/>
      <c r="N864" s="9"/>
      <c r="O864" s="9"/>
      <c r="P864" s="29"/>
      <c r="Q864" s="29"/>
      <c r="R864" s="7"/>
      <c r="S864" s="7"/>
      <c r="T864" s="7" t="str">
        <f ca="1">IFERROR(__xludf.DUMMYFUNCTION("SPARKLINE({
IF(D864="""",0,D864),
IF(F864="""",0,F864),
IF(H864="""",0,H864),
IF(J864="""",0,J864),
IF(L864="""",0,L864),
IF(N864="""",0,N864),
IF(P864="""",0,P864)
})"),"")</f>
        <v/>
      </c>
      <c r="U864" s="7" t="str">
        <f ca="1">IFERROR(__xludf.DUMMYFUNCTION("SPARKLINE({
IF(E864="""",0,E864),
IF(G864="""",0,G864),
IF(I864="""",0,I864),
IF(K864="""",0,K864),
IF(M864="""",0,M864),
IF(O864="""",0,O864),
IF(Q864="""",0,Q864)
})"),"")</f>
        <v/>
      </c>
      <c r="V864" s="8" t="e">
        <f t="array" aca="1" ref="V864" ca="1">IF($C$4="Giao",_xludf.Xlookup(C864,#REF!,#REF!,),_xludf.Xlookup(C864,#REF!,#REF!,))</f>
        <v>#NAME?</v>
      </c>
      <c r="W864" s="8">
        <f t="array" ref="W864">IF($C$4="Giao", _xludf.Xlookup(C864,#REF!,#REF!,),)</f>
        <v>0</v>
      </c>
      <c r="X864" s="9">
        <f t="shared" si="10"/>
        <v>0</v>
      </c>
      <c r="Y864" s="7"/>
      <c r="Z864" s="7"/>
    </row>
    <row r="865" spans="1:26" ht="13" x14ac:dyDescent="0.6">
      <c r="A865" s="28" t="str">
        <f t="shared" si="9"/>
        <v/>
      </c>
      <c r="B865" s="7"/>
      <c r="C865" s="7"/>
      <c r="D865" s="9"/>
      <c r="E865" s="9"/>
      <c r="F865" s="9"/>
      <c r="G865" s="9"/>
      <c r="H865" s="9"/>
      <c r="I865" s="9"/>
      <c r="J865" s="9"/>
      <c r="K865" s="9"/>
      <c r="L865" s="9"/>
      <c r="M865" s="9"/>
      <c r="N865" s="9"/>
      <c r="O865" s="9"/>
      <c r="P865" s="29"/>
      <c r="Q865" s="29"/>
      <c r="R865" s="7"/>
      <c r="S865" s="7"/>
      <c r="T865" s="7" t="str">
        <f ca="1">IFERROR(__xludf.DUMMYFUNCTION("SPARKLINE({
IF(D865="""",0,D865),
IF(F865="""",0,F865),
IF(H865="""",0,H865),
IF(J865="""",0,J865),
IF(L865="""",0,L865),
IF(N865="""",0,N865),
IF(P865="""",0,P865)
})"),"")</f>
        <v/>
      </c>
      <c r="U865" s="7" t="str">
        <f ca="1">IFERROR(__xludf.DUMMYFUNCTION("SPARKLINE({
IF(E865="""",0,E865),
IF(G865="""",0,G865),
IF(I865="""",0,I865),
IF(K865="""",0,K865),
IF(M865="""",0,M865),
IF(O865="""",0,O865),
IF(Q865="""",0,Q865)
})"),"")</f>
        <v/>
      </c>
      <c r="V865" s="8" t="e">
        <f t="array" aca="1" ref="V865" ca="1">IF($C$4="Giao",_xludf.Xlookup(C865,#REF!,#REF!,),_xludf.Xlookup(C865,#REF!,#REF!,))</f>
        <v>#NAME?</v>
      </c>
      <c r="W865" s="8">
        <f t="array" ref="W865">IF($C$4="Giao", _xludf.Xlookup(C865,#REF!,#REF!,),)</f>
        <v>0</v>
      </c>
      <c r="X865" s="9">
        <f t="shared" si="10"/>
        <v>0</v>
      </c>
      <c r="Y865" s="7"/>
      <c r="Z865" s="7"/>
    </row>
    <row r="866" spans="1:26" ht="13" x14ac:dyDescent="0.6">
      <c r="A866" s="28" t="str">
        <f t="shared" si="9"/>
        <v/>
      </c>
      <c r="B866" s="7"/>
      <c r="C866" s="7"/>
      <c r="D866" s="9"/>
      <c r="E866" s="9"/>
      <c r="F866" s="9"/>
      <c r="G866" s="9"/>
      <c r="H866" s="9"/>
      <c r="I866" s="9"/>
      <c r="J866" s="9"/>
      <c r="K866" s="9"/>
      <c r="L866" s="9"/>
      <c r="M866" s="9"/>
      <c r="N866" s="9"/>
      <c r="O866" s="9"/>
      <c r="P866" s="29"/>
      <c r="Q866" s="29"/>
      <c r="R866" s="7"/>
      <c r="S866" s="7"/>
      <c r="T866" s="7" t="str">
        <f ca="1">IFERROR(__xludf.DUMMYFUNCTION("SPARKLINE({
IF(D866="""",0,D866),
IF(F866="""",0,F866),
IF(H866="""",0,H866),
IF(J866="""",0,J866),
IF(L866="""",0,L866),
IF(N866="""",0,N866),
IF(P866="""",0,P866)
})"),"")</f>
        <v/>
      </c>
      <c r="U866" s="7" t="str">
        <f ca="1">IFERROR(__xludf.DUMMYFUNCTION("SPARKLINE({
IF(E866="""",0,E866),
IF(G866="""",0,G866),
IF(I866="""",0,I866),
IF(K866="""",0,K866),
IF(M866="""",0,M866),
IF(O866="""",0,O866),
IF(Q866="""",0,Q866)
})"),"")</f>
        <v/>
      </c>
      <c r="V866" s="8" t="e">
        <f t="array" aca="1" ref="V866" ca="1">IF($C$4="Giao",_xludf.Xlookup(C866,#REF!,#REF!,),_xludf.Xlookup(C866,#REF!,#REF!,))</f>
        <v>#NAME?</v>
      </c>
      <c r="W866" s="8">
        <f t="array" ref="W866">IF($C$4="Giao", _xludf.Xlookup(C866,#REF!,#REF!,),)</f>
        <v>0</v>
      </c>
      <c r="X866" s="9">
        <f t="shared" si="10"/>
        <v>0</v>
      </c>
      <c r="Y866" s="7"/>
      <c r="Z866" s="7"/>
    </row>
    <row r="867" spans="1:26" ht="13" x14ac:dyDescent="0.6">
      <c r="A867" s="28" t="str">
        <f t="shared" si="9"/>
        <v/>
      </c>
      <c r="B867" s="7"/>
      <c r="C867" s="7"/>
      <c r="D867" s="9"/>
      <c r="E867" s="9"/>
      <c r="F867" s="9"/>
      <c r="G867" s="9"/>
      <c r="H867" s="9"/>
      <c r="I867" s="9"/>
      <c r="J867" s="9"/>
      <c r="K867" s="9"/>
      <c r="L867" s="9"/>
      <c r="M867" s="9"/>
      <c r="N867" s="9"/>
      <c r="O867" s="9"/>
      <c r="P867" s="29"/>
      <c r="Q867" s="29"/>
      <c r="R867" s="7"/>
      <c r="S867" s="7"/>
      <c r="T867" s="7" t="str">
        <f ca="1">IFERROR(__xludf.DUMMYFUNCTION("SPARKLINE({
IF(D867="""",0,D867),
IF(F867="""",0,F867),
IF(H867="""",0,H867),
IF(J867="""",0,J867),
IF(L867="""",0,L867),
IF(N867="""",0,N867),
IF(P867="""",0,P867)
})"),"")</f>
        <v/>
      </c>
      <c r="U867" s="7" t="str">
        <f ca="1">IFERROR(__xludf.DUMMYFUNCTION("SPARKLINE({
IF(E867="""",0,E867),
IF(G867="""",0,G867),
IF(I867="""",0,I867),
IF(K867="""",0,K867),
IF(M867="""",0,M867),
IF(O867="""",0,O867),
IF(Q867="""",0,Q867)
})"),"")</f>
        <v/>
      </c>
      <c r="V867" s="8" t="e">
        <f t="array" aca="1" ref="V867" ca="1">IF($C$4="Giao",_xludf.Xlookup(C867,#REF!,#REF!,),_xludf.Xlookup(C867,#REF!,#REF!,))</f>
        <v>#NAME?</v>
      </c>
      <c r="W867" s="8">
        <f t="array" ref="W867">IF($C$4="Giao", _xludf.Xlookup(C867,#REF!,#REF!,),)</f>
        <v>0</v>
      </c>
      <c r="X867" s="9">
        <f t="shared" si="10"/>
        <v>0</v>
      </c>
      <c r="Y867" s="7"/>
      <c r="Z867" s="7"/>
    </row>
    <row r="868" spans="1:26" ht="13" x14ac:dyDescent="0.6">
      <c r="A868" s="28" t="str">
        <f t="shared" si="9"/>
        <v/>
      </c>
      <c r="B868" s="7"/>
      <c r="C868" s="7"/>
      <c r="D868" s="9"/>
      <c r="E868" s="9"/>
      <c r="F868" s="9"/>
      <c r="G868" s="9"/>
      <c r="H868" s="9"/>
      <c r="I868" s="9"/>
      <c r="J868" s="9"/>
      <c r="K868" s="9"/>
      <c r="L868" s="9"/>
      <c r="M868" s="9"/>
      <c r="N868" s="9"/>
      <c r="O868" s="9"/>
      <c r="P868" s="29"/>
      <c r="Q868" s="29"/>
      <c r="R868" s="7"/>
      <c r="S868" s="7"/>
      <c r="T868" s="7" t="str">
        <f ca="1">IFERROR(__xludf.DUMMYFUNCTION("SPARKLINE({
IF(D868="""",0,D868),
IF(F868="""",0,F868),
IF(H868="""",0,H868),
IF(J868="""",0,J868),
IF(L868="""",0,L868),
IF(N868="""",0,N868),
IF(P868="""",0,P868)
})"),"")</f>
        <v/>
      </c>
      <c r="U868" s="7" t="str">
        <f ca="1">IFERROR(__xludf.DUMMYFUNCTION("SPARKLINE({
IF(E868="""",0,E868),
IF(G868="""",0,G868),
IF(I868="""",0,I868),
IF(K868="""",0,K868),
IF(M868="""",0,M868),
IF(O868="""",0,O868),
IF(Q868="""",0,Q868)
})"),"")</f>
        <v/>
      </c>
      <c r="V868" s="8" t="e">
        <f t="array" aca="1" ref="V868" ca="1">IF($C$4="Giao",_xludf.Xlookup(C868,#REF!,#REF!,),_xludf.Xlookup(C868,#REF!,#REF!,))</f>
        <v>#NAME?</v>
      </c>
      <c r="W868" s="8">
        <f t="array" ref="W868">IF($C$4="Giao", _xludf.Xlookup(C868,#REF!,#REF!,),)</f>
        <v>0</v>
      </c>
      <c r="X868" s="9">
        <f t="shared" si="10"/>
        <v>0</v>
      </c>
      <c r="Y868" s="7"/>
      <c r="Z868" s="7"/>
    </row>
    <row r="869" spans="1:26" ht="13" x14ac:dyDescent="0.6">
      <c r="A869" s="28" t="str">
        <f t="shared" si="9"/>
        <v/>
      </c>
      <c r="B869" s="7"/>
      <c r="C869" s="7"/>
      <c r="D869" s="9"/>
      <c r="E869" s="9"/>
      <c r="F869" s="9"/>
      <c r="G869" s="9"/>
      <c r="H869" s="9"/>
      <c r="I869" s="9"/>
      <c r="J869" s="9"/>
      <c r="K869" s="9"/>
      <c r="L869" s="9"/>
      <c r="M869" s="9"/>
      <c r="N869" s="9"/>
      <c r="O869" s="9"/>
      <c r="P869" s="29"/>
      <c r="Q869" s="29"/>
      <c r="R869" s="7"/>
      <c r="S869" s="7"/>
      <c r="T869" s="7" t="str">
        <f ca="1">IFERROR(__xludf.DUMMYFUNCTION("SPARKLINE({
IF(D869="""",0,D869),
IF(F869="""",0,F869),
IF(H869="""",0,H869),
IF(J869="""",0,J869),
IF(L869="""",0,L869),
IF(N869="""",0,N869),
IF(P869="""",0,P869)
})"),"")</f>
        <v/>
      </c>
      <c r="U869" s="7" t="str">
        <f ca="1">IFERROR(__xludf.DUMMYFUNCTION("SPARKLINE({
IF(E869="""",0,E869),
IF(G869="""",0,G869),
IF(I869="""",0,I869),
IF(K869="""",0,K869),
IF(M869="""",0,M869),
IF(O869="""",0,O869),
IF(Q869="""",0,Q869)
})"),"")</f>
        <v/>
      </c>
      <c r="V869" s="8" t="e">
        <f t="array" aca="1" ref="V869" ca="1">IF($C$4="Giao",_xludf.Xlookup(C869,#REF!,#REF!,),_xludf.Xlookup(C869,#REF!,#REF!,))</f>
        <v>#NAME?</v>
      </c>
      <c r="W869" s="8">
        <f t="array" ref="W869">IF($C$4="Giao", _xludf.Xlookup(C869,#REF!,#REF!,),)</f>
        <v>0</v>
      </c>
      <c r="X869" s="9">
        <f t="shared" si="10"/>
        <v>0</v>
      </c>
      <c r="Y869" s="7"/>
      <c r="Z869" s="7"/>
    </row>
    <row r="870" spans="1:26" ht="13" x14ac:dyDescent="0.6">
      <c r="A870" s="28" t="str">
        <f t="shared" si="9"/>
        <v/>
      </c>
      <c r="B870" s="7"/>
      <c r="C870" s="7"/>
      <c r="D870" s="9"/>
      <c r="E870" s="9"/>
      <c r="F870" s="9"/>
      <c r="G870" s="9"/>
      <c r="H870" s="9"/>
      <c r="I870" s="9"/>
      <c r="J870" s="9"/>
      <c r="K870" s="9"/>
      <c r="L870" s="9"/>
      <c r="M870" s="9"/>
      <c r="N870" s="9"/>
      <c r="O870" s="9"/>
      <c r="P870" s="29"/>
      <c r="Q870" s="29"/>
      <c r="R870" s="7"/>
      <c r="S870" s="7"/>
      <c r="T870" s="7" t="str">
        <f ca="1">IFERROR(__xludf.DUMMYFUNCTION("SPARKLINE({
IF(D870="""",0,D870),
IF(F870="""",0,F870),
IF(H870="""",0,H870),
IF(J870="""",0,J870),
IF(L870="""",0,L870),
IF(N870="""",0,N870),
IF(P870="""",0,P870)
})"),"")</f>
        <v/>
      </c>
      <c r="U870" s="7" t="str">
        <f ca="1">IFERROR(__xludf.DUMMYFUNCTION("SPARKLINE({
IF(E870="""",0,E870),
IF(G870="""",0,G870),
IF(I870="""",0,I870),
IF(K870="""",0,K870),
IF(M870="""",0,M870),
IF(O870="""",0,O870),
IF(Q870="""",0,Q870)
})"),"")</f>
        <v/>
      </c>
      <c r="V870" s="8" t="e">
        <f t="array" aca="1" ref="V870" ca="1">IF($C$4="Giao",_xludf.Xlookup(C870,#REF!,#REF!,),_xludf.Xlookup(C870,#REF!,#REF!,))</f>
        <v>#NAME?</v>
      </c>
      <c r="W870" s="8">
        <f t="array" ref="W870">IF($C$4="Giao", _xludf.Xlookup(C870,#REF!,#REF!,),)</f>
        <v>0</v>
      </c>
      <c r="X870" s="9">
        <f t="shared" si="10"/>
        <v>0</v>
      </c>
      <c r="Y870" s="7"/>
      <c r="Z870" s="7"/>
    </row>
    <row r="871" spans="1:26" ht="13" x14ac:dyDescent="0.6">
      <c r="A871" s="28" t="str">
        <f t="shared" si="9"/>
        <v/>
      </c>
      <c r="B871" s="7"/>
      <c r="C871" s="7"/>
      <c r="D871" s="9"/>
      <c r="E871" s="9"/>
      <c r="F871" s="9"/>
      <c r="G871" s="9"/>
      <c r="H871" s="9"/>
      <c r="I871" s="9"/>
      <c r="J871" s="9"/>
      <c r="K871" s="9"/>
      <c r="L871" s="9"/>
      <c r="M871" s="9"/>
      <c r="N871" s="9"/>
      <c r="O871" s="9"/>
      <c r="P871" s="29"/>
      <c r="Q871" s="29"/>
      <c r="R871" s="7"/>
      <c r="S871" s="7"/>
      <c r="T871" s="7" t="str">
        <f ca="1">IFERROR(__xludf.DUMMYFUNCTION("SPARKLINE({
IF(D871="""",0,D871),
IF(F871="""",0,F871),
IF(H871="""",0,H871),
IF(J871="""",0,J871),
IF(L871="""",0,L871),
IF(N871="""",0,N871),
IF(P871="""",0,P871)
})"),"")</f>
        <v/>
      </c>
      <c r="U871" s="7" t="str">
        <f ca="1">IFERROR(__xludf.DUMMYFUNCTION("SPARKLINE({
IF(E871="""",0,E871),
IF(G871="""",0,G871),
IF(I871="""",0,I871),
IF(K871="""",0,K871),
IF(M871="""",0,M871),
IF(O871="""",0,O871),
IF(Q871="""",0,Q871)
})"),"")</f>
        <v/>
      </c>
      <c r="V871" s="8" t="e">
        <f t="array" aca="1" ref="V871" ca="1">IF($C$4="Giao",_xludf.Xlookup(C871,#REF!,#REF!,),_xludf.Xlookup(C871,#REF!,#REF!,))</f>
        <v>#NAME?</v>
      </c>
      <c r="W871" s="8">
        <f t="array" ref="W871">IF($C$4="Giao", _xludf.Xlookup(C871,#REF!,#REF!,),)</f>
        <v>0</v>
      </c>
      <c r="X871" s="9">
        <f t="shared" si="10"/>
        <v>0</v>
      </c>
      <c r="Y871" s="7"/>
      <c r="Z871" s="7"/>
    </row>
    <row r="872" spans="1:26" ht="13" x14ac:dyDescent="0.6">
      <c r="A872" s="28" t="str">
        <f t="shared" si="9"/>
        <v/>
      </c>
      <c r="B872" s="7"/>
      <c r="C872" s="7"/>
      <c r="D872" s="9"/>
      <c r="E872" s="9"/>
      <c r="F872" s="9"/>
      <c r="G872" s="9"/>
      <c r="H872" s="9"/>
      <c r="I872" s="9"/>
      <c r="J872" s="9"/>
      <c r="K872" s="9"/>
      <c r="L872" s="9"/>
      <c r="M872" s="9"/>
      <c r="N872" s="9"/>
      <c r="O872" s="9"/>
      <c r="P872" s="29"/>
      <c r="Q872" s="29"/>
      <c r="R872" s="7"/>
      <c r="S872" s="7"/>
      <c r="T872" s="7" t="str">
        <f ca="1">IFERROR(__xludf.DUMMYFUNCTION("SPARKLINE({
IF(D872="""",0,D872),
IF(F872="""",0,F872),
IF(H872="""",0,H872),
IF(J872="""",0,J872),
IF(L872="""",0,L872),
IF(N872="""",0,N872),
IF(P872="""",0,P872)
})"),"")</f>
        <v/>
      </c>
      <c r="U872" s="7" t="str">
        <f ca="1">IFERROR(__xludf.DUMMYFUNCTION("SPARKLINE({
IF(E872="""",0,E872),
IF(G872="""",0,G872),
IF(I872="""",0,I872),
IF(K872="""",0,K872),
IF(M872="""",0,M872),
IF(O872="""",0,O872),
IF(Q872="""",0,Q872)
})"),"")</f>
        <v/>
      </c>
      <c r="V872" s="8" t="e">
        <f t="array" aca="1" ref="V872" ca="1">IF($C$4="Giao",_xludf.Xlookup(C872,#REF!,#REF!,),_xludf.Xlookup(C872,#REF!,#REF!,))</f>
        <v>#NAME?</v>
      </c>
      <c r="W872" s="8">
        <f t="array" ref="W872">IF($C$4="Giao", _xludf.Xlookup(C872,#REF!,#REF!,),)</f>
        <v>0</v>
      </c>
      <c r="X872" s="9">
        <f t="shared" si="10"/>
        <v>0</v>
      </c>
      <c r="Y872" s="7"/>
      <c r="Z872" s="7"/>
    </row>
    <row r="873" spans="1:26" ht="13" x14ac:dyDescent="0.6">
      <c r="A873" s="28" t="str">
        <f t="shared" si="9"/>
        <v/>
      </c>
      <c r="B873" s="7"/>
      <c r="C873" s="7"/>
      <c r="D873" s="9"/>
      <c r="E873" s="9"/>
      <c r="F873" s="9"/>
      <c r="G873" s="9"/>
      <c r="H873" s="9"/>
      <c r="I873" s="9"/>
      <c r="J873" s="9"/>
      <c r="K873" s="9"/>
      <c r="L873" s="9"/>
      <c r="M873" s="9"/>
      <c r="N873" s="9"/>
      <c r="O873" s="9"/>
      <c r="P873" s="29"/>
      <c r="Q873" s="29"/>
      <c r="R873" s="7"/>
      <c r="S873" s="7"/>
      <c r="T873" s="7" t="str">
        <f ca="1">IFERROR(__xludf.DUMMYFUNCTION("SPARKLINE({
IF(D873="""",0,D873),
IF(F873="""",0,F873),
IF(H873="""",0,H873),
IF(J873="""",0,J873),
IF(L873="""",0,L873),
IF(N873="""",0,N873),
IF(P873="""",0,P873)
})"),"")</f>
        <v/>
      </c>
      <c r="U873" s="7" t="str">
        <f ca="1">IFERROR(__xludf.DUMMYFUNCTION("SPARKLINE({
IF(E873="""",0,E873),
IF(G873="""",0,G873),
IF(I873="""",0,I873),
IF(K873="""",0,K873),
IF(M873="""",0,M873),
IF(O873="""",0,O873),
IF(Q873="""",0,Q873)
})"),"")</f>
        <v/>
      </c>
      <c r="V873" s="8" t="e">
        <f t="array" aca="1" ref="V873" ca="1">IF($C$4="Giao",_xludf.Xlookup(C873,#REF!,#REF!,),_xludf.Xlookup(C873,#REF!,#REF!,))</f>
        <v>#NAME?</v>
      </c>
      <c r="W873" s="8">
        <f t="array" ref="W873">IF($C$4="Giao", _xludf.Xlookup(C873,#REF!,#REF!,),)</f>
        <v>0</v>
      </c>
      <c r="X873" s="9">
        <f t="shared" si="10"/>
        <v>0</v>
      </c>
      <c r="Y873" s="7"/>
      <c r="Z873" s="7"/>
    </row>
    <row r="874" spans="1:26" ht="13" x14ac:dyDescent="0.6">
      <c r="A874" s="28" t="str">
        <f t="shared" si="9"/>
        <v/>
      </c>
      <c r="B874" s="7"/>
      <c r="C874" s="7"/>
      <c r="D874" s="9"/>
      <c r="E874" s="9"/>
      <c r="F874" s="9"/>
      <c r="G874" s="9"/>
      <c r="H874" s="9"/>
      <c r="I874" s="9"/>
      <c r="J874" s="9"/>
      <c r="K874" s="9"/>
      <c r="L874" s="9"/>
      <c r="M874" s="9"/>
      <c r="N874" s="9"/>
      <c r="O874" s="9"/>
      <c r="P874" s="29"/>
      <c r="Q874" s="29"/>
      <c r="R874" s="7"/>
      <c r="S874" s="7"/>
      <c r="T874" s="7" t="str">
        <f ca="1">IFERROR(__xludf.DUMMYFUNCTION("SPARKLINE({
IF(D874="""",0,D874),
IF(F874="""",0,F874),
IF(H874="""",0,H874),
IF(J874="""",0,J874),
IF(L874="""",0,L874),
IF(N874="""",0,N874),
IF(P874="""",0,P874)
})"),"")</f>
        <v/>
      </c>
      <c r="U874" s="7" t="str">
        <f ca="1">IFERROR(__xludf.DUMMYFUNCTION("SPARKLINE({
IF(E874="""",0,E874),
IF(G874="""",0,G874),
IF(I874="""",0,I874),
IF(K874="""",0,K874),
IF(M874="""",0,M874),
IF(O874="""",0,O874),
IF(Q874="""",0,Q874)
})"),"")</f>
        <v/>
      </c>
      <c r="V874" s="8" t="e">
        <f t="array" aca="1" ref="V874" ca="1">IF($C$4="Giao",_xludf.Xlookup(C874,#REF!,#REF!,),_xludf.Xlookup(C874,#REF!,#REF!,))</f>
        <v>#NAME?</v>
      </c>
      <c r="W874" s="8">
        <f t="array" ref="W874">IF($C$4="Giao", _xludf.Xlookup(C874,#REF!,#REF!,),)</f>
        <v>0</v>
      </c>
      <c r="X874" s="9">
        <f t="shared" si="10"/>
        <v>0</v>
      </c>
      <c r="Y874" s="7"/>
      <c r="Z874" s="7"/>
    </row>
    <row r="875" spans="1:26" ht="13" x14ac:dyDescent="0.6">
      <c r="A875" s="28" t="str">
        <f t="shared" si="9"/>
        <v/>
      </c>
      <c r="B875" s="7"/>
      <c r="C875" s="7"/>
      <c r="D875" s="9"/>
      <c r="E875" s="9"/>
      <c r="F875" s="9"/>
      <c r="G875" s="9"/>
      <c r="H875" s="9"/>
      <c r="I875" s="9"/>
      <c r="J875" s="9"/>
      <c r="K875" s="9"/>
      <c r="L875" s="9"/>
      <c r="M875" s="9"/>
      <c r="N875" s="9"/>
      <c r="O875" s="9"/>
      <c r="P875" s="29"/>
      <c r="Q875" s="29"/>
      <c r="R875" s="7"/>
      <c r="S875" s="7"/>
      <c r="T875" s="7" t="str">
        <f ca="1">IFERROR(__xludf.DUMMYFUNCTION("SPARKLINE({
IF(D875="""",0,D875),
IF(F875="""",0,F875),
IF(H875="""",0,H875),
IF(J875="""",0,J875),
IF(L875="""",0,L875),
IF(N875="""",0,N875),
IF(P875="""",0,P875)
})"),"")</f>
        <v/>
      </c>
      <c r="U875" s="7" t="str">
        <f ca="1">IFERROR(__xludf.DUMMYFUNCTION("SPARKLINE({
IF(E875="""",0,E875),
IF(G875="""",0,G875),
IF(I875="""",0,I875),
IF(K875="""",0,K875),
IF(M875="""",0,M875),
IF(O875="""",0,O875),
IF(Q875="""",0,Q875)
})"),"")</f>
        <v/>
      </c>
      <c r="V875" s="8" t="e">
        <f t="array" aca="1" ref="V875" ca="1">IF($C$4="Giao",_xludf.Xlookup(C875,#REF!,#REF!,),_xludf.Xlookup(C875,#REF!,#REF!,))</f>
        <v>#NAME?</v>
      </c>
      <c r="W875" s="8">
        <f t="array" ref="W875">IF($C$4="Giao", _xludf.Xlookup(C875,#REF!,#REF!,),)</f>
        <v>0</v>
      </c>
      <c r="X875" s="9">
        <f t="shared" si="10"/>
        <v>0</v>
      </c>
      <c r="Y875" s="7"/>
      <c r="Z875" s="7"/>
    </row>
    <row r="876" spans="1:26" ht="13" x14ac:dyDescent="0.6">
      <c r="A876" s="28" t="str">
        <f t="shared" si="9"/>
        <v/>
      </c>
      <c r="B876" s="7"/>
      <c r="C876" s="7"/>
      <c r="D876" s="9"/>
      <c r="E876" s="9"/>
      <c r="F876" s="9"/>
      <c r="G876" s="9"/>
      <c r="H876" s="9"/>
      <c r="I876" s="9"/>
      <c r="J876" s="9"/>
      <c r="K876" s="9"/>
      <c r="L876" s="9"/>
      <c r="M876" s="9"/>
      <c r="N876" s="9"/>
      <c r="O876" s="9"/>
      <c r="P876" s="29"/>
      <c r="Q876" s="29"/>
      <c r="R876" s="7"/>
      <c r="S876" s="7"/>
      <c r="T876" s="7" t="str">
        <f ca="1">IFERROR(__xludf.DUMMYFUNCTION("SPARKLINE({
IF(D876="""",0,D876),
IF(F876="""",0,F876),
IF(H876="""",0,H876),
IF(J876="""",0,J876),
IF(L876="""",0,L876),
IF(N876="""",0,N876),
IF(P876="""",0,P876)
})"),"")</f>
        <v/>
      </c>
      <c r="U876" s="7" t="str">
        <f ca="1">IFERROR(__xludf.DUMMYFUNCTION("SPARKLINE({
IF(E876="""",0,E876),
IF(G876="""",0,G876),
IF(I876="""",0,I876),
IF(K876="""",0,K876),
IF(M876="""",0,M876),
IF(O876="""",0,O876),
IF(Q876="""",0,Q876)
})"),"")</f>
        <v/>
      </c>
      <c r="V876" s="8" t="e">
        <f t="array" aca="1" ref="V876" ca="1">IF($C$4="Giao",_xludf.Xlookup(C876,#REF!,#REF!,),_xludf.Xlookup(C876,#REF!,#REF!,))</f>
        <v>#NAME?</v>
      </c>
      <c r="W876" s="8">
        <f t="array" ref="W876">IF($C$4="Giao", _xludf.Xlookup(C876,#REF!,#REF!,),)</f>
        <v>0</v>
      </c>
      <c r="X876" s="9">
        <f t="shared" si="10"/>
        <v>0</v>
      </c>
      <c r="Y876" s="7"/>
      <c r="Z876" s="7"/>
    </row>
    <row r="877" spans="1:26" ht="13" x14ac:dyDescent="0.6">
      <c r="A877" s="28" t="str">
        <f t="shared" si="9"/>
        <v/>
      </c>
      <c r="B877" s="7"/>
      <c r="C877" s="7"/>
      <c r="D877" s="9"/>
      <c r="E877" s="9"/>
      <c r="F877" s="9"/>
      <c r="G877" s="9"/>
      <c r="H877" s="9"/>
      <c r="I877" s="9"/>
      <c r="J877" s="9"/>
      <c r="K877" s="9"/>
      <c r="L877" s="9"/>
      <c r="M877" s="9"/>
      <c r="N877" s="9"/>
      <c r="O877" s="9"/>
      <c r="P877" s="29"/>
      <c r="Q877" s="29"/>
      <c r="R877" s="7"/>
      <c r="S877" s="7"/>
      <c r="T877" s="7" t="str">
        <f ca="1">IFERROR(__xludf.DUMMYFUNCTION("SPARKLINE({
IF(D877="""",0,D877),
IF(F877="""",0,F877),
IF(H877="""",0,H877),
IF(J877="""",0,J877),
IF(L877="""",0,L877),
IF(N877="""",0,N877),
IF(P877="""",0,P877)
})"),"")</f>
        <v/>
      </c>
      <c r="U877" s="7" t="str">
        <f ca="1">IFERROR(__xludf.DUMMYFUNCTION("SPARKLINE({
IF(E877="""",0,E877),
IF(G877="""",0,G877),
IF(I877="""",0,I877),
IF(K877="""",0,K877),
IF(M877="""",0,M877),
IF(O877="""",0,O877),
IF(Q877="""",0,Q877)
})"),"")</f>
        <v/>
      </c>
      <c r="V877" s="8" t="e">
        <f t="array" aca="1" ref="V877" ca="1">IF($C$4="Giao",_xludf.Xlookup(C877,#REF!,#REF!,),_xludf.Xlookup(C877,#REF!,#REF!,))</f>
        <v>#NAME?</v>
      </c>
      <c r="W877" s="8">
        <f t="array" ref="W877">IF($C$4="Giao", _xludf.Xlookup(C877,#REF!,#REF!,),)</f>
        <v>0</v>
      </c>
      <c r="X877" s="9">
        <f t="shared" si="10"/>
        <v>0</v>
      </c>
      <c r="Y877" s="7"/>
      <c r="Z877" s="7"/>
    </row>
    <row r="878" spans="1:26" ht="13" x14ac:dyDescent="0.6">
      <c r="A878" s="28" t="str">
        <f t="shared" si="9"/>
        <v/>
      </c>
      <c r="B878" s="7"/>
      <c r="C878" s="7"/>
      <c r="D878" s="9"/>
      <c r="E878" s="9"/>
      <c r="F878" s="9"/>
      <c r="G878" s="9"/>
      <c r="H878" s="9"/>
      <c r="I878" s="9"/>
      <c r="J878" s="9"/>
      <c r="K878" s="9"/>
      <c r="L878" s="9"/>
      <c r="M878" s="9"/>
      <c r="N878" s="9"/>
      <c r="O878" s="9"/>
      <c r="P878" s="29"/>
      <c r="Q878" s="29"/>
      <c r="R878" s="7"/>
      <c r="S878" s="7"/>
      <c r="T878" s="7" t="str">
        <f ca="1">IFERROR(__xludf.DUMMYFUNCTION("SPARKLINE({
IF(D878="""",0,D878),
IF(F878="""",0,F878),
IF(H878="""",0,H878),
IF(J878="""",0,J878),
IF(L878="""",0,L878),
IF(N878="""",0,N878),
IF(P878="""",0,P878)
})"),"")</f>
        <v/>
      </c>
      <c r="U878" s="7" t="str">
        <f ca="1">IFERROR(__xludf.DUMMYFUNCTION("SPARKLINE({
IF(E878="""",0,E878),
IF(G878="""",0,G878),
IF(I878="""",0,I878),
IF(K878="""",0,K878),
IF(M878="""",0,M878),
IF(O878="""",0,O878),
IF(Q878="""",0,Q878)
})"),"")</f>
        <v/>
      </c>
      <c r="V878" s="8" t="e">
        <f t="array" aca="1" ref="V878" ca="1">IF($C$4="Giao",_xludf.Xlookup(C878,#REF!,#REF!,),_xludf.Xlookup(C878,#REF!,#REF!,))</f>
        <v>#NAME?</v>
      </c>
      <c r="W878" s="8">
        <f t="array" ref="W878">IF($C$4="Giao", _xludf.Xlookup(C878,#REF!,#REF!,),)</f>
        <v>0</v>
      </c>
      <c r="X878" s="9">
        <f t="shared" si="10"/>
        <v>0</v>
      </c>
      <c r="Y878" s="7"/>
      <c r="Z878" s="7"/>
    </row>
    <row r="879" spans="1:26" ht="13" x14ac:dyDescent="0.6">
      <c r="A879" s="28" t="str">
        <f t="shared" si="9"/>
        <v/>
      </c>
      <c r="B879" s="7"/>
      <c r="C879" s="7"/>
      <c r="D879" s="9"/>
      <c r="E879" s="9"/>
      <c r="F879" s="9"/>
      <c r="G879" s="9"/>
      <c r="H879" s="9"/>
      <c r="I879" s="9"/>
      <c r="J879" s="9"/>
      <c r="K879" s="9"/>
      <c r="L879" s="9"/>
      <c r="M879" s="9"/>
      <c r="N879" s="9"/>
      <c r="O879" s="9"/>
      <c r="P879" s="29"/>
      <c r="Q879" s="29"/>
      <c r="R879" s="7"/>
      <c r="S879" s="7"/>
      <c r="T879" s="7" t="str">
        <f ca="1">IFERROR(__xludf.DUMMYFUNCTION("SPARKLINE({
IF(D879="""",0,D879),
IF(F879="""",0,F879),
IF(H879="""",0,H879),
IF(J879="""",0,J879),
IF(L879="""",0,L879),
IF(N879="""",0,N879),
IF(P879="""",0,P879)
})"),"")</f>
        <v/>
      </c>
      <c r="U879" s="7" t="str">
        <f ca="1">IFERROR(__xludf.DUMMYFUNCTION("SPARKLINE({
IF(E879="""",0,E879),
IF(G879="""",0,G879),
IF(I879="""",0,I879),
IF(K879="""",0,K879),
IF(M879="""",0,M879),
IF(O879="""",0,O879),
IF(Q879="""",0,Q879)
})"),"")</f>
        <v/>
      </c>
      <c r="V879" s="8" t="e">
        <f t="array" aca="1" ref="V879" ca="1">IF($C$4="Giao",_xludf.Xlookup(C879,#REF!,#REF!,),_xludf.Xlookup(C879,#REF!,#REF!,))</f>
        <v>#NAME?</v>
      </c>
      <c r="W879" s="8">
        <f t="array" ref="W879">IF($C$4="Giao", _xludf.Xlookup(C879,#REF!,#REF!,),)</f>
        <v>0</v>
      </c>
      <c r="X879" s="9">
        <f t="shared" si="10"/>
        <v>0</v>
      </c>
      <c r="Y879" s="7"/>
      <c r="Z879" s="7"/>
    </row>
    <row r="880" spans="1:26" ht="13" x14ac:dyDescent="0.6">
      <c r="A880" s="28" t="str">
        <f t="shared" si="9"/>
        <v/>
      </c>
      <c r="B880" s="7"/>
      <c r="C880" s="7"/>
      <c r="D880" s="9"/>
      <c r="E880" s="9"/>
      <c r="F880" s="9"/>
      <c r="G880" s="9"/>
      <c r="H880" s="9"/>
      <c r="I880" s="9"/>
      <c r="J880" s="9"/>
      <c r="K880" s="9"/>
      <c r="L880" s="9"/>
      <c r="M880" s="9"/>
      <c r="N880" s="9"/>
      <c r="O880" s="9"/>
      <c r="P880" s="29"/>
      <c r="Q880" s="29"/>
      <c r="R880" s="7"/>
      <c r="S880" s="7"/>
      <c r="T880" s="7" t="str">
        <f ca="1">IFERROR(__xludf.DUMMYFUNCTION("SPARKLINE({
IF(D880="""",0,D880),
IF(F880="""",0,F880),
IF(H880="""",0,H880),
IF(J880="""",0,J880),
IF(L880="""",0,L880),
IF(N880="""",0,N880),
IF(P880="""",0,P880)
})"),"")</f>
        <v/>
      </c>
      <c r="U880" s="7" t="str">
        <f ca="1">IFERROR(__xludf.DUMMYFUNCTION("SPARKLINE({
IF(E880="""",0,E880),
IF(G880="""",0,G880),
IF(I880="""",0,I880),
IF(K880="""",0,K880),
IF(M880="""",0,M880),
IF(O880="""",0,O880),
IF(Q880="""",0,Q880)
})"),"")</f>
        <v/>
      </c>
      <c r="V880" s="8" t="e">
        <f t="array" aca="1" ref="V880" ca="1">IF($C$4="Giao",_xludf.Xlookup(C880,#REF!,#REF!,),_xludf.Xlookup(C880,#REF!,#REF!,))</f>
        <v>#NAME?</v>
      </c>
      <c r="W880" s="8">
        <f t="array" ref="W880">IF($C$4="Giao", _xludf.Xlookup(C880,#REF!,#REF!,),)</f>
        <v>0</v>
      </c>
      <c r="X880" s="9">
        <f t="shared" si="10"/>
        <v>0</v>
      </c>
      <c r="Y880" s="7"/>
      <c r="Z880" s="7"/>
    </row>
    <row r="881" spans="1:26" ht="13" x14ac:dyDescent="0.6">
      <c r="A881" s="28" t="str">
        <f t="shared" si="9"/>
        <v/>
      </c>
      <c r="B881" s="7"/>
      <c r="C881" s="7"/>
      <c r="D881" s="9"/>
      <c r="E881" s="9"/>
      <c r="F881" s="9"/>
      <c r="G881" s="9"/>
      <c r="H881" s="9"/>
      <c r="I881" s="9"/>
      <c r="J881" s="9"/>
      <c r="K881" s="9"/>
      <c r="L881" s="9"/>
      <c r="M881" s="9"/>
      <c r="N881" s="9"/>
      <c r="O881" s="9"/>
      <c r="P881" s="29"/>
      <c r="Q881" s="29"/>
      <c r="R881" s="7"/>
      <c r="S881" s="7"/>
      <c r="T881" s="7" t="str">
        <f ca="1">IFERROR(__xludf.DUMMYFUNCTION("SPARKLINE({
IF(D881="""",0,D881),
IF(F881="""",0,F881),
IF(H881="""",0,H881),
IF(J881="""",0,J881),
IF(L881="""",0,L881),
IF(N881="""",0,N881),
IF(P881="""",0,P881)
})"),"")</f>
        <v/>
      </c>
      <c r="U881" s="7" t="str">
        <f ca="1">IFERROR(__xludf.DUMMYFUNCTION("SPARKLINE({
IF(E881="""",0,E881),
IF(G881="""",0,G881),
IF(I881="""",0,I881),
IF(K881="""",0,K881),
IF(M881="""",0,M881),
IF(O881="""",0,O881),
IF(Q881="""",0,Q881)
})"),"")</f>
        <v/>
      </c>
      <c r="V881" s="8" t="e">
        <f t="array" aca="1" ref="V881" ca="1">IF($C$4="Giao",_xludf.Xlookup(C881,#REF!,#REF!,),_xludf.Xlookup(C881,#REF!,#REF!,))</f>
        <v>#NAME?</v>
      </c>
      <c r="W881" s="8">
        <f t="array" ref="W881">IF($C$4="Giao", _xludf.Xlookup(C881,#REF!,#REF!,),)</f>
        <v>0</v>
      </c>
      <c r="X881" s="9">
        <f t="shared" si="10"/>
        <v>0</v>
      </c>
      <c r="Y881" s="7"/>
      <c r="Z881" s="7"/>
    </row>
    <row r="882" spans="1:26" ht="13" x14ac:dyDescent="0.6">
      <c r="A882" s="28" t="str">
        <f t="shared" si="9"/>
        <v/>
      </c>
      <c r="B882" s="7"/>
      <c r="C882" s="7"/>
      <c r="D882" s="9"/>
      <c r="E882" s="9"/>
      <c r="F882" s="9"/>
      <c r="G882" s="9"/>
      <c r="H882" s="9"/>
      <c r="I882" s="9"/>
      <c r="J882" s="9"/>
      <c r="K882" s="9"/>
      <c r="L882" s="9"/>
      <c r="M882" s="9"/>
      <c r="N882" s="9"/>
      <c r="O882" s="9"/>
      <c r="P882" s="29"/>
      <c r="Q882" s="29"/>
      <c r="R882" s="7"/>
      <c r="S882" s="7"/>
      <c r="T882" s="7" t="str">
        <f ca="1">IFERROR(__xludf.DUMMYFUNCTION("SPARKLINE({
IF(D882="""",0,D882),
IF(F882="""",0,F882),
IF(H882="""",0,H882),
IF(J882="""",0,J882),
IF(L882="""",0,L882),
IF(N882="""",0,N882),
IF(P882="""",0,P882)
})"),"")</f>
        <v/>
      </c>
      <c r="U882" s="7" t="str">
        <f ca="1">IFERROR(__xludf.DUMMYFUNCTION("SPARKLINE({
IF(E882="""",0,E882),
IF(G882="""",0,G882),
IF(I882="""",0,I882),
IF(K882="""",0,K882),
IF(M882="""",0,M882),
IF(O882="""",0,O882),
IF(Q882="""",0,Q882)
})"),"")</f>
        <v/>
      </c>
      <c r="V882" s="8" t="e">
        <f t="array" aca="1" ref="V882" ca="1">IF($C$4="Giao",_xludf.Xlookup(C882,#REF!,#REF!,),_xludf.Xlookup(C882,#REF!,#REF!,))</f>
        <v>#NAME?</v>
      </c>
      <c r="W882" s="8">
        <f t="array" ref="W882">IF($C$4="Giao", _xludf.Xlookup(C882,#REF!,#REF!,),)</f>
        <v>0</v>
      </c>
      <c r="X882" s="9">
        <f t="shared" si="10"/>
        <v>0</v>
      </c>
      <c r="Y882" s="7"/>
      <c r="Z882" s="7"/>
    </row>
    <row r="883" spans="1:26" ht="13" x14ac:dyDescent="0.6">
      <c r="A883" s="28" t="str">
        <f t="shared" si="9"/>
        <v/>
      </c>
      <c r="B883" s="7"/>
      <c r="C883" s="7"/>
      <c r="D883" s="9"/>
      <c r="E883" s="9"/>
      <c r="F883" s="9"/>
      <c r="G883" s="9"/>
      <c r="H883" s="9"/>
      <c r="I883" s="9"/>
      <c r="J883" s="9"/>
      <c r="K883" s="9"/>
      <c r="L883" s="9"/>
      <c r="M883" s="9"/>
      <c r="N883" s="9"/>
      <c r="O883" s="9"/>
      <c r="P883" s="29"/>
      <c r="Q883" s="29"/>
      <c r="R883" s="7"/>
      <c r="S883" s="7"/>
      <c r="T883" s="7" t="str">
        <f ca="1">IFERROR(__xludf.DUMMYFUNCTION("SPARKLINE({
IF(D883="""",0,D883),
IF(F883="""",0,F883),
IF(H883="""",0,H883),
IF(J883="""",0,J883),
IF(L883="""",0,L883),
IF(N883="""",0,N883),
IF(P883="""",0,P883)
})"),"")</f>
        <v/>
      </c>
      <c r="U883" s="7" t="str">
        <f ca="1">IFERROR(__xludf.DUMMYFUNCTION("SPARKLINE({
IF(E883="""",0,E883),
IF(G883="""",0,G883),
IF(I883="""",0,I883),
IF(K883="""",0,K883),
IF(M883="""",0,M883),
IF(O883="""",0,O883),
IF(Q883="""",0,Q883)
})"),"")</f>
        <v/>
      </c>
      <c r="V883" s="8" t="e">
        <f t="array" aca="1" ref="V883" ca="1">IF($C$4="Giao",_xludf.Xlookup(C883,#REF!,#REF!,),_xludf.Xlookup(C883,#REF!,#REF!,))</f>
        <v>#NAME?</v>
      </c>
      <c r="W883" s="8">
        <f t="array" ref="W883">IF($C$4="Giao", _xludf.Xlookup(C883,#REF!,#REF!,),)</f>
        <v>0</v>
      </c>
      <c r="X883" s="9">
        <f t="shared" si="10"/>
        <v>0</v>
      </c>
      <c r="Y883" s="7"/>
      <c r="Z883" s="7"/>
    </row>
    <row r="884" spans="1:26" ht="13" x14ac:dyDescent="0.6">
      <c r="A884" s="28" t="str">
        <f t="shared" si="9"/>
        <v/>
      </c>
      <c r="B884" s="7"/>
      <c r="C884" s="7"/>
      <c r="D884" s="9"/>
      <c r="E884" s="9"/>
      <c r="F884" s="9"/>
      <c r="G884" s="9"/>
      <c r="H884" s="9"/>
      <c r="I884" s="9"/>
      <c r="J884" s="9"/>
      <c r="K884" s="9"/>
      <c r="L884" s="9"/>
      <c r="M884" s="9"/>
      <c r="N884" s="9"/>
      <c r="O884" s="9"/>
      <c r="P884" s="29"/>
      <c r="Q884" s="29"/>
      <c r="R884" s="7"/>
      <c r="S884" s="7"/>
      <c r="T884" s="7" t="str">
        <f ca="1">IFERROR(__xludf.DUMMYFUNCTION("SPARKLINE({
IF(D884="""",0,D884),
IF(F884="""",0,F884),
IF(H884="""",0,H884),
IF(J884="""",0,J884),
IF(L884="""",0,L884),
IF(N884="""",0,N884),
IF(P884="""",0,P884)
})"),"")</f>
        <v/>
      </c>
      <c r="U884" s="7" t="str">
        <f ca="1">IFERROR(__xludf.DUMMYFUNCTION("SPARKLINE({
IF(E884="""",0,E884),
IF(G884="""",0,G884),
IF(I884="""",0,I884),
IF(K884="""",0,K884),
IF(M884="""",0,M884),
IF(O884="""",0,O884),
IF(Q884="""",0,Q884)
})"),"")</f>
        <v/>
      </c>
      <c r="V884" s="8" t="e">
        <f t="array" aca="1" ref="V884" ca="1">IF($C$4="Giao",_xludf.Xlookup(C884,#REF!,#REF!,),_xludf.Xlookup(C884,#REF!,#REF!,))</f>
        <v>#NAME?</v>
      </c>
      <c r="W884" s="8">
        <f t="array" ref="W884">IF($C$4="Giao", _xludf.Xlookup(C884,#REF!,#REF!,),)</f>
        <v>0</v>
      </c>
      <c r="X884" s="9">
        <f t="shared" si="10"/>
        <v>0</v>
      </c>
      <c r="Y884" s="7"/>
      <c r="Z884" s="7"/>
    </row>
    <row r="885" spans="1:26" ht="13" x14ac:dyDescent="0.6">
      <c r="A885" s="28" t="str">
        <f t="shared" si="9"/>
        <v/>
      </c>
      <c r="B885" s="7"/>
      <c r="C885" s="7"/>
      <c r="D885" s="9"/>
      <c r="E885" s="9"/>
      <c r="F885" s="9"/>
      <c r="G885" s="9"/>
      <c r="H885" s="9"/>
      <c r="I885" s="9"/>
      <c r="J885" s="9"/>
      <c r="K885" s="9"/>
      <c r="L885" s="9"/>
      <c r="M885" s="9"/>
      <c r="N885" s="9"/>
      <c r="O885" s="9"/>
      <c r="P885" s="29"/>
      <c r="Q885" s="29"/>
      <c r="R885" s="7"/>
      <c r="S885" s="7"/>
      <c r="T885" s="7" t="str">
        <f ca="1">IFERROR(__xludf.DUMMYFUNCTION("SPARKLINE({
IF(D885="""",0,D885),
IF(F885="""",0,F885),
IF(H885="""",0,H885),
IF(J885="""",0,J885),
IF(L885="""",0,L885),
IF(N885="""",0,N885),
IF(P885="""",0,P885)
})"),"")</f>
        <v/>
      </c>
      <c r="U885" s="7" t="str">
        <f ca="1">IFERROR(__xludf.DUMMYFUNCTION("SPARKLINE({
IF(E885="""",0,E885),
IF(G885="""",0,G885),
IF(I885="""",0,I885),
IF(K885="""",0,K885),
IF(M885="""",0,M885),
IF(O885="""",0,O885),
IF(Q885="""",0,Q885)
})"),"")</f>
        <v/>
      </c>
      <c r="V885" s="8" t="e">
        <f t="array" aca="1" ref="V885" ca="1">IF($C$4="Giao",_xludf.Xlookup(C885,#REF!,#REF!,),_xludf.Xlookup(C885,#REF!,#REF!,))</f>
        <v>#NAME?</v>
      </c>
      <c r="W885" s="8">
        <f t="array" ref="W885">IF($C$4="Giao", _xludf.Xlookup(C885,#REF!,#REF!,),)</f>
        <v>0</v>
      </c>
      <c r="X885" s="9">
        <f t="shared" si="10"/>
        <v>0</v>
      </c>
      <c r="Y885" s="7"/>
      <c r="Z885" s="7"/>
    </row>
    <row r="886" spans="1:26" ht="13" x14ac:dyDescent="0.6">
      <c r="A886" s="28" t="str">
        <f t="shared" si="9"/>
        <v/>
      </c>
      <c r="B886" s="7"/>
      <c r="C886" s="7"/>
      <c r="D886" s="9"/>
      <c r="E886" s="9"/>
      <c r="F886" s="9"/>
      <c r="G886" s="9"/>
      <c r="H886" s="9"/>
      <c r="I886" s="9"/>
      <c r="J886" s="9"/>
      <c r="K886" s="9"/>
      <c r="L886" s="9"/>
      <c r="M886" s="9"/>
      <c r="N886" s="9"/>
      <c r="O886" s="9"/>
      <c r="P886" s="29"/>
      <c r="Q886" s="29"/>
      <c r="R886" s="7"/>
      <c r="S886" s="7"/>
      <c r="T886" s="7" t="str">
        <f ca="1">IFERROR(__xludf.DUMMYFUNCTION("SPARKLINE({
IF(D886="""",0,D886),
IF(F886="""",0,F886),
IF(H886="""",0,H886),
IF(J886="""",0,J886),
IF(L886="""",0,L886),
IF(N886="""",0,N886),
IF(P886="""",0,P886)
})"),"")</f>
        <v/>
      </c>
      <c r="U886" s="7" t="str">
        <f ca="1">IFERROR(__xludf.DUMMYFUNCTION("SPARKLINE({
IF(E886="""",0,E886),
IF(G886="""",0,G886),
IF(I886="""",0,I886),
IF(K886="""",0,K886),
IF(M886="""",0,M886),
IF(O886="""",0,O886),
IF(Q886="""",0,Q886)
})"),"")</f>
        <v/>
      </c>
      <c r="V886" s="8" t="e">
        <f t="array" aca="1" ref="V886" ca="1">IF($C$4="Giao",_xludf.Xlookup(C886,#REF!,#REF!,),_xludf.Xlookup(C886,#REF!,#REF!,))</f>
        <v>#NAME?</v>
      </c>
      <c r="W886" s="8">
        <f t="array" ref="W886">IF($C$4="Giao", _xludf.Xlookup(C886,#REF!,#REF!,),)</f>
        <v>0</v>
      </c>
      <c r="X886" s="9">
        <f t="shared" si="10"/>
        <v>0</v>
      </c>
      <c r="Y886" s="7"/>
      <c r="Z886" s="7"/>
    </row>
    <row r="887" spans="1:26" ht="13" x14ac:dyDescent="0.6">
      <c r="A887" s="28" t="str">
        <f t="shared" si="9"/>
        <v/>
      </c>
      <c r="B887" s="7"/>
      <c r="C887" s="7"/>
      <c r="D887" s="9"/>
      <c r="E887" s="9"/>
      <c r="F887" s="9"/>
      <c r="G887" s="9"/>
      <c r="H887" s="9"/>
      <c r="I887" s="9"/>
      <c r="J887" s="9"/>
      <c r="K887" s="9"/>
      <c r="L887" s="9"/>
      <c r="M887" s="9"/>
      <c r="N887" s="9"/>
      <c r="O887" s="9"/>
      <c r="P887" s="29"/>
      <c r="Q887" s="29"/>
      <c r="R887" s="7"/>
      <c r="S887" s="7"/>
      <c r="T887" s="7" t="str">
        <f ca="1">IFERROR(__xludf.DUMMYFUNCTION("SPARKLINE({
IF(D887="""",0,D887),
IF(F887="""",0,F887),
IF(H887="""",0,H887),
IF(J887="""",0,J887),
IF(L887="""",0,L887),
IF(N887="""",0,N887),
IF(P887="""",0,P887)
})"),"")</f>
        <v/>
      </c>
      <c r="U887" s="7" t="str">
        <f ca="1">IFERROR(__xludf.DUMMYFUNCTION("SPARKLINE({
IF(E887="""",0,E887),
IF(G887="""",0,G887),
IF(I887="""",0,I887),
IF(K887="""",0,K887),
IF(M887="""",0,M887),
IF(O887="""",0,O887),
IF(Q887="""",0,Q887)
})"),"")</f>
        <v/>
      </c>
      <c r="V887" s="8" t="e">
        <f t="array" aca="1" ref="V887" ca="1">IF($C$4="Giao",_xludf.Xlookup(C887,#REF!,#REF!,),_xludf.Xlookup(C887,#REF!,#REF!,))</f>
        <v>#NAME?</v>
      </c>
      <c r="W887" s="8">
        <f t="array" ref="W887">IF($C$4="Giao", _xludf.Xlookup(C887,#REF!,#REF!,),)</f>
        <v>0</v>
      </c>
      <c r="X887" s="9">
        <f t="shared" si="10"/>
        <v>0</v>
      </c>
      <c r="Y887" s="7"/>
      <c r="Z887" s="7"/>
    </row>
    <row r="888" spans="1:26" ht="13" x14ac:dyDescent="0.6">
      <c r="A888" s="28" t="str">
        <f t="shared" si="9"/>
        <v/>
      </c>
      <c r="B888" s="7"/>
      <c r="C888" s="7"/>
      <c r="D888" s="9"/>
      <c r="E888" s="9"/>
      <c r="F888" s="9"/>
      <c r="G888" s="9"/>
      <c r="H888" s="9"/>
      <c r="I888" s="9"/>
      <c r="J888" s="9"/>
      <c r="K888" s="9"/>
      <c r="L888" s="9"/>
      <c r="M888" s="9"/>
      <c r="N888" s="9"/>
      <c r="O888" s="9"/>
      <c r="P888" s="29"/>
      <c r="Q888" s="29"/>
      <c r="R888" s="7"/>
      <c r="S888" s="7"/>
      <c r="T888" s="7" t="str">
        <f ca="1">IFERROR(__xludf.DUMMYFUNCTION("SPARKLINE({
IF(D888="""",0,D888),
IF(F888="""",0,F888),
IF(H888="""",0,H888),
IF(J888="""",0,J888),
IF(L888="""",0,L888),
IF(N888="""",0,N888),
IF(P888="""",0,P888)
})"),"")</f>
        <v/>
      </c>
      <c r="U888" s="7" t="str">
        <f ca="1">IFERROR(__xludf.DUMMYFUNCTION("SPARKLINE({
IF(E888="""",0,E888),
IF(G888="""",0,G888),
IF(I888="""",0,I888),
IF(K888="""",0,K888),
IF(M888="""",0,M888),
IF(O888="""",0,O888),
IF(Q888="""",0,Q888)
})"),"")</f>
        <v/>
      </c>
      <c r="V888" s="8" t="e">
        <f t="array" aca="1" ref="V888" ca="1">IF($C$4="Giao",_xludf.Xlookup(C888,#REF!,#REF!,),_xludf.Xlookup(C888,#REF!,#REF!,))</f>
        <v>#NAME?</v>
      </c>
      <c r="W888" s="8">
        <f t="array" ref="W888">IF($C$4="Giao", _xludf.Xlookup(C888,#REF!,#REF!,),)</f>
        <v>0</v>
      </c>
      <c r="X888" s="9">
        <f t="shared" si="10"/>
        <v>0</v>
      </c>
      <c r="Y888" s="7"/>
      <c r="Z888" s="7"/>
    </row>
    <row r="889" spans="1:26" ht="13" x14ac:dyDescent="0.6">
      <c r="A889" s="28" t="str">
        <f t="shared" si="9"/>
        <v/>
      </c>
      <c r="B889" s="7"/>
      <c r="C889" s="7"/>
      <c r="D889" s="9"/>
      <c r="E889" s="9"/>
      <c r="F889" s="9"/>
      <c r="G889" s="9"/>
      <c r="H889" s="9"/>
      <c r="I889" s="9"/>
      <c r="J889" s="9"/>
      <c r="K889" s="9"/>
      <c r="L889" s="9"/>
      <c r="M889" s="9"/>
      <c r="N889" s="9"/>
      <c r="O889" s="9"/>
      <c r="P889" s="29"/>
      <c r="Q889" s="29"/>
      <c r="R889" s="7"/>
      <c r="S889" s="7"/>
      <c r="T889" s="7" t="str">
        <f ca="1">IFERROR(__xludf.DUMMYFUNCTION("SPARKLINE({
IF(D889="""",0,D889),
IF(F889="""",0,F889),
IF(H889="""",0,H889),
IF(J889="""",0,J889),
IF(L889="""",0,L889),
IF(N889="""",0,N889),
IF(P889="""",0,P889)
})"),"")</f>
        <v/>
      </c>
      <c r="U889" s="7" t="str">
        <f ca="1">IFERROR(__xludf.DUMMYFUNCTION("SPARKLINE({
IF(E889="""",0,E889),
IF(G889="""",0,G889),
IF(I889="""",0,I889),
IF(K889="""",0,K889),
IF(M889="""",0,M889),
IF(O889="""",0,O889),
IF(Q889="""",0,Q889)
})"),"")</f>
        <v/>
      </c>
      <c r="V889" s="8" t="e">
        <f t="array" aca="1" ref="V889" ca="1">IF($C$4="Giao",_xludf.Xlookup(C889,#REF!,#REF!,),_xludf.Xlookup(C889,#REF!,#REF!,))</f>
        <v>#NAME?</v>
      </c>
      <c r="W889" s="8">
        <f t="array" ref="W889">IF($C$4="Giao", _xludf.Xlookup(C889,#REF!,#REF!,),)</f>
        <v>0</v>
      </c>
      <c r="X889" s="9">
        <f t="shared" si="10"/>
        <v>0</v>
      </c>
      <c r="Y889" s="7"/>
      <c r="Z889" s="7"/>
    </row>
    <row r="890" spans="1:26" ht="13" x14ac:dyDescent="0.6">
      <c r="A890" s="28" t="str">
        <f t="shared" si="9"/>
        <v/>
      </c>
      <c r="B890" s="7"/>
      <c r="C890" s="7"/>
      <c r="D890" s="9"/>
      <c r="E890" s="9"/>
      <c r="F890" s="9"/>
      <c r="G890" s="9"/>
      <c r="H890" s="9"/>
      <c r="I890" s="9"/>
      <c r="J890" s="9"/>
      <c r="K890" s="9"/>
      <c r="L890" s="9"/>
      <c r="M890" s="9"/>
      <c r="N890" s="9"/>
      <c r="O890" s="9"/>
      <c r="P890" s="29"/>
      <c r="Q890" s="29"/>
      <c r="R890" s="7"/>
      <c r="S890" s="7"/>
      <c r="T890" s="7" t="str">
        <f ca="1">IFERROR(__xludf.DUMMYFUNCTION("SPARKLINE({
IF(D890="""",0,D890),
IF(F890="""",0,F890),
IF(H890="""",0,H890),
IF(J890="""",0,J890),
IF(L890="""",0,L890),
IF(N890="""",0,N890),
IF(P890="""",0,P890)
})"),"")</f>
        <v/>
      </c>
      <c r="U890" s="7" t="str">
        <f ca="1">IFERROR(__xludf.DUMMYFUNCTION("SPARKLINE({
IF(E890="""",0,E890),
IF(G890="""",0,G890),
IF(I890="""",0,I890),
IF(K890="""",0,K890),
IF(M890="""",0,M890),
IF(O890="""",0,O890),
IF(Q890="""",0,Q890)
})"),"")</f>
        <v/>
      </c>
      <c r="V890" s="8" t="e">
        <f t="array" aca="1" ref="V890" ca="1">IF($C$4="Giao",_xludf.Xlookup(C890,#REF!,#REF!,),_xludf.Xlookup(C890,#REF!,#REF!,))</f>
        <v>#NAME?</v>
      </c>
      <c r="W890" s="8">
        <f t="array" ref="W890">IF($C$4="Giao", _xludf.Xlookup(C890,#REF!,#REF!,),)</f>
        <v>0</v>
      </c>
      <c r="X890" s="9">
        <f t="shared" si="10"/>
        <v>0</v>
      </c>
      <c r="Y890" s="7"/>
      <c r="Z890" s="7"/>
    </row>
    <row r="891" spans="1:26" ht="13" x14ac:dyDescent="0.6">
      <c r="A891" s="28" t="str">
        <f t="shared" si="9"/>
        <v/>
      </c>
      <c r="B891" s="7"/>
      <c r="C891" s="7"/>
      <c r="D891" s="9"/>
      <c r="E891" s="9"/>
      <c r="F891" s="9"/>
      <c r="G891" s="9"/>
      <c r="H891" s="9"/>
      <c r="I891" s="9"/>
      <c r="J891" s="9"/>
      <c r="K891" s="9"/>
      <c r="L891" s="9"/>
      <c r="M891" s="9"/>
      <c r="N891" s="9"/>
      <c r="O891" s="9"/>
      <c r="P891" s="29"/>
      <c r="Q891" s="29"/>
      <c r="R891" s="7"/>
      <c r="S891" s="7"/>
      <c r="T891" s="7" t="str">
        <f ca="1">IFERROR(__xludf.DUMMYFUNCTION("SPARKLINE({
IF(D891="""",0,D891),
IF(F891="""",0,F891),
IF(H891="""",0,H891),
IF(J891="""",0,J891),
IF(L891="""",0,L891),
IF(N891="""",0,N891),
IF(P891="""",0,P891)
})"),"")</f>
        <v/>
      </c>
      <c r="U891" s="7" t="str">
        <f ca="1">IFERROR(__xludf.DUMMYFUNCTION("SPARKLINE({
IF(E891="""",0,E891),
IF(G891="""",0,G891),
IF(I891="""",0,I891),
IF(K891="""",0,K891),
IF(M891="""",0,M891),
IF(O891="""",0,O891),
IF(Q891="""",0,Q891)
})"),"")</f>
        <v/>
      </c>
      <c r="V891" s="8" t="e">
        <f t="array" aca="1" ref="V891" ca="1">IF($C$4="Giao",_xludf.Xlookup(C891,#REF!,#REF!,),_xludf.Xlookup(C891,#REF!,#REF!,))</f>
        <v>#NAME?</v>
      </c>
      <c r="W891" s="8">
        <f t="array" ref="W891">IF($C$4="Giao", _xludf.Xlookup(C891,#REF!,#REF!,),)</f>
        <v>0</v>
      </c>
      <c r="X891" s="9">
        <f t="shared" si="10"/>
        <v>0</v>
      </c>
      <c r="Y891" s="7"/>
      <c r="Z891" s="7"/>
    </row>
    <row r="892" spans="1:26" ht="13" x14ac:dyDescent="0.6">
      <c r="A892" s="28" t="str">
        <f t="shared" si="9"/>
        <v/>
      </c>
      <c r="B892" s="7"/>
      <c r="C892" s="7"/>
      <c r="D892" s="9"/>
      <c r="E892" s="9"/>
      <c r="F892" s="9"/>
      <c r="G892" s="9"/>
      <c r="H892" s="9"/>
      <c r="I892" s="9"/>
      <c r="J892" s="9"/>
      <c r="K892" s="9"/>
      <c r="L892" s="9"/>
      <c r="M892" s="9"/>
      <c r="N892" s="9"/>
      <c r="O892" s="9"/>
      <c r="P892" s="29"/>
      <c r="Q892" s="29"/>
      <c r="R892" s="7"/>
      <c r="S892" s="7"/>
      <c r="T892" s="7" t="str">
        <f ca="1">IFERROR(__xludf.DUMMYFUNCTION("SPARKLINE({
IF(D892="""",0,D892),
IF(F892="""",0,F892),
IF(H892="""",0,H892),
IF(J892="""",0,J892),
IF(L892="""",0,L892),
IF(N892="""",0,N892),
IF(P892="""",0,P892)
})"),"")</f>
        <v/>
      </c>
      <c r="U892" s="7" t="str">
        <f ca="1">IFERROR(__xludf.DUMMYFUNCTION("SPARKLINE({
IF(E892="""",0,E892),
IF(G892="""",0,G892),
IF(I892="""",0,I892),
IF(K892="""",0,K892),
IF(M892="""",0,M892),
IF(O892="""",0,O892),
IF(Q892="""",0,Q892)
})"),"")</f>
        <v/>
      </c>
      <c r="V892" s="8" t="e">
        <f t="array" aca="1" ref="V892" ca="1">IF($C$4="Giao",_xludf.Xlookup(C892,#REF!,#REF!,),_xludf.Xlookup(C892,#REF!,#REF!,))</f>
        <v>#NAME?</v>
      </c>
      <c r="W892" s="8">
        <f t="array" ref="W892">IF($C$4="Giao", _xludf.Xlookup(C892,#REF!,#REF!,),)</f>
        <v>0</v>
      </c>
      <c r="X892" s="9">
        <f t="shared" si="10"/>
        <v>0</v>
      </c>
      <c r="Y892" s="7"/>
      <c r="Z892" s="7"/>
    </row>
    <row r="893" spans="1:26" ht="13" x14ac:dyDescent="0.6">
      <c r="A893" s="28" t="str">
        <f t="shared" si="9"/>
        <v/>
      </c>
      <c r="B893" s="7"/>
      <c r="C893" s="7"/>
      <c r="D893" s="9"/>
      <c r="E893" s="9"/>
      <c r="F893" s="9"/>
      <c r="G893" s="9"/>
      <c r="H893" s="9"/>
      <c r="I893" s="9"/>
      <c r="J893" s="9"/>
      <c r="K893" s="9"/>
      <c r="L893" s="9"/>
      <c r="M893" s="9"/>
      <c r="N893" s="9"/>
      <c r="O893" s="9"/>
      <c r="P893" s="29"/>
      <c r="Q893" s="29"/>
      <c r="R893" s="7"/>
      <c r="S893" s="7"/>
      <c r="T893" s="7" t="str">
        <f ca="1">IFERROR(__xludf.DUMMYFUNCTION("SPARKLINE({
IF(D893="""",0,D893),
IF(F893="""",0,F893),
IF(H893="""",0,H893),
IF(J893="""",0,J893),
IF(L893="""",0,L893),
IF(N893="""",0,N893),
IF(P893="""",0,P893)
})"),"")</f>
        <v/>
      </c>
      <c r="U893" s="7" t="str">
        <f ca="1">IFERROR(__xludf.DUMMYFUNCTION("SPARKLINE({
IF(E893="""",0,E893),
IF(G893="""",0,G893),
IF(I893="""",0,I893),
IF(K893="""",0,K893),
IF(M893="""",0,M893),
IF(O893="""",0,O893),
IF(Q893="""",0,Q893)
})"),"")</f>
        <v/>
      </c>
      <c r="V893" s="8" t="e">
        <f t="array" aca="1" ref="V893" ca="1">IF($C$4="Giao",_xludf.Xlookup(C893,#REF!,#REF!,),_xludf.Xlookup(C893,#REF!,#REF!,))</f>
        <v>#NAME?</v>
      </c>
      <c r="W893" s="8">
        <f t="array" ref="W893">IF($C$4="Giao", _xludf.Xlookup(C893,#REF!,#REF!,),)</f>
        <v>0</v>
      </c>
      <c r="X893" s="9">
        <f t="shared" si="10"/>
        <v>0</v>
      </c>
      <c r="Y893" s="7"/>
      <c r="Z893" s="7"/>
    </row>
    <row r="894" spans="1:26" ht="13" x14ac:dyDescent="0.6">
      <c r="A894" s="28" t="str">
        <f t="shared" si="9"/>
        <v/>
      </c>
      <c r="B894" s="7"/>
      <c r="C894" s="7"/>
      <c r="D894" s="9"/>
      <c r="E894" s="9"/>
      <c r="F894" s="9"/>
      <c r="G894" s="9"/>
      <c r="H894" s="9"/>
      <c r="I894" s="9"/>
      <c r="J894" s="9"/>
      <c r="K894" s="9"/>
      <c r="L894" s="9"/>
      <c r="M894" s="9"/>
      <c r="N894" s="9"/>
      <c r="O894" s="9"/>
      <c r="P894" s="29"/>
      <c r="Q894" s="29"/>
      <c r="R894" s="7"/>
      <c r="S894" s="7"/>
      <c r="T894" s="7" t="str">
        <f ca="1">IFERROR(__xludf.DUMMYFUNCTION("SPARKLINE({
IF(D894="""",0,D894),
IF(F894="""",0,F894),
IF(H894="""",0,H894),
IF(J894="""",0,J894),
IF(L894="""",0,L894),
IF(N894="""",0,N894),
IF(P894="""",0,P894)
})"),"")</f>
        <v/>
      </c>
      <c r="U894" s="7" t="str">
        <f ca="1">IFERROR(__xludf.DUMMYFUNCTION("SPARKLINE({
IF(E894="""",0,E894),
IF(G894="""",0,G894),
IF(I894="""",0,I894),
IF(K894="""",0,K894),
IF(M894="""",0,M894),
IF(O894="""",0,O894),
IF(Q894="""",0,Q894)
})"),"")</f>
        <v/>
      </c>
      <c r="V894" s="8" t="e">
        <f t="array" aca="1" ref="V894" ca="1">IF($C$4="Giao",_xludf.Xlookup(C894,#REF!,#REF!,),_xludf.Xlookup(C894,#REF!,#REF!,))</f>
        <v>#NAME?</v>
      </c>
      <c r="W894" s="8">
        <f t="array" ref="W894">IF($C$4="Giao", _xludf.Xlookup(C894,#REF!,#REF!,),)</f>
        <v>0</v>
      </c>
      <c r="X894" s="9">
        <f t="shared" si="10"/>
        <v>0</v>
      </c>
      <c r="Y894" s="7"/>
      <c r="Z894" s="7"/>
    </row>
    <row r="895" spans="1:26" ht="13" x14ac:dyDescent="0.6">
      <c r="A895" s="28" t="str">
        <f t="shared" si="9"/>
        <v/>
      </c>
      <c r="B895" s="7"/>
      <c r="C895" s="7"/>
      <c r="D895" s="9"/>
      <c r="E895" s="9"/>
      <c r="F895" s="9"/>
      <c r="G895" s="9"/>
      <c r="H895" s="9"/>
      <c r="I895" s="9"/>
      <c r="J895" s="9"/>
      <c r="K895" s="9"/>
      <c r="L895" s="9"/>
      <c r="M895" s="9"/>
      <c r="N895" s="9"/>
      <c r="O895" s="9"/>
      <c r="P895" s="29"/>
      <c r="Q895" s="29"/>
      <c r="R895" s="7"/>
      <c r="S895" s="7"/>
      <c r="T895" s="7" t="str">
        <f ca="1">IFERROR(__xludf.DUMMYFUNCTION("SPARKLINE({
IF(D895="""",0,D895),
IF(F895="""",0,F895),
IF(H895="""",0,H895),
IF(J895="""",0,J895),
IF(L895="""",0,L895),
IF(N895="""",0,N895),
IF(P895="""",0,P895)
})"),"")</f>
        <v/>
      </c>
      <c r="U895" s="7" t="str">
        <f ca="1">IFERROR(__xludf.DUMMYFUNCTION("SPARKLINE({
IF(E895="""",0,E895),
IF(G895="""",0,G895),
IF(I895="""",0,I895),
IF(K895="""",0,K895),
IF(M895="""",0,M895),
IF(O895="""",0,O895),
IF(Q895="""",0,Q895)
})"),"")</f>
        <v/>
      </c>
      <c r="V895" s="8" t="e">
        <f t="array" aca="1" ref="V895" ca="1">IF($C$4="Giao",_xludf.Xlookup(C895,#REF!,#REF!,),_xludf.Xlookup(C895,#REF!,#REF!,))</f>
        <v>#NAME?</v>
      </c>
      <c r="W895" s="8">
        <f t="array" ref="W895">IF($C$4="Giao", _xludf.Xlookup(C895,#REF!,#REF!,),)</f>
        <v>0</v>
      </c>
      <c r="X895" s="9">
        <f t="shared" si="10"/>
        <v>0</v>
      </c>
      <c r="Y895" s="7"/>
      <c r="Z895" s="7"/>
    </row>
    <row r="896" spans="1:26" ht="13" x14ac:dyDescent="0.6">
      <c r="A896" s="28" t="str">
        <f t="shared" si="9"/>
        <v/>
      </c>
      <c r="B896" s="7"/>
      <c r="C896" s="7"/>
      <c r="D896" s="9"/>
      <c r="E896" s="9"/>
      <c r="F896" s="9"/>
      <c r="G896" s="9"/>
      <c r="H896" s="9"/>
      <c r="I896" s="9"/>
      <c r="J896" s="9"/>
      <c r="K896" s="9"/>
      <c r="L896" s="9"/>
      <c r="M896" s="9"/>
      <c r="N896" s="9"/>
      <c r="O896" s="9"/>
      <c r="P896" s="29"/>
      <c r="Q896" s="29"/>
      <c r="R896" s="7"/>
      <c r="S896" s="7"/>
      <c r="T896" s="7" t="str">
        <f ca="1">IFERROR(__xludf.DUMMYFUNCTION("SPARKLINE({
IF(D896="""",0,D896),
IF(F896="""",0,F896),
IF(H896="""",0,H896),
IF(J896="""",0,J896),
IF(L896="""",0,L896),
IF(N896="""",0,N896),
IF(P896="""",0,P896)
})"),"")</f>
        <v/>
      </c>
      <c r="U896" s="7" t="str">
        <f ca="1">IFERROR(__xludf.DUMMYFUNCTION("SPARKLINE({
IF(E896="""",0,E896),
IF(G896="""",0,G896),
IF(I896="""",0,I896),
IF(K896="""",0,K896),
IF(M896="""",0,M896),
IF(O896="""",0,O896),
IF(Q896="""",0,Q896)
})"),"")</f>
        <v/>
      </c>
      <c r="V896" s="8" t="e">
        <f t="array" aca="1" ref="V896" ca="1">IF($C$4="Giao",_xludf.Xlookup(C896,#REF!,#REF!,),_xludf.Xlookup(C896,#REF!,#REF!,))</f>
        <v>#NAME?</v>
      </c>
      <c r="W896" s="8">
        <f t="array" ref="W896">IF($C$4="Giao", _xludf.Xlookup(C896,#REF!,#REF!,),)</f>
        <v>0</v>
      </c>
      <c r="X896" s="9">
        <f t="shared" si="10"/>
        <v>0</v>
      </c>
      <c r="Y896" s="7"/>
      <c r="Z896" s="7"/>
    </row>
    <row r="897" spans="1:26" ht="13" x14ac:dyDescent="0.6">
      <c r="A897" s="28" t="str">
        <f t="shared" si="9"/>
        <v/>
      </c>
      <c r="B897" s="7"/>
      <c r="C897" s="7"/>
      <c r="D897" s="9"/>
      <c r="E897" s="9"/>
      <c r="F897" s="9"/>
      <c r="G897" s="9"/>
      <c r="H897" s="9"/>
      <c r="I897" s="9"/>
      <c r="J897" s="9"/>
      <c r="K897" s="9"/>
      <c r="L897" s="9"/>
      <c r="M897" s="9"/>
      <c r="N897" s="9"/>
      <c r="O897" s="9"/>
      <c r="P897" s="29"/>
      <c r="Q897" s="29"/>
      <c r="R897" s="7"/>
      <c r="S897" s="7"/>
      <c r="T897" s="7" t="str">
        <f ca="1">IFERROR(__xludf.DUMMYFUNCTION("SPARKLINE({
IF(D897="""",0,D897),
IF(F897="""",0,F897),
IF(H897="""",0,H897),
IF(J897="""",0,J897),
IF(L897="""",0,L897),
IF(N897="""",0,N897),
IF(P897="""",0,P897)
})"),"")</f>
        <v/>
      </c>
      <c r="U897" s="7" t="str">
        <f ca="1">IFERROR(__xludf.DUMMYFUNCTION("SPARKLINE({
IF(E897="""",0,E897),
IF(G897="""",0,G897),
IF(I897="""",0,I897),
IF(K897="""",0,K897),
IF(M897="""",0,M897),
IF(O897="""",0,O897),
IF(Q897="""",0,Q897)
})"),"")</f>
        <v/>
      </c>
      <c r="V897" s="8" t="e">
        <f t="array" aca="1" ref="V897" ca="1">IF($C$4="Giao",_xludf.Xlookup(C897,#REF!,#REF!,),_xludf.Xlookup(C897,#REF!,#REF!,))</f>
        <v>#NAME?</v>
      </c>
      <c r="W897" s="8">
        <f t="array" ref="W897">IF($C$4="Giao", _xludf.Xlookup(C897,#REF!,#REF!,),)</f>
        <v>0</v>
      </c>
      <c r="X897" s="9">
        <f t="shared" si="10"/>
        <v>0</v>
      </c>
      <c r="Y897" s="7"/>
      <c r="Z897" s="7"/>
    </row>
    <row r="898" spans="1:26" ht="13" x14ac:dyDescent="0.6">
      <c r="A898" s="28" t="str">
        <f t="shared" si="9"/>
        <v/>
      </c>
      <c r="B898" s="7"/>
      <c r="C898" s="7"/>
      <c r="D898" s="9"/>
      <c r="E898" s="9"/>
      <c r="F898" s="9"/>
      <c r="G898" s="9"/>
      <c r="H898" s="9"/>
      <c r="I898" s="9"/>
      <c r="J898" s="9"/>
      <c r="K898" s="9"/>
      <c r="L898" s="9"/>
      <c r="M898" s="9"/>
      <c r="N898" s="9"/>
      <c r="O898" s="9"/>
      <c r="P898" s="29"/>
      <c r="Q898" s="29"/>
      <c r="R898" s="7"/>
      <c r="S898" s="7"/>
      <c r="T898" s="7" t="str">
        <f ca="1">IFERROR(__xludf.DUMMYFUNCTION("SPARKLINE({
IF(D898="""",0,D898),
IF(F898="""",0,F898),
IF(H898="""",0,H898),
IF(J898="""",0,J898),
IF(L898="""",0,L898),
IF(N898="""",0,N898),
IF(P898="""",0,P898)
})"),"")</f>
        <v/>
      </c>
      <c r="U898" s="7" t="str">
        <f ca="1">IFERROR(__xludf.DUMMYFUNCTION("SPARKLINE({
IF(E898="""",0,E898),
IF(G898="""",0,G898),
IF(I898="""",0,I898),
IF(K898="""",0,K898),
IF(M898="""",0,M898),
IF(O898="""",0,O898),
IF(Q898="""",0,Q898)
})"),"")</f>
        <v/>
      </c>
      <c r="V898" s="8" t="e">
        <f t="array" aca="1" ref="V898" ca="1">IF($C$4="Giao",_xludf.Xlookup(C898,#REF!,#REF!,),_xludf.Xlookup(C898,#REF!,#REF!,))</f>
        <v>#NAME?</v>
      </c>
      <c r="W898" s="8">
        <f t="array" ref="W898">IF($C$4="Giao", _xludf.Xlookup(C898,#REF!,#REF!,),)</f>
        <v>0</v>
      </c>
      <c r="X898" s="9">
        <f t="shared" si="10"/>
        <v>0</v>
      </c>
      <c r="Y898" s="7"/>
      <c r="Z898" s="7"/>
    </row>
    <row r="899" spans="1:26" ht="13" x14ac:dyDescent="0.6">
      <c r="A899" s="28" t="str">
        <f t="shared" si="9"/>
        <v/>
      </c>
      <c r="B899" s="7"/>
      <c r="C899" s="7"/>
      <c r="D899" s="9"/>
      <c r="E899" s="9"/>
      <c r="F899" s="9"/>
      <c r="G899" s="9"/>
      <c r="H899" s="9"/>
      <c r="I899" s="9"/>
      <c r="J899" s="9"/>
      <c r="K899" s="9"/>
      <c r="L899" s="9"/>
      <c r="M899" s="9"/>
      <c r="N899" s="9"/>
      <c r="O899" s="9"/>
      <c r="P899" s="29"/>
      <c r="Q899" s="29"/>
      <c r="R899" s="7"/>
      <c r="S899" s="7"/>
      <c r="T899" s="7" t="str">
        <f ca="1">IFERROR(__xludf.DUMMYFUNCTION("SPARKLINE({
IF(D899="""",0,D899),
IF(F899="""",0,F899),
IF(H899="""",0,H899),
IF(J899="""",0,J899),
IF(L899="""",0,L899),
IF(N899="""",0,N899),
IF(P899="""",0,P899)
})"),"")</f>
        <v/>
      </c>
      <c r="U899" s="7" t="str">
        <f ca="1">IFERROR(__xludf.DUMMYFUNCTION("SPARKLINE({
IF(E899="""",0,E899),
IF(G899="""",0,G899),
IF(I899="""",0,I899),
IF(K899="""",0,K899),
IF(M899="""",0,M899),
IF(O899="""",0,O899),
IF(Q899="""",0,Q899)
})"),"")</f>
        <v/>
      </c>
      <c r="V899" s="8" t="e">
        <f t="array" aca="1" ref="V899" ca="1">IF($C$4="Giao",_xludf.Xlookup(C899,#REF!,#REF!,),_xludf.Xlookup(C899,#REF!,#REF!,))</f>
        <v>#NAME?</v>
      </c>
      <c r="W899" s="8">
        <f t="array" ref="W899">IF($C$4="Giao", _xludf.Xlookup(C899,#REF!,#REF!,),)</f>
        <v>0</v>
      </c>
      <c r="X899" s="9">
        <f t="shared" si="10"/>
        <v>0</v>
      </c>
      <c r="Y899" s="7"/>
      <c r="Z899" s="7"/>
    </row>
    <row r="900" spans="1:26" ht="13" x14ac:dyDescent="0.6">
      <c r="A900" s="28" t="str">
        <f t="shared" si="9"/>
        <v/>
      </c>
      <c r="B900" s="7"/>
      <c r="C900" s="7"/>
      <c r="D900" s="9"/>
      <c r="E900" s="9"/>
      <c r="F900" s="9"/>
      <c r="G900" s="9"/>
      <c r="H900" s="9"/>
      <c r="I900" s="9"/>
      <c r="J900" s="9"/>
      <c r="K900" s="9"/>
      <c r="L900" s="9"/>
      <c r="M900" s="9"/>
      <c r="N900" s="9"/>
      <c r="O900" s="9"/>
      <c r="P900" s="29"/>
      <c r="Q900" s="29"/>
      <c r="R900" s="7"/>
      <c r="S900" s="7"/>
      <c r="T900" s="7" t="str">
        <f ca="1">IFERROR(__xludf.DUMMYFUNCTION("SPARKLINE({
IF(D900="""",0,D900),
IF(F900="""",0,F900),
IF(H900="""",0,H900),
IF(J900="""",0,J900),
IF(L900="""",0,L900),
IF(N900="""",0,N900),
IF(P900="""",0,P900)
})"),"")</f>
        <v/>
      </c>
      <c r="U900" s="7" t="str">
        <f ca="1">IFERROR(__xludf.DUMMYFUNCTION("SPARKLINE({
IF(E900="""",0,E900),
IF(G900="""",0,G900),
IF(I900="""",0,I900),
IF(K900="""",0,K900),
IF(M900="""",0,M900),
IF(O900="""",0,O900),
IF(Q900="""",0,Q900)
})"),"")</f>
        <v/>
      </c>
      <c r="V900" s="8" t="e">
        <f t="array" aca="1" ref="V900" ca="1">IF($C$4="Giao",_xludf.Xlookup(C900,#REF!,#REF!,),_xludf.Xlookup(C900,#REF!,#REF!,))</f>
        <v>#NAME?</v>
      </c>
      <c r="W900" s="8">
        <f t="array" ref="W900">IF($C$4="Giao", _xludf.Xlookup(C900,#REF!,#REF!,),)</f>
        <v>0</v>
      </c>
      <c r="X900" s="9">
        <f t="shared" si="10"/>
        <v>0</v>
      </c>
      <c r="Y900" s="7"/>
      <c r="Z900" s="7"/>
    </row>
    <row r="901" spans="1:26" ht="13" x14ac:dyDescent="0.6">
      <c r="A901" s="28" t="str">
        <f t="shared" si="9"/>
        <v/>
      </c>
      <c r="B901" s="7"/>
      <c r="C901" s="7"/>
      <c r="D901" s="9"/>
      <c r="E901" s="9"/>
      <c r="F901" s="9"/>
      <c r="G901" s="9"/>
      <c r="H901" s="9"/>
      <c r="I901" s="9"/>
      <c r="J901" s="9"/>
      <c r="K901" s="9"/>
      <c r="L901" s="9"/>
      <c r="M901" s="9"/>
      <c r="N901" s="9"/>
      <c r="O901" s="9"/>
      <c r="P901" s="29"/>
      <c r="Q901" s="29"/>
      <c r="R901" s="7"/>
      <c r="S901" s="7"/>
      <c r="T901" s="7" t="str">
        <f ca="1">IFERROR(__xludf.DUMMYFUNCTION("SPARKLINE({
IF(D901="""",0,D901),
IF(F901="""",0,F901),
IF(H901="""",0,H901),
IF(J901="""",0,J901),
IF(L901="""",0,L901),
IF(N901="""",0,N901),
IF(P901="""",0,P901)
})"),"")</f>
        <v/>
      </c>
      <c r="U901" s="7" t="str">
        <f ca="1">IFERROR(__xludf.DUMMYFUNCTION("SPARKLINE({
IF(E901="""",0,E901),
IF(G901="""",0,G901),
IF(I901="""",0,I901),
IF(K901="""",0,K901),
IF(M901="""",0,M901),
IF(O901="""",0,O901),
IF(Q901="""",0,Q901)
})"),"")</f>
        <v/>
      </c>
      <c r="V901" s="8" t="e">
        <f t="array" aca="1" ref="V901" ca="1">IF($C$4="Giao",_xludf.Xlookup(C901,#REF!,#REF!,),_xludf.Xlookup(C901,#REF!,#REF!,))</f>
        <v>#NAME?</v>
      </c>
      <c r="W901" s="8">
        <f t="array" ref="W901">IF($C$4="Giao", _xludf.Xlookup(C901,#REF!,#REF!,),)</f>
        <v>0</v>
      </c>
      <c r="X901" s="9">
        <f t="shared" si="10"/>
        <v>0</v>
      </c>
      <c r="Y901" s="7"/>
      <c r="Z901" s="7"/>
    </row>
    <row r="902" spans="1:26" ht="13" x14ac:dyDescent="0.6">
      <c r="A902" s="28" t="str">
        <f t="shared" si="9"/>
        <v/>
      </c>
      <c r="B902" s="7"/>
      <c r="C902" s="7"/>
      <c r="D902" s="9"/>
      <c r="E902" s="9"/>
      <c r="F902" s="9"/>
      <c r="G902" s="9"/>
      <c r="H902" s="9"/>
      <c r="I902" s="9"/>
      <c r="J902" s="9"/>
      <c r="K902" s="9"/>
      <c r="L902" s="9"/>
      <c r="M902" s="9"/>
      <c r="N902" s="9"/>
      <c r="O902" s="9"/>
      <c r="P902" s="29"/>
      <c r="Q902" s="29"/>
      <c r="R902" s="7"/>
      <c r="S902" s="7"/>
      <c r="T902" s="7" t="str">
        <f ca="1">IFERROR(__xludf.DUMMYFUNCTION("SPARKLINE({
IF(D902="""",0,D902),
IF(F902="""",0,F902),
IF(H902="""",0,H902),
IF(J902="""",0,J902),
IF(L902="""",0,L902),
IF(N902="""",0,N902),
IF(P902="""",0,P902)
})"),"")</f>
        <v/>
      </c>
      <c r="U902" s="7" t="str">
        <f ca="1">IFERROR(__xludf.DUMMYFUNCTION("SPARKLINE({
IF(E902="""",0,E902),
IF(G902="""",0,G902),
IF(I902="""",0,I902),
IF(K902="""",0,K902),
IF(M902="""",0,M902),
IF(O902="""",0,O902),
IF(Q902="""",0,Q902)
})"),"")</f>
        <v/>
      </c>
      <c r="V902" s="8" t="e">
        <f t="array" aca="1" ref="V902" ca="1">IF($C$4="Giao",_xludf.Xlookup(C902,#REF!,#REF!,),_xludf.Xlookup(C902,#REF!,#REF!,))</f>
        <v>#NAME?</v>
      </c>
      <c r="W902" s="8">
        <f t="array" ref="W902">IF($C$4="Giao", _xludf.Xlookup(C902,#REF!,#REF!,),)</f>
        <v>0</v>
      </c>
      <c r="X902" s="9">
        <f t="shared" si="10"/>
        <v>0</v>
      </c>
      <c r="Y902" s="7"/>
      <c r="Z902" s="7"/>
    </row>
    <row r="903" spans="1:26" ht="13" x14ac:dyDescent="0.6">
      <c r="A903" s="28" t="str">
        <f t="shared" si="9"/>
        <v/>
      </c>
      <c r="B903" s="7"/>
      <c r="C903" s="7"/>
      <c r="D903" s="9"/>
      <c r="E903" s="9"/>
      <c r="F903" s="9"/>
      <c r="G903" s="9"/>
      <c r="H903" s="9"/>
      <c r="I903" s="9"/>
      <c r="J903" s="9"/>
      <c r="K903" s="9"/>
      <c r="L903" s="9"/>
      <c r="M903" s="9"/>
      <c r="N903" s="9"/>
      <c r="O903" s="9"/>
      <c r="P903" s="29"/>
      <c r="Q903" s="29"/>
      <c r="R903" s="7"/>
      <c r="S903" s="7"/>
      <c r="T903" s="7" t="str">
        <f ca="1">IFERROR(__xludf.DUMMYFUNCTION("SPARKLINE({
IF(D903="""",0,D903),
IF(F903="""",0,F903),
IF(H903="""",0,H903),
IF(J903="""",0,J903),
IF(L903="""",0,L903),
IF(N903="""",0,N903),
IF(P903="""",0,P903)
})"),"")</f>
        <v/>
      </c>
      <c r="U903" s="7" t="str">
        <f ca="1">IFERROR(__xludf.DUMMYFUNCTION("SPARKLINE({
IF(E903="""",0,E903),
IF(G903="""",0,G903),
IF(I903="""",0,I903),
IF(K903="""",0,K903),
IF(M903="""",0,M903),
IF(O903="""",0,O903),
IF(Q903="""",0,Q903)
})"),"")</f>
        <v/>
      </c>
      <c r="V903" s="8" t="e">
        <f t="array" aca="1" ref="V903" ca="1">IF($C$4="Giao",_xludf.Xlookup(C903,#REF!,#REF!,),_xludf.Xlookup(C903,#REF!,#REF!,))</f>
        <v>#NAME?</v>
      </c>
      <c r="W903" s="8">
        <f t="array" ref="W903">IF($C$4="Giao", _xludf.Xlookup(C903,#REF!,#REF!,),)</f>
        <v>0</v>
      </c>
      <c r="X903" s="9">
        <f t="shared" si="10"/>
        <v>0</v>
      </c>
      <c r="Y903" s="7"/>
      <c r="Z903" s="7"/>
    </row>
    <row r="904" spans="1:26" ht="13" x14ac:dyDescent="0.6">
      <c r="A904" s="28" t="str">
        <f t="shared" si="9"/>
        <v/>
      </c>
      <c r="B904" s="7"/>
      <c r="C904" s="7"/>
      <c r="D904" s="9"/>
      <c r="E904" s="9"/>
      <c r="F904" s="9"/>
      <c r="G904" s="9"/>
      <c r="H904" s="9"/>
      <c r="I904" s="9"/>
      <c r="J904" s="9"/>
      <c r="K904" s="9"/>
      <c r="L904" s="9"/>
      <c r="M904" s="9"/>
      <c r="N904" s="9"/>
      <c r="O904" s="9"/>
      <c r="P904" s="29"/>
      <c r="Q904" s="29"/>
      <c r="R904" s="7"/>
      <c r="S904" s="7"/>
      <c r="T904" s="7" t="str">
        <f ca="1">IFERROR(__xludf.DUMMYFUNCTION("SPARKLINE({
IF(D904="""",0,D904),
IF(F904="""",0,F904),
IF(H904="""",0,H904),
IF(J904="""",0,J904),
IF(L904="""",0,L904),
IF(N904="""",0,N904),
IF(P904="""",0,P904)
})"),"")</f>
        <v/>
      </c>
      <c r="U904" s="7" t="str">
        <f ca="1">IFERROR(__xludf.DUMMYFUNCTION("SPARKLINE({
IF(E904="""",0,E904),
IF(G904="""",0,G904),
IF(I904="""",0,I904),
IF(K904="""",0,K904),
IF(M904="""",0,M904),
IF(O904="""",0,O904),
IF(Q904="""",0,Q904)
})"),"")</f>
        <v/>
      </c>
      <c r="V904" s="8" t="e">
        <f t="array" aca="1" ref="V904" ca="1">IF($C$4="Giao",_xludf.Xlookup(C904,#REF!,#REF!,),_xludf.Xlookup(C904,#REF!,#REF!,))</f>
        <v>#NAME?</v>
      </c>
      <c r="W904" s="8">
        <f t="array" ref="W904">IF($C$4="Giao", _xludf.Xlookup(C904,#REF!,#REF!,),)</f>
        <v>0</v>
      </c>
      <c r="X904" s="9">
        <f t="shared" si="10"/>
        <v>0</v>
      </c>
      <c r="Y904" s="7"/>
      <c r="Z904" s="7"/>
    </row>
    <row r="905" spans="1:26" ht="13" x14ac:dyDescent="0.6">
      <c r="A905" s="28" t="str">
        <f t="shared" si="9"/>
        <v/>
      </c>
      <c r="B905" s="7"/>
      <c r="C905" s="7"/>
      <c r="D905" s="9"/>
      <c r="E905" s="9"/>
      <c r="F905" s="9"/>
      <c r="G905" s="9"/>
      <c r="H905" s="9"/>
      <c r="I905" s="9"/>
      <c r="J905" s="9"/>
      <c r="K905" s="9"/>
      <c r="L905" s="9"/>
      <c r="M905" s="9"/>
      <c r="N905" s="9"/>
      <c r="O905" s="9"/>
      <c r="P905" s="29"/>
      <c r="Q905" s="29"/>
      <c r="R905" s="7"/>
      <c r="S905" s="7"/>
      <c r="T905" s="7" t="str">
        <f ca="1">IFERROR(__xludf.DUMMYFUNCTION("SPARKLINE({
IF(D905="""",0,D905),
IF(F905="""",0,F905),
IF(H905="""",0,H905),
IF(J905="""",0,J905),
IF(L905="""",0,L905),
IF(N905="""",0,N905),
IF(P905="""",0,P905)
})"),"")</f>
        <v/>
      </c>
      <c r="U905" s="7" t="str">
        <f ca="1">IFERROR(__xludf.DUMMYFUNCTION("SPARKLINE({
IF(E905="""",0,E905),
IF(G905="""",0,G905),
IF(I905="""",0,I905),
IF(K905="""",0,K905),
IF(M905="""",0,M905),
IF(O905="""",0,O905),
IF(Q905="""",0,Q905)
})"),"")</f>
        <v/>
      </c>
      <c r="V905" s="8" t="e">
        <f t="array" aca="1" ref="V905" ca="1">IF($C$4="Giao",_xludf.Xlookup(C905,#REF!,#REF!,),_xludf.Xlookup(C905,#REF!,#REF!,))</f>
        <v>#NAME?</v>
      </c>
      <c r="W905" s="8">
        <f t="array" ref="W905">IF($C$4="Giao", _xludf.Xlookup(C905,#REF!,#REF!,),)</f>
        <v>0</v>
      </c>
      <c r="X905" s="9">
        <f t="shared" si="10"/>
        <v>0</v>
      </c>
      <c r="Y905" s="7"/>
      <c r="Z905" s="7"/>
    </row>
    <row r="906" spans="1:26" ht="13" x14ac:dyDescent="0.6">
      <c r="A906" s="28" t="str">
        <f t="shared" si="9"/>
        <v/>
      </c>
      <c r="B906" s="7"/>
      <c r="C906" s="7"/>
      <c r="D906" s="9"/>
      <c r="E906" s="9"/>
      <c r="F906" s="9"/>
      <c r="G906" s="9"/>
      <c r="H906" s="9"/>
      <c r="I906" s="9"/>
      <c r="J906" s="9"/>
      <c r="K906" s="9"/>
      <c r="L906" s="9"/>
      <c r="M906" s="9"/>
      <c r="N906" s="9"/>
      <c r="O906" s="9"/>
      <c r="P906" s="29"/>
      <c r="Q906" s="29"/>
      <c r="R906" s="7"/>
      <c r="S906" s="7"/>
      <c r="T906" s="7" t="str">
        <f ca="1">IFERROR(__xludf.DUMMYFUNCTION("SPARKLINE({
IF(D906="""",0,D906),
IF(F906="""",0,F906),
IF(H906="""",0,H906),
IF(J906="""",0,J906),
IF(L906="""",0,L906),
IF(N906="""",0,N906),
IF(P906="""",0,P906)
})"),"")</f>
        <v/>
      </c>
      <c r="U906" s="7" t="str">
        <f ca="1">IFERROR(__xludf.DUMMYFUNCTION("SPARKLINE({
IF(E906="""",0,E906),
IF(G906="""",0,G906),
IF(I906="""",0,I906),
IF(K906="""",0,K906),
IF(M906="""",0,M906),
IF(O906="""",0,O906),
IF(Q906="""",0,Q906)
})"),"")</f>
        <v/>
      </c>
      <c r="V906" s="8" t="e">
        <f t="array" aca="1" ref="V906" ca="1">IF($C$4="Giao",_xludf.Xlookup(C906,#REF!,#REF!,),_xludf.Xlookup(C906,#REF!,#REF!,))</f>
        <v>#NAME?</v>
      </c>
      <c r="W906" s="8">
        <f t="array" ref="W906">IF($C$4="Giao", _xludf.Xlookup(C906,#REF!,#REF!,),)</f>
        <v>0</v>
      </c>
      <c r="X906" s="9">
        <f t="shared" si="10"/>
        <v>0</v>
      </c>
      <c r="Y906" s="7"/>
      <c r="Z906" s="7"/>
    </row>
    <row r="907" spans="1:26" ht="13" x14ac:dyDescent="0.6">
      <c r="A907" s="28" t="str">
        <f t="shared" si="9"/>
        <v/>
      </c>
      <c r="B907" s="7"/>
      <c r="C907" s="7"/>
      <c r="D907" s="9"/>
      <c r="E907" s="9"/>
      <c r="F907" s="9"/>
      <c r="G907" s="9"/>
      <c r="H907" s="9"/>
      <c r="I907" s="9"/>
      <c r="J907" s="9"/>
      <c r="K907" s="9"/>
      <c r="L907" s="9"/>
      <c r="M907" s="9"/>
      <c r="N907" s="9"/>
      <c r="O907" s="9"/>
      <c r="P907" s="29"/>
      <c r="Q907" s="29"/>
      <c r="R907" s="7"/>
      <c r="S907" s="7"/>
      <c r="T907" s="7" t="str">
        <f ca="1">IFERROR(__xludf.DUMMYFUNCTION("SPARKLINE({
IF(D907="""",0,D907),
IF(F907="""",0,F907),
IF(H907="""",0,H907),
IF(J907="""",0,J907),
IF(L907="""",0,L907),
IF(N907="""",0,N907),
IF(P907="""",0,P907)
})"),"")</f>
        <v/>
      </c>
      <c r="U907" s="7" t="str">
        <f ca="1">IFERROR(__xludf.DUMMYFUNCTION("SPARKLINE({
IF(E907="""",0,E907),
IF(G907="""",0,G907),
IF(I907="""",0,I907),
IF(K907="""",0,K907),
IF(M907="""",0,M907),
IF(O907="""",0,O907),
IF(Q907="""",0,Q907)
})"),"")</f>
        <v/>
      </c>
      <c r="V907" s="8" t="e">
        <f t="array" aca="1" ref="V907" ca="1">IF($C$4="Giao",_xludf.Xlookup(C907,#REF!,#REF!,),_xludf.Xlookup(C907,#REF!,#REF!,))</f>
        <v>#NAME?</v>
      </c>
      <c r="W907" s="8">
        <f t="array" ref="W907">IF($C$4="Giao", _xludf.Xlookup(C907,#REF!,#REF!,),)</f>
        <v>0</v>
      </c>
      <c r="X907" s="9">
        <f t="shared" si="10"/>
        <v>0</v>
      </c>
      <c r="Y907" s="7"/>
      <c r="Z907" s="7"/>
    </row>
    <row r="908" spans="1:26" ht="13" x14ac:dyDescent="0.6">
      <c r="A908" s="28" t="str">
        <f t="shared" si="9"/>
        <v/>
      </c>
      <c r="B908" s="7"/>
      <c r="C908" s="7"/>
      <c r="D908" s="9"/>
      <c r="E908" s="9"/>
      <c r="F908" s="9"/>
      <c r="G908" s="9"/>
      <c r="H908" s="9"/>
      <c r="I908" s="9"/>
      <c r="J908" s="9"/>
      <c r="K908" s="9"/>
      <c r="L908" s="9"/>
      <c r="M908" s="9"/>
      <c r="N908" s="9"/>
      <c r="O908" s="9"/>
      <c r="P908" s="29"/>
      <c r="Q908" s="29"/>
      <c r="R908" s="7"/>
      <c r="S908" s="7"/>
      <c r="T908" s="7" t="str">
        <f ca="1">IFERROR(__xludf.DUMMYFUNCTION("SPARKLINE({
IF(D908="""",0,D908),
IF(F908="""",0,F908),
IF(H908="""",0,H908),
IF(J908="""",0,J908),
IF(L908="""",0,L908),
IF(N908="""",0,N908),
IF(P908="""",0,P908)
})"),"")</f>
        <v/>
      </c>
      <c r="U908" s="7" t="str">
        <f ca="1">IFERROR(__xludf.DUMMYFUNCTION("SPARKLINE({
IF(E908="""",0,E908),
IF(G908="""",0,G908),
IF(I908="""",0,I908),
IF(K908="""",0,K908),
IF(M908="""",0,M908),
IF(O908="""",0,O908),
IF(Q908="""",0,Q908)
})"),"")</f>
        <v/>
      </c>
      <c r="V908" s="8" t="e">
        <f t="array" aca="1" ref="V908" ca="1">IF($C$4="Giao",_xludf.Xlookup(C908,#REF!,#REF!,),_xludf.Xlookup(C908,#REF!,#REF!,))</f>
        <v>#NAME?</v>
      </c>
      <c r="W908" s="8">
        <f t="array" ref="W908">IF($C$4="Giao", _xludf.Xlookup(C908,#REF!,#REF!,),)</f>
        <v>0</v>
      </c>
      <c r="X908" s="9">
        <f t="shared" si="10"/>
        <v>0</v>
      </c>
      <c r="Y908" s="7"/>
      <c r="Z908" s="7"/>
    </row>
    <row r="909" spans="1:26" ht="13" x14ac:dyDescent="0.6">
      <c r="A909" s="28" t="str">
        <f t="shared" si="9"/>
        <v/>
      </c>
      <c r="B909" s="7"/>
      <c r="C909" s="7"/>
      <c r="D909" s="9"/>
      <c r="E909" s="9"/>
      <c r="F909" s="9"/>
      <c r="G909" s="9"/>
      <c r="H909" s="9"/>
      <c r="I909" s="9"/>
      <c r="J909" s="9"/>
      <c r="K909" s="9"/>
      <c r="L909" s="9"/>
      <c r="M909" s="9"/>
      <c r="N909" s="9"/>
      <c r="O909" s="9"/>
      <c r="P909" s="29"/>
      <c r="Q909" s="29"/>
      <c r="R909" s="7"/>
      <c r="S909" s="7"/>
      <c r="T909" s="7" t="str">
        <f ca="1">IFERROR(__xludf.DUMMYFUNCTION("SPARKLINE({
IF(D909="""",0,D909),
IF(F909="""",0,F909),
IF(H909="""",0,H909),
IF(J909="""",0,J909),
IF(L909="""",0,L909),
IF(N909="""",0,N909),
IF(P909="""",0,P909)
})"),"")</f>
        <v/>
      </c>
      <c r="U909" s="7" t="str">
        <f ca="1">IFERROR(__xludf.DUMMYFUNCTION("SPARKLINE({
IF(E909="""",0,E909),
IF(G909="""",0,G909),
IF(I909="""",0,I909),
IF(K909="""",0,K909),
IF(M909="""",0,M909),
IF(O909="""",0,O909),
IF(Q909="""",0,Q909)
})"),"")</f>
        <v/>
      </c>
      <c r="V909" s="8" t="e">
        <f t="array" aca="1" ref="V909" ca="1">IF($C$4="Giao",_xludf.Xlookup(C909,#REF!,#REF!,),_xludf.Xlookup(C909,#REF!,#REF!,))</f>
        <v>#NAME?</v>
      </c>
      <c r="W909" s="8">
        <f t="array" ref="W909">IF($C$4="Giao", _xludf.Xlookup(C909,#REF!,#REF!,),)</f>
        <v>0</v>
      </c>
      <c r="X909" s="9">
        <f t="shared" si="10"/>
        <v>0</v>
      </c>
      <c r="Y909" s="7"/>
      <c r="Z909" s="7"/>
    </row>
    <row r="910" spans="1:26" ht="13" x14ac:dyDescent="0.6">
      <c r="A910" s="28" t="str">
        <f t="shared" si="9"/>
        <v/>
      </c>
      <c r="B910" s="7"/>
      <c r="C910" s="7"/>
      <c r="D910" s="9"/>
      <c r="E910" s="9"/>
      <c r="F910" s="9"/>
      <c r="G910" s="9"/>
      <c r="H910" s="9"/>
      <c r="I910" s="9"/>
      <c r="J910" s="9"/>
      <c r="K910" s="9"/>
      <c r="L910" s="9"/>
      <c r="M910" s="9"/>
      <c r="N910" s="9"/>
      <c r="O910" s="9"/>
      <c r="P910" s="29"/>
      <c r="Q910" s="29"/>
      <c r="R910" s="7"/>
      <c r="S910" s="7"/>
      <c r="T910" s="7" t="str">
        <f ca="1">IFERROR(__xludf.DUMMYFUNCTION("SPARKLINE({
IF(D910="""",0,D910),
IF(F910="""",0,F910),
IF(H910="""",0,H910),
IF(J910="""",0,J910),
IF(L910="""",0,L910),
IF(N910="""",0,N910),
IF(P910="""",0,P910)
})"),"")</f>
        <v/>
      </c>
      <c r="U910" s="7" t="str">
        <f ca="1">IFERROR(__xludf.DUMMYFUNCTION("SPARKLINE({
IF(E910="""",0,E910),
IF(G910="""",0,G910),
IF(I910="""",0,I910),
IF(K910="""",0,K910),
IF(M910="""",0,M910),
IF(O910="""",0,O910),
IF(Q910="""",0,Q910)
})"),"")</f>
        <v/>
      </c>
      <c r="V910" s="8" t="e">
        <f t="array" aca="1" ref="V910" ca="1">IF($C$4="Giao",_xludf.Xlookup(C910,#REF!,#REF!,),_xludf.Xlookup(C910,#REF!,#REF!,))</f>
        <v>#NAME?</v>
      </c>
      <c r="W910" s="8">
        <f t="array" ref="W910">IF($C$4="Giao", _xludf.Xlookup(C910,#REF!,#REF!,),)</f>
        <v>0</v>
      </c>
      <c r="X910" s="9">
        <f t="shared" si="10"/>
        <v>0</v>
      </c>
      <c r="Y910" s="7"/>
      <c r="Z910" s="7"/>
    </row>
    <row r="911" spans="1:26" ht="13" x14ac:dyDescent="0.6">
      <c r="A911" s="28" t="str">
        <f t="shared" si="9"/>
        <v/>
      </c>
      <c r="B911" s="7"/>
      <c r="C911" s="7"/>
      <c r="D911" s="9"/>
      <c r="E911" s="9"/>
      <c r="F911" s="9"/>
      <c r="G911" s="9"/>
      <c r="H911" s="9"/>
      <c r="I911" s="9"/>
      <c r="J911" s="9"/>
      <c r="K911" s="9"/>
      <c r="L911" s="9"/>
      <c r="M911" s="9"/>
      <c r="N911" s="9"/>
      <c r="O911" s="9"/>
      <c r="P911" s="29"/>
      <c r="Q911" s="29"/>
      <c r="R911" s="7"/>
      <c r="S911" s="7"/>
      <c r="T911" s="7" t="str">
        <f ca="1">IFERROR(__xludf.DUMMYFUNCTION("SPARKLINE({
IF(D911="""",0,D911),
IF(F911="""",0,F911),
IF(H911="""",0,H911),
IF(J911="""",0,J911),
IF(L911="""",0,L911),
IF(N911="""",0,N911),
IF(P911="""",0,P911)
})"),"")</f>
        <v/>
      </c>
      <c r="U911" s="7" t="str">
        <f ca="1">IFERROR(__xludf.DUMMYFUNCTION("SPARKLINE({
IF(E911="""",0,E911),
IF(G911="""",0,G911),
IF(I911="""",0,I911),
IF(K911="""",0,K911),
IF(M911="""",0,M911),
IF(O911="""",0,O911),
IF(Q911="""",0,Q911)
})"),"")</f>
        <v/>
      </c>
      <c r="V911" s="8" t="e">
        <f t="array" aca="1" ref="V911" ca="1">IF($C$4="Giao",_xludf.Xlookup(C911,#REF!,#REF!,),_xludf.Xlookup(C911,#REF!,#REF!,))</f>
        <v>#NAME?</v>
      </c>
      <c r="W911" s="8">
        <f t="array" ref="W911">IF($C$4="Giao", _xludf.Xlookup(C911,#REF!,#REF!,),)</f>
        <v>0</v>
      </c>
      <c r="X911" s="9">
        <f t="shared" si="10"/>
        <v>0</v>
      </c>
      <c r="Y911" s="7"/>
      <c r="Z911" s="7"/>
    </row>
    <row r="912" spans="1:26" ht="13" x14ac:dyDescent="0.6">
      <c r="A912" s="28" t="str">
        <f t="shared" si="9"/>
        <v/>
      </c>
      <c r="B912" s="7"/>
      <c r="C912" s="7"/>
      <c r="D912" s="9"/>
      <c r="E912" s="9"/>
      <c r="F912" s="9"/>
      <c r="G912" s="9"/>
      <c r="H912" s="9"/>
      <c r="I912" s="9"/>
      <c r="J912" s="9"/>
      <c r="K912" s="9"/>
      <c r="L912" s="9"/>
      <c r="M912" s="9"/>
      <c r="N912" s="9"/>
      <c r="O912" s="9"/>
      <c r="P912" s="29"/>
      <c r="Q912" s="29"/>
      <c r="R912" s="7"/>
      <c r="S912" s="7"/>
      <c r="T912" s="7" t="str">
        <f ca="1">IFERROR(__xludf.DUMMYFUNCTION("SPARKLINE({
IF(D912="""",0,D912),
IF(F912="""",0,F912),
IF(H912="""",0,H912),
IF(J912="""",0,J912),
IF(L912="""",0,L912),
IF(N912="""",0,N912),
IF(P912="""",0,P912)
})"),"")</f>
        <v/>
      </c>
      <c r="U912" s="7" t="str">
        <f ca="1">IFERROR(__xludf.DUMMYFUNCTION("SPARKLINE({
IF(E912="""",0,E912),
IF(G912="""",0,G912),
IF(I912="""",0,I912),
IF(K912="""",0,K912),
IF(M912="""",0,M912),
IF(O912="""",0,O912),
IF(Q912="""",0,Q912)
})"),"")</f>
        <v/>
      </c>
      <c r="V912" s="8" t="e">
        <f t="array" aca="1" ref="V912" ca="1">IF($C$4="Giao",_xludf.Xlookup(C912,#REF!,#REF!,),_xludf.Xlookup(C912,#REF!,#REF!,))</f>
        <v>#NAME?</v>
      </c>
      <c r="W912" s="8">
        <f t="array" ref="W912">IF($C$4="Giao", _xludf.Xlookup(C912,#REF!,#REF!,),)</f>
        <v>0</v>
      </c>
      <c r="X912" s="9">
        <f t="shared" si="10"/>
        <v>0</v>
      </c>
      <c r="Y912" s="7"/>
      <c r="Z912" s="7"/>
    </row>
    <row r="913" spans="1:26" ht="13" x14ac:dyDescent="0.6">
      <c r="A913" s="28" t="str">
        <f t="shared" si="9"/>
        <v/>
      </c>
      <c r="B913" s="7"/>
      <c r="C913" s="7"/>
      <c r="D913" s="9"/>
      <c r="E913" s="9"/>
      <c r="F913" s="9"/>
      <c r="G913" s="9"/>
      <c r="H913" s="9"/>
      <c r="I913" s="9"/>
      <c r="J913" s="9"/>
      <c r="K913" s="9"/>
      <c r="L913" s="9"/>
      <c r="M913" s="9"/>
      <c r="N913" s="9"/>
      <c r="O913" s="9"/>
      <c r="P913" s="29"/>
      <c r="Q913" s="29"/>
      <c r="R913" s="7"/>
      <c r="S913" s="7"/>
      <c r="T913" s="7" t="str">
        <f ca="1">IFERROR(__xludf.DUMMYFUNCTION("SPARKLINE({
IF(D913="""",0,D913),
IF(F913="""",0,F913),
IF(H913="""",0,H913),
IF(J913="""",0,J913),
IF(L913="""",0,L913),
IF(N913="""",0,N913),
IF(P913="""",0,P913)
})"),"")</f>
        <v/>
      </c>
      <c r="U913" s="7" t="str">
        <f ca="1">IFERROR(__xludf.DUMMYFUNCTION("SPARKLINE({
IF(E913="""",0,E913),
IF(G913="""",0,G913),
IF(I913="""",0,I913),
IF(K913="""",0,K913),
IF(M913="""",0,M913),
IF(O913="""",0,O913),
IF(Q913="""",0,Q913)
})"),"")</f>
        <v/>
      </c>
      <c r="V913" s="8" t="e">
        <f t="array" aca="1" ref="V913" ca="1">IF($C$4="Giao",_xludf.Xlookup(C913,#REF!,#REF!,),_xludf.Xlookup(C913,#REF!,#REF!,))</f>
        <v>#NAME?</v>
      </c>
      <c r="W913" s="8">
        <f t="array" ref="W913">IF($C$4="Giao", _xludf.Xlookup(C913,#REF!,#REF!,),)</f>
        <v>0</v>
      </c>
      <c r="X913" s="9">
        <f t="shared" si="10"/>
        <v>0</v>
      </c>
      <c r="Y913" s="7"/>
      <c r="Z913" s="7"/>
    </row>
    <row r="914" spans="1:26" ht="13" x14ac:dyDescent="0.6">
      <c r="A914" s="28" t="str">
        <f t="shared" si="9"/>
        <v/>
      </c>
      <c r="B914" s="7"/>
      <c r="C914" s="7"/>
      <c r="D914" s="9"/>
      <c r="E914" s="9"/>
      <c r="F914" s="9"/>
      <c r="G914" s="9"/>
      <c r="H914" s="9"/>
      <c r="I914" s="9"/>
      <c r="J914" s="9"/>
      <c r="K914" s="9"/>
      <c r="L914" s="9"/>
      <c r="M914" s="9"/>
      <c r="N914" s="9"/>
      <c r="O914" s="9"/>
      <c r="P914" s="29"/>
      <c r="Q914" s="29"/>
      <c r="R914" s="7"/>
      <c r="S914" s="7"/>
      <c r="T914" s="7" t="str">
        <f ca="1">IFERROR(__xludf.DUMMYFUNCTION("SPARKLINE({
IF(D914="""",0,D914),
IF(F914="""",0,F914),
IF(H914="""",0,H914),
IF(J914="""",0,J914),
IF(L914="""",0,L914),
IF(N914="""",0,N914),
IF(P914="""",0,P914)
})"),"")</f>
        <v/>
      </c>
      <c r="U914" s="7" t="str">
        <f ca="1">IFERROR(__xludf.DUMMYFUNCTION("SPARKLINE({
IF(E914="""",0,E914),
IF(G914="""",0,G914),
IF(I914="""",0,I914),
IF(K914="""",0,K914),
IF(M914="""",0,M914),
IF(O914="""",0,O914),
IF(Q914="""",0,Q914)
})"),"")</f>
        <v/>
      </c>
      <c r="V914" s="8" t="e">
        <f t="array" aca="1" ref="V914" ca="1">IF($C$4="Giao",_xludf.Xlookup(C914,#REF!,#REF!,),_xludf.Xlookup(C914,#REF!,#REF!,))</f>
        <v>#NAME?</v>
      </c>
      <c r="W914" s="8">
        <f t="array" ref="W914">IF($C$4="Giao", _xludf.Xlookup(C914,#REF!,#REF!,),)</f>
        <v>0</v>
      </c>
      <c r="X914" s="9">
        <f t="shared" si="10"/>
        <v>0</v>
      </c>
      <c r="Y914" s="7"/>
      <c r="Z914" s="7"/>
    </row>
    <row r="915" spans="1:26" ht="13" x14ac:dyDescent="0.6">
      <c r="A915" s="28" t="str">
        <f t="shared" si="9"/>
        <v/>
      </c>
      <c r="B915" s="7"/>
      <c r="C915" s="7"/>
      <c r="D915" s="9"/>
      <c r="E915" s="9"/>
      <c r="F915" s="9"/>
      <c r="G915" s="9"/>
      <c r="H915" s="9"/>
      <c r="I915" s="9"/>
      <c r="J915" s="9"/>
      <c r="K915" s="9"/>
      <c r="L915" s="9"/>
      <c r="M915" s="9"/>
      <c r="N915" s="9"/>
      <c r="O915" s="9"/>
      <c r="P915" s="29"/>
      <c r="Q915" s="29"/>
      <c r="R915" s="7"/>
      <c r="S915" s="7"/>
      <c r="T915" s="7" t="str">
        <f ca="1">IFERROR(__xludf.DUMMYFUNCTION("SPARKLINE({
IF(D915="""",0,D915),
IF(F915="""",0,F915),
IF(H915="""",0,H915),
IF(J915="""",0,J915),
IF(L915="""",0,L915),
IF(N915="""",0,N915),
IF(P915="""",0,P915)
})"),"")</f>
        <v/>
      </c>
      <c r="U915" s="7" t="str">
        <f ca="1">IFERROR(__xludf.DUMMYFUNCTION("SPARKLINE({
IF(E915="""",0,E915),
IF(G915="""",0,G915),
IF(I915="""",0,I915),
IF(K915="""",0,K915),
IF(M915="""",0,M915),
IF(O915="""",0,O915),
IF(Q915="""",0,Q915)
})"),"")</f>
        <v/>
      </c>
      <c r="V915" s="8" t="e">
        <f t="array" aca="1" ref="V915" ca="1">IF($C$4="Giao",_xludf.Xlookup(C915,#REF!,#REF!,),_xludf.Xlookup(C915,#REF!,#REF!,))</f>
        <v>#NAME?</v>
      </c>
      <c r="W915" s="8">
        <f t="array" ref="W915">IF($C$4="Giao", _xludf.Xlookup(C915,#REF!,#REF!,),)</f>
        <v>0</v>
      </c>
      <c r="X915" s="9">
        <f t="shared" si="10"/>
        <v>0</v>
      </c>
      <c r="Y915" s="7"/>
      <c r="Z915" s="7"/>
    </row>
    <row r="916" spans="1:26" ht="13" x14ac:dyDescent="0.6">
      <c r="A916" s="28" t="str">
        <f t="shared" si="9"/>
        <v/>
      </c>
      <c r="B916" s="7"/>
      <c r="C916" s="7"/>
      <c r="D916" s="9"/>
      <c r="E916" s="9"/>
      <c r="F916" s="9"/>
      <c r="G916" s="9"/>
      <c r="H916" s="9"/>
      <c r="I916" s="9"/>
      <c r="J916" s="9"/>
      <c r="K916" s="9"/>
      <c r="L916" s="9"/>
      <c r="M916" s="9"/>
      <c r="N916" s="9"/>
      <c r="O916" s="9"/>
      <c r="P916" s="29"/>
      <c r="Q916" s="29"/>
      <c r="R916" s="7"/>
      <c r="S916" s="7"/>
      <c r="T916" s="7" t="str">
        <f ca="1">IFERROR(__xludf.DUMMYFUNCTION("SPARKLINE({
IF(D916="""",0,D916),
IF(F916="""",0,F916),
IF(H916="""",0,H916),
IF(J916="""",0,J916),
IF(L916="""",0,L916),
IF(N916="""",0,N916),
IF(P916="""",0,P916)
})"),"")</f>
        <v/>
      </c>
      <c r="U916" s="7" t="str">
        <f ca="1">IFERROR(__xludf.DUMMYFUNCTION("SPARKLINE({
IF(E916="""",0,E916),
IF(G916="""",0,G916),
IF(I916="""",0,I916),
IF(K916="""",0,K916),
IF(M916="""",0,M916),
IF(O916="""",0,O916),
IF(Q916="""",0,Q916)
})"),"")</f>
        <v/>
      </c>
      <c r="V916" s="8" t="e">
        <f t="array" aca="1" ref="V916" ca="1">IF($C$4="Giao",_xludf.Xlookup(C916,#REF!,#REF!,),_xludf.Xlookup(C916,#REF!,#REF!,))</f>
        <v>#NAME?</v>
      </c>
      <c r="W916" s="8">
        <f t="array" ref="W916">IF($C$4="Giao", _xludf.Xlookup(C916,#REF!,#REF!,),)</f>
        <v>0</v>
      </c>
      <c r="X916" s="9">
        <f t="shared" si="10"/>
        <v>0</v>
      </c>
      <c r="Y916" s="7"/>
      <c r="Z916" s="7"/>
    </row>
    <row r="917" spans="1:26" ht="13" x14ac:dyDescent="0.6">
      <c r="A917" s="28" t="str">
        <f t="shared" si="9"/>
        <v/>
      </c>
      <c r="B917" s="7"/>
      <c r="C917" s="7"/>
      <c r="D917" s="9"/>
      <c r="E917" s="9"/>
      <c r="F917" s="9"/>
      <c r="G917" s="9"/>
      <c r="H917" s="9"/>
      <c r="I917" s="9"/>
      <c r="J917" s="9"/>
      <c r="K917" s="9"/>
      <c r="L917" s="9"/>
      <c r="M917" s="9"/>
      <c r="N917" s="9"/>
      <c r="O917" s="9"/>
      <c r="P917" s="29"/>
      <c r="Q917" s="29"/>
      <c r="R917" s="7"/>
      <c r="S917" s="7"/>
      <c r="T917" s="7" t="str">
        <f ca="1">IFERROR(__xludf.DUMMYFUNCTION("SPARKLINE({
IF(D917="""",0,D917),
IF(F917="""",0,F917),
IF(H917="""",0,H917),
IF(J917="""",0,J917),
IF(L917="""",0,L917),
IF(N917="""",0,N917),
IF(P917="""",0,P917)
})"),"")</f>
        <v/>
      </c>
      <c r="U917" s="7" t="str">
        <f ca="1">IFERROR(__xludf.DUMMYFUNCTION("SPARKLINE({
IF(E917="""",0,E917),
IF(G917="""",0,G917),
IF(I917="""",0,I917),
IF(K917="""",0,K917),
IF(M917="""",0,M917),
IF(O917="""",0,O917),
IF(Q917="""",0,Q917)
})"),"")</f>
        <v/>
      </c>
      <c r="V917" s="8" t="e">
        <f t="array" aca="1" ref="V917" ca="1">IF($C$4="Giao",_xludf.Xlookup(C917,#REF!,#REF!,),_xludf.Xlookup(C917,#REF!,#REF!,))</f>
        <v>#NAME?</v>
      </c>
      <c r="W917" s="8">
        <f t="array" ref="W917">IF($C$4="Giao", _xludf.Xlookup(C917,#REF!,#REF!,),)</f>
        <v>0</v>
      </c>
      <c r="X917" s="9">
        <f t="shared" si="10"/>
        <v>0</v>
      </c>
      <c r="Y917" s="7"/>
      <c r="Z917" s="7"/>
    </row>
    <row r="918" spans="1:26" ht="13" x14ac:dyDescent="0.6">
      <c r="A918" s="28" t="str">
        <f t="shared" si="9"/>
        <v/>
      </c>
      <c r="B918" s="7"/>
      <c r="C918" s="7"/>
      <c r="D918" s="9"/>
      <c r="E918" s="9"/>
      <c r="F918" s="9"/>
      <c r="G918" s="9"/>
      <c r="H918" s="9"/>
      <c r="I918" s="9"/>
      <c r="J918" s="9"/>
      <c r="K918" s="9"/>
      <c r="L918" s="9"/>
      <c r="M918" s="9"/>
      <c r="N918" s="9"/>
      <c r="O918" s="9"/>
      <c r="P918" s="29"/>
      <c r="Q918" s="29"/>
      <c r="R918" s="7"/>
      <c r="S918" s="7"/>
      <c r="T918" s="7" t="str">
        <f ca="1">IFERROR(__xludf.DUMMYFUNCTION("SPARKLINE({
IF(D918="""",0,D918),
IF(F918="""",0,F918),
IF(H918="""",0,H918),
IF(J918="""",0,J918),
IF(L918="""",0,L918),
IF(N918="""",0,N918),
IF(P918="""",0,P918)
})"),"")</f>
        <v/>
      </c>
      <c r="U918" s="7" t="str">
        <f ca="1">IFERROR(__xludf.DUMMYFUNCTION("SPARKLINE({
IF(E918="""",0,E918),
IF(G918="""",0,G918),
IF(I918="""",0,I918),
IF(K918="""",0,K918),
IF(M918="""",0,M918),
IF(O918="""",0,O918),
IF(Q918="""",0,Q918)
})"),"")</f>
        <v/>
      </c>
      <c r="V918" s="8" t="e">
        <f t="array" aca="1" ref="V918" ca="1">IF($C$4="Giao",_xludf.Xlookup(C918,#REF!,#REF!,),_xludf.Xlookup(C918,#REF!,#REF!,))</f>
        <v>#NAME?</v>
      </c>
      <c r="W918" s="8">
        <f t="array" ref="W918">IF($C$4="Giao", _xludf.Xlookup(C918,#REF!,#REF!,),)</f>
        <v>0</v>
      </c>
      <c r="X918" s="9">
        <f t="shared" si="10"/>
        <v>0</v>
      </c>
      <c r="Y918" s="7"/>
      <c r="Z918" s="7"/>
    </row>
    <row r="919" spans="1:26" ht="13" x14ac:dyDescent="0.6">
      <c r="A919" s="28" t="str">
        <f t="shared" si="9"/>
        <v/>
      </c>
      <c r="B919" s="7"/>
      <c r="C919" s="7"/>
      <c r="D919" s="9"/>
      <c r="E919" s="9"/>
      <c r="F919" s="9"/>
      <c r="G919" s="9"/>
      <c r="H919" s="9"/>
      <c r="I919" s="9"/>
      <c r="J919" s="9"/>
      <c r="K919" s="9"/>
      <c r="L919" s="9"/>
      <c r="M919" s="9"/>
      <c r="N919" s="9"/>
      <c r="O919" s="9"/>
      <c r="P919" s="29"/>
      <c r="Q919" s="29"/>
      <c r="R919" s="7"/>
      <c r="S919" s="7"/>
      <c r="T919" s="7" t="str">
        <f ca="1">IFERROR(__xludf.DUMMYFUNCTION("SPARKLINE({
IF(D919="""",0,D919),
IF(F919="""",0,F919),
IF(H919="""",0,H919),
IF(J919="""",0,J919),
IF(L919="""",0,L919),
IF(N919="""",0,N919),
IF(P919="""",0,P919)
})"),"")</f>
        <v/>
      </c>
      <c r="U919" s="7" t="str">
        <f ca="1">IFERROR(__xludf.DUMMYFUNCTION("SPARKLINE({
IF(E919="""",0,E919),
IF(G919="""",0,G919),
IF(I919="""",0,I919),
IF(K919="""",0,K919),
IF(M919="""",0,M919),
IF(O919="""",0,O919),
IF(Q919="""",0,Q919)
})"),"")</f>
        <v/>
      </c>
      <c r="V919" s="8" t="e">
        <f t="array" aca="1" ref="V919" ca="1">IF($C$4="Giao",_xludf.Xlookup(C919,#REF!,#REF!,),_xludf.Xlookup(C919,#REF!,#REF!,))</f>
        <v>#NAME?</v>
      </c>
      <c r="W919" s="8">
        <f t="array" ref="W919">IF($C$4="Giao", _xludf.Xlookup(C919,#REF!,#REF!,),)</f>
        <v>0</v>
      </c>
      <c r="X919" s="9">
        <f t="shared" si="10"/>
        <v>0</v>
      </c>
      <c r="Y919" s="7"/>
      <c r="Z919" s="7"/>
    </row>
    <row r="920" spans="1:26" ht="13" x14ac:dyDescent="0.6">
      <c r="A920" s="28" t="str">
        <f t="shared" si="9"/>
        <v/>
      </c>
      <c r="B920" s="7"/>
      <c r="C920" s="7"/>
      <c r="D920" s="9"/>
      <c r="E920" s="9"/>
      <c r="F920" s="9"/>
      <c r="G920" s="9"/>
      <c r="H920" s="9"/>
      <c r="I920" s="9"/>
      <c r="J920" s="9"/>
      <c r="K920" s="9"/>
      <c r="L920" s="9"/>
      <c r="M920" s="9"/>
      <c r="N920" s="9"/>
      <c r="O920" s="9"/>
      <c r="P920" s="29"/>
      <c r="Q920" s="29"/>
      <c r="R920" s="7"/>
      <c r="S920" s="7"/>
      <c r="T920" s="7" t="str">
        <f ca="1">IFERROR(__xludf.DUMMYFUNCTION("SPARKLINE({
IF(D920="""",0,D920),
IF(F920="""",0,F920),
IF(H920="""",0,H920),
IF(J920="""",0,J920),
IF(L920="""",0,L920),
IF(N920="""",0,N920),
IF(P920="""",0,P920)
})"),"")</f>
        <v/>
      </c>
      <c r="U920" s="7" t="str">
        <f ca="1">IFERROR(__xludf.DUMMYFUNCTION("SPARKLINE({
IF(E920="""",0,E920),
IF(G920="""",0,G920),
IF(I920="""",0,I920),
IF(K920="""",0,K920),
IF(M920="""",0,M920),
IF(O920="""",0,O920),
IF(Q920="""",0,Q920)
})"),"")</f>
        <v/>
      </c>
      <c r="V920" s="8" t="e">
        <f t="array" aca="1" ref="V920" ca="1">IF($C$4="Giao",_xludf.Xlookup(C920,#REF!,#REF!,),_xludf.Xlookup(C920,#REF!,#REF!,))</f>
        <v>#NAME?</v>
      </c>
      <c r="W920" s="8">
        <f t="array" ref="W920">IF($C$4="Giao", _xludf.Xlookup(C920,#REF!,#REF!,),)</f>
        <v>0</v>
      </c>
      <c r="X920" s="9">
        <f t="shared" si="10"/>
        <v>0</v>
      </c>
      <c r="Y920" s="7"/>
      <c r="Z920" s="7"/>
    </row>
    <row r="921" spans="1:26" ht="13" x14ac:dyDescent="0.6">
      <c r="A921" s="28" t="str">
        <f t="shared" si="9"/>
        <v/>
      </c>
      <c r="B921" s="7"/>
      <c r="C921" s="7"/>
      <c r="D921" s="9"/>
      <c r="E921" s="9"/>
      <c r="F921" s="9"/>
      <c r="G921" s="9"/>
      <c r="H921" s="9"/>
      <c r="I921" s="9"/>
      <c r="J921" s="9"/>
      <c r="K921" s="9"/>
      <c r="L921" s="9"/>
      <c r="M921" s="9"/>
      <c r="N921" s="9"/>
      <c r="O921" s="9"/>
      <c r="P921" s="29"/>
      <c r="Q921" s="29"/>
      <c r="R921" s="7"/>
      <c r="S921" s="7"/>
      <c r="T921" s="7" t="str">
        <f ca="1">IFERROR(__xludf.DUMMYFUNCTION("SPARKLINE({
IF(D921="""",0,D921),
IF(F921="""",0,F921),
IF(H921="""",0,H921),
IF(J921="""",0,J921),
IF(L921="""",0,L921),
IF(N921="""",0,N921),
IF(P921="""",0,P921)
})"),"")</f>
        <v/>
      </c>
      <c r="U921" s="7" t="str">
        <f ca="1">IFERROR(__xludf.DUMMYFUNCTION("SPARKLINE({
IF(E921="""",0,E921),
IF(G921="""",0,G921),
IF(I921="""",0,I921),
IF(K921="""",0,K921),
IF(M921="""",0,M921),
IF(O921="""",0,O921),
IF(Q921="""",0,Q921)
})"),"")</f>
        <v/>
      </c>
      <c r="V921" s="8" t="e">
        <f t="array" aca="1" ref="V921" ca="1">IF($C$4="Giao",_xludf.Xlookup(C921,#REF!,#REF!,),_xludf.Xlookup(C921,#REF!,#REF!,))</f>
        <v>#NAME?</v>
      </c>
      <c r="W921" s="8">
        <f t="array" ref="W921">IF($C$4="Giao", _xludf.Xlookup(C921,#REF!,#REF!,),)</f>
        <v>0</v>
      </c>
      <c r="X921" s="9">
        <f t="shared" si="10"/>
        <v>0</v>
      </c>
      <c r="Y921" s="7"/>
      <c r="Z921" s="7"/>
    </row>
    <row r="922" spans="1:26" ht="13" x14ac:dyDescent="0.6">
      <c r="A922" s="28" t="str">
        <f t="shared" si="9"/>
        <v/>
      </c>
      <c r="B922" s="7"/>
      <c r="C922" s="7"/>
      <c r="D922" s="9"/>
      <c r="E922" s="9"/>
      <c r="F922" s="9"/>
      <c r="G922" s="9"/>
      <c r="H922" s="9"/>
      <c r="I922" s="9"/>
      <c r="J922" s="9"/>
      <c r="K922" s="9"/>
      <c r="L922" s="9"/>
      <c r="M922" s="9"/>
      <c r="N922" s="9"/>
      <c r="O922" s="9"/>
      <c r="P922" s="29"/>
      <c r="Q922" s="29"/>
      <c r="R922" s="7"/>
      <c r="S922" s="7"/>
      <c r="T922" s="7" t="str">
        <f ca="1">IFERROR(__xludf.DUMMYFUNCTION("SPARKLINE({
IF(D922="""",0,D922),
IF(F922="""",0,F922),
IF(H922="""",0,H922),
IF(J922="""",0,J922),
IF(L922="""",0,L922),
IF(N922="""",0,N922),
IF(P922="""",0,P922)
})"),"")</f>
        <v/>
      </c>
      <c r="U922" s="7" t="str">
        <f ca="1">IFERROR(__xludf.DUMMYFUNCTION("SPARKLINE({
IF(E922="""",0,E922),
IF(G922="""",0,G922),
IF(I922="""",0,I922),
IF(K922="""",0,K922),
IF(M922="""",0,M922),
IF(O922="""",0,O922),
IF(Q922="""",0,Q922)
})"),"")</f>
        <v/>
      </c>
      <c r="V922" s="8" t="e">
        <f t="array" aca="1" ref="V922" ca="1">IF($C$4="Giao",_xludf.Xlookup(C922,#REF!,#REF!,),_xludf.Xlookup(C922,#REF!,#REF!,))</f>
        <v>#NAME?</v>
      </c>
      <c r="W922" s="8">
        <f t="array" ref="W922">IF($C$4="Giao", _xludf.Xlookup(C922,#REF!,#REF!,),)</f>
        <v>0</v>
      </c>
      <c r="X922" s="9">
        <f t="shared" si="10"/>
        <v>0</v>
      </c>
      <c r="Y922" s="7"/>
      <c r="Z922" s="7"/>
    </row>
    <row r="923" spans="1:26" ht="13" x14ac:dyDescent="0.6">
      <c r="A923" s="28" t="str">
        <f t="shared" si="9"/>
        <v/>
      </c>
      <c r="B923" s="7"/>
      <c r="C923" s="7"/>
      <c r="D923" s="9"/>
      <c r="E923" s="9"/>
      <c r="F923" s="9"/>
      <c r="G923" s="9"/>
      <c r="H923" s="9"/>
      <c r="I923" s="9"/>
      <c r="J923" s="9"/>
      <c r="K923" s="9"/>
      <c r="L923" s="9"/>
      <c r="M923" s="9"/>
      <c r="N923" s="9"/>
      <c r="O923" s="9"/>
      <c r="P923" s="29"/>
      <c r="Q923" s="29"/>
      <c r="R923" s="7"/>
      <c r="S923" s="7"/>
      <c r="T923" s="7" t="str">
        <f ca="1">IFERROR(__xludf.DUMMYFUNCTION("SPARKLINE({
IF(D923="""",0,D923),
IF(F923="""",0,F923),
IF(H923="""",0,H923),
IF(J923="""",0,J923),
IF(L923="""",0,L923),
IF(N923="""",0,N923),
IF(P923="""",0,P923)
})"),"")</f>
        <v/>
      </c>
      <c r="U923" s="7" t="str">
        <f ca="1">IFERROR(__xludf.DUMMYFUNCTION("SPARKLINE({
IF(E923="""",0,E923),
IF(G923="""",0,G923),
IF(I923="""",0,I923),
IF(K923="""",0,K923),
IF(M923="""",0,M923),
IF(O923="""",0,O923),
IF(Q923="""",0,Q923)
})"),"")</f>
        <v/>
      </c>
      <c r="V923" s="8" t="e">
        <f t="array" aca="1" ref="V923" ca="1">IF($C$4="Giao",_xludf.Xlookup(C923,#REF!,#REF!,),_xludf.Xlookup(C923,#REF!,#REF!,))</f>
        <v>#NAME?</v>
      </c>
      <c r="W923" s="8">
        <f t="array" ref="W923">IF($C$4="Giao", _xludf.Xlookup(C923,#REF!,#REF!,),)</f>
        <v>0</v>
      </c>
      <c r="X923" s="9">
        <f t="shared" si="10"/>
        <v>0</v>
      </c>
      <c r="Y923" s="7"/>
      <c r="Z923" s="7"/>
    </row>
    <row r="924" spans="1:26" ht="13" x14ac:dyDescent="0.6">
      <c r="A924" s="28" t="str">
        <f t="shared" si="9"/>
        <v/>
      </c>
      <c r="B924" s="7"/>
      <c r="C924" s="7"/>
      <c r="D924" s="9"/>
      <c r="E924" s="9"/>
      <c r="F924" s="9"/>
      <c r="G924" s="9"/>
      <c r="H924" s="9"/>
      <c r="I924" s="9"/>
      <c r="J924" s="9"/>
      <c r="K924" s="9"/>
      <c r="L924" s="9"/>
      <c r="M924" s="9"/>
      <c r="N924" s="9"/>
      <c r="O924" s="9"/>
      <c r="P924" s="29"/>
      <c r="Q924" s="29"/>
      <c r="R924" s="7"/>
      <c r="S924" s="7"/>
      <c r="T924" s="7" t="str">
        <f ca="1">IFERROR(__xludf.DUMMYFUNCTION("SPARKLINE({
IF(D924="""",0,D924),
IF(F924="""",0,F924),
IF(H924="""",0,H924),
IF(J924="""",0,J924),
IF(L924="""",0,L924),
IF(N924="""",0,N924),
IF(P924="""",0,P924)
})"),"")</f>
        <v/>
      </c>
      <c r="U924" s="7" t="str">
        <f ca="1">IFERROR(__xludf.DUMMYFUNCTION("SPARKLINE({
IF(E924="""",0,E924),
IF(G924="""",0,G924),
IF(I924="""",0,I924),
IF(K924="""",0,K924),
IF(M924="""",0,M924),
IF(O924="""",0,O924),
IF(Q924="""",0,Q924)
})"),"")</f>
        <v/>
      </c>
      <c r="V924" s="8" t="e">
        <f t="array" aca="1" ref="V924" ca="1">IF($C$4="Giao",_xludf.Xlookup(C924,#REF!,#REF!,),_xludf.Xlookup(C924,#REF!,#REF!,))</f>
        <v>#NAME?</v>
      </c>
      <c r="W924" s="8">
        <f t="array" ref="W924">IF($C$4="Giao", _xludf.Xlookup(C924,#REF!,#REF!,),)</f>
        <v>0</v>
      </c>
      <c r="X924" s="9">
        <f t="shared" si="10"/>
        <v>0</v>
      </c>
      <c r="Y924" s="7"/>
      <c r="Z924" s="7"/>
    </row>
    <row r="925" spans="1:26" ht="13" x14ac:dyDescent="0.6">
      <c r="A925" s="28" t="str">
        <f t="shared" si="9"/>
        <v/>
      </c>
      <c r="B925" s="7"/>
      <c r="C925" s="7"/>
      <c r="D925" s="9"/>
      <c r="E925" s="9"/>
      <c r="F925" s="9"/>
      <c r="G925" s="9"/>
      <c r="H925" s="9"/>
      <c r="I925" s="9"/>
      <c r="J925" s="9"/>
      <c r="K925" s="9"/>
      <c r="L925" s="9"/>
      <c r="M925" s="9"/>
      <c r="N925" s="9"/>
      <c r="O925" s="9"/>
      <c r="P925" s="29"/>
      <c r="Q925" s="29"/>
      <c r="R925" s="7"/>
      <c r="S925" s="7"/>
      <c r="T925" s="7" t="str">
        <f ca="1">IFERROR(__xludf.DUMMYFUNCTION("SPARKLINE({
IF(D925="""",0,D925),
IF(F925="""",0,F925),
IF(H925="""",0,H925),
IF(J925="""",0,J925),
IF(L925="""",0,L925),
IF(N925="""",0,N925),
IF(P925="""",0,P925)
})"),"")</f>
        <v/>
      </c>
      <c r="U925" s="7" t="str">
        <f ca="1">IFERROR(__xludf.DUMMYFUNCTION("SPARKLINE({
IF(E925="""",0,E925),
IF(G925="""",0,G925),
IF(I925="""",0,I925),
IF(K925="""",0,K925),
IF(M925="""",0,M925),
IF(O925="""",0,O925),
IF(Q925="""",0,Q925)
})"),"")</f>
        <v/>
      </c>
      <c r="V925" s="8" t="e">
        <f t="array" aca="1" ref="V925" ca="1">IF($C$4="Giao",_xludf.Xlookup(C925,#REF!,#REF!,),_xludf.Xlookup(C925,#REF!,#REF!,))</f>
        <v>#NAME?</v>
      </c>
      <c r="W925" s="8">
        <f t="array" ref="W925">IF($C$4="Giao", _xludf.Xlookup(C925,#REF!,#REF!,),)</f>
        <v>0</v>
      </c>
      <c r="X925" s="9">
        <f t="shared" si="10"/>
        <v>0</v>
      </c>
      <c r="Y925" s="7"/>
      <c r="Z925" s="7"/>
    </row>
    <row r="926" spans="1:26" ht="13" x14ac:dyDescent="0.6">
      <c r="A926" s="28" t="str">
        <f t="shared" si="9"/>
        <v/>
      </c>
      <c r="B926" s="7"/>
      <c r="C926" s="7"/>
      <c r="D926" s="9"/>
      <c r="E926" s="9"/>
      <c r="F926" s="9"/>
      <c r="G926" s="9"/>
      <c r="H926" s="9"/>
      <c r="I926" s="9"/>
      <c r="J926" s="9"/>
      <c r="K926" s="9"/>
      <c r="L926" s="9"/>
      <c r="M926" s="9"/>
      <c r="N926" s="9"/>
      <c r="O926" s="9"/>
      <c r="P926" s="29"/>
      <c r="Q926" s="29"/>
      <c r="R926" s="7"/>
      <c r="S926" s="7"/>
      <c r="T926" s="7" t="str">
        <f ca="1">IFERROR(__xludf.DUMMYFUNCTION("SPARKLINE({
IF(D926="""",0,D926),
IF(F926="""",0,F926),
IF(H926="""",0,H926),
IF(J926="""",0,J926),
IF(L926="""",0,L926),
IF(N926="""",0,N926),
IF(P926="""",0,P926)
})"),"")</f>
        <v/>
      </c>
      <c r="U926" s="7" t="str">
        <f ca="1">IFERROR(__xludf.DUMMYFUNCTION("SPARKLINE({
IF(E926="""",0,E926),
IF(G926="""",0,G926),
IF(I926="""",0,I926),
IF(K926="""",0,K926),
IF(M926="""",0,M926),
IF(O926="""",0,O926),
IF(Q926="""",0,Q926)
})"),"")</f>
        <v/>
      </c>
      <c r="V926" s="8" t="e">
        <f t="array" aca="1" ref="V926" ca="1">IF($C$4="Giao",_xludf.Xlookup(C926,#REF!,#REF!,),_xludf.Xlookup(C926,#REF!,#REF!,))</f>
        <v>#NAME?</v>
      </c>
      <c r="W926" s="8">
        <f t="array" ref="W926">IF($C$4="Giao", _xludf.Xlookup(C926,#REF!,#REF!,),)</f>
        <v>0</v>
      </c>
      <c r="X926" s="9">
        <f t="shared" si="10"/>
        <v>0</v>
      </c>
      <c r="Y926" s="7"/>
      <c r="Z926" s="7"/>
    </row>
    <row r="927" spans="1:26" ht="13" x14ac:dyDescent="0.6">
      <c r="A927" s="28" t="str">
        <f t="shared" si="9"/>
        <v/>
      </c>
      <c r="B927" s="7"/>
      <c r="C927" s="7"/>
      <c r="D927" s="9"/>
      <c r="E927" s="9"/>
      <c r="F927" s="9"/>
      <c r="G927" s="9"/>
      <c r="H927" s="9"/>
      <c r="I927" s="9"/>
      <c r="J927" s="9"/>
      <c r="K927" s="9"/>
      <c r="L927" s="9"/>
      <c r="M927" s="9"/>
      <c r="N927" s="9"/>
      <c r="O927" s="9"/>
      <c r="P927" s="29"/>
      <c r="Q927" s="29"/>
      <c r="R927" s="7"/>
      <c r="S927" s="7"/>
      <c r="T927" s="7" t="str">
        <f ca="1">IFERROR(__xludf.DUMMYFUNCTION("SPARKLINE({
IF(D927="""",0,D927),
IF(F927="""",0,F927),
IF(H927="""",0,H927),
IF(J927="""",0,J927),
IF(L927="""",0,L927),
IF(N927="""",0,N927),
IF(P927="""",0,P927)
})"),"")</f>
        <v/>
      </c>
      <c r="U927" s="7" t="str">
        <f ca="1">IFERROR(__xludf.DUMMYFUNCTION("SPARKLINE({
IF(E927="""",0,E927),
IF(G927="""",0,G927),
IF(I927="""",0,I927),
IF(K927="""",0,K927),
IF(M927="""",0,M927),
IF(O927="""",0,O927),
IF(Q927="""",0,Q927)
})"),"")</f>
        <v/>
      </c>
      <c r="V927" s="8" t="e">
        <f t="array" aca="1" ref="V927" ca="1">IF($C$4="Giao",_xludf.Xlookup(C927,#REF!,#REF!,),_xludf.Xlookup(C927,#REF!,#REF!,))</f>
        <v>#NAME?</v>
      </c>
      <c r="W927" s="8">
        <f t="array" ref="W927">IF($C$4="Giao", _xludf.Xlookup(C927,#REF!,#REF!,),)</f>
        <v>0</v>
      </c>
      <c r="X927" s="9">
        <f t="shared" si="10"/>
        <v>0</v>
      </c>
      <c r="Y927" s="7"/>
      <c r="Z927" s="7"/>
    </row>
    <row r="928" spans="1:26" ht="13" x14ac:dyDescent="0.6">
      <c r="A928" s="28" t="str">
        <f t="shared" si="9"/>
        <v/>
      </c>
      <c r="B928" s="7"/>
      <c r="C928" s="7"/>
      <c r="D928" s="9"/>
      <c r="E928" s="9"/>
      <c r="F928" s="9"/>
      <c r="G928" s="9"/>
      <c r="H928" s="9"/>
      <c r="I928" s="9"/>
      <c r="J928" s="9"/>
      <c r="K928" s="9"/>
      <c r="L928" s="9"/>
      <c r="M928" s="9"/>
      <c r="N928" s="9"/>
      <c r="O928" s="9"/>
      <c r="P928" s="29"/>
      <c r="Q928" s="29"/>
      <c r="R928" s="7"/>
      <c r="S928" s="7"/>
      <c r="T928" s="7" t="str">
        <f ca="1">IFERROR(__xludf.DUMMYFUNCTION("SPARKLINE({
IF(D928="""",0,D928),
IF(F928="""",0,F928),
IF(H928="""",0,H928),
IF(J928="""",0,J928),
IF(L928="""",0,L928),
IF(N928="""",0,N928),
IF(P928="""",0,P928)
})"),"")</f>
        <v/>
      </c>
      <c r="U928" s="7" t="str">
        <f ca="1">IFERROR(__xludf.DUMMYFUNCTION("SPARKLINE({
IF(E928="""",0,E928),
IF(G928="""",0,G928),
IF(I928="""",0,I928),
IF(K928="""",0,K928),
IF(M928="""",0,M928),
IF(O928="""",0,O928),
IF(Q928="""",0,Q928)
})"),"")</f>
        <v/>
      </c>
      <c r="V928" s="8" t="e">
        <f t="array" aca="1" ref="V928" ca="1">IF($C$4="Giao",_xludf.Xlookup(C928,#REF!,#REF!,),_xludf.Xlookup(C928,#REF!,#REF!,))</f>
        <v>#NAME?</v>
      </c>
      <c r="W928" s="8">
        <f t="array" ref="W928">IF($C$4="Giao", _xludf.Xlookup(C928,#REF!,#REF!,),)</f>
        <v>0</v>
      </c>
      <c r="X928" s="9">
        <f t="shared" si="10"/>
        <v>0</v>
      </c>
      <c r="Y928" s="7"/>
      <c r="Z928" s="7"/>
    </row>
    <row r="929" spans="1:26" ht="13" x14ac:dyDescent="0.6">
      <c r="A929" s="28" t="str">
        <f t="shared" si="9"/>
        <v/>
      </c>
      <c r="B929" s="7"/>
      <c r="C929" s="7"/>
      <c r="D929" s="9"/>
      <c r="E929" s="9"/>
      <c r="F929" s="9"/>
      <c r="G929" s="9"/>
      <c r="H929" s="9"/>
      <c r="I929" s="9"/>
      <c r="J929" s="9"/>
      <c r="K929" s="9"/>
      <c r="L929" s="9"/>
      <c r="M929" s="9"/>
      <c r="N929" s="9"/>
      <c r="O929" s="9"/>
      <c r="P929" s="29"/>
      <c r="Q929" s="29"/>
      <c r="R929" s="7"/>
      <c r="S929" s="7"/>
      <c r="T929" s="7" t="str">
        <f ca="1">IFERROR(__xludf.DUMMYFUNCTION("SPARKLINE({
IF(D929="""",0,D929),
IF(F929="""",0,F929),
IF(H929="""",0,H929),
IF(J929="""",0,J929),
IF(L929="""",0,L929),
IF(N929="""",0,N929),
IF(P929="""",0,P929)
})"),"")</f>
        <v/>
      </c>
      <c r="U929" s="7" t="str">
        <f ca="1">IFERROR(__xludf.DUMMYFUNCTION("SPARKLINE({
IF(E929="""",0,E929),
IF(G929="""",0,G929),
IF(I929="""",0,I929),
IF(K929="""",0,K929),
IF(M929="""",0,M929),
IF(O929="""",0,O929),
IF(Q929="""",0,Q929)
})"),"")</f>
        <v/>
      </c>
      <c r="V929" s="8" t="e">
        <f t="array" aca="1" ref="V929" ca="1">IF($C$4="Giao",_xludf.Xlookup(C929,#REF!,#REF!,),_xludf.Xlookup(C929,#REF!,#REF!,))</f>
        <v>#NAME?</v>
      </c>
      <c r="W929" s="8">
        <f t="array" ref="W929">IF($C$4="Giao", _xludf.Xlookup(C929,#REF!,#REF!,),)</f>
        <v>0</v>
      </c>
      <c r="X929" s="9">
        <f t="shared" si="10"/>
        <v>0</v>
      </c>
      <c r="Y929" s="7"/>
      <c r="Z929" s="7"/>
    </row>
    <row r="930" spans="1:26" ht="13" x14ac:dyDescent="0.6">
      <c r="A930" s="28" t="str">
        <f t="shared" si="9"/>
        <v/>
      </c>
      <c r="B930" s="7"/>
      <c r="C930" s="7"/>
      <c r="D930" s="9"/>
      <c r="E930" s="9"/>
      <c r="F930" s="9"/>
      <c r="G930" s="9"/>
      <c r="H930" s="9"/>
      <c r="I930" s="9"/>
      <c r="J930" s="9"/>
      <c r="K930" s="9"/>
      <c r="L930" s="9"/>
      <c r="M930" s="9"/>
      <c r="N930" s="9"/>
      <c r="O930" s="9"/>
      <c r="P930" s="29"/>
      <c r="Q930" s="29"/>
      <c r="R930" s="7"/>
      <c r="S930" s="7"/>
      <c r="T930" s="7" t="str">
        <f ca="1">IFERROR(__xludf.DUMMYFUNCTION("SPARKLINE({
IF(D930="""",0,D930),
IF(F930="""",0,F930),
IF(H930="""",0,H930),
IF(J930="""",0,J930),
IF(L930="""",0,L930),
IF(N930="""",0,N930),
IF(P930="""",0,P930)
})"),"")</f>
        <v/>
      </c>
      <c r="U930" s="7" t="str">
        <f ca="1">IFERROR(__xludf.DUMMYFUNCTION("SPARKLINE({
IF(E930="""",0,E930),
IF(G930="""",0,G930),
IF(I930="""",0,I930),
IF(K930="""",0,K930),
IF(M930="""",0,M930),
IF(O930="""",0,O930),
IF(Q930="""",0,Q930)
})"),"")</f>
        <v/>
      </c>
      <c r="V930" s="8" t="e">
        <f t="array" aca="1" ref="V930" ca="1">IF($C$4="Giao",_xludf.Xlookup(C930,#REF!,#REF!,),_xludf.Xlookup(C930,#REF!,#REF!,))</f>
        <v>#NAME?</v>
      </c>
      <c r="W930" s="8">
        <f t="array" ref="W930">IF($C$4="Giao", _xludf.Xlookup(C930,#REF!,#REF!,),)</f>
        <v>0</v>
      </c>
      <c r="X930" s="9">
        <f t="shared" si="10"/>
        <v>0</v>
      </c>
      <c r="Y930" s="7"/>
      <c r="Z930" s="7"/>
    </row>
    <row r="931" spans="1:26" ht="13" x14ac:dyDescent="0.6">
      <c r="A931" s="28" t="str">
        <f t="shared" si="9"/>
        <v/>
      </c>
      <c r="B931" s="7"/>
      <c r="C931" s="7"/>
      <c r="D931" s="9"/>
      <c r="E931" s="9"/>
      <c r="F931" s="9"/>
      <c r="G931" s="9"/>
      <c r="H931" s="9"/>
      <c r="I931" s="9"/>
      <c r="J931" s="9"/>
      <c r="K931" s="9"/>
      <c r="L931" s="9"/>
      <c r="M931" s="9"/>
      <c r="N931" s="9"/>
      <c r="O931" s="9"/>
      <c r="P931" s="29"/>
      <c r="Q931" s="29"/>
      <c r="R931" s="7"/>
      <c r="S931" s="7"/>
      <c r="T931" s="7" t="str">
        <f ca="1">IFERROR(__xludf.DUMMYFUNCTION("SPARKLINE({
IF(D931="""",0,D931),
IF(F931="""",0,F931),
IF(H931="""",0,H931),
IF(J931="""",0,J931),
IF(L931="""",0,L931),
IF(N931="""",0,N931),
IF(P931="""",0,P931)
})"),"")</f>
        <v/>
      </c>
      <c r="U931" s="7" t="str">
        <f ca="1">IFERROR(__xludf.DUMMYFUNCTION("SPARKLINE({
IF(E931="""",0,E931),
IF(G931="""",0,G931),
IF(I931="""",0,I931),
IF(K931="""",0,K931),
IF(M931="""",0,M931),
IF(O931="""",0,O931),
IF(Q931="""",0,Q931)
})"),"")</f>
        <v/>
      </c>
      <c r="V931" s="8" t="e">
        <f t="array" aca="1" ref="V931" ca="1">IF($C$4="Giao",_xludf.Xlookup(C931,#REF!,#REF!,),_xludf.Xlookup(C931,#REF!,#REF!,))</f>
        <v>#NAME?</v>
      </c>
      <c r="W931" s="8">
        <f t="array" ref="W931">IF($C$4="Giao", _xludf.Xlookup(C931,#REF!,#REF!,),)</f>
        <v>0</v>
      </c>
      <c r="X931" s="9">
        <f t="shared" si="10"/>
        <v>0</v>
      </c>
      <c r="Y931" s="7"/>
      <c r="Z931" s="7"/>
    </row>
    <row r="932" spans="1:26" ht="13" x14ac:dyDescent="0.6">
      <c r="A932" s="28" t="str">
        <f t="shared" si="9"/>
        <v/>
      </c>
      <c r="B932" s="7"/>
      <c r="C932" s="7"/>
      <c r="D932" s="9"/>
      <c r="E932" s="9"/>
      <c r="F932" s="9"/>
      <c r="G932" s="9"/>
      <c r="H932" s="9"/>
      <c r="I932" s="9"/>
      <c r="J932" s="9"/>
      <c r="K932" s="9"/>
      <c r="L932" s="9"/>
      <c r="M932" s="9"/>
      <c r="N932" s="9"/>
      <c r="O932" s="9"/>
      <c r="P932" s="29"/>
      <c r="Q932" s="29"/>
      <c r="R932" s="7"/>
      <c r="S932" s="7"/>
      <c r="T932" s="7" t="str">
        <f ca="1">IFERROR(__xludf.DUMMYFUNCTION("SPARKLINE({
IF(D932="""",0,D932),
IF(F932="""",0,F932),
IF(H932="""",0,H932),
IF(J932="""",0,J932),
IF(L932="""",0,L932),
IF(N932="""",0,N932),
IF(P932="""",0,P932)
})"),"")</f>
        <v/>
      </c>
      <c r="U932" s="7" t="str">
        <f ca="1">IFERROR(__xludf.DUMMYFUNCTION("SPARKLINE({
IF(E932="""",0,E932),
IF(G932="""",0,G932),
IF(I932="""",0,I932),
IF(K932="""",0,K932),
IF(M932="""",0,M932),
IF(O932="""",0,O932),
IF(Q932="""",0,Q932)
})"),"")</f>
        <v/>
      </c>
      <c r="V932" s="8" t="e">
        <f t="array" aca="1" ref="V932" ca="1">IF($C$4="Giao",_xludf.Xlookup(C932,#REF!,#REF!,),_xludf.Xlookup(C932,#REF!,#REF!,))</f>
        <v>#NAME?</v>
      </c>
      <c r="W932" s="8">
        <f t="array" ref="W932">IF($C$4="Giao", _xludf.Xlookup(C932,#REF!,#REF!,),)</f>
        <v>0</v>
      </c>
      <c r="X932" s="9">
        <f t="shared" si="10"/>
        <v>0</v>
      </c>
      <c r="Y932" s="7"/>
      <c r="Z932" s="7"/>
    </row>
    <row r="933" spans="1:26" ht="13" x14ac:dyDescent="0.6">
      <c r="A933" s="28" t="str">
        <f t="shared" si="9"/>
        <v/>
      </c>
      <c r="B933" s="7"/>
      <c r="C933" s="7"/>
      <c r="D933" s="9"/>
      <c r="E933" s="9"/>
      <c r="F933" s="9"/>
      <c r="G933" s="9"/>
      <c r="H933" s="9"/>
      <c r="I933" s="9"/>
      <c r="J933" s="9"/>
      <c r="K933" s="9"/>
      <c r="L933" s="9"/>
      <c r="M933" s="9"/>
      <c r="N933" s="9"/>
      <c r="O933" s="9"/>
      <c r="P933" s="29"/>
      <c r="Q933" s="29"/>
      <c r="R933" s="7"/>
      <c r="S933" s="7"/>
      <c r="T933" s="7" t="str">
        <f ca="1">IFERROR(__xludf.DUMMYFUNCTION("SPARKLINE({
IF(D933="""",0,D933),
IF(F933="""",0,F933),
IF(H933="""",0,H933),
IF(J933="""",0,J933),
IF(L933="""",0,L933),
IF(N933="""",0,N933),
IF(P933="""",0,P933)
})"),"")</f>
        <v/>
      </c>
      <c r="U933" s="7" t="str">
        <f ca="1">IFERROR(__xludf.DUMMYFUNCTION("SPARKLINE({
IF(E933="""",0,E933),
IF(G933="""",0,G933),
IF(I933="""",0,I933),
IF(K933="""",0,K933),
IF(M933="""",0,M933),
IF(O933="""",0,O933),
IF(Q933="""",0,Q933)
})"),"")</f>
        <v/>
      </c>
      <c r="V933" s="8" t="e">
        <f t="array" aca="1" ref="V933" ca="1">IF($C$4="Giao",_xludf.Xlookup(C933,#REF!,#REF!,),_xludf.Xlookup(C933,#REF!,#REF!,))</f>
        <v>#NAME?</v>
      </c>
      <c r="W933" s="8">
        <f t="array" ref="W933">IF($C$4="Giao", _xludf.Xlookup(C933,#REF!,#REF!,),)</f>
        <v>0</v>
      </c>
      <c r="X933" s="9">
        <f t="shared" si="10"/>
        <v>0</v>
      </c>
      <c r="Y933" s="7"/>
      <c r="Z933" s="7"/>
    </row>
    <row r="934" spans="1:26" ht="13" x14ac:dyDescent="0.6">
      <c r="A934" s="28" t="str">
        <f t="shared" si="9"/>
        <v/>
      </c>
      <c r="B934" s="7"/>
      <c r="C934" s="7"/>
      <c r="D934" s="9"/>
      <c r="E934" s="9"/>
      <c r="F934" s="9"/>
      <c r="G934" s="9"/>
      <c r="H934" s="9"/>
      <c r="I934" s="9"/>
      <c r="J934" s="9"/>
      <c r="K934" s="9"/>
      <c r="L934" s="9"/>
      <c r="M934" s="9"/>
      <c r="N934" s="9"/>
      <c r="O934" s="9"/>
      <c r="P934" s="29"/>
      <c r="Q934" s="29"/>
      <c r="R934" s="7"/>
      <c r="S934" s="7"/>
      <c r="T934" s="7" t="str">
        <f ca="1">IFERROR(__xludf.DUMMYFUNCTION("SPARKLINE({
IF(D934="""",0,D934),
IF(F934="""",0,F934),
IF(H934="""",0,H934),
IF(J934="""",0,J934),
IF(L934="""",0,L934),
IF(N934="""",0,N934),
IF(P934="""",0,P934)
})"),"")</f>
        <v/>
      </c>
      <c r="U934" s="7" t="str">
        <f ca="1">IFERROR(__xludf.DUMMYFUNCTION("SPARKLINE({
IF(E934="""",0,E934),
IF(G934="""",0,G934),
IF(I934="""",0,I934),
IF(K934="""",0,K934),
IF(M934="""",0,M934),
IF(O934="""",0,O934),
IF(Q934="""",0,Q934)
})"),"")</f>
        <v/>
      </c>
      <c r="V934" s="8" t="e">
        <f t="array" aca="1" ref="V934" ca="1">IF($C$4="Giao",_xludf.Xlookup(C934,#REF!,#REF!,),_xludf.Xlookup(C934,#REF!,#REF!,))</f>
        <v>#NAME?</v>
      </c>
      <c r="W934" s="8">
        <f t="array" ref="W934">IF($C$4="Giao", _xludf.Xlookup(C934,#REF!,#REF!,),)</f>
        <v>0</v>
      </c>
      <c r="X934" s="9">
        <f t="shared" si="10"/>
        <v>0</v>
      </c>
      <c r="Y934" s="7"/>
      <c r="Z934" s="7"/>
    </row>
    <row r="935" spans="1:26" ht="13" x14ac:dyDescent="0.6">
      <c r="A935" s="28" t="str">
        <f t="shared" si="9"/>
        <v/>
      </c>
      <c r="B935" s="7"/>
      <c r="C935" s="7"/>
      <c r="D935" s="9"/>
      <c r="E935" s="9"/>
      <c r="F935" s="9"/>
      <c r="G935" s="9"/>
      <c r="H935" s="9"/>
      <c r="I935" s="9"/>
      <c r="J935" s="9"/>
      <c r="K935" s="9"/>
      <c r="L935" s="9"/>
      <c r="M935" s="9"/>
      <c r="N935" s="9"/>
      <c r="O935" s="9"/>
      <c r="P935" s="29"/>
      <c r="Q935" s="29"/>
      <c r="R935" s="7"/>
      <c r="S935" s="7"/>
      <c r="T935" s="7" t="str">
        <f ca="1">IFERROR(__xludf.DUMMYFUNCTION("SPARKLINE({
IF(D935="""",0,D935),
IF(F935="""",0,F935),
IF(H935="""",0,H935),
IF(J935="""",0,J935),
IF(L935="""",0,L935),
IF(N935="""",0,N935),
IF(P935="""",0,P935)
})"),"")</f>
        <v/>
      </c>
      <c r="U935" s="7" t="str">
        <f ca="1">IFERROR(__xludf.DUMMYFUNCTION("SPARKLINE({
IF(E935="""",0,E935),
IF(G935="""",0,G935),
IF(I935="""",0,I935),
IF(K935="""",0,K935),
IF(M935="""",0,M935),
IF(O935="""",0,O935),
IF(Q935="""",0,Q935)
})"),"")</f>
        <v/>
      </c>
      <c r="V935" s="8" t="e">
        <f t="array" aca="1" ref="V935" ca="1">IF($C$4="Giao",_xludf.Xlookup(C935,#REF!,#REF!,),_xludf.Xlookup(C935,#REF!,#REF!,))</f>
        <v>#NAME?</v>
      </c>
      <c r="W935" s="8">
        <f t="array" ref="W935">IF($C$4="Giao", _xludf.Xlookup(C935,#REF!,#REF!,),)</f>
        <v>0</v>
      </c>
      <c r="X935" s="9">
        <f t="shared" si="10"/>
        <v>0</v>
      </c>
      <c r="Y935" s="7"/>
      <c r="Z935" s="7"/>
    </row>
    <row r="936" spans="1:26" ht="13" x14ac:dyDescent="0.6">
      <c r="A936" s="28" t="str">
        <f t="shared" si="9"/>
        <v/>
      </c>
      <c r="B936" s="7"/>
      <c r="C936" s="7"/>
      <c r="D936" s="9"/>
      <c r="E936" s="9"/>
      <c r="F936" s="9"/>
      <c r="G936" s="9"/>
      <c r="H936" s="9"/>
      <c r="I936" s="9"/>
      <c r="J936" s="9"/>
      <c r="K936" s="9"/>
      <c r="L936" s="9"/>
      <c r="M936" s="9"/>
      <c r="N936" s="9"/>
      <c r="O936" s="9"/>
      <c r="P936" s="29"/>
      <c r="Q936" s="29"/>
      <c r="R936" s="7"/>
      <c r="S936" s="7"/>
      <c r="T936" s="7" t="str">
        <f ca="1">IFERROR(__xludf.DUMMYFUNCTION("SPARKLINE({
IF(D936="""",0,D936),
IF(F936="""",0,F936),
IF(H936="""",0,H936),
IF(J936="""",0,J936),
IF(L936="""",0,L936),
IF(N936="""",0,N936),
IF(P936="""",0,P936)
})"),"")</f>
        <v/>
      </c>
      <c r="U936" s="7" t="str">
        <f ca="1">IFERROR(__xludf.DUMMYFUNCTION("SPARKLINE({
IF(E936="""",0,E936),
IF(G936="""",0,G936),
IF(I936="""",0,I936),
IF(K936="""",0,K936),
IF(M936="""",0,M936),
IF(O936="""",0,O936),
IF(Q936="""",0,Q936)
})"),"")</f>
        <v/>
      </c>
      <c r="V936" s="8" t="e">
        <f t="array" aca="1" ref="V936" ca="1">IF($C$4="Giao",_xludf.Xlookup(C936,#REF!,#REF!,),_xludf.Xlookup(C936,#REF!,#REF!,))</f>
        <v>#NAME?</v>
      </c>
      <c r="W936" s="8">
        <f t="array" ref="W936">IF($C$4="Giao", _xludf.Xlookup(C936,#REF!,#REF!,),)</f>
        <v>0</v>
      </c>
      <c r="X936" s="9">
        <f t="shared" si="10"/>
        <v>0</v>
      </c>
      <c r="Y936" s="7"/>
      <c r="Z936" s="7"/>
    </row>
    <row r="937" spans="1:26" ht="13" x14ac:dyDescent="0.6">
      <c r="A937" s="28" t="str">
        <f t="shared" si="9"/>
        <v/>
      </c>
      <c r="B937" s="7"/>
      <c r="C937" s="7"/>
      <c r="D937" s="9"/>
      <c r="E937" s="9"/>
      <c r="F937" s="9"/>
      <c r="G937" s="9"/>
      <c r="H937" s="9"/>
      <c r="I937" s="9"/>
      <c r="J937" s="9"/>
      <c r="K937" s="9"/>
      <c r="L937" s="9"/>
      <c r="M937" s="9"/>
      <c r="N937" s="9"/>
      <c r="O937" s="9"/>
      <c r="P937" s="29"/>
      <c r="Q937" s="29"/>
      <c r="R937" s="7"/>
      <c r="S937" s="7"/>
      <c r="T937" s="7" t="str">
        <f ca="1">IFERROR(__xludf.DUMMYFUNCTION("SPARKLINE({
IF(D937="""",0,D937),
IF(F937="""",0,F937),
IF(H937="""",0,H937),
IF(J937="""",0,J937),
IF(L937="""",0,L937),
IF(N937="""",0,N937),
IF(P937="""",0,P937)
})"),"")</f>
        <v/>
      </c>
      <c r="U937" s="7" t="str">
        <f ca="1">IFERROR(__xludf.DUMMYFUNCTION("SPARKLINE({
IF(E937="""",0,E937),
IF(G937="""",0,G937),
IF(I937="""",0,I937),
IF(K937="""",0,K937),
IF(M937="""",0,M937),
IF(O937="""",0,O937),
IF(Q937="""",0,Q937)
})"),"")</f>
        <v/>
      </c>
      <c r="V937" s="8" t="e">
        <f t="array" aca="1" ref="V937" ca="1">IF($C$4="Giao",_xludf.Xlookup(C937,#REF!,#REF!,),_xludf.Xlookup(C937,#REF!,#REF!,))</f>
        <v>#NAME?</v>
      </c>
      <c r="W937" s="8">
        <f t="array" ref="W937">IF($C$4="Giao", _xludf.Xlookup(C937,#REF!,#REF!,),)</f>
        <v>0</v>
      </c>
      <c r="X937" s="9">
        <f t="shared" si="10"/>
        <v>0</v>
      </c>
      <c r="Y937" s="7"/>
      <c r="Z937" s="7"/>
    </row>
    <row r="938" spans="1:26" ht="13" x14ac:dyDescent="0.6">
      <c r="A938" s="28" t="str">
        <f t="shared" si="9"/>
        <v/>
      </c>
      <c r="B938" s="7"/>
      <c r="C938" s="7"/>
      <c r="D938" s="9"/>
      <c r="E938" s="9"/>
      <c r="F938" s="9"/>
      <c r="G938" s="9"/>
      <c r="H938" s="9"/>
      <c r="I938" s="9"/>
      <c r="J938" s="9"/>
      <c r="K938" s="9"/>
      <c r="L938" s="9"/>
      <c r="M938" s="9"/>
      <c r="N938" s="9"/>
      <c r="O938" s="9"/>
      <c r="P938" s="29"/>
      <c r="Q938" s="29"/>
      <c r="R938" s="7"/>
      <c r="S938" s="7"/>
      <c r="T938" s="7" t="str">
        <f ca="1">IFERROR(__xludf.DUMMYFUNCTION("SPARKLINE({
IF(D938="""",0,D938),
IF(F938="""",0,F938),
IF(H938="""",0,H938),
IF(J938="""",0,J938),
IF(L938="""",0,L938),
IF(N938="""",0,N938),
IF(P938="""",0,P938)
})"),"")</f>
        <v/>
      </c>
      <c r="U938" s="7" t="str">
        <f ca="1">IFERROR(__xludf.DUMMYFUNCTION("SPARKLINE({
IF(E938="""",0,E938),
IF(G938="""",0,G938),
IF(I938="""",0,I938),
IF(K938="""",0,K938),
IF(M938="""",0,M938),
IF(O938="""",0,O938),
IF(Q938="""",0,Q938)
})"),"")</f>
        <v/>
      </c>
      <c r="V938" s="8" t="e">
        <f t="array" aca="1" ref="V938" ca="1">IF($C$4="Giao",_xludf.Xlookup(C938,#REF!,#REF!,),_xludf.Xlookup(C938,#REF!,#REF!,))</f>
        <v>#NAME?</v>
      </c>
      <c r="W938" s="8">
        <f t="array" ref="W938">IF($C$4="Giao", _xludf.Xlookup(C938,#REF!,#REF!,),)</f>
        <v>0</v>
      </c>
      <c r="X938" s="9">
        <f t="shared" si="10"/>
        <v>0</v>
      </c>
      <c r="Y938" s="7"/>
      <c r="Z938" s="7"/>
    </row>
    <row r="939" spans="1:26" ht="13" x14ac:dyDescent="0.6">
      <c r="A939" s="28" t="str">
        <f t="shared" si="9"/>
        <v/>
      </c>
      <c r="B939" s="7"/>
      <c r="C939" s="7"/>
      <c r="D939" s="9"/>
      <c r="E939" s="9"/>
      <c r="F939" s="9"/>
      <c r="G939" s="9"/>
      <c r="H939" s="9"/>
      <c r="I939" s="9"/>
      <c r="J939" s="9"/>
      <c r="K939" s="9"/>
      <c r="L939" s="9"/>
      <c r="M939" s="9"/>
      <c r="N939" s="9"/>
      <c r="O939" s="9"/>
      <c r="P939" s="29"/>
      <c r="Q939" s="29"/>
      <c r="R939" s="7"/>
      <c r="S939" s="7"/>
      <c r="T939" s="7" t="str">
        <f ca="1">IFERROR(__xludf.DUMMYFUNCTION("SPARKLINE({
IF(D939="""",0,D939),
IF(F939="""",0,F939),
IF(H939="""",0,H939),
IF(J939="""",0,J939),
IF(L939="""",0,L939),
IF(N939="""",0,N939),
IF(P939="""",0,P939)
})"),"")</f>
        <v/>
      </c>
      <c r="U939" s="7" t="str">
        <f ca="1">IFERROR(__xludf.DUMMYFUNCTION("SPARKLINE({
IF(E939="""",0,E939),
IF(G939="""",0,G939),
IF(I939="""",0,I939),
IF(K939="""",0,K939),
IF(M939="""",0,M939),
IF(O939="""",0,O939),
IF(Q939="""",0,Q939)
})"),"")</f>
        <v/>
      </c>
      <c r="V939" s="8" t="e">
        <f t="array" aca="1" ref="V939" ca="1">IF($C$4="Giao",_xludf.Xlookup(C939,#REF!,#REF!,),_xludf.Xlookup(C939,#REF!,#REF!,))</f>
        <v>#NAME?</v>
      </c>
      <c r="W939" s="8">
        <f t="array" ref="W939">IF($C$4="Giao", _xludf.Xlookup(C939,#REF!,#REF!,),)</f>
        <v>0</v>
      </c>
      <c r="X939" s="9">
        <f t="shared" si="10"/>
        <v>0</v>
      </c>
      <c r="Y939" s="7"/>
      <c r="Z939" s="7"/>
    </row>
    <row r="940" spans="1:26" ht="13" x14ac:dyDescent="0.6">
      <c r="A940" s="28" t="str">
        <f t="shared" si="9"/>
        <v/>
      </c>
      <c r="B940" s="7"/>
      <c r="C940" s="7"/>
      <c r="D940" s="9"/>
      <c r="E940" s="9"/>
      <c r="F940" s="9"/>
      <c r="G940" s="9"/>
      <c r="H940" s="9"/>
      <c r="I940" s="9"/>
      <c r="J940" s="9"/>
      <c r="K940" s="9"/>
      <c r="L940" s="9"/>
      <c r="M940" s="9"/>
      <c r="N940" s="9"/>
      <c r="O940" s="9"/>
      <c r="P940" s="29"/>
      <c r="Q940" s="29"/>
      <c r="R940" s="7"/>
      <c r="S940" s="7"/>
      <c r="T940" s="7" t="str">
        <f ca="1">IFERROR(__xludf.DUMMYFUNCTION("SPARKLINE({
IF(D940="""",0,D940),
IF(F940="""",0,F940),
IF(H940="""",0,H940),
IF(J940="""",0,J940),
IF(L940="""",0,L940),
IF(N940="""",0,N940),
IF(P940="""",0,P940)
})"),"")</f>
        <v/>
      </c>
      <c r="U940" s="7" t="str">
        <f ca="1">IFERROR(__xludf.DUMMYFUNCTION("SPARKLINE({
IF(E940="""",0,E940),
IF(G940="""",0,G940),
IF(I940="""",0,I940),
IF(K940="""",0,K940),
IF(M940="""",0,M940),
IF(O940="""",0,O940),
IF(Q940="""",0,Q940)
})"),"")</f>
        <v/>
      </c>
      <c r="V940" s="8" t="e">
        <f t="array" aca="1" ref="V940" ca="1">IF($C$4="Giao",_xludf.Xlookup(C940,#REF!,#REF!,),_xludf.Xlookup(C940,#REF!,#REF!,))</f>
        <v>#NAME?</v>
      </c>
      <c r="W940" s="8">
        <f t="array" ref="W940">IF($C$4="Giao", _xludf.Xlookup(C940,#REF!,#REF!,),)</f>
        <v>0</v>
      </c>
      <c r="X940" s="9">
        <f t="shared" si="10"/>
        <v>0</v>
      </c>
      <c r="Y940" s="7"/>
      <c r="Z940" s="7"/>
    </row>
    <row r="941" spans="1:26" ht="13" x14ac:dyDescent="0.6">
      <c r="A941" s="28" t="str">
        <f t="shared" si="9"/>
        <v/>
      </c>
      <c r="B941" s="7"/>
      <c r="C941" s="7"/>
      <c r="D941" s="9"/>
      <c r="E941" s="9"/>
      <c r="F941" s="9"/>
      <c r="G941" s="9"/>
      <c r="H941" s="9"/>
      <c r="I941" s="9"/>
      <c r="J941" s="9"/>
      <c r="K941" s="9"/>
      <c r="L941" s="9"/>
      <c r="M941" s="9"/>
      <c r="N941" s="9"/>
      <c r="O941" s="9"/>
      <c r="P941" s="29"/>
      <c r="Q941" s="29"/>
      <c r="R941" s="7"/>
      <c r="S941" s="7"/>
      <c r="T941" s="7" t="str">
        <f ca="1">IFERROR(__xludf.DUMMYFUNCTION("SPARKLINE({
IF(D941="""",0,D941),
IF(F941="""",0,F941),
IF(H941="""",0,H941),
IF(J941="""",0,J941),
IF(L941="""",0,L941),
IF(N941="""",0,N941),
IF(P941="""",0,P941)
})"),"")</f>
        <v/>
      </c>
      <c r="U941" s="7" t="str">
        <f ca="1">IFERROR(__xludf.DUMMYFUNCTION("SPARKLINE({
IF(E941="""",0,E941),
IF(G941="""",0,G941),
IF(I941="""",0,I941),
IF(K941="""",0,K941),
IF(M941="""",0,M941),
IF(O941="""",0,O941),
IF(Q941="""",0,Q941)
})"),"")</f>
        <v/>
      </c>
      <c r="V941" s="8" t="e">
        <f t="array" aca="1" ref="V941" ca="1">IF($C$4="Giao",_xludf.Xlookup(C941,#REF!,#REF!,),_xludf.Xlookup(C941,#REF!,#REF!,))</f>
        <v>#NAME?</v>
      </c>
      <c r="W941" s="8">
        <f t="array" ref="W941">IF($C$4="Giao", _xludf.Xlookup(C941,#REF!,#REF!,),)</f>
        <v>0</v>
      </c>
      <c r="X941" s="9">
        <f t="shared" si="10"/>
        <v>0</v>
      </c>
      <c r="Y941" s="7"/>
      <c r="Z941" s="7"/>
    </row>
    <row r="942" spans="1:26" ht="13" x14ac:dyDescent="0.6">
      <c r="A942" s="28" t="str">
        <f t="shared" si="9"/>
        <v/>
      </c>
      <c r="B942" s="7"/>
      <c r="C942" s="7"/>
      <c r="D942" s="9"/>
      <c r="E942" s="9"/>
      <c r="F942" s="9"/>
      <c r="G942" s="9"/>
      <c r="H942" s="9"/>
      <c r="I942" s="9"/>
      <c r="J942" s="9"/>
      <c r="K942" s="9"/>
      <c r="L942" s="9"/>
      <c r="M942" s="9"/>
      <c r="N942" s="9"/>
      <c r="O942" s="9"/>
      <c r="P942" s="29"/>
      <c r="Q942" s="29"/>
      <c r="R942" s="7"/>
      <c r="S942" s="7"/>
      <c r="T942" s="7" t="str">
        <f ca="1">IFERROR(__xludf.DUMMYFUNCTION("SPARKLINE({
IF(D942="""",0,D942),
IF(F942="""",0,F942),
IF(H942="""",0,H942),
IF(J942="""",0,J942),
IF(L942="""",0,L942),
IF(N942="""",0,N942),
IF(P942="""",0,P942)
})"),"")</f>
        <v/>
      </c>
      <c r="U942" s="7" t="str">
        <f ca="1">IFERROR(__xludf.DUMMYFUNCTION("SPARKLINE({
IF(E942="""",0,E942),
IF(G942="""",0,G942),
IF(I942="""",0,I942),
IF(K942="""",0,K942),
IF(M942="""",0,M942),
IF(O942="""",0,O942),
IF(Q942="""",0,Q942)
})"),"")</f>
        <v/>
      </c>
      <c r="V942" s="8" t="e">
        <f t="array" aca="1" ref="V942" ca="1">IF($C$4="Giao",_xludf.Xlookup(C942,#REF!,#REF!,),_xludf.Xlookup(C942,#REF!,#REF!,))</f>
        <v>#NAME?</v>
      </c>
      <c r="W942" s="8">
        <f t="array" ref="W942">IF($C$4="Giao", _xludf.Xlookup(C942,#REF!,#REF!,),)</f>
        <v>0</v>
      </c>
      <c r="X942" s="9">
        <f t="shared" si="10"/>
        <v>0</v>
      </c>
      <c r="Y942" s="7"/>
      <c r="Z942" s="7"/>
    </row>
    <row r="943" spans="1:26" ht="13" x14ac:dyDescent="0.6">
      <c r="A943" s="28" t="str">
        <f t="shared" si="9"/>
        <v/>
      </c>
      <c r="B943" s="7"/>
      <c r="C943" s="7"/>
      <c r="D943" s="9"/>
      <c r="E943" s="9"/>
      <c r="F943" s="9"/>
      <c r="G943" s="9"/>
      <c r="H943" s="9"/>
      <c r="I943" s="9"/>
      <c r="J943" s="9"/>
      <c r="K943" s="9"/>
      <c r="L943" s="9"/>
      <c r="M943" s="9"/>
      <c r="N943" s="9"/>
      <c r="O943" s="9"/>
      <c r="P943" s="29"/>
      <c r="Q943" s="29"/>
      <c r="R943" s="7"/>
      <c r="S943" s="7"/>
      <c r="T943" s="7" t="str">
        <f ca="1">IFERROR(__xludf.DUMMYFUNCTION("SPARKLINE({
IF(D943="""",0,D943),
IF(F943="""",0,F943),
IF(H943="""",0,H943),
IF(J943="""",0,J943),
IF(L943="""",0,L943),
IF(N943="""",0,N943),
IF(P943="""",0,P943)
})"),"")</f>
        <v/>
      </c>
      <c r="U943" s="7" t="str">
        <f ca="1">IFERROR(__xludf.DUMMYFUNCTION("SPARKLINE({
IF(E943="""",0,E943),
IF(G943="""",0,G943),
IF(I943="""",0,I943),
IF(K943="""",0,K943),
IF(M943="""",0,M943),
IF(O943="""",0,O943),
IF(Q943="""",0,Q943)
})"),"")</f>
        <v/>
      </c>
      <c r="V943" s="8" t="e">
        <f t="array" aca="1" ref="V943" ca="1">IF($C$4="Giao",_xludf.Xlookup(C943,#REF!,#REF!,),_xludf.Xlookup(C943,#REF!,#REF!,))</f>
        <v>#NAME?</v>
      </c>
      <c r="W943" s="8">
        <f t="array" ref="W943">IF($C$4="Giao", _xludf.Xlookup(C943,#REF!,#REF!,),)</f>
        <v>0</v>
      </c>
      <c r="X943" s="9">
        <f t="shared" si="10"/>
        <v>0</v>
      </c>
      <c r="Y943" s="7"/>
      <c r="Z943" s="7"/>
    </row>
    <row r="944" spans="1:26" ht="13" x14ac:dyDescent="0.6">
      <c r="A944" s="28" t="str">
        <f t="shared" si="9"/>
        <v/>
      </c>
      <c r="B944" s="7"/>
      <c r="C944" s="7"/>
      <c r="D944" s="9"/>
      <c r="E944" s="9"/>
      <c r="F944" s="9"/>
      <c r="G944" s="9"/>
      <c r="H944" s="9"/>
      <c r="I944" s="9"/>
      <c r="J944" s="9"/>
      <c r="K944" s="9"/>
      <c r="L944" s="9"/>
      <c r="M944" s="9"/>
      <c r="N944" s="9"/>
      <c r="O944" s="9"/>
      <c r="P944" s="29"/>
      <c r="Q944" s="29"/>
      <c r="R944" s="7"/>
      <c r="S944" s="7"/>
      <c r="T944" s="7" t="str">
        <f ca="1">IFERROR(__xludf.DUMMYFUNCTION("SPARKLINE({
IF(D944="""",0,D944),
IF(F944="""",0,F944),
IF(H944="""",0,H944),
IF(J944="""",0,J944),
IF(L944="""",0,L944),
IF(N944="""",0,N944),
IF(P944="""",0,P944)
})"),"")</f>
        <v/>
      </c>
      <c r="U944" s="7" t="str">
        <f ca="1">IFERROR(__xludf.DUMMYFUNCTION("SPARKLINE({
IF(E944="""",0,E944),
IF(G944="""",0,G944),
IF(I944="""",0,I944),
IF(K944="""",0,K944),
IF(M944="""",0,M944),
IF(O944="""",0,O944),
IF(Q944="""",0,Q944)
})"),"")</f>
        <v/>
      </c>
      <c r="V944" s="8" t="e">
        <f t="array" aca="1" ref="V944" ca="1">IF($C$4="Giao",_xludf.Xlookup(C944,#REF!,#REF!,),_xludf.Xlookup(C944,#REF!,#REF!,))</f>
        <v>#NAME?</v>
      </c>
      <c r="W944" s="8">
        <f t="array" ref="W944">IF($C$4="Giao", _xludf.Xlookup(C944,#REF!,#REF!,),)</f>
        <v>0</v>
      </c>
      <c r="X944" s="9">
        <f t="shared" si="10"/>
        <v>0</v>
      </c>
      <c r="Y944" s="7"/>
      <c r="Z944" s="7"/>
    </row>
    <row r="945" spans="1:26" ht="13" x14ac:dyDescent="0.6">
      <c r="A945" s="28" t="str">
        <f t="shared" si="9"/>
        <v/>
      </c>
      <c r="B945" s="7"/>
      <c r="C945" s="7"/>
      <c r="D945" s="9"/>
      <c r="E945" s="9"/>
      <c r="F945" s="9"/>
      <c r="G945" s="9"/>
      <c r="H945" s="9"/>
      <c r="I945" s="9"/>
      <c r="J945" s="9"/>
      <c r="K945" s="9"/>
      <c r="L945" s="9"/>
      <c r="M945" s="9"/>
      <c r="N945" s="9"/>
      <c r="O945" s="9"/>
      <c r="P945" s="29"/>
      <c r="Q945" s="29"/>
      <c r="R945" s="7"/>
      <c r="S945" s="7"/>
      <c r="T945" s="7" t="str">
        <f ca="1">IFERROR(__xludf.DUMMYFUNCTION("SPARKLINE({
IF(D945="""",0,D945),
IF(F945="""",0,F945),
IF(H945="""",0,H945),
IF(J945="""",0,J945),
IF(L945="""",0,L945),
IF(N945="""",0,N945),
IF(P945="""",0,P945)
})"),"")</f>
        <v/>
      </c>
      <c r="U945" s="7" t="str">
        <f ca="1">IFERROR(__xludf.DUMMYFUNCTION("SPARKLINE({
IF(E945="""",0,E945),
IF(G945="""",0,G945),
IF(I945="""",0,I945),
IF(K945="""",0,K945),
IF(M945="""",0,M945),
IF(O945="""",0,O945),
IF(Q945="""",0,Q945)
})"),"")</f>
        <v/>
      </c>
      <c r="V945" s="8" t="e">
        <f t="array" aca="1" ref="V945" ca="1">IF($C$4="Giao",_xludf.Xlookup(C945,#REF!,#REF!,),_xludf.Xlookup(C945,#REF!,#REF!,))</f>
        <v>#NAME?</v>
      </c>
      <c r="W945" s="8">
        <f t="array" ref="W945">IF($C$4="Giao", _xludf.Xlookup(C945,#REF!,#REF!,),)</f>
        <v>0</v>
      </c>
      <c r="X945" s="9">
        <f t="shared" si="10"/>
        <v>0</v>
      </c>
      <c r="Y945" s="7"/>
      <c r="Z945" s="7"/>
    </row>
    <row r="946" spans="1:26" ht="13" x14ac:dyDescent="0.6">
      <c r="A946" s="28" t="str">
        <f t="shared" si="9"/>
        <v/>
      </c>
      <c r="B946" s="7"/>
      <c r="C946" s="7"/>
      <c r="D946" s="9"/>
      <c r="E946" s="9"/>
      <c r="F946" s="9"/>
      <c r="G946" s="9"/>
      <c r="H946" s="9"/>
      <c r="I946" s="9"/>
      <c r="J946" s="9"/>
      <c r="K946" s="9"/>
      <c r="L946" s="9"/>
      <c r="M946" s="9"/>
      <c r="N946" s="9"/>
      <c r="O946" s="9"/>
      <c r="P946" s="29"/>
      <c r="Q946" s="29"/>
      <c r="R946" s="7"/>
      <c r="S946" s="7"/>
      <c r="T946" s="7" t="str">
        <f ca="1">IFERROR(__xludf.DUMMYFUNCTION("SPARKLINE({
IF(D946="""",0,D946),
IF(F946="""",0,F946),
IF(H946="""",0,H946),
IF(J946="""",0,J946),
IF(L946="""",0,L946),
IF(N946="""",0,N946),
IF(P946="""",0,P946)
})"),"")</f>
        <v/>
      </c>
      <c r="U946" s="7" t="str">
        <f ca="1">IFERROR(__xludf.DUMMYFUNCTION("SPARKLINE({
IF(E946="""",0,E946),
IF(G946="""",0,G946),
IF(I946="""",0,I946),
IF(K946="""",0,K946),
IF(M946="""",0,M946),
IF(O946="""",0,O946),
IF(Q946="""",0,Q946)
})"),"")</f>
        <v/>
      </c>
      <c r="V946" s="8" t="e">
        <f t="array" aca="1" ref="V946" ca="1">IF($C$4="Giao",_xludf.Xlookup(C946,#REF!,#REF!,),_xludf.Xlookup(C946,#REF!,#REF!,))</f>
        <v>#NAME?</v>
      </c>
      <c r="W946" s="8">
        <f t="array" ref="W946">IF($C$4="Giao", _xludf.Xlookup(C946,#REF!,#REF!,),)</f>
        <v>0</v>
      </c>
      <c r="X946" s="9">
        <f t="shared" si="10"/>
        <v>0</v>
      </c>
      <c r="Y946" s="7"/>
      <c r="Z946" s="7"/>
    </row>
    <row r="947" spans="1:26" ht="13" x14ac:dyDescent="0.6">
      <c r="A947" s="28" t="str">
        <f t="shared" si="9"/>
        <v/>
      </c>
      <c r="B947" s="7"/>
      <c r="C947" s="7"/>
      <c r="D947" s="9"/>
      <c r="E947" s="9"/>
      <c r="F947" s="9"/>
      <c r="G947" s="9"/>
      <c r="H947" s="9"/>
      <c r="I947" s="9"/>
      <c r="J947" s="9"/>
      <c r="K947" s="9"/>
      <c r="L947" s="9"/>
      <c r="M947" s="9"/>
      <c r="N947" s="9"/>
      <c r="O947" s="9"/>
      <c r="P947" s="29"/>
      <c r="Q947" s="29"/>
      <c r="R947" s="7"/>
      <c r="S947" s="7"/>
      <c r="T947" s="7" t="str">
        <f ca="1">IFERROR(__xludf.DUMMYFUNCTION("SPARKLINE({
IF(D947="""",0,D947),
IF(F947="""",0,F947),
IF(H947="""",0,H947),
IF(J947="""",0,J947),
IF(L947="""",0,L947),
IF(N947="""",0,N947),
IF(P947="""",0,P947)
})"),"")</f>
        <v/>
      </c>
      <c r="U947" s="7" t="str">
        <f ca="1">IFERROR(__xludf.DUMMYFUNCTION("SPARKLINE({
IF(E947="""",0,E947),
IF(G947="""",0,G947),
IF(I947="""",0,I947),
IF(K947="""",0,K947),
IF(M947="""",0,M947),
IF(O947="""",0,O947),
IF(Q947="""",0,Q947)
})"),"")</f>
        <v/>
      </c>
      <c r="V947" s="8" t="e">
        <f t="array" aca="1" ref="V947" ca="1">IF($C$4="Giao",_xludf.Xlookup(C947,#REF!,#REF!,),_xludf.Xlookup(C947,#REF!,#REF!,))</f>
        <v>#NAME?</v>
      </c>
      <c r="W947" s="8">
        <f t="array" ref="W947">IF($C$4="Giao", _xludf.Xlookup(C947,#REF!,#REF!,),)</f>
        <v>0</v>
      </c>
      <c r="X947" s="9">
        <f t="shared" si="10"/>
        <v>0</v>
      </c>
      <c r="Y947" s="7"/>
      <c r="Z947" s="7"/>
    </row>
    <row r="948" spans="1:26" ht="13" x14ac:dyDescent="0.6">
      <c r="A948" s="28" t="str">
        <f t="shared" si="9"/>
        <v/>
      </c>
      <c r="B948" s="7"/>
      <c r="C948" s="7"/>
      <c r="D948" s="9"/>
      <c r="E948" s="9"/>
      <c r="F948" s="9"/>
      <c r="G948" s="9"/>
      <c r="H948" s="9"/>
      <c r="I948" s="9"/>
      <c r="J948" s="9"/>
      <c r="K948" s="9"/>
      <c r="L948" s="9"/>
      <c r="M948" s="9"/>
      <c r="N948" s="9"/>
      <c r="O948" s="9"/>
      <c r="P948" s="29"/>
      <c r="Q948" s="29"/>
      <c r="R948" s="7"/>
      <c r="S948" s="7"/>
      <c r="T948" s="7" t="str">
        <f ca="1">IFERROR(__xludf.DUMMYFUNCTION("SPARKLINE({
IF(D948="""",0,D948),
IF(F948="""",0,F948),
IF(H948="""",0,H948),
IF(J948="""",0,J948),
IF(L948="""",0,L948),
IF(N948="""",0,N948),
IF(P948="""",0,P948)
})"),"")</f>
        <v/>
      </c>
      <c r="U948" s="7" t="str">
        <f ca="1">IFERROR(__xludf.DUMMYFUNCTION("SPARKLINE({
IF(E948="""",0,E948),
IF(G948="""",0,G948),
IF(I948="""",0,I948),
IF(K948="""",0,K948),
IF(M948="""",0,M948),
IF(O948="""",0,O948),
IF(Q948="""",0,Q948)
})"),"")</f>
        <v/>
      </c>
      <c r="V948" s="8" t="e">
        <f t="array" aca="1" ref="V948" ca="1">IF($C$4="Giao",_xludf.Xlookup(C948,#REF!,#REF!,),_xludf.Xlookup(C948,#REF!,#REF!,))</f>
        <v>#NAME?</v>
      </c>
      <c r="W948" s="8">
        <f t="array" ref="W948">IF($C$4="Giao", _xludf.Xlookup(C948,#REF!,#REF!,),)</f>
        <v>0</v>
      </c>
      <c r="X948" s="9">
        <f t="shared" si="10"/>
        <v>0</v>
      </c>
      <c r="Y948" s="7"/>
      <c r="Z948" s="7"/>
    </row>
    <row r="949" spans="1:26" ht="13" x14ac:dyDescent="0.6">
      <c r="A949" s="28" t="str">
        <f t="shared" si="9"/>
        <v/>
      </c>
      <c r="B949" s="7"/>
      <c r="C949" s="7"/>
      <c r="D949" s="9"/>
      <c r="E949" s="9"/>
      <c r="F949" s="9"/>
      <c r="G949" s="9"/>
      <c r="H949" s="9"/>
      <c r="I949" s="9"/>
      <c r="J949" s="9"/>
      <c r="K949" s="9"/>
      <c r="L949" s="9"/>
      <c r="M949" s="9"/>
      <c r="N949" s="9"/>
      <c r="O949" s="9"/>
      <c r="P949" s="29"/>
      <c r="Q949" s="29"/>
      <c r="R949" s="7"/>
      <c r="S949" s="7"/>
      <c r="T949" s="7" t="str">
        <f ca="1">IFERROR(__xludf.DUMMYFUNCTION("SPARKLINE({
IF(D949="""",0,D949),
IF(F949="""",0,F949),
IF(H949="""",0,H949),
IF(J949="""",0,J949),
IF(L949="""",0,L949),
IF(N949="""",0,N949),
IF(P949="""",0,P949)
})"),"")</f>
        <v/>
      </c>
      <c r="U949" s="7" t="str">
        <f ca="1">IFERROR(__xludf.DUMMYFUNCTION("SPARKLINE({
IF(E949="""",0,E949),
IF(G949="""",0,G949),
IF(I949="""",0,I949),
IF(K949="""",0,K949),
IF(M949="""",0,M949),
IF(O949="""",0,O949),
IF(Q949="""",0,Q949)
})"),"")</f>
        <v/>
      </c>
      <c r="V949" s="8" t="e">
        <f t="array" aca="1" ref="V949" ca="1">IF($C$4="Giao",_xludf.Xlookup(C949,#REF!,#REF!,),_xludf.Xlookup(C949,#REF!,#REF!,))</f>
        <v>#NAME?</v>
      </c>
      <c r="W949" s="8">
        <f t="array" ref="W949">IF($C$4="Giao", _xludf.Xlookup(C949,#REF!,#REF!,),)</f>
        <v>0</v>
      </c>
      <c r="X949" s="9">
        <f t="shared" si="10"/>
        <v>0</v>
      </c>
      <c r="Y949" s="7"/>
      <c r="Z949" s="7"/>
    </row>
    <row r="950" spans="1:26" ht="13" x14ac:dyDescent="0.6">
      <c r="A950" s="28" t="str">
        <f t="shared" si="9"/>
        <v/>
      </c>
      <c r="B950" s="7"/>
      <c r="C950" s="7"/>
      <c r="D950" s="9"/>
      <c r="E950" s="9"/>
      <c r="F950" s="9"/>
      <c r="G950" s="9"/>
      <c r="H950" s="9"/>
      <c r="I950" s="9"/>
      <c r="J950" s="9"/>
      <c r="K950" s="9"/>
      <c r="L950" s="9"/>
      <c r="M950" s="9"/>
      <c r="N950" s="9"/>
      <c r="O950" s="9"/>
      <c r="P950" s="29"/>
      <c r="Q950" s="29"/>
      <c r="R950" s="7"/>
      <c r="S950" s="7"/>
      <c r="T950" s="7" t="str">
        <f ca="1">IFERROR(__xludf.DUMMYFUNCTION("SPARKLINE({
IF(D950="""",0,D950),
IF(F950="""",0,F950),
IF(H950="""",0,H950),
IF(J950="""",0,J950),
IF(L950="""",0,L950),
IF(N950="""",0,N950),
IF(P950="""",0,P950)
})"),"")</f>
        <v/>
      </c>
      <c r="U950" s="7" t="str">
        <f ca="1">IFERROR(__xludf.DUMMYFUNCTION("SPARKLINE({
IF(E950="""",0,E950),
IF(G950="""",0,G950),
IF(I950="""",0,I950),
IF(K950="""",0,K950),
IF(M950="""",0,M950),
IF(O950="""",0,O950),
IF(Q950="""",0,Q950)
})"),"")</f>
        <v/>
      </c>
      <c r="V950" s="8" t="e">
        <f t="array" aca="1" ref="V950" ca="1">IF($C$4="Giao",_xludf.Xlookup(C950,#REF!,#REF!,),_xludf.Xlookup(C950,#REF!,#REF!,))</f>
        <v>#NAME?</v>
      </c>
      <c r="W950" s="8">
        <f t="array" ref="W950">IF($C$4="Giao", _xludf.Xlookup(C950,#REF!,#REF!,),)</f>
        <v>0</v>
      </c>
      <c r="X950" s="9">
        <f t="shared" si="10"/>
        <v>0</v>
      </c>
      <c r="Y950" s="7"/>
      <c r="Z950" s="7"/>
    </row>
    <row r="951" spans="1:26" ht="13" x14ac:dyDescent="0.6">
      <c r="A951" s="28" t="str">
        <f t="shared" si="9"/>
        <v/>
      </c>
      <c r="B951" s="7"/>
      <c r="C951" s="7"/>
      <c r="D951" s="9"/>
      <c r="E951" s="9"/>
      <c r="F951" s="9"/>
      <c r="G951" s="9"/>
      <c r="H951" s="9"/>
      <c r="I951" s="9"/>
      <c r="J951" s="9"/>
      <c r="K951" s="9"/>
      <c r="L951" s="9"/>
      <c r="M951" s="9"/>
      <c r="N951" s="9"/>
      <c r="O951" s="9"/>
      <c r="P951" s="29"/>
      <c r="Q951" s="29"/>
      <c r="R951" s="7"/>
      <c r="S951" s="7"/>
      <c r="T951" s="7" t="str">
        <f ca="1">IFERROR(__xludf.DUMMYFUNCTION("SPARKLINE({
IF(D951="""",0,D951),
IF(F951="""",0,F951),
IF(H951="""",0,H951),
IF(J951="""",0,J951),
IF(L951="""",0,L951),
IF(N951="""",0,N951),
IF(P951="""",0,P951)
})"),"")</f>
        <v/>
      </c>
      <c r="U951" s="7" t="str">
        <f ca="1">IFERROR(__xludf.DUMMYFUNCTION("SPARKLINE({
IF(E951="""",0,E951),
IF(G951="""",0,G951),
IF(I951="""",0,I951),
IF(K951="""",0,K951),
IF(M951="""",0,M951),
IF(O951="""",0,O951),
IF(Q951="""",0,Q951)
})"),"")</f>
        <v/>
      </c>
      <c r="V951" s="8" t="e">
        <f t="array" aca="1" ref="V951" ca="1">IF($C$4="Giao",_xludf.Xlookup(C951,#REF!,#REF!,),_xludf.Xlookup(C951,#REF!,#REF!,))</f>
        <v>#NAME?</v>
      </c>
      <c r="W951" s="8">
        <f t="array" ref="W951">IF($C$4="Giao", _xludf.Xlookup(C951,#REF!,#REF!,),)</f>
        <v>0</v>
      </c>
      <c r="X951" s="9">
        <f t="shared" si="10"/>
        <v>0</v>
      </c>
      <c r="Y951" s="7"/>
      <c r="Z951" s="7"/>
    </row>
    <row r="952" spans="1:26" ht="13" x14ac:dyDescent="0.6">
      <c r="A952" s="28" t="str">
        <f t="shared" si="9"/>
        <v/>
      </c>
      <c r="B952" s="7"/>
      <c r="C952" s="7"/>
      <c r="D952" s="9"/>
      <c r="E952" s="9"/>
      <c r="F952" s="9"/>
      <c r="G952" s="9"/>
      <c r="H952" s="9"/>
      <c r="I952" s="9"/>
      <c r="J952" s="9"/>
      <c r="K952" s="9"/>
      <c r="L952" s="9"/>
      <c r="M952" s="9"/>
      <c r="N952" s="9"/>
      <c r="O952" s="9"/>
      <c r="P952" s="29"/>
      <c r="Q952" s="29"/>
      <c r="R952" s="7"/>
      <c r="S952" s="7"/>
      <c r="T952" s="7" t="str">
        <f ca="1">IFERROR(__xludf.DUMMYFUNCTION("SPARKLINE({
IF(D952="""",0,D952),
IF(F952="""",0,F952),
IF(H952="""",0,H952),
IF(J952="""",0,J952),
IF(L952="""",0,L952),
IF(N952="""",0,N952),
IF(P952="""",0,P952)
})"),"")</f>
        <v/>
      </c>
      <c r="U952" s="7" t="str">
        <f ca="1">IFERROR(__xludf.DUMMYFUNCTION("SPARKLINE({
IF(E952="""",0,E952),
IF(G952="""",0,G952),
IF(I952="""",0,I952),
IF(K952="""",0,K952),
IF(M952="""",0,M952),
IF(O952="""",0,O952),
IF(Q952="""",0,Q952)
})"),"")</f>
        <v/>
      </c>
      <c r="V952" s="8" t="e">
        <f t="array" aca="1" ref="V952" ca="1">IF($C$4="Giao",_xludf.Xlookup(C952,#REF!,#REF!,),_xludf.Xlookup(C952,#REF!,#REF!,))</f>
        <v>#NAME?</v>
      </c>
      <c r="W952" s="8">
        <f t="array" ref="W952">IF($C$4="Giao", _xludf.Xlookup(C952,#REF!,#REF!,),)</f>
        <v>0</v>
      </c>
      <c r="X952" s="9">
        <f t="shared" si="10"/>
        <v>0</v>
      </c>
      <c r="Y952" s="7"/>
      <c r="Z952" s="7"/>
    </row>
    <row r="953" spans="1:26" ht="13" x14ac:dyDescent="0.6">
      <c r="A953" s="28" t="str">
        <f t="shared" si="9"/>
        <v/>
      </c>
      <c r="B953" s="7"/>
      <c r="C953" s="7"/>
      <c r="D953" s="9"/>
      <c r="E953" s="9"/>
      <c r="F953" s="9"/>
      <c r="G953" s="9"/>
      <c r="H953" s="9"/>
      <c r="I953" s="9"/>
      <c r="J953" s="9"/>
      <c r="K953" s="9"/>
      <c r="L953" s="9"/>
      <c r="M953" s="9"/>
      <c r="N953" s="9"/>
      <c r="O953" s="9"/>
      <c r="P953" s="29"/>
      <c r="Q953" s="29"/>
      <c r="R953" s="7"/>
      <c r="S953" s="7"/>
      <c r="T953" s="7" t="str">
        <f ca="1">IFERROR(__xludf.DUMMYFUNCTION("SPARKLINE({
IF(D953="""",0,D953),
IF(F953="""",0,F953),
IF(H953="""",0,H953),
IF(J953="""",0,J953),
IF(L953="""",0,L953),
IF(N953="""",0,N953),
IF(P953="""",0,P953)
})"),"")</f>
        <v/>
      </c>
      <c r="U953" s="7" t="str">
        <f ca="1">IFERROR(__xludf.DUMMYFUNCTION("SPARKLINE({
IF(E953="""",0,E953),
IF(G953="""",0,G953),
IF(I953="""",0,I953),
IF(K953="""",0,K953),
IF(M953="""",0,M953),
IF(O953="""",0,O953),
IF(Q953="""",0,Q953)
})"),"")</f>
        <v/>
      </c>
      <c r="V953" s="8" t="e">
        <f t="array" aca="1" ref="V953" ca="1">IF($C$4="Giao",_xludf.Xlookup(C953,#REF!,#REF!,),_xludf.Xlookup(C953,#REF!,#REF!,))</f>
        <v>#NAME?</v>
      </c>
      <c r="W953" s="8">
        <f t="array" ref="W953">IF($C$4="Giao", _xludf.Xlookup(C953,#REF!,#REF!,),)</f>
        <v>0</v>
      </c>
      <c r="X953" s="9">
        <f t="shared" si="10"/>
        <v>0</v>
      </c>
      <c r="Y953" s="7"/>
      <c r="Z953" s="7"/>
    </row>
    <row r="954" spans="1:26" ht="13" x14ac:dyDescent="0.6">
      <c r="A954" s="28" t="str">
        <f t="shared" si="9"/>
        <v/>
      </c>
      <c r="B954" s="7"/>
      <c r="C954" s="7"/>
      <c r="D954" s="9"/>
      <c r="E954" s="9"/>
      <c r="F954" s="9"/>
      <c r="G954" s="9"/>
      <c r="H954" s="9"/>
      <c r="I954" s="9"/>
      <c r="J954" s="9"/>
      <c r="K954" s="9"/>
      <c r="L954" s="9"/>
      <c r="M954" s="9"/>
      <c r="N954" s="9"/>
      <c r="O954" s="9"/>
      <c r="P954" s="29"/>
      <c r="Q954" s="29"/>
      <c r="R954" s="7"/>
      <c r="S954" s="7"/>
      <c r="T954" s="7" t="str">
        <f ca="1">IFERROR(__xludf.DUMMYFUNCTION("SPARKLINE({
IF(D954="""",0,D954),
IF(F954="""",0,F954),
IF(H954="""",0,H954),
IF(J954="""",0,J954),
IF(L954="""",0,L954),
IF(N954="""",0,N954),
IF(P954="""",0,P954)
})"),"")</f>
        <v/>
      </c>
      <c r="U954" s="7" t="str">
        <f ca="1">IFERROR(__xludf.DUMMYFUNCTION("SPARKLINE({
IF(E954="""",0,E954),
IF(G954="""",0,G954),
IF(I954="""",0,I954),
IF(K954="""",0,K954),
IF(M954="""",0,M954),
IF(O954="""",0,O954),
IF(Q954="""",0,Q954)
})"),"")</f>
        <v/>
      </c>
      <c r="V954" s="8" t="e">
        <f t="array" aca="1" ref="V954" ca="1">IF($C$4="Giao",_xludf.Xlookup(C954,#REF!,#REF!,),_xludf.Xlookup(C954,#REF!,#REF!,))</f>
        <v>#NAME?</v>
      </c>
      <c r="W954" s="8">
        <f t="array" ref="W954">IF($C$4="Giao", _xludf.Xlookup(C954,#REF!,#REF!,),)</f>
        <v>0</v>
      </c>
      <c r="X954" s="9">
        <f t="shared" si="10"/>
        <v>0</v>
      </c>
      <c r="Y954" s="7"/>
      <c r="Z954" s="7"/>
    </row>
    <row r="955" spans="1:26" ht="13" x14ac:dyDescent="0.6">
      <c r="A955" s="28" t="str">
        <f t="shared" si="9"/>
        <v/>
      </c>
      <c r="B955" s="7"/>
      <c r="C955" s="7"/>
      <c r="D955" s="9"/>
      <c r="E955" s="9"/>
      <c r="F955" s="9"/>
      <c r="G955" s="9"/>
      <c r="H955" s="9"/>
      <c r="I955" s="9"/>
      <c r="J955" s="9"/>
      <c r="K955" s="9"/>
      <c r="L955" s="9"/>
      <c r="M955" s="9"/>
      <c r="N955" s="9"/>
      <c r="O955" s="9"/>
      <c r="P955" s="29"/>
      <c r="Q955" s="29"/>
      <c r="R955" s="7"/>
      <c r="S955" s="7"/>
      <c r="T955" s="7" t="str">
        <f ca="1">IFERROR(__xludf.DUMMYFUNCTION("SPARKLINE({
IF(D955="""",0,D955),
IF(F955="""",0,F955),
IF(H955="""",0,H955),
IF(J955="""",0,J955),
IF(L955="""",0,L955),
IF(N955="""",0,N955),
IF(P955="""",0,P955)
})"),"")</f>
        <v/>
      </c>
      <c r="U955" s="7" t="str">
        <f ca="1">IFERROR(__xludf.DUMMYFUNCTION("SPARKLINE({
IF(E955="""",0,E955),
IF(G955="""",0,G955),
IF(I955="""",0,I955),
IF(K955="""",0,K955),
IF(M955="""",0,M955),
IF(O955="""",0,O955),
IF(Q955="""",0,Q955)
})"),"")</f>
        <v/>
      </c>
      <c r="V955" s="8" t="e">
        <f t="array" aca="1" ref="V955" ca="1">IF($C$4="Giao",_xludf.Xlookup(C955,#REF!,#REF!,),_xludf.Xlookup(C955,#REF!,#REF!,))</f>
        <v>#NAME?</v>
      </c>
      <c r="W955" s="8">
        <f t="array" ref="W955">IF($C$4="Giao", _xludf.Xlookup(C955,#REF!,#REF!,),)</f>
        <v>0</v>
      </c>
      <c r="X955" s="9">
        <f t="shared" si="10"/>
        <v>0</v>
      </c>
      <c r="Y955" s="7"/>
      <c r="Z955" s="7"/>
    </row>
    <row r="956" spans="1:26" ht="13" x14ac:dyDescent="0.6">
      <c r="A956" s="28" t="str">
        <f t="shared" si="9"/>
        <v/>
      </c>
      <c r="B956" s="7"/>
      <c r="C956" s="7"/>
      <c r="D956" s="9"/>
      <c r="E956" s="9"/>
      <c r="F956" s="9"/>
      <c r="G956" s="9"/>
      <c r="H956" s="9"/>
      <c r="I956" s="9"/>
      <c r="J956" s="9"/>
      <c r="K956" s="9"/>
      <c r="L956" s="9"/>
      <c r="M956" s="9"/>
      <c r="N956" s="9"/>
      <c r="O956" s="9"/>
      <c r="P956" s="29"/>
      <c r="Q956" s="29"/>
      <c r="R956" s="7"/>
      <c r="S956" s="7"/>
      <c r="T956" s="7" t="str">
        <f ca="1">IFERROR(__xludf.DUMMYFUNCTION("SPARKLINE({
IF(D956="""",0,D956),
IF(F956="""",0,F956),
IF(H956="""",0,H956),
IF(J956="""",0,J956),
IF(L956="""",0,L956),
IF(N956="""",0,N956),
IF(P956="""",0,P956)
})"),"")</f>
        <v/>
      </c>
      <c r="U956" s="7" t="str">
        <f ca="1">IFERROR(__xludf.DUMMYFUNCTION("SPARKLINE({
IF(E956="""",0,E956),
IF(G956="""",0,G956),
IF(I956="""",0,I956),
IF(K956="""",0,K956),
IF(M956="""",0,M956),
IF(O956="""",0,O956),
IF(Q956="""",0,Q956)
})"),"")</f>
        <v/>
      </c>
      <c r="V956" s="8" t="e">
        <f t="array" aca="1" ref="V956" ca="1">IF($C$4="Giao",_xludf.Xlookup(C956,#REF!,#REF!,),_xludf.Xlookup(C956,#REF!,#REF!,))</f>
        <v>#NAME?</v>
      </c>
      <c r="W956" s="8">
        <f t="array" ref="W956">IF($C$4="Giao", _xludf.Xlookup(C956,#REF!,#REF!,),)</f>
        <v>0</v>
      </c>
      <c r="X956" s="9">
        <f t="shared" si="10"/>
        <v>0</v>
      </c>
      <c r="Y956" s="7"/>
      <c r="Z956" s="7"/>
    </row>
    <row r="957" spans="1:26" ht="13" x14ac:dyDescent="0.6">
      <c r="A957" s="28" t="str">
        <f t="shared" si="9"/>
        <v/>
      </c>
      <c r="B957" s="7"/>
      <c r="C957" s="7"/>
      <c r="D957" s="9"/>
      <c r="E957" s="9"/>
      <c r="F957" s="9"/>
      <c r="G957" s="9"/>
      <c r="H957" s="9"/>
      <c r="I957" s="9"/>
      <c r="J957" s="9"/>
      <c r="K957" s="9"/>
      <c r="L957" s="9"/>
      <c r="M957" s="9"/>
      <c r="N957" s="9"/>
      <c r="O957" s="9"/>
      <c r="P957" s="29"/>
      <c r="Q957" s="29"/>
      <c r="R957" s="7"/>
      <c r="S957" s="7"/>
      <c r="T957" s="7" t="str">
        <f ca="1">IFERROR(__xludf.DUMMYFUNCTION("SPARKLINE({
IF(D957="""",0,D957),
IF(F957="""",0,F957),
IF(H957="""",0,H957),
IF(J957="""",0,J957),
IF(L957="""",0,L957),
IF(N957="""",0,N957),
IF(P957="""",0,P957)
})"),"")</f>
        <v/>
      </c>
      <c r="U957" s="7" t="str">
        <f ca="1">IFERROR(__xludf.DUMMYFUNCTION("SPARKLINE({
IF(E957="""",0,E957),
IF(G957="""",0,G957),
IF(I957="""",0,I957),
IF(K957="""",0,K957),
IF(M957="""",0,M957),
IF(O957="""",0,O957),
IF(Q957="""",0,Q957)
})"),"")</f>
        <v/>
      </c>
      <c r="V957" s="8" t="e">
        <f t="array" aca="1" ref="V957" ca="1">IF($C$4="Giao",_xludf.Xlookup(C957,#REF!,#REF!,),_xludf.Xlookup(C957,#REF!,#REF!,))</f>
        <v>#NAME?</v>
      </c>
      <c r="W957" s="8">
        <f t="array" ref="W957">IF($C$4="Giao", _xludf.Xlookup(C957,#REF!,#REF!,),)</f>
        <v>0</v>
      </c>
      <c r="X957" s="9">
        <f t="shared" si="10"/>
        <v>0</v>
      </c>
      <c r="Y957" s="7"/>
      <c r="Z957" s="7"/>
    </row>
    <row r="958" spans="1:26" ht="13" x14ac:dyDescent="0.6">
      <c r="A958" s="28" t="str">
        <f t="shared" si="9"/>
        <v/>
      </c>
      <c r="B958" s="7"/>
      <c r="C958" s="7"/>
      <c r="D958" s="9"/>
      <c r="E958" s="9"/>
      <c r="F958" s="9"/>
      <c r="G958" s="9"/>
      <c r="H958" s="9"/>
      <c r="I958" s="9"/>
      <c r="J958" s="9"/>
      <c r="K958" s="9"/>
      <c r="L958" s="9"/>
      <c r="M958" s="9"/>
      <c r="N958" s="9"/>
      <c r="O958" s="9"/>
      <c r="P958" s="29"/>
      <c r="Q958" s="29"/>
      <c r="R958" s="7"/>
      <c r="S958" s="7"/>
      <c r="T958" s="7" t="str">
        <f ca="1">IFERROR(__xludf.DUMMYFUNCTION("SPARKLINE({
IF(D958="""",0,D958),
IF(F958="""",0,F958),
IF(H958="""",0,H958),
IF(J958="""",0,J958),
IF(L958="""",0,L958),
IF(N958="""",0,N958),
IF(P958="""",0,P958)
})"),"")</f>
        <v/>
      </c>
      <c r="U958" s="7" t="str">
        <f ca="1">IFERROR(__xludf.DUMMYFUNCTION("SPARKLINE({
IF(E958="""",0,E958),
IF(G958="""",0,G958),
IF(I958="""",0,I958),
IF(K958="""",0,K958),
IF(M958="""",0,M958),
IF(O958="""",0,O958),
IF(Q958="""",0,Q958)
})"),"")</f>
        <v/>
      </c>
      <c r="V958" s="8" t="e">
        <f t="array" aca="1" ref="V958" ca="1">IF($C$4="Giao",_xludf.Xlookup(C958,#REF!,#REF!,),_xludf.Xlookup(C958,#REF!,#REF!,))</f>
        <v>#NAME?</v>
      </c>
      <c r="W958" s="8">
        <f t="array" ref="W958">IF($C$4="Giao", _xludf.Xlookup(C958,#REF!,#REF!,),)</f>
        <v>0</v>
      </c>
      <c r="X958" s="9">
        <f t="shared" si="10"/>
        <v>0</v>
      </c>
      <c r="Y958" s="7"/>
      <c r="Z958" s="7"/>
    </row>
    <row r="959" spans="1:26" ht="13" x14ac:dyDescent="0.6">
      <c r="A959" s="28" t="str">
        <f t="shared" si="9"/>
        <v/>
      </c>
      <c r="B959" s="7"/>
      <c r="C959" s="7"/>
      <c r="D959" s="9"/>
      <c r="E959" s="9"/>
      <c r="F959" s="9"/>
      <c r="G959" s="9"/>
      <c r="H959" s="9"/>
      <c r="I959" s="9"/>
      <c r="J959" s="9"/>
      <c r="K959" s="9"/>
      <c r="L959" s="9"/>
      <c r="M959" s="9"/>
      <c r="N959" s="9"/>
      <c r="O959" s="9"/>
      <c r="P959" s="29"/>
      <c r="Q959" s="29"/>
      <c r="R959" s="7"/>
      <c r="S959" s="7"/>
      <c r="T959" s="7" t="str">
        <f ca="1">IFERROR(__xludf.DUMMYFUNCTION("SPARKLINE({
IF(D959="""",0,D959),
IF(F959="""",0,F959),
IF(H959="""",0,H959),
IF(J959="""",0,J959),
IF(L959="""",0,L959),
IF(N959="""",0,N959),
IF(P959="""",0,P959)
})"),"")</f>
        <v/>
      </c>
      <c r="U959" s="7" t="str">
        <f ca="1">IFERROR(__xludf.DUMMYFUNCTION("SPARKLINE({
IF(E959="""",0,E959),
IF(G959="""",0,G959),
IF(I959="""",0,I959),
IF(K959="""",0,K959),
IF(M959="""",0,M959),
IF(O959="""",0,O959),
IF(Q959="""",0,Q959)
})"),"")</f>
        <v/>
      </c>
      <c r="V959" s="8" t="e">
        <f t="array" aca="1" ref="V959" ca="1">IF($C$4="Giao",_xludf.Xlookup(C959,#REF!,#REF!,),_xludf.Xlookup(C959,#REF!,#REF!,))</f>
        <v>#NAME?</v>
      </c>
      <c r="W959" s="8">
        <f t="array" ref="W959">IF($C$4="Giao", _xludf.Xlookup(C959,#REF!,#REF!,),)</f>
        <v>0</v>
      </c>
      <c r="X959" s="9">
        <f t="shared" si="10"/>
        <v>0</v>
      </c>
      <c r="Y959" s="7"/>
      <c r="Z959" s="7"/>
    </row>
    <row r="960" spans="1:26" ht="13" x14ac:dyDescent="0.6">
      <c r="A960" s="28" t="str">
        <f t="shared" si="9"/>
        <v/>
      </c>
      <c r="B960" s="7"/>
      <c r="C960" s="7"/>
      <c r="D960" s="9"/>
      <c r="E960" s="9"/>
      <c r="F960" s="9"/>
      <c r="G960" s="9"/>
      <c r="H960" s="9"/>
      <c r="I960" s="9"/>
      <c r="J960" s="9"/>
      <c r="K960" s="9"/>
      <c r="L960" s="9"/>
      <c r="M960" s="9"/>
      <c r="N960" s="9"/>
      <c r="O960" s="9"/>
      <c r="P960" s="29"/>
      <c r="Q960" s="29"/>
      <c r="R960" s="7"/>
      <c r="S960" s="7"/>
      <c r="T960" s="7" t="str">
        <f ca="1">IFERROR(__xludf.DUMMYFUNCTION("SPARKLINE({
IF(D960="""",0,D960),
IF(F960="""",0,F960),
IF(H960="""",0,H960),
IF(J960="""",0,J960),
IF(L960="""",0,L960),
IF(N960="""",0,N960),
IF(P960="""",0,P960)
})"),"")</f>
        <v/>
      </c>
      <c r="U960" s="7" t="str">
        <f ca="1">IFERROR(__xludf.DUMMYFUNCTION("SPARKLINE({
IF(E960="""",0,E960),
IF(G960="""",0,G960),
IF(I960="""",0,I960),
IF(K960="""",0,K960),
IF(M960="""",0,M960),
IF(O960="""",0,O960),
IF(Q960="""",0,Q960)
})"),"")</f>
        <v/>
      </c>
      <c r="V960" s="8" t="e">
        <f t="array" aca="1" ref="V960" ca="1">IF($C$4="Giao",_xludf.Xlookup(C960,#REF!,#REF!,),_xludf.Xlookup(C960,#REF!,#REF!,))</f>
        <v>#NAME?</v>
      </c>
      <c r="W960" s="8">
        <f t="array" ref="W960">IF($C$4="Giao", _xludf.Xlookup(C960,#REF!,#REF!,),)</f>
        <v>0</v>
      </c>
      <c r="X960" s="9">
        <f t="shared" si="10"/>
        <v>0</v>
      </c>
      <c r="Y960" s="7"/>
      <c r="Z960" s="7"/>
    </row>
    <row r="961" spans="1:26" ht="13" x14ac:dyDescent="0.6">
      <c r="A961" s="28" t="str">
        <f t="shared" si="9"/>
        <v/>
      </c>
      <c r="B961" s="7"/>
      <c r="C961" s="7"/>
      <c r="D961" s="9"/>
      <c r="E961" s="9"/>
      <c r="F961" s="9"/>
      <c r="G961" s="9"/>
      <c r="H961" s="9"/>
      <c r="I961" s="9"/>
      <c r="J961" s="9"/>
      <c r="K961" s="9"/>
      <c r="L961" s="9"/>
      <c r="M961" s="9"/>
      <c r="N961" s="9"/>
      <c r="O961" s="9"/>
      <c r="P961" s="29"/>
      <c r="Q961" s="29"/>
      <c r="R961" s="7"/>
      <c r="S961" s="7"/>
      <c r="T961" s="7" t="str">
        <f ca="1">IFERROR(__xludf.DUMMYFUNCTION("SPARKLINE({
IF(D961="""",0,D961),
IF(F961="""",0,F961),
IF(H961="""",0,H961),
IF(J961="""",0,J961),
IF(L961="""",0,L961),
IF(N961="""",0,N961),
IF(P961="""",0,P961)
})"),"")</f>
        <v/>
      </c>
      <c r="U961" s="7" t="str">
        <f ca="1">IFERROR(__xludf.DUMMYFUNCTION("SPARKLINE({
IF(E961="""",0,E961),
IF(G961="""",0,G961),
IF(I961="""",0,I961),
IF(K961="""",0,K961),
IF(M961="""",0,M961),
IF(O961="""",0,O961),
IF(Q961="""",0,Q961)
})"),"")</f>
        <v/>
      </c>
      <c r="V961" s="8" t="e">
        <f t="array" aca="1" ref="V961" ca="1">IF($C$4="Giao",_xludf.Xlookup(C961,#REF!,#REF!,),_xludf.Xlookup(C961,#REF!,#REF!,))</f>
        <v>#NAME?</v>
      </c>
      <c r="W961" s="8">
        <f t="array" ref="W961">IF($C$4="Giao", _xludf.Xlookup(C961,#REF!,#REF!,),)</f>
        <v>0</v>
      </c>
      <c r="X961" s="9">
        <f t="shared" si="10"/>
        <v>0</v>
      </c>
      <c r="Y961" s="7"/>
      <c r="Z961" s="7"/>
    </row>
    <row r="962" spans="1:26" ht="13" x14ac:dyDescent="0.6">
      <c r="A962" s="28" t="str">
        <f t="shared" si="9"/>
        <v/>
      </c>
      <c r="B962" s="7"/>
      <c r="C962" s="7"/>
      <c r="D962" s="9"/>
      <c r="E962" s="9"/>
      <c r="F962" s="9"/>
      <c r="G962" s="9"/>
      <c r="H962" s="9"/>
      <c r="I962" s="9"/>
      <c r="J962" s="9"/>
      <c r="K962" s="9"/>
      <c r="L962" s="9"/>
      <c r="M962" s="9"/>
      <c r="N962" s="9"/>
      <c r="O962" s="9"/>
      <c r="P962" s="29"/>
      <c r="Q962" s="29"/>
      <c r="R962" s="7"/>
      <c r="S962" s="7"/>
      <c r="T962" s="7" t="str">
        <f ca="1">IFERROR(__xludf.DUMMYFUNCTION("SPARKLINE({
IF(D962="""",0,D962),
IF(F962="""",0,F962),
IF(H962="""",0,H962),
IF(J962="""",0,J962),
IF(L962="""",0,L962),
IF(N962="""",0,N962),
IF(P962="""",0,P962)
})"),"")</f>
        <v/>
      </c>
      <c r="U962" s="7" t="str">
        <f ca="1">IFERROR(__xludf.DUMMYFUNCTION("SPARKLINE({
IF(E962="""",0,E962),
IF(G962="""",0,G962),
IF(I962="""",0,I962),
IF(K962="""",0,K962),
IF(M962="""",0,M962),
IF(O962="""",0,O962),
IF(Q962="""",0,Q962)
})"),"")</f>
        <v/>
      </c>
      <c r="V962" s="8" t="e">
        <f t="array" aca="1" ref="V962" ca="1">IF($C$4="Giao",_xludf.Xlookup(C962,#REF!,#REF!,),_xludf.Xlookup(C962,#REF!,#REF!,))</f>
        <v>#NAME?</v>
      </c>
      <c r="W962" s="8">
        <f t="array" ref="W962">IF($C$4="Giao", _xludf.Xlookup(C962,#REF!,#REF!,),)</f>
        <v>0</v>
      </c>
      <c r="X962" s="9">
        <f t="shared" si="10"/>
        <v>0</v>
      </c>
      <c r="Y962" s="7"/>
      <c r="Z962" s="7"/>
    </row>
    <row r="963" spans="1:26" ht="13" x14ac:dyDescent="0.6">
      <c r="A963" s="28" t="str">
        <f t="shared" si="9"/>
        <v/>
      </c>
      <c r="B963" s="7"/>
      <c r="C963" s="7"/>
      <c r="D963" s="9"/>
      <c r="E963" s="9"/>
      <c r="F963" s="9"/>
      <c r="G963" s="9"/>
      <c r="H963" s="9"/>
      <c r="I963" s="9"/>
      <c r="J963" s="9"/>
      <c r="K963" s="9"/>
      <c r="L963" s="9"/>
      <c r="M963" s="9"/>
      <c r="N963" s="9"/>
      <c r="O963" s="9"/>
      <c r="P963" s="29"/>
      <c r="Q963" s="29"/>
      <c r="R963" s="7"/>
      <c r="S963" s="7"/>
      <c r="T963" s="7" t="str">
        <f ca="1">IFERROR(__xludf.DUMMYFUNCTION("SPARKLINE({
IF(D963="""",0,D963),
IF(F963="""",0,F963),
IF(H963="""",0,H963),
IF(J963="""",0,J963),
IF(L963="""",0,L963),
IF(N963="""",0,N963),
IF(P963="""",0,P963)
})"),"")</f>
        <v/>
      </c>
      <c r="U963" s="7" t="str">
        <f ca="1">IFERROR(__xludf.DUMMYFUNCTION("SPARKLINE({
IF(E963="""",0,E963),
IF(G963="""",0,G963),
IF(I963="""",0,I963),
IF(K963="""",0,K963),
IF(M963="""",0,M963),
IF(O963="""",0,O963),
IF(Q963="""",0,Q963)
})"),"")</f>
        <v/>
      </c>
      <c r="V963" s="8" t="e">
        <f t="array" aca="1" ref="V963" ca="1">IF($C$4="Giao",_xludf.Xlookup(C963,#REF!,#REF!,),_xludf.Xlookup(C963,#REF!,#REF!,))</f>
        <v>#NAME?</v>
      </c>
      <c r="W963" s="8">
        <f t="array" ref="W963">IF($C$4="Giao", _xludf.Xlookup(C963,#REF!,#REF!,),)</f>
        <v>0</v>
      </c>
      <c r="X963" s="9">
        <f t="shared" si="10"/>
        <v>0</v>
      </c>
      <c r="Y963" s="7"/>
      <c r="Z963" s="7"/>
    </row>
    <row r="964" spans="1:26" ht="13" x14ac:dyDescent="0.6">
      <c r="A964" s="28" t="str">
        <f t="shared" si="9"/>
        <v/>
      </c>
      <c r="B964" s="7"/>
      <c r="C964" s="7"/>
      <c r="D964" s="9"/>
      <c r="E964" s="9"/>
      <c r="F964" s="9"/>
      <c r="G964" s="9"/>
      <c r="H964" s="9"/>
      <c r="I964" s="9"/>
      <c r="J964" s="9"/>
      <c r="K964" s="9"/>
      <c r="L964" s="9"/>
      <c r="M964" s="9"/>
      <c r="N964" s="9"/>
      <c r="O964" s="9"/>
      <c r="P964" s="29"/>
      <c r="Q964" s="29"/>
      <c r="R964" s="7"/>
      <c r="S964" s="7"/>
      <c r="T964" s="7" t="str">
        <f ca="1">IFERROR(__xludf.DUMMYFUNCTION("SPARKLINE({
IF(D964="""",0,D964),
IF(F964="""",0,F964),
IF(H964="""",0,H964),
IF(J964="""",0,J964),
IF(L964="""",0,L964),
IF(N964="""",0,N964),
IF(P964="""",0,P964)
})"),"")</f>
        <v/>
      </c>
      <c r="U964" s="7" t="str">
        <f ca="1">IFERROR(__xludf.DUMMYFUNCTION("SPARKLINE({
IF(E964="""",0,E964),
IF(G964="""",0,G964),
IF(I964="""",0,I964),
IF(K964="""",0,K964),
IF(M964="""",0,M964),
IF(O964="""",0,O964),
IF(Q964="""",0,Q964)
})"),"")</f>
        <v/>
      </c>
      <c r="V964" s="8" t="e">
        <f t="array" aca="1" ref="V964" ca="1">IF($C$4="Giao",_xludf.Xlookup(C964,#REF!,#REF!,),_xludf.Xlookup(C964,#REF!,#REF!,))</f>
        <v>#NAME?</v>
      </c>
      <c r="W964" s="8">
        <f t="array" ref="W964">IF($C$4="Giao", _xludf.Xlookup(C964,#REF!,#REF!,),)</f>
        <v>0</v>
      </c>
      <c r="X964" s="9">
        <f t="shared" si="10"/>
        <v>0</v>
      </c>
      <c r="Y964" s="7"/>
      <c r="Z964" s="7"/>
    </row>
    <row r="965" spans="1:26" ht="13" x14ac:dyDescent="0.6">
      <c r="A965" s="28" t="str">
        <f t="shared" si="9"/>
        <v/>
      </c>
      <c r="B965" s="7"/>
      <c r="C965" s="7"/>
      <c r="D965" s="9"/>
      <c r="E965" s="9"/>
      <c r="F965" s="9"/>
      <c r="G965" s="9"/>
      <c r="H965" s="9"/>
      <c r="I965" s="9"/>
      <c r="J965" s="9"/>
      <c r="K965" s="9"/>
      <c r="L965" s="9"/>
      <c r="M965" s="9"/>
      <c r="N965" s="9"/>
      <c r="O965" s="9"/>
      <c r="P965" s="29"/>
      <c r="Q965" s="29"/>
      <c r="R965" s="7"/>
      <c r="S965" s="7"/>
      <c r="T965" s="7" t="str">
        <f ca="1">IFERROR(__xludf.DUMMYFUNCTION("SPARKLINE({
IF(D965="""",0,D965),
IF(F965="""",0,F965),
IF(H965="""",0,H965),
IF(J965="""",0,J965),
IF(L965="""",0,L965),
IF(N965="""",0,N965),
IF(P965="""",0,P965)
})"),"")</f>
        <v/>
      </c>
      <c r="U965" s="7" t="str">
        <f ca="1">IFERROR(__xludf.DUMMYFUNCTION("SPARKLINE({
IF(E965="""",0,E965),
IF(G965="""",0,G965),
IF(I965="""",0,I965),
IF(K965="""",0,K965),
IF(M965="""",0,M965),
IF(O965="""",0,O965),
IF(Q965="""",0,Q965)
})"),"")</f>
        <v/>
      </c>
      <c r="V965" s="8" t="e">
        <f t="array" aca="1" ref="V965" ca="1">IF($C$4="Giao",_xludf.Xlookup(C965,#REF!,#REF!,),_xludf.Xlookup(C965,#REF!,#REF!,))</f>
        <v>#NAME?</v>
      </c>
      <c r="W965" s="8">
        <f t="array" ref="W965">IF($C$4="Giao", _xludf.Xlookup(C965,#REF!,#REF!,),)</f>
        <v>0</v>
      </c>
      <c r="X965" s="9">
        <f t="shared" si="10"/>
        <v>0</v>
      </c>
      <c r="Y965" s="7"/>
      <c r="Z965" s="7"/>
    </row>
    <row r="966" spans="1:26" ht="13" x14ac:dyDescent="0.6">
      <c r="A966" s="28" t="str">
        <f t="shared" si="9"/>
        <v/>
      </c>
      <c r="B966" s="7"/>
      <c r="C966" s="7"/>
      <c r="D966" s="9"/>
      <c r="E966" s="9"/>
      <c r="F966" s="9"/>
      <c r="G966" s="9"/>
      <c r="H966" s="9"/>
      <c r="I966" s="9"/>
      <c r="J966" s="9"/>
      <c r="K966" s="9"/>
      <c r="L966" s="9"/>
      <c r="M966" s="9"/>
      <c r="N966" s="9"/>
      <c r="O966" s="9"/>
      <c r="P966" s="29"/>
      <c r="Q966" s="29"/>
      <c r="R966" s="7"/>
      <c r="S966" s="7"/>
      <c r="T966" s="7" t="str">
        <f ca="1">IFERROR(__xludf.DUMMYFUNCTION("SPARKLINE({
IF(D966="""",0,D966),
IF(F966="""",0,F966),
IF(H966="""",0,H966),
IF(J966="""",0,J966),
IF(L966="""",0,L966),
IF(N966="""",0,N966),
IF(P966="""",0,P966)
})"),"")</f>
        <v/>
      </c>
      <c r="U966" s="7" t="str">
        <f ca="1">IFERROR(__xludf.DUMMYFUNCTION("SPARKLINE({
IF(E966="""",0,E966),
IF(G966="""",0,G966),
IF(I966="""",0,I966),
IF(K966="""",0,K966),
IF(M966="""",0,M966),
IF(O966="""",0,O966),
IF(Q966="""",0,Q966)
})"),"")</f>
        <v/>
      </c>
      <c r="V966" s="8" t="e">
        <f t="array" aca="1" ref="V966" ca="1">IF($C$4="Giao",_xludf.Xlookup(C966,#REF!,#REF!,),_xludf.Xlookup(C966,#REF!,#REF!,))</f>
        <v>#NAME?</v>
      </c>
      <c r="W966" s="8">
        <f t="array" ref="W966">IF($C$4="Giao", _xludf.Xlookup(C966,#REF!,#REF!,),)</f>
        <v>0</v>
      </c>
      <c r="X966" s="9">
        <f t="shared" si="10"/>
        <v>0</v>
      </c>
      <c r="Y966" s="7"/>
      <c r="Z966" s="7"/>
    </row>
    <row r="967" spans="1:26" ht="13" x14ac:dyDescent="0.6">
      <c r="A967" s="28" t="str">
        <f t="shared" si="9"/>
        <v/>
      </c>
      <c r="B967" s="7"/>
      <c r="C967" s="7"/>
      <c r="D967" s="9"/>
      <c r="E967" s="9"/>
      <c r="F967" s="9"/>
      <c r="G967" s="9"/>
      <c r="H967" s="9"/>
      <c r="I967" s="9"/>
      <c r="J967" s="9"/>
      <c r="K967" s="9"/>
      <c r="L967" s="9"/>
      <c r="M967" s="9"/>
      <c r="N967" s="9"/>
      <c r="O967" s="9"/>
      <c r="P967" s="29"/>
      <c r="Q967" s="29"/>
      <c r="R967" s="7"/>
      <c r="S967" s="7"/>
      <c r="T967" s="7" t="str">
        <f ca="1">IFERROR(__xludf.DUMMYFUNCTION("SPARKLINE({
IF(D967="""",0,D967),
IF(F967="""",0,F967),
IF(H967="""",0,H967),
IF(J967="""",0,J967),
IF(L967="""",0,L967),
IF(N967="""",0,N967),
IF(P967="""",0,P967)
})"),"")</f>
        <v/>
      </c>
      <c r="U967" s="7" t="str">
        <f ca="1">IFERROR(__xludf.DUMMYFUNCTION("SPARKLINE({
IF(E967="""",0,E967),
IF(G967="""",0,G967),
IF(I967="""",0,I967),
IF(K967="""",0,K967),
IF(M967="""",0,M967),
IF(O967="""",0,O967),
IF(Q967="""",0,Q967)
})"),"")</f>
        <v/>
      </c>
      <c r="V967" s="8" t="e">
        <f t="array" aca="1" ref="V967" ca="1">IF($C$4="Giao",_xludf.Xlookup(C967,#REF!,#REF!,),_xludf.Xlookup(C967,#REF!,#REF!,))</f>
        <v>#NAME?</v>
      </c>
      <c r="W967" s="8">
        <f t="array" ref="W967">IF($C$4="Giao", _xludf.Xlookup(C967,#REF!,#REF!,),)</f>
        <v>0</v>
      </c>
      <c r="X967" s="9">
        <f t="shared" si="10"/>
        <v>0</v>
      </c>
      <c r="Y967" s="7"/>
      <c r="Z967" s="7"/>
    </row>
    <row r="968" spans="1:26" ht="13" x14ac:dyDescent="0.6">
      <c r="A968" s="28" t="str">
        <f t="shared" si="9"/>
        <v/>
      </c>
      <c r="B968" s="7"/>
      <c r="C968" s="7"/>
      <c r="D968" s="9"/>
      <c r="E968" s="9"/>
      <c r="F968" s="9"/>
      <c r="G968" s="9"/>
      <c r="H968" s="9"/>
      <c r="I968" s="9"/>
      <c r="J968" s="9"/>
      <c r="K968" s="9"/>
      <c r="L968" s="9"/>
      <c r="M968" s="9"/>
      <c r="N968" s="9"/>
      <c r="O968" s="9"/>
      <c r="P968" s="29"/>
      <c r="Q968" s="29"/>
      <c r="R968" s="7"/>
      <c r="S968" s="7"/>
      <c r="T968" s="7" t="str">
        <f ca="1">IFERROR(__xludf.DUMMYFUNCTION("SPARKLINE({
IF(D968="""",0,D968),
IF(F968="""",0,F968),
IF(H968="""",0,H968),
IF(J968="""",0,J968),
IF(L968="""",0,L968),
IF(N968="""",0,N968),
IF(P968="""",0,P968)
})"),"")</f>
        <v/>
      </c>
      <c r="U968" s="7" t="str">
        <f ca="1">IFERROR(__xludf.DUMMYFUNCTION("SPARKLINE({
IF(E968="""",0,E968),
IF(G968="""",0,G968),
IF(I968="""",0,I968),
IF(K968="""",0,K968),
IF(M968="""",0,M968),
IF(O968="""",0,O968),
IF(Q968="""",0,Q968)
})"),"")</f>
        <v/>
      </c>
      <c r="V968" s="8" t="e">
        <f t="array" aca="1" ref="V968" ca="1">IF($C$4="Giao",_xludf.Xlookup(C968,#REF!,#REF!,),_xludf.Xlookup(C968,#REF!,#REF!,))</f>
        <v>#NAME?</v>
      </c>
      <c r="W968" s="8">
        <f t="array" ref="W968">IF($C$4="Giao", _xludf.Xlookup(C968,#REF!,#REF!,),)</f>
        <v>0</v>
      </c>
      <c r="X968" s="9">
        <f t="shared" si="10"/>
        <v>0</v>
      </c>
      <c r="Y968" s="7"/>
      <c r="Z968" s="7"/>
    </row>
    <row r="969" spans="1:26" ht="13" x14ac:dyDescent="0.6">
      <c r="A969" s="28" t="str">
        <f t="shared" si="9"/>
        <v/>
      </c>
      <c r="B969" s="7"/>
      <c r="C969" s="7"/>
      <c r="D969" s="9"/>
      <c r="E969" s="9"/>
      <c r="F969" s="9"/>
      <c r="G969" s="9"/>
      <c r="H969" s="9"/>
      <c r="I969" s="9"/>
      <c r="J969" s="9"/>
      <c r="K969" s="9"/>
      <c r="L969" s="9"/>
      <c r="M969" s="9"/>
      <c r="N969" s="9"/>
      <c r="O969" s="9"/>
      <c r="P969" s="29"/>
      <c r="Q969" s="29"/>
      <c r="R969" s="7"/>
      <c r="S969" s="7"/>
      <c r="T969" s="7" t="str">
        <f ca="1">IFERROR(__xludf.DUMMYFUNCTION("SPARKLINE({
IF(D969="""",0,D969),
IF(F969="""",0,F969),
IF(H969="""",0,H969),
IF(J969="""",0,J969),
IF(L969="""",0,L969),
IF(N969="""",0,N969),
IF(P969="""",0,P969)
})"),"")</f>
        <v/>
      </c>
      <c r="U969" s="7" t="str">
        <f ca="1">IFERROR(__xludf.DUMMYFUNCTION("SPARKLINE({
IF(E969="""",0,E969),
IF(G969="""",0,G969),
IF(I969="""",0,I969),
IF(K969="""",0,K969),
IF(M969="""",0,M969),
IF(O969="""",0,O969),
IF(Q969="""",0,Q969)
})"),"")</f>
        <v/>
      </c>
      <c r="V969" s="8" t="e">
        <f t="array" aca="1" ref="V969" ca="1">IF($C$4="Giao",_xludf.Xlookup(C969,#REF!,#REF!,),_xludf.Xlookup(C969,#REF!,#REF!,))</f>
        <v>#NAME?</v>
      </c>
      <c r="W969" s="8">
        <f t="array" ref="W969">IF($C$4="Giao", _xludf.Xlookup(C969,#REF!,#REF!,),)</f>
        <v>0</v>
      </c>
      <c r="X969" s="9">
        <f t="shared" si="10"/>
        <v>0</v>
      </c>
      <c r="Y969" s="7"/>
      <c r="Z969" s="7"/>
    </row>
    <row r="970" spans="1:26" ht="13" x14ac:dyDescent="0.6">
      <c r="A970" s="28" t="str">
        <f t="shared" si="9"/>
        <v/>
      </c>
      <c r="B970" s="7"/>
      <c r="C970" s="7"/>
      <c r="D970" s="9"/>
      <c r="E970" s="9"/>
      <c r="F970" s="9"/>
      <c r="G970" s="9"/>
      <c r="H970" s="9"/>
      <c r="I970" s="9"/>
      <c r="J970" s="9"/>
      <c r="K970" s="9"/>
      <c r="L970" s="9"/>
      <c r="M970" s="9"/>
      <c r="N970" s="9"/>
      <c r="O970" s="9"/>
      <c r="P970" s="29"/>
      <c r="Q970" s="29"/>
      <c r="R970" s="7"/>
      <c r="S970" s="7"/>
      <c r="T970" s="7" t="str">
        <f ca="1">IFERROR(__xludf.DUMMYFUNCTION("SPARKLINE({
IF(D970="""",0,D970),
IF(F970="""",0,F970),
IF(H970="""",0,H970),
IF(J970="""",0,J970),
IF(L970="""",0,L970),
IF(N970="""",0,N970),
IF(P970="""",0,P970)
})"),"")</f>
        <v/>
      </c>
      <c r="U970" s="7" t="str">
        <f ca="1">IFERROR(__xludf.DUMMYFUNCTION("SPARKLINE({
IF(E970="""",0,E970),
IF(G970="""",0,G970),
IF(I970="""",0,I970),
IF(K970="""",0,K970),
IF(M970="""",0,M970),
IF(O970="""",0,O970),
IF(Q970="""",0,Q970)
})"),"")</f>
        <v/>
      </c>
      <c r="V970" s="8" t="e">
        <f t="array" aca="1" ref="V970" ca="1">IF($C$4="Giao",_xludf.Xlookup(C970,#REF!,#REF!,),_xludf.Xlookup(C970,#REF!,#REF!,))</f>
        <v>#NAME?</v>
      </c>
      <c r="W970" s="8">
        <f t="array" ref="W970">IF($C$4="Giao", _xludf.Xlookup(C970,#REF!,#REF!,),)</f>
        <v>0</v>
      </c>
      <c r="X970" s="9">
        <f t="shared" si="10"/>
        <v>0</v>
      </c>
      <c r="Y970" s="7"/>
      <c r="Z970" s="7"/>
    </row>
    <row r="971" spans="1:26" ht="13" x14ac:dyDescent="0.6">
      <c r="A971" s="28" t="str">
        <f t="shared" si="9"/>
        <v/>
      </c>
      <c r="B971" s="7"/>
      <c r="C971" s="7"/>
      <c r="D971" s="9"/>
      <c r="E971" s="9"/>
      <c r="F971" s="9"/>
      <c r="G971" s="9"/>
      <c r="H971" s="9"/>
      <c r="I971" s="9"/>
      <c r="J971" s="9"/>
      <c r="K971" s="9"/>
      <c r="L971" s="9"/>
      <c r="M971" s="9"/>
      <c r="N971" s="9"/>
      <c r="O971" s="9"/>
      <c r="P971" s="29"/>
      <c r="Q971" s="29"/>
      <c r="R971" s="7"/>
      <c r="S971" s="7"/>
      <c r="T971" s="7" t="str">
        <f ca="1">IFERROR(__xludf.DUMMYFUNCTION("SPARKLINE({
IF(D971="""",0,D971),
IF(F971="""",0,F971),
IF(H971="""",0,H971),
IF(J971="""",0,J971),
IF(L971="""",0,L971),
IF(N971="""",0,N971),
IF(P971="""",0,P971)
})"),"")</f>
        <v/>
      </c>
      <c r="U971" s="7" t="str">
        <f ca="1">IFERROR(__xludf.DUMMYFUNCTION("SPARKLINE({
IF(E971="""",0,E971),
IF(G971="""",0,G971),
IF(I971="""",0,I971),
IF(K971="""",0,K971),
IF(M971="""",0,M971),
IF(O971="""",0,O971),
IF(Q971="""",0,Q971)
})"),"")</f>
        <v/>
      </c>
      <c r="V971" s="8" t="e">
        <f t="array" aca="1" ref="V971" ca="1">IF($C$4="Giao",_xludf.Xlookup(C971,#REF!,#REF!,),_xludf.Xlookup(C971,#REF!,#REF!,))</f>
        <v>#NAME?</v>
      </c>
      <c r="W971" s="8">
        <f t="array" ref="W971">IF($C$4="Giao", _xludf.Xlookup(C971,#REF!,#REF!,),)</f>
        <v>0</v>
      </c>
      <c r="X971" s="9">
        <f t="shared" si="10"/>
        <v>0</v>
      </c>
      <c r="Y971" s="7"/>
      <c r="Z971" s="7"/>
    </row>
    <row r="972" spans="1:26" ht="13" x14ac:dyDescent="0.6">
      <c r="A972" s="28" t="str">
        <f t="shared" si="9"/>
        <v/>
      </c>
      <c r="B972" s="7"/>
      <c r="C972" s="7"/>
      <c r="D972" s="9"/>
      <c r="E972" s="9"/>
      <c r="F972" s="9"/>
      <c r="G972" s="9"/>
      <c r="H972" s="9"/>
      <c r="I972" s="9"/>
      <c r="J972" s="9"/>
      <c r="K972" s="9"/>
      <c r="L972" s="9"/>
      <c r="M972" s="9"/>
      <c r="N972" s="9"/>
      <c r="O972" s="9"/>
      <c r="P972" s="29"/>
      <c r="Q972" s="29"/>
      <c r="R972" s="7"/>
      <c r="S972" s="7"/>
      <c r="T972" s="7" t="str">
        <f ca="1">IFERROR(__xludf.DUMMYFUNCTION("SPARKLINE({
IF(D972="""",0,D972),
IF(F972="""",0,F972),
IF(H972="""",0,H972),
IF(J972="""",0,J972),
IF(L972="""",0,L972),
IF(N972="""",0,N972),
IF(P972="""",0,P972)
})"),"")</f>
        <v/>
      </c>
      <c r="U972" s="7" t="str">
        <f ca="1">IFERROR(__xludf.DUMMYFUNCTION("SPARKLINE({
IF(E972="""",0,E972),
IF(G972="""",0,G972),
IF(I972="""",0,I972),
IF(K972="""",0,K972),
IF(M972="""",0,M972),
IF(O972="""",0,O972),
IF(Q972="""",0,Q972)
})"),"")</f>
        <v/>
      </c>
      <c r="V972" s="8" t="e">
        <f t="array" aca="1" ref="V972" ca="1">IF($C$4="Giao",_xludf.Xlookup(C972,#REF!,#REF!,),_xludf.Xlookup(C972,#REF!,#REF!,))</f>
        <v>#NAME?</v>
      </c>
      <c r="W972" s="8">
        <f t="array" ref="W972">IF($C$4="Giao", _xludf.Xlookup(C972,#REF!,#REF!,),)</f>
        <v>0</v>
      </c>
      <c r="X972" s="9">
        <f t="shared" si="10"/>
        <v>0</v>
      </c>
      <c r="Y972" s="7"/>
      <c r="Z972" s="7"/>
    </row>
    <row r="973" spans="1:26" ht="13" x14ac:dyDescent="0.6">
      <c r="A973" s="28" t="str">
        <f t="shared" si="9"/>
        <v/>
      </c>
      <c r="B973" s="7"/>
      <c r="C973" s="7"/>
      <c r="D973" s="9"/>
      <c r="E973" s="9"/>
      <c r="F973" s="9"/>
      <c r="G973" s="9"/>
      <c r="H973" s="9"/>
      <c r="I973" s="9"/>
      <c r="J973" s="9"/>
      <c r="K973" s="9"/>
      <c r="L973" s="9"/>
      <c r="M973" s="9"/>
      <c r="N973" s="9"/>
      <c r="O973" s="9"/>
      <c r="P973" s="29"/>
      <c r="Q973" s="29"/>
      <c r="R973" s="7"/>
      <c r="S973" s="7"/>
      <c r="T973" s="7" t="str">
        <f ca="1">IFERROR(__xludf.DUMMYFUNCTION("SPARKLINE({
IF(D973="""",0,D973),
IF(F973="""",0,F973),
IF(H973="""",0,H973),
IF(J973="""",0,J973),
IF(L973="""",0,L973),
IF(N973="""",0,N973),
IF(P973="""",0,P973)
})"),"")</f>
        <v/>
      </c>
      <c r="U973" s="7" t="str">
        <f ca="1">IFERROR(__xludf.DUMMYFUNCTION("SPARKLINE({
IF(E973="""",0,E973),
IF(G973="""",0,G973),
IF(I973="""",0,I973),
IF(K973="""",0,K973),
IF(M973="""",0,M973),
IF(O973="""",0,O973),
IF(Q973="""",0,Q973)
})"),"")</f>
        <v/>
      </c>
      <c r="V973" s="8" t="e">
        <f t="array" aca="1" ref="V973" ca="1">IF($C$4="Giao",_xludf.Xlookup(C973,#REF!,#REF!,),_xludf.Xlookup(C973,#REF!,#REF!,))</f>
        <v>#NAME?</v>
      </c>
      <c r="W973" s="8">
        <f t="array" ref="W973">IF($C$4="Giao", _xludf.Xlookup(C973,#REF!,#REF!,),)</f>
        <v>0</v>
      </c>
      <c r="X973" s="9">
        <f t="shared" si="10"/>
        <v>0</v>
      </c>
      <c r="Y973" s="7"/>
      <c r="Z973" s="7"/>
    </row>
    <row r="974" spans="1:26" ht="13" x14ac:dyDescent="0.6">
      <c r="A974" s="28" t="str">
        <f t="shared" si="9"/>
        <v/>
      </c>
      <c r="B974" s="7"/>
      <c r="C974" s="7"/>
      <c r="D974" s="9"/>
      <c r="E974" s="9"/>
      <c r="F974" s="9"/>
      <c r="G974" s="9"/>
      <c r="H974" s="9"/>
      <c r="I974" s="9"/>
      <c r="J974" s="9"/>
      <c r="K974" s="9"/>
      <c r="L974" s="9"/>
      <c r="M974" s="9"/>
      <c r="N974" s="9"/>
      <c r="O974" s="9"/>
      <c r="P974" s="29"/>
      <c r="Q974" s="29"/>
      <c r="R974" s="7"/>
      <c r="S974" s="7"/>
      <c r="T974" s="7" t="str">
        <f ca="1">IFERROR(__xludf.DUMMYFUNCTION("SPARKLINE({
IF(D974="""",0,D974),
IF(F974="""",0,F974),
IF(H974="""",0,H974),
IF(J974="""",0,J974),
IF(L974="""",0,L974),
IF(N974="""",0,N974),
IF(P974="""",0,P974)
})"),"")</f>
        <v/>
      </c>
      <c r="U974" s="7" t="str">
        <f ca="1">IFERROR(__xludf.DUMMYFUNCTION("SPARKLINE({
IF(E974="""",0,E974),
IF(G974="""",0,G974),
IF(I974="""",0,I974),
IF(K974="""",0,K974),
IF(M974="""",0,M974),
IF(O974="""",0,O974),
IF(Q974="""",0,Q974)
})"),"")</f>
        <v/>
      </c>
      <c r="V974" s="8" t="e">
        <f t="array" aca="1" ref="V974" ca="1">IF($C$4="Giao",_xludf.Xlookup(C974,#REF!,#REF!,),_xludf.Xlookup(C974,#REF!,#REF!,))</f>
        <v>#NAME?</v>
      </c>
      <c r="W974" s="8">
        <f t="array" ref="W974">IF($C$4="Giao", _xludf.Xlookup(C974,#REF!,#REF!,),)</f>
        <v>0</v>
      </c>
      <c r="X974" s="9">
        <f t="shared" si="10"/>
        <v>0</v>
      </c>
      <c r="Y974" s="7"/>
      <c r="Z974" s="7"/>
    </row>
    <row r="975" spans="1:26" ht="13" x14ac:dyDescent="0.6">
      <c r="A975" s="28" t="str">
        <f t="shared" si="9"/>
        <v/>
      </c>
      <c r="B975" s="7"/>
      <c r="C975" s="7"/>
      <c r="D975" s="9"/>
      <c r="E975" s="9"/>
      <c r="F975" s="9"/>
      <c r="G975" s="9"/>
      <c r="H975" s="9"/>
      <c r="I975" s="9"/>
      <c r="J975" s="9"/>
      <c r="K975" s="9"/>
      <c r="L975" s="9"/>
      <c r="M975" s="9"/>
      <c r="N975" s="9"/>
      <c r="O975" s="9"/>
      <c r="P975" s="29"/>
      <c r="Q975" s="29"/>
      <c r="R975" s="7"/>
      <c r="S975" s="7"/>
      <c r="T975" s="7" t="str">
        <f ca="1">IFERROR(__xludf.DUMMYFUNCTION("SPARKLINE({
IF(D975="""",0,D975),
IF(F975="""",0,F975),
IF(H975="""",0,H975),
IF(J975="""",0,J975),
IF(L975="""",0,L975),
IF(N975="""",0,N975),
IF(P975="""",0,P975)
})"),"")</f>
        <v/>
      </c>
      <c r="U975" s="7" t="str">
        <f ca="1">IFERROR(__xludf.DUMMYFUNCTION("SPARKLINE({
IF(E975="""",0,E975),
IF(G975="""",0,G975),
IF(I975="""",0,I975),
IF(K975="""",0,K975),
IF(M975="""",0,M975),
IF(O975="""",0,O975),
IF(Q975="""",0,Q975)
})"),"")</f>
        <v/>
      </c>
      <c r="V975" s="8" t="e">
        <f t="array" aca="1" ref="V975" ca="1">IF($C$4="Giao",_xludf.Xlookup(C975,#REF!,#REF!,),_xludf.Xlookup(C975,#REF!,#REF!,))</f>
        <v>#NAME?</v>
      </c>
      <c r="W975" s="8">
        <f t="array" ref="W975">IF($C$4="Giao", _xludf.Xlookup(C975,#REF!,#REF!,),)</f>
        <v>0</v>
      </c>
      <c r="X975" s="9">
        <f t="shared" si="10"/>
        <v>0</v>
      </c>
      <c r="Y975" s="7"/>
      <c r="Z975" s="7"/>
    </row>
    <row r="976" spans="1:26" ht="13" x14ac:dyDescent="0.6">
      <c r="A976" s="28" t="str">
        <f t="shared" si="9"/>
        <v/>
      </c>
      <c r="B976" s="7"/>
      <c r="C976" s="7"/>
      <c r="D976" s="9"/>
      <c r="E976" s="9"/>
      <c r="F976" s="9"/>
      <c r="G976" s="9"/>
      <c r="H976" s="9"/>
      <c r="I976" s="9"/>
      <c r="J976" s="9"/>
      <c r="K976" s="9"/>
      <c r="L976" s="9"/>
      <c r="M976" s="9"/>
      <c r="N976" s="9"/>
      <c r="O976" s="9"/>
      <c r="P976" s="29"/>
      <c r="Q976" s="29"/>
      <c r="R976" s="7"/>
      <c r="S976" s="7"/>
      <c r="T976" s="7" t="str">
        <f ca="1">IFERROR(__xludf.DUMMYFUNCTION("SPARKLINE({
IF(D976="""",0,D976),
IF(F976="""",0,F976),
IF(H976="""",0,H976),
IF(J976="""",0,J976),
IF(L976="""",0,L976),
IF(N976="""",0,N976),
IF(P976="""",0,P976)
})"),"")</f>
        <v/>
      </c>
      <c r="U976" s="7" t="str">
        <f ca="1">IFERROR(__xludf.DUMMYFUNCTION("SPARKLINE({
IF(E976="""",0,E976),
IF(G976="""",0,G976),
IF(I976="""",0,I976),
IF(K976="""",0,K976),
IF(M976="""",0,M976),
IF(O976="""",0,O976),
IF(Q976="""",0,Q976)
})"),"")</f>
        <v/>
      </c>
      <c r="V976" s="8" t="e">
        <f t="array" aca="1" ref="V976" ca="1">IF($C$4="Giao",_xludf.Xlookup(C976,#REF!,#REF!,),_xludf.Xlookup(C976,#REF!,#REF!,))</f>
        <v>#NAME?</v>
      </c>
      <c r="W976" s="8">
        <f t="array" ref="W976">IF($C$4="Giao", _xludf.Xlookup(C976,#REF!,#REF!,),)</f>
        <v>0</v>
      </c>
      <c r="X976" s="9">
        <f t="shared" si="10"/>
        <v>0</v>
      </c>
      <c r="Y976" s="7"/>
      <c r="Z976" s="7"/>
    </row>
    <row r="977" spans="1:26" ht="13" x14ac:dyDescent="0.6">
      <c r="A977" s="28" t="str">
        <f t="shared" si="9"/>
        <v/>
      </c>
      <c r="B977" s="7"/>
      <c r="C977" s="7"/>
      <c r="D977" s="9"/>
      <c r="E977" s="9"/>
      <c r="F977" s="9"/>
      <c r="G977" s="9"/>
      <c r="H977" s="9"/>
      <c r="I977" s="9"/>
      <c r="J977" s="9"/>
      <c r="K977" s="9"/>
      <c r="L977" s="9"/>
      <c r="M977" s="9"/>
      <c r="N977" s="9"/>
      <c r="O977" s="9"/>
      <c r="P977" s="29"/>
      <c r="Q977" s="29"/>
      <c r="R977" s="7"/>
      <c r="S977" s="7"/>
      <c r="T977" s="7" t="str">
        <f ca="1">IFERROR(__xludf.DUMMYFUNCTION("SPARKLINE({
IF(D977="""",0,D977),
IF(F977="""",0,F977),
IF(H977="""",0,H977),
IF(J977="""",0,J977),
IF(L977="""",0,L977),
IF(N977="""",0,N977),
IF(P977="""",0,P977)
})"),"")</f>
        <v/>
      </c>
      <c r="U977" s="7" t="str">
        <f ca="1">IFERROR(__xludf.DUMMYFUNCTION("SPARKLINE({
IF(E977="""",0,E977),
IF(G977="""",0,G977),
IF(I977="""",0,I977),
IF(K977="""",0,K977),
IF(M977="""",0,M977),
IF(O977="""",0,O977),
IF(Q977="""",0,Q977)
})"),"")</f>
        <v/>
      </c>
      <c r="V977" s="8" t="e">
        <f t="array" aca="1" ref="V977" ca="1">IF($C$4="Giao",_xludf.Xlookup(C977,#REF!,#REF!,),_xludf.Xlookup(C977,#REF!,#REF!,))</f>
        <v>#NAME?</v>
      </c>
      <c r="W977" s="8">
        <f t="array" ref="W977">IF($C$4="Giao", _xludf.Xlookup(C977,#REF!,#REF!,),)</f>
        <v>0</v>
      </c>
      <c r="X977" s="9">
        <f t="shared" si="10"/>
        <v>0</v>
      </c>
      <c r="Y977" s="7"/>
      <c r="Z977" s="7"/>
    </row>
    <row r="978" spans="1:26" ht="13" x14ac:dyDescent="0.6">
      <c r="A978" s="28" t="str">
        <f t="shared" si="9"/>
        <v/>
      </c>
      <c r="B978" s="7"/>
      <c r="C978" s="7"/>
      <c r="D978" s="9"/>
      <c r="E978" s="9"/>
      <c r="F978" s="9"/>
      <c r="G978" s="9"/>
      <c r="H978" s="9"/>
      <c r="I978" s="9"/>
      <c r="J978" s="9"/>
      <c r="K978" s="9"/>
      <c r="L978" s="9"/>
      <c r="M978" s="9"/>
      <c r="N978" s="9"/>
      <c r="O978" s="9"/>
      <c r="P978" s="29"/>
      <c r="Q978" s="29"/>
      <c r="R978" s="7"/>
      <c r="S978" s="7"/>
      <c r="T978" s="7" t="str">
        <f ca="1">IFERROR(__xludf.DUMMYFUNCTION("SPARKLINE({
IF(D978="""",0,D978),
IF(F978="""",0,F978),
IF(H978="""",0,H978),
IF(J978="""",0,J978),
IF(L978="""",0,L978),
IF(N978="""",0,N978),
IF(P978="""",0,P978)
})"),"")</f>
        <v/>
      </c>
      <c r="U978" s="7" t="str">
        <f ca="1">IFERROR(__xludf.DUMMYFUNCTION("SPARKLINE({
IF(E978="""",0,E978),
IF(G978="""",0,G978),
IF(I978="""",0,I978),
IF(K978="""",0,K978),
IF(M978="""",0,M978),
IF(O978="""",0,O978),
IF(Q978="""",0,Q978)
})"),"")</f>
        <v/>
      </c>
      <c r="V978" s="8" t="e">
        <f t="array" aca="1" ref="V978" ca="1">IF($C$4="Giao",_xludf.Xlookup(C978,#REF!,#REF!,),_xludf.Xlookup(C978,#REF!,#REF!,))</f>
        <v>#NAME?</v>
      </c>
      <c r="W978" s="8">
        <f t="array" ref="W978">IF($C$4="Giao", _xludf.Xlookup(C978,#REF!,#REF!,),)</f>
        <v>0</v>
      </c>
      <c r="X978" s="9">
        <f t="shared" si="10"/>
        <v>0</v>
      </c>
      <c r="Y978" s="7"/>
      <c r="Z978" s="7"/>
    </row>
    <row r="979" spans="1:26" ht="13" x14ac:dyDescent="0.6">
      <c r="A979" s="28" t="str">
        <f t="shared" si="9"/>
        <v/>
      </c>
      <c r="B979" s="7"/>
      <c r="C979" s="7"/>
      <c r="D979" s="9"/>
      <c r="E979" s="9"/>
      <c r="F979" s="9"/>
      <c r="G979" s="9"/>
      <c r="H979" s="9"/>
      <c r="I979" s="9"/>
      <c r="J979" s="9"/>
      <c r="K979" s="9"/>
      <c r="L979" s="9"/>
      <c r="M979" s="9"/>
      <c r="N979" s="9"/>
      <c r="O979" s="9"/>
      <c r="P979" s="29"/>
      <c r="Q979" s="29"/>
      <c r="R979" s="7"/>
      <c r="S979" s="7"/>
      <c r="T979" s="7" t="str">
        <f ca="1">IFERROR(__xludf.DUMMYFUNCTION("SPARKLINE({
IF(D979="""",0,D979),
IF(F979="""",0,F979),
IF(H979="""",0,H979),
IF(J979="""",0,J979),
IF(L979="""",0,L979),
IF(N979="""",0,N979),
IF(P979="""",0,P979)
})"),"")</f>
        <v/>
      </c>
      <c r="U979" s="7" t="str">
        <f ca="1">IFERROR(__xludf.DUMMYFUNCTION("SPARKLINE({
IF(E979="""",0,E979),
IF(G979="""",0,G979),
IF(I979="""",0,I979),
IF(K979="""",0,K979),
IF(M979="""",0,M979),
IF(O979="""",0,O979),
IF(Q979="""",0,Q979)
})"),"")</f>
        <v/>
      </c>
      <c r="V979" s="8" t="e">
        <f t="array" aca="1" ref="V979" ca="1">IF($C$4="Giao",_xludf.Xlookup(C979,#REF!,#REF!,),_xludf.Xlookup(C979,#REF!,#REF!,))</f>
        <v>#NAME?</v>
      </c>
      <c r="W979" s="8">
        <f t="array" ref="W979">IF($C$4="Giao", _xludf.Xlookup(C979,#REF!,#REF!,),)</f>
        <v>0</v>
      </c>
      <c r="X979" s="9">
        <f t="shared" si="10"/>
        <v>0</v>
      </c>
      <c r="Y979" s="7"/>
      <c r="Z979" s="7"/>
    </row>
    <row r="980" spans="1:26" ht="13" x14ac:dyDescent="0.6">
      <c r="A980" s="28" t="str">
        <f t="shared" si="9"/>
        <v/>
      </c>
      <c r="B980" s="7"/>
      <c r="C980" s="7"/>
      <c r="D980" s="9"/>
      <c r="E980" s="9"/>
      <c r="F980" s="9"/>
      <c r="G980" s="9"/>
      <c r="H980" s="9"/>
      <c r="I980" s="9"/>
      <c r="J980" s="9"/>
      <c r="K980" s="9"/>
      <c r="L980" s="9"/>
      <c r="M980" s="9"/>
      <c r="N980" s="9"/>
      <c r="O980" s="9"/>
      <c r="P980" s="29"/>
      <c r="Q980" s="29"/>
      <c r="R980" s="7"/>
      <c r="S980" s="7"/>
      <c r="T980" s="7" t="str">
        <f ca="1">IFERROR(__xludf.DUMMYFUNCTION("SPARKLINE({
IF(D980="""",0,D980),
IF(F980="""",0,F980),
IF(H980="""",0,H980),
IF(J980="""",0,J980),
IF(L980="""",0,L980),
IF(N980="""",0,N980),
IF(P980="""",0,P980)
})"),"")</f>
        <v/>
      </c>
      <c r="U980" s="7" t="str">
        <f ca="1">IFERROR(__xludf.DUMMYFUNCTION("SPARKLINE({
IF(E980="""",0,E980),
IF(G980="""",0,G980),
IF(I980="""",0,I980),
IF(K980="""",0,K980),
IF(M980="""",0,M980),
IF(O980="""",0,O980),
IF(Q980="""",0,Q980)
})"),"")</f>
        <v/>
      </c>
      <c r="V980" s="8" t="e">
        <f t="array" aca="1" ref="V980" ca="1">IF($C$4="Giao",_xludf.Xlookup(C980,#REF!,#REF!,),_xludf.Xlookup(C980,#REF!,#REF!,))</f>
        <v>#NAME?</v>
      </c>
      <c r="W980" s="8">
        <f t="array" ref="W980">IF($C$4="Giao", _xludf.Xlookup(C980,#REF!,#REF!,),)</f>
        <v>0</v>
      </c>
      <c r="X980" s="9">
        <f t="shared" si="10"/>
        <v>0</v>
      </c>
      <c r="Y980" s="7"/>
      <c r="Z980" s="7"/>
    </row>
    <row r="981" spans="1:26" ht="13" x14ac:dyDescent="0.6">
      <c r="A981" s="28" t="str">
        <f t="shared" si="9"/>
        <v/>
      </c>
      <c r="B981" s="7"/>
      <c r="C981" s="7"/>
      <c r="D981" s="9"/>
      <c r="E981" s="9"/>
      <c r="F981" s="9"/>
      <c r="G981" s="9"/>
      <c r="H981" s="9"/>
      <c r="I981" s="9"/>
      <c r="J981" s="9"/>
      <c r="K981" s="9"/>
      <c r="L981" s="9"/>
      <c r="M981" s="9"/>
      <c r="N981" s="9"/>
      <c r="O981" s="9"/>
      <c r="P981" s="29"/>
      <c r="Q981" s="29"/>
      <c r="R981" s="7"/>
      <c r="S981" s="7"/>
      <c r="T981" s="7" t="str">
        <f ca="1">IFERROR(__xludf.DUMMYFUNCTION("SPARKLINE({
IF(D981="""",0,D981),
IF(F981="""",0,F981),
IF(H981="""",0,H981),
IF(J981="""",0,J981),
IF(L981="""",0,L981),
IF(N981="""",0,N981),
IF(P981="""",0,P981)
})"),"")</f>
        <v/>
      </c>
      <c r="U981" s="7" t="str">
        <f ca="1">IFERROR(__xludf.DUMMYFUNCTION("SPARKLINE({
IF(E981="""",0,E981),
IF(G981="""",0,G981),
IF(I981="""",0,I981),
IF(K981="""",0,K981),
IF(M981="""",0,M981),
IF(O981="""",0,O981),
IF(Q981="""",0,Q981)
})"),"")</f>
        <v/>
      </c>
      <c r="V981" s="8" t="e">
        <f t="array" aca="1" ref="V981" ca="1">IF($C$4="Giao",_xludf.Xlookup(C981,#REF!,#REF!,),_xludf.Xlookup(C981,#REF!,#REF!,))</f>
        <v>#NAME?</v>
      </c>
      <c r="W981" s="8">
        <f t="array" ref="W981">IF($C$4="Giao", _xludf.Xlookup(C981,#REF!,#REF!,),)</f>
        <v>0</v>
      </c>
      <c r="X981" s="9">
        <f t="shared" si="10"/>
        <v>0</v>
      </c>
      <c r="Y981" s="7"/>
      <c r="Z981" s="7"/>
    </row>
    <row r="982" spans="1:26" ht="13" x14ac:dyDescent="0.6">
      <c r="A982" s="28" t="str">
        <f t="shared" si="9"/>
        <v/>
      </c>
      <c r="B982" s="7"/>
      <c r="C982" s="7"/>
      <c r="D982" s="9"/>
      <c r="E982" s="9"/>
      <c r="F982" s="9"/>
      <c r="G982" s="9"/>
      <c r="H982" s="9"/>
      <c r="I982" s="9"/>
      <c r="J982" s="9"/>
      <c r="K982" s="9"/>
      <c r="L982" s="9"/>
      <c r="M982" s="9"/>
      <c r="N982" s="9"/>
      <c r="O982" s="9"/>
      <c r="P982" s="29"/>
      <c r="Q982" s="29"/>
      <c r="R982" s="7"/>
      <c r="S982" s="7"/>
      <c r="T982" s="7" t="str">
        <f ca="1">IFERROR(__xludf.DUMMYFUNCTION("SPARKLINE({
IF(D982="""",0,D982),
IF(F982="""",0,F982),
IF(H982="""",0,H982),
IF(J982="""",0,J982),
IF(L982="""",0,L982),
IF(N982="""",0,N982),
IF(P982="""",0,P982)
})"),"")</f>
        <v/>
      </c>
      <c r="U982" s="7" t="str">
        <f ca="1">IFERROR(__xludf.DUMMYFUNCTION("SPARKLINE({
IF(E982="""",0,E982),
IF(G982="""",0,G982),
IF(I982="""",0,I982),
IF(K982="""",0,K982),
IF(M982="""",0,M982),
IF(O982="""",0,O982),
IF(Q982="""",0,Q982)
})"),"")</f>
        <v/>
      </c>
      <c r="V982" s="8" t="e">
        <f t="array" aca="1" ref="V982" ca="1">IF($C$4="Giao",_xludf.Xlookup(C982,#REF!,#REF!,),_xludf.Xlookup(C982,#REF!,#REF!,))</f>
        <v>#NAME?</v>
      </c>
      <c r="W982" s="8">
        <f t="array" ref="W982">IF($C$4="Giao", _xludf.Xlookup(C982,#REF!,#REF!,),)</f>
        <v>0</v>
      </c>
      <c r="X982" s="9">
        <f t="shared" si="10"/>
        <v>0</v>
      </c>
      <c r="Y982" s="7"/>
      <c r="Z982" s="7"/>
    </row>
    <row r="983" spans="1:26" ht="13" x14ac:dyDescent="0.6">
      <c r="A983" s="28" t="str">
        <f t="shared" si="9"/>
        <v/>
      </c>
      <c r="B983" s="7"/>
      <c r="C983" s="7"/>
      <c r="D983" s="9"/>
      <c r="E983" s="9"/>
      <c r="F983" s="9"/>
      <c r="G983" s="9"/>
      <c r="H983" s="9"/>
      <c r="I983" s="9"/>
      <c r="J983" s="9"/>
      <c r="K983" s="9"/>
      <c r="L983" s="9"/>
      <c r="M983" s="9"/>
      <c r="N983" s="9"/>
      <c r="O983" s="9"/>
      <c r="P983" s="29"/>
      <c r="Q983" s="29"/>
      <c r="R983" s="7"/>
      <c r="S983" s="7"/>
      <c r="T983" s="7" t="str">
        <f ca="1">IFERROR(__xludf.DUMMYFUNCTION("SPARKLINE({
IF(D983="""",0,D983),
IF(F983="""",0,F983),
IF(H983="""",0,H983),
IF(J983="""",0,J983),
IF(L983="""",0,L983),
IF(N983="""",0,N983),
IF(P983="""",0,P983)
})"),"")</f>
        <v/>
      </c>
      <c r="U983" s="7" t="str">
        <f ca="1">IFERROR(__xludf.DUMMYFUNCTION("SPARKLINE({
IF(E983="""",0,E983),
IF(G983="""",0,G983),
IF(I983="""",0,I983),
IF(K983="""",0,K983),
IF(M983="""",0,M983),
IF(O983="""",0,O983),
IF(Q983="""",0,Q983)
})"),"")</f>
        <v/>
      </c>
      <c r="V983" s="8" t="e">
        <f t="array" aca="1" ref="V983" ca="1">IF($C$4="Giao",_xludf.Xlookup(C983,#REF!,#REF!,),_xludf.Xlookup(C983,#REF!,#REF!,))</f>
        <v>#NAME?</v>
      </c>
      <c r="W983" s="8">
        <f t="array" ref="W983">IF($C$4="Giao", _xludf.Xlookup(C983,#REF!,#REF!,),)</f>
        <v>0</v>
      </c>
      <c r="X983" s="9">
        <f t="shared" si="10"/>
        <v>0</v>
      </c>
      <c r="Y983" s="7"/>
      <c r="Z983" s="7"/>
    </row>
    <row r="984" spans="1:26" ht="13" x14ac:dyDescent="0.6">
      <c r="A984" s="28" t="str">
        <f t="shared" si="9"/>
        <v/>
      </c>
      <c r="B984" s="7"/>
      <c r="C984" s="7"/>
      <c r="D984" s="9"/>
      <c r="E984" s="9"/>
      <c r="F984" s="9"/>
      <c r="G984" s="9"/>
      <c r="H984" s="9"/>
      <c r="I984" s="9"/>
      <c r="J984" s="9"/>
      <c r="K984" s="9"/>
      <c r="L984" s="9"/>
      <c r="M984" s="9"/>
      <c r="N984" s="9"/>
      <c r="O984" s="9"/>
      <c r="P984" s="29"/>
      <c r="Q984" s="29"/>
      <c r="R984" s="7"/>
      <c r="S984" s="7"/>
      <c r="T984" s="7" t="str">
        <f ca="1">IFERROR(__xludf.DUMMYFUNCTION("SPARKLINE({
IF(D984="""",0,D984),
IF(F984="""",0,F984),
IF(H984="""",0,H984),
IF(J984="""",0,J984),
IF(L984="""",0,L984),
IF(N984="""",0,N984),
IF(P984="""",0,P984)
})"),"")</f>
        <v/>
      </c>
      <c r="U984" s="7" t="str">
        <f ca="1">IFERROR(__xludf.DUMMYFUNCTION("SPARKLINE({
IF(E984="""",0,E984),
IF(G984="""",0,G984),
IF(I984="""",0,I984),
IF(K984="""",0,K984),
IF(M984="""",0,M984),
IF(O984="""",0,O984),
IF(Q984="""",0,Q984)
})"),"")</f>
        <v/>
      </c>
      <c r="V984" s="8" t="e">
        <f t="array" aca="1" ref="V984" ca="1">IF($C$4="Giao",_xludf.Xlookup(C984,#REF!,#REF!,),_xludf.Xlookup(C984,#REF!,#REF!,))</f>
        <v>#NAME?</v>
      </c>
      <c r="W984" s="8">
        <f t="array" ref="W984">IF($C$4="Giao", _xludf.Xlookup(C984,#REF!,#REF!,),)</f>
        <v>0</v>
      </c>
      <c r="X984" s="9">
        <f t="shared" si="10"/>
        <v>0</v>
      </c>
      <c r="Y984" s="7"/>
      <c r="Z984" s="7"/>
    </row>
    <row r="985" spans="1:26" ht="13" x14ac:dyDescent="0.6">
      <c r="A985" s="28" t="str">
        <f t="shared" si="9"/>
        <v/>
      </c>
      <c r="B985" s="7"/>
      <c r="C985" s="7"/>
      <c r="D985" s="9"/>
      <c r="E985" s="9"/>
      <c r="F985" s="9"/>
      <c r="G985" s="9"/>
      <c r="H985" s="9"/>
      <c r="I985" s="9"/>
      <c r="J985" s="9"/>
      <c r="K985" s="9"/>
      <c r="L985" s="9"/>
      <c r="M985" s="9"/>
      <c r="N985" s="9"/>
      <c r="O985" s="9"/>
      <c r="P985" s="29"/>
      <c r="Q985" s="29"/>
      <c r="R985" s="7"/>
      <c r="S985" s="7"/>
      <c r="T985" s="7" t="str">
        <f ca="1">IFERROR(__xludf.DUMMYFUNCTION("SPARKLINE({
IF(D985="""",0,D985),
IF(F985="""",0,F985),
IF(H985="""",0,H985),
IF(J985="""",0,J985),
IF(L985="""",0,L985),
IF(N985="""",0,N985),
IF(P985="""",0,P985)
})"),"")</f>
        <v/>
      </c>
      <c r="U985" s="7" t="str">
        <f ca="1">IFERROR(__xludf.DUMMYFUNCTION("SPARKLINE({
IF(E985="""",0,E985),
IF(G985="""",0,G985),
IF(I985="""",0,I985),
IF(K985="""",0,K985),
IF(M985="""",0,M985),
IF(O985="""",0,O985),
IF(Q985="""",0,Q985)
})"),"")</f>
        <v/>
      </c>
      <c r="V985" s="8" t="e">
        <f t="array" aca="1" ref="V985" ca="1">IF($C$4="Giao",_xludf.Xlookup(C985,#REF!,#REF!,),_xludf.Xlookup(C985,#REF!,#REF!,))</f>
        <v>#NAME?</v>
      </c>
      <c r="W985" s="8">
        <f t="array" ref="W985">IF($C$4="Giao", _xludf.Xlookup(C985,#REF!,#REF!,),)</f>
        <v>0</v>
      </c>
      <c r="X985" s="9">
        <f t="shared" si="10"/>
        <v>0</v>
      </c>
      <c r="Y985" s="7"/>
      <c r="Z985" s="7"/>
    </row>
    <row r="986" spans="1:26" ht="13" x14ac:dyDescent="0.6">
      <c r="A986" s="28" t="str">
        <f t="shared" si="9"/>
        <v/>
      </c>
      <c r="B986" s="7"/>
      <c r="C986" s="7"/>
      <c r="D986" s="9"/>
      <c r="E986" s="9"/>
      <c r="F986" s="9"/>
      <c r="G986" s="9"/>
      <c r="H986" s="9"/>
      <c r="I986" s="9"/>
      <c r="J986" s="9"/>
      <c r="K986" s="9"/>
      <c r="L986" s="9"/>
      <c r="M986" s="9"/>
      <c r="N986" s="9"/>
      <c r="O986" s="9"/>
      <c r="P986" s="29"/>
      <c r="Q986" s="29"/>
      <c r="R986" s="7"/>
      <c r="S986" s="7"/>
      <c r="T986" s="7" t="str">
        <f ca="1">IFERROR(__xludf.DUMMYFUNCTION("SPARKLINE({
IF(D986="""",0,D986),
IF(F986="""",0,F986),
IF(H986="""",0,H986),
IF(J986="""",0,J986),
IF(L986="""",0,L986),
IF(N986="""",0,N986),
IF(P986="""",0,P986)
})"),"")</f>
        <v/>
      </c>
      <c r="U986" s="7" t="str">
        <f ca="1">IFERROR(__xludf.DUMMYFUNCTION("SPARKLINE({
IF(E986="""",0,E986),
IF(G986="""",0,G986),
IF(I986="""",0,I986),
IF(K986="""",0,K986),
IF(M986="""",0,M986),
IF(O986="""",0,O986),
IF(Q986="""",0,Q986)
})"),"")</f>
        <v/>
      </c>
      <c r="V986" s="8" t="e">
        <f t="array" aca="1" ref="V986" ca="1">IF($C$4="Giao",_xludf.Xlookup(C986,#REF!,#REF!,),_xludf.Xlookup(C986,#REF!,#REF!,))</f>
        <v>#NAME?</v>
      </c>
      <c r="W986" s="8">
        <f t="array" ref="W986">IF($C$4="Giao", _xludf.Xlookup(C986,#REF!,#REF!,),)</f>
        <v>0</v>
      </c>
      <c r="X986" s="9">
        <f t="shared" si="10"/>
        <v>0</v>
      </c>
      <c r="Y986" s="7"/>
      <c r="Z986" s="7"/>
    </row>
    <row r="987" spans="1:26" ht="13" x14ac:dyDescent="0.6">
      <c r="A987" s="28" t="str">
        <f t="shared" si="9"/>
        <v/>
      </c>
      <c r="B987" s="7"/>
      <c r="C987" s="7"/>
      <c r="D987" s="9"/>
      <c r="E987" s="9"/>
      <c r="F987" s="9"/>
      <c r="G987" s="9"/>
      <c r="H987" s="9"/>
      <c r="I987" s="9"/>
      <c r="J987" s="9"/>
      <c r="K987" s="9"/>
      <c r="L987" s="9"/>
      <c r="M987" s="9"/>
      <c r="N987" s="9"/>
      <c r="O987" s="9"/>
      <c r="P987" s="29"/>
      <c r="Q987" s="29"/>
      <c r="R987" s="7"/>
      <c r="S987" s="7"/>
      <c r="T987" s="7" t="str">
        <f ca="1">IFERROR(__xludf.DUMMYFUNCTION("SPARKLINE({
IF(D987="""",0,D987),
IF(F987="""",0,F987),
IF(H987="""",0,H987),
IF(J987="""",0,J987),
IF(L987="""",0,L987),
IF(N987="""",0,N987),
IF(P987="""",0,P987)
})"),"")</f>
        <v/>
      </c>
      <c r="U987" s="7" t="str">
        <f ca="1">IFERROR(__xludf.DUMMYFUNCTION("SPARKLINE({
IF(E987="""",0,E987),
IF(G987="""",0,G987),
IF(I987="""",0,I987),
IF(K987="""",0,K987),
IF(M987="""",0,M987),
IF(O987="""",0,O987),
IF(Q987="""",0,Q987)
})"),"")</f>
        <v/>
      </c>
      <c r="V987" s="8" t="e">
        <f t="array" aca="1" ref="V987" ca="1">IF($C$4="Giao",_xludf.Xlookup(C987,#REF!,#REF!,),_xludf.Xlookup(C987,#REF!,#REF!,))</f>
        <v>#NAME?</v>
      </c>
      <c r="W987" s="8">
        <f t="array" ref="W987">IF($C$4="Giao", _xludf.Xlookup(C987,#REF!,#REF!,),)</f>
        <v>0</v>
      </c>
      <c r="X987" s="9">
        <f t="shared" si="10"/>
        <v>0</v>
      </c>
      <c r="Y987" s="7"/>
      <c r="Z987" s="7"/>
    </row>
    <row r="988" spans="1:26" ht="13" x14ac:dyDescent="0.6">
      <c r="A988" s="28" t="str">
        <f t="shared" si="9"/>
        <v/>
      </c>
      <c r="B988" s="7"/>
      <c r="C988" s="7"/>
      <c r="D988" s="9"/>
      <c r="E988" s="9"/>
      <c r="F988" s="9"/>
      <c r="G988" s="9"/>
      <c r="H988" s="9"/>
      <c r="I988" s="9"/>
      <c r="J988" s="9"/>
      <c r="K988" s="9"/>
      <c r="L988" s="9"/>
      <c r="M988" s="9"/>
      <c r="N988" s="9"/>
      <c r="O988" s="9"/>
      <c r="P988" s="29"/>
      <c r="Q988" s="29"/>
      <c r="R988" s="7"/>
      <c r="S988" s="7"/>
      <c r="T988" s="7" t="str">
        <f ca="1">IFERROR(__xludf.DUMMYFUNCTION("SPARKLINE({
IF(D988="""",0,D988),
IF(F988="""",0,F988),
IF(H988="""",0,H988),
IF(J988="""",0,J988),
IF(L988="""",0,L988),
IF(N988="""",0,N988),
IF(P988="""",0,P988)
})"),"")</f>
        <v/>
      </c>
      <c r="U988" s="7" t="str">
        <f ca="1">IFERROR(__xludf.DUMMYFUNCTION("SPARKLINE({
IF(E988="""",0,E988),
IF(G988="""",0,G988),
IF(I988="""",0,I988),
IF(K988="""",0,K988),
IF(M988="""",0,M988),
IF(O988="""",0,O988),
IF(Q988="""",0,Q988)
})"),"")</f>
        <v/>
      </c>
      <c r="V988" s="8" t="e">
        <f t="array" aca="1" ref="V988" ca="1">IF($C$4="Giao",_xludf.Xlookup(C988,#REF!,#REF!,),_xludf.Xlookup(C988,#REF!,#REF!,))</f>
        <v>#NAME?</v>
      </c>
      <c r="W988" s="8">
        <f t="array" ref="W988">IF($C$4="Giao", _xludf.Xlookup(C988,#REF!,#REF!,),)</f>
        <v>0</v>
      </c>
      <c r="X988" s="9">
        <f t="shared" si="10"/>
        <v>0</v>
      </c>
      <c r="Y988" s="7"/>
      <c r="Z988" s="7"/>
    </row>
    <row r="989" spans="1:26" ht="13" x14ac:dyDescent="0.6">
      <c r="A989" s="28" t="str">
        <f t="shared" si="9"/>
        <v/>
      </c>
      <c r="B989" s="7"/>
      <c r="C989" s="7"/>
      <c r="D989" s="9"/>
      <c r="E989" s="9"/>
      <c r="F989" s="9"/>
      <c r="G989" s="9"/>
      <c r="H989" s="9"/>
      <c r="I989" s="9"/>
      <c r="J989" s="9"/>
      <c r="K989" s="9"/>
      <c r="L989" s="9"/>
      <c r="M989" s="9"/>
      <c r="N989" s="9"/>
      <c r="O989" s="9"/>
      <c r="P989" s="29"/>
      <c r="Q989" s="29"/>
      <c r="R989" s="7"/>
      <c r="S989" s="7"/>
      <c r="T989" s="7" t="str">
        <f ca="1">IFERROR(__xludf.DUMMYFUNCTION("SPARKLINE({
IF(D989="""",0,D989),
IF(F989="""",0,F989),
IF(H989="""",0,H989),
IF(J989="""",0,J989),
IF(L989="""",0,L989),
IF(N989="""",0,N989),
IF(P989="""",0,P989)
})"),"")</f>
        <v/>
      </c>
      <c r="U989" s="7" t="str">
        <f ca="1">IFERROR(__xludf.DUMMYFUNCTION("SPARKLINE({
IF(E989="""",0,E989),
IF(G989="""",0,G989),
IF(I989="""",0,I989),
IF(K989="""",0,K989),
IF(M989="""",0,M989),
IF(O989="""",0,O989),
IF(Q989="""",0,Q989)
})"),"")</f>
        <v/>
      </c>
      <c r="V989" s="8" t="e">
        <f t="array" aca="1" ref="V989" ca="1">IF($C$4="Giao",_xludf.Xlookup(C989,#REF!,#REF!,),_xludf.Xlookup(C989,#REF!,#REF!,))</f>
        <v>#NAME?</v>
      </c>
      <c r="W989" s="8">
        <f t="array" ref="W989">IF($C$4="Giao", _xludf.Xlookup(C989,#REF!,#REF!,),)</f>
        <v>0</v>
      </c>
      <c r="X989" s="9">
        <f t="shared" si="10"/>
        <v>0</v>
      </c>
      <c r="Y989" s="7"/>
      <c r="Z989" s="7"/>
    </row>
    <row r="990" spans="1:26" ht="13" x14ac:dyDescent="0.6">
      <c r="A990" s="28" t="str">
        <f t="shared" si="9"/>
        <v/>
      </c>
      <c r="B990" s="7"/>
      <c r="C990" s="7"/>
      <c r="D990" s="9"/>
      <c r="E990" s="9"/>
      <c r="F990" s="9"/>
      <c r="G990" s="9"/>
      <c r="H990" s="9"/>
      <c r="I990" s="9"/>
      <c r="J990" s="9"/>
      <c r="K990" s="9"/>
      <c r="L990" s="9"/>
      <c r="M990" s="9"/>
      <c r="N990" s="9"/>
      <c r="O990" s="9"/>
      <c r="P990" s="29"/>
      <c r="Q990" s="29"/>
      <c r="R990" s="7"/>
      <c r="S990" s="7"/>
      <c r="T990" s="7" t="str">
        <f ca="1">IFERROR(__xludf.DUMMYFUNCTION("SPARKLINE({
IF(D990="""",0,D990),
IF(F990="""",0,F990),
IF(H990="""",0,H990),
IF(J990="""",0,J990),
IF(L990="""",0,L990),
IF(N990="""",0,N990),
IF(P990="""",0,P990)
})"),"")</f>
        <v/>
      </c>
      <c r="U990" s="7" t="str">
        <f ca="1">IFERROR(__xludf.DUMMYFUNCTION("SPARKLINE({
IF(E990="""",0,E990),
IF(G990="""",0,G990),
IF(I990="""",0,I990),
IF(K990="""",0,K990),
IF(M990="""",0,M990),
IF(O990="""",0,O990),
IF(Q990="""",0,Q990)
})"),"")</f>
        <v/>
      </c>
      <c r="V990" s="8" t="e">
        <f t="array" aca="1" ref="V990" ca="1">IF($C$4="Giao",_xludf.Xlookup(C990,#REF!,#REF!,),_xludf.Xlookup(C990,#REF!,#REF!,))</f>
        <v>#NAME?</v>
      </c>
      <c r="W990" s="8">
        <f t="array" ref="W990">IF($C$4="Giao", _xludf.Xlookup(C990,#REF!,#REF!,),)</f>
        <v>0</v>
      </c>
      <c r="X990" s="9">
        <f t="shared" si="10"/>
        <v>0</v>
      </c>
      <c r="Y990" s="7"/>
      <c r="Z990" s="7"/>
    </row>
    <row r="991" spans="1:26" ht="13" x14ac:dyDescent="0.6">
      <c r="A991" s="28" t="str">
        <f t="shared" si="9"/>
        <v/>
      </c>
      <c r="B991" s="7"/>
      <c r="C991" s="7"/>
      <c r="D991" s="9"/>
      <c r="E991" s="9"/>
      <c r="F991" s="9"/>
      <c r="G991" s="9"/>
      <c r="H991" s="9"/>
      <c r="I991" s="9"/>
      <c r="J991" s="9"/>
      <c r="K991" s="9"/>
      <c r="L991" s="9"/>
      <c r="M991" s="9"/>
      <c r="N991" s="9"/>
      <c r="O991" s="9"/>
      <c r="P991" s="29"/>
      <c r="Q991" s="29"/>
      <c r="R991" s="7"/>
      <c r="S991" s="7"/>
      <c r="T991" s="7" t="str">
        <f ca="1">IFERROR(__xludf.DUMMYFUNCTION("SPARKLINE({
IF(D991="""",0,D991),
IF(F991="""",0,F991),
IF(H991="""",0,H991),
IF(J991="""",0,J991),
IF(L991="""",0,L991),
IF(N991="""",0,N991),
IF(P991="""",0,P991)
})"),"")</f>
        <v/>
      </c>
      <c r="U991" s="7" t="str">
        <f ca="1">IFERROR(__xludf.DUMMYFUNCTION("SPARKLINE({
IF(E991="""",0,E991),
IF(G991="""",0,G991),
IF(I991="""",0,I991),
IF(K991="""",0,K991),
IF(M991="""",0,M991),
IF(O991="""",0,O991),
IF(Q991="""",0,Q991)
})"),"")</f>
        <v/>
      </c>
      <c r="V991" s="8" t="e">
        <f t="array" aca="1" ref="V991" ca="1">IF($C$4="Giao",_xludf.Xlookup(C991,#REF!,#REF!,),_xludf.Xlookup(C991,#REF!,#REF!,))</f>
        <v>#NAME?</v>
      </c>
      <c r="W991" s="8">
        <f t="array" ref="W991">IF($C$4="Giao", _xludf.Xlookup(C991,#REF!,#REF!,),)</f>
        <v>0</v>
      </c>
      <c r="X991" s="9">
        <f t="shared" si="10"/>
        <v>0</v>
      </c>
      <c r="Y991" s="7"/>
      <c r="Z991" s="7"/>
    </row>
    <row r="992" spans="1:26" ht="13" x14ac:dyDescent="0.6">
      <c r="A992" s="28" t="str">
        <f t="shared" si="9"/>
        <v/>
      </c>
      <c r="B992" s="7"/>
      <c r="C992" s="7"/>
      <c r="D992" s="9"/>
      <c r="E992" s="9"/>
      <c r="F992" s="9"/>
      <c r="G992" s="9"/>
      <c r="H992" s="9"/>
      <c r="I992" s="9"/>
      <c r="J992" s="9"/>
      <c r="K992" s="9"/>
      <c r="L992" s="9"/>
      <c r="M992" s="9"/>
      <c r="N992" s="9"/>
      <c r="O992" s="9"/>
      <c r="P992" s="29"/>
      <c r="Q992" s="29"/>
      <c r="R992" s="7"/>
      <c r="S992" s="7"/>
      <c r="T992" s="7" t="str">
        <f ca="1">IFERROR(__xludf.DUMMYFUNCTION("SPARKLINE({
IF(D992="""",0,D992),
IF(F992="""",0,F992),
IF(H992="""",0,H992),
IF(J992="""",0,J992),
IF(L992="""",0,L992),
IF(N992="""",0,N992),
IF(P992="""",0,P992)
})"),"")</f>
        <v/>
      </c>
      <c r="U992" s="7" t="str">
        <f ca="1">IFERROR(__xludf.DUMMYFUNCTION("SPARKLINE({
IF(E992="""",0,E992),
IF(G992="""",0,G992),
IF(I992="""",0,I992),
IF(K992="""",0,K992),
IF(M992="""",0,M992),
IF(O992="""",0,O992),
IF(Q992="""",0,Q992)
})"),"")</f>
        <v/>
      </c>
      <c r="V992" s="8" t="e">
        <f t="array" aca="1" ref="V992" ca="1">IF($C$4="Giao",_xludf.Xlookup(C992,#REF!,#REF!,),_xludf.Xlookup(C992,#REF!,#REF!,))</f>
        <v>#NAME?</v>
      </c>
      <c r="W992" s="8">
        <f t="array" ref="W992">IF($C$4="Giao", _xludf.Xlookup(C992,#REF!,#REF!,),)</f>
        <v>0</v>
      </c>
      <c r="X992" s="9">
        <f t="shared" si="10"/>
        <v>0</v>
      </c>
      <c r="Y992" s="7"/>
      <c r="Z992" s="7"/>
    </row>
    <row r="993" spans="1:26" ht="13" x14ac:dyDescent="0.6">
      <c r="A993" s="28" t="str">
        <f t="shared" si="9"/>
        <v/>
      </c>
      <c r="B993" s="7"/>
      <c r="C993" s="7"/>
      <c r="D993" s="9"/>
      <c r="E993" s="9"/>
      <c r="F993" s="9"/>
      <c r="G993" s="9"/>
      <c r="H993" s="9"/>
      <c r="I993" s="9"/>
      <c r="J993" s="9"/>
      <c r="K993" s="9"/>
      <c r="L993" s="9"/>
      <c r="M993" s="9"/>
      <c r="N993" s="9"/>
      <c r="O993" s="9"/>
      <c r="P993" s="29"/>
      <c r="Q993" s="29"/>
      <c r="R993" s="7"/>
      <c r="S993" s="7"/>
      <c r="T993" s="7" t="str">
        <f ca="1">IFERROR(__xludf.DUMMYFUNCTION("SPARKLINE({
IF(D993="""",0,D993),
IF(F993="""",0,F993),
IF(H993="""",0,H993),
IF(J993="""",0,J993),
IF(L993="""",0,L993),
IF(N993="""",0,N993),
IF(P993="""",0,P993)
})"),"")</f>
        <v/>
      </c>
      <c r="U993" s="7" t="str">
        <f ca="1">IFERROR(__xludf.DUMMYFUNCTION("SPARKLINE({
IF(E993="""",0,E993),
IF(G993="""",0,G993),
IF(I993="""",0,I993),
IF(K993="""",0,K993),
IF(M993="""",0,M993),
IF(O993="""",0,O993),
IF(Q993="""",0,Q993)
})"),"")</f>
        <v/>
      </c>
      <c r="V993" s="8" t="e">
        <f t="array" aca="1" ref="V993" ca="1">IF($C$4="Giao",_xludf.Xlookup(C993,#REF!,#REF!,),_xludf.Xlookup(C993,#REF!,#REF!,))</f>
        <v>#NAME?</v>
      </c>
      <c r="W993" s="8">
        <f t="array" ref="W993">IF($C$4="Giao", _xludf.Xlookup(C993,#REF!,#REF!,),)</f>
        <v>0</v>
      </c>
      <c r="X993" s="9">
        <f t="shared" si="10"/>
        <v>0</v>
      </c>
      <c r="Y993" s="7"/>
      <c r="Z993" s="7"/>
    </row>
    <row r="994" spans="1:26" ht="13" x14ac:dyDescent="0.6">
      <c r="A994" s="28" t="str">
        <f t="shared" si="9"/>
        <v/>
      </c>
      <c r="B994" s="7"/>
      <c r="C994" s="7"/>
      <c r="D994" s="9"/>
      <c r="E994" s="9"/>
      <c r="F994" s="9"/>
      <c r="G994" s="9"/>
      <c r="H994" s="9"/>
      <c r="I994" s="9"/>
      <c r="J994" s="9"/>
      <c r="K994" s="9"/>
      <c r="L994" s="9"/>
      <c r="M994" s="9"/>
      <c r="N994" s="9"/>
      <c r="O994" s="9"/>
      <c r="P994" s="29"/>
      <c r="Q994" s="29"/>
      <c r="R994" s="7"/>
      <c r="S994" s="7"/>
      <c r="T994" s="7" t="str">
        <f ca="1">IFERROR(__xludf.DUMMYFUNCTION("SPARKLINE({
IF(D994="""",0,D994),
IF(F994="""",0,F994),
IF(H994="""",0,H994),
IF(J994="""",0,J994),
IF(L994="""",0,L994),
IF(N994="""",0,N994),
IF(P994="""",0,P994)
})"),"")</f>
        <v/>
      </c>
      <c r="U994" s="7" t="str">
        <f ca="1">IFERROR(__xludf.DUMMYFUNCTION("SPARKLINE({
IF(E994="""",0,E994),
IF(G994="""",0,G994),
IF(I994="""",0,I994),
IF(K994="""",0,K994),
IF(M994="""",0,M994),
IF(O994="""",0,O994),
IF(Q994="""",0,Q994)
})"),"")</f>
        <v/>
      </c>
      <c r="V994" s="8" t="e">
        <f t="array" aca="1" ref="V994" ca="1">IF($C$4="Giao",_xludf.Xlookup(C994,#REF!,#REF!,),_xludf.Xlookup(C994,#REF!,#REF!,))</f>
        <v>#NAME?</v>
      </c>
      <c r="W994" s="8">
        <f t="array" ref="W994">IF($C$4="Giao", _xludf.Xlookup(C994,#REF!,#REF!,),)</f>
        <v>0</v>
      </c>
      <c r="X994" s="9">
        <f t="shared" si="10"/>
        <v>0</v>
      </c>
      <c r="Y994" s="7"/>
      <c r="Z994" s="7"/>
    </row>
    <row r="995" spans="1:26" ht="13" x14ac:dyDescent="0.6">
      <c r="A995" s="28" t="str">
        <f t="shared" si="9"/>
        <v/>
      </c>
      <c r="B995" s="7"/>
      <c r="C995" s="7"/>
      <c r="D995" s="9"/>
      <c r="E995" s="9"/>
      <c r="F995" s="9"/>
      <c r="G995" s="9"/>
      <c r="H995" s="9"/>
      <c r="I995" s="9"/>
      <c r="J995" s="9"/>
      <c r="K995" s="9"/>
      <c r="L995" s="9"/>
      <c r="M995" s="9"/>
      <c r="N995" s="9"/>
      <c r="O995" s="9"/>
      <c r="P995" s="29"/>
      <c r="Q995" s="29"/>
      <c r="R995" s="7"/>
      <c r="S995" s="7"/>
      <c r="T995" s="7" t="str">
        <f ca="1">IFERROR(__xludf.DUMMYFUNCTION("SPARKLINE({
IF(D995="""",0,D995),
IF(F995="""",0,F995),
IF(H995="""",0,H995),
IF(J995="""",0,J995),
IF(L995="""",0,L995),
IF(N995="""",0,N995),
IF(P995="""",0,P995)
})"),"")</f>
        <v/>
      </c>
      <c r="U995" s="7" t="str">
        <f ca="1">IFERROR(__xludf.DUMMYFUNCTION("SPARKLINE({
IF(E995="""",0,E995),
IF(G995="""",0,G995),
IF(I995="""",0,I995),
IF(K995="""",0,K995),
IF(M995="""",0,M995),
IF(O995="""",0,O995),
IF(Q995="""",0,Q995)
})"),"")</f>
        <v/>
      </c>
      <c r="V995" s="8" t="e">
        <f t="array" aca="1" ref="V995" ca="1">IF($C$4="Giao",_xludf.Xlookup(C995,#REF!,#REF!,),_xludf.Xlookup(C995,#REF!,#REF!,))</f>
        <v>#NAME?</v>
      </c>
      <c r="W995" s="8">
        <f t="array" ref="W995">IF($C$4="Giao", _xludf.Xlookup(C995,#REF!,#REF!,),)</f>
        <v>0</v>
      </c>
      <c r="X995" s="9">
        <f t="shared" si="10"/>
        <v>0</v>
      </c>
      <c r="Y995" s="7"/>
      <c r="Z995" s="7"/>
    </row>
    <row r="996" spans="1:26" ht="13" x14ac:dyDescent="0.6">
      <c r="A996" s="28" t="str">
        <f t="shared" si="9"/>
        <v/>
      </c>
      <c r="B996" s="7"/>
      <c r="C996" s="7"/>
      <c r="D996" s="9"/>
      <c r="E996" s="9"/>
      <c r="F996" s="9"/>
      <c r="G996" s="9"/>
      <c r="H996" s="9"/>
      <c r="I996" s="9"/>
      <c r="J996" s="9"/>
      <c r="K996" s="9"/>
      <c r="L996" s="9"/>
      <c r="M996" s="9"/>
      <c r="N996" s="9"/>
      <c r="O996" s="9"/>
      <c r="P996" s="29"/>
      <c r="Q996" s="29"/>
      <c r="R996" s="7"/>
      <c r="S996" s="7"/>
      <c r="T996" s="7" t="str">
        <f ca="1">IFERROR(__xludf.DUMMYFUNCTION("SPARKLINE({
IF(D996="""",0,D996),
IF(F996="""",0,F996),
IF(H996="""",0,H996),
IF(J996="""",0,J996),
IF(L996="""",0,L996),
IF(N996="""",0,N996),
IF(P996="""",0,P996)
})"),"")</f>
        <v/>
      </c>
      <c r="U996" s="7" t="str">
        <f ca="1">IFERROR(__xludf.DUMMYFUNCTION("SPARKLINE({
IF(E996="""",0,E996),
IF(G996="""",0,G996),
IF(I996="""",0,I996),
IF(K996="""",0,K996),
IF(M996="""",0,M996),
IF(O996="""",0,O996),
IF(Q996="""",0,Q996)
})"),"")</f>
        <v/>
      </c>
      <c r="V996" s="8" t="e">
        <f t="array" aca="1" ref="V996" ca="1">IF($C$4="Giao",_xludf.Xlookup(C996,#REF!,#REF!,),_xludf.Xlookup(C996,#REF!,#REF!,))</f>
        <v>#NAME?</v>
      </c>
      <c r="W996" s="8">
        <f t="array" ref="W996">IF($C$4="Giao", _xludf.Xlookup(C996,#REF!,#REF!,),)</f>
        <v>0</v>
      </c>
      <c r="X996" s="9">
        <f t="shared" si="10"/>
        <v>0</v>
      </c>
      <c r="Y996" s="7"/>
      <c r="Z996" s="7"/>
    </row>
    <row r="997" spans="1:26" ht="13" x14ac:dyDescent="0.6">
      <c r="A997" s="28" t="str">
        <f t="shared" si="9"/>
        <v/>
      </c>
      <c r="B997" s="7"/>
      <c r="C997" s="7"/>
      <c r="D997" s="9"/>
      <c r="E997" s="9"/>
      <c r="F997" s="9"/>
      <c r="G997" s="9"/>
      <c r="H997" s="9"/>
      <c r="I997" s="9"/>
      <c r="J997" s="9"/>
      <c r="K997" s="9"/>
      <c r="L997" s="9"/>
      <c r="M997" s="9"/>
      <c r="N997" s="9"/>
      <c r="O997" s="9"/>
      <c r="P997" s="29"/>
      <c r="Q997" s="29"/>
      <c r="R997" s="7"/>
      <c r="S997" s="7"/>
      <c r="T997" s="7" t="str">
        <f ca="1">IFERROR(__xludf.DUMMYFUNCTION("SPARKLINE({
IF(D997="""",0,D997),
IF(F997="""",0,F997),
IF(H997="""",0,H997),
IF(J997="""",0,J997),
IF(L997="""",0,L997),
IF(N997="""",0,N997),
IF(P997="""",0,P997)
})"),"")</f>
        <v/>
      </c>
      <c r="U997" s="7" t="str">
        <f ca="1">IFERROR(__xludf.DUMMYFUNCTION("SPARKLINE({
IF(E997="""",0,E997),
IF(G997="""",0,G997),
IF(I997="""",0,I997),
IF(K997="""",0,K997),
IF(M997="""",0,M997),
IF(O997="""",0,O997),
IF(Q997="""",0,Q997)
})"),"")</f>
        <v/>
      </c>
      <c r="V997" s="8" t="e">
        <f t="array" aca="1" ref="V997" ca="1">IF($C$4="Giao",_xludf.Xlookup(C997,#REF!,#REF!,),_xludf.Xlookup(C997,#REF!,#REF!,))</f>
        <v>#NAME?</v>
      </c>
      <c r="W997" s="8">
        <f t="array" ref="W997">IF($C$4="Giao", _xludf.Xlookup(C997,#REF!,#REF!,),)</f>
        <v>0</v>
      </c>
      <c r="X997" s="9">
        <f t="shared" si="10"/>
        <v>0</v>
      </c>
      <c r="Y997" s="7"/>
      <c r="Z997" s="7"/>
    </row>
    <row r="998" spans="1:26" ht="13" x14ac:dyDescent="0.6">
      <c r="A998" s="28" t="str">
        <f t="shared" si="9"/>
        <v/>
      </c>
      <c r="B998" s="7"/>
      <c r="C998" s="7"/>
      <c r="D998" s="9"/>
      <c r="E998" s="9"/>
      <c r="F998" s="9"/>
      <c r="G998" s="9"/>
      <c r="H998" s="9"/>
      <c r="I998" s="9"/>
      <c r="J998" s="9"/>
      <c r="K998" s="9"/>
      <c r="L998" s="9"/>
      <c r="M998" s="9"/>
      <c r="N998" s="9"/>
      <c r="O998" s="9"/>
      <c r="P998" s="29"/>
      <c r="Q998" s="29"/>
      <c r="R998" s="7"/>
      <c r="S998" s="7"/>
      <c r="T998" s="7" t="str">
        <f ca="1">IFERROR(__xludf.DUMMYFUNCTION("SPARKLINE({
IF(D998="""",0,D998),
IF(F998="""",0,F998),
IF(H998="""",0,H998),
IF(J998="""",0,J998),
IF(L998="""",0,L998),
IF(N998="""",0,N998),
IF(P998="""",0,P998)
})"),"")</f>
        <v/>
      </c>
      <c r="U998" s="7" t="str">
        <f ca="1">IFERROR(__xludf.DUMMYFUNCTION("SPARKLINE({
IF(E998="""",0,E998),
IF(G998="""",0,G998),
IF(I998="""",0,I998),
IF(K998="""",0,K998),
IF(M998="""",0,M998),
IF(O998="""",0,O998),
IF(Q998="""",0,Q998)
})"),"")</f>
        <v/>
      </c>
      <c r="V998" s="8" t="e">
        <f t="array" aca="1" ref="V998" ca="1">IF($C$4="Giao",_xludf.Xlookup(C998,#REF!,#REF!,),_xludf.Xlookup(C998,#REF!,#REF!,))</f>
        <v>#NAME?</v>
      </c>
      <c r="W998" s="8">
        <f t="array" ref="W998">IF($C$4="Giao", _xludf.Xlookup(C998,#REF!,#REF!,),)</f>
        <v>0</v>
      </c>
      <c r="X998" s="9">
        <f t="shared" si="10"/>
        <v>0</v>
      </c>
      <c r="Y998" s="7"/>
      <c r="Z998" s="7"/>
    </row>
    <row r="999" spans="1:26" ht="13" x14ac:dyDescent="0.6">
      <c r="A999" s="28" t="str">
        <f t="shared" si="9"/>
        <v/>
      </c>
      <c r="B999" s="7"/>
      <c r="C999" s="7"/>
      <c r="D999" s="9"/>
      <c r="E999" s="9"/>
      <c r="F999" s="9"/>
      <c r="G999" s="9"/>
      <c r="H999" s="9"/>
      <c r="I999" s="9"/>
      <c r="J999" s="9"/>
      <c r="K999" s="9"/>
      <c r="L999" s="9"/>
      <c r="M999" s="9"/>
      <c r="N999" s="9"/>
      <c r="O999" s="9"/>
      <c r="P999" s="29"/>
      <c r="Q999" s="29"/>
      <c r="R999" s="7"/>
      <c r="S999" s="7"/>
      <c r="T999" s="7" t="str">
        <f ca="1">IFERROR(__xludf.DUMMYFUNCTION("SPARKLINE({
IF(D999="""",0,D999),
IF(F999="""",0,F999),
IF(H999="""",0,H999),
IF(J999="""",0,J999),
IF(L999="""",0,L999),
IF(N999="""",0,N999),
IF(P999="""",0,P999)
})"),"")</f>
        <v/>
      </c>
      <c r="U999" s="7" t="str">
        <f ca="1">IFERROR(__xludf.DUMMYFUNCTION("SPARKLINE({
IF(E999="""",0,E999),
IF(G999="""",0,G999),
IF(I999="""",0,I999),
IF(K999="""",0,K999),
IF(M999="""",0,M999),
IF(O999="""",0,O999),
IF(Q999="""",0,Q999)
})"),"")</f>
        <v/>
      </c>
      <c r="V999" s="8" t="e">
        <f t="array" aca="1" ref="V999" ca="1">IF($C$4="Giao",_xludf.Xlookup(C999,#REF!,#REF!,),_xludf.Xlookup(C999,#REF!,#REF!,))</f>
        <v>#NAME?</v>
      </c>
      <c r="W999" s="8">
        <f t="array" ref="W999">IF($C$4="Giao", _xludf.Xlookup(C999,#REF!,#REF!,),)</f>
        <v>0</v>
      </c>
      <c r="X999" s="9">
        <f t="shared" si="10"/>
        <v>0</v>
      </c>
      <c r="Y999" s="7"/>
      <c r="Z999" s="7"/>
    </row>
    <row r="1000" spans="1:26" ht="13" x14ac:dyDescent="0.6">
      <c r="A1000" s="28" t="str">
        <f t="shared" si="9"/>
        <v/>
      </c>
      <c r="B1000" s="7"/>
      <c r="C1000" s="7"/>
      <c r="D1000" s="9"/>
      <c r="E1000" s="9"/>
      <c r="F1000" s="9"/>
      <c r="G1000" s="9"/>
      <c r="H1000" s="9"/>
      <c r="I1000" s="9"/>
      <c r="J1000" s="9"/>
      <c r="K1000" s="9"/>
      <c r="L1000" s="9"/>
      <c r="M1000" s="9"/>
      <c r="N1000" s="9"/>
      <c r="O1000" s="9"/>
      <c r="P1000" s="29"/>
      <c r="Q1000" s="29"/>
      <c r="R1000" s="7"/>
      <c r="S1000" s="7"/>
      <c r="T1000" s="7" t="str">
        <f ca="1">IFERROR(__xludf.DUMMYFUNCTION("SPARKLINE({
IF(D1000="""",0,D1000),
IF(F1000="""",0,F1000),
IF(H1000="""",0,H1000),
IF(J1000="""",0,J1000),
IF(L1000="""",0,L1000),
IF(N1000="""",0,N1000),
IF(P1000="""",0,P1000)
})"),"")</f>
        <v/>
      </c>
      <c r="U1000" s="7" t="str">
        <f ca="1">IFERROR(__xludf.DUMMYFUNCTION("SPARKLINE({
IF(E1000="""",0,E1000),
IF(G1000="""",0,G1000),
IF(I1000="""",0,I1000),
IF(K1000="""",0,K1000),
IF(M1000="""",0,M1000),
IF(O1000="""",0,O1000),
IF(Q1000="""",0,Q1000)
})"),"")</f>
        <v/>
      </c>
      <c r="V1000" s="8" t="e">
        <f t="array" aca="1" ref="V1000" ca="1">IF($C$4="Giao",_xludf.Xlookup(C1000,#REF!,#REF!,),_xludf.Xlookup(C1000,#REF!,#REF!,))</f>
        <v>#NAME?</v>
      </c>
      <c r="W1000" s="8">
        <f t="array" ref="W1000">IF($C$4="Giao", _xludf.Xlookup(C1000,#REF!,#REF!,),)</f>
        <v>0</v>
      </c>
      <c r="X1000" s="9">
        <f t="shared" si="10"/>
        <v>0</v>
      </c>
      <c r="Y1000" s="7"/>
      <c r="Z1000" s="7"/>
    </row>
    <row r="1001" spans="1:26" ht="13" x14ac:dyDescent="0.6">
      <c r="A1001" s="28" t="str">
        <f t="shared" si="9"/>
        <v/>
      </c>
      <c r="B1001" s="7"/>
      <c r="C1001" s="7"/>
      <c r="D1001" s="9"/>
      <c r="E1001" s="9"/>
      <c r="F1001" s="9"/>
      <c r="G1001" s="9"/>
      <c r="H1001" s="9"/>
      <c r="I1001" s="9"/>
      <c r="J1001" s="9"/>
      <c r="K1001" s="9"/>
      <c r="L1001" s="9"/>
      <c r="M1001" s="9"/>
      <c r="N1001" s="9"/>
      <c r="O1001" s="9"/>
      <c r="P1001" s="29"/>
      <c r="Q1001" s="29"/>
      <c r="R1001" s="7"/>
      <c r="S1001" s="7"/>
      <c r="T1001" s="7" t="str">
        <f ca="1">IFERROR(__xludf.DUMMYFUNCTION("SPARKLINE({
IF(D1001="""",0,D1001),
IF(F1001="""",0,F1001),
IF(H1001="""",0,H1001),
IF(J1001="""",0,J1001),
IF(L1001="""",0,L1001),
IF(N1001="""",0,N1001),
IF(P1001="""",0,P1001)
})"),"")</f>
        <v/>
      </c>
      <c r="U1001" s="7" t="str">
        <f ca="1">IFERROR(__xludf.DUMMYFUNCTION("SPARKLINE({
IF(E1001="""",0,E1001),
IF(G1001="""",0,G1001),
IF(I1001="""",0,I1001),
IF(K1001="""",0,K1001),
IF(M1001="""",0,M1001),
IF(O1001="""",0,O1001),
IF(Q1001="""",0,Q1001)
})"),"")</f>
        <v/>
      </c>
      <c r="V1001" s="8" t="e">
        <f t="array" aca="1" ref="V1001" ca="1">IF($C$4="Giao",_xludf.Xlookup(C1001,#REF!,#REF!,),_xludf.Xlookup(C1001,#REF!,#REF!,))</f>
        <v>#NAME?</v>
      </c>
      <c r="W1001" s="8">
        <f t="array" ref="W1001">IF($C$4="Giao", _xludf.Xlookup(C1001,#REF!,#REF!,),)</f>
        <v>0</v>
      </c>
      <c r="X1001" s="9">
        <f t="shared" si="10"/>
        <v>0</v>
      </c>
      <c r="Y1001" s="7"/>
      <c r="Z1001" s="7"/>
    </row>
    <row r="1002" spans="1:26" ht="13" x14ac:dyDescent="0.6">
      <c r="A1002" s="28" t="str">
        <f t="shared" si="9"/>
        <v/>
      </c>
      <c r="B1002" s="7"/>
      <c r="C1002" s="7"/>
      <c r="D1002" s="9"/>
      <c r="E1002" s="9"/>
      <c r="F1002" s="9"/>
      <c r="G1002" s="9"/>
      <c r="H1002" s="9"/>
      <c r="I1002" s="9"/>
      <c r="J1002" s="9"/>
      <c r="K1002" s="9"/>
      <c r="L1002" s="9"/>
      <c r="M1002" s="9"/>
      <c r="N1002" s="9"/>
      <c r="O1002" s="9"/>
      <c r="P1002" s="29"/>
      <c r="Q1002" s="29"/>
      <c r="R1002" s="7"/>
      <c r="S1002" s="7"/>
      <c r="T1002" s="7" t="str">
        <f ca="1">IFERROR(__xludf.DUMMYFUNCTION("SPARKLINE({
IF(D1002="""",0,D1002),
IF(F1002="""",0,F1002),
IF(H1002="""",0,H1002),
IF(J1002="""",0,J1002),
IF(L1002="""",0,L1002),
IF(N1002="""",0,N1002),
IF(P1002="""",0,P1002)
})"),"")</f>
        <v/>
      </c>
      <c r="U1002" s="7" t="str">
        <f ca="1">IFERROR(__xludf.DUMMYFUNCTION("SPARKLINE({
IF(E1002="""",0,E1002),
IF(G1002="""",0,G1002),
IF(I1002="""",0,I1002),
IF(K1002="""",0,K1002),
IF(M1002="""",0,M1002),
IF(O1002="""",0,O1002),
IF(Q1002="""",0,Q1002)
})"),"")</f>
        <v/>
      </c>
      <c r="V1002" s="8" t="e">
        <f t="array" aca="1" ref="V1002" ca="1">IF($C$4="Giao",_xludf.Xlookup(C1002,#REF!,#REF!,),_xludf.Xlookup(C1002,#REF!,#REF!,))</f>
        <v>#NAME?</v>
      </c>
      <c r="W1002" s="8">
        <f t="array" ref="W1002">IF($C$4="Giao", _xludf.Xlookup(C1002,#REF!,#REF!,),)</f>
        <v>0</v>
      </c>
      <c r="X1002" s="9">
        <f t="shared" si="10"/>
        <v>0</v>
      </c>
      <c r="Y1002" s="7"/>
      <c r="Z1002" s="7"/>
    </row>
    <row r="1003" spans="1:26" ht="13" x14ac:dyDescent="0.6">
      <c r="A1003" s="28" t="str">
        <f t="shared" si="9"/>
        <v/>
      </c>
      <c r="B1003" s="7"/>
      <c r="C1003" s="7"/>
      <c r="D1003" s="9"/>
      <c r="E1003" s="9"/>
      <c r="F1003" s="9"/>
      <c r="G1003" s="9"/>
      <c r="H1003" s="9"/>
      <c r="I1003" s="9"/>
      <c r="J1003" s="9"/>
      <c r="K1003" s="9"/>
      <c r="L1003" s="9"/>
      <c r="M1003" s="9"/>
      <c r="N1003" s="9"/>
      <c r="O1003" s="9"/>
      <c r="P1003" s="29"/>
      <c r="Q1003" s="29"/>
      <c r="R1003" s="7"/>
      <c r="S1003" s="7"/>
      <c r="T1003" s="7" t="str">
        <f ca="1">IFERROR(__xludf.DUMMYFUNCTION("SPARKLINE({
IF(D1003="""",0,D1003),
IF(F1003="""",0,F1003),
IF(H1003="""",0,H1003),
IF(J1003="""",0,J1003),
IF(L1003="""",0,L1003),
IF(N1003="""",0,N1003),
IF(P1003="""",0,P1003)
})"),"")</f>
        <v/>
      </c>
      <c r="U1003" s="7" t="str">
        <f ca="1">IFERROR(__xludf.DUMMYFUNCTION("SPARKLINE({
IF(E1003="""",0,E1003),
IF(G1003="""",0,G1003),
IF(I1003="""",0,I1003),
IF(K1003="""",0,K1003),
IF(M1003="""",0,M1003),
IF(O1003="""",0,O1003),
IF(Q1003="""",0,Q1003)
})"),"")</f>
        <v/>
      </c>
      <c r="V1003" s="8" t="e">
        <f t="array" aca="1" ref="V1003" ca="1">IF($C$4="Giao",_xludf.Xlookup(C1003,#REF!,#REF!,),_xludf.Xlookup(C1003,#REF!,#REF!,))</f>
        <v>#NAME?</v>
      </c>
      <c r="W1003" s="8">
        <f t="array" ref="W1003">IF($C$4="Giao", _xludf.Xlookup(C1003,#REF!,#REF!,),)</f>
        <v>0</v>
      </c>
      <c r="X1003" s="9">
        <f t="shared" si="10"/>
        <v>0</v>
      </c>
      <c r="Y1003" s="7"/>
      <c r="Z1003" s="7"/>
    </row>
  </sheetData>
  <autoFilter ref="A7:Z1003" xr:uid="{00000000-0009-0000-0000-000003000000}"/>
  <mergeCells count="13">
    <mergeCell ref="T6:U6"/>
    <mergeCell ref="A1:B1"/>
    <mergeCell ref="A2:B2"/>
    <mergeCell ref="A3:B3"/>
    <mergeCell ref="A4:B4"/>
    <mergeCell ref="D6:E6"/>
    <mergeCell ref="F6:G6"/>
    <mergeCell ref="H6:I6"/>
    <mergeCell ref="J6:K6"/>
    <mergeCell ref="L6:M6"/>
    <mergeCell ref="N6:O6"/>
    <mergeCell ref="P6:Q6"/>
    <mergeCell ref="R6:S6"/>
  </mergeCells>
  <conditionalFormatting sqref="P8:P1003">
    <cfRule type="expression" dxfId="3" priority="1">
      <formula>P8&gt;N8*1.3</formula>
    </cfRule>
  </conditionalFormatting>
  <conditionalFormatting sqref="Q8:Q1003">
    <cfRule type="expression" dxfId="2" priority="2">
      <formula>Q8&gt;O8*1.5</formula>
    </cfRule>
  </conditionalFormatting>
  <dataValidations count="4">
    <dataValidation type="list" allowBlank="1" showErrorMessage="1" sqref="C1" xr:uid="{00000000-0002-0000-0300-000000000000}">
      <formula1>"Hồ Chí Minh,Bình Dương,Bà Rịa - Vũng Tàu"</formula1>
    </dataValidation>
    <dataValidation type="list" allowBlank="1" showErrorMessage="1" sqref="C3" xr:uid="{00000000-0002-0000-0300-000001000000}">
      <formula1>"Tất cả,TTS,Shopee,SME"</formula1>
    </dataValidation>
    <dataValidation type="list" allowBlank="1" showErrorMessage="1" sqref="C2" xr:uid="{00000000-0002-0000-0300-000002000000}">
      <formula1>"Quận 1,Quận 2,Quận 3,Quận 4,Quận 5,Quận 6,Quận 7,Quận 8,Quận 9,Quận 10,Quận 11,Quận 12,Quận Bình Tân,Quận Bình Thạnh,Quận Gò Vấp,Quận Phú Nhuận,Quận Tân Bình,Quận Thủ Đức,Quận Tân Phú,Thành phố Bà Rịa,Thành phố Dĩ An,Thành phố Tân Uyên,Thành phố Thủ Dầu M"&amp;"ột,Thành Phố Thủ Đức,Thành phố Thuận An,Thành phố Vũng Tàu,Thị xã Bến Cát,Thị Xã Phú Mỹ,Huyện Bắc Tân Uyên,Huyện Bàu Bàng,Huyện Bình Chánh,Huyện Cần Giờ,Huyện Châu Đức,Huyện Củ Chi,Huyện đảo Côn Đảo,Huyện Đất Đỏ,Huyện Dầu Tiếng,Huyện Hóc Môn,Huyện Long Đấ"&amp;"t,Huyện Long Điền,Huyện Nhà Bè,Huyện Phú Giáo,Huyện Xuyên Mộc"</formula1>
    </dataValidation>
    <dataValidation type="list" allowBlank="1" showErrorMessage="1" sqref="C4" xr:uid="{00000000-0002-0000-0300-000003000000}">
      <formula1>"Lấy,Giao"</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A1000"/>
  <sheetViews>
    <sheetView showGridLines="0" workbookViewId="0">
      <pane xSplit="3" topLeftCell="D1" activePane="topRight" state="frozen"/>
      <selection pane="topRight" activeCell="E2" sqref="E2"/>
    </sheetView>
  </sheetViews>
  <sheetFormatPr defaultColWidth="12.6328125" defaultRowHeight="15.75" customHeight="1" x14ac:dyDescent="0.6"/>
  <cols>
    <col min="1" max="1" width="4.1328125" customWidth="1"/>
    <col min="2" max="2" width="19.36328125" customWidth="1"/>
    <col min="3" max="3" width="52.7265625" customWidth="1"/>
  </cols>
  <sheetData>
    <row r="1" spans="1:27" ht="13" x14ac:dyDescent="0.6">
      <c r="A1" s="38" t="s">
        <v>145</v>
      </c>
      <c r="B1" s="38"/>
      <c r="C1" s="39"/>
      <c r="D1" s="108">
        <f>D3</f>
        <v>0</v>
      </c>
      <c r="E1" s="109"/>
      <c r="F1" s="108">
        <f>F3</f>
        <v>0</v>
      </c>
      <c r="G1" s="109"/>
      <c r="H1" s="108">
        <f>H3</f>
        <v>0</v>
      </c>
      <c r="I1" s="109"/>
      <c r="J1" s="108">
        <f>J3</f>
        <v>0</v>
      </c>
      <c r="K1" s="109"/>
      <c r="L1" s="108">
        <f>L3</f>
        <v>0</v>
      </c>
      <c r="M1" s="109"/>
      <c r="N1" s="108">
        <f>N3</f>
        <v>0</v>
      </c>
      <c r="O1" s="109"/>
      <c r="P1" s="108">
        <f>P3</f>
        <v>0</v>
      </c>
      <c r="Q1" s="109"/>
      <c r="R1" s="110" t="s">
        <v>6</v>
      </c>
      <c r="S1" s="109"/>
      <c r="T1" s="39"/>
      <c r="U1" s="39"/>
      <c r="V1" s="39"/>
      <c r="W1" s="39"/>
      <c r="X1" s="39"/>
      <c r="Y1" s="39"/>
      <c r="Z1" s="39"/>
      <c r="AA1" s="39"/>
    </row>
    <row r="2" spans="1:27" ht="13" hidden="1" x14ac:dyDescent="0.6">
      <c r="A2" s="7"/>
      <c r="B2" s="58" t="s">
        <v>142</v>
      </c>
      <c r="C2" s="66" t="s">
        <v>142</v>
      </c>
      <c r="G2" s="9"/>
      <c r="H2" s="9"/>
      <c r="I2" s="9"/>
      <c r="J2" s="9"/>
      <c r="K2" s="9"/>
      <c r="L2" s="9"/>
      <c r="M2" s="9"/>
      <c r="N2" s="9"/>
      <c r="O2" s="9"/>
      <c r="P2" s="9"/>
      <c r="Q2" s="7"/>
      <c r="R2" s="45"/>
      <c r="S2" s="45"/>
      <c r="T2" s="7"/>
      <c r="U2" s="7"/>
      <c r="V2" s="7"/>
      <c r="W2" s="7"/>
      <c r="X2" s="7"/>
      <c r="Y2" s="7"/>
      <c r="Z2" s="7"/>
      <c r="AA2" s="7"/>
    </row>
    <row r="3" spans="1:27" ht="13" hidden="1" x14ac:dyDescent="0.6">
      <c r="A3" s="40"/>
      <c r="G3" s="41"/>
      <c r="H3" s="41"/>
      <c r="I3" s="41"/>
      <c r="J3" s="41"/>
      <c r="K3" s="41"/>
      <c r="L3" s="41"/>
      <c r="M3" s="41"/>
      <c r="N3" s="41"/>
      <c r="O3" s="41"/>
      <c r="P3" s="41"/>
      <c r="Q3" s="41"/>
      <c r="R3" s="41"/>
      <c r="S3" s="41"/>
      <c r="T3" s="39"/>
      <c r="U3" s="39"/>
      <c r="V3" s="39"/>
      <c r="W3" s="39"/>
      <c r="X3" s="39"/>
      <c r="Y3" s="39"/>
      <c r="Z3" s="39"/>
      <c r="AA3" s="39"/>
    </row>
    <row r="4" spans="1:27" ht="30" customHeight="1" x14ac:dyDescent="0.6">
      <c r="A4" s="32" t="s">
        <v>8</v>
      </c>
      <c r="B4" s="54"/>
      <c r="C4" s="52"/>
      <c r="D4" s="51" t="s">
        <v>143</v>
      </c>
      <c r="E4" s="60" t="s">
        <v>150</v>
      </c>
      <c r="G4" s="33"/>
      <c r="H4" s="33"/>
      <c r="I4" s="33"/>
      <c r="J4" s="33"/>
      <c r="K4" s="33"/>
      <c r="L4" s="33"/>
      <c r="M4" s="33"/>
      <c r="N4" s="33"/>
      <c r="O4" s="33"/>
      <c r="P4" s="33"/>
      <c r="Q4" s="34"/>
      <c r="R4" s="46" t="s">
        <v>10</v>
      </c>
      <c r="S4" s="47" t="s">
        <v>11</v>
      </c>
      <c r="T4" s="35"/>
      <c r="U4" s="35"/>
      <c r="V4" s="35"/>
      <c r="W4" s="35"/>
      <c r="X4" s="35"/>
      <c r="Y4" s="35"/>
      <c r="Z4" s="35"/>
      <c r="AA4" s="35"/>
    </row>
    <row r="5" spans="1:27" ht="14.5" x14ac:dyDescent="0.6">
      <c r="A5" s="42">
        <v>1</v>
      </c>
      <c r="B5" s="55"/>
      <c r="C5" s="61"/>
      <c r="D5" s="54" t="s">
        <v>143</v>
      </c>
      <c r="E5" s="53"/>
      <c r="G5" s="43"/>
      <c r="H5" s="43"/>
      <c r="I5" s="43"/>
      <c r="J5" s="43"/>
      <c r="K5" s="43"/>
      <c r="L5" s="43"/>
      <c r="M5" s="43"/>
      <c r="N5" s="43"/>
      <c r="O5" s="43"/>
      <c r="P5" s="43"/>
      <c r="Q5" s="43"/>
      <c r="R5" s="48" t="str">
        <f ca="1">IFERROR(__xludf.DUMMYFUNCTION("SPARKLINE({D5,F5,H5,J5,L5,N5,P5})"),"#N/A")</f>
        <v>#N/A</v>
      </c>
      <c r="S5" s="45" t="str">
        <f ca="1">IFERROR(__xludf.DUMMYFUNCTION("SPARKLINE({E5;G5;I5;K5;M5;O5;Q5})"),"#N/A")</f>
        <v>#N/A</v>
      </c>
      <c r="T5" s="7"/>
      <c r="U5" s="7"/>
      <c r="V5" s="7"/>
      <c r="W5" s="7"/>
      <c r="X5" s="7"/>
      <c r="Y5" s="7"/>
      <c r="Z5" s="7"/>
      <c r="AA5" s="7"/>
    </row>
    <row r="6" spans="1:27" ht="14.5" x14ac:dyDescent="0.6">
      <c r="A6" s="42">
        <f t="shared" ref="A6:A125" si="0">A5+1</f>
        <v>2</v>
      </c>
      <c r="B6" s="51" t="s">
        <v>1</v>
      </c>
      <c r="C6" s="51" t="s">
        <v>9</v>
      </c>
      <c r="D6" s="54" t="s">
        <v>10</v>
      </c>
      <c r="E6" s="67" t="s">
        <v>11</v>
      </c>
      <c r="G6" s="43"/>
      <c r="H6" s="43"/>
      <c r="I6" s="43"/>
      <c r="J6" s="43"/>
      <c r="K6" s="43"/>
      <c r="L6" s="43"/>
      <c r="M6" s="43"/>
      <c r="N6" s="43"/>
      <c r="O6" s="43"/>
      <c r="P6" s="43"/>
      <c r="Q6" s="43"/>
      <c r="R6" s="48" t="str">
        <f ca="1">IFERROR(__xludf.DUMMYFUNCTION("SPARKLINE({D6,F6,H6,J6,L6,N6,P6})"),"#N/A")</f>
        <v>#N/A</v>
      </c>
      <c r="S6" s="45" t="str">
        <f ca="1">IFERROR(__xludf.DUMMYFUNCTION("SPARKLINE({E6;G6;I6;K6;M6;O6;Q6})"),"#N/A")</f>
        <v>#N/A</v>
      </c>
      <c r="T6" s="7"/>
      <c r="U6" s="7"/>
      <c r="V6" s="7"/>
      <c r="W6" s="7"/>
      <c r="X6" s="7"/>
      <c r="Y6" s="7"/>
      <c r="Z6" s="7"/>
      <c r="AA6" s="7"/>
    </row>
    <row r="7" spans="1:27" ht="14.5" x14ac:dyDescent="0.6">
      <c r="A7" s="42">
        <f t="shared" si="0"/>
        <v>3</v>
      </c>
      <c r="B7" s="68" t="s">
        <v>1</v>
      </c>
      <c r="C7" s="54" t="s">
        <v>9</v>
      </c>
      <c r="D7" s="54">
        <v>0</v>
      </c>
      <c r="E7" s="67">
        <v>0</v>
      </c>
      <c r="G7" s="43"/>
      <c r="H7" s="43"/>
      <c r="I7" s="43"/>
      <c r="J7" s="43"/>
      <c r="K7" s="43"/>
      <c r="L7" s="43"/>
      <c r="M7" s="43"/>
      <c r="N7" s="43"/>
      <c r="O7" s="43"/>
      <c r="P7" s="43"/>
      <c r="Q7" s="43"/>
      <c r="R7" s="48" t="str">
        <f ca="1">IFERROR(__xludf.DUMMYFUNCTION("SPARKLINE({D7,F7,H7,J7,L7,N7,P7})"),"#N/A")</f>
        <v>#N/A</v>
      </c>
      <c r="S7" s="45" t="str">
        <f ca="1">IFERROR(__xludf.DUMMYFUNCTION("SPARKLINE({E7;G7;I7;K7;M7;O7;Q7})"),"#N/A")</f>
        <v>#N/A</v>
      </c>
      <c r="T7" s="7"/>
      <c r="U7" s="7"/>
      <c r="V7" s="7"/>
      <c r="W7" s="7"/>
      <c r="X7" s="7"/>
      <c r="Y7" s="7"/>
      <c r="Z7" s="7"/>
      <c r="AA7" s="7"/>
    </row>
    <row r="8" spans="1:27" ht="14.5" x14ac:dyDescent="0.6">
      <c r="A8" s="42">
        <f t="shared" si="0"/>
        <v>4</v>
      </c>
      <c r="B8" s="64" t="s">
        <v>136</v>
      </c>
      <c r="C8" s="57"/>
      <c r="D8" s="56">
        <v>0</v>
      </c>
      <c r="E8" s="65">
        <v>0</v>
      </c>
      <c r="G8" s="43"/>
      <c r="H8" s="43"/>
      <c r="I8" s="43"/>
      <c r="J8" s="43"/>
      <c r="K8" s="43"/>
      <c r="L8" s="43"/>
      <c r="M8" s="43"/>
      <c r="N8" s="43"/>
      <c r="O8" s="43"/>
      <c r="P8" s="43"/>
      <c r="Q8" s="43"/>
      <c r="R8" s="48" t="str">
        <f ca="1">IFERROR(__xludf.DUMMYFUNCTION("SPARKLINE({D8,F8,H8,J8,L8,N8,P8})"),"#N/A")</f>
        <v>#N/A</v>
      </c>
      <c r="S8" s="45" t="str">
        <f ca="1">IFERROR(__xludf.DUMMYFUNCTION("SPARKLINE({E8;G8;I8;K8;M8;O8;Q8})"),"#N/A")</f>
        <v>#N/A</v>
      </c>
      <c r="T8" s="7"/>
      <c r="U8" s="7"/>
      <c r="V8" s="7"/>
      <c r="W8" s="7"/>
      <c r="X8" s="7"/>
      <c r="Y8" s="7"/>
      <c r="Z8" s="7"/>
      <c r="AA8" s="7"/>
    </row>
    <row r="9" spans="1:27" ht="14.5" x14ac:dyDescent="0.6">
      <c r="A9" s="42">
        <f t="shared" si="0"/>
        <v>5</v>
      </c>
      <c r="G9" s="43"/>
      <c r="H9" s="43"/>
      <c r="I9" s="43"/>
      <c r="J9" s="43"/>
      <c r="K9" s="43"/>
      <c r="L9" s="43"/>
      <c r="M9" s="43"/>
      <c r="N9" s="43"/>
      <c r="O9" s="43"/>
      <c r="P9" s="43"/>
      <c r="Q9" s="43"/>
      <c r="R9" s="48" t="str">
        <f ca="1">IFERROR(__xludf.DUMMYFUNCTION("SPARKLINE({D9,F9,H9,J9,L9,N9,P9})"),"#N/A")</f>
        <v>#N/A</v>
      </c>
      <c r="S9" s="45" t="str">
        <f ca="1">IFERROR(__xludf.DUMMYFUNCTION("SPARKLINE({E9;G9;I9;K9;M9;O9;Q9})"),"#N/A")</f>
        <v>#N/A</v>
      </c>
      <c r="T9" s="7"/>
      <c r="U9" s="7"/>
      <c r="V9" s="7"/>
      <c r="W9" s="7"/>
      <c r="X9" s="7"/>
      <c r="Y9" s="7"/>
      <c r="Z9" s="7"/>
      <c r="AA9" s="7"/>
    </row>
    <row r="10" spans="1:27" ht="14.5" x14ac:dyDescent="0.6">
      <c r="A10" s="42">
        <f t="shared" si="0"/>
        <v>6</v>
      </c>
      <c r="G10" s="43"/>
      <c r="H10" s="43"/>
      <c r="I10" s="43"/>
      <c r="J10" s="43"/>
      <c r="K10" s="43"/>
      <c r="L10" s="43"/>
      <c r="M10" s="43"/>
      <c r="N10" s="43"/>
      <c r="O10" s="43"/>
      <c r="P10" s="43"/>
      <c r="Q10" s="43"/>
      <c r="R10" s="48" t="str">
        <f ca="1">IFERROR(__xludf.DUMMYFUNCTION("SPARKLINE({D10,F10,H10,J10,L10,N10,P10})"),"#N/A")</f>
        <v>#N/A</v>
      </c>
      <c r="S10" s="45" t="str">
        <f ca="1">IFERROR(__xludf.DUMMYFUNCTION("SPARKLINE({E10;G10;I10;K10;M10;O10;Q10})"),"#N/A")</f>
        <v>#N/A</v>
      </c>
      <c r="T10" s="7"/>
      <c r="U10" s="7"/>
      <c r="V10" s="7"/>
      <c r="W10" s="7"/>
      <c r="X10" s="7"/>
      <c r="Y10" s="7"/>
      <c r="Z10" s="7"/>
      <c r="AA10" s="7"/>
    </row>
    <row r="11" spans="1:27" ht="14.5" x14ac:dyDescent="0.6">
      <c r="A11" s="42">
        <f t="shared" si="0"/>
        <v>7</v>
      </c>
      <c r="G11" s="43"/>
      <c r="H11" s="43"/>
      <c r="I11" s="43"/>
      <c r="J11" s="43"/>
      <c r="K11" s="43"/>
      <c r="L11" s="43"/>
      <c r="M11" s="43"/>
      <c r="N11" s="43"/>
      <c r="O11" s="43"/>
      <c r="P11" s="43"/>
      <c r="Q11" s="43"/>
      <c r="R11" s="48" t="str">
        <f ca="1">IFERROR(__xludf.DUMMYFUNCTION("SPARKLINE({D11,F11,H11,J11,L11,N11,P11})"),"#N/A")</f>
        <v>#N/A</v>
      </c>
      <c r="S11" s="45" t="str">
        <f ca="1">IFERROR(__xludf.DUMMYFUNCTION("SPARKLINE({E11;G11;I11;K11;M11;O11;Q11})"),"#N/A")</f>
        <v>#N/A</v>
      </c>
      <c r="T11" s="7"/>
      <c r="U11" s="7"/>
      <c r="V11" s="7"/>
      <c r="W11" s="7"/>
      <c r="X11" s="7"/>
      <c r="Y11" s="7"/>
      <c r="Z11" s="7"/>
      <c r="AA11" s="7"/>
    </row>
    <row r="12" spans="1:27" ht="14.5" x14ac:dyDescent="0.6">
      <c r="A12" s="42">
        <f t="shared" si="0"/>
        <v>8</v>
      </c>
      <c r="G12" s="43"/>
      <c r="H12" s="43"/>
      <c r="I12" s="43"/>
      <c r="J12" s="43"/>
      <c r="K12" s="43"/>
      <c r="L12" s="43"/>
      <c r="M12" s="43"/>
      <c r="N12" s="43"/>
      <c r="O12" s="43"/>
      <c r="P12" s="43"/>
      <c r="Q12" s="43"/>
      <c r="R12" s="48" t="str">
        <f ca="1">IFERROR(__xludf.DUMMYFUNCTION("SPARKLINE({D12,F12,H12,J12,L12,N12,P12})"),"#N/A")</f>
        <v>#N/A</v>
      </c>
      <c r="S12" s="45" t="str">
        <f ca="1">IFERROR(__xludf.DUMMYFUNCTION("SPARKLINE({E12;G12;I12;K12;M12;O12;Q12})"),"#N/A")</f>
        <v>#N/A</v>
      </c>
      <c r="T12" s="7"/>
      <c r="U12" s="7"/>
      <c r="V12" s="7"/>
      <c r="W12" s="7"/>
      <c r="X12" s="7"/>
      <c r="Y12" s="7"/>
      <c r="Z12" s="7"/>
      <c r="AA12" s="7"/>
    </row>
    <row r="13" spans="1:27" ht="14.5" x14ac:dyDescent="0.6">
      <c r="A13" s="42">
        <f t="shared" si="0"/>
        <v>9</v>
      </c>
      <c r="G13" s="43"/>
      <c r="H13" s="43"/>
      <c r="I13" s="43"/>
      <c r="J13" s="43"/>
      <c r="K13" s="43"/>
      <c r="L13" s="43"/>
      <c r="M13" s="43"/>
      <c r="N13" s="43"/>
      <c r="O13" s="43"/>
      <c r="P13" s="43"/>
      <c r="Q13" s="43"/>
      <c r="R13" s="48" t="str">
        <f ca="1">IFERROR(__xludf.DUMMYFUNCTION("SPARKLINE({D13,F13,H13,J13,L13,N13,P13})"),"#N/A")</f>
        <v>#N/A</v>
      </c>
      <c r="S13" s="45" t="str">
        <f ca="1">IFERROR(__xludf.DUMMYFUNCTION("SPARKLINE({E13;G13;I13;K13;M13;O13;Q13})"),"#N/A")</f>
        <v>#N/A</v>
      </c>
      <c r="T13" s="7"/>
      <c r="U13" s="7"/>
      <c r="V13" s="7"/>
      <c r="W13" s="7"/>
      <c r="X13" s="7"/>
      <c r="Y13" s="7"/>
      <c r="Z13" s="7"/>
      <c r="AA13" s="7"/>
    </row>
    <row r="14" spans="1:27" ht="14.5" x14ac:dyDescent="0.6">
      <c r="A14" s="42">
        <f t="shared" si="0"/>
        <v>10</v>
      </c>
      <c r="B14" s="44"/>
      <c r="C14" s="43"/>
      <c r="D14" s="43"/>
      <c r="E14" s="43"/>
      <c r="F14" s="43"/>
      <c r="G14" s="43"/>
      <c r="H14" s="43"/>
      <c r="I14" s="43"/>
      <c r="J14" s="43"/>
      <c r="K14" s="43"/>
      <c r="L14" s="43"/>
      <c r="M14" s="43"/>
      <c r="N14" s="43"/>
      <c r="O14" s="43"/>
      <c r="P14" s="43"/>
      <c r="Q14" s="43"/>
      <c r="R14" s="48" t="str">
        <f ca="1">IFERROR(__xludf.DUMMYFUNCTION("SPARKLINE({D14,F14,H14,J14,L14,N14,P14})"),"#N/A")</f>
        <v>#N/A</v>
      </c>
      <c r="S14" s="45" t="str">
        <f ca="1">IFERROR(__xludf.DUMMYFUNCTION("SPARKLINE({E14;G14;I14;K14;M14;O14;Q14})"),"#N/A")</f>
        <v>#N/A</v>
      </c>
      <c r="T14" s="7"/>
      <c r="U14" s="7"/>
      <c r="V14" s="7"/>
      <c r="W14" s="7"/>
      <c r="X14" s="7"/>
      <c r="Y14" s="7"/>
      <c r="Z14" s="7"/>
      <c r="AA14" s="7"/>
    </row>
    <row r="15" spans="1:27" ht="14.5" x14ac:dyDescent="0.6">
      <c r="A15" s="42">
        <f t="shared" si="0"/>
        <v>11</v>
      </c>
      <c r="B15" s="44"/>
      <c r="C15" s="43"/>
      <c r="D15" s="43"/>
      <c r="E15" s="43"/>
      <c r="F15" s="43"/>
      <c r="G15" s="43"/>
      <c r="H15" s="43"/>
      <c r="I15" s="43"/>
      <c r="J15" s="43"/>
      <c r="K15" s="43"/>
      <c r="L15" s="43"/>
      <c r="M15" s="43"/>
      <c r="N15" s="43"/>
      <c r="O15" s="43"/>
      <c r="P15" s="43"/>
      <c r="Q15" s="43"/>
      <c r="R15" s="48" t="str">
        <f ca="1">IFERROR(__xludf.DUMMYFUNCTION("SPARKLINE({D15,F15,H15,J15,L15,N15,P15})"),"#N/A")</f>
        <v>#N/A</v>
      </c>
      <c r="S15" s="45" t="str">
        <f ca="1">IFERROR(__xludf.DUMMYFUNCTION("SPARKLINE({E15;G15;I15;K15;M15;O15;Q15})"),"#N/A")</f>
        <v>#N/A</v>
      </c>
      <c r="T15" s="7"/>
      <c r="U15" s="7"/>
      <c r="V15" s="7"/>
      <c r="W15" s="7"/>
      <c r="X15" s="7"/>
      <c r="Y15" s="7"/>
      <c r="Z15" s="7"/>
      <c r="AA15" s="7"/>
    </row>
    <row r="16" spans="1:27" ht="14.5" x14ac:dyDescent="0.6">
      <c r="A16" s="42">
        <f t="shared" si="0"/>
        <v>12</v>
      </c>
      <c r="B16" s="44"/>
      <c r="C16" s="43"/>
      <c r="D16" s="43"/>
      <c r="E16" s="43"/>
      <c r="F16" s="43"/>
      <c r="G16" s="43"/>
      <c r="H16" s="43"/>
      <c r="I16" s="43"/>
      <c r="J16" s="43"/>
      <c r="K16" s="43"/>
      <c r="L16" s="43"/>
      <c r="M16" s="43"/>
      <c r="N16" s="43"/>
      <c r="O16" s="43"/>
      <c r="P16" s="43"/>
      <c r="Q16" s="43"/>
      <c r="R16" s="48" t="str">
        <f ca="1">IFERROR(__xludf.DUMMYFUNCTION("SPARKLINE({D16,F16,H16,J16,L16,N16,P16})"),"#N/A")</f>
        <v>#N/A</v>
      </c>
      <c r="S16" s="45" t="str">
        <f ca="1">IFERROR(__xludf.DUMMYFUNCTION("SPARKLINE({E16;G16;I16;K16;M16;O16;Q16})"),"#N/A")</f>
        <v>#N/A</v>
      </c>
      <c r="T16" s="7"/>
      <c r="U16" s="7"/>
      <c r="V16" s="7"/>
      <c r="W16" s="7"/>
      <c r="X16" s="7"/>
      <c r="Y16" s="7"/>
      <c r="Z16" s="7"/>
      <c r="AA16" s="7"/>
    </row>
    <row r="17" spans="1:27" ht="14.5" x14ac:dyDescent="0.6">
      <c r="A17" s="42">
        <f t="shared" si="0"/>
        <v>13</v>
      </c>
      <c r="B17" s="44"/>
      <c r="C17" s="43"/>
      <c r="D17" s="43"/>
      <c r="E17" s="43"/>
      <c r="F17" s="43"/>
      <c r="G17" s="43"/>
      <c r="H17" s="43"/>
      <c r="I17" s="43"/>
      <c r="J17" s="43"/>
      <c r="K17" s="43"/>
      <c r="L17" s="43"/>
      <c r="M17" s="43"/>
      <c r="N17" s="43"/>
      <c r="O17" s="43"/>
      <c r="P17" s="43"/>
      <c r="Q17" s="43"/>
      <c r="R17" s="48" t="str">
        <f ca="1">IFERROR(__xludf.DUMMYFUNCTION("SPARKLINE({D17,F17,H17,J17,L17,N17,P17})"),"#N/A")</f>
        <v>#N/A</v>
      </c>
      <c r="S17" s="45" t="str">
        <f ca="1">IFERROR(__xludf.DUMMYFUNCTION("SPARKLINE({E17;G17;I17;K17;M17;O17;Q17})"),"#N/A")</f>
        <v>#N/A</v>
      </c>
      <c r="T17" s="7"/>
      <c r="U17" s="7"/>
      <c r="V17" s="7"/>
      <c r="W17" s="7"/>
      <c r="X17" s="7"/>
      <c r="Y17" s="7"/>
      <c r="Z17" s="7"/>
      <c r="AA17" s="7"/>
    </row>
    <row r="18" spans="1:27" ht="14.5" x14ac:dyDescent="0.6">
      <c r="A18" s="42">
        <f t="shared" si="0"/>
        <v>14</v>
      </c>
      <c r="B18" s="44"/>
      <c r="C18" s="43"/>
      <c r="D18" s="43"/>
      <c r="E18" s="43"/>
      <c r="F18" s="43"/>
      <c r="G18" s="43"/>
      <c r="H18" s="43"/>
      <c r="I18" s="43"/>
      <c r="J18" s="43"/>
      <c r="K18" s="43"/>
      <c r="L18" s="43"/>
      <c r="M18" s="43"/>
      <c r="N18" s="43"/>
      <c r="O18" s="43"/>
      <c r="P18" s="43"/>
      <c r="Q18" s="43"/>
      <c r="R18" s="48" t="str">
        <f ca="1">IFERROR(__xludf.DUMMYFUNCTION("SPARKLINE({D18,F18,H18,J18,L18,N18,P18})"),"#N/A")</f>
        <v>#N/A</v>
      </c>
      <c r="S18" s="45" t="str">
        <f ca="1">IFERROR(__xludf.DUMMYFUNCTION("SPARKLINE({E18;G18;I18;K18;M18;O18;Q18})"),"#N/A")</f>
        <v>#N/A</v>
      </c>
      <c r="T18" s="7"/>
      <c r="U18" s="7"/>
      <c r="V18" s="7"/>
      <c r="W18" s="7"/>
      <c r="X18" s="7"/>
      <c r="Y18" s="7"/>
      <c r="Z18" s="7"/>
      <c r="AA18" s="7"/>
    </row>
    <row r="19" spans="1:27" ht="14.5" x14ac:dyDescent="0.6">
      <c r="A19" s="42">
        <f t="shared" si="0"/>
        <v>15</v>
      </c>
      <c r="B19" s="44"/>
      <c r="C19" s="43"/>
      <c r="D19" s="43"/>
      <c r="E19" s="43"/>
      <c r="F19" s="43"/>
      <c r="G19" s="43"/>
      <c r="H19" s="43"/>
      <c r="I19" s="43"/>
      <c r="J19" s="43"/>
      <c r="K19" s="43"/>
      <c r="L19" s="43"/>
      <c r="M19" s="43"/>
      <c r="N19" s="43"/>
      <c r="O19" s="43"/>
      <c r="P19" s="43"/>
      <c r="Q19" s="43"/>
      <c r="R19" s="48" t="str">
        <f ca="1">IFERROR(__xludf.DUMMYFUNCTION("SPARKLINE({D19,F19,H19,J19,L19,N19,P19})"),"#N/A")</f>
        <v>#N/A</v>
      </c>
      <c r="S19" s="45" t="str">
        <f ca="1">IFERROR(__xludf.DUMMYFUNCTION("SPARKLINE({E19;G19;I19;K19;M19;O19;Q19})"),"#N/A")</f>
        <v>#N/A</v>
      </c>
      <c r="T19" s="7"/>
      <c r="U19" s="7"/>
      <c r="V19" s="7"/>
      <c r="W19" s="7"/>
      <c r="X19" s="7"/>
      <c r="Y19" s="7"/>
      <c r="Z19" s="7"/>
      <c r="AA19" s="7"/>
    </row>
    <row r="20" spans="1:27" ht="14.5" x14ac:dyDescent="0.6">
      <c r="A20" s="42">
        <f t="shared" si="0"/>
        <v>16</v>
      </c>
      <c r="B20" s="44"/>
      <c r="C20" s="43"/>
      <c r="D20" s="43"/>
      <c r="E20" s="43"/>
      <c r="F20" s="43"/>
      <c r="G20" s="43"/>
      <c r="H20" s="43"/>
      <c r="I20" s="43"/>
      <c r="J20" s="43"/>
      <c r="K20" s="43"/>
      <c r="L20" s="43"/>
      <c r="M20" s="43"/>
      <c r="N20" s="43"/>
      <c r="O20" s="43"/>
      <c r="P20" s="43"/>
      <c r="Q20" s="43"/>
      <c r="R20" s="48" t="str">
        <f ca="1">IFERROR(__xludf.DUMMYFUNCTION("SPARKLINE({D20,F20,H20,J20,L20,N20,P20})"),"#N/A")</f>
        <v>#N/A</v>
      </c>
      <c r="S20" s="45" t="str">
        <f ca="1">IFERROR(__xludf.DUMMYFUNCTION("SPARKLINE({E20;G20;I20;K20;M20;O20;Q20})"),"#N/A")</f>
        <v>#N/A</v>
      </c>
      <c r="T20" s="7"/>
      <c r="U20" s="7"/>
      <c r="V20" s="7"/>
      <c r="W20" s="7"/>
      <c r="X20" s="7"/>
      <c r="Y20" s="7"/>
      <c r="Z20" s="7"/>
      <c r="AA20" s="7"/>
    </row>
    <row r="21" spans="1:27" ht="14.5" x14ac:dyDescent="0.6">
      <c r="A21" s="42">
        <f t="shared" si="0"/>
        <v>17</v>
      </c>
      <c r="B21" s="44"/>
      <c r="C21" s="43"/>
      <c r="D21" s="43"/>
      <c r="E21" s="43"/>
      <c r="F21" s="43"/>
      <c r="G21" s="43"/>
      <c r="H21" s="43"/>
      <c r="I21" s="43"/>
      <c r="J21" s="43"/>
      <c r="K21" s="43"/>
      <c r="L21" s="43"/>
      <c r="M21" s="43"/>
      <c r="N21" s="43"/>
      <c r="O21" s="43"/>
      <c r="P21" s="43"/>
      <c r="Q21" s="43"/>
      <c r="R21" s="48" t="str">
        <f ca="1">IFERROR(__xludf.DUMMYFUNCTION("SPARKLINE({D21,F21,H21,J21,L21,N21,P21})"),"#N/A")</f>
        <v>#N/A</v>
      </c>
      <c r="S21" s="45" t="str">
        <f ca="1">IFERROR(__xludf.DUMMYFUNCTION("SPARKLINE({E21;G21;I21;K21;M21;O21;Q21})"),"#N/A")</f>
        <v>#N/A</v>
      </c>
      <c r="T21" s="7"/>
      <c r="U21" s="7"/>
      <c r="V21" s="7"/>
      <c r="W21" s="7"/>
      <c r="X21" s="7"/>
      <c r="Y21" s="7"/>
      <c r="Z21" s="7"/>
      <c r="AA21" s="7"/>
    </row>
    <row r="22" spans="1:27" ht="14.5" x14ac:dyDescent="0.6">
      <c r="A22" s="42">
        <f t="shared" si="0"/>
        <v>18</v>
      </c>
      <c r="B22" s="44"/>
      <c r="C22" s="43"/>
      <c r="D22" s="43"/>
      <c r="E22" s="43"/>
      <c r="F22" s="43"/>
      <c r="G22" s="43"/>
      <c r="H22" s="43"/>
      <c r="I22" s="43"/>
      <c r="J22" s="43"/>
      <c r="K22" s="43"/>
      <c r="L22" s="43"/>
      <c r="M22" s="43"/>
      <c r="N22" s="43"/>
      <c r="O22" s="43"/>
      <c r="P22" s="43"/>
      <c r="Q22" s="43"/>
      <c r="R22" s="48" t="str">
        <f ca="1">IFERROR(__xludf.DUMMYFUNCTION("SPARKLINE({D22,F22,H22,J22,L22,N22,P22})"),"#N/A")</f>
        <v>#N/A</v>
      </c>
      <c r="S22" s="45" t="str">
        <f ca="1">IFERROR(__xludf.DUMMYFUNCTION("SPARKLINE({E22;G22;I22;K22;M22;O22;Q22})"),"#N/A")</f>
        <v>#N/A</v>
      </c>
      <c r="T22" s="7"/>
      <c r="U22" s="7"/>
      <c r="V22" s="7"/>
      <c r="W22" s="7"/>
      <c r="X22" s="7"/>
      <c r="Y22" s="7"/>
      <c r="Z22" s="7"/>
      <c r="AA22" s="7"/>
    </row>
    <row r="23" spans="1:27" ht="14.5" x14ac:dyDescent="0.6">
      <c r="A23" s="42">
        <f t="shared" si="0"/>
        <v>19</v>
      </c>
      <c r="B23" s="44"/>
      <c r="C23" s="43"/>
      <c r="D23" s="43"/>
      <c r="E23" s="43"/>
      <c r="F23" s="43"/>
      <c r="G23" s="43"/>
      <c r="H23" s="43"/>
      <c r="I23" s="43"/>
      <c r="J23" s="43"/>
      <c r="K23" s="43"/>
      <c r="L23" s="43"/>
      <c r="M23" s="43"/>
      <c r="N23" s="43"/>
      <c r="O23" s="43"/>
      <c r="P23" s="43"/>
      <c r="Q23" s="43"/>
      <c r="R23" s="48" t="str">
        <f ca="1">IFERROR(__xludf.DUMMYFUNCTION("SPARKLINE({D23,F23,H23,J23,L23,N23,P23})"),"#N/A")</f>
        <v>#N/A</v>
      </c>
      <c r="S23" s="45" t="str">
        <f ca="1">IFERROR(__xludf.DUMMYFUNCTION("SPARKLINE({E23;G23;I23;K23;M23;O23;Q23})"),"#N/A")</f>
        <v>#N/A</v>
      </c>
      <c r="T23" s="7"/>
      <c r="U23" s="7"/>
      <c r="V23" s="7"/>
      <c r="W23" s="7"/>
      <c r="X23" s="7"/>
      <c r="Y23" s="7"/>
      <c r="Z23" s="7"/>
      <c r="AA23" s="7"/>
    </row>
    <row r="24" spans="1:27" ht="14.5" x14ac:dyDescent="0.6">
      <c r="A24" s="42">
        <f t="shared" si="0"/>
        <v>20</v>
      </c>
      <c r="B24" s="44"/>
      <c r="C24" s="43"/>
      <c r="D24" s="43"/>
      <c r="E24" s="43"/>
      <c r="F24" s="43"/>
      <c r="G24" s="43"/>
      <c r="H24" s="43"/>
      <c r="I24" s="43"/>
      <c r="J24" s="43"/>
      <c r="K24" s="43"/>
      <c r="L24" s="43"/>
      <c r="M24" s="43"/>
      <c r="N24" s="43"/>
      <c r="O24" s="43"/>
      <c r="P24" s="43"/>
      <c r="Q24" s="43"/>
      <c r="R24" s="48" t="str">
        <f ca="1">IFERROR(__xludf.DUMMYFUNCTION("SPARKLINE({D24,F24,H24,J24,L24,N24,P24})"),"#N/A")</f>
        <v>#N/A</v>
      </c>
      <c r="S24" s="45" t="str">
        <f ca="1">IFERROR(__xludf.DUMMYFUNCTION("SPARKLINE({E24;G24;I24;K24;M24;O24;Q24})"),"#N/A")</f>
        <v>#N/A</v>
      </c>
      <c r="T24" s="7"/>
      <c r="U24" s="7"/>
      <c r="V24" s="7"/>
      <c r="W24" s="7"/>
      <c r="X24" s="7"/>
      <c r="Y24" s="7"/>
      <c r="Z24" s="7"/>
      <c r="AA24" s="7"/>
    </row>
    <row r="25" spans="1:27" ht="14.5" x14ac:dyDescent="0.6">
      <c r="A25" s="42">
        <f t="shared" si="0"/>
        <v>21</v>
      </c>
      <c r="B25" s="44"/>
      <c r="C25" s="43"/>
      <c r="D25" s="43"/>
      <c r="E25" s="43"/>
      <c r="F25" s="43"/>
      <c r="G25" s="43"/>
      <c r="H25" s="43"/>
      <c r="I25" s="43"/>
      <c r="J25" s="43"/>
      <c r="K25" s="43"/>
      <c r="L25" s="43"/>
      <c r="M25" s="43"/>
      <c r="N25" s="43"/>
      <c r="O25" s="43"/>
      <c r="P25" s="43"/>
      <c r="Q25" s="43"/>
      <c r="R25" s="48" t="str">
        <f ca="1">IFERROR(__xludf.DUMMYFUNCTION("SPARKLINE({D25,F25,H25,J25,L25,N25,P25})"),"#N/A")</f>
        <v>#N/A</v>
      </c>
      <c r="S25" s="45" t="str">
        <f ca="1">IFERROR(__xludf.DUMMYFUNCTION("SPARKLINE({E25;G25;I25;K25;M25;O25;Q25})"),"#N/A")</f>
        <v>#N/A</v>
      </c>
      <c r="T25" s="7"/>
      <c r="U25" s="7"/>
      <c r="V25" s="7"/>
      <c r="W25" s="7"/>
      <c r="X25" s="7"/>
      <c r="Y25" s="7"/>
      <c r="Z25" s="7"/>
      <c r="AA25" s="7"/>
    </row>
    <row r="26" spans="1:27" ht="14.5" x14ac:dyDescent="0.6">
      <c r="A26" s="42">
        <f t="shared" si="0"/>
        <v>22</v>
      </c>
      <c r="B26" s="44"/>
      <c r="C26" s="43"/>
      <c r="D26" s="43"/>
      <c r="E26" s="43"/>
      <c r="F26" s="43"/>
      <c r="G26" s="43"/>
      <c r="H26" s="43"/>
      <c r="I26" s="43"/>
      <c r="J26" s="43"/>
      <c r="K26" s="43"/>
      <c r="L26" s="43"/>
      <c r="M26" s="43"/>
      <c r="N26" s="43"/>
      <c r="O26" s="43"/>
      <c r="P26" s="43"/>
      <c r="Q26" s="43"/>
      <c r="R26" s="48" t="str">
        <f ca="1">IFERROR(__xludf.DUMMYFUNCTION("SPARKLINE({D26,F26,H26,J26,L26,N26,P26})"),"#N/A")</f>
        <v>#N/A</v>
      </c>
      <c r="S26" s="45" t="str">
        <f ca="1">IFERROR(__xludf.DUMMYFUNCTION("SPARKLINE({E26;G26;I26;K26;M26;O26;Q26})"),"#N/A")</f>
        <v>#N/A</v>
      </c>
      <c r="T26" s="7"/>
      <c r="U26" s="7"/>
      <c r="V26" s="7"/>
      <c r="W26" s="7"/>
      <c r="X26" s="7"/>
      <c r="Y26" s="7"/>
      <c r="Z26" s="7"/>
      <c r="AA26" s="7"/>
    </row>
    <row r="27" spans="1:27" ht="14.5" x14ac:dyDescent="0.6">
      <c r="A27" s="42">
        <f t="shared" si="0"/>
        <v>23</v>
      </c>
      <c r="B27" s="44"/>
      <c r="C27" s="43"/>
      <c r="D27" s="43"/>
      <c r="E27" s="43"/>
      <c r="F27" s="43"/>
      <c r="G27" s="43"/>
      <c r="H27" s="43"/>
      <c r="I27" s="43"/>
      <c r="J27" s="43"/>
      <c r="K27" s="43"/>
      <c r="L27" s="43"/>
      <c r="M27" s="43"/>
      <c r="N27" s="43"/>
      <c r="O27" s="43"/>
      <c r="P27" s="43"/>
      <c r="Q27" s="43"/>
      <c r="R27" s="48" t="str">
        <f ca="1">IFERROR(__xludf.DUMMYFUNCTION("SPARKLINE({D27,F27,H27,J27,L27,N27,P27})"),"#N/A")</f>
        <v>#N/A</v>
      </c>
      <c r="S27" s="45" t="str">
        <f ca="1">IFERROR(__xludf.DUMMYFUNCTION("SPARKLINE({E27;G27;I27;K27;M27;O27;Q27})"),"#N/A")</f>
        <v>#N/A</v>
      </c>
      <c r="T27" s="7"/>
      <c r="U27" s="7"/>
      <c r="V27" s="7"/>
      <c r="W27" s="7"/>
      <c r="X27" s="7"/>
      <c r="Y27" s="7"/>
      <c r="Z27" s="7"/>
      <c r="AA27" s="7"/>
    </row>
    <row r="28" spans="1:27" ht="14.5" x14ac:dyDescent="0.6">
      <c r="A28" s="42">
        <f t="shared" si="0"/>
        <v>24</v>
      </c>
      <c r="B28" s="44"/>
      <c r="C28" s="43"/>
      <c r="D28" s="43"/>
      <c r="E28" s="43"/>
      <c r="F28" s="43"/>
      <c r="G28" s="43"/>
      <c r="H28" s="43"/>
      <c r="I28" s="43"/>
      <c r="J28" s="43"/>
      <c r="K28" s="43"/>
      <c r="L28" s="43"/>
      <c r="M28" s="43"/>
      <c r="N28" s="43"/>
      <c r="O28" s="43"/>
      <c r="P28" s="43"/>
      <c r="Q28" s="43"/>
      <c r="R28" s="48" t="str">
        <f ca="1">IFERROR(__xludf.DUMMYFUNCTION("SPARKLINE({D28,F28,H28,J28,L28,N28,P28})"),"#N/A")</f>
        <v>#N/A</v>
      </c>
      <c r="S28" s="45" t="str">
        <f ca="1">IFERROR(__xludf.DUMMYFUNCTION("SPARKLINE({E28;G28;I28;K28;M28;O28;Q28})"),"#N/A")</f>
        <v>#N/A</v>
      </c>
      <c r="T28" s="7"/>
      <c r="U28" s="7"/>
      <c r="V28" s="7"/>
      <c r="W28" s="7"/>
      <c r="X28" s="7"/>
      <c r="Y28" s="7"/>
      <c r="Z28" s="7"/>
      <c r="AA28" s="7"/>
    </row>
    <row r="29" spans="1:27" ht="14.5" x14ac:dyDescent="0.6">
      <c r="A29" s="42">
        <f t="shared" si="0"/>
        <v>25</v>
      </c>
      <c r="B29" s="44"/>
      <c r="C29" s="43"/>
      <c r="D29" s="43"/>
      <c r="E29" s="43"/>
      <c r="F29" s="43"/>
      <c r="G29" s="43"/>
      <c r="H29" s="43"/>
      <c r="I29" s="43"/>
      <c r="J29" s="43"/>
      <c r="K29" s="43"/>
      <c r="L29" s="43"/>
      <c r="M29" s="43"/>
      <c r="N29" s="43"/>
      <c r="O29" s="43"/>
      <c r="P29" s="43"/>
      <c r="Q29" s="43"/>
      <c r="R29" s="48" t="str">
        <f ca="1">IFERROR(__xludf.DUMMYFUNCTION("SPARKLINE({D29,F29,H29,J29,L29,N29,P29})"),"#N/A")</f>
        <v>#N/A</v>
      </c>
      <c r="S29" s="45" t="str">
        <f ca="1">IFERROR(__xludf.DUMMYFUNCTION("SPARKLINE({E29;G29;I29;K29;M29;O29;Q29})"),"#N/A")</f>
        <v>#N/A</v>
      </c>
      <c r="T29" s="7"/>
      <c r="U29" s="7"/>
      <c r="V29" s="7"/>
      <c r="W29" s="7"/>
      <c r="X29" s="7"/>
      <c r="Y29" s="7"/>
      <c r="Z29" s="7"/>
      <c r="AA29" s="7"/>
    </row>
    <row r="30" spans="1:27" ht="14.5" x14ac:dyDescent="0.6">
      <c r="A30" s="42">
        <f t="shared" si="0"/>
        <v>26</v>
      </c>
      <c r="B30" s="44"/>
      <c r="C30" s="43"/>
      <c r="D30" s="43"/>
      <c r="E30" s="43"/>
      <c r="F30" s="43"/>
      <c r="G30" s="43"/>
      <c r="H30" s="43"/>
      <c r="I30" s="43"/>
      <c r="J30" s="43"/>
      <c r="K30" s="43"/>
      <c r="L30" s="43"/>
      <c r="M30" s="43"/>
      <c r="N30" s="43"/>
      <c r="O30" s="43"/>
      <c r="P30" s="43"/>
      <c r="Q30" s="43"/>
      <c r="R30" s="48" t="str">
        <f ca="1">IFERROR(__xludf.DUMMYFUNCTION("SPARKLINE({D30,F30,H30,J30,L30,N30,P30})"),"#N/A")</f>
        <v>#N/A</v>
      </c>
      <c r="S30" s="45" t="str">
        <f ca="1">IFERROR(__xludf.DUMMYFUNCTION("SPARKLINE({E30;G30;I30;K30;M30;O30;Q30})"),"#N/A")</f>
        <v>#N/A</v>
      </c>
      <c r="T30" s="7"/>
      <c r="U30" s="7"/>
      <c r="V30" s="7"/>
      <c r="W30" s="7"/>
      <c r="X30" s="7"/>
      <c r="Y30" s="7"/>
      <c r="Z30" s="7"/>
      <c r="AA30" s="7"/>
    </row>
    <row r="31" spans="1:27" ht="14.5" x14ac:dyDescent="0.6">
      <c r="A31" s="42">
        <f t="shared" si="0"/>
        <v>27</v>
      </c>
      <c r="B31" s="44"/>
      <c r="C31" s="43"/>
      <c r="D31" s="43"/>
      <c r="E31" s="43"/>
      <c r="F31" s="43"/>
      <c r="G31" s="43"/>
      <c r="H31" s="43"/>
      <c r="I31" s="43"/>
      <c r="J31" s="43"/>
      <c r="K31" s="43"/>
      <c r="L31" s="43"/>
      <c r="M31" s="43"/>
      <c r="N31" s="43"/>
      <c r="O31" s="43"/>
      <c r="P31" s="43"/>
      <c r="Q31" s="43"/>
      <c r="R31" s="48" t="str">
        <f ca="1">IFERROR(__xludf.DUMMYFUNCTION("SPARKLINE({D31,F31,H31,J31,L31,N31,P31})"),"#N/A")</f>
        <v>#N/A</v>
      </c>
      <c r="S31" s="45" t="str">
        <f ca="1">IFERROR(__xludf.DUMMYFUNCTION("SPARKLINE({E31;G31;I31;K31;M31;O31;Q31})"),"#N/A")</f>
        <v>#N/A</v>
      </c>
      <c r="T31" s="7"/>
      <c r="U31" s="7"/>
      <c r="V31" s="7"/>
      <c r="W31" s="7"/>
      <c r="X31" s="7"/>
      <c r="Y31" s="7"/>
      <c r="Z31" s="7"/>
      <c r="AA31" s="7"/>
    </row>
    <row r="32" spans="1:27" ht="14.5" x14ac:dyDescent="0.6">
      <c r="A32" s="42">
        <f t="shared" si="0"/>
        <v>28</v>
      </c>
      <c r="B32" s="44"/>
      <c r="C32" s="43"/>
      <c r="D32" s="43"/>
      <c r="E32" s="43"/>
      <c r="F32" s="43"/>
      <c r="G32" s="43"/>
      <c r="H32" s="43"/>
      <c r="I32" s="43"/>
      <c r="J32" s="43"/>
      <c r="K32" s="43"/>
      <c r="L32" s="43"/>
      <c r="M32" s="43"/>
      <c r="N32" s="43"/>
      <c r="O32" s="43"/>
      <c r="P32" s="43"/>
      <c r="Q32" s="43"/>
      <c r="R32" s="48" t="str">
        <f ca="1">IFERROR(__xludf.DUMMYFUNCTION("SPARKLINE({D32,F32,H32,J32,L32,N32,P32})"),"#N/A")</f>
        <v>#N/A</v>
      </c>
      <c r="S32" s="45" t="str">
        <f ca="1">IFERROR(__xludf.DUMMYFUNCTION("SPARKLINE({E32;G32;I32;K32;M32;O32;Q32})"),"#N/A")</f>
        <v>#N/A</v>
      </c>
      <c r="T32" s="7"/>
      <c r="U32" s="7"/>
      <c r="V32" s="7"/>
      <c r="W32" s="7"/>
      <c r="X32" s="7"/>
      <c r="Y32" s="7"/>
      <c r="Z32" s="7"/>
      <c r="AA32" s="7"/>
    </row>
    <row r="33" spans="1:27" ht="14.5" x14ac:dyDescent="0.6">
      <c r="A33" s="42">
        <f t="shared" si="0"/>
        <v>29</v>
      </c>
      <c r="B33" s="44"/>
      <c r="C33" s="43"/>
      <c r="D33" s="43"/>
      <c r="E33" s="43"/>
      <c r="F33" s="43"/>
      <c r="G33" s="43"/>
      <c r="H33" s="43"/>
      <c r="I33" s="43"/>
      <c r="J33" s="43"/>
      <c r="K33" s="43"/>
      <c r="L33" s="43"/>
      <c r="M33" s="43"/>
      <c r="N33" s="43"/>
      <c r="O33" s="43"/>
      <c r="P33" s="43"/>
      <c r="Q33" s="43"/>
      <c r="R33" s="48" t="str">
        <f ca="1">IFERROR(__xludf.DUMMYFUNCTION("SPARKLINE({D33,F33,H33,J33,L33,N33,P33})"),"#N/A")</f>
        <v>#N/A</v>
      </c>
      <c r="S33" s="45" t="str">
        <f ca="1">IFERROR(__xludf.DUMMYFUNCTION("SPARKLINE({E33;G33;I33;K33;M33;O33;Q33})"),"#N/A")</f>
        <v>#N/A</v>
      </c>
      <c r="T33" s="7"/>
      <c r="U33" s="7"/>
      <c r="V33" s="7"/>
      <c r="W33" s="7"/>
      <c r="X33" s="7"/>
      <c r="Y33" s="7"/>
      <c r="Z33" s="7"/>
      <c r="AA33" s="7"/>
    </row>
    <row r="34" spans="1:27" ht="14.5" x14ac:dyDescent="0.6">
      <c r="A34" s="42">
        <f t="shared" si="0"/>
        <v>30</v>
      </c>
      <c r="B34" s="44"/>
      <c r="C34" s="43"/>
      <c r="D34" s="43"/>
      <c r="E34" s="43"/>
      <c r="F34" s="43"/>
      <c r="G34" s="43"/>
      <c r="H34" s="43"/>
      <c r="I34" s="43"/>
      <c r="J34" s="43"/>
      <c r="K34" s="43"/>
      <c r="L34" s="43"/>
      <c r="M34" s="43"/>
      <c r="N34" s="43"/>
      <c r="O34" s="43"/>
      <c r="P34" s="43"/>
      <c r="Q34" s="43"/>
      <c r="R34" s="48" t="str">
        <f ca="1">IFERROR(__xludf.DUMMYFUNCTION("SPARKLINE({D34,F34,H34,J34,L34,N34,P34})"),"#N/A")</f>
        <v>#N/A</v>
      </c>
      <c r="S34" s="45" t="str">
        <f ca="1">IFERROR(__xludf.DUMMYFUNCTION("SPARKLINE({E34;G34;I34;K34;M34;O34;Q34})"),"#N/A")</f>
        <v>#N/A</v>
      </c>
      <c r="T34" s="7"/>
      <c r="U34" s="7"/>
      <c r="V34" s="7"/>
      <c r="W34" s="7"/>
      <c r="X34" s="7"/>
      <c r="Y34" s="7"/>
      <c r="Z34" s="7"/>
      <c r="AA34" s="7"/>
    </row>
    <row r="35" spans="1:27" ht="14.5" x14ac:dyDescent="0.6">
      <c r="A35" s="42">
        <f t="shared" si="0"/>
        <v>31</v>
      </c>
      <c r="B35" s="44"/>
      <c r="C35" s="43"/>
      <c r="D35" s="43"/>
      <c r="E35" s="43"/>
      <c r="F35" s="43"/>
      <c r="G35" s="43"/>
      <c r="H35" s="43"/>
      <c r="I35" s="43"/>
      <c r="J35" s="43"/>
      <c r="K35" s="43"/>
      <c r="L35" s="43"/>
      <c r="M35" s="43"/>
      <c r="N35" s="43"/>
      <c r="O35" s="43"/>
      <c r="P35" s="43"/>
      <c r="Q35" s="43"/>
      <c r="R35" s="48" t="str">
        <f ca="1">IFERROR(__xludf.DUMMYFUNCTION("SPARKLINE({D35,F35,H35,J35,L35,N35,P35})"),"#N/A")</f>
        <v>#N/A</v>
      </c>
      <c r="S35" s="45" t="str">
        <f ca="1">IFERROR(__xludf.DUMMYFUNCTION("SPARKLINE({E35;G35;I35;K35;M35;O35;Q35})"),"#N/A")</f>
        <v>#N/A</v>
      </c>
      <c r="T35" s="7"/>
      <c r="U35" s="7"/>
      <c r="V35" s="7"/>
      <c r="W35" s="7"/>
      <c r="X35" s="7"/>
      <c r="Y35" s="7"/>
      <c r="Z35" s="7"/>
      <c r="AA35" s="7"/>
    </row>
    <row r="36" spans="1:27" ht="14.5" x14ac:dyDescent="0.6">
      <c r="A36" s="42">
        <f t="shared" si="0"/>
        <v>32</v>
      </c>
      <c r="B36" s="44"/>
      <c r="C36" s="43"/>
      <c r="D36" s="43"/>
      <c r="E36" s="43"/>
      <c r="F36" s="43"/>
      <c r="G36" s="43"/>
      <c r="H36" s="43"/>
      <c r="I36" s="43"/>
      <c r="J36" s="43"/>
      <c r="K36" s="43"/>
      <c r="L36" s="43"/>
      <c r="M36" s="43"/>
      <c r="N36" s="43"/>
      <c r="O36" s="43"/>
      <c r="P36" s="43"/>
      <c r="Q36" s="43"/>
      <c r="R36" s="48" t="str">
        <f ca="1">IFERROR(__xludf.DUMMYFUNCTION("SPARKLINE({D36,F36,H36,J36,L36,N36,P36})"),"#N/A")</f>
        <v>#N/A</v>
      </c>
      <c r="S36" s="45" t="str">
        <f ca="1">IFERROR(__xludf.DUMMYFUNCTION("SPARKLINE({E36;G36;I36;K36;M36;O36;Q36})"),"#N/A")</f>
        <v>#N/A</v>
      </c>
      <c r="T36" s="7"/>
      <c r="U36" s="7"/>
      <c r="V36" s="7"/>
      <c r="W36" s="7"/>
      <c r="X36" s="7"/>
      <c r="Y36" s="7"/>
      <c r="Z36" s="7"/>
      <c r="AA36" s="7"/>
    </row>
    <row r="37" spans="1:27" ht="14.5" x14ac:dyDescent="0.6">
      <c r="A37" s="42">
        <f t="shared" si="0"/>
        <v>33</v>
      </c>
      <c r="B37" s="44"/>
      <c r="C37" s="43"/>
      <c r="D37" s="43"/>
      <c r="E37" s="43"/>
      <c r="F37" s="43"/>
      <c r="G37" s="43"/>
      <c r="H37" s="43"/>
      <c r="I37" s="43"/>
      <c r="J37" s="43"/>
      <c r="K37" s="43"/>
      <c r="L37" s="43"/>
      <c r="M37" s="43"/>
      <c r="N37" s="43"/>
      <c r="O37" s="43"/>
      <c r="P37" s="43"/>
      <c r="Q37" s="43"/>
      <c r="R37" s="48" t="str">
        <f ca="1">IFERROR(__xludf.DUMMYFUNCTION("SPARKLINE({D37,F37,H37,J37,L37,N37,P37})"),"#N/A")</f>
        <v>#N/A</v>
      </c>
      <c r="S37" s="45" t="str">
        <f ca="1">IFERROR(__xludf.DUMMYFUNCTION("SPARKLINE({E37;G37;I37;K37;M37;O37;Q37})"),"#N/A")</f>
        <v>#N/A</v>
      </c>
      <c r="T37" s="7"/>
      <c r="U37" s="7"/>
      <c r="V37" s="7"/>
      <c r="W37" s="7"/>
      <c r="X37" s="7"/>
      <c r="Y37" s="7"/>
      <c r="Z37" s="7"/>
      <c r="AA37" s="7"/>
    </row>
    <row r="38" spans="1:27" ht="14.5" x14ac:dyDescent="0.6">
      <c r="A38" s="42">
        <f t="shared" si="0"/>
        <v>34</v>
      </c>
      <c r="B38" s="44"/>
      <c r="C38" s="43"/>
      <c r="D38" s="43"/>
      <c r="E38" s="43"/>
      <c r="F38" s="43"/>
      <c r="G38" s="43"/>
      <c r="H38" s="43"/>
      <c r="I38" s="43"/>
      <c r="J38" s="43"/>
      <c r="K38" s="43"/>
      <c r="L38" s="43"/>
      <c r="M38" s="43"/>
      <c r="N38" s="43"/>
      <c r="O38" s="43"/>
      <c r="P38" s="43"/>
      <c r="Q38" s="43"/>
      <c r="R38" s="48" t="str">
        <f ca="1">IFERROR(__xludf.DUMMYFUNCTION("SPARKLINE({D38,F38,H38,J38,L38,N38,P38})"),"#N/A")</f>
        <v>#N/A</v>
      </c>
      <c r="S38" s="45" t="str">
        <f ca="1">IFERROR(__xludf.DUMMYFUNCTION("SPARKLINE({E38;G38;I38;K38;M38;O38;Q38})"),"#N/A")</f>
        <v>#N/A</v>
      </c>
      <c r="T38" s="7"/>
      <c r="U38" s="7"/>
      <c r="V38" s="7"/>
      <c r="W38" s="7"/>
      <c r="X38" s="7"/>
      <c r="Y38" s="7"/>
      <c r="Z38" s="7"/>
      <c r="AA38" s="7"/>
    </row>
    <row r="39" spans="1:27" ht="14.5" x14ac:dyDescent="0.6">
      <c r="A39" s="42">
        <f t="shared" si="0"/>
        <v>35</v>
      </c>
      <c r="B39" s="44"/>
      <c r="C39" s="43"/>
      <c r="D39" s="43"/>
      <c r="E39" s="43"/>
      <c r="F39" s="43"/>
      <c r="G39" s="43"/>
      <c r="H39" s="43"/>
      <c r="I39" s="43"/>
      <c r="J39" s="43"/>
      <c r="K39" s="43"/>
      <c r="L39" s="43"/>
      <c r="M39" s="43"/>
      <c r="N39" s="43"/>
      <c r="O39" s="43"/>
      <c r="P39" s="43"/>
      <c r="Q39" s="43"/>
      <c r="R39" s="48" t="str">
        <f ca="1">IFERROR(__xludf.DUMMYFUNCTION("SPARKLINE({D39,F39,H39,J39,L39,N39,P39})"),"#N/A")</f>
        <v>#N/A</v>
      </c>
      <c r="S39" s="45" t="str">
        <f ca="1">IFERROR(__xludf.DUMMYFUNCTION("SPARKLINE({E39;G39;I39;K39;M39;O39;Q39})"),"#N/A")</f>
        <v>#N/A</v>
      </c>
      <c r="T39" s="7"/>
      <c r="U39" s="7"/>
      <c r="V39" s="7"/>
      <c r="W39" s="7"/>
      <c r="X39" s="7"/>
      <c r="Y39" s="7"/>
      <c r="Z39" s="7"/>
      <c r="AA39" s="7"/>
    </row>
    <row r="40" spans="1:27" ht="14.5" x14ac:dyDescent="0.6">
      <c r="A40" s="42">
        <f t="shared" si="0"/>
        <v>36</v>
      </c>
      <c r="B40" s="44"/>
      <c r="C40" s="43"/>
      <c r="D40" s="43"/>
      <c r="E40" s="43"/>
      <c r="F40" s="43"/>
      <c r="G40" s="43"/>
      <c r="H40" s="43"/>
      <c r="I40" s="43"/>
      <c r="J40" s="43"/>
      <c r="K40" s="43"/>
      <c r="L40" s="43"/>
      <c r="M40" s="43"/>
      <c r="N40" s="43"/>
      <c r="O40" s="43"/>
      <c r="P40" s="43"/>
      <c r="Q40" s="43"/>
      <c r="R40" s="48" t="str">
        <f ca="1">IFERROR(__xludf.DUMMYFUNCTION("SPARKLINE({D40,F40,H40,J40,L40,N40,P40})"),"#N/A")</f>
        <v>#N/A</v>
      </c>
      <c r="S40" s="45" t="str">
        <f ca="1">IFERROR(__xludf.DUMMYFUNCTION("SPARKLINE({E40;G40;I40;K40;M40;O40;Q40})"),"#N/A")</f>
        <v>#N/A</v>
      </c>
      <c r="T40" s="7"/>
      <c r="U40" s="7"/>
      <c r="V40" s="7"/>
      <c r="W40" s="7"/>
      <c r="X40" s="7"/>
      <c r="Y40" s="7"/>
      <c r="Z40" s="7"/>
      <c r="AA40" s="7"/>
    </row>
    <row r="41" spans="1:27" ht="14.5" x14ac:dyDescent="0.6">
      <c r="A41" s="42">
        <f t="shared" si="0"/>
        <v>37</v>
      </c>
      <c r="B41" s="44"/>
      <c r="C41" s="43"/>
      <c r="D41" s="43"/>
      <c r="E41" s="43"/>
      <c r="F41" s="43"/>
      <c r="G41" s="43"/>
      <c r="H41" s="43"/>
      <c r="I41" s="43"/>
      <c r="J41" s="43"/>
      <c r="K41" s="43"/>
      <c r="L41" s="43"/>
      <c r="M41" s="43"/>
      <c r="N41" s="43"/>
      <c r="O41" s="43"/>
      <c r="P41" s="43"/>
      <c r="Q41" s="43"/>
      <c r="R41" s="48" t="str">
        <f ca="1">IFERROR(__xludf.DUMMYFUNCTION("SPARKLINE({D41,F41,H41,J41,L41,N41,P41})"),"#N/A")</f>
        <v>#N/A</v>
      </c>
      <c r="S41" s="45" t="str">
        <f ca="1">IFERROR(__xludf.DUMMYFUNCTION("SPARKLINE({E41;G41;I41;K41;M41;O41;Q41})"),"#N/A")</f>
        <v>#N/A</v>
      </c>
      <c r="T41" s="7"/>
      <c r="U41" s="7"/>
      <c r="V41" s="7"/>
      <c r="W41" s="7"/>
      <c r="X41" s="7"/>
      <c r="Y41" s="7"/>
      <c r="Z41" s="7"/>
      <c r="AA41" s="7"/>
    </row>
    <row r="42" spans="1:27" ht="14.5" x14ac:dyDescent="0.6">
      <c r="A42" s="42">
        <f t="shared" si="0"/>
        <v>38</v>
      </c>
      <c r="B42" s="44"/>
      <c r="C42" s="43"/>
      <c r="D42" s="43"/>
      <c r="E42" s="43"/>
      <c r="F42" s="43"/>
      <c r="G42" s="43"/>
      <c r="H42" s="43"/>
      <c r="I42" s="43"/>
      <c r="J42" s="43"/>
      <c r="K42" s="43"/>
      <c r="L42" s="43"/>
      <c r="M42" s="43"/>
      <c r="N42" s="43"/>
      <c r="O42" s="43"/>
      <c r="P42" s="43"/>
      <c r="Q42" s="43"/>
      <c r="R42" s="48" t="str">
        <f ca="1">IFERROR(__xludf.DUMMYFUNCTION("SPARKLINE({D42,F42,H42,J42,L42,N42,P42})"),"#N/A")</f>
        <v>#N/A</v>
      </c>
      <c r="S42" s="45" t="str">
        <f ca="1">IFERROR(__xludf.DUMMYFUNCTION("SPARKLINE({E42;G42;I42;K42;M42;O42;Q42})"),"#N/A")</f>
        <v>#N/A</v>
      </c>
      <c r="T42" s="7"/>
      <c r="U42" s="7"/>
      <c r="V42" s="7"/>
      <c r="W42" s="7"/>
      <c r="X42" s="7"/>
      <c r="Y42" s="7"/>
      <c r="Z42" s="7"/>
      <c r="AA42" s="7"/>
    </row>
    <row r="43" spans="1:27" ht="14.5" x14ac:dyDescent="0.6">
      <c r="A43" s="42">
        <f t="shared" si="0"/>
        <v>39</v>
      </c>
      <c r="B43" s="44"/>
      <c r="C43" s="43"/>
      <c r="D43" s="43"/>
      <c r="E43" s="43"/>
      <c r="F43" s="43"/>
      <c r="G43" s="43"/>
      <c r="H43" s="43"/>
      <c r="I43" s="43"/>
      <c r="J43" s="43"/>
      <c r="K43" s="43"/>
      <c r="L43" s="43"/>
      <c r="M43" s="43"/>
      <c r="N43" s="43"/>
      <c r="O43" s="43"/>
      <c r="P43" s="43"/>
      <c r="Q43" s="43"/>
      <c r="R43" s="48" t="str">
        <f ca="1">IFERROR(__xludf.DUMMYFUNCTION("SPARKLINE({D43,F43,H43,J43,L43,N43,P43})"),"#N/A")</f>
        <v>#N/A</v>
      </c>
      <c r="S43" s="45" t="str">
        <f ca="1">IFERROR(__xludf.DUMMYFUNCTION("SPARKLINE({E43;G43;I43;K43;M43;O43;Q43})"),"#N/A")</f>
        <v>#N/A</v>
      </c>
      <c r="T43" s="7"/>
      <c r="U43" s="7"/>
      <c r="V43" s="7"/>
      <c r="W43" s="7"/>
      <c r="X43" s="7"/>
      <c r="Y43" s="7"/>
      <c r="Z43" s="7"/>
      <c r="AA43" s="7"/>
    </row>
    <row r="44" spans="1:27" ht="14.5" x14ac:dyDescent="0.6">
      <c r="A44" s="42">
        <f t="shared" si="0"/>
        <v>40</v>
      </c>
      <c r="B44" s="44"/>
      <c r="C44" s="43"/>
      <c r="D44" s="43"/>
      <c r="E44" s="43"/>
      <c r="F44" s="43"/>
      <c r="G44" s="43"/>
      <c r="H44" s="43"/>
      <c r="I44" s="43"/>
      <c r="J44" s="43"/>
      <c r="K44" s="43"/>
      <c r="L44" s="43"/>
      <c r="M44" s="43"/>
      <c r="N44" s="43"/>
      <c r="O44" s="43"/>
      <c r="P44" s="43"/>
      <c r="Q44" s="43"/>
      <c r="R44" s="48" t="str">
        <f ca="1">IFERROR(__xludf.DUMMYFUNCTION("SPARKLINE({D44,F44,H44,J44,L44,N44,P44})"),"#N/A")</f>
        <v>#N/A</v>
      </c>
      <c r="S44" s="45" t="str">
        <f ca="1">IFERROR(__xludf.DUMMYFUNCTION("SPARKLINE({E44;G44;I44;K44;M44;O44;Q44})"),"#N/A")</f>
        <v>#N/A</v>
      </c>
      <c r="T44" s="7"/>
      <c r="U44" s="7"/>
      <c r="V44" s="7"/>
      <c r="W44" s="7"/>
      <c r="X44" s="7"/>
      <c r="Y44" s="7"/>
      <c r="Z44" s="7"/>
      <c r="AA44" s="7"/>
    </row>
    <row r="45" spans="1:27" ht="14.5" x14ac:dyDescent="0.6">
      <c r="A45" s="42">
        <f t="shared" si="0"/>
        <v>41</v>
      </c>
      <c r="B45" s="44"/>
      <c r="C45" s="43"/>
      <c r="D45" s="43"/>
      <c r="E45" s="43"/>
      <c r="F45" s="43"/>
      <c r="G45" s="43"/>
      <c r="H45" s="43"/>
      <c r="I45" s="43"/>
      <c r="J45" s="43"/>
      <c r="K45" s="43"/>
      <c r="L45" s="43"/>
      <c r="M45" s="43"/>
      <c r="N45" s="43"/>
      <c r="O45" s="43"/>
      <c r="P45" s="43"/>
      <c r="Q45" s="43"/>
      <c r="R45" s="48" t="str">
        <f ca="1">IFERROR(__xludf.DUMMYFUNCTION("SPARKLINE({D45,F45,H45,J45,L45,N45,P45})"),"#N/A")</f>
        <v>#N/A</v>
      </c>
      <c r="S45" s="45" t="str">
        <f ca="1">IFERROR(__xludf.DUMMYFUNCTION("SPARKLINE({E45;G45;I45;K45;M45;O45;Q45})"),"#N/A")</f>
        <v>#N/A</v>
      </c>
      <c r="T45" s="7"/>
      <c r="U45" s="7"/>
      <c r="V45" s="7"/>
      <c r="W45" s="7"/>
      <c r="X45" s="7"/>
      <c r="Y45" s="7"/>
      <c r="Z45" s="7"/>
      <c r="AA45" s="7"/>
    </row>
    <row r="46" spans="1:27" ht="14.5" x14ac:dyDescent="0.6">
      <c r="A46" s="42">
        <f t="shared" si="0"/>
        <v>42</v>
      </c>
      <c r="B46" s="44"/>
      <c r="C46" s="43"/>
      <c r="D46" s="43"/>
      <c r="E46" s="43"/>
      <c r="F46" s="43"/>
      <c r="G46" s="43"/>
      <c r="H46" s="43"/>
      <c r="I46" s="43"/>
      <c r="J46" s="43"/>
      <c r="K46" s="43"/>
      <c r="L46" s="43"/>
      <c r="M46" s="43"/>
      <c r="N46" s="43"/>
      <c r="O46" s="43"/>
      <c r="P46" s="43"/>
      <c r="Q46" s="43"/>
      <c r="R46" s="48" t="str">
        <f ca="1">IFERROR(__xludf.DUMMYFUNCTION("SPARKLINE({D46,F46,H46,J46,L46,N46,P46})"),"#N/A")</f>
        <v>#N/A</v>
      </c>
      <c r="S46" s="45" t="str">
        <f ca="1">IFERROR(__xludf.DUMMYFUNCTION("SPARKLINE({E46;G46;I46;K46;M46;O46;Q46})"),"#N/A")</f>
        <v>#N/A</v>
      </c>
      <c r="T46" s="7"/>
      <c r="U46" s="7"/>
      <c r="V46" s="7"/>
      <c r="W46" s="7"/>
      <c r="X46" s="7"/>
      <c r="Y46" s="7"/>
      <c r="Z46" s="7"/>
      <c r="AA46" s="7"/>
    </row>
    <row r="47" spans="1:27" ht="14.5" x14ac:dyDescent="0.6">
      <c r="A47" s="42">
        <f t="shared" si="0"/>
        <v>43</v>
      </c>
      <c r="B47" s="44"/>
      <c r="C47" s="43"/>
      <c r="D47" s="43"/>
      <c r="E47" s="43"/>
      <c r="F47" s="43"/>
      <c r="G47" s="43"/>
      <c r="H47" s="43"/>
      <c r="I47" s="43"/>
      <c r="J47" s="43"/>
      <c r="K47" s="43"/>
      <c r="L47" s="43"/>
      <c r="M47" s="43"/>
      <c r="N47" s="43"/>
      <c r="O47" s="43"/>
      <c r="P47" s="43"/>
      <c r="Q47" s="43"/>
      <c r="R47" s="48" t="str">
        <f ca="1">IFERROR(__xludf.DUMMYFUNCTION("SPARKLINE({D47,F47,H47,J47,L47,N47,P47})"),"#N/A")</f>
        <v>#N/A</v>
      </c>
      <c r="S47" s="45" t="str">
        <f ca="1">IFERROR(__xludf.DUMMYFUNCTION("SPARKLINE({E47;G47;I47;K47;M47;O47;Q47})"),"#N/A")</f>
        <v>#N/A</v>
      </c>
      <c r="T47" s="7"/>
      <c r="U47" s="7"/>
      <c r="V47" s="7"/>
      <c r="W47" s="7"/>
      <c r="X47" s="7"/>
      <c r="Y47" s="7"/>
      <c r="Z47" s="7"/>
      <c r="AA47" s="7"/>
    </row>
    <row r="48" spans="1:27" ht="14.5" x14ac:dyDescent="0.6">
      <c r="A48" s="42">
        <f t="shared" si="0"/>
        <v>44</v>
      </c>
      <c r="B48" s="44"/>
      <c r="C48" s="43"/>
      <c r="D48" s="43"/>
      <c r="E48" s="43"/>
      <c r="F48" s="43"/>
      <c r="G48" s="43"/>
      <c r="H48" s="43"/>
      <c r="I48" s="43"/>
      <c r="J48" s="43"/>
      <c r="K48" s="43"/>
      <c r="L48" s="43"/>
      <c r="M48" s="43"/>
      <c r="N48" s="43"/>
      <c r="O48" s="43"/>
      <c r="P48" s="43"/>
      <c r="Q48" s="43"/>
      <c r="R48" s="48" t="str">
        <f ca="1">IFERROR(__xludf.DUMMYFUNCTION("SPARKLINE({D48,F48,H48,J48,L48,N48,P48})"),"#N/A")</f>
        <v>#N/A</v>
      </c>
      <c r="S48" s="45" t="str">
        <f ca="1">IFERROR(__xludf.DUMMYFUNCTION("SPARKLINE({E48;G48;I48;K48;M48;O48;Q48})"),"#N/A")</f>
        <v>#N/A</v>
      </c>
      <c r="T48" s="7"/>
      <c r="U48" s="7"/>
      <c r="V48" s="7"/>
      <c r="W48" s="7"/>
      <c r="X48" s="7"/>
      <c r="Y48" s="7"/>
      <c r="Z48" s="7"/>
      <c r="AA48" s="7"/>
    </row>
    <row r="49" spans="1:27" ht="14.5" x14ac:dyDescent="0.6">
      <c r="A49" s="42">
        <f t="shared" si="0"/>
        <v>45</v>
      </c>
      <c r="B49" s="44"/>
      <c r="C49" s="43"/>
      <c r="D49" s="43"/>
      <c r="E49" s="43"/>
      <c r="F49" s="43"/>
      <c r="G49" s="43"/>
      <c r="H49" s="43"/>
      <c r="I49" s="43"/>
      <c r="J49" s="43"/>
      <c r="K49" s="43"/>
      <c r="L49" s="43"/>
      <c r="M49" s="43"/>
      <c r="N49" s="43"/>
      <c r="O49" s="43"/>
      <c r="P49" s="43"/>
      <c r="Q49" s="43"/>
      <c r="R49" s="48" t="str">
        <f ca="1">IFERROR(__xludf.DUMMYFUNCTION("SPARKLINE({D49,F49,H49,J49,L49,N49,P49})"),"#N/A")</f>
        <v>#N/A</v>
      </c>
      <c r="S49" s="45" t="str">
        <f ca="1">IFERROR(__xludf.DUMMYFUNCTION("SPARKLINE({E49;G49;I49;K49;M49;O49;Q49})"),"#N/A")</f>
        <v>#N/A</v>
      </c>
      <c r="T49" s="7"/>
      <c r="U49" s="7"/>
      <c r="V49" s="7"/>
      <c r="W49" s="7"/>
      <c r="X49" s="7"/>
      <c r="Y49" s="7"/>
      <c r="Z49" s="7"/>
      <c r="AA49" s="7"/>
    </row>
    <row r="50" spans="1:27" ht="14.5" x14ac:dyDescent="0.6">
      <c r="A50" s="42">
        <f t="shared" si="0"/>
        <v>46</v>
      </c>
      <c r="B50" s="44"/>
      <c r="C50" s="43"/>
      <c r="D50" s="43"/>
      <c r="E50" s="43"/>
      <c r="F50" s="43"/>
      <c r="G50" s="43"/>
      <c r="H50" s="43"/>
      <c r="I50" s="43"/>
      <c r="J50" s="43"/>
      <c r="K50" s="43"/>
      <c r="L50" s="43"/>
      <c r="M50" s="43"/>
      <c r="N50" s="43"/>
      <c r="O50" s="43"/>
      <c r="P50" s="43"/>
      <c r="Q50" s="43"/>
      <c r="R50" s="48" t="str">
        <f ca="1">IFERROR(__xludf.DUMMYFUNCTION("SPARKLINE({D50,F50,H50,J50,L50,N50,P50})"),"#N/A")</f>
        <v>#N/A</v>
      </c>
      <c r="S50" s="45" t="str">
        <f ca="1">IFERROR(__xludf.DUMMYFUNCTION("SPARKLINE({E50;G50;I50;K50;M50;O50;Q50})"),"#N/A")</f>
        <v>#N/A</v>
      </c>
      <c r="T50" s="7"/>
      <c r="U50" s="7"/>
      <c r="V50" s="7"/>
      <c r="W50" s="7"/>
      <c r="X50" s="7"/>
      <c r="Y50" s="7"/>
      <c r="Z50" s="7"/>
      <c r="AA50" s="7"/>
    </row>
    <row r="51" spans="1:27" ht="14.5" x14ac:dyDescent="0.6">
      <c r="A51" s="42">
        <f t="shared" si="0"/>
        <v>47</v>
      </c>
      <c r="B51" s="44"/>
      <c r="C51" s="43"/>
      <c r="D51" s="43"/>
      <c r="E51" s="43"/>
      <c r="F51" s="43"/>
      <c r="G51" s="43"/>
      <c r="H51" s="43"/>
      <c r="I51" s="43"/>
      <c r="J51" s="43"/>
      <c r="K51" s="43"/>
      <c r="L51" s="43"/>
      <c r="M51" s="43"/>
      <c r="N51" s="43"/>
      <c r="O51" s="43"/>
      <c r="P51" s="43"/>
      <c r="Q51" s="43"/>
      <c r="R51" s="48" t="str">
        <f ca="1">IFERROR(__xludf.DUMMYFUNCTION("SPARKLINE({D51,F51,H51,J51,L51,N51,P51})"),"#N/A")</f>
        <v>#N/A</v>
      </c>
      <c r="S51" s="45" t="str">
        <f ca="1">IFERROR(__xludf.DUMMYFUNCTION("SPARKLINE({E51;G51;I51;K51;M51;O51;Q51})"),"#N/A")</f>
        <v>#N/A</v>
      </c>
      <c r="T51" s="7"/>
      <c r="U51" s="7"/>
      <c r="V51" s="7"/>
      <c r="W51" s="7"/>
      <c r="X51" s="7"/>
      <c r="Y51" s="7"/>
      <c r="Z51" s="7"/>
      <c r="AA51" s="7"/>
    </row>
    <row r="52" spans="1:27" ht="14.5" x14ac:dyDescent="0.6">
      <c r="A52" s="42">
        <f t="shared" si="0"/>
        <v>48</v>
      </c>
      <c r="B52" s="44"/>
      <c r="C52" s="43"/>
      <c r="D52" s="43"/>
      <c r="E52" s="43"/>
      <c r="F52" s="43"/>
      <c r="G52" s="43"/>
      <c r="H52" s="43"/>
      <c r="I52" s="43"/>
      <c r="J52" s="43"/>
      <c r="K52" s="43"/>
      <c r="L52" s="43"/>
      <c r="M52" s="43"/>
      <c r="N52" s="43"/>
      <c r="O52" s="43"/>
      <c r="P52" s="43"/>
      <c r="Q52" s="43"/>
      <c r="R52" s="48" t="str">
        <f ca="1">IFERROR(__xludf.DUMMYFUNCTION("SPARKLINE({D52,F52,H52,J52,L52,N52,P52})"),"#N/A")</f>
        <v>#N/A</v>
      </c>
      <c r="S52" s="45" t="str">
        <f ca="1">IFERROR(__xludf.DUMMYFUNCTION("SPARKLINE({E52;G52;I52;K52;M52;O52;Q52})"),"#N/A")</f>
        <v>#N/A</v>
      </c>
      <c r="T52" s="7"/>
      <c r="U52" s="7"/>
      <c r="V52" s="7"/>
      <c r="W52" s="7"/>
      <c r="X52" s="7"/>
      <c r="Y52" s="7"/>
      <c r="Z52" s="7"/>
      <c r="AA52" s="7"/>
    </row>
    <row r="53" spans="1:27" ht="14.5" x14ac:dyDescent="0.6">
      <c r="A53" s="42">
        <f t="shared" si="0"/>
        <v>49</v>
      </c>
      <c r="B53" s="44"/>
      <c r="C53" s="43"/>
      <c r="D53" s="43"/>
      <c r="E53" s="43"/>
      <c r="F53" s="43"/>
      <c r="G53" s="43"/>
      <c r="H53" s="43"/>
      <c r="I53" s="43"/>
      <c r="J53" s="43"/>
      <c r="K53" s="43"/>
      <c r="L53" s="43"/>
      <c r="M53" s="43"/>
      <c r="N53" s="43"/>
      <c r="O53" s="43"/>
      <c r="P53" s="43"/>
      <c r="Q53" s="43"/>
      <c r="R53" s="48" t="str">
        <f ca="1">IFERROR(__xludf.DUMMYFUNCTION("SPARKLINE({D53,F53,H53,J53,L53,N53,P53})"),"#N/A")</f>
        <v>#N/A</v>
      </c>
      <c r="S53" s="45" t="str">
        <f ca="1">IFERROR(__xludf.DUMMYFUNCTION("SPARKLINE({E53;G53;I53;K53;M53;O53;Q53})"),"#N/A")</f>
        <v>#N/A</v>
      </c>
      <c r="T53" s="7"/>
      <c r="U53" s="7"/>
      <c r="V53" s="7"/>
      <c r="W53" s="7"/>
      <c r="X53" s="7"/>
      <c r="Y53" s="7"/>
      <c r="Z53" s="7"/>
      <c r="AA53" s="7"/>
    </row>
    <row r="54" spans="1:27" ht="14.5" x14ac:dyDescent="0.6">
      <c r="A54" s="42">
        <f t="shared" si="0"/>
        <v>50</v>
      </c>
      <c r="B54" s="44"/>
      <c r="C54" s="43"/>
      <c r="D54" s="43"/>
      <c r="E54" s="43"/>
      <c r="F54" s="43"/>
      <c r="G54" s="43"/>
      <c r="H54" s="43"/>
      <c r="I54" s="43"/>
      <c r="J54" s="43"/>
      <c r="K54" s="43"/>
      <c r="L54" s="43"/>
      <c r="M54" s="43"/>
      <c r="N54" s="43"/>
      <c r="O54" s="43"/>
      <c r="P54" s="43"/>
      <c r="Q54" s="43"/>
      <c r="R54" s="48" t="str">
        <f ca="1">IFERROR(__xludf.DUMMYFUNCTION("SPARKLINE({D54,F54,H54,J54,L54,N54,P54})"),"#N/A")</f>
        <v>#N/A</v>
      </c>
      <c r="S54" s="45" t="str">
        <f ca="1">IFERROR(__xludf.DUMMYFUNCTION("SPARKLINE({E54;G54;I54;K54;M54;O54;Q54})"),"#N/A")</f>
        <v>#N/A</v>
      </c>
      <c r="T54" s="7"/>
      <c r="U54" s="7"/>
      <c r="V54" s="7"/>
      <c r="W54" s="7"/>
      <c r="X54" s="7"/>
      <c r="Y54" s="7"/>
      <c r="Z54" s="7"/>
      <c r="AA54" s="7"/>
    </row>
    <row r="55" spans="1:27" ht="14.5" x14ac:dyDescent="0.6">
      <c r="A55" s="42">
        <f t="shared" si="0"/>
        <v>51</v>
      </c>
      <c r="B55" s="44"/>
      <c r="C55" s="43"/>
      <c r="D55" s="43"/>
      <c r="E55" s="43"/>
      <c r="F55" s="43"/>
      <c r="G55" s="43"/>
      <c r="H55" s="43"/>
      <c r="I55" s="43"/>
      <c r="J55" s="43"/>
      <c r="K55" s="43"/>
      <c r="L55" s="43"/>
      <c r="M55" s="43"/>
      <c r="N55" s="43"/>
      <c r="O55" s="43"/>
      <c r="P55" s="43"/>
      <c r="Q55" s="43"/>
      <c r="R55" s="48" t="str">
        <f ca="1">IFERROR(__xludf.DUMMYFUNCTION("SPARKLINE({D55,F55,H55,J55,L55,N55,P55})"),"#N/A")</f>
        <v>#N/A</v>
      </c>
      <c r="S55" s="45" t="str">
        <f ca="1">IFERROR(__xludf.DUMMYFUNCTION("SPARKLINE({E55;G55;I55;K55;M55;O55;Q55})"),"#N/A")</f>
        <v>#N/A</v>
      </c>
      <c r="T55" s="7"/>
      <c r="U55" s="7"/>
      <c r="V55" s="7"/>
      <c r="W55" s="7"/>
      <c r="X55" s="7"/>
      <c r="Y55" s="7"/>
      <c r="Z55" s="7"/>
      <c r="AA55" s="7"/>
    </row>
    <row r="56" spans="1:27" ht="14.5" x14ac:dyDescent="0.6">
      <c r="A56" s="42">
        <f t="shared" si="0"/>
        <v>52</v>
      </c>
      <c r="B56" s="44"/>
      <c r="C56" s="43"/>
      <c r="D56" s="43"/>
      <c r="E56" s="43"/>
      <c r="F56" s="43"/>
      <c r="G56" s="43"/>
      <c r="H56" s="43"/>
      <c r="I56" s="43"/>
      <c r="J56" s="43"/>
      <c r="K56" s="43"/>
      <c r="L56" s="43"/>
      <c r="M56" s="43"/>
      <c r="N56" s="43"/>
      <c r="O56" s="43"/>
      <c r="P56" s="43"/>
      <c r="Q56" s="43"/>
      <c r="R56" s="48" t="str">
        <f ca="1">IFERROR(__xludf.DUMMYFUNCTION("SPARKLINE({D56,F56,H56,J56,L56,N56,P56})"),"#N/A")</f>
        <v>#N/A</v>
      </c>
      <c r="S56" s="45" t="str">
        <f ca="1">IFERROR(__xludf.DUMMYFUNCTION("SPARKLINE({E56;G56;I56;K56;M56;O56;Q56})"),"#N/A")</f>
        <v>#N/A</v>
      </c>
      <c r="T56" s="7"/>
      <c r="U56" s="7"/>
      <c r="V56" s="7"/>
      <c r="W56" s="7"/>
      <c r="X56" s="7"/>
      <c r="Y56" s="7"/>
      <c r="Z56" s="7"/>
      <c r="AA56" s="7"/>
    </row>
    <row r="57" spans="1:27" ht="14.5" x14ac:dyDescent="0.6">
      <c r="A57" s="42">
        <f t="shared" si="0"/>
        <v>53</v>
      </c>
      <c r="B57" s="44"/>
      <c r="C57" s="43"/>
      <c r="D57" s="43"/>
      <c r="E57" s="43"/>
      <c r="F57" s="43"/>
      <c r="G57" s="43"/>
      <c r="H57" s="43"/>
      <c r="I57" s="43"/>
      <c r="J57" s="43"/>
      <c r="K57" s="43"/>
      <c r="L57" s="43"/>
      <c r="M57" s="43"/>
      <c r="N57" s="43"/>
      <c r="O57" s="43"/>
      <c r="P57" s="43"/>
      <c r="Q57" s="43"/>
      <c r="R57" s="48" t="str">
        <f ca="1">IFERROR(__xludf.DUMMYFUNCTION("SPARKLINE({D57,F57,H57,J57,L57,N57,P57})"),"#N/A")</f>
        <v>#N/A</v>
      </c>
      <c r="S57" s="45" t="str">
        <f ca="1">IFERROR(__xludf.DUMMYFUNCTION("SPARKLINE({E57;G57;I57;K57;M57;O57;Q57})"),"#N/A")</f>
        <v>#N/A</v>
      </c>
      <c r="T57" s="7"/>
      <c r="U57" s="7"/>
      <c r="V57" s="7"/>
      <c r="W57" s="7"/>
      <c r="X57" s="7"/>
      <c r="Y57" s="7"/>
      <c r="Z57" s="7"/>
      <c r="AA57" s="7"/>
    </row>
    <row r="58" spans="1:27" ht="14.5" x14ac:dyDescent="0.6">
      <c r="A58" s="42">
        <f t="shared" si="0"/>
        <v>54</v>
      </c>
      <c r="B58" s="44"/>
      <c r="C58" s="43"/>
      <c r="D58" s="43"/>
      <c r="E58" s="43"/>
      <c r="F58" s="43"/>
      <c r="G58" s="43"/>
      <c r="H58" s="43"/>
      <c r="I58" s="43"/>
      <c r="J58" s="43"/>
      <c r="K58" s="43"/>
      <c r="L58" s="43"/>
      <c r="M58" s="43"/>
      <c r="N58" s="43"/>
      <c r="O58" s="43"/>
      <c r="P58" s="43"/>
      <c r="Q58" s="43"/>
      <c r="R58" s="48" t="str">
        <f ca="1">IFERROR(__xludf.DUMMYFUNCTION("SPARKLINE({D58,F58,H58,J58,L58,N58,P58})"),"#N/A")</f>
        <v>#N/A</v>
      </c>
      <c r="S58" s="45" t="str">
        <f ca="1">IFERROR(__xludf.DUMMYFUNCTION("SPARKLINE({E58;G58;I58;K58;M58;O58;Q58})"),"#N/A")</f>
        <v>#N/A</v>
      </c>
      <c r="T58" s="7"/>
      <c r="U58" s="7"/>
      <c r="V58" s="7"/>
      <c r="W58" s="7"/>
      <c r="X58" s="7"/>
      <c r="Y58" s="7"/>
      <c r="Z58" s="7"/>
      <c r="AA58" s="7"/>
    </row>
    <row r="59" spans="1:27" ht="14.5" x14ac:dyDescent="0.6">
      <c r="A59" s="42">
        <f t="shared" si="0"/>
        <v>55</v>
      </c>
      <c r="B59" s="44"/>
      <c r="C59" s="43"/>
      <c r="D59" s="43"/>
      <c r="E59" s="43"/>
      <c r="F59" s="43"/>
      <c r="G59" s="43"/>
      <c r="H59" s="43"/>
      <c r="I59" s="43"/>
      <c r="J59" s="43"/>
      <c r="K59" s="43"/>
      <c r="L59" s="43"/>
      <c r="M59" s="43"/>
      <c r="N59" s="43"/>
      <c r="O59" s="43"/>
      <c r="P59" s="43"/>
      <c r="Q59" s="43"/>
      <c r="R59" s="48" t="str">
        <f ca="1">IFERROR(__xludf.DUMMYFUNCTION("SPARKLINE({D59,F59,H59,J59,L59,N59,P59})"),"#N/A")</f>
        <v>#N/A</v>
      </c>
      <c r="S59" s="45" t="str">
        <f ca="1">IFERROR(__xludf.DUMMYFUNCTION("SPARKLINE({E59;G59;I59;K59;M59;O59;Q59})"),"#N/A")</f>
        <v>#N/A</v>
      </c>
      <c r="T59" s="7"/>
      <c r="U59" s="7"/>
      <c r="V59" s="7"/>
      <c r="W59" s="7"/>
      <c r="X59" s="7"/>
      <c r="Y59" s="7"/>
      <c r="Z59" s="7"/>
      <c r="AA59" s="7"/>
    </row>
    <row r="60" spans="1:27" ht="14.5" x14ac:dyDescent="0.6">
      <c r="A60" s="42">
        <f t="shared" si="0"/>
        <v>56</v>
      </c>
      <c r="B60" s="44"/>
      <c r="C60" s="43"/>
      <c r="D60" s="43"/>
      <c r="E60" s="43"/>
      <c r="F60" s="43"/>
      <c r="G60" s="43"/>
      <c r="H60" s="43"/>
      <c r="I60" s="43"/>
      <c r="J60" s="43"/>
      <c r="K60" s="43"/>
      <c r="L60" s="43"/>
      <c r="M60" s="43"/>
      <c r="N60" s="43"/>
      <c r="O60" s="43"/>
      <c r="P60" s="43"/>
      <c r="Q60" s="43"/>
      <c r="R60" s="48" t="str">
        <f ca="1">IFERROR(__xludf.DUMMYFUNCTION("SPARKLINE({D60,F60,H60,J60,L60,N60,P60})"),"#N/A")</f>
        <v>#N/A</v>
      </c>
      <c r="S60" s="45" t="str">
        <f ca="1">IFERROR(__xludf.DUMMYFUNCTION("SPARKLINE({E60;G60;I60;K60;M60;O60;Q60})"),"#N/A")</f>
        <v>#N/A</v>
      </c>
      <c r="T60" s="7"/>
      <c r="U60" s="7"/>
      <c r="V60" s="7"/>
      <c r="W60" s="7"/>
      <c r="X60" s="7"/>
      <c r="Y60" s="7"/>
      <c r="Z60" s="7"/>
      <c r="AA60" s="7"/>
    </row>
    <row r="61" spans="1:27" ht="14.5" x14ac:dyDescent="0.6">
      <c r="A61" s="42">
        <f t="shared" si="0"/>
        <v>57</v>
      </c>
      <c r="B61" s="44"/>
      <c r="C61" s="43"/>
      <c r="D61" s="43"/>
      <c r="E61" s="43"/>
      <c r="F61" s="43"/>
      <c r="G61" s="43"/>
      <c r="H61" s="43"/>
      <c r="I61" s="43"/>
      <c r="J61" s="43"/>
      <c r="K61" s="43"/>
      <c r="L61" s="43"/>
      <c r="M61" s="43"/>
      <c r="N61" s="43"/>
      <c r="O61" s="43"/>
      <c r="P61" s="43"/>
      <c r="Q61" s="43"/>
      <c r="R61" s="48" t="str">
        <f ca="1">IFERROR(__xludf.DUMMYFUNCTION("SPARKLINE({D61,F61,H61,J61,L61,N61,P61})"),"#N/A")</f>
        <v>#N/A</v>
      </c>
      <c r="S61" s="45" t="str">
        <f ca="1">IFERROR(__xludf.DUMMYFUNCTION("SPARKLINE({E61;G61;I61;K61;M61;O61;Q61})"),"#N/A")</f>
        <v>#N/A</v>
      </c>
      <c r="T61" s="7"/>
      <c r="U61" s="7"/>
      <c r="V61" s="7"/>
      <c r="W61" s="7"/>
      <c r="X61" s="7"/>
      <c r="Y61" s="7"/>
      <c r="Z61" s="7"/>
      <c r="AA61" s="7"/>
    </row>
    <row r="62" spans="1:27" ht="14.5" x14ac:dyDescent="0.6">
      <c r="A62" s="42">
        <f t="shared" si="0"/>
        <v>58</v>
      </c>
      <c r="B62" s="44"/>
      <c r="C62" s="43"/>
      <c r="D62" s="43"/>
      <c r="E62" s="43"/>
      <c r="F62" s="43"/>
      <c r="G62" s="43"/>
      <c r="H62" s="43"/>
      <c r="I62" s="43"/>
      <c r="J62" s="43"/>
      <c r="K62" s="43"/>
      <c r="L62" s="43"/>
      <c r="M62" s="43"/>
      <c r="N62" s="43"/>
      <c r="O62" s="43"/>
      <c r="P62" s="43"/>
      <c r="Q62" s="43"/>
      <c r="R62" s="48" t="str">
        <f ca="1">IFERROR(__xludf.DUMMYFUNCTION("SPARKLINE({D62,F62,H62,J62,L62,N62,P62})"),"#N/A")</f>
        <v>#N/A</v>
      </c>
      <c r="S62" s="45" t="str">
        <f ca="1">IFERROR(__xludf.DUMMYFUNCTION("SPARKLINE({E62;G62;I62;K62;M62;O62;Q62})"),"#N/A")</f>
        <v>#N/A</v>
      </c>
      <c r="T62" s="7"/>
      <c r="U62" s="7"/>
      <c r="V62" s="7"/>
      <c r="W62" s="7"/>
      <c r="X62" s="7"/>
      <c r="Y62" s="7"/>
      <c r="Z62" s="7"/>
      <c r="AA62" s="7"/>
    </row>
    <row r="63" spans="1:27" ht="14.5" x14ac:dyDescent="0.6">
      <c r="A63" s="42">
        <f t="shared" si="0"/>
        <v>59</v>
      </c>
      <c r="B63" s="44"/>
      <c r="C63" s="43"/>
      <c r="D63" s="43"/>
      <c r="E63" s="43"/>
      <c r="F63" s="43"/>
      <c r="G63" s="43"/>
      <c r="H63" s="43"/>
      <c r="I63" s="43"/>
      <c r="J63" s="43"/>
      <c r="K63" s="43"/>
      <c r="L63" s="43"/>
      <c r="M63" s="43"/>
      <c r="N63" s="43"/>
      <c r="O63" s="43"/>
      <c r="P63" s="43"/>
      <c r="Q63" s="43"/>
      <c r="R63" s="48" t="str">
        <f ca="1">IFERROR(__xludf.DUMMYFUNCTION("SPARKLINE({D63,F63,H63,J63,L63,N63,P63})"),"#N/A")</f>
        <v>#N/A</v>
      </c>
      <c r="S63" s="45" t="str">
        <f ca="1">IFERROR(__xludf.DUMMYFUNCTION("SPARKLINE({E63;G63;I63;K63;M63;O63;Q63})"),"#N/A")</f>
        <v>#N/A</v>
      </c>
      <c r="T63" s="7"/>
      <c r="U63" s="7"/>
      <c r="V63" s="7"/>
      <c r="W63" s="7"/>
      <c r="X63" s="7"/>
      <c r="Y63" s="7"/>
      <c r="Z63" s="7"/>
      <c r="AA63" s="7"/>
    </row>
    <row r="64" spans="1:27" ht="14.5" x14ac:dyDescent="0.6">
      <c r="A64" s="42">
        <f t="shared" si="0"/>
        <v>60</v>
      </c>
      <c r="B64" s="44"/>
      <c r="C64" s="43"/>
      <c r="D64" s="43"/>
      <c r="E64" s="43"/>
      <c r="F64" s="43"/>
      <c r="G64" s="43"/>
      <c r="H64" s="43"/>
      <c r="I64" s="43"/>
      <c r="J64" s="43"/>
      <c r="K64" s="43"/>
      <c r="L64" s="43"/>
      <c r="M64" s="43"/>
      <c r="N64" s="43"/>
      <c r="O64" s="43"/>
      <c r="P64" s="43"/>
      <c r="Q64" s="43"/>
      <c r="R64" s="48" t="str">
        <f ca="1">IFERROR(__xludf.DUMMYFUNCTION("SPARKLINE({D64,F64,H64,J64,L64,N64,P64})"),"#N/A")</f>
        <v>#N/A</v>
      </c>
      <c r="S64" s="45" t="str">
        <f ca="1">IFERROR(__xludf.DUMMYFUNCTION("SPARKLINE({E64;G64;I64;K64;M64;O64;Q64})"),"#N/A")</f>
        <v>#N/A</v>
      </c>
      <c r="T64" s="7"/>
      <c r="U64" s="7"/>
      <c r="V64" s="7"/>
      <c r="W64" s="7"/>
      <c r="X64" s="7"/>
      <c r="Y64" s="7"/>
      <c r="Z64" s="7"/>
      <c r="AA64" s="7"/>
    </row>
    <row r="65" spans="1:27" ht="14.5" x14ac:dyDescent="0.6">
      <c r="A65" s="42">
        <f t="shared" si="0"/>
        <v>61</v>
      </c>
      <c r="B65" s="44"/>
      <c r="C65" s="43"/>
      <c r="D65" s="43"/>
      <c r="E65" s="43"/>
      <c r="F65" s="43"/>
      <c r="G65" s="43"/>
      <c r="H65" s="43"/>
      <c r="I65" s="43"/>
      <c r="J65" s="43"/>
      <c r="K65" s="43"/>
      <c r="L65" s="43"/>
      <c r="M65" s="43"/>
      <c r="N65" s="43"/>
      <c r="O65" s="43"/>
      <c r="P65" s="43"/>
      <c r="Q65" s="43"/>
      <c r="R65" s="48" t="str">
        <f ca="1">IFERROR(__xludf.DUMMYFUNCTION("SPARKLINE({D65,F65,H65,J65,L65,N65,P65})"),"#N/A")</f>
        <v>#N/A</v>
      </c>
      <c r="S65" s="45" t="str">
        <f ca="1">IFERROR(__xludf.DUMMYFUNCTION("SPARKLINE({E65;G65;I65;K65;M65;O65;Q65})"),"#N/A")</f>
        <v>#N/A</v>
      </c>
      <c r="T65" s="7"/>
      <c r="U65" s="7"/>
      <c r="V65" s="7"/>
      <c r="W65" s="7"/>
      <c r="X65" s="7"/>
      <c r="Y65" s="7"/>
      <c r="Z65" s="7"/>
      <c r="AA65" s="7"/>
    </row>
    <row r="66" spans="1:27" ht="14.5" x14ac:dyDescent="0.6">
      <c r="A66" s="42">
        <f t="shared" si="0"/>
        <v>62</v>
      </c>
      <c r="B66" s="44"/>
      <c r="C66" s="43"/>
      <c r="D66" s="43"/>
      <c r="E66" s="43"/>
      <c r="F66" s="43"/>
      <c r="G66" s="43"/>
      <c r="H66" s="43"/>
      <c r="I66" s="43"/>
      <c r="J66" s="43"/>
      <c r="K66" s="43"/>
      <c r="L66" s="43"/>
      <c r="M66" s="43"/>
      <c r="N66" s="43"/>
      <c r="O66" s="43"/>
      <c r="P66" s="43"/>
      <c r="Q66" s="43"/>
      <c r="R66" s="48" t="str">
        <f ca="1">IFERROR(__xludf.DUMMYFUNCTION("SPARKLINE({D66,F66,H66,J66,L66,N66,P66})"),"#N/A")</f>
        <v>#N/A</v>
      </c>
      <c r="S66" s="45" t="str">
        <f ca="1">IFERROR(__xludf.DUMMYFUNCTION("SPARKLINE({E66;G66;I66;K66;M66;O66;Q66})"),"#N/A")</f>
        <v>#N/A</v>
      </c>
      <c r="T66" s="7"/>
      <c r="U66" s="7"/>
      <c r="V66" s="7"/>
      <c r="W66" s="7"/>
      <c r="X66" s="7"/>
      <c r="Y66" s="7"/>
      <c r="Z66" s="7"/>
      <c r="AA66" s="7"/>
    </row>
    <row r="67" spans="1:27" ht="14.5" x14ac:dyDescent="0.6">
      <c r="A67" s="42">
        <f t="shared" si="0"/>
        <v>63</v>
      </c>
      <c r="B67" s="44"/>
      <c r="C67" s="43"/>
      <c r="D67" s="43"/>
      <c r="E67" s="43"/>
      <c r="F67" s="43"/>
      <c r="G67" s="43"/>
      <c r="H67" s="43"/>
      <c r="I67" s="43"/>
      <c r="J67" s="43"/>
      <c r="K67" s="43"/>
      <c r="L67" s="43"/>
      <c r="M67" s="43"/>
      <c r="N67" s="43"/>
      <c r="O67" s="43"/>
      <c r="P67" s="43"/>
      <c r="Q67" s="43"/>
      <c r="R67" s="48" t="str">
        <f ca="1">IFERROR(__xludf.DUMMYFUNCTION("SPARKLINE({D67,F67,H67,J67,L67,N67,P67})"),"#N/A")</f>
        <v>#N/A</v>
      </c>
      <c r="S67" s="45" t="str">
        <f ca="1">IFERROR(__xludf.DUMMYFUNCTION("SPARKLINE({E67;G67;I67;K67;M67;O67;Q67})"),"#N/A")</f>
        <v>#N/A</v>
      </c>
      <c r="T67" s="7"/>
      <c r="U67" s="7"/>
      <c r="V67" s="7"/>
      <c r="W67" s="7"/>
      <c r="X67" s="7"/>
      <c r="Y67" s="7"/>
      <c r="Z67" s="7"/>
      <c r="AA67" s="7"/>
    </row>
    <row r="68" spans="1:27" ht="14.5" x14ac:dyDescent="0.6">
      <c r="A68" s="42">
        <f t="shared" si="0"/>
        <v>64</v>
      </c>
      <c r="B68" s="44"/>
      <c r="C68" s="43"/>
      <c r="D68" s="43"/>
      <c r="E68" s="43"/>
      <c r="F68" s="43"/>
      <c r="G68" s="43"/>
      <c r="H68" s="43"/>
      <c r="I68" s="43"/>
      <c r="J68" s="43"/>
      <c r="K68" s="43"/>
      <c r="L68" s="43"/>
      <c r="M68" s="43"/>
      <c r="N68" s="43"/>
      <c r="O68" s="43"/>
      <c r="P68" s="43"/>
      <c r="Q68" s="43"/>
      <c r="R68" s="48" t="str">
        <f ca="1">IFERROR(__xludf.DUMMYFUNCTION("SPARKLINE({D68,F68,H68,J68,L68,N68,P68})"),"#N/A")</f>
        <v>#N/A</v>
      </c>
      <c r="S68" s="45" t="str">
        <f ca="1">IFERROR(__xludf.DUMMYFUNCTION("SPARKLINE({E68;G68;I68;K68;M68;O68;Q68})"),"#N/A")</f>
        <v>#N/A</v>
      </c>
      <c r="T68" s="7"/>
      <c r="U68" s="7"/>
      <c r="V68" s="7"/>
      <c r="W68" s="7"/>
      <c r="X68" s="7"/>
      <c r="Y68" s="7"/>
      <c r="Z68" s="7"/>
      <c r="AA68" s="7"/>
    </row>
    <row r="69" spans="1:27" ht="14.5" x14ac:dyDescent="0.6">
      <c r="A69" s="42">
        <f t="shared" si="0"/>
        <v>65</v>
      </c>
      <c r="B69" s="44"/>
      <c r="C69" s="43"/>
      <c r="D69" s="43"/>
      <c r="E69" s="43"/>
      <c r="F69" s="43"/>
      <c r="G69" s="43"/>
      <c r="H69" s="43"/>
      <c r="I69" s="43"/>
      <c r="J69" s="43"/>
      <c r="K69" s="43"/>
      <c r="L69" s="43"/>
      <c r="M69" s="43"/>
      <c r="N69" s="43"/>
      <c r="O69" s="43"/>
      <c r="P69" s="43"/>
      <c r="Q69" s="43"/>
      <c r="R69" s="48" t="str">
        <f ca="1">IFERROR(__xludf.DUMMYFUNCTION("SPARKLINE({D69,F69,H69,J69,L69,N69,P69})"),"#N/A")</f>
        <v>#N/A</v>
      </c>
      <c r="S69" s="45" t="str">
        <f ca="1">IFERROR(__xludf.DUMMYFUNCTION("SPARKLINE({E69;G69;I69;K69;M69;O69;Q69})"),"#N/A")</f>
        <v>#N/A</v>
      </c>
      <c r="T69" s="7"/>
      <c r="U69" s="7"/>
      <c r="V69" s="7"/>
      <c r="W69" s="7"/>
      <c r="X69" s="7"/>
      <c r="Y69" s="7"/>
      <c r="Z69" s="7"/>
      <c r="AA69" s="7"/>
    </row>
    <row r="70" spans="1:27" ht="14.5" x14ac:dyDescent="0.6">
      <c r="A70" s="42">
        <f t="shared" si="0"/>
        <v>66</v>
      </c>
      <c r="B70" s="44"/>
      <c r="C70" s="43"/>
      <c r="D70" s="43"/>
      <c r="E70" s="43"/>
      <c r="F70" s="43"/>
      <c r="G70" s="43"/>
      <c r="H70" s="43"/>
      <c r="I70" s="43"/>
      <c r="J70" s="43"/>
      <c r="K70" s="43"/>
      <c r="L70" s="43"/>
      <c r="M70" s="43"/>
      <c r="N70" s="43"/>
      <c r="O70" s="43"/>
      <c r="P70" s="43"/>
      <c r="Q70" s="43"/>
      <c r="R70" s="48" t="str">
        <f ca="1">IFERROR(__xludf.DUMMYFUNCTION("SPARKLINE({D70,F70,H70,J70,L70,N70,P70})"),"#N/A")</f>
        <v>#N/A</v>
      </c>
      <c r="S70" s="45" t="str">
        <f ca="1">IFERROR(__xludf.DUMMYFUNCTION("SPARKLINE({E70;G70;I70;K70;M70;O70;Q70})"),"#N/A")</f>
        <v>#N/A</v>
      </c>
      <c r="T70" s="7"/>
      <c r="U70" s="7"/>
      <c r="V70" s="7"/>
      <c r="W70" s="7"/>
      <c r="X70" s="7"/>
      <c r="Y70" s="7"/>
      <c r="Z70" s="7"/>
      <c r="AA70" s="7"/>
    </row>
    <row r="71" spans="1:27" ht="14.5" x14ac:dyDescent="0.6">
      <c r="A71" s="42">
        <f t="shared" si="0"/>
        <v>67</v>
      </c>
      <c r="B71" s="44"/>
      <c r="C71" s="43"/>
      <c r="D71" s="43"/>
      <c r="E71" s="43"/>
      <c r="F71" s="43"/>
      <c r="G71" s="43"/>
      <c r="H71" s="43"/>
      <c r="I71" s="43"/>
      <c r="J71" s="43"/>
      <c r="K71" s="43"/>
      <c r="L71" s="43"/>
      <c r="M71" s="43"/>
      <c r="N71" s="43"/>
      <c r="O71" s="43"/>
      <c r="P71" s="43"/>
      <c r="Q71" s="43"/>
      <c r="R71" s="48" t="str">
        <f ca="1">IFERROR(__xludf.DUMMYFUNCTION("SPARKLINE({D71,F71,H71,J71,L71,N71,P71})"),"#N/A")</f>
        <v>#N/A</v>
      </c>
      <c r="S71" s="45" t="str">
        <f ca="1">IFERROR(__xludf.DUMMYFUNCTION("SPARKLINE({E71;G71;I71;K71;M71;O71;Q71})"),"#N/A")</f>
        <v>#N/A</v>
      </c>
      <c r="T71" s="7"/>
      <c r="U71" s="7"/>
      <c r="V71" s="7"/>
      <c r="W71" s="7"/>
      <c r="X71" s="7"/>
      <c r="Y71" s="7"/>
      <c r="Z71" s="7"/>
      <c r="AA71" s="7"/>
    </row>
    <row r="72" spans="1:27" ht="14.5" x14ac:dyDescent="0.6">
      <c r="A72" s="42">
        <f t="shared" si="0"/>
        <v>68</v>
      </c>
      <c r="B72" s="44"/>
      <c r="C72" s="43"/>
      <c r="D72" s="43"/>
      <c r="E72" s="43"/>
      <c r="F72" s="43"/>
      <c r="G72" s="43"/>
      <c r="H72" s="43"/>
      <c r="I72" s="43"/>
      <c r="J72" s="43"/>
      <c r="K72" s="43"/>
      <c r="L72" s="43"/>
      <c r="M72" s="43"/>
      <c r="N72" s="43"/>
      <c r="O72" s="43"/>
      <c r="P72" s="43"/>
      <c r="Q72" s="43"/>
      <c r="R72" s="48" t="str">
        <f ca="1">IFERROR(__xludf.DUMMYFUNCTION("SPARKLINE({D72,F72,H72,J72,L72,N72,P72})"),"#N/A")</f>
        <v>#N/A</v>
      </c>
      <c r="S72" s="45" t="str">
        <f ca="1">IFERROR(__xludf.DUMMYFUNCTION("SPARKLINE({E72;G72;I72;K72;M72;O72;Q72})"),"#N/A")</f>
        <v>#N/A</v>
      </c>
      <c r="T72" s="7"/>
      <c r="U72" s="7"/>
      <c r="V72" s="7"/>
      <c r="W72" s="7"/>
      <c r="X72" s="7"/>
      <c r="Y72" s="7"/>
      <c r="Z72" s="7"/>
      <c r="AA72" s="7"/>
    </row>
    <row r="73" spans="1:27" ht="14.5" x14ac:dyDescent="0.6">
      <c r="A73" s="42">
        <f t="shared" si="0"/>
        <v>69</v>
      </c>
      <c r="B73" s="44"/>
      <c r="C73" s="43"/>
      <c r="D73" s="43"/>
      <c r="E73" s="43"/>
      <c r="F73" s="43"/>
      <c r="G73" s="43"/>
      <c r="H73" s="43"/>
      <c r="I73" s="43"/>
      <c r="J73" s="43"/>
      <c r="K73" s="43"/>
      <c r="L73" s="43"/>
      <c r="M73" s="43"/>
      <c r="N73" s="43"/>
      <c r="O73" s="43"/>
      <c r="P73" s="43"/>
      <c r="Q73" s="43"/>
      <c r="R73" s="48" t="str">
        <f ca="1">IFERROR(__xludf.DUMMYFUNCTION("SPARKLINE({D73,F73,H73,J73,L73,N73,P73})"),"#N/A")</f>
        <v>#N/A</v>
      </c>
      <c r="S73" s="45" t="str">
        <f ca="1">IFERROR(__xludf.DUMMYFUNCTION("SPARKLINE({E73;G73;I73;K73;M73;O73;Q73})"),"#N/A")</f>
        <v>#N/A</v>
      </c>
      <c r="T73" s="7"/>
      <c r="U73" s="7"/>
      <c r="V73" s="7"/>
      <c r="W73" s="7"/>
      <c r="X73" s="7"/>
      <c r="Y73" s="7"/>
      <c r="Z73" s="7"/>
      <c r="AA73" s="7"/>
    </row>
    <row r="74" spans="1:27" ht="14.5" x14ac:dyDescent="0.6">
      <c r="A74" s="42">
        <f t="shared" si="0"/>
        <v>70</v>
      </c>
      <c r="B74" s="44"/>
      <c r="C74" s="43"/>
      <c r="D74" s="43"/>
      <c r="E74" s="43"/>
      <c r="F74" s="43"/>
      <c r="G74" s="43"/>
      <c r="H74" s="43"/>
      <c r="I74" s="43"/>
      <c r="J74" s="43"/>
      <c r="K74" s="43"/>
      <c r="L74" s="43"/>
      <c r="M74" s="43"/>
      <c r="N74" s="43"/>
      <c r="O74" s="43"/>
      <c r="P74" s="43"/>
      <c r="Q74" s="43"/>
      <c r="R74" s="48" t="str">
        <f ca="1">IFERROR(__xludf.DUMMYFUNCTION("SPARKLINE({D74,F74,H74,J74,L74,N74,P74})"),"#N/A")</f>
        <v>#N/A</v>
      </c>
      <c r="S74" s="45" t="str">
        <f ca="1">IFERROR(__xludf.DUMMYFUNCTION("SPARKLINE({E74;G74;I74;K74;M74;O74;Q74})"),"#N/A")</f>
        <v>#N/A</v>
      </c>
      <c r="T74" s="7"/>
      <c r="U74" s="7"/>
      <c r="V74" s="7"/>
      <c r="W74" s="7"/>
      <c r="X74" s="7"/>
      <c r="Y74" s="7"/>
      <c r="Z74" s="7"/>
      <c r="AA74" s="7"/>
    </row>
    <row r="75" spans="1:27" ht="14.5" x14ac:dyDescent="0.6">
      <c r="A75" s="42">
        <f t="shared" si="0"/>
        <v>71</v>
      </c>
      <c r="B75" s="44"/>
      <c r="C75" s="43"/>
      <c r="D75" s="43"/>
      <c r="E75" s="43"/>
      <c r="F75" s="43"/>
      <c r="G75" s="43"/>
      <c r="H75" s="43"/>
      <c r="I75" s="43"/>
      <c r="J75" s="43"/>
      <c r="K75" s="43"/>
      <c r="L75" s="43"/>
      <c r="M75" s="43"/>
      <c r="N75" s="43"/>
      <c r="O75" s="43"/>
      <c r="P75" s="43"/>
      <c r="Q75" s="43"/>
      <c r="R75" s="48" t="str">
        <f ca="1">IFERROR(__xludf.DUMMYFUNCTION("SPARKLINE({D75,F75,H75,J75,L75,N75,P75})"),"#N/A")</f>
        <v>#N/A</v>
      </c>
      <c r="S75" s="45" t="str">
        <f ca="1">IFERROR(__xludf.DUMMYFUNCTION("SPARKLINE({E75;G75;I75;K75;M75;O75;Q75})"),"#N/A")</f>
        <v>#N/A</v>
      </c>
      <c r="T75" s="7"/>
      <c r="U75" s="7"/>
      <c r="V75" s="7"/>
      <c r="W75" s="7"/>
      <c r="X75" s="7"/>
      <c r="Y75" s="7"/>
      <c r="Z75" s="7"/>
      <c r="AA75" s="7"/>
    </row>
    <row r="76" spans="1:27" ht="14.5" x14ac:dyDescent="0.6">
      <c r="A76" s="42">
        <f t="shared" si="0"/>
        <v>72</v>
      </c>
      <c r="B76" s="44"/>
      <c r="C76" s="43"/>
      <c r="D76" s="43"/>
      <c r="E76" s="43"/>
      <c r="F76" s="43"/>
      <c r="G76" s="43"/>
      <c r="H76" s="43"/>
      <c r="I76" s="43"/>
      <c r="J76" s="43"/>
      <c r="K76" s="43"/>
      <c r="L76" s="43"/>
      <c r="M76" s="43"/>
      <c r="N76" s="43"/>
      <c r="O76" s="43"/>
      <c r="P76" s="43"/>
      <c r="Q76" s="43"/>
      <c r="R76" s="48" t="str">
        <f ca="1">IFERROR(__xludf.DUMMYFUNCTION("SPARKLINE({D76,F76,H76,J76,L76,N76,P76})"),"#N/A")</f>
        <v>#N/A</v>
      </c>
      <c r="S76" s="45" t="str">
        <f ca="1">IFERROR(__xludf.DUMMYFUNCTION("SPARKLINE({E76;G76;I76;K76;M76;O76;Q76})"),"#N/A")</f>
        <v>#N/A</v>
      </c>
      <c r="T76" s="7"/>
      <c r="U76" s="7"/>
      <c r="V76" s="7"/>
      <c r="W76" s="7"/>
      <c r="X76" s="7"/>
      <c r="Y76" s="7"/>
      <c r="Z76" s="7"/>
      <c r="AA76" s="7"/>
    </row>
    <row r="77" spans="1:27" ht="14.5" x14ac:dyDescent="0.6">
      <c r="A77" s="42">
        <f t="shared" si="0"/>
        <v>73</v>
      </c>
      <c r="B77" s="44"/>
      <c r="C77" s="43"/>
      <c r="D77" s="43"/>
      <c r="E77" s="43"/>
      <c r="F77" s="43"/>
      <c r="G77" s="43"/>
      <c r="H77" s="43"/>
      <c r="I77" s="43"/>
      <c r="J77" s="43"/>
      <c r="K77" s="43"/>
      <c r="L77" s="43"/>
      <c r="M77" s="43"/>
      <c r="N77" s="43"/>
      <c r="O77" s="43"/>
      <c r="P77" s="43"/>
      <c r="Q77" s="43"/>
      <c r="R77" s="48" t="str">
        <f ca="1">IFERROR(__xludf.DUMMYFUNCTION("SPARKLINE({D77,F77,H77,J77,L77,N77,P77})"),"#N/A")</f>
        <v>#N/A</v>
      </c>
      <c r="S77" s="45" t="str">
        <f ca="1">IFERROR(__xludf.DUMMYFUNCTION("SPARKLINE({E77;G77;I77;K77;M77;O77;Q77})"),"#N/A")</f>
        <v>#N/A</v>
      </c>
      <c r="T77" s="7"/>
      <c r="U77" s="7"/>
      <c r="V77" s="7"/>
      <c r="W77" s="7"/>
      <c r="X77" s="7"/>
      <c r="Y77" s="7"/>
      <c r="Z77" s="7"/>
      <c r="AA77" s="7"/>
    </row>
    <row r="78" spans="1:27" ht="14.5" x14ac:dyDescent="0.6">
      <c r="A78" s="42">
        <f t="shared" si="0"/>
        <v>74</v>
      </c>
      <c r="B78" s="44"/>
      <c r="C78" s="43"/>
      <c r="D78" s="43"/>
      <c r="E78" s="43"/>
      <c r="F78" s="43"/>
      <c r="G78" s="43"/>
      <c r="H78" s="43"/>
      <c r="I78" s="43"/>
      <c r="J78" s="43"/>
      <c r="K78" s="43"/>
      <c r="L78" s="43"/>
      <c r="M78" s="43"/>
      <c r="N78" s="43"/>
      <c r="O78" s="43"/>
      <c r="P78" s="43"/>
      <c r="Q78" s="43"/>
      <c r="R78" s="48" t="str">
        <f ca="1">IFERROR(__xludf.DUMMYFUNCTION("SPARKLINE({D78,F78,H78,J78,L78,N78,P78})"),"#N/A")</f>
        <v>#N/A</v>
      </c>
      <c r="S78" s="45" t="str">
        <f ca="1">IFERROR(__xludf.DUMMYFUNCTION("SPARKLINE({E78;G78;I78;K78;M78;O78;Q78})"),"#N/A")</f>
        <v>#N/A</v>
      </c>
      <c r="T78" s="7"/>
      <c r="U78" s="7"/>
      <c r="V78" s="7"/>
      <c r="W78" s="7"/>
      <c r="X78" s="7"/>
      <c r="Y78" s="7"/>
      <c r="Z78" s="7"/>
      <c r="AA78" s="7"/>
    </row>
    <row r="79" spans="1:27" ht="14.5" x14ac:dyDescent="0.6">
      <c r="A79" s="42">
        <f t="shared" si="0"/>
        <v>75</v>
      </c>
      <c r="B79" s="44"/>
      <c r="C79" s="43"/>
      <c r="D79" s="43"/>
      <c r="E79" s="43"/>
      <c r="F79" s="43"/>
      <c r="G79" s="43"/>
      <c r="H79" s="43"/>
      <c r="I79" s="43"/>
      <c r="J79" s="43"/>
      <c r="K79" s="43"/>
      <c r="L79" s="43"/>
      <c r="M79" s="43"/>
      <c r="N79" s="43"/>
      <c r="O79" s="43"/>
      <c r="P79" s="43"/>
      <c r="Q79" s="43"/>
      <c r="R79" s="48" t="str">
        <f ca="1">IFERROR(__xludf.DUMMYFUNCTION("SPARKLINE({D79,F79,H79,J79,L79,N79,P79})"),"#N/A")</f>
        <v>#N/A</v>
      </c>
      <c r="S79" s="45" t="str">
        <f ca="1">IFERROR(__xludf.DUMMYFUNCTION("SPARKLINE({E79;G79;I79;K79;M79;O79;Q79})"),"#N/A")</f>
        <v>#N/A</v>
      </c>
      <c r="T79" s="7"/>
      <c r="U79" s="7"/>
      <c r="V79" s="7"/>
      <c r="W79" s="7"/>
      <c r="X79" s="7"/>
      <c r="Y79" s="7"/>
      <c r="Z79" s="7"/>
      <c r="AA79" s="7"/>
    </row>
    <row r="80" spans="1:27" ht="14.5" x14ac:dyDescent="0.6">
      <c r="A80" s="42">
        <f t="shared" si="0"/>
        <v>76</v>
      </c>
      <c r="B80" s="44"/>
      <c r="C80" s="43"/>
      <c r="D80" s="43"/>
      <c r="E80" s="43"/>
      <c r="F80" s="43"/>
      <c r="G80" s="43"/>
      <c r="H80" s="43"/>
      <c r="I80" s="43"/>
      <c r="J80" s="43"/>
      <c r="K80" s="43"/>
      <c r="L80" s="43"/>
      <c r="M80" s="43"/>
      <c r="N80" s="43"/>
      <c r="O80" s="43"/>
      <c r="P80" s="43"/>
      <c r="Q80" s="43"/>
      <c r="R80" s="48" t="str">
        <f ca="1">IFERROR(__xludf.DUMMYFUNCTION("SPARKLINE({D80,F80,H80,J80,L80,N80,P80})"),"#N/A")</f>
        <v>#N/A</v>
      </c>
      <c r="S80" s="45" t="str">
        <f ca="1">IFERROR(__xludf.DUMMYFUNCTION("SPARKLINE({E80;G80;I80;K80;M80;O80;Q80})"),"#N/A")</f>
        <v>#N/A</v>
      </c>
      <c r="T80" s="7"/>
      <c r="U80" s="7"/>
      <c r="V80" s="7"/>
      <c r="W80" s="7"/>
      <c r="X80" s="7"/>
      <c r="Y80" s="7"/>
      <c r="Z80" s="7"/>
      <c r="AA80" s="7"/>
    </row>
    <row r="81" spans="1:27" ht="14.5" x14ac:dyDescent="0.6">
      <c r="A81" s="42">
        <f t="shared" si="0"/>
        <v>77</v>
      </c>
      <c r="B81" s="44"/>
      <c r="C81" s="43"/>
      <c r="D81" s="43"/>
      <c r="E81" s="43"/>
      <c r="F81" s="43"/>
      <c r="G81" s="43"/>
      <c r="H81" s="43"/>
      <c r="I81" s="43"/>
      <c r="J81" s="43"/>
      <c r="K81" s="43"/>
      <c r="L81" s="43"/>
      <c r="M81" s="43"/>
      <c r="N81" s="43"/>
      <c r="O81" s="43"/>
      <c r="P81" s="43"/>
      <c r="Q81" s="43"/>
      <c r="R81" s="48" t="str">
        <f ca="1">IFERROR(__xludf.DUMMYFUNCTION("SPARKLINE({D81,F81,H81,J81,L81,N81,P81})"),"#N/A")</f>
        <v>#N/A</v>
      </c>
      <c r="S81" s="45" t="str">
        <f ca="1">IFERROR(__xludf.DUMMYFUNCTION("SPARKLINE({E81;G81;I81;K81;M81;O81;Q81})"),"#N/A")</f>
        <v>#N/A</v>
      </c>
      <c r="T81" s="7"/>
      <c r="U81" s="7"/>
      <c r="V81" s="7"/>
      <c r="W81" s="7"/>
      <c r="X81" s="7"/>
      <c r="Y81" s="7"/>
      <c r="Z81" s="7"/>
      <c r="AA81" s="7"/>
    </row>
    <row r="82" spans="1:27" ht="14.5" x14ac:dyDescent="0.6">
      <c r="A82" s="42">
        <f t="shared" si="0"/>
        <v>78</v>
      </c>
      <c r="B82" s="44"/>
      <c r="C82" s="43"/>
      <c r="D82" s="43"/>
      <c r="E82" s="43"/>
      <c r="F82" s="43"/>
      <c r="G82" s="43"/>
      <c r="H82" s="43"/>
      <c r="I82" s="43"/>
      <c r="J82" s="43"/>
      <c r="K82" s="43"/>
      <c r="L82" s="43"/>
      <c r="M82" s="43"/>
      <c r="N82" s="43"/>
      <c r="O82" s="43"/>
      <c r="P82" s="43"/>
      <c r="Q82" s="43"/>
      <c r="R82" s="48" t="str">
        <f ca="1">IFERROR(__xludf.DUMMYFUNCTION("SPARKLINE({D82,F82,H82,J82,L82,N82,P82})"),"#N/A")</f>
        <v>#N/A</v>
      </c>
      <c r="S82" s="45" t="str">
        <f ca="1">IFERROR(__xludf.DUMMYFUNCTION("SPARKLINE({E82;G82;I82;K82;M82;O82;Q82})"),"#N/A")</f>
        <v>#N/A</v>
      </c>
      <c r="T82" s="7"/>
      <c r="U82" s="7"/>
      <c r="V82" s="7"/>
      <c r="W82" s="7"/>
      <c r="X82" s="7"/>
      <c r="Y82" s="7"/>
      <c r="Z82" s="7"/>
      <c r="AA82" s="7"/>
    </row>
    <row r="83" spans="1:27" ht="14.5" x14ac:dyDescent="0.6">
      <c r="A83" s="42">
        <f t="shared" si="0"/>
        <v>79</v>
      </c>
      <c r="B83" s="44"/>
      <c r="C83" s="43"/>
      <c r="D83" s="43"/>
      <c r="E83" s="43"/>
      <c r="F83" s="43"/>
      <c r="G83" s="43"/>
      <c r="H83" s="43"/>
      <c r="I83" s="43"/>
      <c r="J83" s="43"/>
      <c r="K83" s="43"/>
      <c r="L83" s="43"/>
      <c r="M83" s="43"/>
      <c r="N83" s="43"/>
      <c r="O83" s="43"/>
      <c r="P83" s="43"/>
      <c r="Q83" s="43"/>
      <c r="R83" s="48" t="str">
        <f ca="1">IFERROR(__xludf.DUMMYFUNCTION("SPARKLINE({D83,F83,H83,J83,L83,N83,P83})"),"#N/A")</f>
        <v>#N/A</v>
      </c>
      <c r="S83" s="45" t="str">
        <f ca="1">IFERROR(__xludf.DUMMYFUNCTION("SPARKLINE({E83;G83;I83;K83;M83;O83;Q83})"),"#N/A")</f>
        <v>#N/A</v>
      </c>
      <c r="T83" s="7"/>
      <c r="U83" s="7"/>
      <c r="V83" s="7"/>
      <c r="W83" s="7"/>
      <c r="X83" s="7"/>
      <c r="Y83" s="7"/>
      <c r="Z83" s="7"/>
      <c r="AA83" s="7"/>
    </row>
    <row r="84" spans="1:27" ht="14.5" x14ac:dyDescent="0.6">
      <c r="A84" s="42">
        <f t="shared" si="0"/>
        <v>80</v>
      </c>
      <c r="B84" s="44"/>
      <c r="C84" s="43"/>
      <c r="D84" s="43"/>
      <c r="E84" s="43"/>
      <c r="F84" s="43"/>
      <c r="G84" s="43"/>
      <c r="H84" s="43"/>
      <c r="I84" s="43"/>
      <c r="J84" s="43"/>
      <c r="K84" s="43"/>
      <c r="L84" s="43"/>
      <c r="M84" s="43"/>
      <c r="N84" s="43"/>
      <c r="O84" s="43"/>
      <c r="P84" s="43"/>
      <c r="Q84" s="43"/>
      <c r="R84" s="48" t="str">
        <f ca="1">IFERROR(__xludf.DUMMYFUNCTION("SPARKLINE({D84,F84,H84,J84,L84,N84,P84})"),"#N/A")</f>
        <v>#N/A</v>
      </c>
      <c r="S84" s="45" t="str">
        <f ca="1">IFERROR(__xludf.DUMMYFUNCTION("SPARKLINE({E84;G84;I84;K84;M84;O84;Q84})"),"#N/A")</f>
        <v>#N/A</v>
      </c>
      <c r="T84" s="7"/>
      <c r="U84" s="7"/>
      <c r="V84" s="7"/>
      <c r="W84" s="7"/>
      <c r="X84" s="7"/>
      <c r="Y84" s="7"/>
      <c r="Z84" s="7"/>
      <c r="AA84" s="7"/>
    </row>
    <row r="85" spans="1:27" ht="14.5" x14ac:dyDescent="0.6">
      <c r="A85" s="42">
        <f t="shared" si="0"/>
        <v>81</v>
      </c>
      <c r="B85" s="44"/>
      <c r="C85" s="43"/>
      <c r="D85" s="43"/>
      <c r="E85" s="43"/>
      <c r="F85" s="43"/>
      <c r="G85" s="43"/>
      <c r="H85" s="43"/>
      <c r="I85" s="43"/>
      <c r="J85" s="43"/>
      <c r="K85" s="43"/>
      <c r="L85" s="43"/>
      <c r="M85" s="43"/>
      <c r="N85" s="43"/>
      <c r="O85" s="43"/>
      <c r="P85" s="43"/>
      <c r="Q85" s="43"/>
      <c r="R85" s="48" t="str">
        <f ca="1">IFERROR(__xludf.DUMMYFUNCTION("SPARKLINE({D85,F85,H85,J85,L85,N85,P85})"),"#N/A")</f>
        <v>#N/A</v>
      </c>
      <c r="S85" s="45" t="str">
        <f ca="1">IFERROR(__xludf.DUMMYFUNCTION("SPARKLINE({E85;G85;I85;K85;M85;O85;Q85})"),"#N/A")</f>
        <v>#N/A</v>
      </c>
      <c r="T85" s="7"/>
      <c r="U85" s="7"/>
      <c r="V85" s="7"/>
      <c r="W85" s="7"/>
      <c r="X85" s="7"/>
      <c r="Y85" s="7"/>
      <c r="Z85" s="7"/>
      <c r="AA85" s="7"/>
    </row>
    <row r="86" spans="1:27" ht="14.5" x14ac:dyDescent="0.6">
      <c r="A86" s="42">
        <f t="shared" si="0"/>
        <v>82</v>
      </c>
      <c r="B86" s="44"/>
      <c r="C86" s="43"/>
      <c r="D86" s="43"/>
      <c r="E86" s="43"/>
      <c r="F86" s="43"/>
      <c r="G86" s="43"/>
      <c r="H86" s="43"/>
      <c r="I86" s="43"/>
      <c r="J86" s="43"/>
      <c r="K86" s="43"/>
      <c r="L86" s="43"/>
      <c r="M86" s="43"/>
      <c r="N86" s="43"/>
      <c r="O86" s="43"/>
      <c r="P86" s="43"/>
      <c r="Q86" s="43"/>
      <c r="R86" s="48" t="str">
        <f ca="1">IFERROR(__xludf.DUMMYFUNCTION("SPARKLINE({D86,F86,H86,J86,L86,N86,P86})"),"#N/A")</f>
        <v>#N/A</v>
      </c>
      <c r="S86" s="45" t="str">
        <f ca="1">IFERROR(__xludf.DUMMYFUNCTION("SPARKLINE({E86;G86;I86;K86;M86;O86;Q86})"),"#N/A")</f>
        <v>#N/A</v>
      </c>
      <c r="T86" s="7"/>
      <c r="U86" s="7"/>
      <c r="V86" s="7"/>
      <c r="W86" s="7"/>
      <c r="X86" s="7"/>
      <c r="Y86" s="7"/>
      <c r="Z86" s="7"/>
      <c r="AA86" s="7"/>
    </row>
    <row r="87" spans="1:27" ht="14.5" x14ac:dyDescent="0.6">
      <c r="A87" s="42">
        <f t="shared" si="0"/>
        <v>83</v>
      </c>
      <c r="B87" s="44"/>
      <c r="C87" s="43"/>
      <c r="D87" s="43"/>
      <c r="E87" s="43"/>
      <c r="F87" s="43"/>
      <c r="G87" s="43"/>
      <c r="H87" s="43"/>
      <c r="I87" s="43"/>
      <c r="J87" s="43"/>
      <c r="K87" s="43"/>
      <c r="L87" s="43"/>
      <c r="M87" s="43"/>
      <c r="N87" s="43"/>
      <c r="O87" s="43"/>
      <c r="P87" s="43"/>
      <c r="Q87" s="43"/>
      <c r="R87" s="48" t="str">
        <f ca="1">IFERROR(__xludf.DUMMYFUNCTION("SPARKLINE({D87,F87,H87,J87,L87,N87,P87})"),"#N/A")</f>
        <v>#N/A</v>
      </c>
      <c r="S87" s="45" t="str">
        <f ca="1">IFERROR(__xludf.DUMMYFUNCTION("SPARKLINE({E87;G87;I87;K87;M87;O87;Q87})"),"#N/A")</f>
        <v>#N/A</v>
      </c>
      <c r="T87" s="7"/>
      <c r="U87" s="7"/>
      <c r="V87" s="7"/>
      <c r="W87" s="7"/>
      <c r="X87" s="7"/>
      <c r="Y87" s="7"/>
      <c r="Z87" s="7"/>
      <c r="AA87" s="7"/>
    </row>
    <row r="88" spans="1:27" ht="14.5" x14ac:dyDescent="0.6">
      <c r="A88" s="42">
        <f t="shared" si="0"/>
        <v>84</v>
      </c>
      <c r="B88" s="44"/>
      <c r="C88" s="43"/>
      <c r="D88" s="43"/>
      <c r="E88" s="43"/>
      <c r="F88" s="43"/>
      <c r="G88" s="43"/>
      <c r="H88" s="43"/>
      <c r="I88" s="43"/>
      <c r="J88" s="43"/>
      <c r="K88" s="43"/>
      <c r="L88" s="43"/>
      <c r="M88" s="43"/>
      <c r="N88" s="43"/>
      <c r="O88" s="43"/>
      <c r="P88" s="43"/>
      <c r="Q88" s="43"/>
      <c r="R88" s="48" t="str">
        <f ca="1">IFERROR(__xludf.DUMMYFUNCTION("SPARKLINE({D88,F88,H88,J88,L88,N88,P88})"),"#N/A")</f>
        <v>#N/A</v>
      </c>
      <c r="S88" s="45" t="str">
        <f ca="1">IFERROR(__xludf.DUMMYFUNCTION("SPARKLINE({E88;G88;I88;K88;M88;O88;Q88})"),"#N/A")</f>
        <v>#N/A</v>
      </c>
      <c r="T88" s="7"/>
      <c r="U88" s="7"/>
      <c r="V88" s="7"/>
      <c r="W88" s="7"/>
      <c r="X88" s="7"/>
      <c r="Y88" s="7"/>
      <c r="Z88" s="7"/>
      <c r="AA88" s="7"/>
    </row>
    <row r="89" spans="1:27" ht="14.5" x14ac:dyDescent="0.6">
      <c r="A89" s="42">
        <f t="shared" si="0"/>
        <v>85</v>
      </c>
      <c r="B89" s="44"/>
      <c r="C89" s="43"/>
      <c r="D89" s="43"/>
      <c r="E89" s="43"/>
      <c r="F89" s="43"/>
      <c r="G89" s="43"/>
      <c r="H89" s="43"/>
      <c r="I89" s="43"/>
      <c r="J89" s="43"/>
      <c r="K89" s="43"/>
      <c r="L89" s="43"/>
      <c r="M89" s="43"/>
      <c r="N89" s="43"/>
      <c r="O89" s="43"/>
      <c r="P89" s="43"/>
      <c r="Q89" s="43"/>
      <c r="R89" s="48" t="str">
        <f ca="1">IFERROR(__xludf.DUMMYFUNCTION("SPARKLINE({D89,F89,H89,J89,L89,N89,P89})"),"#N/A")</f>
        <v>#N/A</v>
      </c>
      <c r="S89" s="45" t="str">
        <f ca="1">IFERROR(__xludf.DUMMYFUNCTION("SPARKLINE({E89;G89;I89;K89;M89;O89;Q89})"),"#N/A")</f>
        <v>#N/A</v>
      </c>
      <c r="T89" s="7"/>
      <c r="U89" s="7"/>
      <c r="V89" s="7"/>
      <c r="W89" s="7"/>
      <c r="X89" s="7"/>
      <c r="Y89" s="7"/>
      <c r="Z89" s="7"/>
      <c r="AA89" s="7"/>
    </row>
    <row r="90" spans="1:27" ht="14.5" x14ac:dyDescent="0.6">
      <c r="A90" s="42">
        <f t="shared" si="0"/>
        <v>86</v>
      </c>
      <c r="B90" s="44"/>
      <c r="C90" s="43"/>
      <c r="D90" s="43"/>
      <c r="E90" s="43"/>
      <c r="F90" s="43"/>
      <c r="G90" s="43"/>
      <c r="H90" s="43"/>
      <c r="I90" s="43"/>
      <c r="J90" s="43"/>
      <c r="K90" s="43"/>
      <c r="L90" s="43"/>
      <c r="M90" s="43"/>
      <c r="N90" s="43"/>
      <c r="O90" s="43"/>
      <c r="P90" s="43"/>
      <c r="Q90" s="43"/>
      <c r="R90" s="48" t="str">
        <f ca="1">IFERROR(__xludf.DUMMYFUNCTION("SPARKLINE({D90,F90,H90,J90,L90,N90,P90})"),"#N/A")</f>
        <v>#N/A</v>
      </c>
      <c r="S90" s="45" t="str">
        <f ca="1">IFERROR(__xludf.DUMMYFUNCTION("SPARKLINE({E90;G90;I90;K90;M90;O90;Q90})"),"#N/A")</f>
        <v>#N/A</v>
      </c>
      <c r="T90" s="7"/>
      <c r="U90" s="7"/>
      <c r="V90" s="7"/>
      <c r="W90" s="7"/>
      <c r="X90" s="7"/>
      <c r="Y90" s="7"/>
      <c r="Z90" s="7"/>
      <c r="AA90" s="7"/>
    </row>
    <row r="91" spans="1:27" ht="14.5" x14ac:dyDescent="0.6">
      <c r="A91" s="42">
        <f t="shared" si="0"/>
        <v>87</v>
      </c>
      <c r="B91" s="44"/>
      <c r="C91" s="43"/>
      <c r="D91" s="43"/>
      <c r="E91" s="43"/>
      <c r="F91" s="43"/>
      <c r="G91" s="43"/>
      <c r="H91" s="43"/>
      <c r="I91" s="43"/>
      <c r="J91" s="43"/>
      <c r="K91" s="43"/>
      <c r="L91" s="43"/>
      <c r="M91" s="43"/>
      <c r="N91" s="43"/>
      <c r="O91" s="43"/>
      <c r="P91" s="43"/>
      <c r="Q91" s="43"/>
      <c r="R91" s="48" t="str">
        <f ca="1">IFERROR(__xludf.DUMMYFUNCTION("SPARKLINE({D91,F91,H91,J91,L91,N91,P91})"),"#N/A")</f>
        <v>#N/A</v>
      </c>
      <c r="S91" s="45" t="str">
        <f ca="1">IFERROR(__xludf.DUMMYFUNCTION("SPARKLINE({E91;G91;I91;K91;M91;O91;Q91})"),"#N/A")</f>
        <v>#N/A</v>
      </c>
      <c r="T91" s="7"/>
      <c r="U91" s="7"/>
      <c r="V91" s="7"/>
      <c r="W91" s="7"/>
      <c r="X91" s="7"/>
      <c r="Y91" s="7"/>
      <c r="Z91" s="7"/>
      <c r="AA91" s="7"/>
    </row>
    <row r="92" spans="1:27" ht="14.5" x14ac:dyDescent="0.6">
      <c r="A92" s="42">
        <f t="shared" si="0"/>
        <v>88</v>
      </c>
      <c r="B92" s="44"/>
      <c r="C92" s="43"/>
      <c r="D92" s="43"/>
      <c r="E92" s="43"/>
      <c r="F92" s="43"/>
      <c r="G92" s="43"/>
      <c r="H92" s="43"/>
      <c r="I92" s="43"/>
      <c r="J92" s="43"/>
      <c r="K92" s="43"/>
      <c r="L92" s="43"/>
      <c r="M92" s="43"/>
      <c r="N92" s="43"/>
      <c r="O92" s="43"/>
      <c r="P92" s="43"/>
      <c r="Q92" s="43"/>
      <c r="R92" s="48" t="str">
        <f ca="1">IFERROR(__xludf.DUMMYFUNCTION("SPARKLINE({D92,F92,H92,J92,L92,N92,P92})"),"#N/A")</f>
        <v>#N/A</v>
      </c>
      <c r="S92" s="45" t="str">
        <f ca="1">IFERROR(__xludf.DUMMYFUNCTION("SPARKLINE({E92;G92;I92;K92;M92;O92;Q92})"),"#N/A")</f>
        <v>#N/A</v>
      </c>
      <c r="T92" s="7"/>
      <c r="U92" s="7"/>
      <c r="V92" s="7"/>
      <c r="W92" s="7"/>
      <c r="X92" s="7"/>
      <c r="Y92" s="7"/>
      <c r="Z92" s="7"/>
      <c r="AA92" s="7"/>
    </row>
    <row r="93" spans="1:27" ht="14.5" x14ac:dyDescent="0.6">
      <c r="A93" s="42">
        <f t="shared" si="0"/>
        <v>89</v>
      </c>
      <c r="B93" s="44"/>
      <c r="C93" s="43"/>
      <c r="D93" s="43"/>
      <c r="E93" s="43"/>
      <c r="F93" s="43"/>
      <c r="G93" s="43"/>
      <c r="H93" s="43"/>
      <c r="I93" s="43"/>
      <c r="J93" s="43"/>
      <c r="K93" s="43"/>
      <c r="L93" s="43"/>
      <c r="M93" s="43"/>
      <c r="N93" s="43"/>
      <c r="O93" s="43"/>
      <c r="P93" s="43"/>
      <c r="Q93" s="43"/>
      <c r="R93" s="48" t="str">
        <f ca="1">IFERROR(__xludf.DUMMYFUNCTION("SPARKLINE({D93,F93,H93,J93,L93,N93,P93})"),"#N/A")</f>
        <v>#N/A</v>
      </c>
      <c r="S93" s="45" t="str">
        <f ca="1">IFERROR(__xludf.DUMMYFUNCTION("SPARKLINE({E93;G93;I93;K93;M93;O93;Q93})"),"#N/A")</f>
        <v>#N/A</v>
      </c>
      <c r="T93" s="7"/>
      <c r="U93" s="7"/>
      <c r="V93" s="7"/>
      <c r="W93" s="7"/>
      <c r="X93" s="7"/>
      <c r="Y93" s="7"/>
      <c r="Z93" s="7"/>
      <c r="AA93" s="7"/>
    </row>
    <row r="94" spans="1:27" ht="14.5" x14ac:dyDescent="0.6">
      <c r="A94" s="42">
        <f t="shared" si="0"/>
        <v>90</v>
      </c>
      <c r="B94" s="44"/>
      <c r="C94" s="43"/>
      <c r="D94" s="43"/>
      <c r="E94" s="43"/>
      <c r="F94" s="43"/>
      <c r="G94" s="43"/>
      <c r="H94" s="43"/>
      <c r="I94" s="43"/>
      <c r="J94" s="43"/>
      <c r="K94" s="43"/>
      <c r="L94" s="43"/>
      <c r="M94" s="43"/>
      <c r="N94" s="43"/>
      <c r="O94" s="43"/>
      <c r="P94" s="43"/>
      <c r="Q94" s="43"/>
      <c r="R94" s="48" t="str">
        <f ca="1">IFERROR(__xludf.DUMMYFUNCTION("SPARKLINE({D94,F94,H94,J94,L94,N94,P94})"),"#N/A")</f>
        <v>#N/A</v>
      </c>
      <c r="S94" s="45" t="str">
        <f ca="1">IFERROR(__xludf.DUMMYFUNCTION("SPARKLINE({E94;G94;I94;K94;M94;O94;Q94})"),"#N/A")</f>
        <v>#N/A</v>
      </c>
      <c r="T94" s="7"/>
      <c r="U94" s="7"/>
      <c r="V94" s="7"/>
      <c r="W94" s="7"/>
      <c r="X94" s="7"/>
      <c r="Y94" s="7"/>
      <c r="Z94" s="7"/>
      <c r="AA94" s="7"/>
    </row>
    <row r="95" spans="1:27" ht="14.5" x14ac:dyDescent="0.6">
      <c r="A95" s="42">
        <f t="shared" si="0"/>
        <v>91</v>
      </c>
      <c r="B95" s="44"/>
      <c r="C95" s="43"/>
      <c r="D95" s="43"/>
      <c r="E95" s="43"/>
      <c r="F95" s="43"/>
      <c r="G95" s="43"/>
      <c r="H95" s="43"/>
      <c r="I95" s="43"/>
      <c r="J95" s="43"/>
      <c r="K95" s="43"/>
      <c r="L95" s="43"/>
      <c r="M95" s="43"/>
      <c r="N95" s="43"/>
      <c r="O95" s="43"/>
      <c r="P95" s="43"/>
      <c r="Q95" s="43"/>
      <c r="R95" s="48" t="str">
        <f ca="1">IFERROR(__xludf.DUMMYFUNCTION("SPARKLINE({D95,F95,H95,J95,L95,N95,P95})"),"#N/A")</f>
        <v>#N/A</v>
      </c>
      <c r="S95" s="45" t="str">
        <f ca="1">IFERROR(__xludf.DUMMYFUNCTION("SPARKLINE({E95;G95;I95;K95;M95;O95;Q95})"),"#N/A")</f>
        <v>#N/A</v>
      </c>
      <c r="T95" s="7"/>
      <c r="U95" s="7"/>
      <c r="V95" s="7"/>
      <c r="W95" s="7"/>
      <c r="X95" s="7"/>
      <c r="Y95" s="7"/>
      <c r="Z95" s="7"/>
      <c r="AA95" s="7"/>
    </row>
    <row r="96" spans="1:27" ht="14.5" x14ac:dyDescent="0.6">
      <c r="A96" s="42">
        <f t="shared" si="0"/>
        <v>92</v>
      </c>
      <c r="B96" s="44"/>
      <c r="C96" s="43"/>
      <c r="D96" s="43"/>
      <c r="E96" s="43"/>
      <c r="F96" s="43"/>
      <c r="G96" s="43"/>
      <c r="H96" s="43"/>
      <c r="I96" s="43"/>
      <c r="J96" s="43"/>
      <c r="K96" s="43"/>
      <c r="L96" s="43"/>
      <c r="M96" s="43"/>
      <c r="N96" s="43"/>
      <c r="O96" s="43"/>
      <c r="P96" s="43"/>
      <c r="Q96" s="43"/>
      <c r="R96" s="48" t="str">
        <f ca="1">IFERROR(__xludf.DUMMYFUNCTION("SPARKLINE({D96,F96,H96,J96,L96,N96,P96})"),"#N/A")</f>
        <v>#N/A</v>
      </c>
      <c r="S96" s="45" t="str">
        <f ca="1">IFERROR(__xludf.DUMMYFUNCTION("SPARKLINE({E96;G96;I96;K96;M96;O96;Q96})"),"#N/A")</f>
        <v>#N/A</v>
      </c>
      <c r="T96" s="7"/>
      <c r="U96" s="7"/>
      <c r="V96" s="7"/>
      <c r="W96" s="7"/>
      <c r="X96" s="7"/>
      <c r="Y96" s="7"/>
      <c r="Z96" s="7"/>
      <c r="AA96" s="7"/>
    </row>
    <row r="97" spans="1:27" ht="14.5" x14ac:dyDescent="0.6">
      <c r="A97" s="42">
        <f t="shared" si="0"/>
        <v>93</v>
      </c>
      <c r="B97" s="44"/>
      <c r="C97" s="43"/>
      <c r="D97" s="43"/>
      <c r="E97" s="43"/>
      <c r="F97" s="43"/>
      <c r="G97" s="43"/>
      <c r="H97" s="43"/>
      <c r="I97" s="43"/>
      <c r="J97" s="43"/>
      <c r="K97" s="43"/>
      <c r="L97" s="43"/>
      <c r="M97" s="43"/>
      <c r="N97" s="43"/>
      <c r="O97" s="43"/>
      <c r="P97" s="43"/>
      <c r="Q97" s="43"/>
      <c r="R97" s="48" t="str">
        <f ca="1">IFERROR(__xludf.DUMMYFUNCTION("SPARKLINE({D97,F97,H97,J97,L97,N97,P97})"),"#N/A")</f>
        <v>#N/A</v>
      </c>
      <c r="S97" s="45" t="str">
        <f ca="1">IFERROR(__xludf.DUMMYFUNCTION("SPARKLINE({E97;G97;I97;K97;M97;O97;Q97})"),"#N/A")</f>
        <v>#N/A</v>
      </c>
      <c r="T97" s="7"/>
      <c r="U97" s="7"/>
      <c r="V97" s="7"/>
      <c r="W97" s="7"/>
      <c r="X97" s="7"/>
      <c r="Y97" s="7"/>
      <c r="Z97" s="7"/>
      <c r="AA97" s="7"/>
    </row>
    <row r="98" spans="1:27" ht="14.5" x14ac:dyDescent="0.6">
      <c r="A98" s="42">
        <f t="shared" si="0"/>
        <v>94</v>
      </c>
      <c r="B98" s="44"/>
      <c r="C98" s="43"/>
      <c r="D98" s="43"/>
      <c r="E98" s="43"/>
      <c r="F98" s="43"/>
      <c r="G98" s="43"/>
      <c r="H98" s="43"/>
      <c r="I98" s="43"/>
      <c r="J98" s="43"/>
      <c r="K98" s="43"/>
      <c r="L98" s="43"/>
      <c r="M98" s="43"/>
      <c r="N98" s="43"/>
      <c r="O98" s="43"/>
      <c r="P98" s="43"/>
      <c r="Q98" s="43"/>
      <c r="R98" s="48" t="str">
        <f ca="1">IFERROR(__xludf.DUMMYFUNCTION("SPARKLINE({D98,F98,H98,J98,L98,N98,P98})"),"#N/A")</f>
        <v>#N/A</v>
      </c>
      <c r="S98" s="45" t="str">
        <f ca="1">IFERROR(__xludf.DUMMYFUNCTION("SPARKLINE({E98;G98;I98;K98;M98;O98;Q98})"),"#N/A")</f>
        <v>#N/A</v>
      </c>
      <c r="T98" s="7"/>
      <c r="U98" s="7"/>
      <c r="V98" s="7"/>
      <c r="W98" s="7"/>
      <c r="X98" s="7"/>
      <c r="Y98" s="7"/>
      <c r="Z98" s="7"/>
      <c r="AA98" s="7"/>
    </row>
    <row r="99" spans="1:27" ht="14.5" x14ac:dyDescent="0.6">
      <c r="A99" s="42">
        <f t="shared" si="0"/>
        <v>95</v>
      </c>
      <c r="B99" s="44"/>
      <c r="C99" s="43"/>
      <c r="D99" s="43"/>
      <c r="E99" s="43"/>
      <c r="F99" s="43"/>
      <c r="G99" s="43"/>
      <c r="H99" s="43"/>
      <c r="I99" s="43"/>
      <c r="J99" s="43"/>
      <c r="K99" s="43"/>
      <c r="L99" s="43"/>
      <c r="M99" s="43"/>
      <c r="N99" s="43"/>
      <c r="O99" s="43"/>
      <c r="P99" s="43"/>
      <c r="Q99" s="43"/>
      <c r="R99" s="48" t="str">
        <f ca="1">IFERROR(__xludf.DUMMYFUNCTION("SPARKLINE({D99,F99,H99,J99,L99,N99,P99})"),"#N/A")</f>
        <v>#N/A</v>
      </c>
      <c r="S99" s="45" t="str">
        <f ca="1">IFERROR(__xludf.DUMMYFUNCTION("SPARKLINE({E99;G99;I99;K99;M99;O99;Q99})"),"#N/A")</f>
        <v>#N/A</v>
      </c>
      <c r="T99" s="7"/>
      <c r="U99" s="7"/>
      <c r="V99" s="7"/>
      <c r="W99" s="7"/>
      <c r="X99" s="7"/>
      <c r="Y99" s="7"/>
      <c r="Z99" s="7"/>
      <c r="AA99" s="7"/>
    </row>
    <row r="100" spans="1:27" ht="14.5" x14ac:dyDescent="0.6">
      <c r="A100" s="42">
        <f t="shared" si="0"/>
        <v>96</v>
      </c>
      <c r="B100" s="44"/>
      <c r="C100" s="43"/>
      <c r="D100" s="43"/>
      <c r="E100" s="43"/>
      <c r="F100" s="43"/>
      <c r="G100" s="43"/>
      <c r="H100" s="43"/>
      <c r="I100" s="43"/>
      <c r="J100" s="43"/>
      <c r="K100" s="43"/>
      <c r="L100" s="43"/>
      <c r="M100" s="43"/>
      <c r="N100" s="43"/>
      <c r="O100" s="43"/>
      <c r="P100" s="43"/>
      <c r="Q100" s="43"/>
      <c r="R100" s="48" t="str">
        <f ca="1">IFERROR(__xludf.DUMMYFUNCTION("SPARKLINE({D100,F100,H100,J100,L100,N100,P100})"),"#N/A")</f>
        <v>#N/A</v>
      </c>
      <c r="S100" s="45" t="str">
        <f ca="1">IFERROR(__xludf.DUMMYFUNCTION("SPARKLINE({E100;G100;I100;K100;M100;O100;Q100})"),"#N/A")</f>
        <v>#N/A</v>
      </c>
      <c r="T100" s="7"/>
      <c r="U100" s="7"/>
      <c r="V100" s="7"/>
      <c r="W100" s="7"/>
      <c r="X100" s="7"/>
      <c r="Y100" s="7"/>
      <c r="Z100" s="7"/>
      <c r="AA100" s="7"/>
    </row>
    <row r="101" spans="1:27" ht="14.5" x14ac:dyDescent="0.6">
      <c r="A101" s="42">
        <f t="shared" si="0"/>
        <v>97</v>
      </c>
      <c r="B101" s="44"/>
      <c r="C101" s="43"/>
      <c r="D101" s="43"/>
      <c r="E101" s="43"/>
      <c r="F101" s="43"/>
      <c r="G101" s="43"/>
      <c r="H101" s="43"/>
      <c r="I101" s="43"/>
      <c r="J101" s="43"/>
      <c r="K101" s="43"/>
      <c r="L101" s="43"/>
      <c r="M101" s="43"/>
      <c r="N101" s="43"/>
      <c r="O101" s="43"/>
      <c r="P101" s="43"/>
      <c r="Q101" s="43"/>
      <c r="R101" s="48" t="str">
        <f ca="1">IFERROR(__xludf.DUMMYFUNCTION("SPARKLINE({D101,F101,H101,J101,L101,N101,P101})"),"#N/A")</f>
        <v>#N/A</v>
      </c>
      <c r="S101" s="45" t="str">
        <f ca="1">IFERROR(__xludf.DUMMYFUNCTION("SPARKLINE({E101;G101;I101;K101;M101;O101;Q101})"),"#N/A")</f>
        <v>#N/A</v>
      </c>
      <c r="T101" s="7"/>
      <c r="U101" s="7"/>
      <c r="V101" s="7"/>
      <c r="W101" s="7"/>
      <c r="X101" s="7"/>
      <c r="Y101" s="7"/>
      <c r="Z101" s="7"/>
      <c r="AA101" s="7"/>
    </row>
    <row r="102" spans="1:27" ht="14.5" x14ac:dyDescent="0.6">
      <c r="A102" s="42">
        <f t="shared" si="0"/>
        <v>98</v>
      </c>
      <c r="B102" s="44"/>
      <c r="C102" s="43"/>
      <c r="D102" s="43"/>
      <c r="E102" s="43"/>
      <c r="F102" s="43"/>
      <c r="G102" s="43"/>
      <c r="H102" s="43"/>
      <c r="I102" s="43"/>
      <c r="J102" s="43"/>
      <c r="K102" s="43"/>
      <c r="L102" s="43"/>
      <c r="M102" s="43"/>
      <c r="N102" s="43"/>
      <c r="O102" s="43"/>
      <c r="P102" s="43"/>
      <c r="Q102" s="43"/>
      <c r="R102" s="48" t="str">
        <f ca="1">IFERROR(__xludf.DUMMYFUNCTION("SPARKLINE({D102,F102,H102,J102,L102,N102,P102})"),"#N/A")</f>
        <v>#N/A</v>
      </c>
      <c r="S102" s="45" t="str">
        <f ca="1">IFERROR(__xludf.DUMMYFUNCTION("SPARKLINE({E102;G102;I102;K102;M102;O102;Q102})"),"#N/A")</f>
        <v>#N/A</v>
      </c>
      <c r="T102" s="7"/>
      <c r="U102" s="7"/>
      <c r="V102" s="7"/>
      <c r="W102" s="7"/>
      <c r="X102" s="7"/>
      <c r="Y102" s="7"/>
      <c r="Z102" s="7"/>
      <c r="AA102" s="7"/>
    </row>
    <row r="103" spans="1:27" ht="14.5" x14ac:dyDescent="0.6">
      <c r="A103" s="42">
        <f t="shared" si="0"/>
        <v>99</v>
      </c>
      <c r="B103" s="44"/>
      <c r="C103" s="43"/>
      <c r="D103" s="43"/>
      <c r="E103" s="43"/>
      <c r="F103" s="43"/>
      <c r="G103" s="43"/>
      <c r="H103" s="43"/>
      <c r="I103" s="43"/>
      <c r="J103" s="43"/>
      <c r="K103" s="43"/>
      <c r="L103" s="43"/>
      <c r="M103" s="43"/>
      <c r="N103" s="43"/>
      <c r="O103" s="43"/>
      <c r="P103" s="43"/>
      <c r="Q103" s="43"/>
      <c r="R103" s="48" t="str">
        <f ca="1">IFERROR(__xludf.DUMMYFUNCTION("SPARKLINE({D103,F103,H103,J103,L103,N103,P103})"),"#N/A")</f>
        <v>#N/A</v>
      </c>
      <c r="S103" s="45" t="str">
        <f ca="1">IFERROR(__xludf.DUMMYFUNCTION("SPARKLINE({E103;G103;I103;K103;M103;O103;Q103})"),"#N/A")</f>
        <v>#N/A</v>
      </c>
      <c r="T103" s="7"/>
      <c r="U103" s="7"/>
      <c r="V103" s="7"/>
      <c r="W103" s="7"/>
      <c r="X103" s="7"/>
      <c r="Y103" s="7"/>
      <c r="Z103" s="7"/>
      <c r="AA103" s="7"/>
    </row>
    <row r="104" spans="1:27" ht="14.5" x14ac:dyDescent="0.6">
      <c r="A104" s="42">
        <f t="shared" si="0"/>
        <v>100</v>
      </c>
      <c r="B104" s="44"/>
      <c r="C104" s="43"/>
      <c r="D104" s="43"/>
      <c r="E104" s="43"/>
      <c r="F104" s="43"/>
      <c r="G104" s="43"/>
      <c r="H104" s="43"/>
      <c r="I104" s="43"/>
      <c r="J104" s="43"/>
      <c r="K104" s="43"/>
      <c r="L104" s="43"/>
      <c r="M104" s="43"/>
      <c r="N104" s="43"/>
      <c r="O104" s="43"/>
      <c r="P104" s="43"/>
      <c r="Q104" s="43"/>
      <c r="R104" s="48" t="str">
        <f ca="1">IFERROR(__xludf.DUMMYFUNCTION("SPARKLINE({D104,F104,H104,J104,L104,N104,P104})"),"#N/A")</f>
        <v>#N/A</v>
      </c>
      <c r="S104" s="45" t="str">
        <f ca="1">IFERROR(__xludf.DUMMYFUNCTION("SPARKLINE({E104;G104;I104;K104;M104;O104;Q104})"),"#N/A")</f>
        <v>#N/A</v>
      </c>
      <c r="T104" s="7"/>
      <c r="U104" s="7"/>
      <c r="V104" s="7"/>
      <c r="W104" s="7"/>
      <c r="X104" s="7"/>
      <c r="Y104" s="7"/>
      <c r="Z104" s="7"/>
      <c r="AA104" s="7"/>
    </row>
    <row r="105" spans="1:27" ht="14.5" x14ac:dyDescent="0.6">
      <c r="A105" s="42">
        <f t="shared" si="0"/>
        <v>101</v>
      </c>
      <c r="B105" s="44"/>
      <c r="C105" s="43"/>
      <c r="D105" s="43"/>
      <c r="E105" s="43"/>
      <c r="F105" s="43"/>
      <c r="G105" s="43"/>
      <c r="H105" s="43"/>
      <c r="I105" s="43"/>
      <c r="J105" s="43"/>
      <c r="K105" s="43"/>
      <c r="L105" s="43"/>
      <c r="M105" s="43"/>
      <c r="N105" s="43"/>
      <c r="O105" s="43"/>
      <c r="P105" s="43"/>
      <c r="Q105" s="43"/>
      <c r="R105" s="48" t="str">
        <f ca="1">IFERROR(__xludf.DUMMYFUNCTION("SPARKLINE({D105,F105,H105,J105,L105,N105,P105})"),"#N/A")</f>
        <v>#N/A</v>
      </c>
      <c r="S105" s="45" t="str">
        <f ca="1">IFERROR(__xludf.DUMMYFUNCTION("SPARKLINE({E105;G105;I105;K105;M105;O105;Q105})"),"#N/A")</f>
        <v>#N/A</v>
      </c>
      <c r="T105" s="7"/>
      <c r="U105" s="7"/>
      <c r="V105" s="7"/>
      <c r="W105" s="7"/>
      <c r="X105" s="7"/>
      <c r="Y105" s="7"/>
      <c r="Z105" s="7"/>
      <c r="AA105" s="7"/>
    </row>
    <row r="106" spans="1:27" ht="14.5" x14ac:dyDescent="0.6">
      <c r="A106" s="42">
        <f t="shared" si="0"/>
        <v>102</v>
      </c>
      <c r="B106" s="44"/>
      <c r="C106" s="43"/>
      <c r="D106" s="43"/>
      <c r="E106" s="43"/>
      <c r="F106" s="43"/>
      <c r="G106" s="43"/>
      <c r="H106" s="43"/>
      <c r="I106" s="43"/>
      <c r="J106" s="43"/>
      <c r="K106" s="43"/>
      <c r="L106" s="43"/>
      <c r="M106" s="43"/>
      <c r="N106" s="43"/>
      <c r="O106" s="43"/>
      <c r="P106" s="43"/>
      <c r="Q106" s="43"/>
      <c r="R106" s="48" t="str">
        <f ca="1">IFERROR(__xludf.DUMMYFUNCTION("SPARKLINE({D106,F106,H106,J106,L106,N106,P106})"),"#N/A")</f>
        <v>#N/A</v>
      </c>
      <c r="S106" s="45" t="str">
        <f ca="1">IFERROR(__xludf.DUMMYFUNCTION("SPARKLINE({E106;G106;I106;K106;M106;O106;Q106})"),"#N/A")</f>
        <v>#N/A</v>
      </c>
      <c r="T106" s="7"/>
      <c r="U106" s="7"/>
      <c r="V106" s="7"/>
      <c r="W106" s="7"/>
      <c r="X106" s="7"/>
      <c r="Y106" s="7"/>
      <c r="Z106" s="7"/>
      <c r="AA106" s="7"/>
    </row>
    <row r="107" spans="1:27" ht="14.5" x14ac:dyDescent="0.6">
      <c r="A107" s="42">
        <f t="shared" si="0"/>
        <v>103</v>
      </c>
      <c r="B107" s="44"/>
      <c r="C107" s="43"/>
      <c r="D107" s="43"/>
      <c r="E107" s="43"/>
      <c r="F107" s="43"/>
      <c r="G107" s="43"/>
      <c r="H107" s="43"/>
      <c r="I107" s="43"/>
      <c r="J107" s="43"/>
      <c r="K107" s="43"/>
      <c r="L107" s="43"/>
      <c r="M107" s="43"/>
      <c r="N107" s="43"/>
      <c r="O107" s="43"/>
      <c r="P107" s="43"/>
      <c r="Q107" s="43"/>
      <c r="R107" s="48" t="str">
        <f ca="1">IFERROR(__xludf.DUMMYFUNCTION("SPARKLINE({D107,F107,H107,J107,L107,N107,P107})"),"#N/A")</f>
        <v>#N/A</v>
      </c>
      <c r="S107" s="45" t="str">
        <f ca="1">IFERROR(__xludf.DUMMYFUNCTION("SPARKLINE({E107;G107;I107;K107;M107;O107;Q107})"),"#N/A")</f>
        <v>#N/A</v>
      </c>
      <c r="T107" s="7"/>
      <c r="U107" s="7"/>
      <c r="V107" s="7"/>
      <c r="W107" s="7"/>
      <c r="X107" s="7"/>
      <c r="Y107" s="7"/>
      <c r="Z107" s="7"/>
      <c r="AA107" s="7"/>
    </row>
    <row r="108" spans="1:27" ht="14.5" x14ac:dyDescent="0.6">
      <c r="A108" s="42">
        <f t="shared" si="0"/>
        <v>104</v>
      </c>
      <c r="B108" s="44"/>
      <c r="C108" s="43"/>
      <c r="D108" s="43"/>
      <c r="E108" s="43"/>
      <c r="F108" s="43"/>
      <c r="G108" s="43"/>
      <c r="H108" s="43"/>
      <c r="I108" s="43"/>
      <c r="J108" s="43"/>
      <c r="K108" s="43"/>
      <c r="L108" s="43"/>
      <c r="M108" s="43"/>
      <c r="N108" s="43"/>
      <c r="O108" s="43"/>
      <c r="P108" s="43"/>
      <c r="Q108" s="43"/>
      <c r="R108" s="48" t="str">
        <f ca="1">IFERROR(__xludf.DUMMYFUNCTION("SPARKLINE({D108,F108,H108,J108,L108,N108,P108})"),"#N/A")</f>
        <v>#N/A</v>
      </c>
      <c r="S108" s="45" t="str">
        <f ca="1">IFERROR(__xludf.DUMMYFUNCTION("SPARKLINE({E108;G108;I108;K108;M108;O108;Q108})"),"#N/A")</f>
        <v>#N/A</v>
      </c>
      <c r="T108" s="7"/>
      <c r="U108" s="7"/>
      <c r="V108" s="7"/>
      <c r="W108" s="7"/>
      <c r="X108" s="7"/>
      <c r="Y108" s="7"/>
      <c r="Z108" s="7"/>
      <c r="AA108" s="7"/>
    </row>
    <row r="109" spans="1:27" ht="14.5" x14ac:dyDescent="0.6">
      <c r="A109" s="42">
        <f t="shared" si="0"/>
        <v>105</v>
      </c>
      <c r="B109" s="44"/>
      <c r="C109" s="43"/>
      <c r="D109" s="43"/>
      <c r="E109" s="43"/>
      <c r="F109" s="43"/>
      <c r="G109" s="43"/>
      <c r="H109" s="43"/>
      <c r="I109" s="43"/>
      <c r="J109" s="43"/>
      <c r="K109" s="43"/>
      <c r="L109" s="43"/>
      <c r="M109" s="43"/>
      <c r="N109" s="43"/>
      <c r="O109" s="43"/>
      <c r="P109" s="43"/>
      <c r="Q109" s="43"/>
      <c r="R109" s="48" t="str">
        <f ca="1">IFERROR(__xludf.DUMMYFUNCTION("SPARKLINE({D109,F109,H109,J109,L109,N109,P109})"),"#N/A")</f>
        <v>#N/A</v>
      </c>
      <c r="S109" s="45" t="str">
        <f ca="1">IFERROR(__xludf.DUMMYFUNCTION("SPARKLINE({E109;G109;I109;K109;M109;O109;Q109})"),"#N/A")</f>
        <v>#N/A</v>
      </c>
      <c r="T109" s="7"/>
      <c r="U109" s="7"/>
      <c r="V109" s="7"/>
      <c r="W109" s="7"/>
      <c r="X109" s="7"/>
      <c r="Y109" s="7"/>
      <c r="Z109" s="7"/>
      <c r="AA109" s="7"/>
    </row>
    <row r="110" spans="1:27" ht="14.5" x14ac:dyDescent="0.6">
      <c r="A110" s="42">
        <f t="shared" si="0"/>
        <v>106</v>
      </c>
      <c r="B110" s="44"/>
      <c r="C110" s="43"/>
      <c r="D110" s="43"/>
      <c r="E110" s="43"/>
      <c r="F110" s="43"/>
      <c r="G110" s="43"/>
      <c r="H110" s="43"/>
      <c r="I110" s="43"/>
      <c r="J110" s="43"/>
      <c r="K110" s="43"/>
      <c r="L110" s="43"/>
      <c r="M110" s="43"/>
      <c r="N110" s="43"/>
      <c r="O110" s="43"/>
      <c r="P110" s="43"/>
      <c r="Q110" s="43"/>
      <c r="R110" s="48" t="str">
        <f ca="1">IFERROR(__xludf.DUMMYFUNCTION("SPARKLINE({D110,F110,H110,J110,L110,N110,P110})"),"#N/A")</f>
        <v>#N/A</v>
      </c>
      <c r="S110" s="45" t="str">
        <f ca="1">IFERROR(__xludf.DUMMYFUNCTION("SPARKLINE({E110;G110;I110;K110;M110;O110;Q110})"),"#N/A")</f>
        <v>#N/A</v>
      </c>
      <c r="T110" s="7"/>
      <c r="U110" s="7"/>
      <c r="V110" s="7"/>
      <c r="W110" s="7"/>
      <c r="X110" s="7"/>
      <c r="Y110" s="7"/>
      <c r="Z110" s="7"/>
      <c r="AA110" s="7"/>
    </row>
    <row r="111" spans="1:27" ht="14.5" x14ac:dyDescent="0.6">
      <c r="A111" s="42">
        <f t="shared" si="0"/>
        <v>107</v>
      </c>
      <c r="B111" s="44"/>
      <c r="C111" s="43"/>
      <c r="D111" s="43"/>
      <c r="E111" s="43"/>
      <c r="F111" s="43"/>
      <c r="G111" s="43"/>
      <c r="H111" s="43"/>
      <c r="I111" s="43"/>
      <c r="J111" s="43"/>
      <c r="K111" s="43"/>
      <c r="L111" s="43"/>
      <c r="M111" s="43"/>
      <c r="N111" s="43"/>
      <c r="O111" s="43"/>
      <c r="P111" s="43"/>
      <c r="Q111" s="43"/>
      <c r="R111" s="48" t="str">
        <f ca="1">IFERROR(__xludf.DUMMYFUNCTION("SPARKLINE({D111,F111,H111,J111,L111,N111,P111})"),"#N/A")</f>
        <v>#N/A</v>
      </c>
      <c r="S111" s="45" t="str">
        <f ca="1">IFERROR(__xludf.DUMMYFUNCTION("SPARKLINE({E111;G111;I111;K111;M111;O111;Q111})"),"#N/A")</f>
        <v>#N/A</v>
      </c>
      <c r="T111" s="7"/>
      <c r="U111" s="7"/>
      <c r="V111" s="7"/>
      <c r="W111" s="7"/>
      <c r="X111" s="7"/>
      <c r="Y111" s="7"/>
      <c r="Z111" s="7"/>
      <c r="AA111" s="7"/>
    </row>
    <row r="112" spans="1:27" ht="14.5" x14ac:dyDescent="0.6">
      <c r="A112" s="42">
        <f t="shared" si="0"/>
        <v>108</v>
      </c>
      <c r="B112" s="44"/>
      <c r="C112" s="43"/>
      <c r="D112" s="43"/>
      <c r="E112" s="43"/>
      <c r="F112" s="43"/>
      <c r="G112" s="43"/>
      <c r="H112" s="43"/>
      <c r="I112" s="43"/>
      <c r="J112" s="43"/>
      <c r="K112" s="43"/>
      <c r="L112" s="43"/>
      <c r="M112" s="43"/>
      <c r="N112" s="43"/>
      <c r="O112" s="43"/>
      <c r="P112" s="43"/>
      <c r="Q112" s="43"/>
      <c r="R112" s="48" t="str">
        <f ca="1">IFERROR(__xludf.DUMMYFUNCTION("SPARKLINE({D112,F112,H112,J112,L112,N112,P112})"),"#N/A")</f>
        <v>#N/A</v>
      </c>
      <c r="S112" s="45" t="str">
        <f ca="1">IFERROR(__xludf.DUMMYFUNCTION("SPARKLINE({E112;G112;I112;K112;M112;O112;Q112})"),"#N/A")</f>
        <v>#N/A</v>
      </c>
      <c r="T112" s="7"/>
      <c r="U112" s="7"/>
      <c r="V112" s="7"/>
      <c r="W112" s="7"/>
      <c r="X112" s="7"/>
      <c r="Y112" s="7"/>
      <c r="Z112" s="7"/>
      <c r="AA112" s="7"/>
    </row>
    <row r="113" spans="1:27" ht="14.5" x14ac:dyDescent="0.6">
      <c r="A113" s="42">
        <f t="shared" si="0"/>
        <v>109</v>
      </c>
      <c r="B113" s="44"/>
      <c r="C113" s="43"/>
      <c r="D113" s="43"/>
      <c r="E113" s="43"/>
      <c r="F113" s="43"/>
      <c r="G113" s="43"/>
      <c r="H113" s="43"/>
      <c r="I113" s="43"/>
      <c r="J113" s="43"/>
      <c r="K113" s="43"/>
      <c r="L113" s="43"/>
      <c r="M113" s="43"/>
      <c r="N113" s="43"/>
      <c r="O113" s="43"/>
      <c r="P113" s="43"/>
      <c r="Q113" s="43"/>
      <c r="R113" s="48" t="str">
        <f ca="1">IFERROR(__xludf.DUMMYFUNCTION("SPARKLINE({D113,F113,H113,J113,L113,N113,P113})"),"#N/A")</f>
        <v>#N/A</v>
      </c>
      <c r="S113" s="45" t="str">
        <f ca="1">IFERROR(__xludf.DUMMYFUNCTION("SPARKLINE({E113;G113;I113;K113;M113;O113;Q113})"),"#N/A")</f>
        <v>#N/A</v>
      </c>
      <c r="T113" s="7"/>
      <c r="U113" s="7"/>
      <c r="V113" s="7"/>
      <c r="W113" s="7"/>
      <c r="X113" s="7"/>
      <c r="Y113" s="7"/>
      <c r="Z113" s="7"/>
      <c r="AA113" s="7"/>
    </row>
    <row r="114" spans="1:27" ht="14.5" x14ac:dyDescent="0.6">
      <c r="A114" s="42">
        <f t="shared" si="0"/>
        <v>110</v>
      </c>
      <c r="B114" s="44"/>
      <c r="C114" s="43"/>
      <c r="D114" s="43"/>
      <c r="E114" s="43"/>
      <c r="F114" s="43"/>
      <c r="G114" s="43"/>
      <c r="H114" s="43"/>
      <c r="I114" s="43"/>
      <c r="J114" s="43"/>
      <c r="K114" s="43"/>
      <c r="L114" s="43"/>
      <c r="M114" s="43"/>
      <c r="N114" s="43"/>
      <c r="O114" s="43"/>
      <c r="P114" s="43"/>
      <c r="Q114" s="43"/>
      <c r="R114" s="48" t="str">
        <f ca="1">IFERROR(__xludf.DUMMYFUNCTION("SPARKLINE({D114,F114,H114,J114,L114,N114,P114})"),"#N/A")</f>
        <v>#N/A</v>
      </c>
      <c r="S114" s="45" t="str">
        <f ca="1">IFERROR(__xludf.DUMMYFUNCTION("SPARKLINE({E114;G114;I114;K114;M114;O114;Q114})"),"#N/A")</f>
        <v>#N/A</v>
      </c>
      <c r="T114" s="7"/>
      <c r="U114" s="7"/>
      <c r="V114" s="7"/>
      <c r="W114" s="7"/>
      <c r="X114" s="7"/>
      <c r="Y114" s="7"/>
      <c r="Z114" s="7"/>
      <c r="AA114" s="7"/>
    </row>
    <row r="115" spans="1:27" ht="14.5" x14ac:dyDescent="0.6">
      <c r="A115" s="42">
        <f t="shared" si="0"/>
        <v>111</v>
      </c>
      <c r="B115" s="44"/>
      <c r="C115" s="43"/>
      <c r="D115" s="43"/>
      <c r="E115" s="43"/>
      <c r="F115" s="43"/>
      <c r="G115" s="43"/>
      <c r="H115" s="43"/>
      <c r="I115" s="43"/>
      <c r="J115" s="43"/>
      <c r="K115" s="43"/>
      <c r="L115" s="43"/>
      <c r="M115" s="43"/>
      <c r="N115" s="43"/>
      <c r="O115" s="43"/>
      <c r="P115" s="43"/>
      <c r="Q115" s="43"/>
      <c r="R115" s="48" t="str">
        <f ca="1">IFERROR(__xludf.DUMMYFUNCTION("SPARKLINE({D115,F115,H115,J115,L115,N115,P115})"),"#N/A")</f>
        <v>#N/A</v>
      </c>
      <c r="S115" s="45" t="str">
        <f ca="1">IFERROR(__xludf.DUMMYFUNCTION("SPARKLINE({E115;G115;I115;K115;M115;O115;Q115})"),"#N/A")</f>
        <v>#N/A</v>
      </c>
      <c r="T115" s="7"/>
      <c r="U115" s="7"/>
      <c r="V115" s="7"/>
      <c r="W115" s="7"/>
      <c r="X115" s="7"/>
      <c r="Y115" s="7"/>
      <c r="Z115" s="7"/>
      <c r="AA115" s="7"/>
    </row>
    <row r="116" spans="1:27" ht="14.5" x14ac:dyDescent="0.6">
      <c r="A116" s="42">
        <f t="shared" si="0"/>
        <v>112</v>
      </c>
      <c r="B116" s="44"/>
      <c r="C116" s="43"/>
      <c r="D116" s="43"/>
      <c r="E116" s="43"/>
      <c r="F116" s="43"/>
      <c r="G116" s="43"/>
      <c r="H116" s="43"/>
      <c r="I116" s="43"/>
      <c r="J116" s="43"/>
      <c r="K116" s="43"/>
      <c r="L116" s="43"/>
      <c r="M116" s="43"/>
      <c r="N116" s="43"/>
      <c r="O116" s="43"/>
      <c r="P116" s="43"/>
      <c r="Q116" s="43"/>
      <c r="R116" s="48" t="str">
        <f ca="1">IFERROR(__xludf.DUMMYFUNCTION("SPARKLINE({D116,F116,H116,J116,L116,N116,P116})"),"#N/A")</f>
        <v>#N/A</v>
      </c>
      <c r="S116" s="45" t="str">
        <f ca="1">IFERROR(__xludf.DUMMYFUNCTION("SPARKLINE({E116;G116;I116;K116;M116;O116;Q116})"),"#N/A")</f>
        <v>#N/A</v>
      </c>
      <c r="T116" s="7"/>
      <c r="U116" s="7"/>
      <c r="V116" s="7"/>
      <c r="W116" s="7"/>
      <c r="X116" s="7"/>
      <c r="Y116" s="7"/>
      <c r="Z116" s="7"/>
      <c r="AA116" s="7"/>
    </row>
    <row r="117" spans="1:27" ht="14.5" x14ac:dyDescent="0.6">
      <c r="A117" s="42">
        <f t="shared" si="0"/>
        <v>113</v>
      </c>
      <c r="B117" s="44"/>
      <c r="C117" s="43"/>
      <c r="D117" s="43"/>
      <c r="E117" s="43"/>
      <c r="F117" s="43"/>
      <c r="G117" s="43"/>
      <c r="H117" s="43"/>
      <c r="I117" s="43"/>
      <c r="J117" s="43"/>
      <c r="K117" s="43"/>
      <c r="L117" s="43"/>
      <c r="M117" s="43"/>
      <c r="N117" s="43"/>
      <c r="O117" s="43"/>
      <c r="P117" s="43"/>
      <c r="Q117" s="43"/>
      <c r="R117" s="48" t="str">
        <f ca="1">IFERROR(__xludf.DUMMYFUNCTION("SPARKLINE({D117,F117,H117,J117,L117,N117,P117})"),"#N/A")</f>
        <v>#N/A</v>
      </c>
      <c r="S117" s="45" t="str">
        <f ca="1">IFERROR(__xludf.DUMMYFUNCTION("SPARKLINE({E117;G117;I117;K117;M117;O117;Q117})"),"#N/A")</f>
        <v>#N/A</v>
      </c>
      <c r="T117" s="7"/>
      <c r="U117" s="7"/>
      <c r="V117" s="7"/>
      <c r="W117" s="7"/>
      <c r="X117" s="7"/>
      <c r="Y117" s="7"/>
      <c r="Z117" s="7"/>
      <c r="AA117" s="7"/>
    </row>
    <row r="118" spans="1:27" ht="14.5" x14ac:dyDescent="0.6">
      <c r="A118" s="42">
        <f t="shared" si="0"/>
        <v>114</v>
      </c>
      <c r="B118" s="44"/>
      <c r="C118" s="43"/>
      <c r="D118" s="43"/>
      <c r="E118" s="43"/>
      <c r="F118" s="43"/>
      <c r="G118" s="43"/>
      <c r="H118" s="43"/>
      <c r="I118" s="43"/>
      <c r="J118" s="43"/>
      <c r="K118" s="43"/>
      <c r="L118" s="43"/>
      <c r="M118" s="43"/>
      <c r="N118" s="43"/>
      <c r="O118" s="43"/>
      <c r="P118" s="43"/>
      <c r="Q118" s="43"/>
      <c r="R118" s="48" t="str">
        <f ca="1">IFERROR(__xludf.DUMMYFUNCTION("SPARKLINE({D118,F118,H118,J118,L118,N118,P118})"),"#N/A")</f>
        <v>#N/A</v>
      </c>
      <c r="S118" s="45" t="str">
        <f ca="1">IFERROR(__xludf.DUMMYFUNCTION("SPARKLINE({E118;G118;I118;K118;M118;O118;Q118})"),"#N/A")</f>
        <v>#N/A</v>
      </c>
      <c r="T118" s="7"/>
      <c r="U118" s="7"/>
      <c r="V118" s="7"/>
      <c r="W118" s="7"/>
      <c r="X118" s="7"/>
      <c r="Y118" s="7"/>
      <c r="Z118" s="7"/>
      <c r="AA118" s="7"/>
    </row>
    <row r="119" spans="1:27" ht="14.5" x14ac:dyDescent="0.6">
      <c r="A119" s="42">
        <f t="shared" si="0"/>
        <v>115</v>
      </c>
      <c r="B119" s="44"/>
      <c r="C119" s="43"/>
      <c r="D119" s="43"/>
      <c r="E119" s="43"/>
      <c r="F119" s="43"/>
      <c r="G119" s="43"/>
      <c r="H119" s="43"/>
      <c r="I119" s="43"/>
      <c r="J119" s="43"/>
      <c r="K119" s="43"/>
      <c r="L119" s="43"/>
      <c r="M119" s="43"/>
      <c r="N119" s="43"/>
      <c r="O119" s="43"/>
      <c r="P119" s="43"/>
      <c r="Q119" s="43"/>
      <c r="R119" s="48" t="str">
        <f ca="1">IFERROR(__xludf.DUMMYFUNCTION("SPARKLINE({D119,F119,H119,J119,L119,N119,P119})"),"#N/A")</f>
        <v>#N/A</v>
      </c>
      <c r="S119" s="45" t="str">
        <f ca="1">IFERROR(__xludf.DUMMYFUNCTION("SPARKLINE({E119;G119;I119;K119;M119;O119;Q119})"),"#N/A")</f>
        <v>#N/A</v>
      </c>
      <c r="T119" s="7"/>
      <c r="U119" s="7"/>
      <c r="V119" s="7"/>
      <c r="W119" s="7"/>
      <c r="X119" s="7"/>
      <c r="Y119" s="7"/>
      <c r="Z119" s="7"/>
      <c r="AA119" s="7"/>
    </row>
    <row r="120" spans="1:27" ht="14.5" x14ac:dyDescent="0.6">
      <c r="A120" s="42">
        <f t="shared" si="0"/>
        <v>116</v>
      </c>
      <c r="B120" s="44"/>
      <c r="C120" s="43"/>
      <c r="D120" s="43"/>
      <c r="E120" s="43"/>
      <c r="F120" s="43"/>
      <c r="G120" s="43"/>
      <c r="H120" s="43"/>
      <c r="I120" s="43"/>
      <c r="J120" s="43"/>
      <c r="K120" s="43"/>
      <c r="L120" s="43"/>
      <c r="M120" s="43"/>
      <c r="N120" s="43"/>
      <c r="O120" s="43"/>
      <c r="P120" s="43"/>
      <c r="Q120" s="43"/>
      <c r="R120" s="48" t="str">
        <f ca="1">IFERROR(__xludf.DUMMYFUNCTION("SPARKLINE({D120,F120,H120,J120,L120,N120,P120})"),"#N/A")</f>
        <v>#N/A</v>
      </c>
      <c r="S120" s="45" t="str">
        <f ca="1">IFERROR(__xludf.DUMMYFUNCTION("SPARKLINE({E120;G120;I120;K120;M120;O120;Q120})"),"#N/A")</f>
        <v>#N/A</v>
      </c>
      <c r="T120" s="7"/>
      <c r="U120" s="7"/>
      <c r="V120" s="7"/>
      <c r="W120" s="7"/>
      <c r="X120" s="7"/>
      <c r="Y120" s="7"/>
      <c r="Z120" s="7"/>
      <c r="AA120" s="7"/>
    </row>
    <row r="121" spans="1:27" ht="14.5" x14ac:dyDescent="0.6">
      <c r="A121" s="42">
        <f t="shared" si="0"/>
        <v>117</v>
      </c>
      <c r="B121" s="44"/>
      <c r="C121" s="43"/>
      <c r="D121" s="43"/>
      <c r="E121" s="43"/>
      <c r="F121" s="43"/>
      <c r="G121" s="43"/>
      <c r="H121" s="43"/>
      <c r="I121" s="43"/>
      <c r="J121" s="43"/>
      <c r="K121" s="43"/>
      <c r="L121" s="43"/>
      <c r="M121" s="43"/>
      <c r="N121" s="43"/>
      <c r="O121" s="43"/>
      <c r="P121" s="43"/>
      <c r="Q121" s="43"/>
      <c r="R121" s="48" t="str">
        <f ca="1">IFERROR(__xludf.DUMMYFUNCTION("SPARKLINE({D121,F121,H121,J121,L121,N121,P121})"),"#N/A")</f>
        <v>#N/A</v>
      </c>
      <c r="S121" s="45" t="str">
        <f ca="1">IFERROR(__xludf.DUMMYFUNCTION("SPARKLINE({E121;G121;I121;K121;M121;O121;Q121})"),"#N/A")</f>
        <v>#N/A</v>
      </c>
      <c r="T121" s="7"/>
      <c r="U121" s="7"/>
      <c r="V121" s="7"/>
      <c r="W121" s="7"/>
      <c r="X121" s="7"/>
      <c r="Y121" s="7"/>
      <c r="Z121" s="7"/>
      <c r="AA121" s="7"/>
    </row>
    <row r="122" spans="1:27" ht="14.5" x14ac:dyDescent="0.6">
      <c r="A122" s="42">
        <f t="shared" si="0"/>
        <v>118</v>
      </c>
      <c r="B122" s="44"/>
      <c r="C122" s="43"/>
      <c r="D122" s="43"/>
      <c r="E122" s="43"/>
      <c r="F122" s="43"/>
      <c r="G122" s="43"/>
      <c r="H122" s="43"/>
      <c r="I122" s="43"/>
      <c r="J122" s="43"/>
      <c r="K122" s="43"/>
      <c r="L122" s="43"/>
      <c r="M122" s="43"/>
      <c r="N122" s="43"/>
      <c r="O122" s="43"/>
      <c r="P122" s="43"/>
      <c r="Q122" s="43"/>
      <c r="R122" s="48" t="str">
        <f ca="1">IFERROR(__xludf.DUMMYFUNCTION("SPARKLINE({D122,F122,H122,J122,L122,N122,P122})"),"#N/A")</f>
        <v>#N/A</v>
      </c>
      <c r="S122" s="45" t="str">
        <f ca="1">IFERROR(__xludf.DUMMYFUNCTION("SPARKLINE({E122;G122;I122;K122;M122;O122;Q122})"),"#N/A")</f>
        <v>#N/A</v>
      </c>
      <c r="T122" s="7"/>
      <c r="U122" s="7"/>
      <c r="V122" s="7"/>
      <c r="W122" s="7"/>
      <c r="X122" s="7"/>
      <c r="Y122" s="7"/>
      <c r="Z122" s="7"/>
      <c r="AA122" s="7"/>
    </row>
    <row r="123" spans="1:27" ht="14.5" x14ac:dyDescent="0.6">
      <c r="A123" s="42">
        <f t="shared" si="0"/>
        <v>119</v>
      </c>
      <c r="B123" s="44"/>
      <c r="C123" s="43"/>
      <c r="D123" s="43"/>
      <c r="E123" s="43"/>
      <c r="F123" s="43"/>
      <c r="G123" s="43"/>
      <c r="H123" s="43"/>
      <c r="I123" s="43"/>
      <c r="J123" s="43"/>
      <c r="K123" s="43"/>
      <c r="L123" s="43"/>
      <c r="M123" s="43"/>
      <c r="N123" s="43"/>
      <c r="O123" s="43"/>
      <c r="P123" s="43"/>
      <c r="Q123" s="43"/>
      <c r="R123" s="48" t="str">
        <f ca="1">IFERROR(__xludf.DUMMYFUNCTION("SPARKLINE({D123,F123,H123,J123,L123,N123,P123})"),"#N/A")</f>
        <v>#N/A</v>
      </c>
      <c r="S123" s="45" t="str">
        <f ca="1">IFERROR(__xludf.DUMMYFUNCTION("SPARKLINE({E123;G123;I123;K123;M123;O123;Q123})"),"#N/A")</f>
        <v>#N/A</v>
      </c>
      <c r="T123" s="7"/>
      <c r="U123" s="7"/>
      <c r="V123" s="7"/>
      <c r="W123" s="7"/>
      <c r="X123" s="7"/>
      <c r="Y123" s="7"/>
      <c r="Z123" s="7"/>
      <c r="AA123" s="7"/>
    </row>
    <row r="124" spans="1:27" ht="14.5" x14ac:dyDescent="0.6">
      <c r="A124" s="42">
        <f t="shared" si="0"/>
        <v>120</v>
      </c>
      <c r="B124" s="44"/>
      <c r="C124" s="43"/>
      <c r="D124" s="43"/>
      <c r="E124" s="43"/>
      <c r="F124" s="43"/>
      <c r="G124" s="43"/>
      <c r="H124" s="43"/>
      <c r="I124" s="43"/>
      <c r="J124" s="43"/>
      <c r="K124" s="43"/>
      <c r="L124" s="43"/>
      <c r="M124" s="43"/>
      <c r="N124" s="43"/>
      <c r="O124" s="43"/>
      <c r="P124" s="43"/>
      <c r="Q124" s="43"/>
      <c r="R124" s="48" t="str">
        <f ca="1">IFERROR(__xludf.DUMMYFUNCTION("SPARKLINE({D124,F124,H124,J124,L124,N124,P124})"),"#N/A")</f>
        <v>#N/A</v>
      </c>
      <c r="S124" s="45" t="str">
        <f ca="1">IFERROR(__xludf.DUMMYFUNCTION("SPARKLINE({E124;G124;I124;K124;M124;O124;Q124})"),"#N/A")</f>
        <v>#N/A</v>
      </c>
      <c r="T124" s="7"/>
      <c r="U124" s="7"/>
      <c r="V124" s="7"/>
      <c r="W124" s="7"/>
      <c r="X124" s="7"/>
      <c r="Y124" s="7"/>
      <c r="Z124" s="7"/>
      <c r="AA124" s="7"/>
    </row>
    <row r="125" spans="1:27" ht="14.5" x14ac:dyDescent="0.6">
      <c r="A125" s="42">
        <f t="shared" si="0"/>
        <v>121</v>
      </c>
      <c r="B125" s="44"/>
      <c r="C125" s="43"/>
      <c r="D125" s="43"/>
      <c r="E125" s="43"/>
      <c r="F125" s="43"/>
      <c r="G125" s="43"/>
      <c r="H125" s="43"/>
      <c r="I125" s="43"/>
      <c r="J125" s="43"/>
      <c r="K125" s="43"/>
      <c r="L125" s="43"/>
      <c r="M125" s="43"/>
      <c r="N125" s="43"/>
      <c r="O125" s="43"/>
      <c r="P125" s="43"/>
      <c r="Q125" s="43"/>
      <c r="R125" s="48" t="str">
        <f ca="1">IFERROR(__xludf.DUMMYFUNCTION("SPARKLINE({D125,F125,H125,J125,L125,N125,P125})"),"#N/A")</f>
        <v>#N/A</v>
      </c>
      <c r="S125" s="45" t="str">
        <f ca="1">IFERROR(__xludf.DUMMYFUNCTION("SPARKLINE({E125;G125;I125;K125;M125;O125;Q125})"),"#N/A")</f>
        <v>#N/A</v>
      </c>
      <c r="T125" s="7"/>
      <c r="U125" s="7"/>
      <c r="V125" s="7"/>
      <c r="W125" s="7"/>
      <c r="X125" s="7"/>
      <c r="Y125" s="7"/>
      <c r="Z125" s="7"/>
      <c r="AA125" s="7"/>
    </row>
    <row r="126" spans="1:27" ht="14.5" x14ac:dyDescent="0.6">
      <c r="A126" s="44"/>
      <c r="B126" s="49"/>
      <c r="C126" s="50"/>
      <c r="D126" s="50"/>
      <c r="E126" s="50"/>
      <c r="F126" s="50"/>
      <c r="G126" s="50"/>
      <c r="H126" s="50"/>
      <c r="I126" s="50"/>
      <c r="J126" s="50"/>
      <c r="K126" s="50"/>
      <c r="L126" s="50"/>
      <c r="M126" s="50"/>
      <c r="N126" s="50"/>
      <c r="O126" s="50"/>
      <c r="P126" s="50"/>
      <c r="Q126" s="50"/>
      <c r="R126" s="48" t="str">
        <f ca="1">IFERROR(__xludf.DUMMYFUNCTION("SPARKLINE({D126,F126,H126,J126,L126,N126,P126})"),"#N/A")</f>
        <v>#N/A</v>
      </c>
      <c r="S126" s="45" t="str">
        <f ca="1">IFERROR(__xludf.DUMMYFUNCTION("SPARKLINE({E126;G126;I126;K126;M126;O126;Q126})"),"#N/A")</f>
        <v>#N/A</v>
      </c>
      <c r="T126" s="7"/>
      <c r="U126" s="7"/>
      <c r="V126" s="7"/>
      <c r="W126" s="7"/>
      <c r="X126" s="7"/>
      <c r="Y126" s="7"/>
      <c r="Z126" s="7"/>
      <c r="AA126" s="7"/>
    </row>
    <row r="127" spans="1:27" ht="13" x14ac:dyDescent="0.6">
      <c r="B127" s="58" t="s">
        <v>142</v>
      </c>
      <c r="C127" s="66" t="s">
        <v>142</v>
      </c>
      <c r="D127" s="36"/>
      <c r="E127" s="36"/>
      <c r="F127" s="36"/>
      <c r="G127" s="36"/>
      <c r="H127" s="36"/>
      <c r="I127" s="36"/>
      <c r="J127" s="36"/>
      <c r="K127" s="36"/>
      <c r="L127" s="36"/>
      <c r="M127" s="36"/>
      <c r="N127" s="36"/>
      <c r="O127" s="36"/>
      <c r="P127" s="36"/>
    </row>
    <row r="128" spans="1:27" ht="13" x14ac:dyDescent="0.6">
      <c r="B128" s="58" t="s">
        <v>144</v>
      </c>
      <c r="C128" s="59" t="s">
        <v>149</v>
      </c>
      <c r="D128" s="36"/>
      <c r="E128" s="36"/>
      <c r="F128" s="36"/>
      <c r="G128" s="36"/>
      <c r="H128" s="36"/>
      <c r="I128" s="36"/>
      <c r="J128" s="36"/>
      <c r="K128" s="36"/>
      <c r="L128" s="36"/>
      <c r="M128" s="36"/>
      <c r="N128" s="36"/>
      <c r="O128" s="36"/>
      <c r="P128" s="36"/>
    </row>
    <row r="129" spans="1:19" ht="13" x14ac:dyDescent="0.6">
      <c r="A129" s="37" t="s">
        <v>148</v>
      </c>
      <c r="B129" s="38"/>
      <c r="C129" s="39"/>
      <c r="D129" s="108">
        <f>D131</f>
        <v>0</v>
      </c>
      <c r="E129" s="109"/>
      <c r="F129" s="108">
        <f>F131</f>
        <v>0</v>
      </c>
      <c r="G129" s="109"/>
      <c r="H129" s="108">
        <f>H131</f>
        <v>0</v>
      </c>
      <c r="I129" s="109"/>
      <c r="J129" s="108">
        <f>J131</f>
        <v>0</v>
      </c>
      <c r="K129" s="109"/>
      <c r="L129" s="108">
        <f>L131</f>
        <v>0</v>
      </c>
      <c r="M129" s="109"/>
      <c r="N129" s="108">
        <f>N131</f>
        <v>0</v>
      </c>
      <c r="O129" s="109"/>
      <c r="P129" s="108">
        <f>P131</f>
        <v>0</v>
      </c>
      <c r="Q129" s="109"/>
      <c r="R129" s="110" t="s">
        <v>6</v>
      </c>
      <c r="S129" s="109"/>
    </row>
    <row r="130" spans="1:19" ht="13" hidden="1" x14ac:dyDescent="0.6">
      <c r="A130" s="7"/>
      <c r="B130" s="54"/>
      <c r="C130" s="52"/>
      <c r="D130" s="51" t="s">
        <v>143</v>
      </c>
      <c r="E130" s="60" t="s">
        <v>150</v>
      </c>
      <c r="G130" s="9"/>
      <c r="H130" s="9"/>
      <c r="I130" s="9"/>
      <c r="J130" s="9"/>
      <c r="K130" s="9"/>
      <c r="L130" s="9"/>
      <c r="M130" s="9"/>
      <c r="N130" s="9"/>
      <c r="O130" s="9"/>
      <c r="P130" s="9"/>
      <c r="Q130" s="7"/>
      <c r="R130" s="45"/>
      <c r="S130" s="45"/>
    </row>
    <row r="131" spans="1:19" ht="13" hidden="1" x14ac:dyDescent="0.6">
      <c r="A131" s="40"/>
      <c r="B131" s="55"/>
      <c r="C131" s="61"/>
      <c r="D131" s="55"/>
      <c r="E131" s="62"/>
      <c r="G131" s="41"/>
      <c r="H131" s="41"/>
      <c r="I131" s="41"/>
      <c r="J131" s="41"/>
      <c r="K131" s="41"/>
      <c r="L131" s="41"/>
      <c r="M131" s="41"/>
      <c r="N131" s="41"/>
      <c r="O131" s="41"/>
      <c r="P131" s="41"/>
      <c r="Q131" s="41"/>
      <c r="R131" s="41"/>
      <c r="S131" s="41"/>
    </row>
    <row r="132" spans="1:19" ht="32.25" customHeight="1" x14ac:dyDescent="0.6">
      <c r="A132" s="32" t="s">
        <v>8</v>
      </c>
      <c r="B132" s="51" t="s">
        <v>1</v>
      </c>
      <c r="C132" s="51" t="s">
        <v>9</v>
      </c>
      <c r="D132" s="55"/>
      <c r="E132" s="63"/>
      <c r="G132" s="33"/>
      <c r="H132" s="33"/>
      <c r="I132" s="33"/>
      <c r="J132" s="33"/>
      <c r="K132" s="33"/>
      <c r="L132" s="33"/>
      <c r="M132" s="33"/>
      <c r="N132" s="33"/>
      <c r="O132" s="33"/>
      <c r="P132" s="33"/>
      <c r="Q132" s="34"/>
      <c r="R132" s="46" t="s">
        <v>10</v>
      </c>
      <c r="S132" s="47" t="s">
        <v>11</v>
      </c>
    </row>
    <row r="133" spans="1:19" ht="14.5" x14ac:dyDescent="0.6">
      <c r="A133" s="42">
        <v>1</v>
      </c>
      <c r="B133" s="64" t="s">
        <v>136</v>
      </c>
      <c r="C133" s="57"/>
      <c r="D133" s="56"/>
      <c r="E133" s="65"/>
      <c r="G133" s="43"/>
      <c r="H133" s="43"/>
      <c r="I133" s="43"/>
      <c r="J133" s="43"/>
      <c r="K133" s="43"/>
      <c r="L133" s="43"/>
      <c r="M133" s="43"/>
      <c r="N133" s="43"/>
      <c r="O133" s="43"/>
      <c r="P133" s="43"/>
      <c r="Q133" s="43"/>
      <c r="R133" s="48" t="str">
        <f ca="1">IFERROR(__xludf.DUMMYFUNCTION("SPARKLINE({D133,F133,H133,J133,L133,N133,P133})"),"#N/A")</f>
        <v>#N/A</v>
      </c>
      <c r="S133" s="45" t="str">
        <f ca="1">IFERROR(__xludf.DUMMYFUNCTION("SPARKLINE({E133;G133;I133;K133;M133;O133;Q133})"),"#N/A")</f>
        <v>#N/A</v>
      </c>
    </row>
    <row r="134" spans="1:19" ht="14.5" x14ac:dyDescent="0.6">
      <c r="A134" s="42">
        <f t="shared" ref="A134:A252" si="1">A133+1</f>
        <v>2</v>
      </c>
      <c r="G134" s="43"/>
      <c r="H134" s="43"/>
      <c r="I134" s="43"/>
      <c r="J134" s="43"/>
      <c r="K134" s="43"/>
      <c r="L134" s="43"/>
      <c r="M134" s="43"/>
      <c r="N134" s="43"/>
      <c r="O134" s="43"/>
      <c r="P134" s="43"/>
      <c r="Q134" s="43"/>
      <c r="R134" s="48" t="str">
        <f ca="1">IFERROR(__xludf.DUMMYFUNCTION("SPARKLINE({D134,F134,H134,J134,L134,N134,P134})"),"#N/A")</f>
        <v>#N/A</v>
      </c>
      <c r="S134" s="45" t="str">
        <f ca="1">IFERROR(__xludf.DUMMYFUNCTION("SPARKLINE({E134;G134;I134;K134;M134;O134;Q134})"),"#N/A")</f>
        <v>#N/A</v>
      </c>
    </row>
    <row r="135" spans="1:19" ht="14.5" x14ac:dyDescent="0.6">
      <c r="A135" s="42">
        <f t="shared" si="1"/>
        <v>3</v>
      </c>
      <c r="G135" s="43"/>
      <c r="H135" s="43"/>
      <c r="I135" s="43"/>
      <c r="J135" s="43"/>
      <c r="K135" s="43"/>
      <c r="L135" s="43"/>
      <c r="M135" s="43"/>
      <c r="N135" s="43"/>
      <c r="O135" s="43"/>
      <c r="P135" s="43"/>
      <c r="Q135" s="43"/>
      <c r="R135" s="48" t="str">
        <f ca="1">IFERROR(__xludf.DUMMYFUNCTION("SPARKLINE({D135,F135,H135,J135,L135,N135,P135})"),"#N/A")</f>
        <v>#N/A</v>
      </c>
      <c r="S135" s="45" t="str">
        <f ca="1">IFERROR(__xludf.DUMMYFUNCTION("SPARKLINE({E135;G135;I135;K135;M135;O135;Q135})"),"#N/A")</f>
        <v>#N/A</v>
      </c>
    </row>
    <row r="136" spans="1:19" ht="14.5" x14ac:dyDescent="0.6">
      <c r="A136" s="42">
        <f t="shared" si="1"/>
        <v>4</v>
      </c>
      <c r="G136" s="43"/>
      <c r="H136" s="43"/>
      <c r="I136" s="43"/>
      <c r="J136" s="43"/>
      <c r="K136" s="43"/>
      <c r="L136" s="43"/>
      <c r="M136" s="43"/>
      <c r="N136" s="43"/>
      <c r="O136" s="43"/>
      <c r="P136" s="43"/>
      <c r="Q136" s="43"/>
      <c r="R136" s="48" t="str">
        <f ca="1">IFERROR(__xludf.DUMMYFUNCTION("SPARKLINE({D136,F136,H136,J136,L136,N136,P136})"),"#N/A")</f>
        <v>#N/A</v>
      </c>
      <c r="S136" s="45" t="str">
        <f ca="1">IFERROR(__xludf.DUMMYFUNCTION("SPARKLINE({E136;G136;I136;K136;M136;O136;Q136})"),"#N/A")</f>
        <v>#N/A</v>
      </c>
    </row>
    <row r="137" spans="1:19" ht="14.5" x14ac:dyDescent="0.6">
      <c r="A137" s="42">
        <f t="shared" si="1"/>
        <v>5</v>
      </c>
      <c r="G137" s="43"/>
      <c r="H137" s="43"/>
      <c r="I137" s="43"/>
      <c r="J137" s="43"/>
      <c r="K137" s="43"/>
      <c r="L137" s="43"/>
      <c r="M137" s="43"/>
      <c r="N137" s="43"/>
      <c r="O137" s="43"/>
      <c r="P137" s="43"/>
      <c r="Q137" s="43"/>
      <c r="R137" s="48" t="str">
        <f ca="1">IFERROR(__xludf.DUMMYFUNCTION("SPARKLINE({D137,F137,H137,J137,L137,N137,P137})"),"#N/A")</f>
        <v>#N/A</v>
      </c>
      <c r="S137" s="45" t="str">
        <f ca="1">IFERROR(__xludf.DUMMYFUNCTION("SPARKLINE({E137;G137;I137;K137;M137;O137;Q137})"),"#N/A")</f>
        <v>#N/A</v>
      </c>
    </row>
    <row r="138" spans="1:19" ht="14.5" x14ac:dyDescent="0.6">
      <c r="A138" s="42">
        <f t="shared" si="1"/>
        <v>6</v>
      </c>
      <c r="G138" s="43"/>
      <c r="H138" s="43"/>
      <c r="I138" s="43"/>
      <c r="J138" s="43"/>
      <c r="K138" s="43"/>
      <c r="L138" s="43"/>
      <c r="M138" s="43"/>
      <c r="N138" s="43"/>
      <c r="O138" s="43"/>
      <c r="P138" s="43"/>
      <c r="Q138" s="43"/>
      <c r="R138" s="48" t="str">
        <f ca="1">IFERROR(__xludf.DUMMYFUNCTION("SPARKLINE({D138,F138,H138,J138,L138,N138,P138})"),"#N/A")</f>
        <v>#N/A</v>
      </c>
      <c r="S138" s="45" t="str">
        <f ca="1">IFERROR(__xludf.DUMMYFUNCTION("SPARKLINE({E138;G138;I138;K138;M138;O138;Q138})"),"#N/A")</f>
        <v>#N/A</v>
      </c>
    </row>
    <row r="139" spans="1:19" ht="14.5" x14ac:dyDescent="0.6">
      <c r="A139" s="42">
        <f t="shared" si="1"/>
        <v>7</v>
      </c>
      <c r="G139" s="43"/>
      <c r="H139" s="43"/>
      <c r="I139" s="43"/>
      <c r="J139" s="43"/>
      <c r="K139" s="43"/>
      <c r="L139" s="43"/>
      <c r="M139" s="43"/>
      <c r="N139" s="43"/>
      <c r="O139" s="43"/>
      <c r="P139" s="43"/>
      <c r="Q139" s="43"/>
      <c r="R139" s="48" t="str">
        <f ca="1">IFERROR(__xludf.DUMMYFUNCTION("SPARKLINE({D139,F139,H139,J139,L139,N139,P139})"),"#N/A")</f>
        <v>#N/A</v>
      </c>
      <c r="S139" s="45" t="str">
        <f ca="1">IFERROR(__xludf.DUMMYFUNCTION("SPARKLINE({E139;G139;I139;K139;M139;O139;Q139})"),"#N/A")</f>
        <v>#N/A</v>
      </c>
    </row>
    <row r="140" spans="1:19" ht="14.5" x14ac:dyDescent="0.6">
      <c r="A140" s="42">
        <f t="shared" si="1"/>
        <v>8</v>
      </c>
      <c r="B140" s="44"/>
      <c r="C140" s="43"/>
      <c r="D140" s="43"/>
      <c r="E140" s="43"/>
      <c r="F140" s="43"/>
      <c r="G140" s="43"/>
      <c r="H140" s="43"/>
      <c r="I140" s="43"/>
      <c r="J140" s="43"/>
      <c r="K140" s="43"/>
      <c r="L140" s="43"/>
      <c r="M140" s="43"/>
      <c r="N140" s="43"/>
      <c r="O140" s="43"/>
      <c r="P140" s="43"/>
      <c r="Q140" s="43"/>
      <c r="R140" s="48" t="str">
        <f ca="1">IFERROR(__xludf.DUMMYFUNCTION("SPARKLINE({D140,F140,H140,J140,L140,N140,P140})"),"#N/A")</f>
        <v>#N/A</v>
      </c>
      <c r="S140" s="45" t="str">
        <f ca="1">IFERROR(__xludf.DUMMYFUNCTION("SPARKLINE({E140;G140;I140;K140;M140;O140;Q140})"),"#N/A")</f>
        <v>#N/A</v>
      </c>
    </row>
    <row r="141" spans="1:19" ht="14.5" x14ac:dyDescent="0.6">
      <c r="A141" s="42">
        <f t="shared" si="1"/>
        <v>9</v>
      </c>
      <c r="B141" s="44"/>
      <c r="C141" s="43"/>
      <c r="D141" s="43"/>
      <c r="E141" s="43"/>
      <c r="F141" s="43"/>
      <c r="G141" s="43"/>
      <c r="H141" s="43"/>
      <c r="I141" s="43"/>
      <c r="J141" s="43"/>
      <c r="K141" s="43"/>
      <c r="L141" s="43"/>
      <c r="M141" s="43"/>
      <c r="N141" s="43"/>
      <c r="O141" s="43"/>
      <c r="P141" s="43"/>
      <c r="Q141" s="43"/>
      <c r="R141" s="48" t="str">
        <f ca="1">IFERROR(__xludf.DUMMYFUNCTION("SPARKLINE({D141,F141,H141,J141,L141,N141,P141})"),"#N/A")</f>
        <v>#N/A</v>
      </c>
      <c r="S141" s="45" t="str">
        <f ca="1">IFERROR(__xludf.DUMMYFUNCTION("SPARKLINE({E141;G141;I141;K141;M141;O141;Q141})"),"#N/A")</f>
        <v>#N/A</v>
      </c>
    </row>
    <row r="142" spans="1:19" ht="14.5" x14ac:dyDescent="0.6">
      <c r="A142" s="42">
        <f t="shared" si="1"/>
        <v>10</v>
      </c>
      <c r="B142" s="44"/>
      <c r="C142" s="43"/>
      <c r="D142" s="43"/>
      <c r="E142" s="43"/>
      <c r="F142" s="43"/>
      <c r="G142" s="43"/>
      <c r="H142" s="43"/>
      <c r="I142" s="43"/>
      <c r="J142" s="43"/>
      <c r="K142" s="43"/>
      <c r="L142" s="43"/>
      <c r="M142" s="43"/>
      <c r="N142" s="43"/>
      <c r="O142" s="43"/>
      <c r="P142" s="43"/>
      <c r="Q142" s="43"/>
      <c r="R142" s="48" t="str">
        <f ca="1">IFERROR(__xludf.DUMMYFUNCTION("SPARKLINE({D142,F142,H142,J142,L142,N142,P142})"),"#N/A")</f>
        <v>#N/A</v>
      </c>
      <c r="S142" s="45" t="str">
        <f ca="1">IFERROR(__xludf.DUMMYFUNCTION("SPARKLINE({E142;G142;I142;K142;M142;O142;Q142})"),"#N/A")</f>
        <v>#N/A</v>
      </c>
    </row>
    <row r="143" spans="1:19" ht="14.5" x14ac:dyDescent="0.6">
      <c r="A143" s="42">
        <f t="shared" si="1"/>
        <v>11</v>
      </c>
      <c r="B143" s="44"/>
      <c r="C143" s="43"/>
      <c r="D143" s="43"/>
      <c r="E143" s="43"/>
      <c r="F143" s="43"/>
      <c r="G143" s="43"/>
      <c r="H143" s="43"/>
      <c r="I143" s="43"/>
      <c r="J143" s="43"/>
      <c r="K143" s="43"/>
      <c r="L143" s="43"/>
      <c r="M143" s="43"/>
      <c r="N143" s="43"/>
      <c r="O143" s="43"/>
      <c r="P143" s="43"/>
      <c r="Q143" s="43"/>
      <c r="R143" s="48" t="str">
        <f ca="1">IFERROR(__xludf.DUMMYFUNCTION("SPARKLINE({D143,F143,H143,J143,L143,N143,P143})"),"#N/A")</f>
        <v>#N/A</v>
      </c>
      <c r="S143" s="45" t="str">
        <f ca="1">IFERROR(__xludf.DUMMYFUNCTION("SPARKLINE({E143;G143;I143;K143;M143;O143;Q143})"),"#N/A")</f>
        <v>#N/A</v>
      </c>
    </row>
    <row r="144" spans="1:19" ht="14.5" x14ac:dyDescent="0.6">
      <c r="A144" s="42">
        <f t="shared" si="1"/>
        <v>12</v>
      </c>
      <c r="B144" s="44"/>
      <c r="C144" s="43"/>
      <c r="D144" s="43"/>
      <c r="E144" s="43"/>
      <c r="F144" s="43"/>
      <c r="G144" s="43"/>
      <c r="H144" s="43"/>
      <c r="I144" s="43"/>
      <c r="J144" s="43"/>
      <c r="K144" s="43"/>
      <c r="L144" s="43"/>
      <c r="M144" s="43"/>
      <c r="N144" s="43"/>
      <c r="O144" s="43"/>
      <c r="P144" s="43"/>
      <c r="Q144" s="43"/>
      <c r="R144" s="48" t="str">
        <f ca="1">IFERROR(__xludf.DUMMYFUNCTION("SPARKLINE({D144,F144,H144,J144,L144,N144,P144})"),"#N/A")</f>
        <v>#N/A</v>
      </c>
      <c r="S144" s="45" t="str">
        <f ca="1">IFERROR(__xludf.DUMMYFUNCTION("SPARKLINE({E144;G144;I144;K144;M144;O144;Q144})"),"#N/A")</f>
        <v>#N/A</v>
      </c>
    </row>
    <row r="145" spans="1:19" ht="14.5" x14ac:dyDescent="0.6">
      <c r="A145" s="42">
        <f t="shared" si="1"/>
        <v>13</v>
      </c>
      <c r="B145" s="44"/>
      <c r="C145" s="43"/>
      <c r="D145" s="43"/>
      <c r="E145" s="43"/>
      <c r="F145" s="43"/>
      <c r="G145" s="43"/>
      <c r="H145" s="43"/>
      <c r="I145" s="43"/>
      <c r="J145" s="43"/>
      <c r="K145" s="43"/>
      <c r="L145" s="43"/>
      <c r="M145" s="43"/>
      <c r="N145" s="43"/>
      <c r="O145" s="43"/>
      <c r="P145" s="43"/>
      <c r="Q145" s="43"/>
      <c r="R145" s="48" t="str">
        <f ca="1">IFERROR(__xludf.DUMMYFUNCTION("SPARKLINE({D145,F145,H145,J145,L145,N145,P145})"),"#N/A")</f>
        <v>#N/A</v>
      </c>
      <c r="S145" s="45" t="str">
        <f ca="1">IFERROR(__xludf.DUMMYFUNCTION("SPARKLINE({E145;G145;I145;K145;M145;O145;Q145})"),"#N/A")</f>
        <v>#N/A</v>
      </c>
    </row>
    <row r="146" spans="1:19" ht="14.5" x14ac:dyDescent="0.6">
      <c r="A146" s="42">
        <f t="shared" si="1"/>
        <v>14</v>
      </c>
      <c r="B146" s="44"/>
      <c r="C146" s="43"/>
      <c r="D146" s="43"/>
      <c r="E146" s="43"/>
      <c r="F146" s="43"/>
      <c r="G146" s="43"/>
      <c r="H146" s="43"/>
      <c r="I146" s="43"/>
      <c r="J146" s="43"/>
      <c r="K146" s="43"/>
      <c r="L146" s="43"/>
      <c r="M146" s="43"/>
      <c r="N146" s="43"/>
      <c r="O146" s="43"/>
      <c r="P146" s="43"/>
      <c r="Q146" s="43"/>
      <c r="R146" s="48" t="str">
        <f ca="1">IFERROR(__xludf.DUMMYFUNCTION("SPARKLINE({D146,F146,H146,J146,L146,N146,P146})"),"#N/A")</f>
        <v>#N/A</v>
      </c>
      <c r="S146" s="45" t="str">
        <f ca="1">IFERROR(__xludf.DUMMYFUNCTION("SPARKLINE({E146;G146;I146;K146;M146;O146;Q146})"),"#N/A")</f>
        <v>#N/A</v>
      </c>
    </row>
    <row r="147" spans="1:19" ht="14.5" x14ac:dyDescent="0.6">
      <c r="A147" s="42">
        <f t="shared" si="1"/>
        <v>15</v>
      </c>
      <c r="B147" s="44"/>
      <c r="C147" s="43"/>
      <c r="D147" s="43"/>
      <c r="E147" s="43"/>
      <c r="F147" s="43"/>
      <c r="G147" s="43"/>
      <c r="H147" s="43"/>
      <c r="I147" s="43"/>
      <c r="J147" s="43"/>
      <c r="K147" s="43"/>
      <c r="L147" s="43"/>
      <c r="M147" s="43"/>
      <c r="N147" s="43"/>
      <c r="O147" s="43"/>
      <c r="P147" s="43"/>
      <c r="Q147" s="43"/>
      <c r="R147" s="48" t="str">
        <f ca="1">IFERROR(__xludf.DUMMYFUNCTION("SPARKLINE({D147,F147,H147,J147,L147,N147,P147})"),"#N/A")</f>
        <v>#N/A</v>
      </c>
      <c r="S147" s="45" t="str">
        <f ca="1">IFERROR(__xludf.DUMMYFUNCTION("SPARKLINE({E147;G147;I147;K147;M147;O147;Q147})"),"#N/A")</f>
        <v>#N/A</v>
      </c>
    </row>
    <row r="148" spans="1:19" ht="14.5" x14ac:dyDescent="0.6">
      <c r="A148" s="42">
        <f t="shared" si="1"/>
        <v>16</v>
      </c>
      <c r="B148" s="44"/>
      <c r="C148" s="43"/>
      <c r="D148" s="43"/>
      <c r="E148" s="43"/>
      <c r="F148" s="43"/>
      <c r="G148" s="43"/>
      <c r="H148" s="43"/>
      <c r="I148" s="43"/>
      <c r="J148" s="43"/>
      <c r="K148" s="43"/>
      <c r="L148" s="43"/>
      <c r="M148" s="43"/>
      <c r="N148" s="43"/>
      <c r="O148" s="43"/>
      <c r="P148" s="43"/>
      <c r="Q148" s="43"/>
      <c r="R148" s="48" t="str">
        <f ca="1">IFERROR(__xludf.DUMMYFUNCTION("SPARKLINE({D148,F148,H148,J148,L148,N148,P148})"),"#N/A")</f>
        <v>#N/A</v>
      </c>
      <c r="S148" s="45" t="str">
        <f ca="1">IFERROR(__xludf.DUMMYFUNCTION("SPARKLINE({E148;G148;I148;K148;M148;O148;Q148})"),"#N/A")</f>
        <v>#N/A</v>
      </c>
    </row>
    <row r="149" spans="1:19" ht="14.5" x14ac:dyDescent="0.6">
      <c r="A149" s="42">
        <f t="shared" si="1"/>
        <v>17</v>
      </c>
      <c r="B149" s="44"/>
      <c r="C149" s="43"/>
      <c r="D149" s="43"/>
      <c r="E149" s="43"/>
      <c r="F149" s="43"/>
      <c r="G149" s="43"/>
      <c r="H149" s="43"/>
      <c r="I149" s="43"/>
      <c r="J149" s="43"/>
      <c r="K149" s="43"/>
      <c r="L149" s="43"/>
      <c r="M149" s="43"/>
      <c r="N149" s="43"/>
      <c r="O149" s="43"/>
      <c r="P149" s="43"/>
      <c r="Q149" s="43"/>
      <c r="R149" s="48" t="str">
        <f ca="1">IFERROR(__xludf.DUMMYFUNCTION("SPARKLINE({D149,F149,H149,J149,L149,N149,P149})"),"#N/A")</f>
        <v>#N/A</v>
      </c>
      <c r="S149" s="45" t="str">
        <f ca="1">IFERROR(__xludf.DUMMYFUNCTION("SPARKLINE({E149;G149;I149;K149;M149;O149;Q149})"),"#N/A")</f>
        <v>#N/A</v>
      </c>
    </row>
    <row r="150" spans="1:19" ht="14.5" x14ac:dyDescent="0.6">
      <c r="A150" s="42">
        <f t="shared" si="1"/>
        <v>18</v>
      </c>
      <c r="B150" s="44"/>
      <c r="C150" s="43"/>
      <c r="D150" s="43"/>
      <c r="E150" s="43"/>
      <c r="F150" s="43"/>
      <c r="G150" s="43"/>
      <c r="H150" s="43"/>
      <c r="I150" s="43"/>
      <c r="J150" s="43"/>
      <c r="K150" s="43"/>
      <c r="L150" s="43"/>
      <c r="M150" s="43"/>
      <c r="N150" s="43"/>
      <c r="O150" s="43"/>
      <c r="P150" s="43"/>
      <c r="Q150" s="43"/>
      <c r="R150" s="48" t="str">
        <f ca="1">IFERROR(__xludf.DUMMYFUNCTION("SPARKLINE({D150,F150,H150,J150,L150,N150,P150})"),"#N/A")</f>
        <v>#N/A</v>
      </c>
      <c r="S150" s="45" t="str">
        <f ca="1">IFERROR(__xludf.DUMMYFUNCTION("SPARKLINE({E150;G150;I150;K150;M150;O150;Q150})"),"#N/A")</f>
        <v>#N/A</v>
      </c>
    </row>
    <row r="151" spans="1:19" ht="14.5" x14ac:dyDescent="0.6">
      <c r="A151" s="42">
        <f t="shared" si="1"/>
        <v>19</v>
      </c>
      <c r="B151" s="44"/>
      <c r="C151" s="43"/>
      <c r="D151" s="43"/>
      <c r="E151" s="43"/>
      <c r="F151" s="43"/>
      <c r="G151" s="43"/>
      <c r="H151" s="43"/>
      <c r="I151" s="43"/>
      <c r="J151" s="43"/>
      <c r="K151" s="43"/>
      <c r="L151" s="43"/>
      <c r="M151" s="43"/>
      <c r="N151" s="43"/>
      <c r="O151" s="43"/>
      <c r="P151" s="43"/>
      <c r="Q151" s="43"/>
      <c r="R151" s="48" t="str">
        <f ca="1">IFERROR(__xludf.DUMMYFUNCTION("SPARKLINE({D151,F151,H151,J151,L151,N151,P151})"),"#N/A")</f>
        <v>#N/A</v>
      </c>
      <c r="S151" s="45" t="str">
        <f ca="1">IFERROR(__xludf.DUMMYFUNCTION("SPARKLINE({E151;G151;I151;K151;M151;O151;Q151})"),"#N/A")</f>
        <v>#N/A</v>
      </c>
    </row>
    <row r="152" spans="1:19" ht="14.5" x14ac:dyDescent="0.6">
      <c r="A152" s="42">
        <f t="shared" si="1"/>
        <v>20</v>
      </c>
      <c r="B152" s="44"/>
      <c r="C152" s="43"/>
      <c r="D152" s="43"/>
      <c r="E152" s="43"/>
      <c r="F152" s="43"/>
      <c r="G152" s="43"/>
      <c r="H152" s="43"/>
      <c r="I152" s="43"/>
      <c r="J152" s="43"/>
      <c r="K152" s="43"/>
      <c r="L152" s="43"/>
      <c r="M152" s="43"/>
      <c r="N152" s="43"/>
      <c r="O152" s="43"/>
      <c r="P152" s="43"/>
      <c r="Q152" s="43"/>
      <c r="R152" s="48" t="str">
        <f ca="1">IFERROR(__xludf.DUMMYFUNCTION("SPARKLINE({D152,F152,H152,J152,L152,N152,P152})"),"#N/A")</f>
        <v>#N/A</v>
      </c>
      <c r="S152" s="45" t="str">
        <f ca="1">IFERROR(__xludf.DUMMYFUNCTION("SPARKLINE({E152;G152;I152;K152;M152;O152;Q152})"),"#N/A")</f>
        <v>#N/A</v>
      </c>
    </row>
    <row r="153" spans="1:19" ht="14.5" x14ac:dyDescent="0.6">
      <c r="A153" s="42">
        <f t="shared" si="1"/>
        <v>21</v>
      </c>
      <c r="B153" s="44"/>
      <c r="C153" s="43"/>
      <c r="D153" s="43"/>
      <c r="E153" s="43"/>
      <c r="F153" s="43"/>
      <c r="G153" s="43"/>
      <c r="H153" s="43"/>
      <c r="I153" s="43"/>
      <c r="J153" s="43"/>
      <c r="K153" s="43"/>
      <c r="L153" s="43"/>
      <c r="M153" s="43"/>
      <c r="N153" s="43"/>
      <c r="O153" s="43"/>
      <c r="P153" s="43"/>
      <c r="Q153" s="43"/>
      <c r="R153" s="48" t="str">
        <f ca="1">IFERROR(__xludf.DUMMYFUNCTION("SPARKLINE({D153,F153,H153,J153,L153,N153,P153})"),"#N/A")</f>
        <v>#N/A</v>
      </c>
      <c r="S153" s="45" t="str">
        <f ca="1">IFERROR(__xludf.DUMMYFUNCTION("SPARKLINE({E153;G153;I153;K153;M153;O153;Q153})"),"#N/A")</f>
        <v>#N/A</v>
      </c>
    </row>
    <row r="154" spans="1:19" ht="14.5" x14ac:dyDescent="0.6">
      <c r="A154" s="42">
        <f t="shared" si="1"/>
        <v>22</v>
      </c>
      <c r="B154" s="44"/>
      <c r="C154" s="43"/>
      <c r="D154" s="43"/>
      <c r="E154" s="43"/>
      <c r="F154" s="43"/>
      <c r="G154" s="43"/>
      <c r="H154" s="43"/>
      <c r="I154" s="43"/>
      <c r="J154" s="43"/>
      <c r="K154" s="43"/>
      <c r="L154" s="43"/>
      <c r="M154" s="43"/>
      <c r="N154" s="43"/>
      <c r="O154" s="43"/>
      <c r="P154" s="43"/>
      <c r="Q154" s="43"/>
      <c r="R154" s="48" t="str">
        <f ca="1">IFERROR(__xludf.DUMMYFUNCTION("SPARKLINE({D154,F154,H154,J154,L154,N154,P154})"),"#N/A")</f>
        <v>#N/A</v>
      </c>
      <c r="S154" s="45" t="str">
        <f ca="1">IFERROR(__xludf.DUMMYFUNCTION("SPARKLINE({E154;G154;I154;K154;M154;O154;Q154})"),"#N/A")</f>
        <v>#N/A</v>
      </c>
    </row>
    <row r="155" spans="1:19" ht="14.5" x14ac:dyDescent="0.6">
      <c r="A155" s="42">
        <f t="shared" si="1"/>
        <v>23</v>
      </c>
      <c r="B155" s="44"/>
      <c r="C155" s="43"/>
      <c r="D155" s="43"/>
      <c r="E155" s="43"/>
      <c r="F155" s="43"/>
      <c r="G155" s="43"/>
      <c r="H155" s="43"/>
      <c r="I155" s="43"/>
      <c r="J155" s="43"/>
      <c r="K155" s="43"/>
      <c r="L155" s="43"/>
      <c r="M155" s="43"/>
      <c r="N155" s="43"/>
      <c r="O155" s="43"/>
      <c r="P155" s="43"/>
      <c r="Q155" s="43"/>
      <c r="R155" s="48" t="str">
        <f ca="1">IFERROR(__xludf.DUMMYFUNCTION("SPARKLINE({D155,F155,H155,J155,L155,N155,P155})"),"#N/A")</f>
        <v>#N/A</v>
      </c>
      <c r="S155" s="45" t="str">
        <f ca="1">IFERROR(__xludf.DUMMYFUNCTION("SPARKLINE({E155;G155;I155;K155;M155;O155;Q155})"),"#N/A")</f>
        <v>#N/A</v>
      </c>
    </row>
    <row r="156" spans="1:19" ht="14.5" x14ac:dyDescent="0.6">
      <c r="A156" s="42">
        <f t="shared" si="1"/>
        <v>24</v>
      </c>
      <c r="B156" s="44"/>
      <c r="C156" s="43"/>
      <c r="D156" s="43"/>
      <c r="E156" s="43"/>
      <c r="F156" s="43"/>
      <c r="G156" s="43"/>
      <c r="H156" s="43"/>
      <c r="I156" s="43"/>
      <c r="J156" s="43"/>
      <c r="K156" s="43"/>
      <c r="L156" s="43"/>
      <c r="M156" s="43"/>
      <c r="N156" s="43"/>
      <c r="O156" s="43"/>
      <c r="P156" s="43"/>
      <c r="Q156" s="43"/>
      <c r="R156" s="48" t="str">
        <f ca="1">IFERROR(__xludf.DUMMYFUNCTION("SPARKLINE({D156,F156,H156,J156,L156,N156,P156})"),"#N/A")</f>
        <v>#N/A</v>
      </c>
      <c r="S156" s="45" t="str">
        <f ca="1">IFERROR(__xludf.DUMMYFUNCTION("SPARKLINE({E156;G156;I156;K156;M156;O156;Q156})"),"#N/A")</f>
        <v>#N/A</v>
      </c>
    </row>
    <row r="157" spans="1:19" ht="14.5" x14ac:dyDescent="0.6">
      <c r="A157" s="42">
        <f t="shared" si="1"/>
        <v>25</v>
      </c>
      <c r="B157" s="44"/>
      <c r="C157" s="43"/>
      <c r="D157" s="43"/>
      <c r="E157" s="43"/>
      <c r="F157" s="43"/>
      <c r="G157" s="43"/>
      <c r="H157" s="43"/>
      <c r="I157" s="43"/>
      <c r="J157" s="43"/>
      <c r="K157" s="43"/>
      <c r="L157" s="43"/>
      <c r="M157" s="43"/>
      <c r="N157" s="43"/>
      <c r="O157" s="43"/>
      <c r="P157" s="43"/>
      <c r="Q157" s="43"/>
      <c r="R157" s="48" t="str">
        <f ca="1">IFERROR(__xludf.DUMMYFUNCTION("SPARKLINE({D157,F157,H157,J157,L157,N157,P157})"),"#N/A")</f>
        <v>#N/A</v>
      </c>
      <c r="S157" s="45" t="str">
        <f ca="1">IFERROR(__xludf.DUMMYFUNCTION("SPARKLINE({E157;G157;I157;K157;M157;O157;Q157})"),"#N/A")</f>
        <v>#N/A</v>
      </c>
    </row>
    <row r="158" spans="1:19" ht="14.5" x14ac:dyDescent="0.6">
      <c r="A158" s="42">
        <f t="shared" si="1"/>
        <v>26</v>
      </c>
      <c r="B158" s="44"/>
      <c r="C158" s="43"/>
      <c r="D158" s="43"/>
      <c r="E158" s="43"/>
      <c r="F158" s="43"/>
      <c r="G158" s="43"/>
      <c r="H158" s="43"/>
      <c r="I158" s="43"/>
      <c r="J158" s="43"/>
      <c r="K158" s="43"/>
      <c r="L158" s="43"/>
      <c r="M158" s="43"/>
      <c r="N158" s="43"/>
      <c r="O158" s="43"/>
      <c r="P158" s="43"/>
      <c r="Q158" s="43"/>
      <c r="R158" s="48" t="str">
        <f ca="1">IFERROR(__xludf.DUMMYFUNCTION("SPARKLINE({D158,F158,H158,J158,L158,N158,P158})"),"#N/A")</f>
        <v>#N/A</v>
      </c>
      <c r="S158" s="45" t="str">
        <f ca="1">IFERROR(__xludf.DUMMYFUNCTION("SPARKLINE({E158;G158;I158;K158;M158;O158;Q158})"),"#N/A")</f>
        <v>#N/A</v>
      </c>
    </row>
    <row r="159" spans="1:19" ht="14.5" x14ac:dyDescent="0.6">
      <c r="A159" s="42">
        <f t="shared" si="1"/>
        <v>27</v>
      </c>
      <c r="B159" s="44"/>
      <c r="C159" s="43"/>
      <c r="D159" s="43"/>
      <c r="E159" s="43"/>
      <c r="F159" s="43"/>
      <c r="G159" s="43"/>
      <c r="H159" s="43"/>
      <c r="I159" s="43"/>
      <c r="J159" s="43"/>
      <c r="K159" s="43"/>
      <c r="L159" s="43"/>
      <c r="M159" s="43"/>
      <c r="N159" s="43"/>
      <c r="O159" s="43"/>
      <c r="P159" s="43"/>
      <c r="Q159" s="43"/>
      <c r="R159" s="48" t="str">
        <f ca="1">IFERROR(__xludf.DUMMYFUNCTION("SPARKLINE({D159,F159,H159,J159,L159,N159,P159})"),"#N/A")</f>
        <v>#N/A</v>
      </c>
      <c r="S159" s="45" t="str">
        <f ca="1">IFERROR(__xludf.DUMMYFUNCTION("SPARKLINE({E159;G159;I159;K159;M159;O159;Q159})"),"#N/A")</f>
        <v>#N/A</v>
      </c>
    </row>
    <row r="160" spans="1:19" ht="14.5" x14ac:dyDescent="0.6">
      <c r="A160" s="42">
        <f t="shared" si="1"/>
        <v>28</v>
      </c>
      <c r="B160" s="44"/>
      <c r="C160" s="43"/>
      <c r="D160" s="43"/>
      <c r="E160" s="43"/>
      <c r="F160" s="43"/>
      <c r="G160" s="43"/>
      <c r="H160" s="43"/>
      <c r="I160" s="43"/>
      <c r="J160" s="43"/>
      <c r="K160" s="43"/>
      <c r="L160" s="43"/>
      <c r="M160" s="43"/>
      <c r="N160" s="43"/>
      <c r="O160" s="43"/>
      <c r="P160" s="43"/>
      <c r="Q160" s="43"/>
      <c r="R160" s="48" t="str">
        <f ca="1">IFERROR(__xludf.DUMMYFUNCTION("SPARKLINE({D160,F160,H160,J160,L160,N160,P160})"),"#N/A")</f>
        <v>#N/A</v>
      </c>
      <c r="S160" s="45" t="str">
        <f ca="1">IFERROR(__xludf.DUMMYFUNCTION("SPARKLINE({E160;G160;I160;K160;M160;O160;Q160})"),"#N/A")</f>
        <v>#N/A</v>
      </c>
    </row>
    <row r="161" spans="1:19" ht="14.5" x14ac:dyDescent="0.6">
      <c r="A161" s="42">
        <f t="shared" si="1"/>
        <v>29</v>
      </c>
      <c r="B161" s="44"/>
      <c r="C161" s="43"/>
      <c r="D161" s="43"/>
      <c r="E161" s="43"/>
      <c r="F161" s="43"/>
      <c r="G161" s="43"/>
      <c r="H161" s="43"/>
      <c r="I161" s="43"/>
      <c r="J161" s="43"/>
      <c r="K161" s="43"/>
      <c r="L161" s="43"/>
      <c r="M161" s="43"/>
      <c r="N161" s="43"/>
      <c r="O161" s="43"/>
      <c r="P161" s="43"/>
      <c r="Q161" s="43"/>
      <c r="R161" s="48" t="str">
        <f ca="1">IFERROR(__xludf.DUMMYFUNCTION("SPARKLINE({D161,F161,H161,J161,L161,N161,P161})"),"#N/A")</f>
        <v>#N/A</v>
      </c>
      <c r="S161" s="45" t="str">
        <f ca="1">IFERROR(__xludf.DUMMYFUNCTION("SPARKLINE({E161;G161;I161;K161;M161;O161;Q161})"),"#N/A")</f>
        <v>#N/A</v>
      </c>
    </row>
    <row r="162" spans="1:19" ht="14.5" x14ac:dyDescent="0.6">
      <c r="A162" s="42">
        <f t="shared" si="1"/>
        <v>30</v>
      </c>
      <c r="B162" s="44"/>
      <c r="C162" s="43"/>
      <c r="D162" s="43"/>
      <c r="E162" s="43"/>
      <c r="F162" s="43"/>
      <c r="G162" s="43"/>
      <c r="H162" s="43"/>
      <c r="I162" s="43"/>
      <c r="J162" s="43"/>
      <c r="K162" s="43"/>
      <c r="L162" s="43"/>
      <c r="M162" s="43"/>
      <c r="N162" s="43"/>
      <c r="O162" s="43"/>
      <c r="P162" s="43"/>
      <c r="Q162" s="43"/>
      <c r="R162" s="48" t="str">
        <f ca="1">IFERROR(__xludf.DUMMYFUNCTION("SPARKLINE({D162,F162,H162,J162,L162,N162,P162})"),"#N/A")</f>
        <v>#N/A</v>
      </c>
      <c r="S162" s="45" t="str">
        <f ca="1">IFERROR(__xludf.DUMMYFUNCTION("SPARKLINE({E162;G162;I162;K162;M162;O162;Q162})"),"#N/A")</f>
        <v>#N/A</v>
      </c>
    </row>
    <row r="163" spans="1:19" ht="14.5" x14ac:dyDescent="0.6">
      <c r="A163" s="42">
        <f t="shared" si="1"/>
        <v>31</v>
      </c>
      <c r="B163" s="44"/>
      <c r="C163" s="43"/>
      <c r="D163" s="43"/>
      <c r="E163" s="43"/>
      <c r="F163" s="43"/>
      <c r="G163" s="43"/>
      <c r="H163" s="43"/>
      <c r="I163" s="43"/>
      <c r="J163" s="43"/>
      <c r="K163" s="43"/>
      <c r="L163" s="43"/>
      <c r="M163" s="43"/>
      <c r="N163" s="43"/>
      <c r="O163" s="43"/>
      <c r="P163" s="43"/>
      <c r="Q163" s="43"/>
      <c r="R163" s="48" t="str">
        <f ca="1">IFERROR(__xludf.DUMMYFUNCTION("SPARKLINE({D163,F163,H163,J163,L163,N163,P163})"),"#N/A")</f>
        <v>#N/A</v>
      </c>
      <c r="S163" s="45" t="str">
        <f ca="1">IFERROR(__xludf.DUMMYFUNCTION("SPARKLINE({E163;G163;I163;K163;M163;O163;Q163})"),"#N/A")</f>
        <v>#N/A</v>
      </c>
    </row>
    <row r="164" spans="1:19" ht="14.5" x14ac:dyDescent="0.6">
      <c r="A164" s="42">
        <f t="shared" si="1"/>
        <v>32</v>
      </c>
      <c r="B164" s="44"/>
      <c r="C164" s="43"/>
      <c r="D164" s="43"/>
      <c r="E164" s="43"/>
      <c r="F164" s="43"/>
      <c r="G164" s="43"/>
      <c r="H164" s="43"/>
      <c r="I164" s="43"/>
      <c r="J164" s="43"/>
      <c r="K164" s="43"/>
      <c r="L164" s="43"/>
      <c r="M164" s="43"/>
      <c r="N164" s="43"/>
      <c r="O164" s="43"/>
      <c r="P164" s="43"/>
      <c r="Q164" s="43"/>
      <c r="R164" s="48" t="str">
        <f ca="1">IFERROR(__xludf.DUMMYFUNCTION("SPARKLINE({D164,F164,H164,J164,L164,N164,P164})"),"#N/A")</f>
        <v>#N/A</v>
      </c>
      <c r="S164" s="45" t="str">
        <f ca="1">IFERROR(__xludf.DUMMYFUNCTION("SPARKLINE({E164;G164;I164;K164;M164;O164;Q164})"),"#N/A")</f>
        <v>#N/A</v>
      </c>
    </row>
    <row r="165" spans="1:19" ht="14.5" x14ac:dyDescent="0.6">
      <c r="A165" s="42">
        <f t="shared" si="1"/>
        <v>33</v>
      </c>
      <c r="B165" s="44"/>
      <c r="C165" s="43"/>
      <c r="D165" s="43"/>
      <c r="E165" s="43"/>
      <c r="F165" s="43"/>
      <c r="G165" s="43"/>
      <c r="H165" s="43"/>
      <c r="I165" s="43"/>
      <c r="J165" s="43"/>
      <c r="K165" s="43"/>
      <c r="L165" s="43"/>
      <c r="M165" s="43"/>
      <c r="N165" s="43"/>
      <c r="O165" s="43"/>
      <c r="P165" s="43"/>
      <c r="Q165" s="43"/>
      <c r="R165" s="48" t="str">
        <f ca="1">IFERROR(__xludf.DUMMYFUNCTION("SPARKLINE({D165,F165,H165,J165,L165,N165,P165})"),"#N/A")</f>
        <v>#N/A</v>
      </c>
      <c r="S165" s="45" t="str">
        <f ca="1">IFERROR(__xludf.DUMMYFUNCTION("SPARKLINE({E165;G165;I165;K165;M165;O165;Q165})"),"#N/A")</f>
        <v>#N/A</v>
      </c>
    </row>
    <row r="166" spans="1:19" ht="14.5" x14ac:dyDescent="0.6">
      <c r="A166" s="42">
        <f t="shared" si="1"/>
        <v>34</v>
      </c>
      <c r="B166" s="44"/>
      <c r="C166" s="43"/>
      <c r="D166" s="43"/>
      <c r="E166" s="43"/>
      <c r="F166" s="43"/>
      <c r="G166" s="43"/>
      <c r="H166" s="43"/>
      <c r="I166" s="43"/>
      <c r="J166" s="43"/>
      <c r="K166" s="43"/>
      <c r="L166" s="43"/>
      <c r="M166" s="43"/>
      <c r="N166" s="43"/>
      <c r="O166" s="43"/>
      <c r="P166" s="43"/>
      <c r="Q166" s="43"/>
      <c r="R166" s="48" t="str">
        <f ca="1">IFERROR(__xludf.DUMMYFUNCTION("SPARKLINE({D166,F166,H166,J166,L166,N166,P166})"),"#N/A")</f>
        <v>#N/A</v>
      </c>
      <c r="S166" s="45" t="str">
        <f ca="1">IFERROR(__xludf.DUMMYFUNCTION("SPARKLINE({E166;G166;I166;K166;M166;O166;Q166})"),"#N/A")</f>
        <v>#N/A</v>
      </c>
    </row>
    <row r="167" spans="1:19" ht="14.5" x14ac:dyDescent="0.6">
      <c r="A167" s="42">
        <f t="shared" si="1"/>
        <v>35</v>
      </c>
      <c r="B167" s="44"/>
      <c r="C167" s="43"/>
      <c r="D167" s="43"/>
      <c r="E167" s="43"/>
      <c r="F167" s="43"/>
      <c r="G167" s="43"/>
      <c r="H167" s="43"/>
      <c r="I167" s="43"/>
      <c r="J167" s="43"/>
      <c r="K167" s="43"/>
      <c r="L167" s="43"/>
      <c r="M167" s="43"/>
      <c r="N167" s="43"/>
      <c r="O167" s="43"/>
      <c r="P167" s="43"/>
      <c r="Q167" s="43"/>
      <c r="R167" s="48" t="str">
        <f ca="1">IFERROR(__xludf.DUMMYFUNCTION("SPARKLINE({D167,F167,H167,J167,L167,N167,P167})"),"#N/A")</f>
        <v>#N/A</v>
      </c>
      <c r="S167" s="45" t="str">
        <f ca="1">IFERROR(__xludf.DUMMYFUNCTION("SPARKLINE({E167;G167;I167;K167;M167;O167;Q167})"),"#N/A")</f>
        <v>#N/A</v>
      </c>
    </row>
    <row r="168" spans="1:19" ht="14.5" x14ac:dyDescent="0.6">
      <c r="A168" s="42">
        <f t="shared" si="1"/>
        <v>36</v>
      </c>
      <c r="B168" s="44"/>
      <c r="C168" s="43"/>
      <c r="D168" s="43"/>
      <c r="E168" s="43"/>
      <c r="F168" s="43"/>
      <c r="G168" s="43"/>
      <c r="H168" s="43"/>
      <c r="I168" s="43"/>
      <c r="J168" s="43"/>
      <c r="K168" s="43"/>
      <c r="L168" s="43"/>
      <c r="M168" s="43"/>
      <c r="N168" s="43"/>
      <c r="O168" s="43"/>
      <c r="P168" s="43"/>
      <c r="Q168" s="43"/>
      <c r="R168" s="48" t="str">
        <f ca="1">IFERROR(__xludf.DUMMYFUNCTION("SPARKLINE({D168,F168,H168,J168,L168,N168,P168})"),"#N/A")</f>
        <v>#N/A</v>
      </c>
      <c r="S168" s="45" t="str">
        <f ca="1">IFERROR(__xludf.DUMMYFUNCTION("SPARKLINE({E168;G168;I168;K168;M168;O168;Q168})"),"#N/A")</f>
        <v>#N/A</v>
      </c>
    </row>
    <row r="169" spans="1:19" ht="14.5" x14ac:dyDescent="0.6">
      <c r="A169" s="42">
        <f t="shared" si="1"/>
        <v>37</v>
      </c>
      <c r="B169" s="44"/>
      <c r="C169" s="43"/>
      <c r="D169" s="43"/>
      <c r="E169" s="43"/>
      <c r="F169" s="43"/>
      <c r="G169" s="43"/>
      <c r="H169" s="43"/>
      <c r="I169" s="43"/>
      <c r="J169" s="43"/>
      <c r="K169" s="43"/>
      <c r="L169" s="43"/>
      <c r="M169" s="43"/>
      <c r="N169" s="43"/>
      <c r="O169" s="43"/>
      <c r="P169" s="43"/>
      <c r="Q169" s="43"/>
      <c r="R169" s="48" t="str">
        <f ca="1">IFERROR(__xludf.DUMMYFUNCTION("SPARKLINE({D169,F169,H169,J169,L169,N169,P169})"),"#N/A")</f>
        <v>#N/A</v>
      </c>
      <c r="S169" s="45" t="str">
        <f ca="1">IFERROR(__xludf.DUMMYFUNCTION("SPARKLINE({E169;G169;I169;K169;M169;O169;Q169})"),"#N/A")</f>
        <v>#N/A</v>
      </c>
    </row>
    <row r="170" spans="1:19" ht="14.5" x14ac:dyDescent="0.6">
      <c r="A170" s="42">
        <f t="shared" si="1"/>
        <v>38</v>
      </c>
      <c r="B170" s="44"/>
      <c r="C170" s="43"/>
      <c r="D170" s="43"/>
      <c r="E170" s="43"/>
      <c r="F170" s="43"/>
      <c r="G170" s="43"/>
      <c r="H170" s="43"/>
      <c r="I170" s="43"/>
      <c r="J170" s="43"/>
      <c r="K170" s="43"/>
      <c r="L170" s="43"/>
      <c r="M170" s="43"/>
      <c r="N170" s="43"/>
      <c r="O170" s="43"/>
      <c r="P170" s="43"/>
      <c r="Q170" s="43"/>
      <c r="R170" s="48" t="str">
        <f ca="1">IFERROR(__xludf.DUMMYFUNCTION("SPARKLINE({D170,F170,H170,J170,L170,N170,P170})"),"#N/A")</f>
        <v>#N/A</v>
      </c>
      <c r="S170" s="45" t="str">
        <f ca="1">IFERROR(__xludf.DUMMYFUNCTION("SPARKLINE({E170;G170;I170;K170;M170;O170;Q170})"),"#N/A")</f>
        <v>#N/A</v>
      </c>
    </row>
    <row r="171" spans="1:19" ht="14.5" x14ac:dyDescent="0.6">
      <c r="A171" s="42">
        <f t="shared" si="1"/>
        <v>39</v>
      </c>
      <c r="B171" s="44"/>
      <c r="C171" s="43"/>
      <c r="D171" s="43"/>
      <c r="E171" s="43"/>
      <c r="F171" s="43"/>
      <c r="G171" s="43"/>
      <c r="H171" s="43"/>
      <c r="I171" s="43"/>
      <c r="J171" s="43"/>
      <c r="K171" s="43"/>
      <c r="L171" s="43"/>
      <c r="M171" s="43"/>
      <c r="N171" s="43"/>
      <c r="O171" s="43"/>
      <c r="P171" s="43"/>
      <c r="Q171" s="43"/>
      <c r="R171" s="48" t="str">
        <f ca="1">IFERROR(__xludf.DUMMYFUNCTION("SPARKLINE({D171,F171,H171,J171,L171,N171,P171})"),"#N/A")</f>
        <v>#N/A</v>
      </c>
      <c r="S171" s="45" t="str">
        <f ca="1">IFERROR(__xludf.DUMMYFUNCTION("SPARKLINE({E171;G171;I171;K171;M171;O171;Q171})"),"#N/A")</f>
        <v>#N/A</v>
      </c>
    </row>
    <row r="172" spans="1:19" ht="14.5" x14ac:dyDescent="0.6">
      <c r="A172" s="42">
        <f t="shared" si="1"/>
        <v>40</v>
      </c>
      <c r="B172" s="44"/>
      <c r="C172" s="43"/>
      <c r="D172" s="43"/>
      <c r="E172" s="43"/>
      <c r="F172" s="43"/>
      <c r="G172" s="43"/>
      <c r="H172" s="43"/>
      <c r="I172" s="43"/>
      <c r="J172" s="43"/>
      <c r="K172" s="43"/>
      <c r="L172" s="43"/>
      <c r="M172" s="43"/>
      <c r="N172" s="43"/>
      <c r="O172" s="43"/>
      <c r="P172" s="43"/>
      <c r="Q172" s="43"/>
      <c r="R172" s="48" t="str">
        <f ca="1">IFERROR(__xludf.DUMMYFUNCTION("SPARKLINE({D172,F172,H172,J172,L172,N172,P172})"),"#N/A")</f>
        <v>#N/A</v>
      </c>
      <c r="S172" s="45" t="str">
        <f ca="1">IFERROR(__xludf.DUMMYFUNCTION("SPARKLINE({E172;G172;I172;K172;M172;O172;Q172})"),"#N/A")</f>
        <v>#N/A</v>
      </c>
    </row>
    <row r="173" spans="1:19" ht="14.5" x14ac:dyDescent="0.6">
      <c r="A173" s="42">
        <f t="shared" si="1"/>
        <v>41</v>
      </c>
      <c r="B173" s="44"/>
      <c r="C173" s="43"/>
      <c r="D173" s="43"/>
      <c r="E173" s="43"/>
      <c r="F173" s="43"/>
      <c r="G173" s="43"/>
      <c r="H173" s="43"/>
      <c r="I173" s="43"/>
      <c r="J173" s="43"/>
      <c r="K173" s="43"/>
      <c r="L173" s="43"/>
      <c r="M173" s="43"/>
      <c r="N173" s="43"/>
      <c r="O173" s="43"/>
      <c r="P173" s="43"/>
      <c r="Q173" s="43"/>
      <c r="R173" s="48" t="str">
        <f ca="1">IFERROR(__xludf.DUMMYFUNCTION("SPARKLINE({D173,F173,H173,J173,L173,N173,P173})"),"#N/A")</f>
        <v>#N/A</v>
      </c>
      <c r="S173" s="45" t="str">
        <f ca="1">IFERROR(__xludf.DUMMYFUNCTION("SPARKLINE({E173;G173;I173;K173;M173;O173;Q173})"),"#N/A")</f>
        <v>#N/A</v>
      </c>
    </row>
    <row r="174" spans="1:19" ht="14.5" x14ac:dyDescent="0.6">
      <c r="A174" s="42">
        <f t="shared" si="1"/>
        <v>42</v>
      </c>
      <c r="B174" s="44"/>
      <c r="C174" s="43"/>
      <c r="D174" s="43"/>
      <c r="E174" s="43"/>
      <c r="F174" s="43"/>
      <c r="G174" s="43"/>
      <c r="H174" s="43"/>
      <c r="I174" s="43"/>
      <c r="J174" s="43"/>
      <c r="K174" s="43"/>
      <c r="L174" s="43"/>
      <c r="M174" s="43"/>
      <c r="N174" s="43"/>
      <c r="O174" s="43"/>
      <c r="P174" s="43"/>
      <c r="Q174" s="43"/>
      <c r="R174" s="48" t="str">
        <f ca="1">IFERROR(__xludf.DUMMYFUNCTION("SPARKLINE({D174,F174,H174,J174,L174,N174,P174})"),"#N/A")</f>
        <v>#N/A</v>
      </c>
      <c r="S174" s="45" t="str">
        <f ca="1">IFERROR(__xludf.DUMMYFUNCTION("SPARKLINE({E174;G174;I174;K174;M174;O174;Q174})"),"#N/A")</f>
        <v>#N/A</v>
      </c>
    </row>
    <row r="175" spans="1:19" ht="14.5" x14ac:dyDescent="0.6">
      <c r="A175" s="42">
        <f t="shared" si="1"/>
        <v>43</v>
      </c>
      <c r="B175" s="44"/>
      <c r="C175" s="43"/>
      <c r="D175" s="43"/>
      <c r="E175" s="43"/>
      <c r="F175" s="43"/>
      <c r="G175" s="43"/>
      <c r="H175" s="43"/>
      <c r="I175" s="43"/>
      <c r="J175" s="43"/>
      <c r="K175" s="43"/>
      <c r="L175" s="43"/>
      <c r="M175" s="43"/>
      <c r="N175" s="43"/>
      <c r="O175" s="43"/>
      <c r="P175" s="43"/>
      <c r="Q175" s="43"/>
      <c r="R175" s="48" t="str">
        <f ca="1">IFERROR(__xludf.DUMMYFUNCTION("SPARKLINE({D175,F175,H175,J175,L175,N175,P175})"),"#N/A")</f>
        <v>#N/A</v>
      </c>
      <c r="S175" s="45" t="str">
        <f ca="1">IFERROR(__xludf.DUMMYFUNCTION("SPARKLINE({E175;G175;I175;K175;M175;O175;Q175})"),"#N/A")</f>
        <v>#N/A</v>
      </c>
    </row>
    <row r="176" spans="1:19" ht="14.5" x14ac:dyDescent="0.6">
      <c r="A176" s="42">
        <f t="shared" si="1"/>
        <v>44</v>
      </c>
      <c r="B176" s="44"/>
      <c r="C176" s="43"/>
      <c r="D176" s="43"/>
      <c r="E176" s="43"/>
      <c r="F176" s="43"/>
      <c r="G176" s="43"/>
      <c r="H176" s="43"/>
      <c r="I176" s="43"/>
      <c r="J176" s="43"/>
      <c r="K176" s="43"/>
      <c r="L176" s="43"/>
      <c r="M176" s="43"/>
      <c r="N176" s="43"/>
      <c r="O176" s="43"/>
      <c r="P176" s="43"/>
      <c r="Q176" s="43"/>
      <c r="R176" s="48" t="str">
        <f ca="1">IFERROR(__xludf.DUMMYFUNCTION("SPARKLINE({D176,F176,H176,J176,L176,N176,P176})"),"#N/A")</f>
        <v>#N/A</v>
      </c>
      <c r="S176" s="45" t="str">
        <f ca="1">IFERROR(__xludf.DUMMYFUNCTION("SPARKLINE({E176;G176;I176;K176;M176;O176;Q176})"),"#N/A")</f>
        <v>#N/A</v>
      </c>
    </row>
    <row r="177" spans="1:19" ht="14.5" x14ac:dyDescent="0.6">
      <c r="A177" s="42">
        <f t="shared" si="1"/>
        <v>45</v>
      </c>
      <c r="B177" s="44"/>
      <c r="C177" s="43"/>
      <c r="D177" s="43"/>
      <c r="E177" s="43"/>
      <c r="F177" s="43"/>
      <c r="G177" s="43"/>
      <c r="H177" s="43"/>
      <c r="I177" s="43"/>
      <c r="J177" s="43"/>
      <c r="K177" s="43"/>
      <c r="L177" s="43"/>
      <c r="M177" s="43"/>
      <c r="N177" s="43"/>
      <c r="O177" s="43"/>
      <c r="P177" s="43"/>
      <c r="Q177" s="43"/>
      <c r="R177" s="48" t="str">
        <f ca="1">IFERROR(__xludf.DUMMYFUNCTION("SPARKLINE({D177,F177,H177,J177,L177,N177,P177})"),"#N/A")</f>
        <v>#N/A</v>
      </c>
      <c r="S177" s="45" t="str">
        <f ca="1">IFERROR(__xludf.DUMMYFUNCTION("SPARKLINE({E177;G177;I177;K177;M177;O177;Q177})"),"#N/A")</f>
        <v>#N/A</v>
      </c>
    </row>
    <row r="178" spans="1:19" ht="14.5" x14ac:dyDescent="0.6">
      <c r="A178" s="42">
        <f t="shared" si="1"/>
        <v>46</v>
      </c>
      <c r="B178" s="44"/>
      <c r="C178" s="43"/>
      <c r="D178" s="43"/>
      <c r="E178" s="43"/>
      <c r="F178" s="43"/>
      <c r="G178" s="43"/>
      <c r="H178" s="43"/>
      <c r="I178" s="43"/>
      <c r="J178" s="43"/>
      <c r="K178" s="43"/>
      <c r="L178" s="43"/>
      <c r="M178" s="43"/>
      <c r="N178" s="43"/>
      <c r="O178" s="43"/>
      <c r="P178" s="43"/>
      <c r="Q178" s="43"/>
      <c r="R178" s="48" t="str">
        <f ca="1">IFERROR(__xludf.DUMMYFUNCTION("SPARKLINE({D178,F178,H178,J178,L178,N178,P178})"),"#N/A")</f>
        <v>#N/A</v>
      </c>
      <c r="S178" s="45" t="str">
        <f ca="1">IFERROR(__xludf.DUMMYFUNCTION("SPARKLINE({E178;G178;I178;K178;M178;O178;Q178})"),"#N/A")</f>
        <v>#N/A</v>
      </c>
    </row>
    <row r="179" spans="1:19" ht="14.5" x14ac:dyDescent="0.6">
      <c r="A179" s="42">
        <f t="shared" si="1"/>
        <v>47</v>
      </c>
      <c r="B179" s="44"/>
      <c r="C179" s="43"/>
      <c r="D179" s="43"/>
      <c r="E179" s="43"/>
      <c r="F179" s="43"/>
      <c r="G179" s="43"/>
      <c r="H179" s="43"/>
      <c r="I179" s="43"/>
      <c r="J179" s="43"/>
      <c r="K179" s="43"/>
      <c r="L179" s="43"/>
      <c r="M179" s="43"/>
      <c r="N179" s="43"/>
      <c r="O179" s="43"/>
      <c r="P179" s="43"/>
      <c r="Q179" s="43"/>
      <c r="R179" s="48" t="str">
        <f ca="1">IFERROR(__xludf.DUMMYFUNCTION("SPARKLINE({D179,F179,H179,J179,L179,N179,P179})"),"#N/A")</f>
        <v>#N/A</v>
      </c>
      <c r="S179" s="45" t="str">
        <f ca="1">IFERROR(__xludf.DUMMYFUNCTION("SPARKLINE({E179;G179;I179;K179;M179;O179;Q179})"),"#N/A")</f>
        <v>#N/A</v>
      </c>
    </row>
    <row r="180" spans="1:19" ht="14.5" x14ac:dyDescent="0.6">
      <c r="A180" s="42">
        <f t="shared" si="1"/>
        <v>48</v>
      </c>
      <c r="B180" s="44"/>
      <c r="C180" s="43"/>
      <c r="D180" s="43"/>
      <c r="E180" s="43"/>
      <c r="F180" s="43"/>
      <c r="G180" s="43"/>
      <c r="H180" s="43"/>
      <c r="I180" s="43"/>
      <c r="J180" s="43"/>
      <c r="K180" s="43"/>
      <c r="L180" s="43"/>
      <c r="M180" s="43"/>
      <c r="N180" s="43"/>
      <c r="O180" s="43"/>
      <c r="P180" s="43"/>
      <c r="Q180" s="43"/>
      <c r="R180" s="48" t="str">
        <f ca="1">IFERROR(__xludf.DUMMYFUNCTION("SPARKLINE({D180,F180,H180,J180,L180,N180,P180})"),"#N/A")</f>
        <v>#N/A</v>
      </c>
      <c r="S180" s="45" t="str">
        <f ca="1">IFERROR(__xludf.DUMMYFUNCTION("SPARKLINE({E180;G180;I180;K180;M180;O180;Q180})"),"#N/A")</f>
        <v>#N/A</v>
      </c>
    </row>
    <row r="181" spans="1:19" ht="14.5" x14ac:dyDescent="0.6">
      <c r="A181" s="42">
        <f t="shared" si="1"/>
        <v>49</v>
      </c>
      <c r="B181" s="44"/>
      <c r="C181" s="43"/>
      <c r="D181" s="43"/>
      <c r="E181" s="43"/>
      <c r="F181" s="43"/>
      <c r="G181" s="43"/>
      <c r="H181" s="43"/>
      <c r="I181" s="43"/>
      <c r="J181" s="43"/>
      <c r="K181" s="43"/>
      <c r="L181" s="43"/>
      <c r="M181" s="43"/>
      <c r="N181" s="43"/>
      <c r="O181" s="43"/>
      <c r="P181" s="43"/>
      <c r="Q181" s="43"/>
      <c r="R181" s="48" t="str">
        <f ca="1">IFERROR(__xludf.DUMMYFUNCTION("SPARKLINE({D181,F181,H181,J181,L181,N181,P181})"),"#N/A")</f>
        <v>#N/A</v>
      </c>
      <c r="S181" s="45" t="str">
        <f ca="1">IFERROR(__xludf.DUMMYFUNCTION("SPARKLINE({E181;G181;I181;K181;M181;O181;Q181})"),"#N/A")</f>
        <v>#N/A</v>
      </c>
    </row>
    <row r="182" spans="1:19" ht="14.5" x14ac:dyDescent="0.6">
      <c r="A182" s="42">
        <f t="shared" si="1"/>
        <v>50</v>
      </c>
      <c r="B182" s="44"/>
      <c r="C182" s="43"/>
      <c r="D182" s="43"/>
      <c r="E182" s="43"/>
      <c r="F182" s="43"/>
      <c r="G182" s="43"/>
      <c r="H182" s="43"/>
      <c r="I182" s="43"/>
      <c r="J182" s="43"/>
      <c r="K182" s="43"/>
      <c r="L182" s="43"/>
      <c r="M182" s="43"/>
      <c r="N182" s="43"/>
      <c r="O182" s="43"/>
      <c r="P182" s="43"/>
      <c r="Q182" s="43"/>
      <c r="R182" s="48" t="str">
        <f ca="1">IFERROR(__xludf.DUMMYFUNCTION("SPARKLINE({D182,F182,H182,J182,L182,N182,P182})"),"#N/A")</f>
        <v>#N/A</v>
      </c>
      <c r="S182" s="45" t="str">
        <f ca="1">IFERROR(__xludf.DUMMYFUNCTION("SPARKLINE({E182;G182;I182;K182;M182;O182;Q182})"),"#N/A")</f>
        <v>#N/A</v>
      </c>
    </row>
    <row r="183" spans="1:19" ht="14.5" x14ac:dyDescent="0.6">
      <c r="A183" s="42">
        <f t="shared" si="1"/>
        <v>51</v>
      </c>
      <c r="B183" s="44"/>
      <c r="C183" s="43"/>
      <c r="D183" s="43"/>
      <c r="E183" s="43"/>
      <c r="F183" s="43"/>
      <c r="G183" s="43"/>
      <c r="H183" s="43"/>
      <c r="I183" s="43"/>
      <c r="J183" s="43"/>
      <c r="K183" s="43"/>
      <c r="L183" s="43"/>
      <c r="M183" s="43"/>
      <c r="N183" s="43"/>
      <c r="O183" s="43"/>
      <c r="P183" s="43"/>
      <c r="Q183" s="43"/>
      <c r="R183" s="48" t="str">
        <f ca="1">IFERROR(__xludf.DUMMYFUNCTION("SPARKLINE({D183,F183,H183,J183,L183,N183,P183})"),"#N/A")</f>
        <v>#N/A</v>
      </c>
      <c r="S183" s="45" t="str">
        <f ca="1">IFERROR(__xludf.DUMMYFUNCTION("SPARKLINE({E183;G183;I183;K183;M183;O183;Q183})"),"#N/A")</f>
        <v>#N/A</v>
      </c>
    </row>
    <row r="184" spans="1:19" ht="14.5" x14ac:dyDescent="0.6">
      <c r="A184" s="42">
        <f t="shared" si="1"/>
        <v>52</v>
      </c>
      <c r="B184" s="44"/>
      <c r="C184" s="43"/>
      <c r="D184" s="43"/>
      <c r="E184" s="43"/>
      <c r="F184" s="43"/>
      <c r="G184" s="43"/>
      <c r="H184" s="43"/>
      <c r="I184" s="43"/>
      <c r="J184" s="43"/>
      <c r="K184" s="43"/>
      <c r="L184" s="43"/>
      <c r="M184" s="43"/>
      <c r="N184" s="43"/>
      <c r="O184" s="43"/>
      <c r="P184" s="43"/>
      <c r="Q184" s="43"/>
      <c r="R184" s="48" t="str">
        <f ca="1">IFERROR(__xludf.DUMMYFUNCTION("SPARKLINE({D184,F184,H184,J184,L184,N184,P184})"),"#N/A")</f>
        <v>#N/A</v>
      </c>
      <c r="S184" s="45" t="str">
        <f ca="1">IFERROR(__xludf.DUMMYFUNCTION("SPARKLINE({E184;G184;I184;K184;M184;O184;Q184})"),"#N/A")</f>
        <v>#N/A</v>
      </c>
    </row>
    <row r="185" spans="1:19" ht="14.5" x14ac:dyDescent="0.6">
      <c r="A185" s="42">
        <f t="shared" si="1"/>
        <v>53</v>
      </c>
      <c r="B185" s="44"/>
      <c r="C185" s="43"/>
      <c r="D185" s="43"/>
      <c r="E185" s="43"/>
      <c r="F185" s="43"/>
      <c r="G185" s="43"/>
      <c r="H185" s="43"/>
      <c r="I185" s="43"/>
      <c r="J185" s="43"/>
      <c r="K185" s="43"/>
      <c r="L185" s="43"/>
      <c r="M185" s="43"/>
      <c r="N185" s="43"/>
      <c r="O185" s="43"/>
      <c r="P185" s="43"/>
      <c r="Q185" s="43"/>
      <c r="R185" s="48" t="str">
        <f ca="1">IFERROR(__xludf.DUMMYFUNCTION("SPARKLINE({D185,F185,H185,J185,L185,N185,P185})"),"#N/A")</f>
        <v>#N/A</v>
      </c>
      <c r="S185" s="45" t="str">
        <f ca="1">IFERROR(__xludf.DUMMYFUNCTION("SPARKLINE({E185;G185;I185;K185;M185;O185;Q185})"),"#N/A")</f>
        <v>#N/A</v>
      </c>
    </row>
    <row r="186" spans="1:19" ht="14.5" x14ac:dyDescent="0.6">
      <c r="A186" s="42">
        <f t="shared" si="1"/>
        <v>54</v>
      </c>
      <c r="B186" s="44"/>
      <c r="C186" s="43"/>
      <c r="D186" s="43"/>
      <c r="E186" s="43"/>
      <c r="F186" s="43"/>
      <c r="G186" s="43"/>
      <c r="H186" s="43"/>
      <c r="I186" s="43"/>
      <c r="J186" s="43"/>
      <c r="K186" s="43"/>
      <c r="L186" s="43"/>
      <c r="M186" s="43"/>
      <c r="N186" s="43"/>
      <c r="O186" s="43"/>
      <c r="P186" s="43"/>
      <c r="Q186" s="43"/>
      <c r="R186" s="48" t="str">
        <f ca="1">IFERROR(__xludf.DUMMYFUNCTION("SPARKLINE({D186,F186,H186,J186,L186,N186,P186})"),"#N/A")</f>
        <v>#N/A</v>
      </c>
      <c r="S186" s="45" t="str">
        <f ca="1">IFERROR(__xludf.DUMMYFUNCTION("SPARKLINE({E186;G186;I186;K186;M186;O186;Q186})"),"#N/A")</f>
        <v>#N/A</v>
      </c>
    </row>
    <row r="187" spans="1:19" ht="14.5" x14ac:dyDescent="0.6">
      <c r="A187" s="42">
        <f t="shared" si="1"/>
        <v>55</v>
      </c>
      <c r="B187" s="44"/>
      <c r="C187" s="43"/>
      <c r="D187" s="43"/>
      <c r="E187" s="43"/>
      <c r="F187" s="43"/>
      <c r="G187" s="43"/>
      <c r="H187" s="43"/>
      <c r="I187" s="43"/>
      <c r="J187" s="43"/>
      <c r="K187" s="43"/>
      <c r="L187" s="43"/>
      <c r="M187" s="43"/>
      <c r="N187" s="43"/>
      <c r="O187" s="43"/>
      <c r="P187" s="43"/>
      <c r="Q187" s="43"/>
      <c r="R187" s="48" t="str">
        <f ca="1">IFERROR(__xludf.DUMMYFUNCTION("SPARKLINE({D187,F187,H187,J187,L187,N187,P187})"),"#N/A")</f>
        <v>#N/A</v>
      </c>
      <c r="S187" s="45" t="str">
        <f ca="1">IFERROR(__xludf.DUMMYFUNCTION("SPARKLINE({E187;G187;I187;K187;M187;O187;Q187})"),"#N/A")</f>
        <v>#N/A</v>
      </c>
    </row>
    <row r="188" spans="1:19" ht="14.5" x14ac:dyDescent="0.6">
      <c r="A188" s="42">
        <f t="shared" si="1"/>
        <v>56</v>
      </c>
      <c r="B188" s="44"/>
      <c r="C188" s="43"/>
      <c r="D188" s="43"/>
      <c r="E188" s="43"/>
      <c r="F188" s="43"/>
      <c r="G188" s="43"/>
      <c r="H188" s="43"/>
      <c r="I188" s="43"/>
      <c r="J188" s="43"/>
      <c r="K188" s="43"/>
      <c r="L188" s="43"/>
      <c r="M188" s="43"/>
      <c r="N188" s="43"/>
      <c r="O188" s="43"/>
      <c r="P188" s="43"/>
      <c r="Q188" s="43"/>
      <c r="R188" s="48" t="str">
        <f ca="1">IFERROR(__xludf.DUMMYFUNCTION("SPARKLINE({D188,F188,H188,J188,L188,N188,P188})"),"#N/A")</f>
        <v>#N/A</v>
      </c>
      <c r="S188" s="45" t="str">
        <f ca="1">IFERROR(__xludf.DUMMYFUNCTION("SPARKLINE({E188;G188;I188;K188;M188;O188;Q188})"),"#N/A")</f>
        <v>#N/A</v>
      </c>
    </row>
    <row r="189" spans="1:19" ht="14.5" x14ac:dyDescent="0.6">
      <c r="A189" s="42">
        <f t="shared" si="1"/>
        <v>57</v>
      </c>
      <c r="B189" s="44"/>
      <c r="C189" s="43"/>
      <c r="D189" s="43"/>
      <c r="E189" s="43"/>
      <c r="F189" s="43"/>
      <c r="G189" s="43"/>
      <c r="H189" s="43"/>
      <c r="I189" s="43"/>
      <c r="J189" s="43"/>
      <c r="K189" s="43"/>
      <c r="L189" s="43"/>
      <c r="M189" s="43"/>
      <c r="N189" s="43"/>
      <c r="O189" s="43"/>
      <c r="P189" s="43"/>
      <c r="Q189" s="43"/>
      <c r="R189" s="48" t="str">
        <f ca="1">IFERROR(__xludf.DUMMYFUNCTION("SPARKLINE({D189,F189,H189,J189,L189,N189,P189})"),"#N/A")</f>
        <v>#N/A</v>
      </c>
      <c r="S189" s="45" t="str">
        <f ca="1">IFERROR(__xludf.DUMMYFUNCTION("SPARKLINE({E189;G189;I189;K189;M189;O189;Q189})"),"#N/A")</f>
        <v>#N/A</v>
      </c>
    </row>
    <row r="190" spans="1:19" ht="14.5" x14ac:dyDescent="0.6">
      <c r="A190" s="42">
        <f t="shared" si="1"/>
        <v>58</v>
      </c>
      <c r="B190" s="44"/>
      <c r="C190" s="43"/>
      <c r="D190" s="43"/>
      <c r="E190" s="43"/>
      <c r="F190" s="43"/>
      <c r="G190" s="43"/>
      <c r="H190" s="43"/>
      <c r="I190" s="43"/>
      <c r="J190" s="43"/>
      <c r="K190" s="43"/>
      <c r="L190" s="43"/>
      <c r="M190" s="43"/>
      <c r="N190" s="43"/>
      <c r="O190" s="43"/>
      <c r="P190" s="43"/>
      <c r="Q190" s="43"/>
      <c r="R190" s="48" t="str">
        <f ca="1">IFERROR(__xludf.DUMMYFUNCTION("SPARKLINE({D190,F190,H190,J190,L190,N190,P190})"),"#N/A")</f>
        <v>#N/A</v>
      </c>
      <c r="S190" s="45" t="str">
        <f ca="1">IFERROR(__xludf.DUMMYFUNCTION("SPARKLINE({E190;G190;I190;K190;M190;O190;Q190})"),"#N/A")</f>
        <v>#N/A</v>
      </c>
    </row>
    <row r="191" spans="1:19" ht="14.5" x14ac:dyDescent="0.6">
      <c r="A191" s="42">
        <f t="shared" si="1"/>
        <v>59</v>
      </c>
      <c r="B191" s="44"/>
      <c r="C191" s="43"/>
      <c r="D191" s="43"/>
      <c r="E191" s="43"/>
      <c r="F191" s="43"/>
      <c r="G191" s="43"/>
      <c r="H191" s="43"/>
      <c r="I191" s="43"/>
      <c r="J191" s="43"/>
      <c r="K191" s="43"/>
      <c r="L191" s="43"/>
      <c r="M191" s="43"/>
      <c r="N191" s="43"/>
      <c r="O191" s="43"/>
      <c r="P191" s="43"/>
      <c r="Q191" s="43"/>
      <c r="R191" s="48" t="str">
        <f ca="1">IFERROR(__xludf.DUMMYFUNCTION("SPARKLINE({D191,F191,H191,J191,L191,N191,P191})"),"#N/A")</f>
        <v>#N/A</v>
      </c>
      <c r="S191" s="45" t="str">
        <f ca="1">IFERROR(__xludf.DUMMYFUNCTION("SPARKLINE({E191;G191;I191;K191;M191;O191;Q191})"),"#N/A")</f>
        <v>#N/A</v>
      </c>
    </row>
    <row r="192" spans="1:19" ht="14.5" x14ac:dyDescent="0.6">
      <c r="A192" s="42">
        <f t="shared" si="1"/>
        <v>60</v>
      </c>
      <c r="B192" s="44"/>
      <c r="C192" s="43"/>
      <c r="D192" s="43"/>
      <c r="E192" s="43"/>
      <c r="F192" s="43"/>
      <c r="G192" s="43"/>
      <c r="H192" s="43"/>
      <c r="I192" s="43"/>
      <c r="J192" s="43"/>
      <c r="K192" s="43"/>
      <c r="L192" s="43"/>
      <c r="M192" s="43"/>
      <c r="N192" s="43"/>
      <c r="O192" s="43"/>
      <c r="P192" s="43"/>
      <c r="Q192" s="43"/>
      <c r="R192" s="48" t="str">
        <f ca="1">IFERROR(__xludf.DUMMYFUNCTION("SPARKLINE({D192,F192,H192,J192,L192,N192,P192})"),"#N/A")</f>
        <v>#N/A</v>
      </c>
      <c r="S192" s="45" t="str">
        <f ca="1">IFERROR(__xludf.DUMMYFUNCTION("SPARKLINE({E192;G192;I192;K192;M192;O192;Q192})"),"#N/A")</f>
        <v>#N/A</v>
      </c>
    </row>
    <row r="193" spans="1:19" ht="14.5" x14ac:dyDescent="0.6">
      <c r="A193" s="42">
        <f t="shared" si="1"/>
        <v>61</v>
      </c>
      <c r="B193" s="44"/>
      <c r="C193" s="43"/>
      <c r="D193" s="43"/>
      <c r="E193" s="43"/>
      <c r="F193" s="43"/>
      <c r="G193" s="43"/>
      <c r="H193" s="43"/>
      <c r="I193" s="43"/>
      <c r="J193" s="43"/>
      <c r="K193" s="43"/>
      <c r="L193" s="43"/>
      <c r="M193" s="43"/>
      <c r="N193" s="43"/>
      <c r="O193" s="43"/>
      <c r="P193" s="43"/>
      <c r="Q193" s="43"/>
      <c r="R193" s="48" t="str">
        <f ca="1">IFERROR(__xludf.DUMMYFUNCTION("SPARKLINE({D193,F193,H193,J193,L193,N193,P193})"),"#N/A")</f>
        <v>#N/A</v>
      </c>
      <c r="S193" s="45" t="str">
        <f ca="1">IFERROR(__xludf.DUMMYFUNCTION("SPARKLINE({E193;G193;I193;K193;M193;O193;Q193})"),"#N/A")</f>
        <v>#N/A</v>
      </c>
    </row>
    <row r="194" spans="1:19" ht="14.5" x14ac:dyDescent="0.6">
      <c r="A194" s="42">
        <f t="shared" si="1"/>
        <v>62</v>
      </c>
      <c r="B194" s="44"/>
      <c r="C194" s="43"/>
      <c r="D194" s="43"/>
      <c r="E194" s="43"/>
      <c r="F194" s="43"/>
      <c r="G194" s="43"/>
      <c r="H194" s="43"/>
      <c r="I194" s="43"/>
      <c r="J194" s="43"/>
      <c r="K194" s="43"/>
      <c r="L194" s="43"/>
      <c r="M194" s="43"/>
      <c r="N194" s="43"/>
      <c r="O194" s="43"/>
      <c r="P194" s="43"/>
      <c r="Q194" s="43"/>
      <c r="R194" s="48" t="str">
        <f ca="1">IFERROR(__xludf.DUMMYFUNCTION("SPARKLINE({D194,F194,H194,J194,L194,N194,P194})"),"#N/A")</f>
        <v>#N/A</v>
      </c>
      <c r="S194" s="45" t="str">
        <f ca="1">IFERROR(__xludf.DUMMYFUNCTION("SPARKLINE({E194;G194;I194;K194;M194;O194;Q194})"),"#N/A")</f>
        <v>#N/A</v>
      </c>
    </row>
    <row r="195" spans="1:19" ht="14.5" x14ac:dyDescent="0.6">
      <c r="A195" s="42">
        <f t="shared" si="1"/>
        <v>63</v>
      </c>
      <c r="B195" s="44"/>
      <c r="C195" s="43"/>
      <c r="D195" s="43"/>
      <c r="E195" s="43"/>
      <c r="F195" s="43"/>
      <c r="G195" s="43"/>
      <c r="H195" s="43"/>
      <c r="I195" s="43"/>
      <c r="J195" s="43"/>
      <c r="K195" s="43"/>
      <c r="L195" s="43"/>
      <c r="M195" s="43"/>
      <c r="N195" s="43"/>
      <c r="O195" s="43"/>
      <c r="P195" s="43"/>
      <c r="Q195" s="43"/>
      <c r="R195" s="48" t="str">
        <f ca="1">IFERROR(__xludf.DUMMYFUNCTION("SPARKLINE({D195,F195,H195,J195,L195,N195,P195})"),"#N/A")</f>
        <v>#N/A</v>
      </c>
      <c r="S195" s="45" t="str">
        <f ca="1">IFERROR(__xludf.DUMMYFUNCTION("SPARKLINE({E195;G195;I195;K195;M195;O195;Q195})"),"#N/A")</f>
        <v>#N/A</v>
      </c>
    </row>
    <row r="196" spans="1:19" ht="14.5" x14ac:dyDescent="0.6">
      <c r="A196" s="42">
        <f t="shared" si="1"/>
        <v>64</v>
      </c>
      <c r="B196" s="44"/>
      <c r="C196" s="43"/>
      <c r="D196" s="43"/>
      <c r="E196" s="43"/>
      <c r="F196" s="43"/>
      <c r="G196" s="43"/>
      <c r="H196" s="43"/>
      <c r="I196" s="43"/>
      <c r="J196" s="43"/>
      <c r="K196" s="43"/>
      <c r="L196" s="43"/>
      <c r="M196" s="43"/>
      <c r="N196" s="43"/>
      <c r="O196" s="43"/>
      <c r="P196" s="43"/>
      <c r="Q196" s="43"/>
      <c r="R196" s="48" t="str">
        <f ca="1">IFERROR(__xludf.DUMMYFUNCTION("SPARKLINE({D196,F196,H196,J196,L196,N196,P196})"),"#N/A")</f>
        <v>#N/A</v>
      </c>
      <c r="S196" s="45" t="str">
        <f ca="1">IFERROR(__xludf.DUMMYFUNCTION("SPARKLINE({E196;G196;I196;K196;M196;O196;Q196})"),"#N/A")</f>
        <v>#N/A</v>
      </c>
    </row>
    <row r="197" spans="1:19" ht="14.5" x14ac:dyDescent="0.6">
      <c r="A197" s="42">
        <f t="shared" si="1"/>
        <v>65</v>
      </c>
      <c r="B197" s="44"/>
      <c r="C197" s="43"/>
      <c r="D197" s="43"/>
      <c r="E197" s="43"/>
      <c r="F197" s="43"/>
      <c r="G197" s="43"/>
      <c r="H197" s="43"/>
      <c r="I197" s="43"/>
      <c r="J197" s="43"/>
      <c r="K197" s="43"/>
      <c r="L197" s="43"/>
      <c r="M197" s="43"/>
      <c r="N197" s="43"/>
      <c r="O197" s="43"/>
      <c r="P197" s="43"/>
      <c r="Q197" s="43"/>
      <c r="R197" s="48" t="str">
        <f ca="1">IFERROR(__xludf.DUMMYFUNCTION("SPARKLINE({D197,F197,H197,J197,L197,N197,P197})"),"#N/A")</f>
        <v>#N/A</v>
      </c>
      <c r="S197" s="45" t="str">
        <f ca="1">IFERROR(__xludf.DUMMYFUNCTION("SPARKLINE({E197;G197;I197;K197;M197;O197;Q197})"),"#N/A")</f>
        <v>#N/A</v>
      </c>
    </row>
    <row r="198" spans="1:19" ht="14.5" x14ac:dyDescent="0.6">
      <c r="A198" s="42">
        <f t="shared" si="1"/>
        <v>66</v>
      </c>
      <c r="B198" s="44"/>
      <c r="C198" s="43"/>
      <c r="D198" s="43"/>
      <c r="E198" s="43"/>
      <c r="F198" s="43"/>
      <c r="G198" s="43"/>
      <c r="H198" s="43"/>
      <c r="I198" s="43"/>
      <c r="J198" s="43"/>
      <c r="K198" s="43"/>
      <c r="L198" s="43"/>
      <c r="M198" s="43"/>
      <c r="N198" s="43"/>
      <c r="O198" s="43"/>
      <c r="P198" s="43"/>
      <c r="Q198" s="43"/>
      <c r="R198" s="48" t="str">
        <f ca="1">IFERROR(__xludf.DUMMYFUNCTION("SPARKLINE({D198,F198,H198,J198,L198,N198,P198})"),"#N/A")</f>
        <v>#N/A</v>
      </c>
      <c r="S198" s="45" t="str">
        <f ca="1">IFERROR(__xludf.DUMMYFUNCTION("SPARKLINE({E198;G198;I198;K198;M198;O198;Q198})"),"#N/A")</f>
        <v>#N/A</v>
      </c>
    </row>
    <row r="199" spans="1:19" ht="14.5" x14ac:dyDescent="0.6">
      <c r="A199" s="42">
        <f t="shared" si="1"/>
        <v>67</v>
      </c>
      <c r="B199" s="44"/>
      <c r="C199" s="43"/>
      <c r="D199" s="43"/>
      <c r="E199" s="43"/>
      <c r="F199" s="43"/>
      <c r="G199" s="43"/>
      <c r="H199" s="43"/>
      <c r="I199" s="43"/>
      <c r="J199" s="43"/>
      <c r="K199" s="43"/>
      <c r="L199" s="43"/>
      <c r="M199" s="43"/>
      <c r="N199" s="43"/>
      <c r="O199" s="43"/>
      <c r="P199" s="43"/>
      <c r="Q199" s="43"/>
      <c r="R199" s="48" t="str">
        <f ca="1">IFERROR(__xludf.DUMMYFUNCTION("SPARKLINE({D199,F199,H199,J199,L199,N199,P199})"),"#N/A")</f>
        <v>#N/A</v>
      </c>
      <c r="S199" s="45" t="str">
        <f ca="1">IFERROR(__xludf.DUMMYFUNCTION("SPARKLINE({E199;G199;I199;K199;M199;O199;Q199})"),"#N/A")</f>
        <v>#N/A</v>
      </c>
    </row>
    <row r="200" spans="1:19" ht="14.5" x14ac:dyDescent="0.6">
      <c r="A200" s="42">
        <f t="shared" si="1"/>
        <v>68</v>
      </c>
      <c r="B200" s="44"/>
      <c r="C200" s="43"/>
      <c r="D200" s="43"/>
      <c r="E200" s="43"/>
      <c r="F200" s="43"/>
      <c r="G200" s="43"/>
      <c r="H200" s="43"/>
      <c r="I200" s="43"/>
      <c r="J200" s="43"/>
      <c r="K200" s="43"/>
      <c r="L200" s="43"/>
      <c r="M200" s="43"/>
      <c r="N200" s="43"/>
      <c r="O200" s="43"/>
      <c r="P200" s="43"/>
      <c r="Q200" s="43"/>
      <c r="R200" s="48" t="str">
        <f ca="1">IFERROR(__xludf.DUMMYFUNCTION("SPARKLINE({D200,F200,H200,J200,L200,N200,P200})"),"#N/A")</f>
        <v>#N/A</v>
      </c>
      <c r="S200" s="45" t="str">
        <f ca="1">IFERROR(__xludf.DUMMYFUNCTION("SPARKLINE({E200;G200;I200;K200;M200;O200;Q200})"),"#N/A")</f>
        <v>#N/A</v>
      </c>
    </row>
    <row r="201" spans="1:19" ht="14.5" x14ac:dyDescent="0.6">
      <c r="A201" s="42">
        <f t="shared" si="1"/>
        <v>69</v>
      </c>
      <c r="B201" s="44"/>
      <c r="C201" s="43"/>
      <c r="D201" s="43"/>
      <c r="E201" s="43"/>
      <c r="F201" s="43"/>
      <c r="G201" s="43"/>
      <c r="H201" s="43"/>
      <c r="I201" s="43"/>
      <c r="J201" s="43"/>
      <c r="K201" s="43"/>
      <c r="L201" s="43"/>
      <c r="M201" s="43"/>
      <c r="N201" s="43"/>
      <c r="O201" s="43"/>
      <c r="P201" s="43"/>
      <c r="Q201" s="43"/>
      <c r="R201" s="48" t="str">
        <f ca="1">IFERROR(__xludf.DUMMYFUNCTION("SPARKLINE({D201,F201,H201,J201,L201,N201,P201})"),"#N/A")</f>
        <v>#N/A</v>
      </c>
      <c r="S201" s="45" t="str">
        <f ca="1">IFERROR(__xludf.DUMMYFUNCTION("SPARKLINE({E201;G201;I201;K201;M201;O201;Q201})"),"#N/A")</f>
        <v>#N/A</v>
      </c>
    </row>
    <row r="202" spans="1:19" ht="14.5" x14ac:dyDescent="0.6">
      <c r="A202" s="42">
        <f t="shared" si="1"/>
        <v>70</v>
      </c>
      <c r="B202" s="44"/>
      <c r="C202" s="43"/>
      <c r="D202" s="43"/>
      <c r="E202" s="43"/>
      <c r="F202" s="43"/>
      <c r="G202" s="43"/>
      <c r="H202" s="43"/>
      <c r="I202" s="43"/>
      <c r="J202" s="43"/>
      <c r="K202" s="43"/>
      <c r="L202" s="43"/>
      <c r="M202" s="43"/>
      <c r="N202" s="43"/>
      <c r="O202" s="43"/>
      <c r="P202" s="43"/>
      <c r="Q202" s="43"/>
      <c r="R202" s="48" t="str">
        <f ca="1">IFERROR(__xludf.DUMMYFUNCTION("SPARKLINE({D202,F202,H202,J202,L202,N202,P202})"),"#N/A")</f>
        <v>#N/A</v>
      </c>
      <c r="S202" s="45" t="str">
        <f ca="1">IFERROR(__xludf.DUMMYFUNCTION("SPARKLINE({E202;G202;I202;K202;M202;O202;Q202})"),"#N/A")</f>
        <v>#N/A</v>
      </c>
    </row>
    <row r="203" spans="1:19" ht="14.5" x14ac:dyDescent="0.6">
      <c r="A203" s="42">
        <f t="shared" si="1"/>
        <v>71</v>
      </c>
      <c r="B203" s="44"/>
      <c r="C203" s="43"/>
      <c r="D203" s="43"/>
      <c r="E203" s="43"/>
      <c r="F203" s="43"/>
      <c r="G203" s="43"/>
      <c r="H203" s="43"/>
      <c r="I203" s="43"/>
      <c r="J203" s="43"/>
      <c r="K203" s="43"/>
      <c r="L203" s="43"/>
      <c r="M203" s="43"/>
      <c r="N203" s="43"/>
      <c r="O203" s="43"/>
      <c r="P203" s="43"/>
      <c r="Q203" s="43"/>
      <c r="R203" s="48" t="str">
        <f ca="1">IFERROR(__xludf.DUMMYFUNCTION("SPARKLINE({D203,F203,H203,J203,L203,N203,P203})"),"#N/A")</f>
        <v>#N/A</v>
      </c>
      <c r="S203" s="45" t="str">
        <f ca="1">IFERROR(__xludf.DUMMYFUNCTION("SPARKLINE({E203;G203;I203;K203;M203;O203;Q203})"),"#N/A")</f>
        <v>#N/A</v>
      </c>
    </row>
    <row r="204" spans="1:19" ht="14.5" x14ac:dyDescent="0.6">
      <c r="A204" s="42">
        <f t="shared" si="1"/>
        <v>72</v>
      </c>
      <c r="B204" s="44"/>
      <c r="C204" s="43"/>
      <c r="D204" s="43"/>
      <c r="E204" s="43"/>
      <c r="F204" s="43"/>
      <c r="G204" s="43"/>
      <c r="H204" s="43"/>
      <c r="I204" s="43"/>
      <c r="J204" s="43"/>
      <c r="K204" s="43"/>
      <c r="L204" s="43"/>
      <c r="M204" s="43"/>
      <c r="N204" s="43"/>
      <c r="O204" s="43"/>
      <c r="P204" s="43"/>
      <c r="Q204" s="43"/>
      <c r="R204" s="48" t="str">
        <f ca="1">IFERROR(__xludf.DUMMYFUNCTION("SPARKLINE({D204,F204,H204,J204,L204,N204,P204})"),"#N/A")</f>
        <v>#N/A</v>
      </c>
      <c r="S204" s="45" t="str">
        <f ca="1">IFERROR(__xludf.DUMMYFUNCTION("SPARKLINE({E204;G204;I204;K204;M204;O204;Q204})"),"#N/A")</f>
        <v>#N/A</v>
      </c>
    </row>
    <row r="205" spans="1:19" ht="14.5" x14ac:dyDescent="0.6">
      <c r="A205" s="42">
        <f t="shared" si="1"/>
        <v>73</v>
      </c>
      <c r="B205" s="44"/>
      <c r="C205" s="43"/>
      <c r="D205" s="43"/>
      <c r="E205" s="43"/>
      <c r="F205" s="43"/>
      <c r="G205" s="43"/>
      <c r="H205" s="43"/>
      <c r="I205" s="43"/>
      <c r="J205" s="43"/>
      <c r="K205" s="43"/>
      <c r="L205" s="43"/>
      <c r="M205" s="43"/>
      <c r="N205" s="43"/>
      <c r="O205" s="43"/>
      <c r="P205" s="43"/>
      <c r="Q205" s="43"/>
      <c r="R205" s="48" t="str">
        <f ca="1">IFERROR(__xludf.DUMMYFUNCTION("SPARKLINE({D205,F205,H205,J205,L205,N205,P205})"),"#N/A")</f>
        <v>#N/A</v>
      </c>
      <c r="S205" s="45" t="str">
        <f ca="1">IFERROR(__xludf.DUMMYFUNCTION("SPARKLINE({E205;G205;I205;K205;M205;O205;Q205})"),"#N/A")</f>
        <v>#N/A</v>
      </c>
    </row>
    <row r="206" spans="1:19" ht="14.5" x14ac:dyDescent="0.6">
      <c r="A206" s="42">
        <f t="shared" si="1"/>
        <v>74</v>
      </c>
      <c r="B206" s="44"/>
      <c r="C206" s="43"/>
      <c r="D206" s="43"/>
      <c r="E206" s="43"/>
      <c r="F206" s="43"/>
      <c r="G206" s="43"/>
      <c r="H206" s="43"/>
      <c r="I206" s="43"/>
      <c r="J206" s="43"/>
      <c r="K206" s="43"/>
      <c r="L206" s="43"/>
      <c r="M206" s="43"/>
      <c r="N206" s="43"/>
      <c r="O206" s="43"/>
      <c r="P206" s="43"/>
      <c r="Q206" s="43"/>
      <c r="R206" s="48" t="str">
        <f ca="1">IFERROR(__xludf.DUMMYFUNCTION("SPARKLINE({D206,F206,H206,J206,L206,N206,P206})"),"#N/A")</f>
        <v>#N/A</v>
      </c>
      <c r="S206" s="45" t="str">
        <f ca="1">IFERROR(__xludf.DUMMYFUNCTION("SPARKLINE({E206;G206;I206;K206;M206;O206;Q206})"),"#N/A")</f>
        <v>#N/A</v>
      </c>
    </row>
    <row r="207" spans="1:19" ht="14.5" x14ac:dyDescent="0.6">
      <c r="A207" s="42">
        <f t="shared" si="1"/>
        <v>75</v>
      </c>
      <c r="B207" s="44"/>
      <c r="C207" s="43"/>
      <c r="D207" s="43"/>
      <c r="E207" s="43"/>
      <c r="F207" s="43"/>
      <c r="G207" s="43"/>
      <c r="H207" s="43"/>
      <c r="I207" s="43"/>
      <c r="J207" s="43"/>
      <c r="K207" s="43"/>
      <c r="L207" s="43"/>
      <c r="M207" s="43"/>
      <c r="N207" s="43"/>
      <c r="O207" s="43"/>
      <c r="P207" s="43"/>
      <c r="Q207" s="43"/>
      <c r="R207" s="48" t="str">
        <f ca="1">IFERROR(__xludf.DUMMYFUNCTION("SPARKLINE({D207,F207,H207,J207,L207,N207,P207})"),"#N/A")</f>
        <v>#N/A</v>
      </c>
      <c r="S207" s="45" t="str">
        <f ca="1">IFERROR(__xludf.DUMMYFUNCTION("SPARKLINE({E207;G207;I207;K207;M207;O207;Q207})"),"#N/A")</f>
        <v>#N/A</v>
      </c>
    </row>
    <row r="208" spans="1:19" ht="14.5" x14ac:dyDescent="0.6">
      <c r="A208" s="42">
        <f t="shared" si="1"/>
        <v>76</v>
      </c>
      <c r="B208" s="44"/>
      <c r="C208" s="43"/>
      <c r="D208" s="43"/>
      <c r="E208" s="43"/>
      <c r="F208" s="43"/>
      <c r="G208" s="43"/>
      <c r="H208" s="43"/>
      <c r="I208" s="43"/>
      <c r="J208" s="43"/>
      <c r="K208" s="43"/>
      <c r="L208" s="43"/>
      <c r="M208" s="43"/>
      <c r="N208" s="43"/>
      <c r="O208" s="43"/>
      <c r="P208" s="43"/>
      <c r="Q208" s="43"/>
      <c r="R208" s="48" t="str">
        <f ca="1">IFERROR(__xludf.DUMMYFUNCTION("SPARKLINE({D208,F208,H208,J208,L208,N208,P208})"),"#N/A")</f>
        <v>#N/A</v>
      </c>
      <c r="S208" s="45" t="str">
        <f ca="1">IFERROR(__xludf.DUMMYFUNCTION("SPARKLINE({E208;G208;I208;K208;M208;O208;Q208})"),"#N/A")</f>
        <v>#N/A</v>
      </c>
    </row>
    <row r="209" spans="1:19" ht="14.5" x14ac:dyDescent="0.6">
      <c r="A209" s="42">
        <f t="shared" si="1"/>
        <v>77</v>
      </c>
      <c r="B209" s="44"/>
      <c r="C209" s="43"/>
      <c r="D209" s="43"/>
      <c r="E209" s="43"/>
      <c r="F209" s="43"/>
      <c r="G209" s="43"/>
      <c r="H209" s="43"/>
      <c r="I209" s="43"/>
      <c r="J209" s="43"/>
      <c r="K209" s="43"/>
      <c r="L209" s="43"/>
      <c r="M209" s="43"/>
      <c r="N209" s="43"/>
      <c r="O209" s="43"/>
      <c r="P209" s="43"/>
      <c r="Q209" s="43"/>
      <c r="R209" s="48" t="str">
        <f ca="1">IFERROR(__xludf.DUMMYFUNCTION("SPARKLINE({D209,F209,H209,J209,L209,N209,P209})"),"#N/A")</f>
        <v>#N/A</v>
      </c>
      <c r="S209" s="45" t="str">
        <f ca="1">IFERROR(__xludf.DUMMYFUNCTION("SPARKLINE({E209;G209;I209;K209;M209;O209;Q209})"),"#N/A")</f>
        <v>#N/A</v>
      </c>
    </row>
    <row r="210" spans="1:19" ht="14.5" x14ac:dyDescent="0.6">
      <c r="A210" s="42">
        <f t="shared" si="1"/>
        <v>78</v>
      </c>
      <c r="B210" s="44"/>
      <c r="C210" s="43"/>
      <c r="D210" s="43"/>
      <c r="E210" s="43"/>
      <c r="F210" s="43"/>
      <c r="G210" s="43"/>
      <c r="H210" s="43"/>
      <c r="I210" s="43"/>
      <c r="J210" s="43"/>
      <c r="K210" s="43"/>
      <c r="L210" s="43"/>
      <c r="M210" s="43"/>
      <c r="N210" s="43"/>
      <c r="O210" s="43"/>
      <c r="P210" s="43"/>
      <c r="Q210" s="43"/>
      <c r="R210" s="48" t="str">
        <f ca="1">IFERROR(__xludf.DUMMYFUNCTION("SPARKLINE({D210,F210,H210,J210,L210,N210,P210})"),"#N/A")</f>
        <v>#N/A</v>
      </c>
      <c r="S210" s="45" t="str">
        <f ca="1">IFERROR(__xludf.DUMMYFUNCTION("SPARKLINE({E210;G210;I210;K210;M210;O210;Q210})"),"#N/A")</f>
        <v>#N/A</v>
      </c>
    </row>
    <row r="211" spans="1:19" ht="14.5" x14ac:dyDescent="0.6">
      <c r="A211" s="42">
        <f t="shared" si="1"/>
        <v>79</v>
      </c>
      <c r="B211" s="44"/>
      <c r="C211" s="43"/>
      <c r="D211" s="43"/>
      <c r="E211" s="43"/>
      <c r="F211" s="43"/>
      <c r="G211" s="43"/>
      <c r="H211" s="43"/>
      <c r="I211" s="43"/>
      <c r="J211" s="43"/>
      <c r="K211" s="43"/>
      <c r="L211" s="43"/>
      <c r="M211" s="43"/>
      <c r="N211" s="43"/>
      <c r="O211" s="43"/>
      <c r="P211" s="43"/>
      <c r="Q211" s="43"/>
      <c r="R211" s="48" t="str">
        <f ca="1">IFERROR(__xludf.DUMMYFUNCTION("SPARKLINE({D211,F211,H211,J211,L211,N211,P211})"),"#N/A")</f>
        <v>#N/A</v>
      </c>
      <c r="S211" s="45" t="str">
        <f ca="1">IFERROR(__xludf.DUMMYFUNCTION("SPARKLINE({E211;G211;I211;K211;M211;O211;Q211})"),"#N/A")</f>
        <v>#N/A</v>
      </c>
    </row>
    <row r="212" spans="1:19" ht="14.5" x14ac:dyDescent="0.6">
      <c r="A212" s="42">
        <f t="shared" si="1"/>
        <v>80</v>
      </c>
      <c r="B212" s="44"/>
      <c r="C212" s="43"/>
      <c r="D212" s="43"/>
      <c r="E212" s="43"/>
      <c r="F212" s="43"/>
      <c r="G212" s="43"/>
      <c r="H212" s="43"/>
      <c r="I212" s="43"/>
      <c r="J212" s="43"/>
      <c r="K212" s="43"/>
      <c r="L212" s="43"/>
      <c r="M212" s="43"/>
      <c r="N212" s="43"/>
      <c r="O212" s="43"/>
      <c r="P212" s="43"/>
      <c r="Q212" s="43"/>
      <c r="R212" s="48" t="str">
        <f ca="1">IFERROR(__xludf.DUMMYFUNCTION("SPARKLINE({D212,F212,H212,J212,L212,N212,P212})"),"#N/A")</f>
        <v>#N/A</v>
      </c>
      <c r="S212" s="45" t="str">
        <f ca="1">IFERROR(__xludf.DUMMYFUNCTION("SPARKLINE({E212;G212;I212;K212;M212;O212;Q212})"),"#N/A")</f>
        <v>#N/A</v>
      </c>
    </row>
    <row r="213" spans="1:19" ht="14.5" x14ac:dyDescent="0.6">
      <c r="A213" s="42">
        <f t="shared" si="1"/>
        <v>81</v>
      </c>
      <c r="B213" s="44"/>
      <c r="C213" s="43"/>
      <c r="D213" s="43"/>
      <c r="E213" s="43"/>
      <c r="F213" s="43"/>
      <c r="G213" s="43"/>
      <c r="H213" s="43"/>
      <c r="I213" s="43"/>
      <c r="J213" s="43"/>
      <c r="K213" s="43"/>
      <c r="L213" s="43"/>
      <c r="M213" s="43"/>
      <c r="N213" s="43"/>
      <c r="O213" s="43"/>
      <c r="P213" s="43"/>
      <c r="Q213" s="43"/>
      <c r="R213" s="48" t="str">
        <f ca="1">IFERROR(__xludf.DUMMYFUNCTION("SPARKLINE({D213,F213,H213,J213,L213,N213,P213})"),"#N/A")</f>
        <v>#N/A</v>
      </c>
      <c r="S213" s="45" t="str">
        <f ca="1">IFERROR(__xludf.DUMMYFUNCTION("SPARKLINE({E213;G213;I213;K213;M213;O213;Q213})"),"#N/A")</f>
        <v>#N/A</v>
      </c>
    </row>
    <row r="214" spans="1:19" ht="14.5" x14ac:dyDescent="0.6">
      <c r="A214" s="42">
        <f t="shared" si="1"/>
        <v>82</v>
      </c>
      <c r="B214" s="44"/>
      <c r="C214" s="43"/>
      <c r="D214" s="43"/>
      <c r="E214" s="43"/>
      <c r="F214" s="43"/>
      <c r="G214" s="43"/>
      <c r="H214" s="43"/>
      <c r="I214" s="43"/>
      <c r="J214" s="43"/>
      <c r="K214" s="43"/>
      <c r="L214" s="43"/>
      <c r="M214" s="43"/>
      <c r="N214" s="43"/>
      <c r="O214" s="43"/>
      <c r="P214" s="43"/>
      <c r="Q214" s="43"/>
      <c r="R214" s="48" t="str">
        <f ca="1">IFERROR(__xludf.DUMMYFUNCTION("SPARKLINE({D214,F214,H214,J214,L214,N214,P214})"),"#N/A")</f>
        <v>#N/A</v>
      </c>
      <c r="S214" s="45" t="str">
        <f ca="1">IFERROR(__xludf.DUMMYFUNCTION("SPARKLINE({E214;G214;I214;K214;M214;O214;Q214})"),"#N/A")</f>
        <v>#N/A</v>
      </c>
    </row>
    <row r="215" spans="1:19" ht="14.5" x14ac:dyDescent="0.6">
      <c r="A215" s="42">
        <f t="shared" si="1"/>
        <v>83</v>
      </c>
      <c r="B215" s="44"/>
      <c r="C215" s="43"/>
      <c r="D215" s="43"/>
      <c r="E215" s="43"/>
      <c r="F215" s="43"/>
      <c r="G215" s="43"/>
      <c r="H215" s="43"/>
      <c r="I215" s="43"/>
      <c r="J215" s="43"/>
      <c r="K215" s="43"/>
      <c r="L215" s="43"/>
      <c r="M215" s="43"/>
      <c r="N215" s="43"/>
      <c r="O215" s="43"/>
      <c r="P215" s="43"/>
      <c r="Q215" s="43"/>
      <c r="R215" s="48" t="str">
        <f ca="1">IFERROR(__xludf.DUMMYFUNCTION("SPARKLINE({D215,F215,H215,J215,L215,N215,P215})"),"#N/A")</f>
        <v>#N/A</v>
      </c>
      <c r="S215" s="45" t="str">
        <f ca="1">IFERROR(__xludf.DUMMYFUNCTION("SPARKLINE({E215;G215;I215;K215;M215;O215;Q215})"),"#N/A")</f>
        <v>#N/A</v>
      </c>
    </row>
    <row r="216" spans="1:19" ht="14.5" x14ac:dyDescent="0.6">
      <c r="A216" s="42">
        <f t="shared" si="1"/>
        <v>84</v>
      </c>
      <c r="B216" s="44"/>
      <c r="C216" s="43"/>
      <c r="D216" s="43"/>
      <c r="E216" s="43"/>
      <c r="F216" s="43"/>
      <c r="G216" s="43"/>
      <c r="H216" s="43"/>
      <c r="I216" s="43"/>
      <c r="J216" s="43"/>
      <c r="K216" s="43"/>
      <c r="L216" s="43"/>
      <c r="M216" s="43"/>
      <c r="N216" s="43"/>
      <c r="O216" s="43"/>
      <c r="P216" s="43"/>
      <c r="Q216" s="43"/>
      <c r="R216" s="48" t="str">
        <f ca="1">IFERROR(__xludf.DUMMYFUNCTION("SPARKLINE({D216,F216,H216,J216,L216,N216,P216})"),"#N/A")</f>
        <v>#N/A</v>
      </c>
      <c r="S216" s="45" t="str">
        <f ca="1">IFERROR(__xludf.DUMMYFUNCTION("SPARKLINE({E216;G216;I216;K216;M216;O216;Q216})"),"#N/A")</f>
        <v>#N/A</v>
      </c>
    </row>
    <row r="217" spans="1:19" ht="14.5" x14ac:dyDescent="0.6">
      <c r="A217" s="42">
        <f t="shared" si="1"/>
        <v>85</v>
      </c>
      <c r="B217" s="44"/>
      <c r="C217" s="43"/>
      <c r="D217" s="43"/>
      <c r="E217" s="43"/>
      <c r="F217" s="43"/>
      <c r="G217" s="43"/>
      <c r="H217" s="43"/>
      <c r="I217" s="43"/>
      <c r="J217" s="43"/>
      <c r="K217" s="43"/>
      <c r="L217" s="43"/>
      <c r="M217" s="43"/>
      <c r="N217" s="43"/>
      <c r="O217" s="43"/>
      <c r="P217" s="43"/>
      <c r="Q217" s="43"/>
      <c r="R217" s="48" t="str">
        <f ca="1">IFERROR(__xludf.DUMMYFUNCTION("SPARKLINE({D217,F217,H217,J217,L217,N217,P217})"),"#N/A")</f>
        <v>#N/A</v>
      </c>
      <c r="S217" s="45" t="str">
        <f ca="1">IFERROR(__xludf.DUMMYFUNCTION("SPARKLINE({E217;G217;I217;K217;M217;O217;Q217})"),"#N/A")</f>
        <v>#N/A</v>
      </c>
    </row>
    <row r="218" spans="1:19" ht="14.5" x14ac:dyDescent="0.6">
      <c r="A218" s="42">
        <f t="shared" si="1"/>
        <v>86</v>
      </c>
      <c r="B218" s="44"/>
      <c r="C218" s="43"/>
      <c r="D218" s="43"/>
      <c r="E218" s="43"/>
      <c r="F218" s="43"/>
      <c r="G218" s="43"/>
      <c r="H218" s="43"/>
      <c r="I218" s="43"/>
      <c r="J218" s="43"/>
      <c r="K218" s="43"/>
      <c r="L218" s="43"/>
      <c r="M218" s="43"/>
      <c r="N218" s="43"/>
      <c r="O218" s="43"/>
      <c r="P218" s="43"/>
      <c r="Q218" s="43"/>
      <c r="R218" s="48" t="str">
        <f ca="1">IFERROR(__xludf.DUMMYFUNCTION("SPARKLINE({D218,F218,H218,J218,L218,N218,P218})"),"#N/A")</f>
        <v>#N/A</v>
      </c>
      <c r="S218" s="45" t="str">
        <f ca="1">IFERROR(__xludf.DUMMYFUNCTION("SPARKLINE({E218;G218;I218;K218;M218;O218;Q218})"),"#N/A")</f>
        <v>#N/A</v>
      </c>
    </row>
    <row r="219" spans="1:19" ht="14.5" x14ac:dyDescent="0.6">
      <c r="A219" s="42">
        <f t="shared" si="1"/>
        <v>87</v>
      </c>
      <c r="B219" s="44"/>
      <c r="C219" s="43"/>
      <c r="D219" s="43"/>
      <c r="E219" s="43"/>
      <c r="F219" s="43"/>
      <c r="G219" s="43"/>
      <c r="H219" s="43"/>
      <c r="I219" s="43"/>
      <c r="J219" s="43"/>
      <c r="K219" s="43"/>
      <c r="L219" s="43"/>
      <c r="M219" s="43"/>
      <c r="N219" s="43"/>
      <c r="O219" s="43"/>
      <c r="P219" s="43"/>
      <c r="Q219" s="43"/>
      <c r="R219" s="48" t="str">
        <f ca="1">IFERROR(__xludf.DUMMYFUNCTION("SPARKLINE({D219,F219,H219,J219,L219,N219,P219})"),"#N/A")</f>
        <v>#N/A</v>
      </c>
      <c r="S219" s="45" t="str">
        <f ca="1">IFERROR(__xludf.DUMMYFUNCTION("SPARKLINE({E219;G219;I219;K219;M219;O219;Q219})"),"#N/A")</f>
        <v>#N/A</v>
      </c>
    </row>
    <row r="220" spans="1:19" ht="14.5" x14ac:dyDescent="0.6">
      <c r="A220" s="42">
        <f t="shared" si="1"/>
        <v>88</v>
      </c>
      <c r="B220" s="44"/>
      <c r="C220" s="43"/>
      <c r="D220" s="43"/>
      <c r="E220" s="43"/>
      <c r="F220" s="43"/>
      <c r="G220" s="43"/>
      <c r="H220" s="43"/>
      <c r="I220" s="43"/>
      <c r="J220" s="43"/>
      <c r="K220" s="43"/>
      <c r="L220" s="43"/>
      <c r="M220" s="43"/>
      <c r="N220" s="43"/>
      <c r="O220" s="43"/>
      <c r="P220" s="43"/>
      <c r="Q220" s="43"/>
      <c r="R220" s="48" t="str">
        <f ca="1">IFERROR(__xludf.DUMMYFUNCTION("SPARKLINE({D220,F220,H220,J220,L220,N220,P220})"),"#N/A")</f>
        <v>#N/A</v>
      </c>
      <c r="S220" s="45" t="str">
        <f ca="1">IFERROR(__xludf.DUMMYFUNCTION("SPARKLINE({E220;G220;I220;K220;M220;O220;Q220})"),"#N/A")</f>
        <v>#N/A</v>
      </c>
    </row>
    <row r="221" spans="1:19" ht="14.5" x14ac:dyDescent="0.6">
      <c r="A221" s="42">
        <f t="shared" si="1"/>
        <v>89</v>
      </c>
      <c r="B221" s="44"/>
      <c r="C221" s="43"/>
      <c r="D221" s="43"/>
      <c r="E221" s="43"/>
      <c r="F221" s="43"/>
      <c r="G221" s="43"/>
      <c r="H221" s="43"/>
      <c r="I221" s="43"/>
      <c r="J221" s="43"/>
      <c r="K221" s="43"/>
      <c r="L221" s="43"/>
      <c r="M221" s="43"/>
      <c r="N221" s="43"/>
      <c r="O221" s="43"/>
      <c r="P221" s="43"/>
      <c r="Q221" s="43"/>
      <c r="R221" s="48" t="str">
        <f ca="1">IFERROR(__xludf.DUMMYFUNCTION("SPARKLINE({D221,F221,H221,J221,L221,N221,P221})"),"#N/A")</f>
        <v>#N/A</v>
      </c>
      <c r="S221" s="45" t="str">
        <f ca="1">IFERROR(__xludf.DUMMYFUNCTION("SPARKLINE({E221;G221;I221;K221;M221;O221;Q221})"),"#N/A")</f>
        <v>#N/A</v>
      </c>
    </row>
    <row r="222" spans="1:19" ht="14.5" x14ac:dyDescent="0.6">
      <c r="A222" s="42">
        <f t="shared" si="1"/>
        <v>90</v>
      </c>
      <c r="B222" s="44"/>
      <c r="C222" s="43"/>
      <c r="D222" s="43"/>
      <c r="E222" s="43"/>
      <c r="F222" s="43"/>
      <c r="G222" s="43"/>
      <c r="H222" s="43"/>
      <c r="I222" s="43"/>
      <c r="J222" s="43"/>
      <c r="K222" s="43"/>
      <c r="L222" s="43"/>
      <c r="M222" s="43"/>
      <c r="N222" s="43"/>
      <c r="O222" s="43"/>
      <c r="P222" s="43"/>
      <c r="Q222" s="43"/>
      <c r="R222" s="48" t="str">
        <f ca="1">IFERROR(__xludf.DUMMYFUNCTION("SPARKLINE({D222,F222,H222,J222,L222,N222,P222})"),"#N/A")</f>
        <v>#N/A</v>
      </c>
      <c r="S222" s="45" t="str">
        <f ca="1">IFERROR(__xludf.DUMMYFUNCTION("SPARKLINE({E222;G222;I222;K222;M222;O222;Q222})"),"#N/A")</f>
        <v>#N/A</v>
      </c>
    </row>
    <row r="223" spans="1:19" ht="14.5" x14ac:dyDescent="0.6">
      <c r="A223" s="42">
        <f t="shared" si="1"/>
        <v>91</v>
      </c>
      <c r="B223" s="44"/>
      <c r="C223" s="43"/>
      <c r="D223" s="43"/>
      <c r="E223" s="43"/>
      <c r="F223" s="43"/>
      <c r="G223" s="43"/>
      <c r="H223" s="43"/>
      <c r="I223" s="43"/>
      <c r="J223" s="43"/>
      <c r="K223" s="43"/>
      <c r="L223" s="43"/>
      <c r="M223" s="43"/>
      <c r="N223" s="43"/>
      <c r="O223" s="43"/>
      <c r="P223" s="43"/>
      <c r="Q223" s="43"/>
      <c r="R223" s="48" t="str">
        <f ca="1">IFERROR(__xludf.DUMMYFUNCTION("SPARKLINE({D223,F223,H223,J223,L223,N223,P223})"),"#N/A")</f>
        <v>#N/A</v>
      </c>
      <c r="S223" s="45" t="str">
        <f ca="1">IFERROR(__xludf.DUMMYFUNCTION("SPARKLINE({E223;G223;I223;K223;M223;O223;Q223})"),"#N/A")</f>
        <v>#N/A</v>
      </c>
    </row>
    <row r="224" spans="1:19" ht="14.5" x14ac:dyDescent="0.6">
      <c r="A224" s="42">
        <f t="shared" si="1"/>
        <v>92</v>
      </c>
      <c r="B224" s="44"/>
      <c r="C224" s="43"/>
      <c r="D224" s="43"/>
      <c r="E224" s="43"/>
      <c r="F224" s="43"/>
      <c r="G224" s="43"/>
      <c r="H224" s="43"/>
      <c r="I224" s="43"/>
      <c r="J224" s="43"/>
      <c r="K224" s="43"/>
      <c r="L224" s="43"/>
      <c r="M224" s="43"/>
      <c r="N224" s="43"/>
      <c r="O224" s="43"/>
      <c r="P224" s="43"/>
      <c r="Q224" s="43"/>
      <c r="R224" s="48" t="str">
        <f ca="1">IFERROR(__xludf.DUMMYFUNCTION("SPARKLINE({D224,F224,H224,J224,L224,N224,P224})"),"#N/A")</f>
        <v>#N/A</v>
      </c>
      <c r="S224" s="45" t="str">
        <f ca="1">IFERROR(__xludf.DUMMYFUNCTION("SPARKLINE({E224;G224;I224;K224;M224;O224;Q224})"),"#N/A")</f>
        <v>#N/A</v>
      </c>
    </row>
    <row r="225" spans="1:19" ht="14.5" x14ac:dyDescent="0.6">
      <c r="A225" s="42">
        <f t="shared" si="1"/>
        <v>93</v>
      </c>
      <c r="B225" s="44"/>
      <c r="C225" s="43"/>
      <c r="D225" s="43"/>
      <c r="E225" s="43"/>
      <c r="F225" s="43"/>
      <c r="G225" s="43"/>
      <c r="H225" s="43"/>
      <c r="I225" s="43"/>
      <c r="J225" s="43"/>
      <c r="K225" s="43"/>
      <c r="L225" s="43"/>
      <c r="M225" s="43"/>
      <c r="N225" s="43"/>
      <c r="O225" s="43"/>
      <c r="P225" s="43"/>
      <c r="Q225" s="43"/>
      <c r="R225" s="48" t="str">
        <f ca="1">IFERROR(__xludf.DUMMYFUNCTION("SPARKLINE({D225,F225,H225,J225,L225,N225,P225})"),"#N/A")</f>
        <v>#N/A</v>
      </c>
      <c r="S225" s="45" t="str">
        <f ca="1">IFERROR(__xludf.DUMMYFUNCTION("SPARKLINE({E225;G225;I225;K225;M225;O225;Q225})"),"#N/A")</f>
        <v>#N/A</v>
      </c>
    </row>
    <row r="226" spans="1:19" ht="14.5" x14ac:dyDescent="0.6">
      <c r="A226" s="42">
        <f t="shared" si="1"/>
        <v>94</v>
      </c>
      <c r="B226" s="44"/>
      <c r="C226" s="43"/>
      <c r="D226" s="43"/>
      <c r="E226" s="43"/>
      <c r="F226" s="43"/>
      <c r="G226" s="43"/>
      <c r="H226" s="43"/>
      <c r="I226" s="43"/>
      <c r="J226" s="43"/>
      <c r="K226" s="43"/>
      <c r="L226" s="43"/>
      <c r="M226" s="43"/>
      <c r="N226" s="43"/>
      <c r="O226" s="43"/>
      <c r="P226" s="43"/>
      <c r="Q226" s="43"/>
      <c r="R226" s="48" t="str">
        <f ca="1">IFERROR(__xludf.DUMMYFUNCTION("SPARKLINE({D226,F226,H226,J226,L226,N226,P226})"),"#N/A")</f>
        <v>#N/A</v>
      </c>
      <c r="S226" s="45" t="str">
        <f ca="1">IFERROR(__xludf.DUMMYFUNCTION("SPARKLINE({E226;G226;I226;K226;M226;O226;Q226})"),"#N/A")</f>
        <v>#N/A</v>
      </c>
    </row>
    <row r="227" spans="1:19" ht="14.5" x14ac:dyDescent="0.6">
      <c r="A227" s="42">
        <f t="shared" si="1"/>
        <v>95</v>
      </c>
      <c r="B227" s="44"/>
      <c r="C227" s="43"/>
      <c r="D227" s="43"/>
      <c r="E227" s="43"/>
      <c r="F227" s="43"/>
      <c r="G227" s="43"/>
      <c r="H227" s="43"/>
      <c r="I227" s="43"/>
      <c r="J227" s="43"/>
      <c r="K227" s="43"/>
      <c r="L227" s="43"/>
      <c r="M227" s="43"/>
      <c r="N227" s="43"/>
      <c r="O227" s="43"/>
      <c r="P227" s="43"/>
      <c r="Q227" s="43"/>
      <c r="R227" s="48" t="str">
        <f ca="1">IFERROR(__xludf.DUMMYFUNCTION("SPARKLINE({D227,F227,H227,J227,L227,N227,P227})"),"#N/A")</f>
        <v>#N/A</v>
      </c>
      <c r="S227" s="45" t="str">
        <f ca="1">IFERROR(__xludf.DUMMYFUNCTION("SPARKLINE({E227;G227;I227;K227;M227;O227;Q227})"),"#N/A")</f>
        <v>#N/A</v>
      </c>
    </row>
    <row r="228" spans="1:19" ht="14.5" x14ac:dyDescent="0.6">
      <c r="A228" s="42">
        <f t="shared" si="1"/>
        <v>96</v>
      </c>
      <c r="B228" s="44"/>
      <c r="C228" s="43"/>
      <c r="D228" s="43"/>
      <c r="E228" s="43"/>
      <c r="F228" s="43"/>
      <c r="G228" s="43"/>
      <c r="H228" s="43"/>
      <c r="I228" s="43"/>
      <c r="J228" s="43"/>
      <c r="K228" s="43"/>
      <c r="L228" s="43"/>
      <c r="M228" s="43"/>
      <c r="N228" s="43"/>
      <c r="O228" s="43"/>
      <c r="P228" s="43"/>
      <c r="Q228" s="43"/>
      <c r="R228" s="48" t="str">
        <f ca="1">IFERROR(__xludf.DUMMYFUNCTION("SPARKLINE({D228,F228,H228,J228,L228,N228,P228})"),"#N/A")</f>
        <v>#N/A</v>
      </c>
      <c r="S228" s="45" t="str">
        <f ca="1">IFERROR(__xludf.DUMMYFUNCTION("SPARKLINE({E228;G228;I228;K228;M228;O228;Q228})"),"#N/A")</f>
        <v>#N/A</v>
      </c>
    </row>
    <row r="229" spans="1:19" ht="14.5" x14ac:dyDescent="0.6">
      <c r="A229" s="42">
        <f t="shared" si="1"/>
        <v>97</v>
      </c>
      <c r="B229" s="44"/>
      <c r="C229" s="43"/>
      <c r="D229" s="43"/>
      <c r="E229" s="43"/>
      <c r="F229" s="43"/>
      <c r="G229" s="43"/>
      <c r="H229" s="43"/>
      <c r="I229" s="43"/>
      <c r="J229" s="43"/>
      <c r="K229" s="43"/>
      <c r="L229" s="43"/>
      <c r="M229" s="43"/>
      <c r="N229" s="43"/>
      <c r="O229" s="43"/>
      <c r="P229" s="43"/>
      <c r="Q229" s="43"/>
      <c r="R229" s="48" t="str">
        <f ca="1">IFERROR(__xludf.DUMMYFUNCTION("SPARKLINE({D229,F229,H229,J229,L229,N229,P229})"),"#N/A")</f>
        <v>#N/A</v>
      </c>
      <c r="S229" s="45" t="str">
        <f ca="1">IFERROR(__xludf.DUMMYFUNCTION("SPARKLINE({E229;G229;I229;K229;M229;O229;Q229})"),"#N/A")</f>
        <v>#N/A</v>
      </c>
    </row>
    <row r="230" spans="1:19" ht="14.5" x14ac:dyDescent="0.6">
      <c r="A230" s="42">
        <f t="shared" si="1"/>
        <v>98</v>
      </c>
      <c r="B230" s="44"/>
      <c r="C230" s="43"/>
      <c r="D230" s="43"/>
      <c r="E230" s="43"/>
      <c r="F230" s="43"/>
      <c r="G230" s="43"/>
      <c r="H230" s="43"/>
      <c r="I230" s="43"/>
      <c r="J230" s="43"/>
      <c r="K230" s="43"/>
      <c r="L230" s="43"/>
      <c r="M230" s="43"/>
      <c r="N230" s="43"/>
      <c r="O230" s="43"/>
      <c r="P230" s="43"/>
      <c r="Q230" s="43"/>
      <c r="R230" s="48" t="str">
        <f ca="1">IFERROR(__xludf.DUMMYFUNCTION("SPARKLINE({D230,F230,H230,J230,L230,N230,P230})"),"#N/A")</f>
        <v>#N/A</v>
      </c>
      <c r="S230" s="45" t="str">
        <f ca="1">IFERROR(__xludf.DUMMYFUNCTION("SPARKLINE({E230;G230;I230;K230;M230;O230;Q230})"),"#N/A")</f>
        <v>#N/A</v>
      </c>
    </row>
    <row r="231" spans="1:19" ht="14.5" x14ac:dyDescent="0.6">
      <c r="A231" s="42">
        <f t="shared" si="1"/>
        <v>99</v>
      </c>
      <c r="B231" s="44"/>
      <c r="C231" s="43"/>
      <c r="D231" s="43"/>
      <c r="E231" s="43"/>
      <c r="F231" s="43"/>
      <c r="G231" s="43"/>
      <c r="H231" s="43"/>
      <c r="I231" s="43"/>
      <c r="J231" s="43"/>
      <c r="K231" s="43"/>
      <c r="L231" s="43"/>
      <c r="M231" s="43"/>
      <c r="N231" s="43"/>
      <c r="O231" s="43"/>
      <c r="P231" s="43"/>
      <c r="Q231" s="43"/>
      <c r="R231" s="48" t="str">
        <f ca="1">IFERROR(__xludf.DUMMYFUNCTION("SPARKLINE({D231,F231,H231,J231,L231,N231,P231})"),"#N/A")</f>
        <v>#N/A</v>
      </c>
      <c r="S231" s="45" t="str">
        <f ca="1">IFERROR(__xludf.DUMMYFUNCTION("SPARKLINE({E231;G231;I231;K231;M231;O231;Q231})"),"#N/A")</f>
        <v>#N/A</v>
      </c>
    </row>
    <row r="232" spans="1:19" ht="14.5" x14ac:dyDescent="0.6">
      <c r="A232" s="42">
        <f t="shared" si="1"/>
        <v>100</v>
      </c>
      <c r="B232" s="44"/>
      <c r="C232" s="43"/>
      <c r="D232" s="43"/>
      <c r="E232" s="43"/>
      <c r="F232" s="43"/>
      <c r="G232" s="43"/>
      <c r="H232" s="43"/>
      <c r="I232" s="43"/>
      <c r="J232" s="43"/>
      <c r="K232" s="43"/>
      <c r="L232" s="43"/>
      <c r="M232" s="43"/>
      <c r="N232" s="43"/>
      <c r="O232" s="43"/>
      <c r="P232" s="43"/>
      <c r="Q232" s="43"/>
      <c r="R232" s="48" t="str">
        <f ca="1">IFERROR(__xludf.DUMMYFUNCTION("SPARKLINE({D232,F232,H232,J232,L232,N232,P232})"),"#N/A")</f>
        <v>#N/A</v>
      </c>
      <c r="S232" s="45" t="str">
        <f ca="1">IFERROR(__xludf.DUMMYFUNCTION("SPARKLINE({E232;G232;I232;K232;M232;O232;Q232})"),"#N/A")</f>
        <v>#N/A</v>
      </c>
    </row>
    <row r="233" spans="1:19" ht="14.5" x14ac:dyDescent="0.6">
      <c r="A233" s="42">
        <f t="shared" si="1"/>
        <v>101</v>
      </c>
      <c r="B233" s="44"/>
      <c r="C233" s="43"/>
      <c r="D233" s="43"/>
      <c r="E233" s="43"/>
      <c r="F233" s="43"/>
      <c r="G233" s="43"/>
      <c r="H233" s="43"/>
      <c r="I233" s="43"/>
      <c r="J233" s="43"/>
      <c r="K233" s="43"/>
      <c r="L233" s="43"/>
      <c r="M233" s="43"/>
      <c r="N233" s="43"/>
      <c r="O233" s="43"/>
      <c r="P233" s="43"/>
      <c r="Q233" s="43"/>
      <c r="R233" s="48" t="str">
        <f ca="1">IFERROR(__xludf.DUMMYFUNCTION("SPARKLINE({D233,F233,H233,J233,L233,N233,P233})"),"#N/A")</f>
        <v>#N/A</v>
      </c>
      <c r="S233" s="45" t="str">
        <f ca="1">IFERROR(__xludf.DUMMYFUNCTION("SPARKLINE({E233;G233;I233;K233;M233;O233;Q233})"),"#N/A")</f>
        <v>#N/A</v>
      </c>
    </row>
    <row r="234" spans="1:19" ht="14.5" x14ac:dyDescent="0.6">
      <c r="A234" s="42">
        <f t="shared" si="1"/>
        <v>102</v>
      </c>
      <c r="B234" s="44"/>
      <c r="C234" s="43"/>
      <c r="D234" s="43"/>
      <c r="E234" s="43"/>
      <c r="F234" s="43"/>
      <c r="G234" s="43"/>
      <c r="H234" s="43"/>
      <c r="I234" s="43"/>
      <c r="J234" s="43"/>
      <c r="K234" s="43"/>
      <c r="L234" s="43"/>
      <c r="M234" s="43"/>
      <c r="N234" s="43"/>
      <c r="O234" s="43"/>
      <c r="P234" s="43"/>
      <c r="Q234" s="43"/>
      <c r="R234" s="48" t="str">
        <f ca="1">IFERROR(__xludf.DUMMYFUNCTION("SPARKLINE({D234,F234,H234,J234,L234,N234,P234})"),"#N/A")</f>
        <v>#N/A</v>
      </c>
      <c r="S234" s="45" t="str">
        <f ca="1">IFERROR(__xludf.DUMMYFUNCTION("SPARKLINE({E234;G234;I234;K234;M234;O234;Q234})"),"#N/A")</f>
        <v>#N/A</v>
      </c>
    </row>
    <row r="235" spans="1:19" ht="14.5" x14ac:dyDescent="0.6">
      <c r="A235" s="42">
        <f t="shared" si="1"/>
        <v>103</v>
      </c>
      <c r="B235" s="44"/>
      <c r="C235" s="43"/>
      <c r="D235" s="43"/>
      <c r="E235" s="43"/>
      <c r="F235" s="43"/>
      <c r="G235" s="43"/>
      <c r="H235" s="43"/>
      <c r="I235" s="43"/>
      <c r="J235" s="43"/>
      <c r="K235" s="43"/>
      <c r="L235" s="43"/>
      <c r="M235" s="43"/>
      <c r="N235" s="43"/>
      <c r="O235" s="43"/>
      <c r="P235" s="43"/>
      <c r="Q235" s="43"/>
      <c r="R235" s="48" t="str">
        <f ca="1">IFERROR(__xludf.DUMMYFUNCTION("SPARKLINE({D235,F235,H235,J235,L235,N235,P235})"),"#N/A")</f>
        <v>#N/A</v>
      </c>
      <c r="S235" s="45" t="str">
        <f ca="1">IFERROR(__xludf.DUMMYFUNCTION("SPARKLINE({E235;G235;I235;K235;M235;O235;Q235})"),"#N/A")</f>
        <v>#N/A</v>
      </c>
    </row>
    <row r="236" spans="1:19" ht="14.5" x14ac:dyDescent="0.6">
      <c r="A236" s="42">
        <f t="shared" si="1"/>
        <v>104</v>
      </c>
      <c r="B236" s="44"/>
      <c r="C236" s="43"/>
      <c r="D236" s="43"/>
      <c r="E236" s="43"/>
      <c r="F236" s="43"/>
      <c r="G236" s="43"/>
      <c r="H236" s="43"/>
      <c r="I236" s="43"/>
      <c r="J236" s="43"/>
      <c r="K236" s="43"/>
      <c r="L236" s="43"/>
      <c r="M236" s="43"/>
      <c r="N236" s="43"/>
      <c r="O236" s="43"/>
      <c r="P236" s="43"/>
      <c r="Q236" s="43"/>
      <c r="R236" s="48" t="str">
        <f ca="1">IFERROR(__xludf.DUMMYFUNCTION("SPARKLINE({D236,F236,H236,J236,L236,N236,P236})"),"#N/A")</f>
        <v>#N/A</v>
      </c>
      <c r="S236" s="45" t="str">
        <f ca="1">IFERROR(__xludf.DUMMYFUNCTION("SPARKLINE({E236;G236;I236;K236;M236;O236;Q236})"),"#N/A")</f>
        <v>#N/A</v>
      </c>
    </row>
    <row r="237" spans="1:19" ht="14.5" x14ac:dyDescent="0.6">
      <c r="A237" s="42">
        <f t="shared" si="1"/>
        <v>105</v>
      </c>
      <c r="B237" s="44"/>
      <c r="C237" s="43"/>
      <c r="D237" s="43"/>
      <c r="E237" s="43"/>
      <c r="F237" s="43"/>
      <c r="G237" s="43"/>
      <c r="H237" s="43"/>
      <c r="I237" s="43"/>
      <c r="J237" s="43"/>
      <c r="K237" s="43"/>
      <c r="L237" s="43"/>
      <c r="M237" s="43"/>
      <c r="N237" s="43"/>
      <c r="O237" s="43"/>
      <c r="P237" s="43"/>
      <c r="Q237" s="43"/>
      <c r="R237" s="48" t="str">
        <f ca="1">IFERROR(__xludf.DUMMYFUNCTION("SPARKLINE({D237,F237,H237,J237,L237,N237,P237})"),"#N/A")</f>
        <v>#N/A</v>
      </c>
      <c r="S237" s="45" t="str">
        <f ca="1">IFERROR(__xludf.DUMMYFUNCTION("SPARKLINE({E237;G237;I237;K237;M237;O237;Q237})"),"#N/A")</f>
        <v>#N/A</v>
      </c>
    </row>
    <row r="238" spans="1:19" ht="14.5" x14ac:dyDescent="0.6">
      <c r="A238" s="42">
        <f t="shared" si="1"/>
        <v>106</v>
      </c>
      <c r="B238" s="44"/>
      <c r="C238" s="43"/>
      <c r="D238" s="43"/>
      <c r="E238" s="43"/>
      <c r="F238" s="43"/>
      <c r="G238" s="43"/>
      <c r="H238" s="43"/>
      <c r="I238" s="43"/>
      <c r="J238" s="43"/>
      <c r="K238" s="43"/>
      <c r="L238" s="43"/>
      <c r="M238" s="43"/>
      <c r="N238" s="43"/>
      <c r="O238" s="43"/>
      <c r="P238" s="43"/>
      <c r="Q238" s="43"/>
      <c r="R238" s="48" t="str">
        <f ca="1">IFERROR(__xludf.DUMMYFUNCTION("SPARKLINE({D238,F238,H238,J238,L238,N238,P238})"),"#N/A")</f>
        <v>#N/A</v>
      </c>
      <c r="S238" s="45" t="str">
        <f ca="1">IFERROR(__xludf.DUMMYFUNCTION("SPARKLINE({E238;G238;I238;K238;M238;O238;Q238})"),"#N/A")</f>
        <v>#N/A</v>
      </c>
    </row>
    <row r="239" spans="1:19" ht="14.5" x14ac:dyDescent="0.6">
      <c r="A239" s="42">
        <f t="shared" si="1"/>
        <v>107</v>
      </c>
      <c r="B239" s="44"/>
      <c r="C239" s="43"/>
      <c r="D239" s="43"/>
      <c r="E239" s="43"/>
      <c r="F239" s="43"/>
      <c r="G239" s="43"/>
      <c r="H239" s="43"/>
      <c r="I239" s="43"/>
      <c r="J239" s="43"/>
      <c r="K239" s="43"/>
      <c r="L239" s="43"/>
      <c r="M239" s="43"/>
      <c r="N239" s="43"/>
      <c r="O239" s="43"/>
      <c r="P239" s="43"/>
      <c r="Q239" s="43"/>
      <c r="R239" s="48" t="str">
        <f ca="1">IFERROR(__xludf.DUMMYFUNCTION("SPARKLINE({D239,F239,H239,J239,L239,N239,P239})"),"#N/A")</f>
        <v>#N/A</v>
      </c>
      <c r="S239" s="45" t="str">
        <f ca="1">IFERROR(__xludf.DUMMYFUNCTION("SPARKLINE({E239;G239;I239;K239;M239;O239;Q239})"),"#N/A")</f>
        <v>#N/A</v>
      </c>
    </row>
    <row r="240" spans="1:19" ht="14.5" x14ac:dyDescent="0.6">
      <c r="A240" s="42">
        <f t="shared" si="1"/>
        <v>108</v>
      </c>
      <c r="B240" s="44"/>
      <c r="C240" s="43"/>
      <c r="D240" s="43"/>
      <c r="E240" s="43"/>
      <c r="F240" s="43"/>
      <c r="G240" s="43"/>
      <c r="H240" s="43"/>
      <c r="I240" s="43"/>
      <c r="J240" s="43"/>
      <c r="K240" s="43"/>
      <c r="L240" s="43"/>
      <c r="M240" s="43"/>
      <c r="N240" s="43"/>
      <c r="O240" s="43"/>
      <c r="P240" s="43"/>
      <c r="Q240" s="43"/>
      <c r="R240" s="48" t="str">
        <f ca="1">IFERROR(__xludf.DUMMYFUNCTION("SPARKLINE({D240,F240,H240,J240,L240,N240,P240})"),"#N/A")</f>
        <v>#N/A</v>
      </c>
      <c r="S240" s="45" t="str">
        <f ca="1">IFERROR(__xludf.DUMMYFUNCTION("SPARKLINE({E240;G240;I240;K240;M240;O240;Q240})"),"#N/A")</f>
        <v>#N/A</v>
      </c>
    </row>
    <row r="241" spans="1:19" ht="14.5" x14ac:dyDescent="0.6">
      <c r="A241" s="42">
        <f t="shared" si="1"/>
        <v>109</v>
      </c>
      <c r="B241" s="44"/>
      <c r="C241" s="43"/>
      <c r="D241" s="43"/>
      <c r="E241" s="43"/>
      <c r="F241" s="43"/>
      <c r="G241" s="43"/>
      <c r="H241" s="43"/>
      <c r="I241" s="43"/>
      <c r="J241" s="43"/>
      <c r="K241" s="43"/>
      <c r="L241" s="43"/>
      <c r="M241" s="43"/>
      <c r="N241" s="43"/>
      <c r="O241" s="43"/>
      <c r="P241" s="43"/>
      <c r="Q241" s="43"/>
      <c r="R241" s="48" t="str">
        <f ca="1">IFERROR(__xludf.DUMMYFUNCTION("SPARKLINE({D241,F241,H241,J241,L241,N241,P241})"),"#N/A")</f>
        <v>#N/A</v>
      </c>
      <c r="S241" s="45" t="str">
        <f ca="1">IFERROR(__xludf.DUMMYFUNCTION("SPARKLINE({E241;G241;I241;K241;M241;O241;Q241})"),"#N/A")</f>
        <v>#N/A</v>
      </c>
    </row>
    <row r="242" spans="1:19" ht="14.5" x14ac:dyDescent="0.6">
      <c r="A242" s="42">
        <f t="shared" si="1"/>
        <v>110</v>
      </c>
      <c r="B242" s="44"/>
      <c r="C242" s="43"/>
      <c r="D242" s="43"/>
      <c r="E242" s="43"/>
      <c r="F242" s="43"/>
      <c r="G242" s="43"/>
      <c r="H242" s="43"/>
      <c r="I242" s="43"/>
      <c r="J242" s="43"/>
      <c r="K242" s="43"/>
      <c r="L242" s="43"/>
      <c r="M242" s="43"/>
      <c r="N242" s="43"/>
      <c r="O242" s="43"/>
      <c r="P242" s="43"/>
      <c r="Q242" s="43"/>
      <c r="R242" s="48" t="str">
        <f ca="1">IFERROR(__xludf.DUMMYFUNCTION("SPARKLINE({D242,F242,H242,J242,L242,N242,P242})"),"#N/A")</f>
        <v>#N/A</v>
      </c>
      <c r="S242" s="45" t="str">
        <f ca="1">IFERROR(__xludf.DUMMYFUNCTION("SPARKLINE({E242;G242;I242;K242;M242;O242;Q242})"),"#N/A")</f>
        <v>#N/A</v>
      </c>
    </row>
    <row r="243" spans="1:19" ht="14.5" x14ac:dyDescent="0.6">
      <c r="A243" s="42">
        <f t="shared" si="1"/>
        <v>111</v>
      </c>
      <c r="B243" s="44"/>
      <c r="C243" s="43"/>
      <c r="D243" s="43"/>
      <c r="E243" s="43"/>
      <c r="F243" s="43"/>
      <c r="G243" s="43"/>
      <c r="H243" s="43"/>
      <c r="I243" s="43"/>
      <c r="J243" s="43"/>
      <c r="K243" s="43"/>
      <c r="L243" s="43"/>
      <c r="M243" s="43"/>
      <c r="N243" s="43"/>
      <c r="O243" s="43"/>
      <c r="P243" s="43"/>
      <c r="Q243" s="43"/>
      <c r="R243" s="48" t="str">
        <f ca="1">IFERROR(__xludf.DUMMYFUNCTION("SPARKLINE({D243,F243,H243,J243,L243,N243,P243})"),"#N/A")</f>
        <v>#N/A</v>
      </c>
      <c r="S243" s="45" t="str">
        <f ca="1">IFERROR(__xludf.DUMMYFUNCTION("SPARKLINE({E243;G243;I243;K243;M243;O243;Q243})"),"#N/A")</f>
        <v>#N/A</v>
      </c>
    </row>
    <row r="244" spans="1:19" ht="14.5" x14ac:dyDescent="0.6">
      <c r="A244" s="42">
        <f t="shared" si="1"/>
        <v>112</v>
      </c>
      <c r="B244" s="44"/>
      <c r="C244" s="43"/>
      <c r="D244" s="43"/>
      <c r="E244" s="43"/>
      <c r="F244" s="43"/>
      <c r="G244" s="43"/>
      <c r="H244" s="43"/>
      <c r="I244" s="43"/>
      <c r="J244" s="43"/>
      <c r="K244" s="43"/>
      <c r="L244" s="43"/>
      <c r="M244" s="43"/>
      <c r="N244" s="43"/>
      <c r="O244" s="43"/>
      <c r="P244" s="43"/>
      <c r="Q244" s="43"/>
      <c r="R244" s="48" t="str">
        <f ca="1">IFERROR(__xludf.DUMMYFUNCTION("SPARKLINE({D244,F244,H244,J244,L244,N244,P244})"),"#N/A")</f>
        <v>#N/A</v>
      </c>
      <c r="S244" s="45" t="str">
        <f ca="1">IFERROR(__xludf.DUMMYFUNCTION("SPARKLINE({E244;G244;I244;K244;M244;O244;Q244})"),"#N/A")</f>
        <v>#N/A</v>
      </c>
    </row>
    <row r="245" spans="1:19" ht="14.5" x14ac:dyDescent="0.6">
      <c r="A245" s="42">
        <f t="shared" si="1"/>
        <v>113</v>
      </c>
      <c r="B245" s="44"/>
      <c r="C245" s="43"/>
      <c r="D245" s="43"/>
      <c r="E245" s="43"/>
      <c r="F245" s="43"/>
      <c r="G245" s="43"/>
      <c r="H245" s="43"/>
      <c r="I245" s="43"/>
      <c r="J245" s="43"/>
      <c r="K245" s="43"/>
      <c r="L245" s="43"/>
      <c r="M245" s="43"/>
      <c r="N245" s="43"/>
      <c r="O245" s="43"/>
      <c r="P245" s="43"/>
      <c r="Q245" s="43"/>
      <c r="R245" s="48" t="str">
        <f ca="1">IFERROR(__xludf.DUMMYFUNCTION("SPARKLINE({D245,F245,H245,J245,L245,N245,P245})"),"#N/A")</f>
        <v>#N/A</v>
      </c>
      <c r="S245" s="45" t="str">
        <f ca="1">IFERROR(__xludf.DUMMYFUNCTION("SPARKLINE({E245;G245;I245;K245;M245;O245;Q245})"),"#N/A")</f>
        <v>#N/A</v>
      </c>
    </row>
    <row r="246" spans="1:19" ht="14.5" x14ac:dyDescent="0.6">
      <c r="A246" s="42">
        <f t="shared" si="1"/>
        <v>114</v>
      </c>
      <c r="B246" s="44"/>
      <c r="C246" s="43"/>
      <c r="D246" s="43"/>
      <c r="E246" s="43"/>
      <c r="F246" s="43"/>
      <c r="G246" s="43"/>
      <c r="H246" s="43"/>
      <c r="I246" s="43"/>
      <c r="J246" s="43"/>
      <c r="K246" s="43"/>
      <c r="L246" s="43"/>
      <c r="M246" s="43"/>
      <c r="N246" s="43"/>
      <c r="O246" s="43"/>
      <c r="P246" s="43"/>
      <c r="Q246" s="43"/>
      <c r="R246" s="48" t="str">
        <f ca="1">IFERROR(__xludf.DUMMYFUNCTION("SPARKLINE({D246,F246,H246,J246,L246,N246,P246})"),"#N/A")</f>
        <v>#N/A</v>
      </c>
      <c r="S246" s="45" t="str">
        <f ca="1">IFERROR(__xludf.DUMMYFUNCTION("SPARKLINE({E246;G246;I246;K246;M246;O246;Q246})"),"#N/A")</f>
        <v>#N/A</v>
      </c>
    </row>
    <row r="247" spans="1:19" ht="14.5" x14ac:dyDescent="0.6">
      <c r="A247" s="42">
        <f t="shared" si="1"/>
        <v>115</v>
      </c>
      <c r="B247" s="44"/>
      <c r="C247" s="43"/>
      <c r="D247" s="43"/>
      <c r="E247" s="43"/>
      <c r="F247" s="43"/>
      <c r="G247" s="43"/>
      <c r="H247" s="43"/>
      <c r="I247" s="43"/>
      <c r="J247" s="43"/>
      <c r="K247" s="43"/>
      <c r="L247" s="43"/>
      <c r="M247" s="43"/>
      <c r="N247" s="43"/>
      <c r="O247" s="43"/>
      <c r="P247" s="43"/>
      <c r="Q247" s="43"/>
      <c r="R247" s="48" t="str">
        <f ca="1">IFERROR(__xludf.DUMMYFUNCTION("SPARKLINE({D247,F247,H247,J247,L247,N247,P247})"),"#N/A")</f>
        <v>#N/A</v>
      </c>
      <c r="S247" s="45" t="str">
        <f ca="1">IFERROR(__xludf.DUMMYFUNCTION("SPARKLINE({E247;G247;I247;K247;M247;O247;Q247})"),"#N/A")</f>
        <v>#N/A</v>
      </c>
    </row>
    <row r="248" spans="1:19" ht="14.5" x14ac:dyDescent="0.6">
      <c r="A248" s="42">
        <f t="shared" si="1"/>
        <v>116</v>
      </c>
      <c r="B248" s="44"/>
      <c r="C248" s="43"/>
      <c r="D248" s="43"/>
      <c r="E248" s="43"/>
      <c r="F248" s="43"/>
      <c r="G248" s="43"/>
      <c r="H248" s="43"/>
      <c r="I248" s="43"/>
      <c r="J248" s="43"/>
      <c r="K248" s="43"/>
      <c r="L248" s="43"/>
      <c r="M248" s="43"/>
      <c r="N248" s="43"/>
      <c r="O248" s="43"/>
      <c r="P248" s="43"/>
      <c r="Q248" s="43"/>
      <c r="R248" s="48" t="str">
        <f ca="1">IFERROR(__xludf.DUMMYFUNCTION("SPARKLINE({D248,F248,H248,J248,L248,N248,P248})"),"#N/A")</f>
        <v>#N/A</v>
      </c>
      <c r="S248" s="45" t="str">
        <f ca="1">IFERROR(__xludf.DUMMYFUNCTION("SPARKLINE({E248;G248;I248;K248;M248;O248;Q248})"),"#N/A")</f>
        <v>#N/A</v>
      </c>
    </row>
    <row r="249" spans="1:19" ht="14.5" x14ac:dyDescent="0.6">
      <c r="A249" s="42">
        <f t="shared" si="1"/>
        <v>117</v>
      </c>
      <c r="B249" s="44"/>
      <c r="C249" s="43"/>
      <c r="D249" s="43"/>
      <c r="E249" s="43"/>
      <c r="F249" s="43"/>
      <c r="G249" s="43"/>
      <c r="H249" s="43"/>
      <c r="I249" s="43"/>
      <c r="J249" s="43"/>
      <c r="K249" s="43"/>
      <c r="L249" s="43"/>
      <c r="M249" s="43"/>
      <c r="N249" s="43"/>
      <c r="O249" s="43"/>
      <c r="P249" s="43"/>
      <c r="Q249" s="43"/>
      <c r="R249" s="48" t="str">
        <f ca="1">IFERROR(__xludf.DUMMYFUNCTION("SPARKLINE({D249,F249,H249,J249,L249,N249,P249})"),"#N/A")</f>
        <v>#N/A</v>
      </c>
      <c r="S249" s="45" t="str">
        <f ca="1">IFERROR(__xludf.DUMMYFUNCTION("SPARKLINE({E249;G249;I249;K249;M249;O249;Q249})"),"#N/A")</f>
        <v>#N/A</v>
      </c>
    </row>
    <row r="250" spans="1:19" ht="14.5" x14ac:dyDescent="0.6">
      <c r="A250" s="42">
        <f t="shared" si="1"/>
        <v>118</v>
      </c>
      <c r="B250" s="44"/>
      <c r="C250" s="43"/>
      <c r="D250" s="43"/>
      <c r="E250" s="43"/>
      <c r="F250" s="43"/>
      <c r="G250" s="43"/>
      <c r="H250" s="43"/>
      <c r="I250" s="43"/>
      <c r="J250" s="43"/>
      <c r="K250" s="43"/>
      <c r="L250" s="43"/>
      <c r="M250" s="43"/>
      <c r="N250" s="43"/>
      <c r="O250" s="43"/>
      <c r="P250" s="43"/>
      <c r="Q250" s="43"/>
      <c r="R250" s="48" t="str">
        <f ca="1">IFERROR(__xludf.DUMMYFUNCTION("SPARKLINE({D250,F250,H250,J250,L250,N250,P250})"),"#N/A")</f>
        <v>#N/A</v>
      </c>
      <c r="S250" s="45" t="str">
        <f ca="1">IFERROR(__xludf.DUMMYFUNCTION("SPARKLINE({E250;G250;I250;K250;M250;O250;Q250})"),"#N/A")</f>
        <v>#N/A</v>
      </c>
    </row>
    <row r="251" spans="1:19" ht="14.5" x14ac:dyDescent="0.6">
      <c r="A251" s="42">
        <f t="shared" si="1"/>
        <v>119</v>
      </c>
      <c r="B251" s="44"/>
      <c r="C251" s="43"/>
      <c r="D251" s="43"/>
      <c r="E251" s="43"/>
      <c r="F251" s="43"/>
      <c r="G251" s="43"/>
      <c r="H251" s="43"/>
      <c r="I251" s="43"/>
      <c r="J251" s="43"/>
      <c r="K251" s="43"/>
      <c r="L251" s="43"/>
      <c r="M251" s="43"/>
      <c r="N251" s="43"/>
      <c r="O251" s="43"/>
      <c r="P251" s="43"/>
      <c r="Q251" s="43"/>
      <c r="R251" s="48" t="str">
        <f ca="1">IFERROR(__xludf.DUMMYFUNCTION("SPARKLINE({D251,F251,H251,J251,L251,N251,P251})"),"#N/A")</f>
        <v>#N/A</v>
      </c>
      <c r="S251" s="45" t="str">
        <f ca="1">IFERROR(__xludf.DUMMYFUNCTION("SPARKLINE({E251;G251;I251;K251;M251;O251;Q251})"),"#N/A")</f>
        <v>#N/A</v>
      </c>
    </row>
    <row r="252" spans="1:19" ht="14.5" x14ac:dyDescent="0.6">
      <c r="A252" s="42">
        <f t="shared" si="1"/>
        <v>120</v>
      </c>
      <c r="B252" s="44"/>
      <c r="C252" s="43"/>
      <c r="D252" s="43"/>
      <c r="E252" s="43"/>
      <c r="F252" s="43"/>
      <c r="G252" s="43"/>
      <c r="H252" s="43"/>
      <c r="I252" s="43"/>
      <c r="J252" s="43"/>
      <c r="K252" s="43"/>
      <c r="L252" s="43"/>
      <c r="M252" s="43"/>
      <c r="N252" s="43"/>
      <c r="O252" s="43"/>
      <c r="P252" s="43"/>
      <c r="Q252" s="43"/>
      <c r="R252" s="48" t="str">
        <f ca="1">IFERROR(__xludf.DUMMYFUNCTION("SPARKLINE({D252,F252,H252,J252,L252,N252,P252})"),"#N/A")</f>
        <v>#N/A</v>
      </c>
      <c r="S252" s="45" t="str">
        <f ca="1">IFERROR(__xludf.DUMMYFUNCTION("SPARKLINE({E252;G252;I252;K252;M252;O252;Q252})"),"#N/A")</f>
        <v>#N/A</v>
      </c>
    </row>
    <row r="253" spans="1:19" ht="14.5" x14ac:dyDescent="0.6">
      <c r="A253" s="44"/>
      <c r="B253" s="49"/>
      <c r="C253" s="50"/>
      <c r="D253" s="50"/>
      <c r="E253" s="50"/>
      <c r="F253" s="50"/>
      <c r="G253" s="50"/>
      <c r="H253" s="50"/>
      <c r="I253" s="50"/>
      <c r="J253" s="50"/>
      <c r="K253" s="50"/>
      <c r="L253" s="50"/>
      <c r="M253" s="50"/>
      <c r="N253" s="50"/>
      <c r="O253" s="50"/>
      <c r="P253" s="50"/>
      <c r="Q253" s="50"/>
      <c r="R253" s="48" t="str">
        <f ca="1">IFERROR(__xludf.DUMMYFUNCTION("SPARKLINE({D253,F253,H253,J253,L253,N253,P253})"),"#N/A")</f>
        <v>#N/A</v>
      </c>
      <c r="S253" s="45" t="str">
        <f ca="1">IFERROR(__xludf.DUMMYFUNCTION("SPARKLINE({E253;G253;I253;K253;M253;O253;Q253})"),"#N/A")</f>
        <v>#N/A</v>
      </c>
    </row>
    <row r="254" spans="1:19" ht="13" x14ac:dyDescent="0.6">
      <c r="C254" s="36"/>
      <c r="D254" s="36"/>
      <c r="E254" s="36"/>
      <c r="F254" s="36"/>
      <c r="G254" s="36"/>
      <c r="H254" s="36"/>
      <c r="I254" s="36"/>
      <c r="J254" s="36"/>
      <c r="K254" s="36"/>
      <c r="L254" s="36"/>
      <c r="M254" s="36"/>
      <c r="N254" s="36"/>
      <c r="O254" s="36"/>
      <c r="P254" s="36"/>
    </row>
    <row r="255" spans="1:19" ht="13" x14ac:dyDescent="0.6">
      <c r="C255" s="36"/>
      <c r="D255" s="36"/>
      <c r="E255" s="36"/>
      <c r="F255" s="36"/>
      <c r="G255" s="36"/>
      <c r="H255" s="36"/>
      <c r="I255" s="36"/>
      <c r="J255" s="36"/>
      <c r="K255" s="36"/>
      <c r="L255" s="36"/>
      <c r="M255" s="36"/>
      <c r="N255" s="36"/>
      <c r="O255" s="36"/>
      <c r="P255" s="36"/>
    </row>
    <row r="256" spans="1:19" ht="13" x14ac:dyDescent="0.6">
      <c r="C256" s="36"/>
      <c r="D256" s="36"/>
      <c r="E256" s="36"/>
      <c r="F256" s="36"/>
      <c r="G256" s="36"/>
      <c r="H256" s="36"/>
      <c r="I256" s="36"/>
      <c r="J256" s="36"/>
      <c r="K256" s="36"/>
      <c r="L256" s="36"/>
      <c r="M256" s="36"/>
      <c r="N256" s="36"/>
      <c r="O256" s="36"/>
      <c r="P256" s="36"/>
    </row>
    <row r="257" spans="3:16" ht="13" x14ac:dyDescent="0.6">
      <c r="C257" s="36"/>
      <c r="D257" s="36"/>
      <c r="E257" s="36"/>
      <c r="F257" s="36"/>
      <c r="G257" s="36"/>
      <c r="H257" s="36"/>
      <c r="I257" s="36"/>
      <c r="J257" s="36"/>
      <c r="K257" s="36"/>
      <c r="L257" s="36"/>
      <c r="M257" s="36"/>
      <c r="N257" s="36"/>
      <c r="O257" s="36"/>
      <c r="P257" s="36"/>
    </row>
    <row r="258" spans="3:16" ht="13" x14ac:dyDescent="0.6">
      <c r="C258" s="36"/>
      <c r="D258" s="36"/>
      <c r="E258" s="36"/>
      <c r="F258" s="36"/>
      <c r="G258" s="36"/>
      <c r="H258" s="36"/>
      <c r="I258" s="36"/>
      <c r="J258" s="36"/>
      <c r="K258" s="36"/>
      <c r="L258" s="36"/>
      <c r="M258" s="36"/>
      <c r="N258" s="36"/>
      <c r="O258" s="36"/>
      <c r="P258" s="36"/>
    </row>
    <row r="259" spans="3:16" ht="13" x14ac:dyDescent="0.6">
      <c r="C259" s="36"/>
      <c r="D259" s="36"/>
      <c r="E259" s="36"/>
      <c r="F259" s="36"/>
      <c r="G259" s="36"/>
      <c r="H259" s="36"/>
      <c r="I259" s="36"/>
      <c r="J259" s="36"/>
      <c r="K259" s="36"/>
      <c r="L259" s="36"/>
      <c r="M259" s="36"/>
      <c r="N259" s="36"/>
      <c r="O259" s="36"/>
      <c r="P259" s="36"/>
    </row>
    <row r="260" spans="3:16" ht="13" x14ac:dyDescent="0.6">
      <c r="C260" s="36"/>
      <c r="D260" s="36"/>
      <c r="E260" s="36"/>
      <c r="F260" s="36"/>
      <c r="G260" s="36"/>
      <c r="H260" s="36"/>
      <c r="I260" s="36"/>
      <c r="J260" s="36"/>
      <c r="K260" s="36"/>
      <c r="L260" s="36"/>
      <c r="M260" s="36"/>
      <c r="N260" s="36"/>
      <c r="O260" s="36"/>
      <c r="P260" s="36"/>
    </row>
    <row r="261" spans="3:16" ht="13" x14ac:dyDescent="0.6">
      <c r="C261" s="36"/>
      <c r="D261" s="36"/>
      <c r="E261" s="36"/>
      <c r="F261" s="36"/>
      <c r="G261" s="36"/>
      <c r="H261" s="36"/>
      <c r="I261" s="36"/>
      <c r="J261" s="36"/>
      <c r="K261" s="36"/>
      <c r="L261" s="36"/>
      <c r="M261" s="36"/>
      <c r="N261" s="36"/>
      <c r="O261" s="36"/>
      <c r="P261" s="36"/>
    </row>
    <row r="262" spans="3:16" ht="13" x14ac:dyDescent="0.6">
      <c r="C262" s="36"/>
      <c r="D262" s="36"/>
      <c r="E262" s="36"/>
      <c r="F262" s="36"/>
      <c r="G262" s="36"/>
      <c r="H262" s="36"/>
      <c r="I262" s="36"/>
      <c r="J262" s="36"/>
      <c r="K262" s="36"/>
      <c r="L262" s="36"/>
      <c r="M262" s="36"/>
      <c r="N262" s="36"/>
      <c r="O262" s="36"/>
      <c r="P262" s="36"/>
    </row>
    <row r="263" spans="3:16" ht="13" x14ac:dyDescent="0.6">
      <c r="C263" s="36"/>
      <c r="D263" s="36"/>
      <c r="E263" s="36"/>
      <c r="F263" s="36"/>
      <c r="G263" s="36"/>
      <c r="H263" s="36"/>
      <c r="I263" s="36"/>
      <c r="J263" s="36"/>
      <c r="K263" s="36"/>
      <c r="L263" s="36"/>
      <c r="M263" s="36"/>
      <c r="N263" s="36"/>
      <c r="O263" s="36"/>
      <c r="P263" s="36"/>
    </row>
    <row r="264" spans="3:16" ht="13" x14ac:dyDescent="0.6">
      <c r="C264" s="36"/>
      <c r="D264" s="36"/>
      <c r="E264" s="36"/>
      <c r="F264" s="36"/>
      <c r="G264" s="36"/>
      <c r="H264" s="36"/>
      <c r="I264" s="36"/>
      <c r="J264" s="36"/>
      <c r="K264" s="36"/>
      <c r="L264" s="36"/>
      <c r="M264" s="36"/>
      <c r="N264" s="36"/>
      <c r="O264" s="36"/>
      <c r="P264" s="36"/>
    </row>
    <row r="265" spans="3:16" ht="13" x14ac:dyDescent="0.6">
      <c r="C265" s="36"/>
      <c r="D265" s="36"/>
      <c r="E265" s="36"/>
      <c r="F265" s="36"/>
      <c r="G265" s="36"/>
      <c r="H265" s="36"/>
      <c r="I265" s="36"/>
      <c r="J265" s="36"/>
      <c r="K265" s="36"/>
      <c r="L265" s="36"/>
      <c r="M265" s="36"/>
      <c r="N265" s="36"/>
      <c r="O265" s="36"/>
      <c r="P265" s="36"/>
    </row>
    <row r="266" spans="3:16" ht="13" x14ac:dyDescent="0.6">
      <c r="C266" s="36"/>
      <c r="D266" s="36"/>
      <c r="E266" s="36"/>
      <c r="F266" s="36"/>
      <c r="G266" s="36"/>
      <c r="H266" s="36"/>
      <c r="I266" s="36"/>
      <c r="J266" s="36"/>
      <c r="K266" s="36"/>
      <c r="L266" s="36"/>
      <c r="M266" s="36"/>
      <c r="N266" s="36"/>
      <c r="O266" s="36"/>
      <c r="P266" s="36"/>
    </row>
    <row r="267" spans="3:16" ht="13" x14ac:dyDescent="0.6">
      <c r="C267" s="36"/>
      <c r="D267" s="36"/>
      <c r="E267" s="36"/>
      <c r="F267" s="36"/>
      <c r="G267" s="36"/>
      <c r="H267" s="36"/>
      <c r="I267" s="36"/>
      <c r="J267" s="36"/>
      <c r="K267" s="36"/>
      <c r="L267" s="36"/>
      <c r="M267" s="36"/>
      <c r="N267" s="36"/>
      <c r="O267" s="36"/>
      <c r="P267" s="36"/>
    </row>
    <row r="268" spans="3:16" ht="13" x14ac:dyDescent="0.6">
      <c r="C268" s="36"/>
      <c r="D268" s="36"/>
      <c r="E268" s="36"/>
      <c r="F268" s="36"/>
      <c r="G268" s="36"/>
      <c r="H268" s="36"/>
      <c r="I268" s="36"/>
      <c r="J268" s="36"/>
      <c r="K268" s="36"/>
      <c r="L268" s="36"/>
      <c r="M268" s="36"/>
      <c r="N268" s="36"/>
      <c r="O268" s="36"/>
      <c r="P268" s="36"/>
    </row>
    <row r="269" spans="3:16" ht="13" x14ac:dyDescent="0.6">
      <c r="C269" s="36"/>
      <c r="D269" s="36"/>
      <c r="E269" s="36"/>
      <c r="F269" s="36"/>
      <c r="G269" s="36"/>
      <c r="H269" s="36"/>
      <c r="I269" s="36"/>
      <c r="J269" s="36"/>
      <c r="K269" s="36"/>
      <c r="L269" s="36"/>
      <c r="M269" s="36"/>
      <c r="N269" s="36"/>
      <c r="O269" s="36"/>
      <c r="P269" s="36"/>
    </row>
    <row r="270" spans="3:16" ht="13" x14ac:dyDescent="0.6">
      <c r="C270" s="36"/>
      <c r="D270" s="36"/>
      <c r="E270" s="36"/>
      <c r="F270" s="36"/>
      <c r="G270" s="36"/>
      <c r="H270" s="36"/>
      <c r="I270" s="36"/>
      <c r="J270" s="36"/>
      <c r="K270" s="36"/>
      <c r="L270" s="36"/>
      <c r="M270" s="36"/>
      <c r="N270" s="36"/>
      <c r="O270" s="36"/>
      <c r="P270" s="36"/>
    </row>
    <row r="271" spans="3:16" ht="13" x14ac:dyDescent="0.6">
      <c r="C271" s="36"/>
      <c r="D271" s="36"/>
      <c r="E271" s="36"/>
      <c r="F271" s="36"/>
      <c r="G271" s="36"/>
      <c r="H271" s="36"/>
      <c r="I271" s="36"/>
      <c r="J271" s="36"/>
      <c r="K271" s="36"/>
      <c r="L271" s="36"/>
      <c r="M271" s="36"/>
      <c r="N271" s="36"/>
      <c r="O271" s="36"/>
      <c r="P271" s="36"/>
    </row>
    <row r="272" spans="3:16" ht="13" x14ac:dyDescent="0.6">
      <c r="C272" s="36"/>
      <c r="D272" s="36"/>
      <c r="E272" s="36"/>
      <c r="F272" s="36"/>
      <c r="G272" s="36"/>
      <c r="H272" s="36"/>
      <c r="I272" s="36"/>
      <c r="J272" s="36"/>
      <c r="K272" s="36"/>
      <c r="L272" s="36"/>
      <c r="M272" s="36"/>
      <c r="N272" s="36"/>
      <c r="O272" s="36"/>
      <c r="P272" s="36"/>
    </row>
    <row r="273" spans="3:16" ht="13" x14ac:dyDescent="0.6">
      <c r="C273" s="36"/>
      <c r="D273" s="36"/>
      <c r="E273" s="36"/>
      <c r="F273" s="36"/>
      <c r="G273" s="36"/>
      <c r="H273" s="36"/>
      <c r="I273" s="36"/>
      <c r="J273" s="36"/>
      <c r="K273" s="36"/>
      <c r="L273" s="36"/>
      <c r="M273" s="36"/>
      <c r="N273" s="36"/>
      <c r="O273" s="36"/>
      <c r="P273" s="36"/>
    </row>
    <row r="274" spans="3:16" ht="13" x14ac:dyDescent="0.6">
      <c r="C274" s="36"/>
      <c r="D274" s="36"/>
      <c r="E274" s="36"/>
      <c r="F274" s="36"/>
      <c r="G274" s="36"/>
      <c r="H274" s="36"/>
      <c r="I274" s="36"/>
      <c r="J274" s="36"/>
      <c r="K274" s="36"/>
      <c r="L274" s="36"/>
      <c r="M274" s="36"/>
      <c r="N274" s="36"/>
      <c r="O274" s="36"/>
      <c r="P274" s="36"/>
    </row>
    <row r="275" spans="3:16" ht="13" x14ac:dyDescent="0.6">
      <c r="C275" s="36"/>
      <c r="D275" s="36"/>
      <c r="E275" s="36"/>
      <c r="F275" s="36"/>
      <c r="G275" s="36"/>
      <c r="H275" s="36"/>
      <c r="I275" s="36"/>
      <c r="J275" s="36"/>
      <c r="K275" s="36"/>
      <c r="L275" s="36"/>
      <c r="M275" s="36"/>
      <c r="N275" s="36"/>
      <c r="O275" s="36"/>
      <c r="P275" s="36"/>
    </row>
    <row r="276" spans="3:16" ht="13" x14ac:dyDescent="0.6">
      <c r="C276" s="36"/>
      <c r="D276" s="36"/>
      <c r="E276" s="36"/>
      <c r="F276" s="36"/>
      <c r="G276" s="36"/>
      <c r="H276" s="36"/>
      <c r="I276" s="36"/>
      <c r="J276" s="36"/>
      <c r="K276" s="36"/>
      <c r="L276" s="36"/>
      <c r="M276" s="36"/>
      <c r="N276" s="36"/>
      <c r="O276" s="36"/>
      <c r="P276" s="36"/>
    </row>
    <row r="277" spans="3:16" ht="13" x14ac:dyDescent="0.6">
      <c r="C277" s="36"/>
      <c r="D277" s="36"/>
      <c r="E277" s="36"/>
      <c r="F277" s="36"/>
      <c r="G277" s="36"/>
      <c r="H277" s="36"/>
      <c r="I277" s="36"/>
      <c r="J277" s="36"/>
      <c r="K277" s="36"/>
      <c r="L277" s="36"/>
      <c r="M277" s="36"/>
      <c r="N277" s="36"/>
      <c r="O277" s="36"/>
      <c r="P277" s="36"/>
    </row>
    <row r="278" spans="3:16" ht="13" x14ac:dyDescent="0.6">
      <c r="C278" s="36"/>
      <c r="D278" s="36"/>
      <c r="E278" s="36"/>
      <c r="F278" s="36"/>
      <c r="G278" s="36"/>
      <c r="H278" s="36"/>
      <c r="I278" s="36"/>
      <c r="J278" s="36"/>
      <c r="K278" s="36"/>
      <c r="L278" s="36"/>
      <c r="M278" s="36"/>
      <c r="N278" s="36"/>
      <c r="O278" s="36"/>
      <c r="P278" s="36"/>
    </row>
    <row r="279" spans="3:16" ht="13" x14ac:dyDescent="0.6">
      <c r="C279" s="36"/>
      <c r="D279" s="36"/>
      <c r="E279" s="36"/>
      <c r="F279" s="36"/>
      <c r="G279" s="36"/>
      <c r="H279" s="36"/>
      <c r="I279" s="36"/>
      <c r="J279" s="36"/>
      <c r="K279" s="36"/>
      <c r="L279" s="36"/>
      <c r="M279" s="36"/>
      <c r="N279" s="36"/>
      <c r="O279" s="36"/>
      <c r="P279" s="36"/>
    </row>
    <row r="280" spans="3:16" ht="13" x14ac:dyDescent="0.6">
      <c r="C280" s="36"/>
      <c r="D280" s="36"/>
      <c r="E280" s="36"/>
      <c r="F280" s="36"/>
      <c r="G280" s="36"/>
      <c r="H280" s="36"/>
      <c r="I280" s="36"/>
      <c r="J280" s="36"/>
      <c r="K280" s="36"/>
      <c r="L280" s="36"/>
      <c r="M280" s="36"/>
      <c r="N280" s="36"/>
      <c r="O280" s="36"/>
      <c r="P280" s="36"/>
    </row>
    <row r="281" spans="3:16" ht="13" x14ac:dyDescent="0.6">
      <c r="C281" s="36"/>
      <c r="D281" s="36"/>
      <c r="E281" s="36"/>
      <c r="F281" s="36"/>
      <c r="G281" s="36"/>
      <c r="H281" s="36"/>
      <c r="I281" s="36"/>
      <c r="J281" s="36"/>
      <c r="K281" s="36"/>
      <c r="L281" s="36"/>
      <c r="M281" s="36"/>
      <c r="N281" s="36"/>
      <c r="O281" s="36"/>
      <c r="P281" s="36"/>
    </row>
    <row r="282" spans="3:16" ht="13" x14ac:dyDescent="0.6">
      <c r="C282" s="36"/>
      <c r="D282" s="36"/>
      <c r="E282" s="36"/>
      <c r="F282" s="36"/>
      <c r="G282" s="36"/>
      <c r="H282" s="36"/>
      <c r="I282" s="36"/>
      <c r="J282" s="36"/>
      <c r="K282" s="36"/>
      <c r="L282" s="36"/>
      <c r="M282" s="36"/>
      <c r="N282" s="36"/>
      <c r="O282" s="36"/>
      <c r="P282" s="36"/>
    </row>
    <row r="283" spans="3:16" ht="13" x14ac:dyDescent="0.6">
      <c r="C283" s="36"/>
      <c r="D283" s="36"/>
      <c r="E283" s="36"/>
      <c r="F283" s="36"/>
      <c r="G283" s="36"/>
      <c r="H283" s="36"/>
      <c r="I283" s="36"/>
      <c r="J283" s="36"/>
      <c r="K283" s="36"/>
      <c r="L283" s="36"/>
      <c r="M283" s="36"/>
      <c r="N283" s="36"/>
      <c r="O283" s="36"/>
      <c r="P283" s="36"/>
    </row>
    <row r="284" spans="3:16" ht="13" x14ac:dyDescent="0.6">
      <c r="C284" s="36"/>
      <c r="D284" s="36"/>
      <c r="E284" s="36"/>
      <c r="F284" s="36"/>
      <c r="G284" s="36"/>
      <c r="H284" s="36"/>
      <c r="I284" s="36"/>
      <c r="J284" s="36"/>
      <c r="K284" s="36"/>
      <c r="L284" s="36"/>
      <c r="M284" s="36"/>
      <c r="N284" s="36"/>
      <c r="O284" s="36"/>
      <c r="P284" s="36"/>
    </row>
    <row r="285" spans="3:16" ht="13" x14ac:dyDescent="0.6">
      <c r="C285" s="36"/>
      <c r="D285" s="36"/>
      <c r="E285" s="36"/>
      <c r="F285" s="36"/>
      <c r="G285" s="36"/>
      <c r="H285" s="36"/>
      <c r="I285" s="36"/>
      <c r="J285" s="36"/>
      <c r="K285" s="36"/>
      <c r="L285" s="36"/>
      <c r="M285" s="36"/>
      <c r="N285" s="36"/>
      <c r="O285" s="36"/>
      <c r="P285" s="36"/>
    </row>
    <row r="286" spans="3:16" ht="13" x14ac:dyDescent="0.6">
      <c r="C286" s="36"/>
      <c r="D286" s="36"/>
      <c r="E286" s="36"/>
      <c r="F286" s="36"/>
      <c r="G286" s="36"/>
      <c r="H286" s="36"/>
      <c r="I286" s="36"/>
      <c r="J286" s="36"/>
      <c r="K286" s="36"/>
      <c r="L286" s="36"/>
      <c r="M286" s="36"/>
      <c r="N286" s="36"/>
      <c r="O286" s="36"/>
      <c r="P286" s="36"/>
    </row>
    <row r="287" spans="3:16" ht="13" x14ac:dyDescent="0.6">
      <c r="C287" s="36"/>
      <c r="D287" s="36"/>
      <c r="E287" s="36"/>
      <c r="F287" s="36"/>
      <c r="G287" s="36"/>
      <c r="H287" s="36"/>
      <c r="I287" s="36"/>
      <c r="J287" s="36"/>
      <c r="K287" s="36"/>
      <c r="L287" s="36"/>
      <c r="M287" s="36"/>
      <c r="N287" s="36"/>
      <c r="O287" s="36"/>
      <c r="P287" s="36"/>
    </row>
    <row r="288" spans="3:16" ht="13" x14ac:dyDescent="0.6">
      <c r="C288" s="36"/>
      <c r="D288" s="36"/>
      <c r="E288" s="36"/>
      <c r="F288" s="36"/>
      <c r="G288" s="36"/>
      <c r="H288" s="36"/>
      <c r="I288" s="36"/>
      <c r="J288" s="36"/>
      <c r="K288" s="36"/>
      <c r="L288" s="36"/>
      <c r="M288" s="36"/>
      <c r="N288" s="36"/>
      <c r="O288" s="36"/>
      <c r="P288" s="36"/>
    </row>
    <row r="289" spans="3:16" ht="13" x14ac:dyDescent="0.6">
      <c r="C289" s="36"/>
      <c r="D289" s="36"/>
      <c r="E289" s="36"/>
      <c r="F289" s="36"/>
      <c r="G289" s="36"/>
      <c r="H289" s="36"/>
      <c r="I289" s="36"/>
      <c r="J289" s="36"/>
      <c r="K289" s="36"/>
      <c r="L289" s="36"/>
      <c r="M289" s="36"/>
      <c r="N289" s="36"/>
      <c r="O289" s="36"/>
      <c r="P289" s="36"/>
    </row>
    <row r="290" spans="3:16" ht="13" x14ac:dyDescent="0.6">
      <c r="C290" s="36"/>
      <c r="D290" s="36"/>
      <c r="E290" s="36"/>
      <c r="F290" s="36"/>
      <c r="G290" s="36"/>
      <c r="H290" s="36"/>
      <c r="I290" s="36"/>
      <c r="J290" s="36"/>
      <c r="K290" s="36"/>
      <c r="L290" s="36"/>
      <c r="M290" s="36"/>
      <c r="N290" s="36"/>
      <c r="O290" s="36"/>
      <c r="P290" s="36"/>
    </row>
    <row r="291" spans="3:16" ht="13" x14ac:dyDescent="0.6">
      <c r="C291" s="36"/>
      <c r="D291" s="36"/>
      <c r="E291" s="36"/>
      <c r="F291" s="36"/>
      <c r="G291" s="36"/>
      <c r="H291" s="36"/>
      <c r="I291" s="36"/>
      <c r="J291" s="36"/>
      <c r="K291" s="36"/>
      <c r="L291" s="36"/>
      <c r="M291" s="36"/>
      <c r="N291" s="36"/>
      <c r="O291" s="36"/>
      <c r="P291" s="36"/>
    </row>
    <row r="292" spans="3:16" ht="13" x14ac:dyDescent="0.6">
      <c r="C292" s="36"/>
      <c r="D292" s="36"/>
      <c r="E292" s="36"/>
      <c r="F292" s="36"/>
      <c r="G292" s="36"/>
      <c r="H292" s="36"/>
      <c r="I292" s="36"/>
      <c r="J292" s="36"/>
      <c r="K292" s="36"/>
      <c r="L292" s="36"/>
      <c r="M292" s="36"/>
      <c r="N292" s="36"/>
      <c r="O292" s="36"/>
      <c r="P292" s="36"/>
    </row>
    <row r="293" spans="3:16" ht="13" x14ac:dyDescent="0.6">
      <c r="C293" s="36"/>
      <c r="D293" s="36"/>
      <c r="E293" s="36"/>
      <c r="F293" s="36"/>
      <c r="G293" s="36"/>
      <c r="H293" s="36"/>
      <c r="I293" s="36"/>
      <c r="J293" s="36"/>
      <c r="K293" s="36"/>
      <c r="L293" s="36"/>
      <c r="M293" s="36"/>
      <c r="N293" s="36"/>
      <c r="O293" s="36"/>
      <c r="P293" s="36"/>
    </row>
    <row r="294" spans="3:16" ht="13" x14ac:dyDescent="0.6">
      <c r="C294" s="36"/>
      <c r="D294" s="36"/>
      <c r="E294" s="36"/>
      <c r="F294" s="36"/>
      <c r="G294" s="36"/>
      <c r="H294" s="36"/>
      <c r="I294" s="36"/>
      <c r="J294" s="36"/>
      <c r="K294" s="36"/>
      <c r="L294" s="36"/>
      <c r="M294" s="36"/>
      <c r="N294" s="36"/>
      <c r="O294" s="36"/>
      <c r="P294" s="36"/>
    </row>
    <row r="295" spans="3:16" ht="13" x14ac:dyDescent="0.6">
      <c r="C295" s="36"/>
      <c r="D295" s="36"/>
      <c r="E295" s="36"/>
      <c r="F295" s="36"/>
      <c r="G295" s="36"/>
      <c r="H295" s="36"/>
      <c r="I295" s="36"/>
      <c r="J295" s="36"/>
      <c r="K295" s="36"/>
      <c r="L295" s="36"/>
      <c r="M295" s="36"/>
      <c r="N295" s="36"/>
      <c r="O295" s="36"/>
      <c r="P295" s="36"/>
    </row>
    <row r="296" spans="3:16" ht="13" x14ac:dyDescent="0.6">
      <c r="C296" s="36"/>
      <c r="D296" s="36"/>
      <c r="E296" s="36"/>
      <c r="F296" s="36"/>
      <c r="G296" s="36"/>
      <c r="H296" s="36"/>
      <c r="I296" s="36"/>
      <c r="J296" s="36"/>
      <c r="K296" s="36"/>
      <c r="L296" s="36"/>
      <c r="M296" s="36"/>
      <c r="N296" s="36"/>
      <c r="O296" s="36"/>
      <c r="P296" s="36"/>
    </row>
    <row r="297" spans="3:16" ht="13" x14ac:dyDescent="0.6">
      <c r="C297" s="36"/>
      <c r="D297" s="36"/>
      <c r="E297" s="36"/>
      <c r="F297" s="36"/>
      <c r="G297" s="36"/>
      <c r="H297" s="36"/>
      <c r="I297" s="36"/>
      <c r="J297" s="36"/>
      <c r="K297" s="36"/>
      <c r="L297" s="36"/>
      <c r="M297" s="36"/>
      <c r="N297" s="36"/>
      <c r="O297" s="36"/>
      <c r="P297" s="36"/>
    </row>
    <row r="298" spans="3:16" ht="13" x14ac:dyDescent="0.6">
      <c r="C298" s="36"/>
      <c r="D298" s="36"/>
      <c r="E298" s="36"/>
      <c r="F298" s="36"/>
      <c r="G298" s="36"/>
      <c r="H298" s="36"/>
      <c r="I298" s="36"/>
      <c r="J298" s="36"/>
      <c r="K298" s="36"/>
      <c r="L298" s="36"/>
      <c r="M298" s="36"/>
      <c r="N298" s="36"/>
      <c r="O298" s="36"/>
      <c r="P298" s="36"/>
    </row>
    <row r="299" spans="3:16" ht="13" x14ac:dyDescent="0.6">
      <c r="C299" s="36"/>
      <c r="D299" s="36"/>
      <c r="E299" s="36"/>
      <c r="F299" s="36"/>
      <c r="G299" s="36"/>
      <c r="H299" s="36"/>
      <c r="I299" s="36"/>
      <c r="J299" s="36"/>
      <c r="K299" s="36"/>
      <c r="L299" s="36"/>
      <c r="M299" s="36"/>
      <c r="N299" s="36"/>
      <c r="O299" s="36"/>
      <c r="P299" s="36"/>
    </row>
    <row r="300" spans="3:16" ht="13" x14ac:dyDescent="0.6">
      <c r="C300" s="36"/>
      <c r="D300" s="36"/>
      <c r="E300" s="36"/>
      <c r="F300" s="36"/>
      <c r="G300" s="36"/>
      <c r="H300" s="36"/>
      <c r="I300" s="36"/>
      <c r="J300" s="36"/>
      <c r="K300" s="36"/>
      <c r="L300" s="36"/>
      <c r="M300" s="36"/>
      <c r="N300" s="36"/>
      <c r="O300" s="36"/>
      <c r="P300" s="36"/>
    </row>
    <row r="301" spans="3:16" ht="13" x14ac:dyDescent="0.6">
      <c r="C301" s="36"/>
      <c r="D301" s="36"/>
      <c r="E301" s="36"/>
      <c r="F301" s="36"/>
      <c r="G301" s="36"/>
      <c r="H301" s="36"/>
      <c r="I301" s="36"/>
      <c r="J301" s="36"/>
      <c r="K301" s="36"/>
      <c r="L301" s="36"/>
      <c r="M301" s="36"/>
      <c r="N301" s="36"/>
      <c r="O301" s="36"/>
      <c r="P301" s="36"/>
    </row>
    <row r="302" spans="3:16" ht="13" x14ac:dyDescent="0.6">
      <c r="C302" s="36"/>
      <c r="D302" s="36"/>
      <c r="E302" s="36"/>
      <c r="F302" s="36"/>
      <c r="G302" s="36"/>
      <c r="H302" s="36"/>
      <c r="I302" s="36"/>
      <c r="J302" s="36"/>
      <c r="K302" s="36"/>
      <c r="L302" s="36"/>
      <c r="M302" s="36"/>
      <c r="N302" s="36"/>
      <c r="O302" s="36"/>
      <c r="P302" s="36"/>
    </row>
    <row r="303" spans="3:16" ht="13" x14ac:dyDescent="0.6">
      <c r="C303" s="36"/>
      <c r="D303" s="36"/>
      <c r="E303" s="36"/>
      <c r="F303" s="36"/>
      <c r="G303" s="36"/>
      <c r="H303" s="36"/>
      <c r="I303" s="36"/>
      <c r="J303" s="36"/>
      <c r="K303" s="36"/>
      <c r="L303" s="36"/>
      <c r="M303" s="36"/>
      <c r="N303" s="36"/>
      <c r="O303" s="36"/>
      <c r="P303" s="36"/>
    </row>
    <row r="304" spans="3:16" ht="13" x14ac:dyDescent="0.6">
      <c r="C304" s="36"/>
      <c r="D304" s="36"/>
      <c r="E304" s="36"/>
      <c r="F304" s="36"/>
      <c r="G304" s="36"/>
      <c r="H304" s="36"/>
      <c r="I304" s="36"/>
      <c r="J304" s="36"/>
      <c r="K304" s="36"/>
      <c r="L304" s="36"/>
      <c r="M304" s="36"/>
      <c r="N304" s="36"/>
      <c r="O304" s="36"/>
      <c r="P304" s="36"/>
    </row>
    <row r="305" spans="3:16" ht="13" x14ac:dyDescent="0.6">
      <c r="C305" s="36"/>
      <c r="D305" s="36"/>
      <c r="E305" s="36"/>
      <c r="F305" s="36"/>
      <c r="G305" s="36"/>
      <c r="H305" s="36"/>
      <c r="I305" s="36"/>
      <c r="J305" s="36"/>
      <c r="K305" s="36"/>
      <c r="L305" s="36"/>
      <c r="M305" s="36"/>
      <c r="N305" s="36"/>
      <c r="O305" s="36"/>
      <c r="P305" s="36"/>
    </row>
    <row r="306" spans="3:16" ht="13" x14ac:dyDescent="0.6">
      <c r="C306" s="36"/>
      <c r="D306" s="36"/>
      <c r="E306" s="36"/>
      <c r="F306" s="36"/>
      <c r="G306" s="36"/>
      <c r="H306" s="36"/>
      <c r="I306" s="36"/>
      <c r="J306" s="36"/>
      <c r="K306" s="36"/>
      <c r="L306" s="36"/>
      <c r="M306" s="36"/>
      <c r="N306" s="36"/>
      <c r="O306" s="36"/>
      <c r="P306" s="36"/>
    </row>
    <row r="307" spans="3:16" ht="13" x14ac:dyDescent="0.6">
      <c r="C307" s="36"/>
      <c r="D307" s="36"/>
      <c r="E307" s="36"/>
      <c r="F307" s="36"/>
      <c r="G307" s="36"/>
      <c r="H307" s="36"/>
      <c r="I307" s="36"/>
      <c r="J307" s="36"/>
      <c r="K307" s="36"/>
      <c r="L307" s="36"/>
      <c r="M307" s="36"/>
      <c r="N307" s="36"/>
      <c r="O307" s="36"/>
      <c r="P307" s="36"/>
    </row>
    <row r="308" spans="3:16" ht="13" x14ac:dyDescent="0.6">
      <c r="C308" s="36"/>
      <c r="D308" s="36"/>
      <c r="E308" s="36"/>
      <c r="F308" s="36"/>
      <c r="G308" s="36"/>
      <c r="H308" s="36"/>
      <c r="I308" s="36"/>
      <c r="J308" s="36"/>
      <c r="K308" s="36"/>
      <c r="L308" s="36"/>
      <c r="M308" s="36"/>
      <c r="N308" s="36"/>
      <c r="O308" s="36"/>
      <c r="P308" s="36"/>
    </row>
    <row r="309" spans="3:16" ht="13" x14ac:dyDescent="0.6">
      <c r="C309" s="36"/>
      <c r="D309" s="36"/>
      <c r="E309" s="36"/>
      <c r="F309" s="36"/>
      <c r="G309" s="36"/>
      <c r="H309" s="36"/>
      <c r="I309" s="36"/>
      <c r="J309" s="36"/>
      <c r="K309" s="36"/>
      <c r="L309" s="36"/>
      <c r="M309" s="36"/>
      <c r="N309" s="36"/>
      <c r="O309" s="36"/>
      <c r="P309" s="36"/>
    </row>
    <row r="310" spans="3:16" ht="13" x14ac:dyDescent="0.6">
      <c r="C310" s="36"/>
      <c r="D310" s="36"/>
      <c r="E310" s="36"/>
      <c r="F310" s="36"/>
      <c r="G310" s="36"/>
      <c r="H310" s="36"/>
      <c r="I310" s="36"/>
      <c r="J310" s="36"/>
      <c r="K310" s="36"/>
      <c r="L310" s="36"/>
      <c r="M310" s="36"/>
      <c r="N310" s="36"/>
      <c r="O310" s="36"/>
      <c r="P310" s="36"/>
    </row>
    <row r="311" spans="3:16" ht="13" x14ac:dyDescent="0.6">
      <c r="C311" s="36"/>
      <c r="D311" s="36"/>
      <c r="E311" s="36"/>
      <c r="F311" s="36"/>
      <c r="G311" s="36"/>
      <c r="H311" s="36"/>
      <c r="I311" s="36"/>
      <c r="J311" s="36"/>
      <c r="K311" s="36"/>
      <c r="L311" s="36"/>
      <c r="M311" s="36"/>
      <c r="N311" s="36"/>
      <c r="O311" s="36"/>
      <c r="P311" s="36"/>
    </row>
    <row r="312" spans="3:16" ht="13" x14ac:dyDescent="0.6">
      <c r="C312" s="36"/>
      <c r="D312" s="36"/>
      <c r="E312" s="36"/>
      <c r="F312" s="36"/>
      <c r="G312" s="36"/>
      <c r="H312" s="36"/>
      <c r="I312" s="36"/>
      <c r="J312" s="36"/>
      <c r="K312" s="36"/>
      <c r="L312" s="36"/>
      <c r="M312" s="36"/>
      <c r="N312" s="36"/>
      <c r="O312" s="36"/>
      <c r="P312" s="36"/>
    </row>
    <row r="313" spans="3:16" ht="13" x14ac:dyDescent="0.6">
      <c r="C313" s="36"/>
      <c r="D313" s="36"/>
      <c r="E313" s="36"/>
      <c r="F313" s="36"/>
      <c r="G313" s="36"/>
      <c r="H313" s="36"/>
      <c r="I313" s="36"/>
      <c r="J313" s="36"/>
      <c r="K313" s="36"/>
      <c r="L313" s="36"/>
      <c r="M313" s="36"/>
      <c r="N313" s="36"/>
      <c r="O313" s="36"/>
      <c r="P313" s="36"/>
    </row>
    <row r="314" spans="3:16" ht="13" x14ac:dyDescent="0.6">
      <c r="C314" s="36"/>
      <c r="D314" s="36"/>
      <c r="E314" s="36"/>
      <c r="F314" s="36"/>
      <c r="G314" s="36"/>
      <c r="H314" s="36"/>
      <c r="I314" s="36"/>
      <c r="J314" s="36"/>
      <c r="K314" s="36"/>
      <c r="L314" s="36"/>
      <c r="M314" s="36"/>
      <c r="N314" s="36"/>
      <c r="O314" s="36"/>
      <c r="P314" s="36"/>
    </row>
    <row r="315" spans="3:16" ht="13" x14ac:dyDescent="0.6">
      <c r="C315" s="36"/>
      <c r="D315" s="36"/>
      <c r="E315" s="36"/>
      <c r="F315" s="36"/>
      <c r="G315" s="36"/>
      <c r="H315" s="36"/>
      <c r="I315" s="36"/>
      <c r="J315" s="36"/>
      <c r="K315" s="36"/>
      <c r="L315" s="36"/>
      <c r="M315" s="36"/>
      <c r="N315" s="36"/>
      <c r="O315" s="36"/>
      <c r="P315" s="36"/>
    </row>
    <row r="316" spans="3:16" ht="13" x14ac:dyDescent="0.6">
      <c r="C316" s="36"/>
      <c r="D316" s="36"/>
      <c r="E316" s="36"/>
      <c r="F316" s="36"/>
      <c r="G316" s="36"/>
      <c r="H316" s="36"/>
      <c r="I316" s="36"/>
      <c r="J316" s="36"/>
      <c r="K316" s="36"/>
      <c r="L316" s="36"/>
      <c r="M316" s="36"/>
      <c r="N316" s="36"/>
      <c r="O316" s="36"/>
      <c r="P316" s="36"/>
    </row>
    <row r="317" spans="3:16" ht="13" x14ac:dyDescent="0.6">
      <c r="C317" s="36"/>
      <c r="D317" s="36"/>
      <c r="E317" s="36"/>
      <c r="F317" s="36"/>
      <c r="G317" s="36"/>
      <c r="H317" s="36"/>
      <c r="I317" s="36"/>
      <c r="J317" s="36"/>
      <c r="K317" s="36"/>
      <c r="L317" s="36"/>
      <c r="M317" s="36"/>
      <c r="N317" s="36"/>
      <c r="O317" s="36"/>
      <c r="P317" s="36"/>
    </row>
    <row r="318" spans="3:16" ht="13" x14ac:dyDescent="0.6">
      <c r="C318" s="36"/>
      <c r="D318" s="36"/>
      <c r="E318" s="36"/>
      <c r="F318" s="36"/>
      <c r="G318" s="36"/>
      <c r="H318" s="36"/>
      <c r="I318" s="36"/>
      <c r="J318" s="36"/>
      <c r="K318" s="36"/>
      <c r="L318" s="36"/>
      <c r="M318" s="36"/>
      <c r="N318" s="36"/>
      <c r="O318" s="36"/>
      <c r="P318" s="36"/>
    </row>
    <row r="319" spans="3:16" ht="13" x14ac:dyDescent="0.6">
      <c r="C319" s="36"/>
      <c r="D319" s="36"/>
      <c r="E319" s="36"/>
      <c r="F319" s="36"/>
      <c r="G319" s="36"/>
      <c r="H319" s="36"/>
      <c r="I319" s="36"/>
      <c r="J319" s="36"/>
      <c r="K319" s="36"/>
      <c r="L319" s="36"/>
      <c r="M319" s="36"/>
      <c r="N319" s="36"/>
      <c r="O319" s="36"/>
      <c r="P319" s="36"/>
    </row>
    <row r="320" spans="3:16" ht="13" x14ac:dyDescent="0.6">
      <c r="C320" s="36"/>
      <c r="D320" s="36"/>
      <c r="E320" s="36"/>
      <c r="F320" s="36"/>
      <c r="G320" s="36"/>
      <c r="H320" s="36"/>
      <c r="I320" s="36"/>
      <c r="J320" s="36"/>
      <c r="K320" s="36"/>
      <c r="L320" s="36"/>
      <c r="M320" s="36"/>
      <c r="N320" s="36"/>
      <c r="O320" s="36"/>
      <c r="P320" s="36"/>
    </row>
    <row r="321" spans="3:16" ht="13" x14ac:dyDescent="0.6">
      <c r="C321" s="36"/>
      <c r="D321" s="36"/>
      <c r="E321" s="36"/>
      <c r="F321" s="36"/>
      <c r="G321" s="36"/>
      <c r="H321" s="36"/>
      <c r="I321" s="36"/>
      <c r="J321" s="36"/>
      <c r="K321" s="36"/>
      <c r="L321" s="36"/>
      <c r="M321" s="36"/>
      <c r="N321" s="36"/>
      <c r="O321" s="36"/>
      <c r="P321" s="36"/>
    </row>
    <row r="322" spans="3:16" ht="13" x14ac:dyDescent="0.6">
      <c r="C322" s="36"/>
      <c r="D322" s="36"/>
      <c r="E322" s="36"/>
      <c r="F322" s="36"/>
      <c r="G322" s="36"/>
      <c r="H322" s="36"/>
      <c r="I322" s="36"/>
      <c r="J322" s="36"/>
      <c r="K322" s="36"/>
      <c r="L322" s="36"/>
      <c r="M322" s="36"/>
      <c r="N322" s="36"/>
      <c r="O322" s="36"/>
      <c r="P322" s="36"/>
    </row>
    <row r="323" spans="3:16" ht="13" x14ac:dyDescent="0.6">
      <c r="C323" s="36"/>
      <c r="D323" s="36"/>
      <c r="E323" s="36"/>
      <c r="F323" s="36"/>
      <c r="G323" s="36"/>
      <c r="H323" s="36"/>
      <c r="I323" s="36"/>
      <c r="J323" s="36"/>
      <c r="K323" s="36"/>
      <c r="L323" s="36"/>
      <c r="M323" s="36"/>
      <c r="N323" s="36"/>
      <c r="O323" s="36"/>
      <c r="P323" s="36"/>
    </row>
    <row r="324" spans="3:16" ht="13" x14ac:dyDescent="0.6">
      <c r="C324" s="36"/>
      <c r="D324" s="36"/>
      <c r="E324" s="36"/>
      <c r="F324" s="36"/>
      <c r="G324" s="36"/>
      <c r="H324" s="36"/>
      <c r="I324" s="36"/>
      <c r="J324" s="36"/>
      <c r="K324" s="36"/>
      <c r="L324" s="36"/>
      <c r="M324" s="36"/>
      <c r="N324" s="36"/>
      <c r="O324" s="36"/>
      <c r="P324" s="36"/>
    </row>
    <row r="325" spans="3:16" ht="13" x14ac:dyDescent="0.6">
      <c r="C325" s="36"/>
      <c r="D325" s="36"/>
      <c r="E325" s="36"/>
      <c r="F325" s="36"/>
      <c r="G325" s="36"/>
      <c r="H325" s="36"/>
      <c r="I325" s="36"/>
      <c r="J325" s="36"/>
      <c r="K325" s="36"/>
      <c r="L325" s="36"/>
      <c r="M325" s="36"/>
      <c r="N325" s="36"/>
      <c r="O325" s="36"/>
      <c r="P325" s="36"/>
    </row>
    <row r="326" spans="3:16" ht="13" x14ac:dyDescent="0.6">
      <c r="C326" s="36"/>
      <c r="D326" s="36"/>
      <c r="E326" s="36"/>
      <c r="F326" s="36"/>
      <c r="G326" s="36"/>
      <c r="H326" s="36"/>
      <c r="I326" s="36"/>
      <c r="J326" s="36"/>
      <c r="K326" s="36"/>
      <c r="L326" s="36"/>
      <c r="M326" s="36"/>
      <c r="N326" s="36"/>
      <c r="O326" s="36"/>
      <c r="P326" s="36"/>
    </row>
    <row r="327" spans="3:16" ht="13" x14ac:dyDescent="0.6">
      <c r="C327" s="36"/>
      <c r="D327" s="36"/>
      <c r="E327" s="36"/>
      <c r="F327" s="36"/>
      <c r="G327" s="36"/>
      <c r="H327" s="36"/>
      <c r="I327" s="36"/>
      <c r="J327" s="36"/>
      <c r="K327" s="36"/>
      <c r="L327" s="36"/>
      <c r="M327" s="36"/>
      <c r="N327" s="36"/>
      <c r="O327" s="36"/>
      <c r="P327" s="36"/>
    </row>
    <row r="328" spans="3:16" ht="13" x14ac:dyDescent="0.6">
      <c r="C328" s="36"/>
      <c r="D328" s="36"/>
      <c r="E328" s="36"/>
      <c r="F328" s="36"/>
      <c r="G328" s="36"/>
      <c r="H328" s="36"/>
      <c r="I328" s="36"/>
      <c r="J328" s="36"/>
      <c r="K328" s="36"/>
      <c r="L328" s="36"/>
      <c r="M328" s="36"/>
      <c r="N328" s="36"/>
      <c r="O328" s="36"/>
      <c r="P328" s="36"/>
    </row>
    <row r="329" spans="3:16" ht="13" x14ac:dyDescent="0.6">
      <c r="C329" s="36"/>
      <c r="D329" s="36"/>
      <c r="E329" s="36"/>
      <c r="F329" s="36"/>
      <c r="G329" s="36"/>
      <c r="H329" s="36"/>
      <c r="I329" s="36"/>
      <c r="J329" s="36"/>
      <c r="K329" s="36"/>
      <c r="L329" s="36"/>
      <c r="M329" s="36"/>
      <c r="N329" s="36"/>
      <c r="O329" s="36"/>
      <c r="P329" s="36"/>
    </row>
    <row r="330" spans="3:16" ht="13" x14ac:dyDescent="0.6">
      <c r="C330" s="36"/>
      <c r="D330" s="36"/>
      <c r="E330" s="36"/>
      <c r="F330" s="36"/>
      <c r="G330" s="36"/>
      <c r="H330" s="36"/>
      <c r="I330" s="36"/>
      <c r="J330" s="36"/>
      <c r="K330" s="36"/>
      <c r="L330" s="36"/>
      <c r="M330" s="36"/>
      <c r="N330" s="36"/>
      <c r="O330" s="36"/>
      <c r="P330" s="36"/>
    </row>
    <row r="331" spans="3:16" ht="13" x14ac:dyDescent="0.6">
      <c r="C331" s="36"/>
      <c r="D331" s="36"/>
      <c r="E331" s="36"/>
      <c r="F331" s="36"/>
      <c r="G331" s="36"/>
      <c r="H331" s="36"/>
      <c r="I331" s="36"/>
      <c r="J331" s="36"/>
      <c r="K331" s="36"/>
      <c r="L331" s="36"/>
      <c r="M331" s="36"/>
      <c r="N331" s="36"/>
      <c r="O331" s="36"/>
      <c r="P331" s="36"/>
    </row>
    <row r="332" spans="3:16" ht="13" x14ac:dyDescent="0.6">
      <c r="C332" s="36"/>
      <c r="D332" s="36"/>
      <c r="E332" s="36"/>
      <c r="F332" s="36"/>
      <c r="G332" s="36"/>
      <c r="H332" s="36"/>
      <c r="I332" s="36"/>
      <c r="J332" s="36"/>
      <c r="K332" s="36"/>
      <c r="L332" s="36"/>
      <c r="M332" s="36"/>
      <c r="N332" s="36"/>
      <c r="O332" s="36"/>
      <c r="P332" s="36"/>
    </row>
    <row r="333" spans="3:16" ht="13" x14ac:dyDescent="0.6">
      <c r="C333" s="36"/>
      <c r="D333" s="36"/>
      <c r="E333" s="36"/>
      <c r="F333" s="36"/>
      <c r="G333" s="36"/>
      <c r="H333" s="36"/>
      <c r="I333" s="36"/>
      <c r="J333" s="36"/>
      <c r="K333" s="36"/>
      <c r="L333" s="36"/>
      <c r="M333" s="36"/>
      <c r="N333" s="36"/>
      <c r="O333" s="36"/>
      <c r="P333" s="36"/>
    </row>
    <row r="334" spans="3:16" ht="13" x14ac:dyDescent="0.6">
      <c r="C334" s="36"/>
      <c r="D334" s="36"/>
      <c r="E334" s="36"/>
      <c r="F334" s="36"/>
      <c r="G334" s="36"/>
      <c r="H334" s="36"/>
      <c r="I334" s="36"/>
      <c r="J334" s="36"/>
      <c r="K334" s="36"/>
      <c r="L334" s="36"/>
      <c r="M334" s="36"/>
      <c r="N334" s="36"/>
      <c r="O334" s="36"/>
      <c r="P334" s="36"/>
    </row>
    <row r="335" spans="3:16" ht="13" x14ac:dyDescent="0.6">
      <c r="C335" s="36"/>
      <c r="D335" s="36"/>
      <c r="E335" s="36"/>
      <c r="F335" s="36"/>
      <c r="G335" s="36"/>
      <c r="H335" s="36"/>
      <c r="I335" s="36"/>
      <c r="J335" s="36"/>
      <c r="K335" s="36"/>
      <c r="L335" s="36"/>
      <c r="M335" s="36"/>
      <c r="N335" s="36"/>
      <c r="O335" s="36"/>
      <c r="P335" s="36"/>
    </row>
    <row r="336" spans="3:16" ht="13" x14ac:dyDescent="0.6">
      <c r="C336" s="36"/>
      <c r="D336" s="36"/>
      <c r="E336" s="36"/>
      <c r="F336" s="36"/>
      <c r="G336" s="36"/>
      <c r="H336" s="36"/>
      <c r="I336" s="36"/>
      <c r="J336" s="36"/>
      <c r="K336" s="36"/>
      <c r="L336" s="36"/>
      <c r="M336" s="36"/>
      <c r="N336" s="36"/>
      <c r="O336" s="36"/>
      <c r="P336" s="36"/>
    </row>
    <row r="337" spans="3:16" ht="13" x14ac:dyDescent="0.6">
      <c r="C337" s="36"/>
      <c r="D337" s="36"/>
      <c r="E337" s="36"/>
      <c r="F337" s="36"/>
      <c r="G337" s="36"/>
      <c r="H337" s="36"/>
      <c r="I337" s="36"/>
      <c r="J337" s="36"/>
      <c r="K337" s="36"/>
      <c r="L337" s="36"/>
      <c r="M337" s="36"/>
      <c r="N337" s="36"/>
      <c r="O337" s="36"/>
      <c r="P337" s="36"/>
    </row>
    <row r="338" spans="3:16" ht="13" x14ac:dyDescent="0.6">
      <c r="C338" s="36"/>
      <c r="D338" s="36"/>
      <c r="E338" s="36"/>
      <c r="F338" s="36"/>
      <c r="G338" s="36"/>
      <c r="H338" s="36"/>
      <c r="I338" s="36"/>
      <c r="J338" s="36"/>
      <c r="K338" s="36"/>
      <c r="L338" s="36"/>
      <c r="M338" s="36"/>
      <c r="N338" s="36"/>
      <c r="O338" s="36"/>
      <c r="P338" s="36"/>
    </row>
    <row r="339" spans="3:16" ht="13" x14ac:dyDescent="0.6">
      <c r="C339" s="36"/>
      <c r="D339" s="36"/>
      <c r="E339" s="36"/>
      <c r="F339" s="36"/>
      <c r="G339" s="36"/>
      <c r="H339" s="36"/>
      <c r="I339" s="36"/>
      <c r="J339" s="36"/>
      <c r="K339" s="36"/>
      <c r="L339" s="36"/>
      <c r="M339" s="36"/>
      <c r="N339" s="36"/>
      <c r="O339" s="36"/>
      <c r="P339" s="36"/>
    </row>
    <row r="340" spans="3:16" ht="13" x14ac:dyDescent="0.6">
      <c r="C340" s="36"/>
      <c r="D340" s="36"/>
      <c r="E340" s="36"/>
      <c r="F340" s="36"/>
      <c r="G340" s="36"/>
      <c r="H340" s="36"/>
      <c r="I340" s="36"/>
      <c r="J340" s="36"/>
      <c r="K340" s="36"/>
      <c r="L340" s="36"/>
      <c r="M340" s="36"/>
      <c r="N340" s="36"/>
      <c r="O340" s="36"/>
      <c r="P340" s="36"/>
    </row>
    <row r="341" spans="3:16" ht="13" x14ac:dyDescent="0.6">
      <c r="C341" s="36"/>
      <c r="D341" s="36"/>
      <c r="E341" s="36"/>
      <c r="F341" s="36"/>
      <c r="G341" s="36"/>
      <c r="H341" s="36"/>
      <c r="I341" s="36"/>
      <c r="J341" s="36"/>
      <c r="K341" s="36"/>
      <c r="L341" s="36"/>
      <c r="M341" s="36"/>
      <c r="N341" s="36"/>
      <c r="O341" s="36"/>
      <c r="P341" s="36"/>
    </row>
    <row r="342" spans="3:16" ht="13" x14ac:dyDescent="0.6">
      <c r="C342" s="36"/>
      <c r="D342" s="36"/>
      <c r="E342" s="36"/>
      <c r="F342" s="36"/>
      <c r="G342" s="36"/>
      <c r="H342" s="36"/>
      <c r="I342" s="36"/>
      <c r="J342" s="36"/>
      <c r="K342" s="36"/>
      <c r="L342" s="36"/>
      <c r="M342" s="36"/>
      <c r="N342" s="36"/>
      <c r="O342" s="36"/>
      <c r="P342" s="36"/>
    </row>
    <row r="343" spans="3:16" ht="13" x14ac:dyDescent="0.6">
      <c r="C343" s="36"/>
      <c r="D343" s="36"/>
      <c r="E343" s="36"/>
      <c r="F343" s="36"/>
      <c r="G343" s="36"/>
      <c r="H343" s="36"/>
      <c r="I343" s="36"/>
      <c r="J343" s="36"/>
      <c r="K343" s="36"/>
      <c r="L343" s="36"/>
      <c r="M343" s="36"/>
      <c r="N343" s="36"/>
      <c r="O343" s="36"/>
      <c r="P343" s="36"/>
    </row>
    <row r="344" spans="3:16" ht="13" x14ac:dyDescent="0.6">
      <c r="C344" s="36"/>
      <c r="D344" s="36"/>
      <c r="E344" s="36"/>
      <c r="F344" s="36"/>
      <c r="G344" s="36"/>
      <c r="H344" s="36"/>
      <c r="I344" s="36"/>
      <c r="J344" s="36"/>
      <c r="K344" s="36"/>
      <c r="L344" s="36"/>
      <c r="M344" s="36"/>
      <c r="N344" s="36"/>
      <c r="O344" s="36"/>
      <c r="P344" s="36"/>
    </row>
    <row r="345" spans="3:16" ht="13" x14ac:dyDescent="0.6">
      <c r="C345" s="36"/>
      <c r="D345" s="36"/>
      <c r="E345" s="36"/>
      <c r="F345" s="36"/>
      <c r="G345" s="36"/>
      <c r="H345" s="36"/>
      <c r="I345" s="36"/>
      <c r="J345" s="36"/>
      <c r="K345" s="36"/>
      <c r="L345" s="36"/>
      <c r="M345" s="36"/>
      <c r="N345" s="36"/>
      <c r="O345" s="36"/>
      <c r="P345" s="36"/>
    </row>
    <row r="346" spans="3:16" ht="13" x14ac:dyDescent="0.6">
      <c r="C346" s="36"/>
      <c r="D346" s="36"/>
      <c r="E346" s="36"/>
      <c r="F346" s="36"/>
      <c r="G346" s="36"/>
      <c r="H346" s="36"/>
      <c r="I346" s="36"/>
      <c r="J346" s="36"/>
      <c r="K346" s="36"/>
      <c r="L346" s="36"/>
      <c r="M346" s="36"/>
      <c r="N346" s="36"/>
      <c r="O346" s="36"/>
      <c r="P346" s="36"/>
    </row>
    <row r="347" spans="3:16" ht="13" x14ac:dyDescent="0.6">
      <c r="C347" s="36"/>
      <c r="D347" s="36"/>
      <c r="E347" s="36"/>
      <c r="F347" s="36"/>
      <c r="G347" s="36"/>
      <c r="H347" s="36"/>
      <c r="I347" s="36"/>
      <c r="J347" s="36"/>
      <c r="K347" s="36"/>
      <c r="L347" s="36"/>
      <c r="M347" s="36"/>
      <c r="N347" s="36"/>
      <c r="O347" s="36"/>
      <c r="P347" s="36"/>
    </row>
    <row r="348" spans="3:16" ht="13" x14ac:dyDescent="0.6">
      <c r="C348" s="36"/>
      <c r="D348" s="36"/>
      <c r="E348" s="36"/>
      <c r="F348" s="36"/>
      <c r="G348" s="36"/>
      <c r="H348" s="36"/>
      <c r="I348" s="36"/>
      <c r="J348" s="36"/>
      <c r="K348" s="36"/>
      <c r="L348" s="36"/>
      <c r="M348" s="36"/>
      <c r="N348" s="36"/>
      <c r="O348" s="36"/>
      <c r="P348" s="36"/>
    </row>
    <row r="349" spans="3:16" ht="13" x14ac:dyDescent="0.6">
      <c r="C349" s="36"/>
      <c r="D349" s="36"/>
      <c r="E349" s="36"/>
      <c r="F349" s="36"/>
      <c r="G349" s="36"/>
      <c r="H349" s="36"/>
      <c r="I349" s="36"/>
      <c r="J349" s="36"/>
      <c r="K349" s="36"/>
      <c r="L349" s="36"/>
      <c r="M349" s="36"/>
      <c r="N349" s="36"/>
      <c r="O349" s="36"/>
      <c r="P349" s="36"/>
    </row>
    <row r="350" spans="3:16" ht="13" x14ac:dyDescent="0.6">
      <c r="C350" s="36"/>
      <c r="D350" s="36"/>
      <c r="E350" s="36"/>
      <c r="F350" s="36"/>
      <c r="G350" s="36"/>
      <c r="H350" s="36"/>
      <c r="I350" s="36"/>
      <c r="J350" s="36"/>
      <c r="K350" s="36"/>
      <c r="L350" s="36"/>
      <c r="M350" s="36"/>
      <c r="N350" s="36"/>
      <c r="O350" s="36"/>
      <c r="P350" s="36"/>
    </row>
    <row r="351" spans="3:16" ht="13" x14ac:dyDescent="0.6">
      <c r="C351" s="36"/>
      <c r="D351" s="36"/>
      <c r="E351" s="36"/>
      <c r="F351" s="36"/>
      <c r="G351" s="36"/>
      <c r="H351" s="36"/>
      <c r="I351" s="36"/>
      <c r="J351" s="36"/>
      <c r="K351" s="36"/>
      <c r="L351" s="36"/>
      <c r="M351" s="36"/>
      <c r="N351" s="36"/>
      <c r="O351" s="36"/>
      <c r="P351" s="36"/>
    </row>
    <row r="352" spans="3:16" ht="13" x14ac:dyDescent="0.6">
      <c r="C352" s="36"/>
      <c r="D352" s="36"/>
      <c r="E352" s="36"/>
      <c r="F352" s="36"/>
      <c r="G352" s="36"/>
      <c r="H352" s="36"/>
      <c r="I352" s="36"/>
      <c r="J352" s="36"/>
      <c r="K352" s="36"/>
      <c r="L352" s="36"/>
      <c r="M352" s="36"/>
      <c r="N352" s="36"/>
      <c r="O352" s="36"/>
      <c r="P352" s="36"/>
    </row>
    <row r="353" spans="3:16" ht="13" x14ac:dyDescent="0.6">
      <c r="C353" s="36"/>
      <c r="D353" s="36"/>
      <c r="E353" s="36"/>
      <c r="F353" s="36"/>
      <c r="G353" s="36"/>
      <c r="H353" s="36"/>
      <c r="I353" s="36"/>
      <c r="J353" s="36"/>
      <c r="K353" s="36"/>
      <c r="L353" s="36"/>
      <c r="M353" s="36"/>
      <c r="N353" s="36"/>
      <c r="O353" s="36"/>
      <c r="P353" s="36"/>
    </row>
    <row r="354" spans="3:16" ht="13" x14ac:dyDescent="0.6">
      <c r="C354" s="36"/>
      <c r="D354" s="36"/>
      <c r="E354" s="36"/>
      <c r="F354" s="36"/>
      <c r="G354" s="36"/>
      <c r="H354" s="36"/>
      <c r="I354" s="36"/>
      <c r="J354" s="36"/>
      <c r="K354" s="36"/>
      <c r="L354" s="36"/>
      <c r="M354" s="36"/>
      <c r="N354" s="36"/>
      <c r="O354" s="36"/>
      <c r="P354" s="36"/>
    </row>
    <row r="355" spans="3:16" ht="13" x14ac:dyDescent="0.6">
      <c r="C355" s="36"/>
      <c r="D355" s="36"/>
      <c r="E355" s="36"/>
      <c r="F355" s="36"/>
      <c r="G355" s="36"/>
      <c r="H355" s="36"/>
      <c r="I355" s="36"/>
      <c r="J355" s="36"/>
      <c r="K355" s="36"/>
      <c r="L355" s="36"/>
      <c r="M355" s="36"/>
      <c r="N355" s="36"/>
      <c r="O355" s="36"/>
      <c r="P355" s="36"/>
    </row>
    <row r="356" spans="3:16" ht="13" x14ac:dyDescent="0.6">
      <c r="C356" s="36"/>
      <c r="D356" s="36"/>
      <c r="E356" s="36"/>
      <c r="F356" s="36"/>
      <c r="G356" s="36"/>
      <c r="H356" s="36"/>
      <c r="I356" s="36"/>
      <c r="J356" s="36"/>
      <c r="K356" s="36"/>
      <c r="L356" s="36"/>
      <c r="M356" s="36"/>
      <c r="N356" s="36"/>
      <c r="O356" s="36"/>
      <c r="P356" s="36"/>
    </row>
    <row r="357" spans="3:16" ht="13" x14ac:dyDescent="0.6">
      <c r="C357" s="36"/>
      <c r="D357" s="36"/>
      <c r="E357" s="36"/>
      <c r="F357" s="36"/>
      <c r="G357" s="36"/>
      <c r="H357" s="36"/>
      <c r="I357" s="36"/>
      <c r="J357" s="36"/>
      <c r="K357" s="36"/>
      <c r="L357" s="36"/>
      <c r="M357" s="36"/>
      <c r="N357" s="36"/>
      <c r="O357" s="36"/>
      <c r="P357" s="36"/>
    </row>
    <row r="358" spans="3:16" ht="13" x14ac:dyDescent="0.6">
      <c r="C358" s="36"/>
      <c r="D358" s="36"/>
      <c r="E358" s="36"/>
      <c r="F358" s="36"/>
      <c r="G358" s="36"/>
      <c r="H358" s="36"/>
      <c r="I358" s="36"/>
      <c r="J358" s="36"/>
      <c r="K358" s="36"/>
      <c r="L358" s="36"/>
      <c r="M358" s="36"/>
      <c r="N358" s="36"/>
      <c r="O358" s="36"/>
      <c r="P358" s="36"/>
    </row>
    <row r="359" spans="3:16" ht="13" x14ac:dyDescent="0.6">
      <c r="C359" s="36"/>
      <c r="D359" s="36"/>
      <c r="E359" s="36"/>
      <c r="F359" s="36"/>
      <c r="G359" s="36"/>
      <c r="H359" s="36"/>
      <c r="I359" s="36"/>
      <c r="J359" s="36"/>
      <c r="K359" s="36"/>
      <c r="L359" s="36"/>
      <c r="M359" s="36"/>
      <c r="N359" s="36"/>
      <c r="O359" s="36"/>
      <c r="P359" s="36"/>
    </row>
    <row r="360" spans="3:16" ht="13" x14ac:dyDescent="0.6">
      <c r="C360" s="36"/>
      <c r="D360" s="36"/>
      <c r="E360" s="36"/>
      <c r="F360" s="36"/>
      <c r="G360" s="36"/>
      <c r="H360" s="36"/>
      <c r="I360" s="36"/>
      <c r="J360" s="36"/>
      <c r="K360" s="36"/>
      <c r="L360" s="36"/>
      <c r="M360" s="36"/>
      <c r="N360" s="36"/>
      <c r="O360" s="36"/>
      <c r="P360" s="36"/>
    </row>
    <row r="361" spans="3:16" ht="13" x14ac:dyDescent="0.6">
      <c r="C361" s="36"/>
      <c r="D361" s="36"/>
      <c r="E361" s="36"/>
      <c r="F361" s="36"/>
      <c r="G361" s="36"/>
      <c r="H361" s="36"/>
      <c r="I361" s="36"/>
      <c r="J361" s="36"/>
      <c r="K361" s="36"/>
      <c r="L361" s="36"/>
      <c r="M361" s="36"/>
      <c r="N361" s="36"/>
      <c r="O361" s="36"/>
      <c r="P361" s="36"/>
    </row>
    <row r="362" spans="3:16" ht="13" x14ac:dyDescent="0.6">
      <c r="C362" s="36"/>
      <c r="D362" s="36"/>
      <c r="E362" s="36"/>
      <c r="F362" s="36"/>
      <c r="G362" s="36"/>
      <c r="H362" s="36"/>
      <c r="I362" s="36"/>
      <c r="J362" s="36"/>
      <c r="K362" s="36"/>
      <c r="L362" s="36"/>
      <c r="M362" s="36"/>
      <c r="N362" s="36"/>
      <c r="O362" s="36"/>
      <c r="P362" s="36"/>
    </row>
    <row r="363" spans="3:16" ht="13" x14ac:dyDescent="0.6">
      <c r="C363" s="36"/>
      <c r="D363" s="36"/>
      <c r="E363" s="36"/>
      <c r="F363" s="36"/>
      <c r="G363" s="36"/>
      <c r="H363" s="36"/>
      <c r="I363" s="36"/>
      <c r="J363" s="36"/>
      <c r="K363" s="36"/>
      <c r="L363" s="36"/>
      <c r="M363" s="36"/>
      <c r="N363" s="36"/>
      <c r="O363" s="36"/>
      <c r="P363" s="36"/>
    </row>
    <row r="364" spans="3:16" ht="13" x14ac:dyDescent="0.6">
      <c r="C364" s="36"/>
      <c r="D364" s="36"/>
      <c r="E364" s="36"/>
      <c r="F364" s="36"/>
      <c r="G364" s="36"/>
      <c r="H364" s="36"/>
      <c r="I364" s="36"/>
      <c r="J364" s="36"/>
      <c r="K364" s="36"/>
      <c r="L364" s="36"/>
      <c r="M364" s="36"/>
      <c r="N364" s="36"/>
      <c r="O364" s="36"/>
      <c r="P364" s="36"/>
    </row>
    <row r="365" spans="3:16" ht="13" x14ac:dyDescent="0.6">
      <c r="C365" s="36"/>
      <c r="D365" s="36"/>
      <c r="E365" s="36"/>
      <c r="F365" s="36"/>
      <c r="G365" s="36"/>
      <c r="H365" s="36"/>
      <c r="I365" s="36"/>
      <c r="J365" s="36"/>
      <c r="K365" s="36"/>
      <c r="L365" s="36"/>
      <c r="M365" s="36"/>
      <c r="N365" s="36"/>
      <c r="O365" s="36"/>
      <c r="P365" s="36"/>
    </row>
    <row r="366" spans="3:16" ht="13" x14ac:dyDescent="0.6">
      <c r="C366" s="36"/>
      <c r="D366" s="36"/>
      <c r="E366" s="36"/>
      <c r="F366" s="36"/>
      <c r="G366" s="36"/>
      <c r="H366" s="36"/>
      <c r="I366" s="36"/>
      <c r="J366" s="36"/>
      <c r="K366" s="36"/>
      <c r="L366" s="36"/>
      <c r="M366" s="36"/>
      <c r="N366" s="36"/>
      <c r="O366" s="36"/>
      <c r="P366" s="36"/>
    </row>
    <row r="367" spans="3:16" ht="13" x14ac:dyDescent="0.6">
      <c r="C367" s="36"/>
      <c r="D367" s="36"/>
      <c r="E367" s="36"/>
      <c r="F367" s="36"/>
      <c r="G367" s="36"/>
      <c r="H367" s="36"/>
      <c r="I367" s="36"/>
      <c r="J367" s="36"/>
      <c r="K367" s="36"/>
      <c r="L367" s="36"/>
      <c r="M367" s="36"/>
      <c r="N367" s="36"/>
      <c r="O367" s="36"/>
      <c r="P367" s="36"/>
    </row>
    <row r="368" spans="3:16" ht="13" x14ac:dyDescent="0.6">
      <c r="C368" s="36"/>
      <c r="D368" s="36"/>
      <c r="E368" s="36"/>
      <c r="F368" s="36"/>
      <c r="G368" s="36"/>
      <c r="H368" s="36"/>
      <c r="I368" s="36"/>
      <c r="J368" s="36"/>
      <c r="K368" s="36"/>
      <c r="L368" s="36"/>
      <c r="M368" s="36"/>
      <c r="N368" s="36"/>
      <c r="O368" s="36"/>
      <c r="P368" s="36"/>
    </row>
    <row r="369" spans="3:16" ht="13" x14ac:dyDescent="0.6">
      <c r="C369" s="36"/>
      <c r="D369" s="36"/>
      <c r="E369" s="36"/>
      <c r="F369" s="36"/>
      <c r="G369" s="36"/>
      <c r="H369" s="36"/>
      <c r="I369" s="36"/>
      <c r="J369" s="36"/>
      <c r="K369" s="36"/>
      <c r="L369" s="36"/>
      <c r="M369" s="36"/>
      <c r="N369" s="36"/>
      <c r="O369" s="36"/>
      <c r="P369" s="36"/>
    </row>
    <row r="370" spans="3:16" ht="13" x14ac:dyDescent="0.6">
      <c r="C370" s="36"/>
      <c r="D370" s="36"/>
      <c r="E370" s="36"/>
      <c r="F370" s="36"/>
      <c r="G370" s="36"/>
      <c r="H370" s="36"/>
      <c r="I370" s="36"/>
      <c r="J370" s="36"/>
      <c r="K370" s="36"/>
      <c r="L370" s="36"/>
      <c r="M370" s="36"/>
      <c r="N370" s="36"/>
      <c r="O370" s="36"/>
      <c r="P370" s="36"/>
    </row>
    <row r="371" spans="3:16" ht="13" x14ac:dyDescent="0.6">
      <c r="C371" s="36"/>
      <c r="D371" s="36"/>
      <c r="E371" s="36"/>
      <c r="F371" s="36"/>
      <c r="G371" s="36"/>
      <c r="H371" s="36"/>
      <c r="I371" s="36"/>
      <c r="J371" s="36"/>
      <c r="K371" s="36"/>
      <c r="L371" s="36"/>
      <c r="M371" s="36"/>
      <c r="N371" s="36"/>
      <c r="O371" s="36"/>
      <c r="P371" s="36"/>
    </row>
    <row r="372" spans="3:16" ht="13" x14ac:dyDescent="0.6">
      <c r="C372" s="36"/>
      <c r="D372" s="36"/>
      <c r="E372" s="36"/>
      <c r="F372" s="36"/>
      <c r="G372" s="36"/>
      <c r="H372" s="36"/>
      <c r="I372" s="36"/>
      <c r="J372" s="36"/>
      <c r="K372" s="36"/>
      <c r="L372" s="36"/>
      <c r="M372" s="36"/>
      <c r="N372" s="36"/>
      <c r="O372" s="36"/>
      <c r="P372" s="36"/>
    </row>
    <row r="373" spans="3:16" ht="13" x14ac:dyDescent="0.6">
      <c r="C373" s="36"/>
      <c r="D373" s="36"/>
      <c r="E373" s="36"/>
      <c r="F373" s="36"/>
      <c r="G373" s="36"/>
      <c r="H373" s="36"/>
      <c r="I373" s="36"/>
      <c r="J373" s="36"/>
      <c r="K373" s="36"/>
      <c r="L373" s="36"/>
      <c r="M373" s="36"/>
      <c r="N373" s="36"/>
      <c r="O373" s="36"/>
      <c r="P373" s="36"/>
    </row>
    <row r="374" spans="3:16" ht="13" x14ac:dyDescent="0.6">
      <c r="C374" s="36"/>
      <c r="D374" s="36"/>
      <c r="E374" s="36"/>
      <c r="F374" s="36"/>
      <c r="G374" s="36"/>
      <c r="H374" s="36"/>
      <c r="I374" s="36"/>
      <c r="J374" s="36"/>
      <c r="K374" s="36"/>
      <c r="L374" s="36"/>
      <c r="M374" s="36"/>
      <c r="N374" s="36"/>
      <c r="O374" s="36"/>
      <c r="P374" s="36"/>
    </row>
    <row r="375" spans="3:16" ht="13" x14ac:dyDescent="0.6">
      <c r="C375" s="36"/>
      <c r="D375" s="36"/>
      <c r="E375" s="36"/>
      <c r="F375" s="36"/>
      <c r="G375" s="36"/>
      <c r="H375" s="36"/>
      <c r="I375" s="36"/>
      <c r="J375" s="36"/>
      <c r="K375" s="36"/>
      <c r="L375" s="36"/>
      <c r="M375" s="36"/>
      <c r="N375" s="36"/>
      <c r="O375" s="36"/>
      <c r="P375" s="36"/>
    </row>
    <row r="376" spans="3:16" ht="13" x14ac:dyDescent="0.6">
      <c r="C376" s="36"/>
      <c r="D376" s="36"/>
      <c r="E376" s="36"/>
      <c r="F376" s="36"/>
      <c r="G376" s="36"/>
      <c r="H376" s="36"/>
      <c r="I376" s="36"/>
      <c r="J376" s="36"/>
      <c r="K376" s="36"/>
      <c r="L376" s="36"/>
      <c r="M376" s="36"/>
      <c r="N376" s="36"/>
      <c r="O376" s="36"/>
      <c r="P376" s="36"/>
    </row>
    <row r="377" spans="3:16" ht="13" x14ac:dyDescent="0.6">
      <c r="C377" s="36"/>
      <c r="D377" s="36"/>
      <c r="E377" s="36"/>
      <c r="F377" s="36"/>
      <c r="G377" s="36"/>
      <c r="H377" s="36"/>
      <c r="I377" s="36"/>
      <c r="J377" s="36"/>
      <c r="K377" s="36"/>
      <c r="L377" s="36"/>
      <c r="M377" s="36"/>
      <c r="N377" s="36"/>
      <c r="O377" s="36"/>
      <c r="P377" s="36"/>
    </row>
    <row r="378" spans="3:16" ht="13" x14ac:dyDescent="0.6">
      <c r="C378" s="36"/>
      <c r="D378" s="36"/>
      <c r="E378" s="36"/>
      <c r="F378" s="36"/>
      <c r="G378" s="36"/>
      <c r="H378" s="36"/>
      <c r="I378" s="36"/>
      <c r="J378" s="36"/>
      <c r="K378" s="36"/>
      <c r="L378" s="36"/>
      <c r="M378" s="36"/>
      <c r="N378" s="36"/>
      <c r="O378" s="36"/>
      <c r="P378" s="36"/>
    </row>
    <row r="379" spans="3:16" ht="13" x14ac:dyDescent="0.6">
      <c r="C379" s="36"/>
      <c r="D379" s="36"/>
      <c r="E379" s="36"/>
      <c r="F379" s="36"/>
      <c r="G379" s="36"/>
      <c r="H379" s="36"/>
      <c r="I379" s="36"/>
      <c r="J379" s="36"/>
      <c r="K379" s="36"/>
      <c r="L379" s="36"/>
      <c r="M379" s="36"/>
      <c r="N379" s="36"/>
      <c r="O379" s="36"/>
      <c r="P379" s="36"/>
    </row>
    <row r="380" spans="3:16" ht="13" x14ac:dyDescent="0.6">
      <c r="C380" s="36"/>
      <c r="D380" s="36"/>
      <c r="E380" s="36"/>
      <c r="F380" s="36"/>
      <c r="G380" s="36"/>
      <c r="H380" s="36"/>
      <c r="I380" s="36"/>
      <c r="J380" s="36"/>
      <c r="K380" s="36"/>
      <c r="L380" s="36"/>
      <c r="M380" s="36"/>
      <c r="N380" s="36"/>
      <c r="O380" s="36"/>
      <c r="P380" s="36"/>
    </row>
    <row r="381" spans="3:16" ht="13" x14ac:dyDescent="0.6">
      <c r="C381" s="36"/>
      <c r="D381" s="36"/>
      <c r="E381" s="36"/>
      <c r="F381" s="36"/>
      <c r="G381" s="36"/>
      <c r="H381" s="36"/>
      <c r="I381" s="36"/>
      <c r="J381" s="36"/>
      <c r="K381" s="36"/>
      <c r="L381" s="36"/>
      <c r="M381" s="36"/>
      <c r="N381" s="36"/>
      <c r="O381" s="36"/>
      <c r="P381" s="36"/>
    </row>
    <row r="382" spans="3:16" ht="13" x14ac:dyDescent="0.6">
      <c r="C382" s="36"/>
      <c r="D382" s="36"/>
      <c r="E382" s="36"/>
      <c r="F382" s="36"/>
      <c r="G382" s="36"/>
      <c r="H382" s="36"/>
      <c r="I382" s="36"/>
      <c r="J382" s="36"/>
      <c r="K382" s="36"/>
      <c r="L382" s="36"/>
      <c r="M382" s="36"/>
      <c r="N382" s="36"/>
      <c r="O382" s="36"/>
      <c r="P382" s="36"/>
    </row>
    <row r="383" spans="3:16" ht="13" x14ac:dyDescent="0.6">
      <c r="C383" s="36"/>
      <c r="D383" s="36"/>
      <c r="E383" s="36"/>
      <c r="F383" s="36"/>
      <c r="G383" s="36"/>
      <c r="H383" s="36"/>
      <c r="I383" s="36"/>
      <c r="J383" s="36"/>
      <c r="K383" s="36"/>
      <c r="L383" s="36"/>
      <c r="M383" s="36"/>
      <c r="N383" s="36"/>
      <c r="O383" s="36"/>
      <c r="P383" s="36"/>
    </row>
    <row r="384" spans="3:16" ht="13" x14ac:dyDescent="0.6">
      <c r="C384" s="36"/>
      <c r="D384" s="36"/>
      <c r="E384" s="36"/>
      <c r="F384" s="36"/>
      <c r="G384" s="36"/>
      <c r="H384" s="36"/>
      <c r="I384" s="36"/>
      <c r="J384" s="36"/>
      <c r="K384" s="36"/>
      <c r="L384" s="36"/>
      <c r="M384" s="36"/>
      <c r="N384" s="36"/>
      <c r="O384" s="36"/>
      <c r="P384" s="36"/>
    </row>
    <row r="385" spans="3:16" ht="13" x14ac:dyDescent="0.6">
      <c r="C385" s="36"/>
      <c r="D385" s="36"/>
      <c r="E385" s="36"/>
      <c r="F385" s="36"/>
      <c r="G385" s="36"/>
      <c r="H385" s="36"/>
      <c r="I385" s="36"/>
      <c r="J385" s="36"/>
      <c r="K385" s="36"/>
      <c r="L385" s="36"/>
      <c r="M385" s="36"/>
      <c r="N385" s="36"/>
      <c r="O385" s="36"/>
      <c r="P385" s="36"/>
    </row>
    <row r="386" spans="3:16" ht="13" x14ac:dyDescent="0.6">
      <c r="C386" s="36"/>
      <c r="D386" s="36"/>
      <c r="E386" s="36"/>
      <c r="F386" s="36"/>
      <c r="G386" s="36"/>
      <c r="H386" s="36"/>
      <c r="I386" s="36"/>
      <c r="J386" s="36"/>
      <c r="K386" s="36"/>
      <c r="L386" s="36"/>
      <c r="M386" s="36"/>
      <c r="N386" s="36"/>
      <c r="O386" s="36"/>
      <c r="P386" s="36"/>
    </row>
    <row r="387" spans="3:16" ht="13" x14ac:dyDescent="0.6">
      <c r="C387" s="36"/>
      <c r="D387" s="36"/>
      <c r="E387" s="36"/>
      <c r="F387" s="36"/>
      <c r="G387" s="36"/>
      <c r="H387" s="36"/>
      <c r="I387" s="36"/>
      <c r="J387" s="36"/>
      <c r="K387" s="36"/>
      <c r="L387" s="36"/>
      <c r="M387" s="36"/>
      <c r="N387" s="36"/>
      <c r="O387" s="36"/>
      <c r="P387" s="36"/>
    </row>
    <row r="388" spans="3:16" ht="13" x14ac:dyDescent="0.6">
      <c r="C388" s="36"/>
      <c r="D388" s="36"/>
      <c r="E388" s="36"/>
      <c r="F388" s="36"/>
      <c r="G388" s="36"/>
      <c r="H388" s="36"/>
      <c r="I388" s="36"/>
      <c r="J388" s="36"/>
      <c r="K388" s="36"/>
      <c r="L388" s="36"/>
      <c r="M388" s="36"/>
      <c r="N388" s="36"/>
      <c r="O388" s="36"/>
      <c r="P388" s="36"/>
    </row>
    <row r="389" spans="3:16" ht="13" x14ac:dyDescent="0.6">
      <c r="C389" s="36"/>
      <c r="D389" s="36"/>
      <c r="E389" s="36"/>
      <c r="F389" s="36"/>
      <c r="G389" s="36"/>
      <c r="H389" s="36"/>
      <c r="I389" s="36"/>
      <c r="J389" s="36"/>
      <c r="K389" s="36"/>
      <c r="L389" s="36"/>
      <c r="M389" s="36"/>
      <c r="N389" s="36"/>
      <c r="O389" s="36"/>
      <c r="P389" s="36"/>
    </row>
    <row r="390" spans="3:16" ht="13" x14ac:dyDescent="0.6">
      <c r="C390" s="36"/>
      <c r="D390" s="36"/>
      <c r="E390" s="36"/>
      <c r="F390" s="36"/>
      <c r="G390" s="36"/>
      <c r="H390" s="36"/>
      <c r="I390" s="36"/>
      <c r="J390" s="36"/>
      <c r="K390" s="36"/>
      <c r="L390" s="36"/>
      <c r="M390" s="36"/>
      <c r="N390" s="36"/>
      <c r="O390" s="36"/>
      <c r="P390" s="36"/>
    </row>
    <row r="391" spans="3:16" ht="13" x14ac:dyDescent="0.6">
      <c r="C391" s="36"/>
      <c r="D391" s="36"/>
      <c r="E391" s="36"/>
      <c r="F391" s="36"/>
      <c r="G391" s="36"/>
      <c r="H391" s="36"/>
      <c r="I391" s="36"/>
      <c r="J391" s="36"/>
      <c r="K391" s="36"/>
      <c r="L391" s="36"/>
      <c r="M391" s="36"/>
      <c r="N391" s="36"/>
      <c r="O391" s="36"/>
      <c r="P391" s="36"/>
    </row>
    <row r="392" spans="3:16" ht="13" x14ac:dyDescent="0.6">
      <c r="C392" s="36"/>
      <c r="D392" s="36"/>
      <c r="E392" s="36"/>
      <c r="F392" s="36"/>
      <c r="G392" s="36"/>
      <c r="H392" s="36"/>
      <c r="I392" s="36"/>
      <c r="J392" s="36"/>
      <c r="K392" s="36"/>
      <c r="L392" s="36"/>
      <c r="M392" s="36"/>
      <c r="N392" s="36"/>
      <c r="O392" s="36"/>
      <c r="P392" s="36"/>
    </row>
    <row r="393" spans="3:16" ht="13" x14ac:dyDescent="0.6">
      <c r="C393" s="36"/>
      <c r="D393" s="36"/>
      <c r="E393" s="36"/>
      <c r="F393" s="36"/>
      <c r="G393" s="36"/>
      <c r="H393" s="36"/>
      <c r="I393" s="36"/>
      <c r="J393" s="36"/>
      <c r="K393" s="36"/>
      <c r="L393" s="36"/>
      <c r="M393" s="36"/>
      <c r="N393" s="36"/>
      <c r="O393" s="36"/>
      <c r="P393" s="36"/>
    </row>
    <row r="394" spans="3:16" ht="13" x14ac:dyDescent="0.6">
      <c r="C394" s="36"/>
      <c r="D394" s="36"/>
      <c r="E394" s="36"/>
      <c r="F394" s="36"/>
      <c r="G394" s="36"/>
      <c r="H394" s="36"/>
      <c r="I394" s="36"/>
      <c r="J394" s="36"/>
      <c r="K394" s="36"/>
      <c r="L394" s="36"/>
      <c r="M394" s="36"/>
      <c r="N394" s="36"/>
      <c r="O394" s="36"/>
      <c r="P394" s="36"/>
    </row>
    <row r="395" spans="3:16" ht="13" x14ac:dyDescent="0.6">
      <c r="C395" s="36"/>
      <c r="D395" s="36"/>
      <c r="E395" s="36"/>
      <c r="F395" s="36"/>
      <c r="G395" s="36"/>
      <c r="H395" s="36"/>
      <c r="I395" s="36"/>
      <c r="J395" s="36"/>
      <c r="K395" s="36"/>
      <c r="L395" s="36"/>
      <c r="M395" s="36"/>
      <c r="N395" s="36"/>
      <c r="O395" s="36"/>
      <c r="P395" s="36"/>
    </row>
    <row r="396" spans="3:16" ht="13" x14ac:dyDescent="0.6">
      <c r="C396" s="36"/>
      <c r="D396" s="36"/>
      <c r="E396" s="36"/>
      <c r="F396" s="36"/>
      <c r="G396" s="36"/>
      <c r="H396" s="36"/>
      <c r="I396" s="36"/>
      <c r="J396" s="36"/>
      <c r="K396" s="36"/>
      <c r="L396" s="36"/>
      <c r="M396" s="36"/>
      <c r="N396" s="36"/>
      <c r="O396" s="36"/>
      <c r="P396" s="36"/>
    </row>
    <row r="397" spans="3:16" ht="13" x14ac:dyDescent="0.6">
      <c r="C397" s="36"/>
      <c r="D397" s="36"/>
      <c r="E397" s="36"/>
      <c r="F397" s="36"/>
      <c r="G397" s="36"/>
      <c r="H397" s="36"/>
      <c r="I397" s="36"/>
      <c r="J397" s="36"/>
      <c r="K397" s="36"/>
      <c r="L397" s="36"/>
      <c r="M397" s="36"/>
      <c r="N397" s="36"/>
      <c r="O397" s="36"/>
      <c r="P397" s="36"/>
    </row>
    <row r="398" spans="3:16" ht="13" x14ac:dyDescent="0.6">
      <c r="C398" s="36"/>
      <c r="D398" s="36"/>
      <c r="E398" s="36"/>
      <c r="F398" s="36"/>
      <c r="G398" s="36"/>
      <c r="H398" s="36"/>
      <c r="I398" s="36"/>
      <c r="J398" s="36"/>
      <c r="K398" s="36"/>
      <c r="L398" s="36"/>
      <c r="M398" s="36"/>
      <c r="N398" s="36"/>
      <c r="O398" s="36"/>
      <c r="P398" s="36"/>
    </row>
    <row r="399" spans="3:16" ht="13" x14ac:dyDescent="0.6">
      <c r="C399" s="36"/>
      <c r="D399" s="36"/>
      <c r="E399" s="36"/>
      <c r="F399" s="36"/>
      <c r="G399" s="36"/>
      <c r="H399" s="36"/>
      <c r="I399" s="36"/>
      <c r="J399" s="36"/>
      <c r="K399" s="36"/>
      <c r="L399" s="36"/>
      <c r="M399" s="36"/>
      <c r="N399" s="36"/>
      <c r="O399" s="36"/>
      <c r="P399" s="36"/>
    </row>
    <row r="400" spans="3:16" ht="13" x14ac:dyDescent="0.6">
      <c r="C400" s="36"/>
      <c r="D400" s="36"/>
      <c r="E400" s="36"/>
      <c r="F400" s="36"/>
      <c r="G400" s="36"/>
      <c r="H400" s="36"/>
      <c r="I400" s="36"/>
      <c r="J400" s="36"/>
      <c r="K400" s="36"/>
      <c r="L400" s="36"/>
      <c r="M400" s="36"/>
      <c r="N400" s="36"/>
      <c r="O400" s="36"/>
      <c r="P400" s="36"/>
    </row>
    <row r="401" spans="3:16" ht="13" x14ac:dyDescent="0.6">
      <c r="C401" s="36"/>
      <c r="D401" s="36"/>
      <c r="E401" s="36"/>
      <c r="F401" s="36"/>
      <c r="G401" s="36"/>
      <c r="H401" s="36"/>
      <c r="I401" s="36"/>
      <c r="J401" s="36"/>
      <c r="K401" s="36"/>
      <c r="L401" s="36"/>
      <c r="M401" s="36"/>
      <c r="N401" s="36"/>
      <c r="O401" s="36"/>
      <c r="P401" s="36"/>
    </row>
    <row r="402" spans="3:16" ht="13" x14ac:dyDescent="0.6">
      <c r="C402" s="36"/>
      <c r="D402" s="36"/>
      <c r="E402" s="36"/>
      <c r="F402" s="36"/>
      <c r="G402" s="36"/>
      <c r="H402" s="36"/>
      <c r="I402" s="36"/>
      <c r="J402" s="36"/>
      <c r="K402" s="36"/>
      <c r="L402" s="36"/>
      <c r="M402" s="36"/>
      <c r="N402" s="36"/>
      <c r="O402" s="36"/>
      <c r="P402" s="36"/>
    </row>
    <row r="403" spans="3:16" ht="13" x14ac:dyDescent="0.6">
      <c r="C403" s="36"/>
      <c r="D403" s="36"/>
      <c r="E403" s="36"/>
      <c r="F403" s="36"/>
      <c r="G403" s="36"/>
      <c r="H403" s="36"/>
      <c r="I403" s="36"/>
      <c r="J403" s="36"/>
      <c r="K403" s="36"/>
      <c r="L403" s="36"/>
      <c r="M403" s="36"/>
      <c r="N403" s="36"/>
      <c r="O403" s="36"/>
      <c r="P403" s="36"/>
    </row>
    <row r="404" spans="3:16" ht="13" x14ac:dyDescent="0.6">
      <c r="C404" s="36"/>
      <c r="D404" s="36"/>
      <c r="E404" s="36"/>
      <c r="F404" s="36"/>
      <c r="G404" s="36"/>
      <c r="H404" s="36"/>
      <c r="I404" s="36"/>
      <c r="J404" s="36"/>
      <c r="K404" s="36"/>
      <c r="L404" s="36"/>
      <c r="M404" s="36"/>
      <c r="N404" s="36"/>
      <c r="O404" s="36"/>
      <c r="P404" s="36"/>
    </row>
    <row r="405" spans="3:16" ht="13" x14ac:dyDescent="0.6">
      <c r="C405" s="36"/>
      <c r="D405" s="36"/>
      <c r="E405" s="36"/>
      <c r="F405" s="36"/>
      <c r="G405" s="36"/>
      <c r="H405" s="36"/>
      <c r="I405" s="36"/>
      <c r="J405" s="36"/>
      <c r="K405" s="36"/>
      <c r="L405" s="36"/>
      <c r="M405" s="36"/>
      <c r="N405" s="36"/>
      <c r="O405" s="36"/>
      <c r="P405" s="36"/>
    </row>
    <row r="406" spans="3:16" ht="13" x14ac:dyDescent="0.6">
      <c r="C406" s="36"/>
      <c r="D406" s="36"/>
      <c r="E406" s="36"/>
      <c r="F406" s="36"/>
      <c r="G406" s="36"/>
      <c r="H406" s="36"/>
      <c r="I406" s="36"/>
      <c r="J406" s="36"/>
      <c r="K406" s="36"/>
      <c r="L406" s="36"/>
      <c r="M406" s="36"/>
      <c r="N406" s="36"/>
      <c r="O406" s="36"/>
      <c r="P406" s="36"/>
    </row>
    <row r="407" spans="3:16" ht="13" x14ac:dyDescent="0.6">
      <c r="C407" s="36"/>
      <c r="D407" s="36"/>
      <c r="E407" s="36"/>
      <c r="F407" s="36"/>
      <c r="G407" s="36"/>
      <c r="H407" s="36"/>
      <c r="I407" s="36"/>
      <c r="J407" s="36"/>
      <c r="K407" s="36"/>
      <c r="L407" s="36"/>
      <c r="M407" s="36"/>
      <c r="N407" s="36"/>
      <c r="O407" s="36"/>
      <c r="P407" s="36"/>
    </row>
    <row r="408" spans="3:16" ht="13" x14ac:dyDescent="0.6">
      <c r="C408" s="36"/>
      <c r="D408" s="36"/>
      <c r="E408" s="36"/>
      <c r="F408" s="36"/>
      <c r="G408" s="36"/>
      <c r="H408" s="36"/>
      <c r="I408" s="36"/>
      <c r="J408" s="36"/>
      <c r="K408" s="36"/>
      <c r="L408" s="36"/>
      <c r="M408" s="36"/>
      <c r="N408" s="36"/>
      <c r="O408" s="36"/>
      <c r="P408" s="36"/>
    </row>
    <row r="409" spans="3:16" ht="13" x14ac:dyDescent="0.6">
      <c r="C409" s="36"/>
      <c r="D409" s="36"/>
      <c r="E409" s="36"/>
      <c r="F409" s="36"/>
      <c r="G409" s="36"/>
      <c r="H409" s="36"/>
      <c r="I409" s="36"/>
      <c r="J409" s="36"/>
      <c r="K409" s="36"/>
      <c r="L409" s="36"/>
      <c r="M409" s="36"/>
      <c r="N409" s="36"/>
      <c r="O409" s="36"/>
      <c r="P409" s="36"/>
    </row>
    <row r="410" spans="3:16" ht="13" x14ac:dyDescent="0.6">
      <c r="C410" s="36"/>
      <c r="D410" s="36"/>
      <c r="E410" s="36"/>
      <c r="F410" s="36"/>
      <c r="G410" s="36"/>
      <c r="H410" s="36"/>
      <c r="I410" s="36"/>
      <c r="J410" s="36"/>
      <c r="K410" s="36"/>
      <c r="L410" s="36"/>
      <c r="M410" s="36"/>
      <c r="N410" s="36"/>
      <c r="O410" s="36"/>
      <c r="P410" s="36"/>
    </row>
    <row r="411" spans="3:16" ht="13" x14ac:dyDescent="0.6">
      <c r="C411" s="36"/>
      <c r="D411" s="36"/>
      <c r="E411" s="36"/>
      <c r="F411" s="36"/>
      <c r="G411" s="36"/>
      <c r="H411" s="36"/>
      <c r="I411" s="36"/>
      <c r="J411" s="36"/>
      <c r="K411" s="36"/>
      <c r="L411" s="36"/>
      <c r="M411" s="36"/>
      <c r="N411" s="36"/>
      <c r="O411" s="36"/>
      <c r="P411" s="36"/>
    </row>
    <row r="412" spans="3:16" ht="13" x14ac:dyDescent="0.6">
      <c r="C412" s="36"/>
      <c r="D412" s="36"/>
      <c r="E412" s="36"/>
      <c r="F412" s="36"/>
      <c r="G412" s="36"/>
      <c r="H412" s="36"/>
      <c r="I412" s="36"/>
      <c r="J412" s="36"/>
      <c r="K412" s="36"/>
      <c r="L412" s="36"/>
      <c r="M412" s="36"/>
      <c r="N412" s="36"/>
      <c r="O412" s="36"/>
      <c r="P412" s="36"/>
    </row>
    <row r="413" spans="3:16" ht="13" x14ac:dyDescent="0.6">
      <c r="C413" s="36"/>
      <c r="D413" s="36"/>
      <c r="E413" s="36"/>
      <c r="F413" s="36"/>
      <c r="G413" s="36"/>
      <c r="H413" s="36"/>
      <c r="I413" s="36"/>
      <c r="J413" s="36"/>
      <c r="K413" s="36"/>
      <c r="L413" s="36"/>
      <c r="M413" s="36"/>
      <c r="N413" s="36"/>
      <c r="O413" s="36"/>
      <c r="P413" s="36"/>
    </row>
    <row r="414" spans="3:16" ht="13" x14ac:dyDescent="0.6">
      <c r="C414" s="36"/>
      <c r="D414" s="36"/>
      <c r="E414" s="36"/>
      <c r="F414" s="36"/>
      <c r="G414" s="36"/>
      <c r="H414" s="36"/>
      <c r="I414" s="36"/>
      <c r="J414" s="36"/>
      <c r="K414" s="36"/>
      <c r="L414" s="36"/>
      <c r="M414" s="36"/>
      <c r="N414" s="36"/>
      <c r="O414" s="36"/>
      <c r="P414" s="36"/>
    </row>
    <row r="415" spans="3:16" ht="13" x14ac:dyDescent="0.6">
      <c r="C415" s="36"/>
      <c r="D415" s="36"/>
      <c r="E415" s="36"/>
      <c r="F415" s="36"/>
      <c r="G415" s="36"/>
      <c r="H415" s="36"/>
      <c r="I415" s="36"/>
      <c r="J415" s="36"/>
      <c r="K415" s="36"/>
      <c r="L415" s="36"/>
      <c r="M415" s="36"/>
      <c r="N415" s="36"/>
      <c r="O415" s="36"/>
      <c r="P415" s="36"/>
    </row>
    <row r="416" spans="3:16" ht="13" x14ac:dyDescent="0.6">
      <c r="C416" s="36"/>
      <c r="D416" s="36"/>
      <c r="E416" s="36"/>
      <c r="F416" s="36"/>
      <c r="G416" s="36"/>
      <c r="H416" s="36"/>
      <c r="I416" s="36"/>
      <c r="J416" s="36"/>
      <c r="K416" s="36"/>
      <c r="L416" s="36"/>
      <c r="M416" s="36"/>
      <c r="N416" s="36"/>
      <c r="O416" s="36"/>
      <c r="P416" s="36"/>
    </row>
    <row r="417" spans="3:16" ht="13" x14ac:dyDescent="0.6">
      <c r="C417" s="36"/>
      <c r="D417" s="36"/>
      <c r="E417" s="36"/>
      <c r="F417" s="36"/>
      <c r="G417" s="36"/>
      <c r="H417" s="36"/>
      <c r="I417" s="36"/>
      <c r="J417" s="36"/>
      <c r="K417" s="36"/>
      <c r="L417" s="36"/>
      <c r="M417" s="36"/>
      <c r="N417" s="36"/>
      <c r="O417" s="36"/>
      <c r="P417" s="36"/>
    </row>
    <row r="418" spans="3:16" ht="13" x14ac:dyDescent="0.6">
      <c r="C418" s="36"/>
      <c r="D418" s="36"/>
      <c r="E418" s="36"/>
      <c r="F418" s="36"/>
      <c r="G418" s="36"/>
      <c r="H418" s="36"/>
      <c r="I418" s="36"/>
      <c r="J418" s="36"/>
      <c r="K418" s="36"/>
      <c r="L418" s="36"/>
      <c r="M418" s="36"/>
      <c r="N418" s="36"/>
      <c r="O418" s="36"/>
      <c r="P418" s="36"/>
    </row>
    <row r="419" spans="3:16" ht="13" x14ac:dyDescent="0.6">
      <c r="C419" s="36"/>
      <c r="D419" s="36"/>
      <c r="E419" s="36"/>
      <c r="F419" s="36"/>
      <c r="G419" s="36"/>
      <c r="H419" s="36"/>
      <c r="I419" s="36"/>
      <c r="J419" s="36"/>
      <c r="K419" s="36"/>
      <c r="L419" s="36"/>
      <c r="M419" s="36"/>
      <c r="N419" s="36"/>
      <c r="O419" s="36"/>
      <c r="P419" s="36"/>
    </row>
    <row r="420" spans="3:16" ht="13" x14ac:dyDescent="0.6">
      <c r="C420" s="36"/>
      <c r="D420" s="36"/>
      <c r="E420" s="36"/>
      <c r="F420" s="36"/>
      <c r="G420" s="36"/>
      <c r="H420" s="36"/>
      <c r="I420" s="36"/>
      <c r="J420" s="36"/>
      <c r="K420" s="36"/>
      <c r="L420" s="36"/>
      <c r="M420" s="36"/>
      <c r="N420" s="36"/>
      <c r="O420" s="36"/>
      <c r="P420" s="36"/>
    </row>
    <row r="421" spans="3:16" ht="13" x14ac:dyDescent="0.6">
      <c r="C421" s="36"/>
      <c r="D421" s="36"/>
      <c r="E421" s="36"/>
      <c r="F421" s="36"/>
      <c r="G421" s="36"/>
      <c r="H421" s="36"/>
      <c r="I421" s="36"/>
      <c r="J421" s="36"/>
      <c r="K421" s="36"/>
      <c r="L421" s="36"/>
      <c r="M421" s="36"/>
      <c r="N421" s="36"/>
      <c r="O421" s="36"/>
      <c r="P421" s="36"/>
    </row>
    <row r="422" spans="3:16" ht="13" x14ac:dyDescent="0.6">
      <c r="C422" s="36"/>
      <c r="D422" s="36"/>
      <c r="E422" s="36"/>
      <c r="F422" s="36"/>
      <c r="G422" s="36"/>
      <c r="H422" s="36"/>
      <c r="I422" s="36"/>
      <c r="J422" s="36"/>
      <c r="K422" s="36"/>
      <c r="L422" s="36"/>
      <c r="M422" s="36"/>
      <c r="N422" s="36"/>
      <c r="O422" s="36"/>
      <c r="P422" s="36"/>
    </row>
    <row r="423" spans="3:16" ht="13" x14ac:dyDescent="0.6">
      <c r="C423" s="36"/>
      <c r="D423" s="36"/>
      <c r="E423" s="36"/>
      <c r="F423" s="36"/>
      <c r="G423" s="36"/>
      <c r="H423" s="36"/>
      <c r="I423" s="36"/>
      <c r="J423" s="36"/>
      <c r="K423" s="36"/>
      <c r="L423" s="36"/>
      <c r="M423" s="36"/>
      <c r="N423" s="36"/>
      <c r="O423" s="36"/>
      <c r="P423" s="36"/>
    </row>
    <row r="424" spans="3:16" ht="13" x14ac:dyDescent="0.6">
      <c r="C424" s="36"/>
      <c r="D424" s="36"/>
      <c r="E424" s="36"/>
      <c r="F424" s="36"/>
      <c r="G424" s="36"/>
      <c r="H424" s="36"/>
      <c r="I424" s="36"/>
      <c r="J424" s="36"/>
      <c r="K424" s="36"/>
      <c r="L424" s="36"/>
      <c r="M424" s="36"/>
      <c r="N424" s="36"/>
      <c r="O424" s="36"/>
      <c r="P424" s="36"/>
    </row>
    <row r="425" spans="3:16" ht="13" x14ac:dyDescent="0.6">
      <c r="C425" s="36"/>
      <c r="D425" s="36"/>
      <c r="E425" s="36"/>
      <c r="F425" s="36"/>
      <c r="G425" s="36"/>
      <c r="H425" s="36"/>
      <c r="I425" s="36"/>
      <c r="J425" s="36"/>
      <c r="K425" s="36"/>
      <c r="L425" s="36"/>
      <c r="M425" s="36"/>
      <c r="N425" s="36"/>
      <c r="O425" s="36"/>
      <c r="P425" s="36"/>
    </row>
    <row r="426" spans="3:16" ht="13" x14ac:dyDescent="0.6">
      <c r="C426" s="36"/>
      <c r="D426" s="36"/>
      <c r="E426" s="36"/>
      <c r="F426" s="36"/>
      <c r="G426" s="36"/>
      <c r="H426" s="36"/>
      <c r="I426" s="36"/>
      <c r="J426" s="36"/>
      <c r="K426" s="36"/>
      <c r="L426" s="36"/>
      <c r="M426" s="36"/>
      <c r="N426" s="36"/>
      <c r="O426" s="36"/>
      <c r="P426" s="36"/>
    </row>
    <row r="427" spans="3:16" ht="13" x14ac:dyDescent="0.6">
      <c r="C427" s="36"/>
      <c r="D427" s="36"/>
      <c r="E427" s="36"/>
      <c r="F427" s="36"/>
      <c r="G427" s="36"/>
      <c r="H427" s="36"/>
      <c r="I427" s="36"/>
      <c r="J427" s="36"/>
      <c r="K427" s="36"/>
      <c r="L427" s="36"/>
      <c r="M427" s="36"/>
      <c r="N427" s="36"/>
      <c r="O427" s="36"/>
      <c r="P427" s="36"/>
    </row>
    <row r="428" spans="3:16" ht="13" x14ac:dyDescent="0.6">
      <c r="C428" s="36"/>
      <c r="D428" s="36"/>
      <c r="E428" s="36"/>
      <c r="F428" s="36"/>
      <c r="G428" s="36"/>
      <c r="H428" s="36"/>
      <c r="I428" s="36"/>
      <c r="J428" s="36"/>
      <c r="K428" s="36"/>
      <c r="L428" s="36"/>
      <c r="M428" s="36"/>
      <c r="N428" s="36"/>
      <c r="O428" s="36"/>
      <c r="P428" s="36"/>
    </row>
    <row r="429" spans="3:16" ht="13" x14ac:dyDescent="0.6">
      <c r="C429" s="36"/>
      <c r="D429" s="36"/>
      <c r="E429" s="36"/>
      <c r="F429" s="36"/>
      <c r="G429" s="36"/>
      <c r="H429" s="36"/>
      <c r="I429" s="36"/>
      <c r="J429" s="36"/>
      <c r="K429" s="36"/>
      <c r="L429" s="36"/>
      <c r="M429" s="36"/>
      <c r="N429" s="36"/>
      <c r="O429" s="36"/>
      <c r="P429" s="36"/>
    </row>
    <row r="430" spans="3:16" ht="13" x14ac:dyDescent="0.6">
      <c r="C430" s="36"/>
      <c r="D430" s="36"/>
      <c r="E430" s="36"/>
      <c r="F430" s="36"/>
      <c r="G430" s="36"/>
      <c r="H430" s="36"/>
      <c r="I430" s="36"/>
      <c r="J430" s="36"/>
      <c r="K430" s="36"/>
      <c r="L430" s="36"/>
      <c r="M430" s="36"/>
      <c r="N430" s="36"/>
      <c r="O430" s="36"/>
      <c r="P430" s="36"/>
    </row>
    <row r="431" spans="3:16" ht="13" x14ac:dyDescent="0.6">
      <c r="C431" s="36"/>
      <c r="D431" s="36"/>
      <c r="E431" s="36"/>
      <c r="F431" s="36"/>
      <c r="G431" s="36"/>
      <c r="H431" s="36"/>
      <c r="I431" s="36"/>
      <c r="J431" s="36"/>
      <c r="K431" s="36"/>
      <c r="L431" s="36"/>
      <c r="M431" s="36"/>
      <c r="N431" s="36"/>
      <c r="O431" s="36"/>
      <c r="P431" s="36"/>
    </row>
    <row r="432" spans="3:16" ht="13" x14ac:dyDescent="0.6">
      <c r="C432" s="36"/>
      <c r="D432" s="36"/>
      <c r="E432" s="36"/>
      <c r="F432" s="36"/>
      <c r="G432" s="36"/>
      <c r="H432" s="36"/>
      <c r="I432" s="36"/>
      <c r="J432" s="36"/>
      <c r="K432" s="36"/>
      <c r="L432" s="36"/>
      <c r="M432" s="36"/>
      <c r="N432" s="36"/>
      <c r="O432" s="36"/>
      <c r="P432" s="36"/>
    </row>
    <row r="433" spans="3:16" ht="13" x14ac:dyDescent="0.6">
      <c r="C433" s="36"/>
      <c r="D433" s="36"/>
      <c r="E433" s="36"/>
      <c r="F433" s="36"/>
      <c r="G433" s="36"/>
      <c r="H433" s="36"/>
      <c r="I433" s="36"/>
      <c r="J433" s="36"/>
      <c r="K433" s="36"/>
      <c r="L433" s="36"/>
      <c r="M433" s="36"/>
      <c r="N433" s="36"/>
      <c r="O433" s="36"/>
      <c r="P433" s="36"/>
    </row>
    <row r="434" spans="3:16" ht="13" x14ac:dyDescent="0.6">
      <c r="C434" s="36"/>
      <c r="D434" s="36"/>
      <c r="E434" s="36"/>
      <c r="F434" s="36"/>
      <c r="G434" s="36"/>
      <c r="H434" s="36"/>
      <c r="I434" s="36"/>
      <c r="J434" s="36"/>
      <c r="K434" s="36"/>
      <c r="L434" s="36"/>
      <c r="M434" s="36"/>
      <c r="N434" s="36"/>
      <c r="O434" s="36"/>
      <c r="P434" s="36"/>
    </row>
    <row r="435" spans="3:16" ht="13" x14ac:dyDescent="0.6">
      <c r="C435" s="36"/>
      <c r="D435" s="36"/>
      <c r="E435" s="36"/>
      <c r="F435" s="36"/>
      <c r="G435" s="36"/>
      <c r="H435" s="36"/>
      <c r="I435" s="36"/>
      <c r="J435" s="36"/>
      <c r="K435" s="36"/>
      <c r="L435" s="36"/>
      <c r="M435" s="36"/>
      <c r="N435" s="36"/>
      <c r="O435" s="36"/>
      <c r="P435" s="36"/>
    </row>
    <row r="436" spans="3:16" ht="13" x14ac:dyDescent="0.6">
      <c r="C436" s="36"/>
      <c r="D436" s="36"/>
      <c r="E436" s="36"/>
      <c r="F436" s="36"/>
      <c r="G436" s="36"/>
      <c r="H436" s="36"/>
      <c r="I436" s="36"/>
      <c r="J436" s="36"/>
      <c r="K436" s="36"/>
      <c r="L436" s="36"/>
      <c r="M436" s="36"/>
      <c r="N436" s="36"/>
      <c r="O436" s="36"/>
      <c r="P436" s="36"/>
    </row>
    <row r="437" spans="3:16" ht="13" x14ac:dyDescent="0.6">
      <c r="C437" s="36"/>
      <c r="D437" s="36"/>
      <c r="E437" s="36"/>
      <c r="F437" s="36"/>
      <c r="G437" s="36"/>
      <c r="H437" s="36"/>
      <c r="I437" s="36"/>
      <c r="J437" s="36"/>
      <c r="K437" s="36"/>
      <c r="L437" s="36"/>
      <c r="M437" s="36"/>
      <c r="N437" s="36"/>
      <c r="O437" s="36"/>
      <c r="P437" s="36"/>
    </row>
    <row r="438" spans="3:16" ht="13" x14ac:dyDescent="0.6">
      <c r="C438" s="36"/>
      <c r="D438" s="36"/>
      <c r="E438" s="36"/>
      <c r="F438" s="36"/>
      <c r="G438" s="36"/>
      <c r="H438" s="36"/>
      <c r="I438" s="36"/>
      <c r="J438" s="36"/>
      <c r="K438" s="36"/>
      <c r="L438" s="36"/>
      <c r="M438" s="36"/>
      <c r="N438" s="36"/>
      <c r="O438" s="36"/>
      <c r="P438" s="36"/>
    </row>
    <row r="439" spans="3:16" ht="13" x14ac:dyDescent="0.6">
      <c r="C439" s="36"/>
      <c r="D439" s="36"/>
      <c r="E439" s="36"/>
      <c r="F439" s="36"/>
      <c r="G439" s="36"/>
      <c r="H439" s="36"/>
      <c r="I439" s="36"/>
      <c r="J439" s="36"/>
      <c r="K439" s="36"/>
      <c r="L439" s="36"/>
      <c r="M439" s="36"/>
      <c r="N439" s="36"/>
      <c r="O439" s="36"/>
      <c r="P439" s="36"/>
    </row>
    <row r="440" spans="3:16" ht="13" x14ac:dyDescent="0.6">
      <c r="C440" s="36"/>
      <c r="D440" s="36"/>
      <c r="E440" s="36"/>
      <c r="F440" s="36"/>
      <c r="G440" s="36"/>
      <c r="H440" s="36"/>
      <c r="I440" s="36"/>
      <c r="J440" s="36"/>
      <c r="K440" s="36"/>
      <c r="L440" s="36"/>
      <c r="M440" s="36"/>
      <c r="N440" s="36"/>
      <c r="O440" s="36"/>
      <c r="P440" s="36"/>
    </row>
    <row r="441" spans="3:16" ht="13" x14ac:dyDescent="0.6">
      <c r="C441" s="36"/>
      <c r="D441" s="36"/>
      <c r="E441" s="36"/>
      <c r="F441" s="36"/>
      <c r="G441" s="36"/>
      <c r="H441" s="36"/>
      <c r="I441" s="36"/>
      <c r="J441" s="36"/>
      <c r="K441" s="36"/>
      <c r="L441" s="36"/>
      <c r="M441" s="36"/>
      <c r="N441" s="36"/>
      <c r="O441" s="36"/>
      <c r="P441" s="36"/>
    </row>
    <row r="442" spans="3:16" ht="13" x14ac:dyDescent="0.6">
      <c r="C442" s="36"/>
      <c r="D442" s="36"/>
      <c r="E442" s="36"/>
      <c r="F442" s="36"/>
      <c r="G442" s="36"/>
      <c r="H442" s="36"/>
      <c r="I442" s="36"/>
      <c r="J442" s="36"/>
      <c r="K442" s="36"/>
      <c r="L442" s="36"/>
      <c r="M442" s="36"/>
      <c r="N442" s="36"/>
      <c r="O442" s="36"/>
      <c r="P442" s="36"/>
    </row>
    <row r="443" spans="3:16" ht="13" x14ac:dyDescent="0.6">
      <c r="C443" s="36"/>
      <c r="D443" s="36"/>
      <c r="E443" s="36"/>
      <c r="F443" s="36"/>
      <c r="G443" s="36"/>
      <c r="H443" s="36"/>
      <c r="I443" s="36"/>
      <c r="J443" s="36"/>
      <c r="K443" s="36"/>
      <c r="L443" s="36"/>
      <c r="M443" s="36"/>
      <c r="N443" s="36"/>
      <c r="O443" s="36"/>
      <c r="P443" s="36"/>
    </row>
    <row r="444" spans="3:16" ht="13" x14ac:dyDescent="0.6">
      <c r="C444" s="36"/>
      <c r="D444" s="36"/>
      <c r="E444" s="36"/>
      <c r="F444" s="36"/>
      <c r="G444" s="36"/>
      <c r="H444" s="36"/>
      <c r="I444" s="36"/>
      <c r="J444" s="36"/>
      <c r="K444" s="36"/>
      <c r="L444" s="36"/>
      <c r="M444" s="36"/>
      <c r="N444" s="36"/>
      <c r="O444" s="36"/>
      <c r="P444" s="36"/>
    </row>
    <row r="445" spans="3:16" ht="13" x14ac:dyDescent="0.6">
      <c r="C445" s="36"/>
      <c r="D445" s="36"/>
      <c r="E445" s="36"/>
      <c r="F445" s="36"/>
      <c r="G445" s="36"/>
      <c r="H445" s="36"/>
      <c r="I445" s="36"/>
      <c r="J445" s="36"/>
      <c r="K445" s="36"/>
      <c r="L445" s="36"/>
      <c r="M445" s="36"/>
      <c r="N445" s="36"/>
      <c r="O445" s="36"/>
      <c r="P445" s="36"/>
    </row>
    <row r="446" spans="3:16" ht="13" x14ac:dyDescent="0.6">
      <c r="C446" s="36"/>
      <c r="D446" s="36"/>
      <c r="E446" s="36"/>
      <c r="F446" s="36"/>
      <c r="G446" s="36"/>
      <c r="H446" s="36"/>
      <c r="I446" s="36"/>
      <c r="J446" s="36"/>
      <c r="K446" s="36"/>
      <c r="L446" s="36"/>
      <c r="M446" s="36"/>
      <c r="N446" s="36"/>
      <c r="O446" s="36"/>
      <c r="P446" s="36"/>
    </row>
    <row r="447" spans="3:16" ht="13" x14ac:dyDescent="0.6">
      <c r="C447" s="36"/>
      <c r="D447" s="36"/>
      <c r="E447" s="36"/>
      <c r="F447" s="36"/>
      <c r="G447" s="36"/>
      <c r="H447" s="36"/>
      <c r="I447" s="36"/>
      <c r="J447" s="36"/>
      <c r="K447" s="36"/>
      <c r="L447" s="36"/>
      <c r="M447" s="36"/>
      <c r="N447" s="36"/>
      <c r="O447" s="36"/>
      <c r="P447" s="36"/>
    </row>
    <row r="448" spans="3:16" ht="13" x14ac:dyDescent="0.6">
      <c r="C448" s="36"/>
      <c r="D448" s="36"/>
      <c r="E448" s="36"/>
      <c r="F448" s="36"/>
      <c r="G448" s="36"/>
      <c r="H448" s="36"/>
      <c r="I448" s="36"/>
      <c r="J448" s="36"/>
      <c r="K448" s="36"/>
      <c r="L448" s="36"/>
      <c r="M448" s="36"/>
      <c r="N448" s="36"/>
      <c r="O448" s="36"/>
      <c r="P448" s="36"/>
    </row>
    <row r="449" spans="3:16" ht="13" x14ac:dyDescent="0.6">
      <c r="C449" s="36"/>
      <c r="D449" s="36"/>
      <c r="E449" s="36"/>
      <c r="F449" s="36"/>
      <c r="G449" s="36"/>
      <c r="H449" s="36"/>
      <c r="I449" s="36"/>
      <c r="J449" s="36"/>
      <c r="K449" s="36"/>
      <c r="L449" s="36"/>
      <c r="M449" s="36"/>
      <c r="N449" s="36"/>
      <c r="O449" s="36"/>
      <c r="P449" s="36"/>
    </row>
    <row r="450" spans="3:16" ht="13" x14ac:dyDescent="0.6">
      <c r="C450" s="36"/>
      <c r="D450" s="36"/>
      <c r="E450" s="36"/>
      <c r="F450" s="36"/>
      <c r="G450" s="36"/>
      <c r="H450" s="36"/>
      <c r="I450" s="36"/>
      <c r="J450" s="36"/>
      <c r="K450" s="36"/>
      <c r="L450" s="36"/>
      <c r="M450" s="36"/>
      <c r="N450" s="36"/>
      <c r="O450" s="36"/>
      <c r="P450" s="36"/>
    </row>
    <row r="451" spans="3:16" ht="13" x14ac:dyDescent="0.6">
      <c r="C451" s="36"/>
      <c r="D451" s="36"/>
      <c r="E451" s="36"/>
      <c r="F451" s="36"/>
      <c r="G451" s="36"/>
      <c r="H451" s="36"/>
      <c r="I451" s="36"/>
      <c r="J451" s="36"/>
      <c r="K451" s="36"/>
      <c r="L451" s="36"/>
      <c r="M451" s="36"/>
      <c r="N451" s="36"/>
      <c r="O451" s="36"/>
      <c r="P451" s="36"/>
    </row>
    <row r="452" spans="3:16" ht="13" x14ac:dyDescent="0.6">
      <c r="C452" s="36"/>
      <c r="D452" s="36"/>
      <c r="E452" s="36"/>
      <c r="F452" s="36"/>
      <c r="G452" s="36"/>
      <c r="H452" s="36"/>
      <c r="I452" s="36"/>
      <c r="J452" s="36"/>
      <c r="K452" s="36"/>
      <c r="L452" s="36"/>
      <c r="M452" s="36"/>
      <c r="N452" s="36"/>
      <c r="O452" s="36"/>
      <c r="P452" s="36"/>
    </row>
    <row r="453" spans="3:16" ht="13" x14ac:dyDescent="0.6">
      <c r="C453" s="36"/>
      <c r="D453" s="36"/>
      <c r="E453" s="36"/>
      <c r="F453" s="36"/>
      <c r="G453" s="36"/>
      <c r="H453" s="36"/>
      <c r="I453" s="36"/>
      <c r="J453" s="36"/>
      <c r="K453" s="36"/>
      <c r="L453" s="36"/>
      <c r="M453" s="36"/>
      <c r="N453" s="36"/>
      <c r="O453" s="36"/>
      <c r="P453" s="36"/>
    </row>
    <row r="454" spans="3:16" ht="13" x14ac:dyDescent="0.6">
      <c r="C454" s="36"/>
      <c r="D454" s="36"/>
      <c r="E454" s="36"/>
      <c r="F454" s="36"/>
      <c r="G454" s="36"/>
      <c r="H454" s="36"/>
      <c r="I454" s="36"/>
      <c r="J454" s="36"/>
      <c r="K454" s="36"/>
      <c r="L454" s="36"/>
      <c r="M454" s="36"/>
      <c r="N454" s="36"/>
      <c r="O454" s="36"/>
      <c r="P454" s="36"/>
    </row>
    <row r="455" spans="3:16" ht="13" x14ac:dyDescent="0.6">
      <c r="C455" s="36"/>
      <c r="D455" s="36"/>
      <c r="E455" s="36"/>
      <c r="F455" s="36"/>
      <c r="G455" s="36"/>
      <c r="H455" s="36"/>
      <c r="I455" s="36"/>
      <c r="J455" s="36"/>
      <c r="K455" s="36"/>
      <c r="L455" s="36"/>
      <c r="M455" s="36"/>
      <c r="N455" s="36"/>
      <c r="O455" s="36"/>
      <c r="P455" s="36"/>
    </row>
    <row r="456" spans="3:16" ht="13" x14ac:dyDescent="0.6">
      <c r="C456" s="36"/>
      <c r="D456" s="36"/>
      <c r="E456" s="36"/>
      <c r="F456" s="36"/>
      <c r="G456" s="36"/>
      <c r="H456" s="36"/>
      <c r="I456" s="36"/>
      <c r="J456" s="36"/>
      <c r="K456" s="36"/>
      <c r="L456" s="36"/>
      <c r="M456" s="36"/>
      <c r="N456" s="36"/>
      <c r="O456" s="36"/>
      <c r="P456" s="36"/>
    </row>
    <row r="457" spans="3:16" ht="13" x14ac:dyDescent="0.6">
      <c r="C457" s="36"/>
      <c r="D457" s="36"/>
      <c r="E457" s="36"/>
      <c r="F457" s="36"/>
      <c r="G457" s="36"/>
      <c r="H457" s="36"/>
      <c r="I457" s="36"/>
      <c r="J457" s="36"/>
      <c r="K457" s="36"/>
      <c r="L457" s="36"/>
      <c r="M457" s="36"/>
      <c r="N457" s="36"/>
      <c r="O457" s="36"/>
      <c r="P457" s="36"/>
    </row>
    <row r="458" spans="3:16" ht="13" x14ac:dyDescent="0.6">
      <c r="C458" s="36"/>
      <c r="D458" s="36"/>
      <c r="E458" s="36"/>
      <c r="F458" s="36"/>
      <c r="G458" s="36"/>
      <c r="H458" s="36"/>
      <c r="I458" s="36"/>
      <c r="J458" s="36"/>
      <c r="K458" s="36"/>
      <c r="L458" s="36"/>
      <c r="M458" s="36"/>
      <c r="N458" s="36"/>
      <c r="O458" s="36"/>
      <c r="P458" s="36"/>
    </row>
    <row r="459" spans="3:16" ht="13" x14ac:dyDescent="0.6">
      <c r="C459" s="36"/>
      <c r="D459" s="36"/>
      <c r="E459" s="36"/>
      <c r="F459" s="36"/>
      <c r="G459" s="36"/>
      <c r="H459" s="36"/>
      <c r="I459" s="36"/>
      <c r="J459" s="36"/>
      <c r="K459" s="36"/>
      <c r="L459" s="36"/>
      <c r="M459" s="36"/>
      <c r="N459" s="36"/>
      <c r="O459" s="36"/>
      <c r="P459" s="36"/>
    </row>
    <row r="460" spans="3:16" ht="13" x14ac:dyDescent="0.6">
      <c r="C460" s="36"/>
      <c r="D460" s="36"/>
      <c r="E460" s="36"/>
      <c r="F460" s="36"/>
      <c r="G460" s="36"/>
      <c r="H460" s="36"/>
      <c r="I460" s="36"/>
      <c r="J460" s="36"/>
      <c r="K460" s="36"/>
      <c r="L460" s="36"/>
      <c r="M460" s="36"/>
      <c r="N460" s="36"/>
      <c r="O460" s="36"/>
      <c r="P460" s="36"/>
    </row>
    <row r="461" spans="3:16" ht="13" x14ac:dyDescent="0.6">
      <c r="C461" s="36"/>
      <c r="D461" s="36"/>
      <c r="E461" s="36"/>
      <c r="F461" s="36"/>
      <c r="G461" s="36"/>
      <c r="H461" s="36"/>
      <c r="I461" s="36"/>
      <c r="J461" s="36"/>
      <c r="K461" s="36"/>
      <c r="L461" s="36"/>
      <c r="M461" s="36"/>
      <c r="N461" s="36"/>
      <c r="O461" s="36"/>
      <c r="P461" s="36"/>
    </row>
    <row r="462" spans="3:16" ht="13" x14ac:dyDescent="0.6">
      <c r="C462" s="36"/>
      <c r="D462" s="36"/>
      <c r="E462" s="36"/>
      <c r="F462" s="36"/>
      <c r="G462" s="36"/>
      <c r="H462" s="36"/>
      <c r="I462" s="36"/>
      <c r="J462" s="36"/>
      <c r="K462" s="36"/>
      <c r="L462" s="36"/>
      <c r="M462" s="36"/>
      <c r="N462" s="36"/>
      <c r="O462" s="36"/>
      <c r="P462" s="36"/>
    </row>
    <row r="463" spans="3:16" ht="13" x14ac:dyDescent="0.6">
      <c r="C463" s="36"/>
      <c r="D463" s="36"/>
      <c r="E463" s="36"/>
      <c r="F463" s="36"/>
      <c r="G463" s="36"/>
      <c r="H463" s="36"/>
      <c r="I463" s="36"/>
      <c r="J463" s="36"/>
      <c r="K463" s="36"/>
      <c r="L463" s="36"/>
      <c r="M463" s="36"/>
      <c r="N463" s="36"/>
      <c r="O463" s="36"/>
      <c r="P463" s="36"/>
    </row>
    <row r="464" spans="3:16" ht="13" x14ac:dyDescent="0.6">
      <c r="C464" s="36"/>
      <c r="D464" s="36"/>
      <c r="E464" s="36"/>
      <c r="F464" s="36"/>
      <c r="G464" s="36"/>
      <c r="H464" s="36"/>
      <c r="I464" s="36"/>
      <c r="J464" s="36"/>
      <c r="K464" s="36"/>
      <c r="L464" s="36"/>
      <c r="M464" s="36"/>
      <c r="N464" s="36"/>
      <c r="O464" s="36"/>
      <c r="P464" s="36"/>
    </row>
    <row r="465" spans="3:16" ht="13" x14ac:dyDescent="0.6">
      <c r="C465" s="36"/>
      <c r="D465" s="36"/>
      <c r="E465" s="36"/>
      <c r="F465" s="36"/>
      <c r="G465" s="36"/>
      <c r="H465" s="36"/>
      <c r="I465" s="36"/>
      <c r="J465" s="36"/>
      <c r="K465" s="36"/>
      <c r="L465" s="36"/>
      <c r="M465" s="36"/>
      <c r="N465" s="36"/>
      <c r="O465" s="36"/>
      <c r="P465" s="36"/>
    </row>
    <row r="466" spans="3:16" ht="13" x14ac:dyDescent="0.6">
      <c r="C466" s="36"/>
      <c r="D466" s="36"/>
      <c r="E466" s="36"/>
      <c r="F466" s="36"/>
      <c r="G466" s="36"/>
      <c r="H466" s="36"/>
      <c r="I466" s="36"/>
      <c r="J466" s="36"/>
      <c r="K466" s="36"/>
      <c r="L466" s="36"/>
      <c r="M466" s="36"/>
      <c r="N466" s="36"/>
      <c r="O466" s="36"/>
      <c r="P466" s="36"/>
    </row>
    <row r="467" spans="3:16" ht="13" x14ac:dyDescent="0.6">
      <c r="C467" s="36"/>
      <c r="D467" s="36"/>
      <c r="E467" s="36"/>
      <c r="F467" s="36"/>
      <c r="G467" s="36"/>
      <c r="H467" s="36"/>
      <c r="I467" s="36"/>
      <c r="J467" s="36"/>
      <c r="K467" s="36"/>
      <c r="L467" s="36"/>
      <c r="M467" s="36"/>
      <c r="N467" s="36"/>
      <c r="O467" s="36"/>
      <c r="P467" s="36"/>
    </row>
    <row r="468" spans="3:16" ht="13" x14ac:dyDescent="0.6">
      <c r="C468" s="36"/>
      <c r="D468" s="36"/>
      <c r="E468" s="36"/>
      <c r="F468" s="36"/>
      <c r="G468" s="36"/>
      <c r="H468" s="36"/>
      <c r="I468" s="36"/>
      <c r="J468" s="36"/>
      <c r="K468" s="36"/>
      <c r="L468" s="36"/>
      <c r="M468" s="36"/>
      <c r="N468" s="36"/>
      <c r="O468" s="36"/>
      <c r="P468" s="36"/>
    </row>
    <row r="469" spans="3:16" ht="13" x14ac:dyDescent="0.6">
      <c r="C469" s="36"/>
      <c r="D469" s="36"/>
      <c r="E469" s="36"/>
      <c r="F469" s="36"/>
      <c r="G469" s="36"/>
      <c r="H469" s="36"/>
      <c r="I469" s="36"/>
      <c r="J469" s="36"/>
      <c r="K469" s="36"/>
      <c r="L469" s="36"/>
      <c r="M469" s="36"/>
      <c r="N469" s="36"/>
      <c r="O469" s="36"/>
      <c r="P469" s="36"/>
    </row>
    <row r="470" spans="3:16" ht="13" x14ac:dyDescent="0.6">
      <c r="C470" s="36"/>
      <c r="D470" s="36"/>
      <c r="E470" s="36"/>
      <c r="F470" s="36"/>
      <c r="G470" s="36"/>
      <c r="H470" s="36"/>
      <c r="I470" s="36"/>
      <c r="J470" s="36"/>
      <c r="K470" s="36"/>
      <c r="L470" s="36"/>
      <c r="M470" s="36"/>
      <c r="N470" s="36"/>
      <c r="O470" s="36"/>
      <c r="P470" s="36"/>
    </row>
    <row r="471" spans="3:16" ht="13" x14ac:dyDescent="0.6">
      <c r="C471" s="36"/>
      <c r="D471" s="36"/>
      <c r="E471" s="36"/>
      <c r="F471" s="36"/>
      <c r="G471" s="36"/>
      <c r="H471" s="36"/>
      <c r="I471" s="36"/>
      <c r="J471" s="36"/>
      <c r="K471" s="36"/>
      <c r="L471" s="36"/>
      <c r="M471" s="36"/>
      <c r="N471" s="36"/>
      <c r="O471" s="36"/>
      <c r="P471" s="36"/>
    </row>
    <row r="472" spans="3:16" ht="13" x14ac:dyDescent="0.6">
      <c r="C472" s="36"/>
      <c r="D472" s="36"/>
      <c r="E472" s="36"/>
      <c r="F472" s="36"/>
      <c r="G472" s="36"/>
      <c r="H472" s="36"/>
      <c r="I472" s="36"/>
      <c r="J472" s="36"/>
      <c r="K472" s="36"/>
      <c r="L472" s="36"/>
      <c r="M472" s="36"/>
      <c r="N472" s="36"/>
      <c r="O472" s="36"/>
      <c r="P472" s="36"/>
    </row>
    <row r="473" spans="3:16" ht="13" x14ac:dyDescent="0.6">
      <c r="C473" s="36"/>
      <c r="D473" s="36"/>
      <c r="E473" s="36"/>
      <c r="F473" s="36"/>
      <c r="G473" s="36"/>
      <c r="H473" s="36"/>
      <c r="I473" s="36"/>
      <c r="J473" s="36"/>
      <c r="K473" s="36"/>
      <c r="L473" s="36"/>
      <c r="M473" s="36"/>
      <c r="N473" s="36"/>
      <c r="O473" s="36"/>
      <c r="P473" s="36"/>
    </row>
    <row r="474" spans="3:16" ht="13" x14ac:dyDescent="0.6">
      <c r="C474" s="36"/>
      <c r="D474" s="36"/>
      <c r="E474" s="36"/>
      <c r="F474" s="36"/>
      <c r="G474" s="36"/>
      <c r="H474" s="36"/>
      <c r="I474" s="36"/>
      <c r="J474" s="36"/>
      <c r="K474" s="36"/>
      <c r="L474" s="36"/>
      <c r="M474" s="36"/>
      <c r="N474" s="36"/>
      <c r="O474" s="36"/>
      <c r="P474" s="36"/>
    </row>
    <row r="475" spans="3:16" ht="13" x14ac:dyDescent="0.6">
      <c r="C475" s="36"/>
      <c r="D475" s="36"/>
      <c r="E475" s="36"/>
      <c r="F475" s="36"/>
      <c r="G475" s="36"/>
      <c r="H475" s="36"/>
      <c r="I475" s="36"/>
      <c r="J475" s="36"/>
      <c r="K475" s="36"/>
      <c r="L475" s="36"/>
      <c r="M475" s="36"/>
      <c r="N475" s="36"/>
      <c r="O475" s="36"/>
      <c r="P475" s="36"/>
    </row>
    <row r="476" spans="3:16" ht="13" x14ac:dyDescent="0.6">
      <c r="C476" s="36"/>
      <c r="D476" s="36"/>
      <c r="E476" s="36"/>
      <c r="F476" s="36"/>
      <c r="G476" s="36"/>
      <c r="H476" s="36"/>
      <c r="I476" s="36"/>
      <c r="J476" s="36"/>
      <c r="K476" s="36"/>
      <c r="L476" s="36"/>
      <c r="M476" s="36"/>
      <c r="N476" s="36"/>
      <c r="O476" s="36"/>
      <c r="P476" s="36"/>
    </row>
    <row r="477" spans="3:16" ht="13" x14ac:dyDescent="0.6">
      <c r="C477" s="36"/>
      <c r="D477" s="36"/>
      <c r="E477" s="36"/>
      <c r="F477" s="36"/>
      <c r="G477" s="36"/>
      <c r="H477" s="36"/>
      <c r="I477" s="36"/>
      <c r="J477" s="36"/>
      <c r="K477" s="36"/>
      <c r="L477" s="36"/>
      <c r="M477" s="36"/>
      <c r="N477" s="36"/>
      <c r="O477" s="36"/>
      <c r="P477" s="36"/>
    </row>
    <row r="478" spans="3:16" ht="13" x14ac:dyDescent="0.6">
      <c r="C478" s="36"/>
      <c r="D478" s="36"/>
      <c r="E478" s="36"/>
      <c r="F478" s="36"/>
      <c r="G478" s="36"/>
      <c r="H478" s="36"/>
      <c r="I478" s="36"/>
      <c r="J478" s="36"/>
      <c r="K478" s="36"/>
      <c r="L478" s="36"/>
      <c r="M478" s="36"/>
      <c r="N478" s="36"/>
      <c r="O478" s="36"/>
      <c r="P478" s="36"/>
    </row>
    <row r="479" spans="3:16" ht="13" x14ac:dyDescent="0.6">
      <c r="C479" s="36"/>
      <c r="D479" s="36"/>
      <c r="E479" s="36"/>
      <c r="F479" s="36"/>
      <c r="G479" s="36"/>
      <c r="H479" s="36"/>
      <c r="I479" s="36"/>
      <c r="J479" s="36"/>
      <c r="K479" s="36"/>
      <c r="L479" s="36"/>
      <c r="M479" s="36"/>
      <c r="N479" s="36"/>
      <c r="O479" s="36"/>
      <c r="P479" s="36"/>
    </row>
    <row r="480" spans="3:16" ht="13" x14ac:dyDescent="0.6">
      <c r="C480" s="36"/>
      <c r="D480" s="36"/>
      <c r="E480" s="36"/>
      <c r="F480" s="36"/>
      <c r="G480" s="36"/>
      <c r="H480" s="36"/>
      <c r="I480" s="36"/>
      <c r="J480" s="36"/>
      <c r="K480" s="36"/>
      <c r="L480" s="36"/>
      <c r="M480" s="36"/>
      <c r="N480" s="36"/>
      <c r="O480" s="36"/>
      <c r="P480" s="36"/>
    </row>
    <row r="481" spans="3:16" ht="13" x14ac:dyDescent="0.6">
      <c r="C481" s="36"/>
      <c r="D481" s="36"/>
      <c r="E481" s="36"/>
      <c r="F481" s="36"/>
      <c r="G481" s="36"/>
      <c r="H481" s="36"/>
      <c r="I481" s="36"/>
      <c r="J481" s="36"/>
      <c r="K481" s="36"/>
      <c r="L481" s="36"/>
      <c r="M481" s="36"/>
      <c r="N481" s="36"/>
      <c r="O481" s="36"/>
      <c r="P481" s="36"/>
    </row>
    <row r="482" spans="3:16" ht="13" x14ac:dyDescent="0.6">
      <c r="C482" s="36"/>
      <c r="D482" s="36"/>
      <c r="E482" s="36"/>
      <c r="F482" s="36"/>
      <c r="G482" s="36"/>
      <c r="H482" s="36"/>
      <c r="I482" s="36"/>
      <c r="J482" s="36"/>
      <c r="K482" s="36"/>
      <c r="L482" s="36"/>
      <c r="M482" s="36"/>
      <c r="N482" s="36"/>
      <c r="O482" s="36"/>
      <c r="P482" s="36"/>
    </row>
    <row r="483" spans="3:16" ht="13" x14ac:dyDescent="0.6">
      <c r="C483" s="36"/>
      <c r="D483" s="36"/>
      <c r="E483" s="36"/>
      <c r="F483" s="36"/>
      <c r="G483" s="36"/>
      <c r="H483" s="36"/>
      <c r="I483" s="36"/>
      <c r="J483" s="36"/>
      <c r="K483" s="36"/>
      <c r="L483" s="36"/>
      <c r="M483" s="36"/>
      <c r="N483" s="36"/>
      <c r="O483" s="36"/>
      <c r="P483" s="36"/>
    </row>
    <row r="484" spans="3:16" ht="13" x14ac:dyDescent="0.6">
      <c r="C484" s="36"/>
      <c r="D484" s="36"/>
      <c r="E484" s="36"/>
      <c r="F484" s="36"/>
      <c r="G484" s="36"/>
      <c r="H484" s="36"/>
      <c r="I484" s="36"/>
      <c r="J484" s="36"/>
      <c r="K484" s="36"/>
      <c r="L484" s="36"/>
      <c r="M484" s="36"/>
      <c r="N484" s="36"/>
      <c r="O484" s="36"/>
      <c r="P484" s="36"/>
    </row>
    <row r="485" spans="3:16" ht="13" x14ac:dyDescent="0.6">
      <c r="C485" s="36"/>
      <c r="D485" s="36"/>
      <c r="E485" s="36"/>
      <c r="F485" s="36"/>
      <c r="G485" s="36"/>
      <c r="H485" s="36"/>
      <c r="I485" s="36"/>
      <c r="J485" s="36"/>
      <c r="K485" s="36"/>
      <c r="L485" s="36"/>
      <c r="M485" s="36"/>
      <c r="N485" s="36"/>
      <c r="O485" s="36"/>
      <c r="P485" s="36"/>
    </row>
    <row r="486" spans="3:16" ht="13" x14ac:dyDescent="0.6">
      <c r="C486" s="36"/>
      <c r="D486" s="36"/>
      <c r="E486" s="36"/>
      <c r="F486" s="36"/>
      <c r="G486" s="36"/>
      <c r="H486" s="36"/>
      <c r="I486" s="36"/>
      <c r="J486" s="36"/>
      <c r="K486" s="36"/>
      <c r="L486" s="36"/>
      <c r="M486" s="36"/>
      <c r="N486" s="36"/>
      <c r="O486" s="36"/>
      <c r="P486" s="36"/>
    </row>
    <row r="487" spans="3:16" ht="13" x14ac:dyDescent="0.6">
      <c r="C487" s="36"/>
      <c r="D487" s="36"/>
      <c r="E487" s="36"/>
      <c r="F487" s="36"/>
      <c r="G487" s="36"/>
      <c r="H487" s="36"/>
      <c r="I487" s="36"/>
      <c r="J487" s="36"/>
      <c r="K487" s="36"/>
      <c r="L487" s="36"/>
      <c r="M487" s="36"/>
      <c r="N487" s="36"/>
      <c r="O487" s="36"/>
      <c r="P487" s="36"/>
    </row>
    <row r="488" spans="3:16" ht="13" x14ac:dyDescent="0.6">
      <c r="C488" s="36"/>
      <c r="D488" s="36"/>
      <c r="E488" s="36"/>
      <c r="F488" s="36"/>
      <c r="G488" s="36"/>
      <c r="H488" s="36"/>
      <c r="I488" s="36"/>
      <c r="J488" s="36"/>
      <c r="K488" s="36"/>
      <c r="L488" s="36"/>
      <c r="M488" s="36"/>
      <c r="N488" s="36"/>
      <c r="O488" s="36"/>
      <c r="P488" s="36"/>
    </row>
    <row r="489" spans="3:16" ht="13" x14ac:dyDescent="0.6">
      <c r="C489" s="36"/>
      <c r="D489" s="36"/>
      <c r="E489" s="36"/>
      <c r="F489" s="36"/>
      <c r="G489" s="36"/>
      <c r="H489" s="36"/>
      <c r="I489" s="36"/>
      <c r="J489" s="36"/>
      <c r="K489" s="36"/>
      <c r="L489" s="36"/>
      <c r="M489" s="36"/>
      <c r="N489" s="36"/>
      <c r="O489" s="36"/>
      <c r="P489" s="36"/>
    </row>
    <row r="490" spans="3:16" ht="13" x14ac:dyDescent="0.6">
      <c r="C490" s="36"/>
      <c r="D490" s="36"/>
      <c r="E490" s="36"/>
      <c r="F490" s="36"/>
      <c r="G490" s="36"/>
      <c r="H490" s="36"/>
      <c r="I490" s="36"/>
      <c r="J490" s="36"/>
      <c r="K490" s="36"/>
      <c r="L490" s="36"/>
      <c r="M490" s="36"/>
      <c r="N490" s="36"/>
      <c r="O490" s="36"/>
      <c r="P490" s="36"/>
    </row>
    <row r="491" spans="3:16" ht="13" x14ac:dyDescent="0.6">
      <c r="C491" s="36"/>
      <c r="D491" s="36"/>
      <c r="E491" s="36"/>
      <c r="F491" s="36"/>
      <c r="G491" s="36"/>
      <c r="H491" s="36"/>
      <c r="I491" s="36"/>
      <c r="J491" s="36"/>
      <c r="K491" s="36"/>
      <c r="L491" s="36"/>
      <c r="M491" s="36"/>
      <c r="N491" s="36"/>
      <c r="O491" s="36"/>
      <c r="P491" s="36"/>
    </row>
    <row r="492" spans="3:16" ht="13" x14ac:dyDescent="0.6">
      <c r="C492" s="36"/>
      <c r="D492" s="36"/>
      <c r="E492" s="36"/>
      <c r="F492" s="36"/>
      <c r="G492" s="36"/>
      <c r="H492" s="36"/>
      <c r="I492" s="36"/>
      <c r="J492" s="36"/>
      <c r="K492" s="36"/>
      <c r="L492" s="36"/>
      <c r="M492" s="36"/>
      <c r="N492" s="36"/>
      <c r="O492" s="36"/>
      <c r="P492" s="36"/>
    </row>
    <row r="493" spans="3:16" ht="13" x14ac:dyDescent="0.6">
      <c r="C493" s="36"/>
      <c r="D493" s="36"/>
      <c r="E493" s="36"/>
      <c r="F493" s="36"/>
      <c r="G493" s="36"/>
      <c r="H493" s="36"/>
      <c r="I493" s="36"/>
      <c r="J493" s="36"/>
      <c r="K493" s="36"/>
      <c r="L493" s="36"/>
      <c r="M493" s="36"/>
      <c r="N493" s="36"/>
      <c r="O493" s="36"/>
      <c r="P493" s="36"/>
    </row>
    <row r="494" spans="3:16" ht="13" x14ac:dyDescent="0.6">
      <c r="C494" s="36"/>
      <c r="D494" s="36"/>
      <c r="E494" s="36"/>
      <c r="F494" s="36"/>
      <c r="G494" s="36"/>
      <c r="H494" s="36"/>
      <c r="I494" s="36"/>
      <c r="J494" s="36"/>
      <c r="K494" s="36"/>
      <c r="L494" s="36"/>
      <c r="M494" s="36"/>
      <c r="N494" s="36"/>
      <c r="O494" s="36"/>
      <c r="P494" s="36"/>
    </row>
    <row r="495" spans="3:16" ht="13" x14ac:dyDescent="0.6">
      <c r="C495" s="36"/>
      <c r="D495" s="36"/>
      <c r="E495" s="36"/>
      <c r="F495" s="36"/>
      <c r="G495" s="36"/>
      <c r="H495" s="36"/>
      <c r="I495" s="36"/>
      <c r="J495" s="36"/>
      <c r="K495" s="36"/>
      <c r="L495" s="36"/>
      <c r="M495" s="36"/>
      <c r="N495" s="36"/>
      <c r="O495" s="36"/>
      <c r="P495" s="36"/>
    </row>
    <row r="496" spans="3:16" ht="13" x14ac:dyDescent="0.6">
      <c r="C496" s="36"/>
      <c r="D496" s="36"/>
      <c r="E496" s="36"/>
      <c r="F496" s="36"/>
      <c r="G496" s="36"/>
      <c r="H496" s="36"/>
      <c r="I496" s="36"/>
      <c r="J496" s="36"/>
      <c r="K496" s="36"/>
      <c r="L496" s="36"/>
      <c r="M496" s="36"/>
      <c r="N496" s="36"/>
      <c r="O496" s="36"/>
      <c r="P496" s="36"/>
    </row>
    <row r="497" spans="3:16" ht="13" x14ac:dyDescent="0.6">
      <c r="C497" s="36"/>
      <c r="D497" s="36"/>
      <c r="E497" s="36"/>
      <c r="F497" s="36"/>
      <c r="G497" s="36"/>
      <c r="H497" s="36"/>
      <c r="I497" s="36"/>
      <c r="J497" s="36"/>
      <c r="K497" s="36"/>
      <c r="L497" s="36"/>
      <c r="M497" s="36"/>
      <c r="N497" s="36"/>
      <c r="O497" s="36"/>
      <c r="P497" s="36"/>
    </row>
    <row r="498" spans="3:16" ht="13" x14ac:dyDescent="0.6">
      <c r="C498" s="36"/>
      <c r="D498" s="36"/>
      <c r="E498" s="36"/>
      <c r="F498" s="36"/>
      <c r="G498" s="36"/>
      <c r="H498" s="36"/>
      <c r="I498" s="36"/>
      <c r="J498" s="36"/>
      <c r="K498" s="36"/>
      <c r="L498" s="36"/>
      <c r="M498" s="36"/>
      <c r="N498" s="36"/>
      <c r="O498" s="36"/>
      <c r="P498" s="36"/>
    </row>
    <row r="499" spans="3:16" ht="13" x14ac:dyDescent="0.6">
      <c r="C499" s="36"/>
      <c r="D499" s="36"/>
      <c r="E499" s="36"/>
      <c r="F499" s="36"/>
      <c r="G499" s="36"/>
      <c r="H499" s="36"/>
      <c r="I499" s="36"/>
      <c r="J499" s="36"/>
      <c r="K499" s="36"/>
      <c r="L499" s="36"/>
      <c r="M499" s="36"/>
      <c r="N499" s="36"/>
      <c r="O499" s="36"/>
      <c r="P499" s="36"/>
    </row>
    <row r="500" spans="3:16" ht="13" x14ac:dyDescent="0.6">
      <c r="C500" s="36"/>
      <c r="D500" s="36"/>
      <c r="E500" s="36"/>
      <c r="F500" s="36"/>
      <c r="G500" s="36"/>
      <c r="H500" s="36"/>
      <c r="I500" s="36"/>
      <c r="J500" s="36"/>
      <c r="K500" s="36"/>
      <c r="L500" s="36"/>
      <c r="M500" s="36"/>
      <c r="N500" s="36"/>
      <c r="O500" s="36"/>
      <c r="P500" s="36"/>
    </row>
    <row r="501" spans="3:16" ht="13" x14ac:dyDescent="0.6">
      <c r="C501" s="36"/>
      <c r="D501" s="36"/>
      <c r="E501" s="36"/>
      <c r="F501" s="36"/>
      <c r="G501" s="36"/>
      <c r="H501" s="36"/>
      <c r="I501" s="36"/>
      <c r="J501" s="36"/>
      <c r="K501" s="36"/>
      <c r="L501" s="36"/>
      <c r="M501" s="36"/>
      <c r="N501" s="36"/>
      <c r="O501" s="36"/>
      <c r="P501" s="36"/>
    </row>
    <row r="502" spans="3:16" ht="13" x14ac:dyDescent="0.6">
      <c r="C502" s="36"/>
      <c r="D502" s="36"/>
      <c r="E502" s="36"/>
      <c r="F502" s="36"/>
      <c r="G502" s="36"/>
      <c r="H502" s="36"/>
      <c r="I502" s="36"/>
      <c r="J502" s="36"/>
      <c r="K502" s="36"/>
      <c r="L502" s="36"/>
      <c r="M502" s="36"/>
      <c r="N502" s="36"/>
      <c r="O502" s="36"/>
      <c r="P502" s="36"/>
    </row>
    <row r="503" spans="3:16" ht="13" x14ac:dyDescent="0.6">
      <c r="C503" s="36"/>
      <c r="D503" s="36"/>
      <c r="E503" s="36"/>
      <c r="F503" s="36"/>
      <c r="G503" s="36"/>
      <c r="H503" s="36"/>
      <c r="I503" s="36"/>
      <c r="J503" s="36"/>
      <c r="K503" s="36"/>
      <c r="L503" s="36"/>
      <c r="M503" s="36"/>
      <c r="N503" s="36"/>
      <c r="O503" s="36"/>
      <c r="P503" s="36"/>
    </row>
    <row r="504" spans="3:16" ht="13" x14ac:dyDescent="0.6">
      <c r="C504" s="36"/>
      <c r="D504" s="36"/>
      <c r="E504" s="36"/>
      <c r="F504" s="36"/>
      <c r="G504" s="36"/>
      <c r="H504" s="36"/>
      <c r="I504" s="36"/>
      <c r="J504" s="36"/>
      <c r="K504" s="36"/>
      <c r="L504" s="36"/>
      <c r="M504" s="36"/>
      <c r="N504" s="36"/>
      <c r="O504" s="36"/>
      <c r="P504" s="36"/>
    </row>
    <row r="505" spans="3:16" ht="13" x14ac:dyDescent="0.6">
      <c r="C505" s="36"/>
      <c r="D505" s="36"/>
      <c r="E505" s="36"/>
      <c r="F505" s="36"/>
      <c r="G505" s="36"/>
      <c r="H505" s="36"/>
      <c r="I505" s="36"/>
      <c r="J505" s="36"/>
      <c r="K505" s="36"/>
      <c r="L505" s="36"/>
      <c r="M505" s="36"/>
      <c r="N505" s="36"/>
      <c r="O505" s="36"/>
      <c r="P505" s="36"/>
    </row>
    <row r="506" spans="3:16" ht="13" x14ac:dyDescent="0.6">
      <c r="C506" s="36"/>
      <c r="D506" s="36"/>
      <c r="E506" s="36"/>
      <c r="F506" s="36"/>
      <c r="G506" s="36"/>
      <c r="H506" s="36"/>
      <c r="I506" s="36"/>
      <c r="J506" s="36"/>
      <c r="K506" s="36"/>
      <c r="L506" s="36"/>
      <c r="M506" s="36"/>
      <c r="N506" s="36"/>
      <c r="O506" s="36"/>
      <c r="P506" s="36"/>
    </row>
    <row r="507" spans="3:16" ht="13" x14ac:dyDescent="0.6">
      <c r="C507" s="36"/>
      <c r="D507" s="36"/>
      <c r="E507" s="36"/>
      <c r="F507" s="36"/>
      <c r="G507" s="36"/>
      <c r="H507" s="36"/>
      <c r="I507" s="36"/>
      <c r="J507" s="36"/>
      <c r="K507" s="36"/>
      <c r="L507" s="36"/>
      <c r="M507" s="36"/>
      <c r="N507" s="36"/>
      <c r="O507" s="36"/>
      <c r="P507" s="36"/>
    </row>
    <row r="508" spans="3:16" ht="13" x14ac:dyDescent="0.6">
      <c r="C508" s="36"/>
      <c r="D508" s="36"/>
      <c r="E508" s="36"/>
      <c r="F508" s="36"/>
      <c r="G508" s="36"/>
      <c r="H508" s="36"/>
      <c r="I508" s="36"/>
      <c r="J508" s="36"/>
      <c r="K508" s="36"/>
      <c r="L508" s="36"/>
      <c r="M508" s="36"/>
      <c r="N508" s="36"/>
      <c r="O508" s="36"/>
      <c r="P508" s="36"/>
    </row>
    <row r="509" spans="3:16" ht="13" x14ac:dyDescent="0.6">
      <c r="C509" s="36"/>
      <c r="D509" s="36"/>
      <c r="E509" s="36"/>
      <c r="F509" s="36"/>
      <c r="G509" s="36"/>
      <c r="H509" s="36"/>
      <c r="I509" s="36"/>
      <c r="J509" s="36"/>
      <c r="K509" s="36"/>
      <c r="L509" s="36"/>
      <c r="M509" s="36"/>
      <c r="N509" s="36"/>
      <c r="O509" s="36"/>
      <c r="P509" s="36"/>
    </row>
    <row r="510" spans="3:16" ht="13" x14ac:dyDescent="0.6">
      <c r="C510" s="36"/>
      <c r="D510" s="36"/>
      <c r="E510" s="36"/>
      <c r="F510" s="36"/>
      <c r="G510" s="36"/>
      <c r="H510" s="36"/>
      <c r="I510" s="36"/>
      <c r="J510" s="36"/>
      <c r="K510" s="36"/>
      <c r="L510" s="36"/>
      <c r="M510" s="36"/>
      <c r="N510" s="36"/>
      <c r="O510" s="36"/>
      <c r="P510" s="36"/>
    </row>
    <row r="511" spans="3:16" ht="13" x14ac:dyDescent="0.6">
      <c r="C511" s="36"/>
      <c r="D511" s="36"/>
      <c r="E511" s="36"/>
      <c r="F511" s="36"/>
      <c r="G511" s="36"/>
      <c r="H511" s="36"/>
      <c r="I511" s="36"/>
      <c r="J511" s="36"/>
      <c r="K511" s="36"/>
      <c r="L511" s="36"/>
      <c r="M511" s="36"/>
      <c r="N511" s="36"/>
      <c r="O511" s="36"/>
      <c r="P511" s="36"/>
    </row>
    <row r="512" spans="3:16" ht="13" x14ac:dyDescent="0.6">
      <c r="C512" s="36"/>
      <c r="D512" s="36"/>
      <c r="E512" s="36"/>
      <c r="F512" s="36"/>
      <c r="G512" s="36"/>
      <c r="H512" s="36"/>
      <c r="I512" s="36"/>
      <c r="J512" s="36"/>
      <c r="K512" s="36"/>
      <c r="L512" s="36"/>
      <c r="M512" s="36"/>
      <c r="N512" s="36"/>
      <c r="O512" s="36"/>
      <c r="P512" s="36"/>
    </row>
    <row r="513" spans="3:16" ht="13" x14ac:dyDescent="0.6">
      <c r="C513" s="36"/>
      <c r="D513" s="36"/>
      <c r="E513" s="36"/>
      <c r="F513" s="36"/>
      <c r="G513" s="36"/>
      <c r="H513" s="36"/>
      <c r="I513" s="36"/>
      <c r="J513" s="36"/>
      <c r="K513" s="36"/>
      <c r="L513" s="36"/>
      <c r="M513" s="36"/>
      <c r="N513" s="36"/>
      <c r="O513" s="36"/>
      <c r="P513" s="36"/>
    </row>
    <row r="514" spans="3:16" ht="13" x14ac:dyDescent="0.6">
      <c r="C514" s="36"/>
      <c r="D514" s="36"/>
      <c r="E514" s="36"/>
      <c r="F514" s="36"/>
      <c r="G514" s="36"/>
      <c r="H514" s="36"/>
      <c r="I514" s="36"/>
      <c r="J514" s="36"/>
      <c r="K514" s="36"/>
      <c r="L514" s="36"/>
      <c r="M514" s="36"/>
      <c r="N514" s="36"/>
      <c r="O514" s="36"/>
      <c r="P514" s="36"/>
    </row>
    <row r="515" spans="3:16" ht="13" x14ac:dyDescent="0.6">
      <c r="C515" s="36"/>
      <c r="D515" s="36"/>
      <c r="E515" s="36"/>
      <c r="F515" s="36"/>
      <c r="G515" s="36"/>
      <c r="H515" s="36"/>
      <c r="I515" s="36"/>
      <c r="J515" s="36"/>
      <c r="K515" s="36"/>
      <c r="L515" s="36"/>
      <c r="M515" s="36"/>
      <c r="N515" s="36"/>
      <c r="O515" s="36"/>
      <c r="P515" s="36"/>
    </row>
    <row r="516" spans="3:16" ht="13" x14ac:dyDescent="0.6">
      <c r="C516" s="36"/>
      <c r="D516" s="36"/>
      <c r="E516" s="36"/>
      <c r="F516" s="36"/>
      <c r="G516" s="36"/>
      <c r="H516" s="36"/>
      <c r="I516" s="36"/>
      <c r="J516" s="36"/>
      <c r="K516" s="36"/>
      <c r="L516" s="36"/>
      <c r="M516" s="36"/>
      <c r="N516" s="36"/>
      <c r="O516" s="36"/>
      <c r="P516" s="36"/>
    </row>
    <row r="517" spans="3:16" ht="13" x14ac:dyDescent="0.6">
      <c r="C517" s="36"/>
      <c r="D517" s="36"/>
      <c r="E517" s="36"/>
      <c r="F517" s="36"/>
      <c r="G517" s="36"/>
      <c r="H517" s="36"/>
      <c r="I517" s="36"/>
      <c r="J517" s="36"/>
      <c r="K517" s="36"/>
      <c r="L517" s="36"/>
      <c r="M517" s="36"/>
      <c r="N517" s="36"/>
      <c r="O517" s="36"/>
      <c r="P517" s="36"/>
    </row>
    <row r="518" spans="3:16" ht="13" x14ac:dyDescent="0.6">
      <c r="C518" s="36"/>
      <c r="D518" s="36"/>
      <c r="E518" s="36"/>
      <c r="F518" s="36"/>
      <c r="G518" s="36"/>
      <c r="H518" s="36"/>
      <c r="I518" s="36"/>
      <c r="J518" s="36"/>
      <c r="K518" s="36"/>
      <c r="L518" s="36"/>
      <c r="M518" s="36"/>
      <c r="N518" s="36"/>
      <c r="O518" s="36"/>
      <c r="P518" s="36"/>
    </row>
    <row r="519" spans="3:16" ht="13" x14ac:dyDescent="0.6">
      <c r="C519" s="36"/>
      <c r="D519" s="36"/>
      <c r="E519" s="36"/>
      <c r="F519" s="36"/>
      <c r="G519" s="36"/>
      <c r="H519" s="36"/>
      <c r="I519" s="36"/>
      <c r="J519" s="36"/>
      <c r="K519" s="36"/>
      <c r="L519" s="36"/>
      <c r="M519" s="36"/>
      <c r="N519" s="36"/>
      <c r="O519" s="36"/>
      <c r="P519" s="36"/>
    </row>
    <row r="520" spans="3:16" ht="13" x14ac:dyDescent="0.6">
      <c r="C520" s="36"/>
      <c r="D520" s="36"/>
      <c r="E520" s="36"/>
      <c r="F520" s="36"/>
      <c r="G520" s="36"/>
      <c r="H520" s="36"/>
      <c r="I520" s="36"/>
      <c r="J520" s="36"/>
      <c r="K520" s="36"/>
      <c r="L520" s="36"/>
      <c r="M520" s="36"/>
      <c r="N520" s="36"/>
      <c r="O520" s="36"/>
      <c r="P520" s="36"/>
    </row>
    <row r="521" spans="3:16" ht="13" x14ac:dyDescent="0.6">
      <c r="C521" s="36"/>
      <c r="D521" s="36"/>
      <c r="E521" s="36"/>
      <c r="F521" s="36"/>
      <c r="G521" s="36"/>
      <c r="H521" s="36"/>
      <c r="I521" s="36"/>
      <c r="J521" s="36"/>
      <c r="K521" s="36"/>
      <c r="L521" s="36"/>
      <c r="M521" s="36"/>
      <c r="N521" s="36"/>
      <c r="O521" s="36"/>
      <c r="P521" s="36"/>
    </row>
    <row r="522" spans="3:16" ht="13" x14ac:dyDescent="0.6">
      <c r="C522" s="36"/>
      <c r="D522" s="36"/>
      <c r="E522" s="36"/>
      <c r="F522" s="36"/>
      <c r="G522" s="36"/>
      <c r="H522" s="36"/>
      <c r="I522" s="36"/>
      <c r="J522" s="36"/>
      <c r="K522" s="36"/>
      <c r="L522" s="36"/>
      <c r="M522" s="36"/>
      <c r="N522" s="36"/>
      <c r="O522" s="36"/>
      <c r="P522" s="36"/>
    </row>
    <row r="523" spans="3:16" ht="13" x14ac:dyDescent="0.6">
      <c r="C523" s="36"/>
      <c r="D523" s="36"/>
      <c r="E523" s="36"/>
      <c r="F523" s="36"/>
      <c r="G523" s="36"/>
      <c r="H523" s="36"/>
      <c r="I523" s="36"/>
      <c r="J523" s="36"/>
      <c r="K523" s="36"/>
      <c r="L523" s="36"/>
      <c r="M523" s="36"/>
      <c r="N523" s="36"/>
      <c r="O523" s="36"/>
      <c r="P523" s="36"/>
    </row>
    <row r="524" spans="3:16" ht="13" x14ac:dyDescent="0.6">
      <c r="C524" s="36"/>
      <c r="D524" s="36"/>
      <c r="E524" s="36"/>
      <c r="F524" s="36"/>
      <c r="G524" s="36"/>
      <c r="H524" s="36"/>
      <c r="I524" s="36"/>
      <c r="J524" s="36"/>
      <c r="K524" s="36"/>
      <c r="L524" s="36"/>
      <c r="M524" s="36"/>
      <c r="N524" s="36"/>
      <c r="O524" s="36"/>
      <c r="P524" s="36"/>
    </row>
    <row r="525" spans="3:16" ht="13" x14ac:dyDescent="0.6">
      <c r="C525" s="36"/>
      <c r="D525" s="36"/>
      <c r="E525" s="36"/>
      <c r="F525" s="36"/>
      <c r="G525" s="36"/>
      <c r="H525" s="36"/>
      <c r="I525" s="36"/>
      <c r="J525" s="36"/>
      <c r="K525" s="36"/>
      <c r="L525" s="36"/>
      <c r="M525" s="36"/>
      <c r="N525" s="36"/>
      <c r="O525" s="36"/>
      <c r="P525" s="36"/>
    </row>
    <row r="526" spans="3:16" ht="13" x14ac:dyDescent="0.6">
      <c r="C526" s="36"/>
      <c r="D526" s="36"/>
      <c r="E526" s="36"/>
      <c r="F526" s="36"/>
      <c r="G526" s="36"/>
      <c r="H526" s="36"/>
      <c r="I526" s="36"/>
      <c r="J526" s="36"/>
      <c r="K526" s="36"/>
      <c r="L526" s="36"/>
      <c r="M526" s="36"/>
      <c r="N526" s="36"/>
      <c r="O526" s="36"/>
      <c r="P526" s="36"/>
    </row>
    <row r="527" spans="3:16" ht="13" x14ac:dyDescent="0.6">
      <c r="C527" s="36"/>
      <c r="D527" s="36"/>
      <c r="E527" s="36"/>
      <c r="F527" s="36"/>
      <c r="G527" s="36"/>
      <c r="H527" s="36"/>
      <c r="I527" s="36"/>
      <c r="J527" s="36"/>
      <c r="K527" s="36"/>
      <c r="L527" s="36"/>
      <c r="M527" s="36"/>
      <c r="N527" s="36"/>
      <c r="O527" s="36"/>
      <c r="P527" s="36"/>
    </row>
    <row r="528" spans="3:16" ht="13" x14ac:dyDescent="0.6">
      <c r="C528" s="36"/>
      <c r="D528" s="36"/>
      <c r="E528" s="36"/>
      <c r="F528" s="36"/>
      <c r="G528" s="36"/>
      <c r="H528" s="36"/>
      <c r="I528" s="36"/>
      <c r="J528" s="36"/>
      <c r="K528" s="36"/>
      <c r="L528" s="36"/>
      <c r="M528" s="36"/>
      <c r="N528" s="36"/>
      <c r="O528" s="36"/>
      <c r="P528" s="36"/>
    </row>
    <row r="529" spans="3:16" ht="13" x14ac:dyDescent="0.6">
      <c r="C529" s="36"/>
      <c r="D529" s="36"/>
      <c r="E529" s="36"/>
      <c r="F529" s="36"/>
      <c r="G529" s="36"/>
      <c r="H529" s="36"/>
      <c r="I529" s="36"/>
      <c r="J529" s="36"/>
      <c r="K529" s="36"/>
      <c r="L529" s="36"/>
      <c r="M529" s="36"/>
      <c r="N529" s="36"/>
      <c r="O529" s="36"/>
      <c r="P529" s="36"/>
    </row>
    <row r="530" spans="3:16" ht="13" x14ac:dyDescent="0.6">
      <c r="C530" s="36"/>
      <c r="D530" s="36"/>
      <c r="E530" s="36"/>
      <c r="F530" s="36"/>
      <c r="G530" s="36"/>
      <c r="H530" s="36"/>
      <c r="I530" s="36"/>
      <c r="J530" s="36"/>
      <c r="K530" s="36"/>
      <c r="L530" s="36"/>
      <c r="M530" s="36"/>
      <c r="N530" s="36"/>
      <c r="O530" s="36"/>
      <c r="P530" s="36"/>
    </row>
    <row r="531" spans="3:16" ht="13" x14ac:dyDescent="0.6">
      <c r="C531" s="36"/>
      <c r="D531" s="36"/>
      <c r="E531" s="36"/>
      <c r="F531" s="36"/>
      <c r="G531" s="36"/>
      <c r="H531" s="36"/>
      <c r="I531" s="36"/>
      <c r="J531" s="36"/>
      <c r="K531" s="36"/>
      <c r="L531" s="36"/>
      <c r="M531" s="36"/>
      <c r="N531" s="36"/>
      <c r="O531" s="36"/>
      <c r="P531" s="36"/>
    </row>
    <row r="532" spans="3:16" ht="13" x14ac:dyDescent="0.6">
      <c r="C532" s="36"/>
      <c r="D532" s="36"/>
      <c r="E532" s="36"/>
      <c r="F532" s="36"/>
      <c r="G532" s="36"/>
      <c r="H532" s="36"/>
      <c r="I532" s="36"/>
      <c r="J532" s="36"/>
      <c r="K532" s="36"/>
      <c r="L532" s="36"/>
      <c r="M532" s="36"/>
      <c r="N532" s="36"/>
      <c r="O532" s="36"/>
      <c r="P532" s="36"/>
    </row>
    <row r="533" spans="3:16" ht="13" x14ac:dyDescent="0.6">
      <c r="C533" s="36"/>
      <c r="D533" s="36"/>
      <c r="E533" s="36"/>
      <c r="F533" s="36"/>
      <c r="G533" s="36"/>
      <c r="H533" s="36"/>
      <c r="I533" s="36"/>
      <c r="J533" s="36"/>
      <c r="K533" s="36"/>
      <c r="L533" s="36"/>
      <c r="M533" s="36"/>
      <c r="N533" s="36"/>
      <c r="O533" s="36"/>
      <c r="P533" s="36"/>
    </row>
    <row r="534" spans="3:16" ht="13" x14ac:dyDescent="0.6">
      <c r="C534" s="36"/>
      <c r="D534" s="36"/>
      <c r="E534" s="36"/>
      <c r="F534" s="36"/>
      <c r="G534" s="36"/>
      <c r="H534" s="36"/>
      <c r="I534" s="36"/>
      <c r="J534" s="36"/>
      <c r="K534" s="36"/>
      <c r="L534" s="36"/>
      <c r="M534" s="36"/>
      <c r="N534" s="36"/>
      <c r="O534" s="36"/>
      <c r="P534" s="36"/>
    </row>
    <row r="535" spans="3:16" ht="13" x14ac:dyDescent="0.6">
      <c r="C535" s="36"/>
      <c r="D535" s="36"/>
      <c r="E535" s="36"/>
      <c r="F535" s="36"/>
      <c r="G535" s="36"/>
      <c r="H535" s="36"/>
      <c r="I535" s="36"/>
      <c r="J535" s="36"/>
      <c r="K535" s="36"/>
      <c r="L535" s="36"/>
      <c r="M535" s="36"/>
      <c r="N535" s="36"/>
      <c r="O535" s="36"/>
      <c r="P535" s="36"/>
    </row>
    <row r="536" spans="3:16" ht="13" x14ac:dyDescent="0.6">
      <c r="C536" s="36"/>
      <c r="D536" s="36"/>
      <c r="E536" s="36"/>
      <c r="F536" s="36"/>
      <c r="G536" s="36"/>
      <c r="H536" s="36"/>
      <c r="I536" s="36"/>
      <c r="J536" s="36"/>
      <c r="K536" s="36"/>
      <c r="L536" s="36"/>
      <c r="M536" s="36"/>
      <c r="N536" s="36"/>
      <c r="O536" s="36"/>
      <c r="P536" s="36"/>
    </row>
    <row r="537" spans="3:16" ht="13" x14ac:dyDescent="0.6">
      <c r="C537" s="36"/>
      <c r="D537" s="36"/>
      <c r="E537" s="36"/>
      <c r="F537" s="36"/>
      <c r="G537" s="36"/>
      <c r="H537" s="36"/>
      <c r="I537" s="36"/>
      <c r="J537" s="36"/>
      <c r="K537" s="36"/>
      <c r="L537" s="36"/>
      <c r="M537" s="36"/>
      <c r="N537" s="36"/>
      <c r="O537" s="36"/>
      <c r="P537" s="36"/>
    </row>
    <row r="538" spans="3:16" ht="13" x14ac:dyDescent="0.6">
      <c r="C538" s="36"/>
      <c r="D538" s="36"/>
      <c r="E538" s="36"/>
      <c r="F538" s="36"/>
      <c r="G538" s="36"/>
      <c r="H538" s="36"/>
      <c r="I538" s="36"/>
      <c r="J538" s="36"/>
      <c r="K538" s="36"/>
      <c r="L538" s="36"/>
      <c r="M538" s="36"/>
      <c r="N538" s="36"/>
      <c r="O538" s="36"/>
      <c r="P538" s="36"/>
    </row>
    <row r="539" spans="3:16" ht="13" x14ac:dyDescent="0.6">
      <c r="C539" s="36"/>
      <c r="D539" s="36"/>
      <c r="E539" s="36"/>
      <c r="F539" s="36"/>
      <c r="G539" s="36"/>
      <c r="H539" s="36"/>
      <c r="I539" s="36"/>
      <c r="J539" s="36"/>
      <c r="K539" s="36"/>
      <c r="L539" s="36"/>
      <c r="M539" s="36"/>
      <c r="N539" s="36"/>
      <c r="O539" s="36"/>
      <c r="P539" s="36"/>
    </row>
    <row r="540" spans="3:16" ht="13" x14ac:dyDescent="0.6">
      <c r="C540" s="36"/>
      <c r="D540" s="36"/>
      <c r="E540" s="36"/>
      <c r="F540" s="36"/>
      <c r="G540" s="36"/>
      <c r="H540" s="36"/>
      <c r="I540" s="36"/>
      <c r="J540" s="36"/>
      <c r="K540" s="36"/>
      <c r="L540" s="36"/>
      <c r="M540" s="36"/>
      <c r="N540" s="36"/>
      <c r="O540" s="36"/>
      <c r="P540" s="36"/>
    </row>
    <row r="541" spans="3:16" ht="13" x14ac:dyDescent="0.6">
      <c r="C541" s="36"/>
      <c r="D541" s="36"/>
      <c r="E541" s="36"/>
      <c r="F541" s="36"/>
      <c r="G541" s="36"/>
      <c r="H541" s="36"/>
      <c r="I541" s="36"/>
      <c r="J541" s="36"/>
      <c r="K541" s="36"/>
      <c r="L541" s="36"/>
      <c r="M541" s="36"/>
      <c r="N541" s="36"/>
      <c r="O541" s="36"/>
      <c r="P541" s="36"/>
    </row>
    <row r="542" spans="3:16" ht="13" x14ac:dyDescent="0.6">
      <c r="C542" s="36"/>
      <c r="D542" s="36"/>
      <c r="E542" s="36"/>
      <c r="F542" s="36"/>
      <c r="G542" s="36"/>
      <c r="H542" s="36"/>
      <c r="I542" s="36"/>
      <c r="J542" s="36"/>
      <c r="K542" s="36"/>
      <c r="L542" s="36"/>
      <c r="M542" s="36"/>
      <c r="N542" s="36"/>
      <c r="O542" s="36"/>
      <c r="P542" s="36"/>
    </row>
    <row r="543" spans="3:16" ht="13" x14ac:dyDescent="0.6">
      <c r="C543" s="36"/>
      <c r="D543" s="36"/>
      <c r="E543" s="36"/>
      <c r="F543" s="36"/>
      <c r="G543" s="36"/>
      <c r="H543" s="36"/>
      <c r="I543" s="36"/>
      <c r="J543" s="36"/>
      <c r="K543" s="36"/>
      <c r="L543" s="36"/>
      <c r="M543" s="36"/>
      <c r="N543" s="36"/>
      <c r="O543" s="36"/>
      <c r="P543" s="36"/>
    </row>
    <row r="544" spans="3:16" ht="13" x14ac:dyDescent="0.6">
      <c r="C544" s="36"/>
      <c r="D544" s="36"/>
      <c r="E544" s="36"/>
      <c r="F544" s="36"/>
      <c r="G544" s="36"/>
      <c r="H544" s="36"/>
      <c r="I544" s="36"/>
      <c r="J544" s="36"/>
      <c r="K544" s="36"/>
      <c r="L544" s="36"/>
      <c r="M544" s="36"/>
      <c r="N544" s="36"/>
      <c r="O544" s="36"/>
      <c r="P544" s="36"/>
    </row>
    <row r="545" spans="3:16" ht="13" x14ac:dyDescent="0.6">
      <c r="C545" s="36"/>
      <c r="D545" s="36"/>
      <c r="E545" s="36"/>
      <c r="F545" s="36"/>
      <c r="G545" s="36"/>
      <c r="H545" s="36"/>
      <c r="I545" s="36"/>
      <c r="J545" s="36"/>
      <c r="K545" s="36"/>
      <c r="L545" s="36"/>
      <c r="M545" s="36"/>
      <c r="N545" s="36"/>
      <c r="O545" s="36"/>
      <c r="P545" s="36"/>
    </row>
    <row r="546" spans="3:16" ht="13" x14ac:dyDescent="0.6">
      <c r="C546" s="36"/>
      <c r="D546" s="36"/>
      <c r="E546" s="36"/>
      <c r="F546" s="36"/>
      <c r="G546" s="36"/>
      <c r="H546" s="36"/>
      <c r="I546" s="36"/>
      <c r="J546" s="36"/>
      <c r="K546" s="36"/>
      <c r="L546" s="36"/>
      <c r="M546" s="36"/>
      <c r="N546" s="36"/>
      <c r="O546" s="36"/>
      <c r="P546" s="36"/>
    </row>
    <row r="547" spans="3:16" ht="13" x14ac:dyDescent="0.6">
      <c r="C547" s="36"/>
      <c r="D547" s="36"/>
      <c r="E547" s="36"/>
      <c r="F547" s="36"/>
      <c r="G547" s="36"/>
      <c r="H547" s="36"/>
      <c r="I547" s="36"/>
      <c r="J547" s="36"/>
      <c r="K547" s="36"/>
      <c r="L547" s="36"/>
      <c r="M547" s="36"/>
      <c r="N547" s="36"/>
      <c r="O547" s="36"/>
      <c r="P547" s="36"/>
    </row>
    <row r="548" spans="3:16" ht="13" x14ac:dyDescent="0.6">
      <c r="C548" s="36"/>
      <c r="D548" s="36"/>
      <c r="E548" s="36"/>
      <c r="F548" s="36"/>
      <c r="G548" s="36"/>
      <c r="H548" s="36"/>
      <c r="I548" s="36"/>
      <c r="J548" s="36"/>
      <c r="K548" s="36"/>
      <c r="L548" s="36"/>
      <c r="M548" s="36"/>
      <c r="N548" s="36"/>
      <c r="O548" s="36"/>
      <c r="P548" s="36"/>
    </row>
    <row r="549" spans="3:16" ht="13" x14ac:dyDescent="0.6">
      <c r="C549" s="36"/>
      <c r="D549" s="36"/>
      <c r="E549" s="36"/>
      <c r="F549" s="36"/>
      <c r="G549" s="36"/>
      <c r="H549" s="36"/>
      <c r="I549" s="36"/>
      <c r="J549" s="36"/>
      <c r="K549" s="36"/>
      <c r="L549" s="36"/>
      <c r="M549" s="36"/>
      <c r="N549" s="36"/>
      <c r="O549" s="36"/>
      <c r="P549" s="36"/>
    </row>
    <row r="550" spans="3:16" ht="13" x14ac:dyDescent="0.6">
      <c r="C550" s="36"/>
      <c r="D550" s="36"/>
      <c r="E550" s="36"/>
      <c r="F550" s="36"/>
      <c r="G550" s="36"/>
      <c r="H550" s="36"/>
      <c r="I550" s="36"/>
      <c r="J550" s="36"/>
      <c r="K550" s="36"/>
      <c r="L550" s="36"/>
      <c r="M550" s="36"/>
      <c r="N550" s="36"/>
      <c r="O550" s="36"/>
      <c r="P550" s="36"/>
    </row>
    <row r="551" spans="3:16" ht="13" x14ac:dyDescent="0.6">
      <c r="C551" s="36"/>
      <c r="D551" s="36"/>
      <c r="E551" s="36"/>
      <c r="F551" s="36"/>
      <c r="G551" s="36"/>
      <c r="H551" s="36"/>
      <c r="I551" s="36"/>
      <c r="J551" s="36"/>
      <c r="K551" s="36"/>
      <c r="L551" s="36"/>
      <c r="M551" s="36"/>
      <c r="N551" s="36"/>
      <c r="O551" s="36"/>
      <c r="P551" s="36"/>
    </row>
    <row r="552" spans="3:16" ht="13" x14ac:dyDescent="0.6">
      <c r="C552" s="36"/>
      <c r="D552" s="36"/>
      <c r="E552" s="36"/>
      <c r="F552" s="36"/>
      <c r="G552" s="36"/>
      <c r="H552" s="36"/>
      <c r="I552" s="36"/>
      <c r="J552" s="36"/>
      <c r="K552" s="36"/>
      <c r="L552" s="36"/>
      <c r="M552" s="36"/>
      <c r="N552" s="36"/>
      <c r="O552" s="36"/>
      <c r="P552" s="36"/>
    </row>
    <row r="553" spans="3:16" ht="13" x14ac:dyDescent="0.6">
      <c r="C553" s="36"/>
      <c r="D553" s="36"/>
      <c r="E553" s="36"/>
      <c r="F553" s="36"/>
      <c r="G553" s="36"/>
      <c r="H553" s="36"/>
      <c r="I553" s="36"/>
      <c r="J553" s="36"/>
      <c r="K553" s="36"/>
      <c r="L553" s="36"/>
      <c r="M553" s="36"/>
      <c r="N553" s="36"/>
      <c r="O553" s="36"/>
      <c r="P553" s="36"/>
    </row>
    <row r="554" spans="3:16" ht="13" x14ac:dyDescent="0.6">
      <c r="C554" s="36"/>
      <c r="D554" s="36"/>
      <c r="E554" s="36"/>
      <c r="F554" s="36"/>
      <c r="G554" s="36"/>
      <c r="H554" s="36"/>
      <c r="I554" s="36"/>
      <c r="J554" s="36"/>
      <c r="K554" s="36"/>
      <c r="L554" s="36"/>
      <c r="M554" s="36"/>
      <c r="N554" s="36"/>
      <c r="O554" s="36"/>
      <c r="P554" s="36"/>
    </row>
    <row r="555" spans="3:16" ht="13" x14ac:dyDescent="0.6">
      <c r="C555" s="36"/>
      <c r="D555" s="36"/>
      <c r="E555" s="36"/>
      <c r="F555" s="36"/>
      <c r="G555" s="36"/>
      <c r="H555" s="36"/>
      <c r="I555" s="36"/>
      <c r="J555" s="36"/>
      <c r="K555" s="36"/>
      <c r="L555" s="36"/>
      <c r="M555" s="36"/>
      <c r="N555" s="36"/>
      <c r="O555" s="36"/>
      <c r="P555" s="36"/>
    </row>
    <row r="556" spans="3:16" ht="13" x14ac:dyDescent="0.6">
      <c r="C556" s="36"/>
      <c r="D556" s="36"/>
      <c r="E556" s="36"/>
      <c r="F556" s="36"/>
      <c r="G556" s="36"/>
      <c r="H556" s="36"/>
      <c r="I556" s="36"/>
      <c r="J556" s="36"/>
      <c r="K556" s="36"/>
      <c r="L556" s="36"/>
      <c r="M556" s="36"/>
      <c r="N556" s="36"/>
      <c r="O556" s="36"/>
      <c r="P556" s="36"/>
    </row>
    <row r="557" spans="3:16" ht="13" x14ac:dyDescent="0.6">
      <c r="C557" s="36"/>
      <c r="D557" s="36"/>
      <c r="E557" s="36"/>
      <c r="F557" s="36"/>
      <c r="G557" s="36"/>
      <c r="H557" s="36"/>
      <c r="I557" s="36"/>
      <c r="J557" s="36"/>
      <c r="K557" s="36"/>
      <c r="L557" s="36"/>
      <c r="M557" s="36"/>
      <c r="N557" s="36"/>
      <c r="O557" s="36"/>
      <c r="P557" s="36"/>
    </row>
    <row r="558" spans="3:16" ht="13" x14ac:dyDescent="0.6">
      <c r="C558" s="36"/>
      <c r="D558" s="36"/>
      <c r="E558" s="36"/>
      <c r="F558" s="36"/>
      <c r="G558" s="36"/>
      <c r="H558" s="36"/>
      <c r="I558" s="36"/>
      <c r="J558" s="36"/>
      <c r="K558" s="36"/>
      <c r="L558" s="36"/>
      <c r="M558" s="36"/>
      <c r="N558" s="36"/>
      <c r="O558" s="36"/>
      <c r="P558" s="36"/>
    </row>
    <row r="559" spans="3:16" ht="13" x14ac:dyDescent="0.6">
      <c r="C559" s="36"/>
      <c r="D559" s="36"/>
      <c r="E559" s="36"/>
      <c r="F559" s="36"/>
      <c r="G559" s="36"/>
      <c r="H559" s="36"/>
      <c r="I559" s="36"/>
      <c r="J559" s="36"/>
      <c r="K559" s="36"/>
      <c r="L559" s="36"/>
      <c r="M559" s="36"/>
      <c r="N559" s="36"/>
      <c r="O559" s="36"/>
      <c r="P559" s="36"/>
    </row>
    <row r="560" spans="3:16" ht="13" x14ac:dyDescent="0.6">
      <c r="C560" s="36"/>
      <c r="D560" s="36"/>
      <c r="E560" s="36"/>
      <c r="F560" s="36"/>
      <c r="G560" s="36"/>
      <c r="H560" s="36"/>
      <c r="I560" s="36"/>
      <c r="J560" s="36"/>
      <c r="K560" s="36"/>
      <c r="L560" s="36"/>
      <c r="M560" s="36"/>
      <c r="N560" s="36"/>
      <c r="O560" s="36"/>
      <c r="P560" s="36"/>
    </row>
    <row r="561" spans="3:16" ht="13" x14ac:dyDescent="0.6">
      <c r="C561" s="36"/>
      <c r="D561" s="36"/>
      <c r="E561" s="36"/>
      <c r="F561" s="36"/>
      <c r="G561" s="36"/>
      <c r="H561" s="36"/>
      <c r="I561" s="36"/>
      <c r="J561" s="36"/>
      <c r="K561" s="36"/>
      <c r="L561" s="36"/>
      <c r="M561" s="36"/>
      <c r="N561" s="36"/>
      <c r="O561" s="36"/>
      <c r="P561" s="36"/>
    </row>
    <row r="562" spans="3:16" ht="13" x14ac:dyDescent="0.6">
      <c r="C562" s="36"/>
      <c r="D562" s="36"/>
      <c r="E562" s="36"/>
      <c r="F562" s="36"/>
      <c r="G562" s="36"/>
      <c r="H562" s="36"/>
      <c r="I562" s="36"/>
      <c r="J562" s="36"/>
      <c r="K562" s="36"/>
      <c r="L562" s="36"/>
      <c r="M562" s="36"/>
      <c r="N562" s="36"/>
      <c r="O562" s="36"/>
      <c r="P562" s="36"/>
    </row>
    <row r="563" spans="3:16" ht="13" x14ac:dyDescent="0.6">
      <c r="C563" s="36"/>
      <c r="D563" s="36"/>
      <c r="E563" s="36"/>
      <c r="F563" s="36"/>
      <c r="G563" s="36"/>
      <c r="H563" s="36"/>
      <c r="I563" s="36"/>
      <c r="J563" s="36"/>
      <c r="K563" s="36"/>
      <c r="L563" s="36"/>
      <c r="M563" s="36"/>
      <c r="N563" s="36"/>
      <c r="O563" s="36"/>
      <c r="P563" s="36"/>
    </row>
    <row r="564" spans="3:16" ht="13" x14ac:dyDescent="0.6">
      <c r="C564" s="36"/>
      <c r="D564" s="36"/>
      <c r="E564" s="36"/>
      <c r="F564" s="36"/>
      <c r="G564" s="36"/>
      <c r="H564" s="36"/>
      <c r="I564" s="36"/>
      <c r="J564" s="36"/>
      <c r="K564" s="36"/>
      <c r="L564" s="36"/>
      <c r="M564" s="36"/>
      <c r="N564" s="36"/>
      <c r="O564" s="36"/>
      <c r="P564" s="36"/>
    </row>
    <row r="565" spans="3:16" ht="13" x14ac:dyDescent="0.6">
      <c r="C565" s="36"/>
      <c r="D565" s="36"/>
      <c r="E565" s="36"/>
      <c r="F565" s="36"/>
      <c r="G565" s="36"/>
      <c r="H565" s="36"/>
      <c r="I565" s="36"/>
      <c r="J565" s="36"/>
      <c r="K565" s="36"/>
      <c r="L565" s="36"/>
      <c r="M565" s="36"/>
      <c r="N565" s="36"/>
      <c r="O565" s="36"/>
      <c r="P565" s="36"/>
    </row>
    <row r="566" spans="3:16" ht="13" x14ac:dyDescent="0.6">
      <c r="C566" s="36"/>
      <c r="D566" s="36"/>
      <c r="E566" s="36"/>
      <c r="F566" s="36"/>
      <c r="G566" s="36"/>
      <c r="H566" s="36"/>
      <c r="I566" s="36"/>
      <c r="J566" s="36"/>
      <c r="K566" s="36"/>
      <c r="L566" s="36"/>
      <c r="M566" s="36"/>
      <c r="N566" s="36"/>
      <c r="O566" s="36"/>
      <c r="P566" s="36"/>
    </row>
    <row r="567" spans="3:16" ht="13" x14ac:dyDescent="0.6">
      <c r="C567" s="36"/>
      <c r="D567" s="36"/>
      <c r="E567" s="36"/>
      <c r="F567" s="36"/>
      <c r="G567" s="36"/>
      <c r="H567" s="36"/>
      <c r="I567" s="36"/>
      <c r="J567" s="36"/>
      <c r="K567" s="36"/>
      <c r="L567" s="36"/>
      <c r="M567" s="36"/>
      <c r="N567" s="36"/>
      <c r="O567" s="36"/>
      <c r="P567" s="36"/>
    </row>
    <row r="568" spans="3:16" ht="13" x14ac:dyDescent="0.6">
      <c r="C568" s="36"/>
      <c r="D568" s="36"/>
      <c r="E568" s="36"/>
      <c r="F568" s="36"/>
      <c r="G568" s="36"/>
      <c r="H568" s="36"/>
      <c r="I568" s="36"/>
      <c r="J568" s="36"/>
      <c r="K568" s="36"/>
      <c r="L568" s="36"/>
      <c r="M568" s="36"/>
      <c r="N568" s="36"/>
      <c r="O568" s="36"/>
      <c r="P568" s="36"/>
    </row>
    <row r="569" spans="3:16" ht="13" x14ac:dyDescent="0.6">
      <c r="C569" s="36"/>
      <c r="D569" s="36"/>
      <c r="E569" s="36"/>
      <c r="F569" s="36"/>
      <c r="G569" s="36"/>
      <c r="H569" s="36"/>
      <c r="I569" s="36"/>
      <c r="J569" s="36"/>
      <c r="K569" s="36"/>
      <c r="L569" s="36"/>
      <c r="M569" s="36"/>
      <c r="N569" s="36"/>
      <c r="O569" s="36"/>
      <c r="P569" s="36"/>
    </row>
    <row r="570" spans="3:16" ht="13" x14ac:dyDescent="0.6">
      <c r="C570" s="36"/>
      <c r="D570" s="36"/>
      <c r="E570" s="36"/>
      <c r="F570" s="36"/>
      <c r="G570" s="36"/>
      <c r="H570" s="36"/>
      <c r="I570" s="36"/>
      <c r="J570" s="36"/>
      <c r="K570" s="36"/>
      <c r="L570" s="36"/>
      <c r="M570" s="36"/>
      <c r="N570" s="36"/>
      <c r="O570" s="36"/>
      <c r="P570" s="36"/>
    </row>
    <row r="571" spans="3:16" ht="13" x14ac:dyDescent="0.6">
      <c r="C571" s="36"/>
      <c r="D571" s="36"/>
      <c r="E571" s="36"/>
      <c r="F571" s="36"/>
      <c r="G571" s="36"/>
      <c r="H571" s="36"/>
      <c r="I571" s="36"/>
      <c r="J571" s="36"/>
      <c r="K571" s="36"/>
      <c r="L571" s="36"/>
      <c r="M571" s="36"/>
      <c r="N571" s="36"/>
      <c r="O571" s="36"/>
      <c r="P571" s="36"/>
    </row>
    <row r="572" spans="3:16" ht="13" x14ac:dyDescent="0.6">
      <c r="C572" s="36"/>
      <c r="D572" s="36"/>
      <c r="E572" s="36"/>
      <c r="F572" s="36"/>
      <c r="G572" s="36"/>
      <c r="H572" s="36"/>
      <c r="I572" s="36"/>
      <c r="J572" s="36"/>
      <c r="K572" s="36"/>
      <c r="L572" s="36"/>
      <c r="M572" s="36"/>
      <c r="N572" s="36"/>
      <c r="O572" s="36"/>
      <c r="P572" s="36"/>
    </row>
    <row r="573" spans="3:16" ht="13" x14ac:dyDescent="0.6">
      <c r="C573" s="36"/>
      <c r="D573" s="36"/>
      <c r="E573" s="36"/>
      <c r="F573" s="36"/>
      <c r="G573" s="36"/>
      <c r="H573" s="36"/>
      <c r="I573" s="36"/>
      <c r="J573" s="36"/>
      <c r="K573" s="36"/>
      <c r="L573" s="36"/>
      <c r="M573" s="36"/>
      <c r="N573" s="36"/>
      <c r="O573" s="36"/>
      <c r="P573" s="36"/>
    </row>
    <row r="574" spans="3:16" ht="13" x14ac:dyDescent="0.6">
      <c r="C574" s="36"/>
      <c r="D574" s="36"/>
      <c r="E574" s="36"/>
      <c r="F574" s="36"/>
      <c r="G574" s="36"/>
      <c r="H574" s="36"/>
      <c r="I574" s="36"/>
      <c r="J574" s="36"/>
      <c r="K574" s="36"/>
      <c r="L574" s="36"/>
      <c r="M574" s="36"/>
      <c r="N574" s="36"/>
      <c r="O574" s="36"/>
      <c r="P574" s="36"/>
    </row>
    <row r="575" spans="3:16" ht="13" x14ac:dyDescent="0.6">
      <c r="C575" s="36"/>
      <c r="D575" s="36"/>
      <c r="E575" s="36"/>
      <c r="F575" s="36"/>
      <c r="G575" s="36"/>
      <c r="H575" s="36"/>
      <c r="I575" s="36"/>
      <c r="J575" s="36"/>
      <c r="K575" s="36"/>
      <c r="L575" s="36"/>
      <c r="M575" s="36"/>
      <c r="N575" s="36"/>
      <c r="O575" s="36"/>
      <c r="P575" s="36"/>
    </row>
    <row r="576" spans="3:16" ht="13" x14ac:dyDescent="0.6">
      <c r="C576" s="36"/>
      <c r="D576" s="36"/>
      <c r="E576" s="36"/>
      <c r="F576" s="36"/>
      <c r="G576" s="36"/>
      <c r="H576" s="36"/>
      <c r="I576" s="36"/>
      <c r="J576" s="36"/>
      <c r="K576" s="36"/>
      <c r="L576" s="36"/>
      <c r="M576" s="36"/>
      <c r="N576" s="36"/>
      <c r="O576" s="36"/>
      <c r="P576" s="36"/>
    </row>
    <row r="577" spans="3:16" ht="13" x14ac:dyDescent="0.6">
      <c r="C577" s="36"/>
      <c r="D577" s="36"/>
      <c r="E577" s="36"/>
      <c r="F577" s="36"/>
      <c r="G577" s="36"/>
      <c r="H577" s="36"/>
      <c r="I577" s="36"/>
      <c r="J577" s="36"/>
      <c r="K577" s="36"/>
      <c r="L577" s="36"/>
      <c r="M577" s="36"/>
      <c r="N577" s="36"/>
      <c r="O577" s="36"/>
      <c r="P577" s="36"/>
    </row>
    <row r="578" spans="3:16" ht="13" x14ac:dyDescent="0.6">
      <c r="C578" s="36"/>
      <c r="D578" s="36"/>
      <c r="E578" s="36"/>
      <c r="F578" s="36"/>
      <c r="G578" s="36"/>
      <c r="H578" s="36"/>
      <c r="I578" s="36"/>
      <c r="J578" s="36"/>
      <c r="K578" s="36"/>
      <c r="L578" s="36"/>
      <c r="M578" s="36"/>
      <c r="N578" s="36"/>
      <c r="O578" s="36"/>
      <c r="P578" s="36"/>
    </row>
    <row r="579" spans="3:16" ht="13" x14ac:dyDescent="0.6">
      <c r="C579" s="36"/>
      <c r="D579" s="36"/>
      <c r="E579" s="36"/>
      <c r="F579" s="36"/>
      <c r="G579" s="36"/>
      <c r="H579" s="36"/>
      <c r="I579" s="36"/>
      <c r="J579" s="36"/>
      <c r="K579" s="36"/>
      <c r="L579" s="36"/>
      <c r="M579" s="36"/>
      <c r="N579" s="36"/>
      <c r="O579" s="36"/>
      <c r="P579" s="36"/>
    </row>
    <row r="580" spans="3:16" ht="13" x14ac:dyDescent="0.6">
      <c r="C580" s="36"/>
      <c r="D580" s="36"/>
      <c r="E580" s="36"/>
      <c r="F580" s="36"/>
      <c r="G580" s="36"/>
      <c r="H580" s="36"/>
      <c r="I580" s="36"/>
      <c r="J580" s="36"/>
      <c r="K580" s="36"/>
      <c r="L580" s="36"/>
      <c r="M580" s="36"/>
      <c r="N580" s="36"/>
      <c r="O580" s="36"/>
      <c r="P580" s="36"/>
    </row>
    <row r="581" spans="3:16" ht="13" x14ac:dyDescent="0.6">
      <c r="C581" s="36"/>
      <c r="D581" s="36"/>
      <c r="E581" s="36"/>
      <c r="F581" s="36"/>
      <c r="G581" s="36"/>
      <c r="H581" s="36"/>
      <c r="I581" s="36"/>
      <c r="J581" s="36"/>
      <c r="K581" s="36"/>
      <c r="L581" s="36"/>
      <c r="M581" s="36"/>
      <c r="N581" s="36"/>
      <c r="O581" s="36"/>
      <c r="P581" s="36"/>
    </row>
    <row r="582" spans="3:16" ht="13" x14ac:dyDescent="0.6">
      <c r="C582" s="36"/>
      <c r="D582" s="36"/>
      <c r="E582" s="36"/>
      <c r="F582" s="36"/>
      <c r="G582" s="36"/>
      <c r="H582" s="36"/>
      <c r="I582" s="36"/>
      <c r="J582" s="36"/>
      <c r="K582" s="36"/>
      <c r="L582" s="36"/>
      <c r="M582" s="36"/>
      <c r="N582" s="36"/>
      <c r="O582" s="36"/>
      <c r="P582" s="36"/>
    </row>
    <row r="583" spans="3:16" ht="13" x14ac:dyDescent="0.6">
      <c r="C583" s="36"/>
      <c r="D583" s="36"/>
      <c r="E583" s="36"/>
      <c r="F583" s="36"/>
      <c r="G583" s="36"/>
      <c r="H583" s="36"/>
      <c r="I583" s="36"/>
      <c r="J583" s="36"/>
      <c r="K583" s="36"/>
      <c r="L583" s="36"/>
      <c r="M583" s="36"/>
      <c r="N583" s="36"/>
      <c r="O583" s="36"/>
      <c r="P583" s="36"/>
    </row>
    <row r="584" spans="3:16" ht="13" x14ac:dyDescent="0.6">
      <c r="C584" s="36"/>
      <c r="D584" s="36"/>
      <c r="E584" s="36"/>
      <c r="F584" s="36"/>
      <c r="G584" s="36"/>
      <c r="H584" s="36"/>
      <c r="I584" s="36"/>
      <c r="J584" s="36"/>
      <c r="K584" s="36"/>
      <c r="L584" s="36"/>
      <c r="M584" s="36"/>
      <c r="N584" s="36"/>
      <c r="O584" s="36"/>
      <c r="P584" s="36"/>
    </row>
    <row r="585" spans="3:16" ht="13" x14ac:dyDescent="0.6">
      <c r="C585" s="36"/>
      <c r="D585" s="36"/>
      <c r="E585" s="36"/>
      <c r="F585" s="36"/>
      <c r="G585" s="36"/>
      <c r="H585" s="36"/>
      <c r="I585" s="36"/>
      <c r="J585" s="36"/>
      <c r="K585" s="36"/>
      <c r="L585" s="36"/>
      <c r="M585" s="36"/>
      <c r="N585" s="36"/>
      <c r="O585" s="36"/>
      <c r="P585" s="36"/>
    </row>
    <row r="586" spans="3:16" ht="13" x14ac:dyDescent="0.6">
      <c r="C586" s="36"/>
      <c r="D586" s="36"/>
      <c r="E586" s="36"/>
      <c r="F586" s="36"/>
      <c r="G586" s="36"/>
      <c r="H586" s="36"/>
      <c r="I586" s="36"/>
      <c r="J586" s="36"/>
      <c r="K586" s="36"/>
      <c r="L586" s="36"/>
      <c r="M586" s="36"/>
      <c r="N586" s="36"/>
      <c r="O586" s="36"/>
      <c r="P586" s="36"/>
    </row>
    <row r="587" spans="3:16" ht="13" x14ac:dyDescent="0.6">
      <c r="C587" s="36"/>
      <c r="D587" s="36"/>
      <c r="E587" s="36"/>
      <c r="F587" s="36"/>
      <c r="G587" s="36"/>
      <c r="H587" s="36"/>
      <c r="I587" s="36"/>
      <c r="J587" s="36"/>
      <c r="K587" s="36"/>
      <c r="L587" s="36"/>
      <c r="M587" s="36"/>
      <c r="N587" s="36"/>
      <c r="O587" s="36"/>
      <c r="P587" s="36"/>
    </row>
    <row r="588" spans="3:16" ht="13" x14ac:dyDescent="0.6">
      <c r="C588" s="36"/>
      <c r="D588" s="36"/>
      <c r="E588" s="36"/>
      <c r="F588" s="36"/>
      <c r="G588" s="36"/>
      <c r="H588" s="36"/>
      <c r="I588" s="36"/>
      <c r="J588" s="36"/>
      <c r="K588" s="36"/>
      <c r="L588" s="36"/>
      <c r="M588" s="36"/>
      <c r="N588" s="36"/>
      <c r="O588" s="36"/>
      <c r="P588" s="36"/>
    </row>
    <row r="589" spans="3:16" ht="13" x14ac:dyDescent="0.6">
      <c r="C589" s="36"/>
      <c r="D589" s="36"/>
      <c r="E589" s="36"/>
      <c r="F589" s="36"/>
      <c r="G589" s="36"/>
      <c r="H589" s="36"/>
      <c r="I589" s="36"/>
      <c r="J589" s="36"/>
      <c r="K589" s="36"/>
      <c r="L589" s="36"/>
      <c r="M589" s="36"/>
      <c r="N589" s="36"/>
      <c r="O589" s="36"/>
      <c r="P589" s="36"/>
    </row>
    <row r="590" spans="3:16" ht="13" x14ac:dyDescent="0.6">
      <c r="C590" s="36"/>
      <c r="D590" s="36"/>
      <c r="E590" s="36"/>
      <c r="F590" s="36"/>
      <c r="G590" s="36"/>
      <c r="H590" s="36"/>
      <c r="I590" s="36"/>
      <c r="J590" s="36"/>
      <c r="K590" s="36"/>
      <c r="L590" s="36"/>
      <c r="M590" s="36"/>
      <c r="N590" s="36"/>
      <c r="O590" s="36"/>
      <c r="P590" s="36"/>
    </row>
    <row r="591" spans="3:16" ht="13" x14ac:dyDescent="0.6">
      <c r="C591" s="36"/>
      <c r="D591" s="36"/>
      <c r="E591" s="36"/>
      <c r="F591" s="36"/>
      <c r="G591" s="36"/>
      <c r="H591" s="36"/>
      <c r="I591" s="36"/>
      <c r="J591" s="36"/>
      <c r="K591" s="36"/>
      <c r="L591" s="36"/>
      <c r="M591" s="36"/>
      <c r="N591" s="36"/>
      <c r="O591" s="36"/>
      <c r="P591" s="36"/>
    </row>
    <row r="592" spans="3:16" ht="13" x14ac:dyDescent="0.6">
      <c r="C592" s="36"/>
      <c r="D592" s="36"/>
      <c r="E592" s="36"/>
      <c r="F592" s="36"/>
      <c r="G592" s="36"/>
      <c r="H592" s="36"/>
      <c r="I592" s="36"/>
      <c r="J592" s="36"/>
      <c r="K592" s="36"/>
      <c r="L592" s="36"/>
      <c r="M592" s="36"/>
      <c r="N592" s="36"/>
      <c r="O592" s="36"/>
      <c r="P592" s="36"/>
    </row>
    <row r="593" spans="3:16" ht="13" x14ac:dyDescent="0.6">
      <c r="C593" s="36"/>
      <c r="D593" s="36"/>
      <c r="E593" s="36"/>
      <c r="F593" s="36"/>
      <c r="G593" s="36"/>
      <c r="H593" s="36"/>
      <c r="I593" s="36"/>
      <c r="J593" s="36"/>
      <c r="K593" s="36"/>
      <c r="L593" s="36"/>
      <c r="M593" s="36"/>
      <c r="N593" s="36"/>
      <c r="O593" s="36"/>
      <c r="P593" s="36"/>
    </row>
    <row r="594" spans="3:16" ht="13" x14ac:dyDescent="0.6">
      <c r="C594" s="36"/>
      <c r="D594" s="36"/>
      <c r="E594" s="36"/>
      <c r="F594" s="36"/>
      <c r="G594" s="36"/>
      <c r="H594" s="36"/>
      <c r="I594" s="36"/>
      <c r="J594" s="36"/>
      <c r="K594" s="36"/>
      <c r="L594" s="36"/>
      <c r="M594" s="36"/>
      <c r="N594" s="36"/>
      <c r="O594" s="36"/>
      <c r="P594" s="36"/>
    </row>
    <row r="595" spans="3:16" ht="13" x14ac:dyDescent="0.6">
      <c r="C595" s="36"/>
      <c r="D595" s="36"/>
      <c r="E595" s="36"/>
      <c r="F595" s="36"/>
      <c r="G595" s="36"/>
      <c r="H595" s="36"/>
      <c r="I595" s="36"/>
      <c r="J595" s="36"/>
      <c r="K595" s="36"/>
      <c r="L595" s="36"/>
      <c r="M595" s="36"/>
      <c r="N595" s="36"/>
      <c r="O595" s="36"/>
      <c r="P595" s="36"/>
    </row>
    <row r="596" spans="3:16" ht="13" x14ac:dyDescent="0.6">
      <c r="C596" s="36"/>
      <c r="D596" s="36"/>
      <c r="E596" s="36"/>
      <c r="F596" s="36"/>
      <c r="G596" s="36"/>
      <c r="H596" s="36"/>
      <c r="I596" s="36"/>
      <c r="J596" s="36"/>
      <c r="K596" s="36"/>
      <c r="L596" s="36"/>
      <c r="M596" s="36"/>
      <c r="N596" s="36"/>
      <c r="O596" s="36"/>
      <c r="P596" s="36"/>
    </row>
    <row r="597" spans="3:16" ht="13" x14ac:dyDescent="0.6">
      <c r="C597" s="36"/>
      <c r="D597" s="36"/>
      <c r="E597" s="36"/>
      <c r="F597" s="36"/>
      <c r="G597" s="36"/>
      <c r="H597" s="36"/>
      <c r="I597" s="36"/>
      <c r="J597" s="36"/>
      <c r="K597" s="36"/>
      <c r="L597" s="36"/>
      <c r="M597" s="36"/>
      <c r="N597" s="36"/>
      <c r="O597" s="36"/>
      <c r="P597" s="36"/>
    </row>
    <row r="598" spans="3:16" ht="13" x14ac:dyDescent="0.6">
      <c r="C598" s="36"/>
      <c r="D598" s="36"/>
      <c r="E598" s="36"/>
      <c r="F598" s="36"/>
      <c r="G598" s="36"/>
      <c r="H598" s="36"/>
      <c r="I598" s="36"/>
      <c r="J598" s="36"/>
      <c r="K598" s="36"/>
      <c r="L598" s="36"/>
      <c r="M598" s="36"/>
      <c r="N598" s="36"/>
      <c r="O598" s="36"/>
      <c r="P598" s="36"/>
    </row>
    <row r="599" spans="3:16" ht="13" x14ac:dyDescent="0.6">
      <c r="C599" s="36"/>
      <c r="D599" s="36"/>
      <c r="E599" s="36"/>
      <c r="F599" s="36"/>
      <c r="G599" s="36"/>
      <c r="H599" s="36"/>
      <c r="I599" s="36"/>
      <c r="J599" s="36"/>
      <c r="K599" s="36"/>
      <c r="L599" s="36"/>
      <c r="M599" s="36"/>
      <c r="N599" s="36"/>
      <c r="O599" s="36"/>
      <c r="P599" s="36"/>
    </row>
    <row r="600" spans="3:16" ht="13" x14ac:dyDescent="0.6">
      <c r="C600" s="36"/>
      <c r="D600" s="36"/>
      <c r="E600" s="36"/>
      <c r="F600" s="36"/>
      <c r="G600" s="36"/>
      <c r="H600" s="36"/>
      <c r="I600" s="36"/>
      <c r="J600" s="36"/>
      <c r="K600" s="36"/>
      <c r="L600" s="36"/>
      <c r="M600" s="36"/>
      <c r="N600" s="36"/>
      <c r="O600" s="36"/>
      <c r="P600" s="36"/>
    </row>
    <row r="601" spans="3:16" ht="13" x14ac:dyDescent="0.6">
      <c r="C601" s="36"/>
      <c r="D601" s="36"/>
      <c r="E601" s="36"/>
      <c r="F601" s="36"/>
      <c r="G601" s="36"/>
      <c r="H601" s="36"/>
      <c r="I601" s="36"/>
      <c r="J601" s="36"/>
      <c r="K601" s="36"/>
      <c r="L601" s="36"/>
      <c r="M601" s="36"/>
      <c r="N601" s="36"/>
      <c r="O601" s="36"/>
      <c r="P601" s="36"/>
    </row>
    <row r="602" spans="3:16" ht="13" x14ac:dyDescent="0.6">
      <c r="C602" s="36"/>
      <c r="D602" s="36"/>
      <c r="E602" s="36"/>
      <c r="F602" s="36"/>
      <c r="G602" s="36"/>
      <c r="H602" s="36"/>
      <c r="I602" s="36"/>
      <c r="J602" s="36"/>
      <c r="K602" s="36"/>
      <c r="L602" s="36"/>
      <c r="M602" s="36"/>
      <c r="N602" s="36"/>
      <c r="O602" s="36"/>
      <c r="P602" s="36"/>
    </row>
    <row r="603" spans="3:16" ht="13" x14ac:dyDescent="0.6">
      <c r="C603" s="36"/>
      <c r="D603" s="36"/>
      <c r="E603" s="36"/>
      <c r="F603" s="36"/>
      <c r="G603" s="36"/>
      <c r="H603" s="36"/>
      <c r="I603" s="36"/>
      <c r="J603" s="36"/>
      <c r="K603" s="36"/>
      <c r="L603" s="36"/>
      <c r="M603" s="36"/>
      <c r="N603" s="36"/>
      <c r="O603" s="36"/>
      <c r="P603" s="36"/>
    </row>
    <row r="604" spans="3:16" ht="13" x14ac:dyDescent="0.6">
      <c r="C604" s="36"/>
      <c r="D604" s="36"/>
      <c r="E604" s="36"/>
      <c r="F604" s="36"/>
      <c r="G604" s="36"/>
      <c r="H604" s="36"/>
      <c r="I604" s="36"/>
      <c r="J604" s="36"/>
      <c r="K604" s="36"/>
      <c r="L604" s="36"/>
      <c r="M604" s="36"/>
      <c r="N604" s="36"/>
      <c r="O604" s="36"/>
      <c r="P604" s="36"/>
    </row>
    <row r="605" spans="3:16" ht="13" x14ac:dyDescent="0.6">
      <c r="C605" s="36"/>
      <c r="D605" s="36"/>
      <c r="E605" s="36"/>
      <c r="F605" s="36"/>
      <c r="G605" s="36"/>
      <c r="H605" s="36"/>
      <c r="I605" s="36"/>
      <c r="J605" s="36"/>
      <c r="K605" s="36"/>
      <c r="L605" s="36"/>
      <c r="M605" s="36"/>
      <c r="N605" s="36"/>
      <c r="O605" s="36"/>
      <c r="P605" s="36"/>
    </row>
    <row r="606" spans="3:16" ht="13" x14ac:dyDescent="0.6">
      <c r="C606" s="36"/>
      <c r="D606" s="36"/>
      <c r="E606" s="36"/>
      <c r="F606" s="36"/>
      <c r="G606" s="36"/>
      <c r="H606" s="36"/>
      <c r="I606" s="36"/>
      <c r="J606" s="36"/>
      <c r="K606" s="36"/>
      <c r="L606" s="36"/>
      <c r="M606" s="36"/>
      <c r="N606" s="36"/>
      <c r="O606" s="36"/>
      <c r="P606" s="36"/>
    </row>
    <row r="607" spans="3:16" ht="13" x14ac:dyDescent="0.6">
      <c r="C607" s="36"/>
      <c r="D607" s="36"/>
      <c r="E607" s="36"/>
      <c r="F607" s="36"/>
      <c r="G607" s="36"/>
      <c r="H607" s="36"/>
      <c r="I607" s="36"/>
      <c r="J607" s="36"/>
      <c r="K607" s="36"/>
      <c r="L607" s="36"/>
      <c r="M607" s="36"/>
      <c r="N607" s="36"/>
      <c r="O607" s="36"/>
      <c r="P607" s="36"/>
    </row>
    <row r="608" spans="3:16" ht="13" x14ac:dyDescent="0.6">
      <c r="C608" s="36"/>
      <c r="D608" s="36"/>
      <c r="E608" s="36"/>
      <c r="F608" s="36"/>
      <c r="G608" s="36"/>
      <c r="H608" s="36"/>
      <c r="I608" s="36"/>
      <c r="J608" s="36"/>
      <c r="K608" s="36"/>
      <c r="L608" s="36"/>
      <c r="M608" s="36"/>
      <c r="N608" s="36"/>
      <c r="O608" s="36"/>
      <c r="P608" s="36"/>
    </row>
    <row r="609" spans="3:16" ht="13" x14ac:dyDescent="0.6">
      <c r="C609" s="36"/>
      <c r="D609" s="36"/>
      <c r="E609" s="36"/>
      <c r="F609" s="36"/>
      <c r="G609" s="36"/>
      <c r="H609" s="36"/>
      <c r="I609" s="36"/>
      <c r="J609" s="36"/>
      <c r="K609" s="36"/>
      <c r="L609" s="36"/>
      <c r="M609" s="36"/>
      <c r="N609" s="36"/>
      <c r="O609" s="36"/>
      <c r="P609" s="36"/>
    </row>
    <row r="610" spans="3:16" ht="13" x14ac:dyDescent="0.6">
      <c r="C610" s="36"/>
      <c r="D610" s="36"/>
      <c r="E610" s="36"/>
      <c r="F610" s="36"/>
      <c r="G610" s="36"/>
      <c r="H610" s="36"/>
      <c r="I610" s="36"/>
      <c r="J610" s="36"/>
      <c r="K610" s="36"/>
      <c r="L610" s="36"/>
      <c r="M610" s="36"/>
      <c r="N610" s="36"/>
      <c r="O610" s="36"/>
      <c r="P610" s="36"/>
    </row>
    <row r="611" spans="3:16" ht="13" x14ac:dyDescent="0.6">
      <c r="C611" s="36"/>
      <c r="D611" s="36"/>
      <c r="E611" s="36"/>
      <c r="F611" s="36"/>
      <c r="G611" s="36"/>
      <c r="H611" s="36"/>
      <c r="I611" s="36"/>
      <c r="J611" s="36"/>
      <c r="K611" s="36"/>
      <c r="L611" s="36"/>
      <c r="M611" s="36"/>
      <c r="N611" s="36"/>
      <c r="O611" s="36"/>
      <c r="P611" s="36"/>
    </row>
    <row r="612" spans="3:16" ht="13" x14ac:dyDescent="0.6">
      <c r="C612" s="36"/>
      <c r="D612" s="36"/>
      <c r="E612" s="36"/>
      <c r="F612" s="36"/>
      <c r="G612" s="36"/>
      <c r="H612" s="36"/>
      <c r="I612" s="36"/>
      <c r="J612" s="36"/>
      <c r="K612" s="36"/>
      <c r="L612" s="36"/>
      <c r="M612" s="36"/>
      <c r="N612" s="36"/>
      <c r="O612" s="36"/>
      <c r="P612" s="36"/>
    </row>
    <row r="613" spans="3:16" ht="13" x14ac:dyDescent="0.6">
      <c r="C613" s="36"/>
      <c r="D613" s="36"/>
      <c r="E613" s="36"/>
      <c r="F613" s="36"/>
      <c r="G613" s="36"/>
      <c r="H613" s="36"/>
      <c r="I613" s="36"/>
      <c r="J613" s="36"/>
      <c r="K613" s="36"/>
      <c r="L613" s="36"/>
      <c r="M613" s="36"/>
      <c r="N613" s="36"/>
      <c r="O613" s="36"/>
      <c r="P613" s="36"/>
    </row>
    <row r="614" spans="3:16" ht="13" x14ac:dyDescent="0.6">
      <c r="C614" s="36"/>
      <c r="D614" s="36"/>
      <c r="E614" s="36"/>
      <c r="F614" s="36"/>
      <c r="G614" s="36"/>
      <c r="H614" s="36"/>
      <c r="I614" s="36"/>
      <c r="J614" s="36"/>
      <c r="K614" s="36"/>
      <c r="L614" s="36"/>
      <c r="M614" s="36"/>
      <c r="N614" s="36"/>
      <c r="O614" s="36"/>
      <c r="P614" s="36"/>
    </row>
    <row r="615" spans="3:16" ht="13" x14ac:dyDescent="0.6">
      <c r="C615" s="36"/>
      <c r="D615" s="36"/>
      <c r="E615" s="36"/>
      <c r="F615" s="36"/>
      <c r="G615" s="36"/>
      <c r="H615" s="36"/>
      <c r="I615" s="36"/>
      <c r="J615" s="36"/>
      <c r="K615" s="36"/>
      <c r="L615" s="36"/>
      <c r="M615" s="36"/>
      <c r="N615" s="36"/>
      <c r="O615" s="36"/>
      <c r="P615" s="36"/>
    </row>
    <row r="616" spans="3:16" ht="13" x14ac:dyDescent="0.6">
      <c r="C616" s="36"/>
      <c r="D616" s="36"/>
      <c r="E616" s="36"/>
      <c r="F616" s="36"/>
      <c r="G616" s="36"/>
      <c r="H616" s="36"/>
      <c r="I616" s="36"/>
      <c r="J616" s="36"/>
      <c r="K616" s="36"/>
      <c r="L616" s="36"/>
      <c r="M616" s="36"/>
      <c r="N616" s="36"/>
      <c r="O616" s="36"/>
      <c r="P616" s="36"/>
    </row>
    <row r="617" spans="3:16" ht="13" x14ac:dyDescent="0.6">
      <c r="C617" s="36"/>
      <c r="D617" s="36"/>
      <c r="E617" s="36"/>
      <c r="F617" s="36"/>
      <c r="G617" s="36"/>
      <c r="H617" s="36"/>
      <c r="I617" s="36"/>
      <c r="J617" s="36"/>
      <c r="K617" s="36"/>
      <c r="L617" s="36"/>
      <c r="M617" s="36"/>
      <c r="N617" s="36"/>
      <c r="O617" s="36"/>
      <c r="P617" s="36"/>
    </row>
    <row r="618" spans="3:16" ht="13" x14ac:dyDescent="0.6">
      <c r="C618" s="36"/>
      <c r="D618" s="36"/>
      <c r="E618" s="36"/>
      <c r="F618" s="36"/>
      <c r="G618" s="36"/>
      <c r="H618" s="36"/>
      <c r="I618" s="36"/>
      <c r="J618" s="36"/>
      <c r="K618" s="36"/>
      <c r="L618" s="36"/>
      <c r="M618" s="36"/>
      <c r="N618" s="36"/>
      <c r="O618" s="36"/>
      <c r="P618" s="36"/>
    </row>
    <row r="619" spans="3:16" ht="13" x14ac:dyDescent="0.6">
      <c r="C619" s="36"/>
      <c r="D619" s="36"/>
      <c r="E619" s="36"/>
      <c r="F619" s="36"/>
      <c r="G619" s="36"/>
      <c r="H619" s="36"/>
      <c r="I619" s="36"/>
      <c r="J619" s="36"/>
      <c r="K619" s="36"/>
      <c r="L619" s="36"/>
      <c r="M619" s="36"/>
      <c r="N619" s="36"/>
      <c r="O619" s="36"/>
      <c r="P619" s="36"/>
    </row>
    <row r="620" spans="3:16" ht="13" x14ac:dyDescent="0.6">
      <c r="C620" s="36"/>
      <c r="D620" s="36"/>
      <c r="E620" s="36"/>
      <c r="F620" s="36"/>
      <c r="G620" s="36"/>
      <c r="H620" s="36"/>
      <c r="I620" s="36"/>
      <c r="J620" s="36"/>
      <c r="K620" s="36"/>
      <c r="L620" s="36"/>
      <c r="M620" s="36"/>
      <c r="N620" s="36"/>
      <c r="O620" s="36"/>
      <c r="P620" s="36"/>
    </row>
    <row r="621" spans="3:16" ht="13" x14ac:dyDescent="0.6">
      <c r="C621" s="36"/>
      <c r="D621" s="36"/>
      <c r="E621" s="36"/>
      <c r="F621" s="36"/>
      <c r="G621" s="36"/>
      <c r="H621" s="36"/>
      <c r="I621" s="36"/>
      <c r="J621" s="36"/>
      <c r="K621" s="36"/>
      <c r="L621" s="36"/>
      <c r="M621" s="36"/>
      <c r="N621" s="36"/>
      <c r="O621" s="36"/>
      <c r="P621" s="36"/>
    </row>
    <row r="622" spans="3:16" ht="13" x14ac:dyDescent="0.6">
      <c r="C622" s="36"/>
      <c r="D622" s="36"/>
      <c r="E622" s="36"/>
      <c r="F622" s="36"/>
      <c r="G622" s="36"/>
      <c r="H622" s="36"/>
      <c r="I622" s="36"/>
      <c r="J622" s="36"/>
      <c r="K622" s="36"/>
      <c r="L622" s="36"/>
      <c r="M622" s="36"/>
      <c r="N622" s="36"/>
      <c r="O622" s="36"/>
      <c r="P622" s="36"/>
    </row>
    <row r="623" spans="3:16" ht="13" x14ac:dyDescent="0.6">
      <c r="C623" s="36"/>
      <c r="D623" s="36"/>
      <c r="E623" s="36"/>
      <c r="F623" s="36"/>
      <c r="G623" s="36"/>
      <c r="H623" s="36"/>
      <c r="I623" s="36"/>
      <c r="J623" s="36"/>
      <c r="K623" s="36"/>
      <c r="L623" s="36"/>
      <c r="M623" s="36"/>
      <c r="N623" s="36"/>
      <c r="O623" s="36"/>
      <c r="P623" s="36"/>
    </row>
    <row r="624" spans="3:16" ht="13" x14ac:dyDescent="0.6">
      <c r="C624" s="36"/>
      <c r="D624" s="36"/>
      <c r="E624" s="36"/>
      <c r="F624" s="36"/>
      <c r="G624" s="36"/>
      <c r="H624" s="36"/>
      <c r="I624" s="36"/>
      <c r="J624" s="36"/>
      <c r="K624" s="36"/>
      <c r="L624" s="36"/>
      <c r="M624" s="36"/>
      <c r="N624" s="36"/>
      <c r="O624" s="36"/>
      <c r="P624" s="36"/>
    </row>
    <row r="625" spans="3:16" ht="13" x14ac:dyDescent="0.6">
      <c r="C625" s="36"/>
      <c r="D625" s="36"/>
      <c r="E625" s="36"/>
      <c r="F625" s="36"/>
      <c r="G625" s="36"/>
      <c r="H625" s="36"/>
      <c r="I625" s="36"/>
      <c r="J625" s="36"/>
      <c r="K625" s="36"/>
      <c r="L625" s="36"/>
      <c r="M625" s="36"/>
      <c r="N625" s="36"/>
      <c r="O625" s="36"/>
      <c r="P625" s="36"/>
    </row>
    <row r="626" spans="3:16" ht="13" x14ac:dyDescent="0.6">
      <c r="C626" s="36"/>
      <c r="D626" s="36"/>
      <c r="E626" s="36"/>
      <c r="F626" s="36"/>
      <c r="G626" s="36"/>
      <c r="H626" s="36"/>
      <c r="I626" s="36"/>
      <c r="J626" s="36"/>
      <c r="K626" s="36"/>
      <c r="L626" s="36"/>
      <c r="M626" s="36"/>
      <c r="N626" s="36"/>
      <c r="O626" s="36"/>
      <c r="P626" s="36"/>
    </row>
    <row r="627" spans="3:16" ht="13" x14ac:dyDescent="0.6">
      <c r="C627" s="36"/>
      <c r="D627" s="36"/>
      <c r="E627" s="36"/>
      <c r="F627" s="36"/>
      <c r="G627" s="36"/>
      <c r="H627" s="36"/>
      <c r="I627" s="36"/>
      <c r="J627" s="36"/>
      <c r="K627" s="36"/>
      <c r="L627" s="36"/>
      <c r="M627" s="36"/>
      <c r="N627" s="36"/>
      <c r="O627" s="36"/>
      <c r="P627" s="36"/>
    </row>
    <row r="628" spans="3:16" ht="13" x14ac:dyDescent="0.6">
      <c r="C628" s="36"/>
      <c r="D628" s="36"/>
      <c r="E628" s="36"/>
      <c r="F628" s="36"/>
      <c r="G628" s="36"/>
      <c r="H628" s="36"/>
      <c r="I628" s="36"/>
      <c r="J628" s="36"/>
      <c r="K628" s="36"/>
      <c r="L628" s="36"/>
      <c r="M628" s="36"/>
      <c r="N628" s="36"/>
      <c r="O628" s="36"/>
      <c r="P628" s="36"/>
    </row>
    <row r="629" spans="3:16" ht="13" x14ac:dyDescent="0.6">
      <c r="C629" s="36"/>
      <c r="D629" s="36"/>
      <c r="E629" s="36"/>
      <c r="F629" s="36"/>
      <c r="G629" s="36"/>
      <c r="H629" s="36"/>
      <c r="I629" s="36"/>
      <c r="J629" s="36"/>
      <c r="K629" s="36"/>
      <c r="L629" s="36"/>
      <c r="M629" s="36"/>
      <c r="N629" s="36"/>
      <c r="O629" s="36"/>
      <c r="P629" s="36"/>
    </row>
    <row r="630" spans="3:16" ht="13" x14ac:dyDescent="0.6">
      <c r="C630" s="36"/>
      <c r="D630" s="36"/>
      <c r="E630" s="36"/>
      <c r="F630" s="36"/>
      <c r="G630" s="36"/>
      <c r="H630" s="36"/>
      <c r="I630" s="36"/>
      <c r="J630" s="36"/>
      <c r="K630" s="36"/>
      <c r="L630" s="36"/>
      <c r="M630" s="36"/>
      <c r="N630" s="36"/>
      <c r="O630" s="36"/>
      <c r="P630" s="36"/>
    </row>
    <row r="631" spans="3:16" ht="13" x14ac:dyDescent="0.6">
      <c r="C631" s="36"/>
      <c r="D631" s="36"/>
      <c r="E631" s="36"/>
      <c r="F631" s="36"/>
      <c r="G631" s="36"/>
      <c r="H631" s="36"/>
      <c r="I631" s="36"/>
      <c r="J631" s="36"/>
      <c r="K631" s="36"/>
      <c r="L631" s="36"/>
      <c r="M631" s="36"/>
      <c r="N631" s="36"/>
      <c r="O631" s="36"/>
      <c r="P631" s="36"/>
    </row>
    <row r="632" spans="3:16" ht="13" x14ac:dyDescent="0.6">
      <c r="C632" s="36"/>
      <c r="D632" s="36"/>
      <c r="E632" s="36"/>
      <c r="F632" s="36"/>
      <c r="G632" s="36"/>
      <c r="H632" s="36"/>
      <c r="I632" s="36"/>
      <c r="J632" s="36"/>
      <c r="K632" s="36"/>
      <c r="L632" s="36"/>
      <c r="M632" s="36"/>
      <c r="N632" s="36"/>
      <c r="O632" s="36"/>
      <c r="P632" s="36"/>
    </row>
    <row r="633" spans="3:16" ht="13" x14ac:dyDescent="0.6">
      <c r="C633" s="36"/>
      <c r="D633" s="36"/>
      <c r="E633" s="36"/>
      <c r="F633" s="36"/>
      <c r="G633" s="36"/>
      <c r="H633" s="36"/>
      <c r="I633" s="36"/>
      <c r="J633" s="36"/>
      <c r="K633" s="36"/>
      <c r="L633" s="36"/>
      <c r="M633" s="36"/>
      <c r="N633" s="36"/>
      <c r="O633" s="36"/>
      <c r="P633" s="36"/>
    </row>
    <row r="634" spans="3:16" ht="13" x14ac:dyDescent="0.6">
      <c r="C634" s="36"/>
      <c r="D634" s="36"/>
      <c r="E634" s="36"/>
      <c r="F634" s="36"/>
      <c r="G634" s="36"/>
      <c r="H634" s="36"/>
      <c r="I634" s="36"/>
      <c r="J634" s="36"/>
      <c r="K634" s="36"/>
      <c r="L634" s="36"/>
      <c r="M634" s="36"/>
      <c r="N634" s="36"/>
      <c r="O634" s="36"/>
      <c r="P634" s="36"/>
    </row>
    <row r="635" spans="3:16" ht="13" x14ac:dyDescent="0.6">
      <c r="C635" s="36"/>
      <c r="D635" s="36"/>
      <c r="E635" s="36"/>
      <c r="F635" s="36"/>
      <c r="G635" s="36"/>
      <c r="H635" s="36"/>
      <c r="I635" s="36"/>
      <c r="J635" s="36"/>
      <c r="K635" s="36"/>
      <c r="L635" s="36"/>
      <c r="M635" s="36"/>
      <c r="N635" s="36"/>
      <c r="O635" s="36"/>
      <c r="P635" s="36"/>
    </row>
    <row r="636" spans="3:16" ht="13" x14ac:dyDescent="0.6">
      <c r="C636" s="36"/>
      <c r="D636" s="36"/>
      <c r="E636" s="36"/>
      <c r="F636" s="36"/>
      <c r="G636" s="36"/>
      <c r="H636" s="36"/>
      <c r="I636" s="36"/>
      <c r="J636" s="36"/>
      <c r="K636" s="36"/>
      <c r="L636" s="36"/>
      <c r="M636" s="36"/>
      <c r="N636" s="36"/>
      <c r="O636" s="36"/>
      <c r="P636" s="36"/>
    </row>
    <row r="637" spans="3:16" ht="13" x14ac:dyDescent="0.6">
      <c r="C637" s="36"/>
      <c r="D637" s="36"/>
      <c r="E637" s="36"/>
      <c r="F637" s="36"/>
      <c r="G637" s="36"/>
      <c r="H637" s="36"/>
      <c r="I637" s="36"/>
      <c r="J637" s="36"/>
      <c r="K637" s="36"/>
      <c r="L637" s="36"/>
      <c r="M637" s="36"/>
      <c r="N637" s="36"/>
      <c r="O637" s="36"/>
      <c r="P637" s="36"/>
    </row>
    <row r="638" spans="3:16" ht="13" x14ac:dyDescent="0.6">
      <c r="C638" s="36"/>
      <c r="D638" s="36"/>
      <c r="E638" s="36"/>
      <c r="F638" s="36"/>
      <c r="G638" s="36"/>
      <c r="H638" s="36"/>
      <c r="I638" s="36"/>
      <c r="J638" s="36"/>
      <c r="K638" s="36"/>
      <c r="L638" s="36"/>
      <c r="M638" s="36"/>
      <c r="N638" s="36"/>
      <c r="O638" s="36"/>
      <c r="P638" s="36"/>
    </row>
    <row r="639" spans="3:16" ht="13" x14ac:dyDescent="0.6">
      <c r="C639" s="36"/>
      <c r="D639" s="36"/>
      <c r="E639" s="36"/>
      <c r="F639" s="36"/>
      <c r="G639" s="36"/>
      <c r="H639" s="36"/>
      <c r="I639" s="36"/>
      <c r="J639" s="36"/>
      <c r="K639" s="36"/>
      <c r="L639" s="36"/>
      <c r="M639" s="36"/>
      <c r="N639" s="36"/>
      <c r="O639" s="36"/>
      <c r="P639" s="36"/>
    </row>
    <row r="640" spans="3:16" ht="13" x14ac:dyDescent="0.6">
      <c r="C640" s="36"/>
      <c r="D640" s="36"/>
      <c r="E640" s="36"/>
      <c r="F640" s="36"/>
      <c r="G640" s="36"/>
      <c r="H640" s="36"/>
      <c r="I640" s="36"/>
      <c r="J640" s="36"/>
      <c r="K640" s="36"/>
      <c r="L640" s="36"/>
      <c r="M640" s="36"/>
      <c r="N640" s="36"/>
      <c r="O640" s="36"/>
      <c r="P640" s="36"/>
    </row>
    <row r="641" spans="3:16" ht="13" x14ac:dyDescent="0.6">
      <c r="C641" s="36"/>
      <c r="D641" s="36"/>
      <c r="E641" s="36"/>
      <c r="F641" s="36"/>
      <c r="G641" s="36"/>
      <c r="H641" s="36"/>
      <c r="I641" s="36"/>
      <c r="J641" s="36"/>
      <c r="K641" s="36"/>
      <c r="L641" s="36"/>
      <c r="M641" s="36"/>
      <c r="N641" s="36"/>
      <c r="O641" s="36"/>
      <c r="P641" s="36"/>
    </row>
    <row r="642" spans="3:16" ht="13" x14ac:dyDescent="0.6">
      <c r="C642" s="36"/>
      <c r="D642" s="36"/>
      <c r="E642" s="36"/>
      <c r="F642" s="36"/>
      <c r="G642" s="36"/>
      <c r="H642" s="36"/>
      <c r="I642" s="36"/>
      <c r="J642" s="36"/>
      <c r="K642" s="36"/>
      <c r="L642" s="36"/>
      <c r="M642" s="36"/>
      <c r="N642" s="36"/>
      <c r="O642" s="36"/>
      <c r="P642" s="36"/>
    </row>
    <row r="643" spans="3:16" ht="13" x14ac:dyDescent="0.6">
      <c r="C643" s="36"/>
      <c r="D643" s="36"/>
      <c r="E643" s="36"/>
      <c r="F643" s="36"/>
      <c r="G643" s="36"/>
      <c r="H643" s="36"/>
      <c r="I643" s="36"/>
      <c r="J643" s="36"/>
      <c r="K643" s="36"/>
      <c r="L643" s="36"/>
      <c r="M643" s="36"/>
      <c r="N643" s="36"/>
      <c r="O643" s="36"/>
      <c r="P643" s="36"/>
    </row>
    <row r="644" spans="3:16" ht="13" x14ac:dyDescent="0.6">
      <c r="C644" s="36"/>
      <c r="D644" s="36"/>
      <c r="E644" s="36"/>
      <c r="F644" s="36"/>
      <c r="G644" s="36"/>
      <c r="H644" s="36"/>
      <c r="I644" s="36"/>
      <c r="J644" s="36"/>
      <c r="K644" s="36"/>
      <c r="L644" s="36"/>
      <c r="M644" s="36"/>
      <c r="N644" s="36"/>
      <c r="O644" s="36"/>
      <c r="P644" s="36"/>
    </row>
    <row r="645" spans="3:16" ht="13" x14ac:dyDescent="0.6">
      <c r="C645" s="36"/>
      <c r="D645" s="36"/>
      <c r="E645" s="36"/>
      <c r="F645" s="36"/>
      <c r="G645" s="36"/>
      <c r="H645" s="36"/>
      <c r="I645" s="36"/>
      <c r="J645" s="36"/>
      <c r="K645" s="36"/>
      <c r="L645" s="36"/>
      <c r="M645" s="36"/>
      <c r="N645" s="36"/>
      <c r="O645" s="36"/>
      <c r="P645" s="36"/>
    </row>
    <row r="646" spans="3:16" ht="13" x14ac:dyDescent="0.6">
      <c r="C646" s="36"/>
      <c r="D646" s="36"/>
      <c r="E646" s="36"/>
      <c r="F646" s="36"/>
      <c r="G646" s="36"/>
      <c r="H646" s="36"/>
      <c r="I646" s="36"/>
      <c r="J646" s="36"/>
      <c r="K646" s="36"/>
      <c r="L646" s="36"/>
      <c r="M646" s="36"/>
      <c r="N646" s="36"/>
      <c r="O646" s="36"/>
      <c r="P646" s="36"/>
    </row>
    <row r="647" spans="3:16" ht="13" x14ac:dyDescent="0.6">
      <c r="C647" s="36"/>
      <c r="D647" s="36"/>
      <c r="E647" s="36"/>
      <c r="F647" s="36"/>
      <c r="G647" s="36"/>
      <c r="H647" s="36"/>
      <c r="I647" s="36"/>
      <c r="J647" s="36"/>
      <c r="K647" s="36"/>
      <c r="L647" s="36"/>
      <c r="M647" s="36"/>
      <c r="N647" s="36"/>
      <c r="O647" s="36"/>
      <c r="P647" s="36"/>
    </row>
    <row r="648" spans="3:16" ht="13" x14ac:dyDescent="0.6">
      <c r="C648" s="36"/>
      <c r="D648" s="36"/>
      <c r="E648" s="36"/>
      <c r="F648" s="36"/>
      <c r="G648" s="36"/>
      <c r="H648" s="36"/>
      <c r="I648" s="36"/>
      <c r="J648" s="36"/>
      <c r="K648" s="36"/>
      <c r="L648" s="36"/>
      <c r="M648" s="36"/>
      <c r="N648" s="36"/>
      <c r="O648" s="36"/>
      <c r="P648" s="36"/>
    </row>
    <row r="649" spans="3:16" ht="13" x14ac:dyDescent="0.6">
      <c r="C649" s="36"/>
      <c r="D649" s="36"/>
      <c r="E649" s="36"/>
      <c r="F649" s="36"/>
      <c r="G649" s="36"/>
      <c r="H649" s="36"/>
      <c r="I649" s="36"/>
      <c r="J649" s="36"/>
      <c r="K649" s="36"/>
      <c r="L649" s="36"/>
      <c r="M649" s="36"/>
      <c r="N649" s="36"/>
      <c r="O649" s="36"/>
      <c r="P649" s="36"/>
    </row>
    <row r="650" spans="3:16" ht="13" x14ac:dyDescent="0.6">
      <c r="C650" s="36"/>
      <c r="D650" s="36"/>
      <c r="E650" s="36"/>
      <c r="F650" s="36"/>
      <c r="G650" s="36"/>
      <c r="H650" s="36"/>
      <c r="I650" s="36"/>
      <c r="J650" s="36"/>
      <c r="K650" s="36"/>
      <c r="L650" s="36"/>
      <c r="M650" s="36"/>
      <c r="N650" s="36"/>
      <c r="O650" s="36"/>
      <c r="P650" s="36"/>
    </row>
    <row r="651" spans="3:16" ht="13" x14ac:dyDescent="0.6">
      <c r="C651" s="36"/>
      <c r="D651" s="36"/>
      <c r="E651" s="36"/>
      <c r="F651" s="36"/>
      <c r="G651" s="36"/>
      <c r="H651" s="36"/>
      <c r="I651" s="36"/>
      <c r="J651" s="36"/>
      <c r="K651" s="36"/>
      <c r="L651" s="36"/>
      <c r="M651" s="36"/>
      <c r="N651" s="36"/>
      <c r="O651" s="36"/>
      <c r="P651" s="36"/>
    </row>
    <row r="652" spans="3:16" ht="13" x14ac:dyDescent="0.6">
      <c r="C652" s="36"/>
      <c r="D652" s="36"/>
      <c r="E652" s="36"/>
      <c r="F652" s="36"/>
      <c r="G652" s="36"/>
      <c r="H652" s="36"/>
      <c r="I652" s="36"/>
      <c r="J652" s="36"/>
      <c r="K652" s="36"/>
      <c r="L652" s="36"/>
      <c r="M652" s="36"/>
      <c r="N652" s="36"/>
      <c r="O652" s="36"/>
      <c r="P652" s="36"/>
    </row>
    <row r="653" spans="3:16" ht="13" x14ac:dyDescent="0.6">
      <c r="C653" s="36"/>
      <c r="D653" s="36"/>
      <c r="E653" s="36"/>
      <c r="F653" s="36"/>
      <c r="G653" s="36"/>
      <c r="H653" s="36"/>
      <c r="I653" s="36"/>
      <c r="J653" s="36"/>
      <c r="K653" s="36"/>
      <c r="L653" s="36"/>
      <c r="M653" s="36"/>
      <c r="N653" s="36"/>
      <c r="O653" s="36"/>
      <c r="P653" s="36"/>
    </row>
    <row r="654" spans="3:16" ht="13" x14ac:dyDescent="0.6">
      <c r="C654" s="36"/>
      <c r="D654" s="36"/>
      <c r="E654" s="36"/>
      <c r="F654" s="36"/>
      <c r="G654" s="36"/>
      <c r="H654" s="36"/>
      <c r="I654" s="36"/>
      <c r="J654" s="36"/>
      <c r="K654" s="36"/>
      <c r="L654" s="36"/>
      <c r="M654" s="36"/>
      <c r="N654" s="36"/>
      <c r="O654" s="36"/>
      <c r="P654" s="36"/>
    </row>
    <row r="655" spans="3:16" ht="13" x14ac:dyDescent="0.6">
      <c r="C655" s="36"/>
      <c r="D655" s="36"/>
      <c r="E655" s="36"/>
      <c r="F655" s="36"/>
      <c r="G655" s="36"/>
      <c r="H655" s="36"/>
      <c r="I655" s="36"/>
      <c r="J655" s="36"/>
      <c r="K655" s="36"/>
      <c r="L655" s="36"/>
      <c r="M655" s="36"/>
      <c r="N655" s="36"/>
      <c r="O655" s="36"/>
      <c r="P655" s="36"/>
    </row>
    <row r="656" spans="3:16" ht="13" x14ac:dyDescent="0.6">
      <c r="C656" s="36"/>
      <c r="D656" s="36"/>
      <c r="E656" s="36"/>
      <c r="F656" s="36"/>
      <c r="G656" s="36"/>
      <c r="H656" s="36"/>
      <c r="I656" s="36"/>
      <c r="J656" s="36"/>
      <c r="K656" s="36"/>
      <c r="L656" s="36"/>
      <c r="M656" s="36"/>
      <c r="N656" s="36"/>
      <c r="O656" s="36"/>
      <c r="P656" s="36"/>
    </row>
    <row r="657" spans="3:16" ht="13" x14ac:dyDescent="0.6">
      <c r="C657" s="36"/>
      <c r="D657" s="36"/>
      <c r="E657" s="36"/>
      <c r="F657" s="36"/>
      <c r="G657" s="36"/>
      <c r="H657" s="36"/>
      <c r="I657" s="36"/>
      <c r="J657" s="36"/>
      <c r="K657" s="36"/>
      <c r="L657" s="36"/>
      <c r="M657" s="36"/>
      <c r="N657" s="36"/>
      <c r="O657" s="36"/>
      <c r="P657" s="36"/>
    </row>
    <row r="658" spans="3:16" ht="13" x14ac:dyDescent="0.6">
      <c r="C658" s="36"/>
      <c r="D658" s="36"/>
      <c r="E658" s="36"/>
      <c r="F658" s="36"/>
      <c r="G658" s="36"/>
      <c r="H658" s="36"/>
      <c r="I658" s="36"/>
      <c r="J658" s="36"/>
      <c r="K658" s="36"/>
      <c r="L658" s="36"/>
      <c r="M658" s="36"/>
      <c r="N658" s="36"/>
      <c r="O658" s="36"/>
      <c r="P658" s="36"/>
    </row>
    <row r="659" spans="3:16" ht="13" x14ac:dyDescent="0.6">
      <c r="C659" s="36"/>
      <c r="D659" s="36"/>
      <c r="E659" s="36"/>
      <c r="F659" s="36"/>
      <c r="G659" s="36"/>
      <c r="H659" s="36"/>
      <c r="I659" s="36"/>
      <c r="J659" s="36"/>
      <c r="K659" s="36"/>
      <c r="L659" s="36"/>
      <c r="M659" s="36"/>
      <c r="N659" s="36"/>
      <c r="O659" s="36"/>
      <c r="P659" s="36"/>
    </row>
    <row r="660" spans="3:16" ht="13" x14ac:dyDescent="0.6">
      <c r="C660" s="36"/>
      <c r="D660" s="36"/>
      <c r="E660" s="36"/>
      <c r="F660" s="36"/>
      <c r="G660" s="36"/>
      <c r="H660" s="36"/>
      <c r="I660" s="36"/>
      <c r="J660" s="36"/>
      <c r="K660" s="36"/>
      <c r="L660" s="36"/>
      <c r="M660" s="36"/>
      <c r="N660" s="36"/>
      <c r="O660" s="36"/>
      <c r="P660" s="36"/>
    </row>
    <row r="661" spans="3:16" ht="13" x14ac:dyDescent="0.6">
      <c r="C661" s="36"/>
      <c r="D661" s="36"/>
      <c r="E661" s="36"/>
      <c r="F661" s="36"/>
      <c r="G661" s="36"/>
      <c r="H661" s="36"/>
      <c r="I661" s="36"/>
      <c r="J661" s="36"/>
      <c r="K661" s="36"/>
      <c r="L661" s="36"/>
      <c r="M661" s="36"/>
      <c r="N661" s="36"/>
      <c r="O661" s="36"/>
      <c r="P661" s="36"/>
    </row>
    <row r="662" spans="3:16" ht="13" x14ac:dyDescent="0.6">
      <c r="C662" s="36"/>
      <c r="D662" s="36"/>
      <c r="E662" s="36"/>
      <c r="F662" s="36"/>
      <c r="G662" s="36"/>
      <c r="H662" s="36"/>
      <c r="I662" s="36"/>
      <c r="J662" s="36"/>
      <c r="K662" s="36"/>
      <c r="L662" s="36"/>
      <c r="M662" s="36"/>
      <c r="N662" s="36"/>
      <c r="O662" s="36"/>
      <c r="P662" s="36"/>
    </row>
    <row r="663" spans="3:16" ht="13" x14ac:dyDescent="0.6">
      <c r="C663" s="36"/>
      <c r="D663" s="36"/>
      <c r="E663" s="36"/>
      <c r="F663" s="36"/>
      <c r="G663" s="36"/>
      <c r="H663" s="36"/>
      <c r="I663" s="36"/>
      <c r="J663" s="36"/>
      <c r="K663" s="36"/>
      <c r="L663" s="36"/>
      <c r="M663" s="36"/>
      <c r="N663" s="36"/>
      <c r="O663" s="36"/>
      <c r="P663" s="36"/>
    </row>
    <row r="664" spans="3:16" ht="13" x14ac:dyDescent="0.6">
      <c r="C664" s="36"/>
      <c r="D664" s="36"/>
      <c r="E664" s="36"/>
      <c r="F664" s="36"/>
      <c r="G664" s="36"/>
      <c r="H664" s="36"/>
      <c r="I664" s="36"/>
      <c r="J664" s="36"/>
      <c r="K664" s="36"/>
      <c r="L664" s="36"/>
      <c r="M664" s="36"/>
      <c r="N664" s="36"/>
      <c r="O664" s="36"/>
      <c r="P664" s="36"/>
    </row>
    <row r="665" spans="3:16" ht="13" x14ac:dyDescent="0.6">
      <c r="C665" s="36"/>
      <c r="D665" s="36"/>
      <c r="E665" s="36"/>
      <c r="F665" s="36"/>
      <c r="G665" s="36"/>
      <c r="H665" s="36"/>
      <c r="I665" s="36"/>
      <c r="J665" s="36"/>
      <c r="K665" s="36"/>
      <c r="L665" s="36"/>
      <c r="M665" s="36"/>
      <c r="N665" s="36"/>
      <c r="O665" s="36"/>
      <c r="P665" s="36"/>
    </row>
    <row r="666" spans="3:16" ht="13" x14ac:dyDescent="0.6">
      <c r="C666" s="36"/>
      <c r="D666" s="36"/>
      <c r="E666" s="36"/>
      <c r="F666" s="36"/>
      <c r="G666" s="36"/>
      <c r="H666" s="36"/>
      <c r="I666" s="36"/>
      <c r="J666" s="36"/>
      <c r="K666" s="36"/>
      <c r="L666" s="36"/>
      <c r="M666" s="36"/>
      <c r="N666" s="36"/>
      <c r="O666" s="36"/>
      <c r="P666" s="36"/>
    </row>
    <row r="667" spans="3:16" ht="13" x14ac:dyDescent="0.6">
      <c r="C667" s="36"/>
      <c r="D667" s="36"/>
      <c r="E667" s="36"/>
      <c r="F667" s="36"/>
      <c r="G667" s="36"/>
      <c r="H667" s="36"/>
      <c r="I667" s="36"/>
      <c r="J667" s="36"/>
      <c r="K667" s="36"/>
      <c r="L667" s="36"/>
      <c r="M667" s="36"/>
      <c r="N667" s="36"/>
      <c r="O667" s="36"/>
      <c r="P667" s="36"/>
    </row>
    <row r="668" spans="3:16" ht="13" x14ac:dyDescent="0.6">
      <c r="C668" s="36"/>
      <c r="D668" s="36"/>
      <c r="E668" s="36"/>
      <c r="F668" s="36"/>
      <c r="G668" s="36"/>
      <c r="H668" s="36"/>
      <c r="I668" s="36"/>
      <c r="J668" s="36"/>
      <c r="K668" s="36"/>
      <c r="L668" s="36"/>
      <c r="M668" s="36"/>
      <c r="N668" s="36"/>
      <c r="O668" s="36"/>
      <c r="P668" s="36"/>
    </row>
    <row r="669" spans="3:16" ht="13" x14ac:dyDescent="0.6">
      <c r="C669" s="36"/>
      <c r="D669" s="36"/>
      <c r="E669" s="36"/>
      <c r="F669" s="36"/>
      <c r="G669" s="36"/>
      <c r="H669" s="36"/>
      <c r="I669" s="36"/>
      <c r="J669" s="36"/>
      <c r="K669" s="36"/>
      <c r="L669" s="36"/>
      <c r="M669" s="36"/>
      <c r="N669" s="36"/>
      <c r="O669" s="36"/>
      <c r="P669" s="36"/>
    </row>
    <row r="670" spans="3:16" ht="13" x14ac:dyDescent="0.6">
      <c r="C670" s="36"/>
      <c r="D670" s="36"/>
      <c r="E670" s="36"/>
      <c r="F670" s="36"/>
      <c r="G670" s="36"/>
      <c r="H670" s="36"/>
      <c r="I670" s="36"/>
      <c r="J670" s="36"/>
      <c r="K670" s="36"/>
      <c r="L670" s="36"/>
      <c r="M670" s="36"/>
      <c r="N670" s="36"/>
      <c r="O670" s="36"/>
      <c r="P670" s="36"/>
    </row>
    <row r="671" spans="3:16" ht="13" x14ac:dyDescent="0.6">
      <c r="C671" s="36"/>
      <c r="D671" s="36"/>
      <c r="E671" s="36"/>
      <c r="F671" s="36"/>
      <c r="G671" s="36"/>
      <c r="H671" s="36"/>
      <c r="I671" s="36"/>
      <c r="J671" s="36"/>
      <c r="K671" s="36"/>
      <c r="L671" s="36"/>
      <c r="M671" s="36"/>
      <c r="N671" s="36"/>
      <c r="O671" s="36"/>
      <c r="P671" s="36"/>
    </row>
    <row r="672" spans="3:16" ht="13" x14ac:dyDescent="0.6">
      <c r="C672" s="36"/>
      <c r="D672" s="36"/>
      <c r="E672" s="36"/>
      <c r="F672" s="36"/>
      <c r="G672" s="36"/>
      <c r="H672" s="36"/>
      <c r="I672" s="36"/>
      <c r="J672" s="36"/>
      <c r="K672" s="36"/>
      <c r="L672" s="36"/>
      <c r="M672" s="36"/>
      <c r="N672" s="36"/>
      <c r="O672" s="36"/>
      <c r="P672" s="36"/>
    </row>
    <row r="673" spans="3:16" ht="13" x14ac:dyDescent="0.6">
      <c r="C673" s="36"/>
      <c r="D673" s="36"/>
      <c r="E673" s="36"/>
      <c r="F673" s="36"/>
      <c r="G673" s="36"/>
      <c r="H673" s="36"/>
      <c r="I673" s="36"/>
      <c r="J673" s="36"/>
      <c r="K673" s="36"/>
      <c r="L673" s="36"/>
      <c r="M673" s="36"/>
      <c r="N673" s="36"/>
      <c r="O673" s="36"/>
      <c r="P673" s="36"/>
    </row>
    <row r="674" spans="3:16" ht="13" x14ac:dyDescent="0.6">
      <c r="C674" s="36"/>
      <c r="D674" s="36"/>
      <c r="E674" s="36"/>
      <c r="F674" s="36"/>
      <c r="G674" s="36"/>
      <c r="H674" s="36"/>
      <c r="I674" s="36"/>
      <c r="J674" s="36"/>
      <c r="K674" s="36"/>
      <c r="L674" s="36"/>
      <c r="M674" s="36"/>
      <c r="N674" s="36"/>
      <c r="O674" s="36"/>
      <c r="P674" s="36"/>
    </row>
    <row r="675" spans="3:16" ht="13" x14ac:dyDescent="0.6">
      <c r="C675" s="36"/>
      <c r="D675" s="36"/>
      <c r="E675" s="36"/>
      <c r="F675" s="36"/>
      <c r="G675" s="36"/>
      <c r="H675" s="36"/>
      <c r="I675" s="36"/>
      <c r="J675" s="36"/>
      <c r="K675" s="36"/>
      <c r="L675" s="36"/>
      <c r="M675" s="36"/>
      <c r="N675" s="36"/>
      <c r="O675" s="36"/>
      <c r="P675" s="36"/>
    </row>
    <row r="676" spans="3:16" ht="13" x14ac:dyDescent="0.6">
      <c r="C676" s="36"/>
      <c r="D676" s="36"/>
      <c r="E676" s="36"/>
      <c r="F676" s="36"/>
      <c r="G676" s="36"/>
      <c r="H676" s="36"/>
      <c r="I676" s="36"/>
      <c r="J676" s="36"/>
      <c r="K676" s="36"/>
      <c r="L676" s="36"/>
      <c r="M676" s="36"/>
      <c r="N676" s="36"/>
      <c r="O676" s="36"/>
      <c r="P676" s="36"/>
    </row>
    <row r="677" spans="3:16" ht="13" x14ac:dyDescent="0.6">
      <c r="C677" s="36"/>
      <c r="D677" s="36"/>
      <c r="E677" s="36"/>
      <c r="F677" s="36"/>
      <c r="G677" s="36"/>
      <c r="H677" s="36"/>
      <c r="I677" s="36"/>
      <c r="J677" s="36"/>
      <c r="K677" s="36"/>
      <c r="L677" s="36"/>
      <c r="M677" s="36"/>
      <c r="N677" s="36"/>
      <c r="O677" s="36"/>
      <c r="P677" s="36"/>
    </row>
    <row r="678" spans="3:16" ht="13" x14ac:dyDescent="0.6">
      <c r="C678" s="36"/>
      <c r="D678" s="36"/>
      <c r="E678" s="36"/>
      <c r="F678" s="36"/>
      <c r="G678" s="36"/>
      <c r="H678" s="36"/>
      <c r="I678" s="36"/>
      <c r="J678" s="36"/>
      <c r="K678" s="36"/>
      <c r="L678" s="36"/>
      <c r="M678" s="36"/>
      <c r="N678" s="36"/>
      <c r="O678" s="36"/>
      <c r="P678" s="36"/>
    </row>
    <row r="679" spans="3:16" ht="13" x14ac:dyDescent="0.6">
      <c r="C679" s="36"/>
      <c r="D679" s="36"/>
      <c r="E679" s="36"/>
      <c r="F679" s="36"/>
      <c r="G679" s="36"/>
      <c r="H679" s="36"/>
      <c r="I679" s="36"/>
      <c r="J679" s="36"/>
      <c r="K679" s="36"/>
      <c r="L679" s="36"/>
      <c r="M679" s="36"/>
      <c r="N679" s="36"/>
      <c r="O679" s="36"/>
      <c r="P679" s="36"/>
    </row>
    <row r="680" spans="3:16" ht="13" x14ac:dyDescent="0.6">
      <c r="C680" s="36"/>
      <c r="D680" s="36"/>
      <c r="E680" s="36"/>
      <c r="F680" s="36"/>
      <c r="G680" s="36"/>
      <c r="H680" s="36"/>
      <c r="I680" s="36"/>
      <c r="J680" s="36"/>
      <c r="K680" s="36"/>
      <c r="L680" s="36"/>
      <c r="M680" s="36"/>
      <c r="N680" s="36"/>
      <c r="O680" s="36"/>
      <c r="P680" s="36"/>
    </row>
    <row r="681" spans="3:16" ht="13" x14ac:dyDescent="0.6">
      <c r="C681" s="36"/>
      <c r="D681" s="36"/>
      <c r="E681" s="36"/>
      <c r="F681" s="36"/>
      <c r="G681" s="36"/>
      <c r="H681" s="36"/>
      <c r="I681" s="36"/>
      <c r="J681" s="36"/>
      <c r="K681" s="36"/>
      <c r="L681" s="36"/>
      <c r="M681" s="36"/>
      <c r="N681" s="36"/>
      <c r="O681" s="36"/>
      <c r="P681" s="36"/>
    </row>
    <row r="682" spans="3:16" ht="13" x14ac:dyDescent="0.6">
      <c r="C682" s="36"/>
      <c r="D682" s="36"/>
      <c r="E682" s="36"/>
      <c r="F682" s="36"/>
      <c r="G682" s="36"/>
      <c r="H682" s="36"/>
      <c r="I682" s="36"/>
      <c r="J682" s="36"/>
      <c r="K682" s="36"/>
      <c r="L682" s="36"/>
      <c r="M682" s="36"/>
      <c r="N682" s="36"/>
      <c r="O682" s="36"/>
      <c r="P682" s="36"/>
    </row>
    <row r="683" spans="3:16" ht="13" x14ac:dyDescent="0.6">
      <c r="C683" s="36"/>
      <c r="D683" s="36"/>
      <c r="E683" s="36"/>
      <c r="F683" s="36"/>
      <c r="G683" s="36"/>
      <c r="H683" s="36"/>
      <c r="I683" s="36"/>
      <c r="J683" s="36"/>
      <c r="K683" s="36"/>
      <c r="L683" s="36"/>
      <c r="M683" s="36"/>
      <c r="N683" s="36"/>
      <c r="O683" s="36"/>
      <c r="P683" s="36"/>
    </row>
    <row r="684" spans="3:16" ht="13" x14ac:dyDescent="0.6">
      <c r="C684" s="36"/>
      <c r="D684" s="36"/>
      <c r="E684" s="36"/>
      <c r="F684" s="36"/>
      <c r="G684" s="36"/>
      <c r="H684" s="36"/>
      <c r="I684" s="36"/>
      <c r="J684" s="36"/>
      <c r="K684" s="36"/>
      <c r="L684" s="36"/>
      <c r="M684" s="36"/>
      <c r="N684" s="36"/>
      <c r="O684" s="36"/>
      <c r="P684" s="36"/>
    </row>
    <row r="685" spans="3:16" ht="13" x14ac:dyDescent="0.6">
      <c r="C685" s="36"/>
      <c r="D685" s="36"/>
      <c r="E685" s="36"/>
      <c r="F685" s="36"/>
      <c r="G685" s="36"/>
      <c r="H685" s="36"/>
      <c r="I685" s="36"/>
      <c r="J685" s="36"/>
      <c r="K685" s="36"/>
      <c r="L685" s="36"/>
      <c r="M685" s="36"/>
      <c r="N685" s="36"/>
      <c r="O685" s="36"/>
      <c r="P685" s="36"/>
    </row>
    <row r="686" spans="3:16" ht="13" x14ac:dyDescent="0.6">
      <c r="C686" s="36"/>
      <c r="D686" s="36"/>
      <c r="E686" s="36"/>
      <c r="F686" s="36"/>
      <c r="G686" s="36"/>
      <c r="H686" s="36"/>
      <c r="I686" s="36"/>
      <c r="J686" s="36"/>
      <c r="K686" s="36"/>
      <c r="L686" s="36"/>
      <c r="M686" s="36"/>
      <c r="N686" s="36"/>
      <c r="O686" s="36"/>
      <c r="P686" s="36"/>
    </row>
    <row r="687" spans="3:16" ht="13" x14ac:dyDescent="0.6">
      <c r="C687" s="36"/>
      <c r="D687" s="36"/>
      <c r="E687" s="36"/>
      <c r="F687" s="36"/>
      <c r="G687" s="36"/>
      <c r="H687" s="36"/>
      <c r="I687" s="36"/>
      <c r="J687" s="36"/>
      <c r="K687" s="36"/>
      <c r="L687" s="36"/>
      <c r="M687" s="36"/>
      <c r="N687" s="36"/>
      <c r="O687" s="36"/>
      <c r="P687" s="36"/>
    </row>
    <row r="688" spans="3:16" ht="13" x14ac:dyDescent="0.6">
      <c r="C688" s="36"/>
      <c r="D688" s="36"/>
      <c r="E688" s="36"/>
      <c r="F688" s="36"/>
      <c r="G688" s="36"/>
      <c r="H688" s="36"/>
      <c r="I688" s="36"/>
      <c r="J688" s="36"/>
      <c r="K688" s="36"/>
      <c r="L688" s="36"/>
      <c r="M688" s="36"/>
      <c r="N688" s="36"/>
      <c r="O688" s="36"/>
      <c r="P688" s="36"/>
    </row>
    <row r="689" spans="3:16" ht="13" x14ac:dyDescent="0.6">
      <c r="C689" s="36"/>
      <c r="D689" s="36"/>
      <c r="E689" s="36"/>
      <c r="F689" s="36"/>
      <c r="G689" s="36"/>
      <c r="H689" s="36"/>
      <c r="I689" s="36"/>
      <c r="J689" s="36"/>
      <c r="K689" s="36"/>
      <c r="L689" s="36"/>
      <c r="M689" s="36"/>
      <c r="N689" s="36"/>
      <c r="O689" s="36"/>
      <c r="P689" s="36"/>
    </row>
    <row r="690" spans="3:16" ht="13" x14ac:dyDescent="0.6">
      <c r="C690" s="36"/>
      <c r="D690" s="36"/>
      <c r="E690" s="36"/>
      <c r="F690" s="36"/>
      <c r="G690" s="36"/>
      <c r="H690" s="36"/>
      <c r="I690" s="36"/>
      <c r="J690" s="36"/>
      <c r="K690" s="36"/>
      <c r="L690" s="36"/>
      <c r="M690" s="36"/>
      <c r="N690" s="36"/>
      <c r="O690" s="36"/>
      <c r="P690" s="36"/>
    </row>
    <row r="691" spans="3:16" ht="13" x14ac:dyDescent="0.6">
      <c r="C691" s="36"/>
      <c r="D691" s="36"/>
      <c r="E691" s="36"/>
      <c r="F691" s="36"/>
      <c r="G691" s="36"/>
      <c r="H691" s="36"/>
      <c r="I691" s="36"/>
      <c r="J691" s="36"/>
      <c r="K691" s="36"/>
      <c r="L691" s="36"/>
      <c r="M691" s="36"/>
      <c r="N691" s="36"/>
      <c r="O691" s="36"/>
      <c r="P691" s="36"/>
    </row>
    <row r="692" spans="3:16" ht="13" x14ac:dyDescent="0.6">
      <c r="C692" s="36"/>
      <c r="D692" s="36"/>
      <c r="E692" s="36"/>
      <c r="F692" s="36"/>
      <c r="G692" s="36"/>
      <c r="H692" s="36"/>
      <c r="I692" s="36"/>
      <c r="J692" s="36"/>
      <c r="K692" s="36"/>
      <c r="L692" s="36"/>
      <c r="M692" s="36"/>
      <c r="N692" s="36"/>
      <c r="O692" s="36"/>
      <c r="P692" s="36"/>
    </row>
    <row r="693" spans="3:16" ht="13" x14ac:dyDescent="0.6">
      <c r="C693" s="36"/>
      <c r="D693" s="36"/>
      <c r="E693" s="36"/>
      <c r="F693" s="36"/>
      <c r="G693" s="36"/>
      <c r="H693" s="36"/>
      <c r="I693" s="36"/>
      <c r="J693" s="36"/>
      <c r="K693" s="36"/>
      <c r="L693" s="36"/>
      <c r="M693" s="36"/>
      <c r="N693" s="36"/>
      <c r="O693" s="36"/>
      <c r="P693" s="36"/>
    </row>
    <row r="694" spans="3:16" ht="13" x14ac:dyDescent="0.6">
      <c r="C694" s="36"/>
      <c r="D694" s="36"/>
      <c r="E694" s="36"/>
      <c r="F694" s="36"/>
      <c r="G694" s="36"/>
      <c r="H694" s="36"/>
      <c r="I694" s="36"/>
      <c r="J694" s="36"/>
      <c r="K694" s="36"/>
      <c r="L694" s="36"/>
      <c r="M694" s="36"/>
      <c r="N694" s="36"/>
      <c r="O694" s="36"/>
      <c r="P694" s="36"/>
    </row>
    <row r="695" spans="3:16" ht="13" x14ac:dyDescent="0.6">
      <c r="C695" s="36"/>
      <c r="D695" s="36"/>
      <c r="E695" s="36"/>
      <c r="F695" s="36"/>
      <c r="G695" s="36"/>
      <c r="H695" s="36"/>
      <c r="I695" s="36"/>
      <c r="J695" s="36"/>
      <c r="K695" s="36"/>
      <c r="L695" s="36"/>
      <c r="M695" s="36"/>
      <c r="N695" s="36"/>
      <c r="O695" s="36"/>
      <c r="P695" s="36"/>
    </row>
    <row r="696" spans="3:16" ht="13" x14ac:dyDescent="0.6">
      <c r="C696" s="36"/>
      <c r="D696" s="36"/>
      <c r="E696" s="36"/>
      <c r="F696" s="36"/>
      <c r="G696" s="36"/>
      <c r="H696" s="36"/>
      <c r="I696" s="36"/>
      <c r="J696" s="36"/>
      <c r="K696" s="36"/>
      <c r="L696" s="36"/>
      <c r="M696" s="36"/>
      <c r="N696" s="36"/>
      <c r="O696" s="36"/>
      <c r="P696" s="36"/>
    </row>
    <row r="697" spans="3:16" ht="13" x14ac:dyDescent="0.6">
      <c r="C697" s="36"/>
      <c r="D697" s="36"/>
      <c r="E697" s="36"/>
      <c r="F697" s="36"/>
      <c r="G697" s="36"/>
      <c r="H697" s="36"/>
      <c r="I697" s="36"/>
      <c r="J697" s="36"/>
      <c r="K697" s="36"/>
      <c r="L697" s="36"/>
      <c r="M697" s="36"/>
      <c r="N697" s="36"/>
      <c r="O697" s="36"/>
      <c r="P697" s="36"/>
    </row>
    <row r="698" spans="3:16" ht="13" x14ac:dyDescent="0.6">
      <c r="C698" s="36"/>
      <c r="D698" s="36"/>
      <c r="E698" s="36"/>
      <c r="F698" s="36"/>
      <c r="G698" s="36"/>
      <c r="H698" s="36"/>
      <c r="I698" s="36"/>
      <c r="J698" s="36"/>
      <c r="K698" s="36"/>
      <c r="L698" s="36"/>
      <c r="M698" s="36"/>
      <c r="N698" s="36"/>
      <c r="O698" s="36"/>
      <c r="P698" s="36"/>
    </row>
    <row r="699" spans="3:16" ht="13" x14ac:dyDescent="0.6">
      <c r="C699" s="36"/>
      <c r="D699" s="36"/>
      <c r="E699" s="36"/>
      <c r="F699" s="36"/>
      <c r="G699" s="36"/>
      <c r="H699" s="36"/>
      <c r="I699" s="36"/>
      <c r="J699" s="36"/>
      <c r="K699" s="36"/>
      <c r="L699" s="36"/>
      <c r="M699" s="36"/>
      <c r="N699" s="36"/>
      <c r="O699" s="36"/>
      <c r="P699" s="36"/>
    </row>
    <row r="700" spans="3:16" ht="13" x14ac:dyDescent="0.6">
      <c r="C700" s="36"/>
      <c r="D700" s="36"/>
      <c r="E700" s="36"/>
      <c r="F700" s="36"/>
      <c r="G700" s="36"/>
      <c r="H700" s="36"/>
      <c r="I700" s="36"/>
      <c r="J700" s="36"/>
      <c r="K700" s="36"/>
      <c r="L700" s="36"/>
      <c r="M700" s="36"/>
      <c r="N700" s="36"/>
      <c r="O700" s="36"/>
      <c r="P700" s="36"/>
    </row>
    <row r="701" spans="3:16" ht="13" x14ac:dyDescent="0.6">
      <c r="C701" s="36"/>
      <c r="D701" s="36"/>
      <c r="E701" s="36"/>
      <c r="F701" s="36"/>
      <c r="G701" s="36"/>
      <c r="H701" s="36"/>
      <c r="I701" s="36"/>
      <c r="J701" s="36"/>
      <c r="K701" s="36"/>
      <c r="L701" s="36"/>
      <c r="M701" s="36"/>
      <c r="N701" s="36"/>
      <c r="O701" s="36"/>
      <c r="P701" s="36"/>
    </row>
    <row r="702" spans="3:16" ht="13" x14ac:dyDescent="0.6">
      <c r="C702" s="36"/>
      <c r="D702" s="36"/>
      <c r="E702" s="36"/>
      <c r="F702" s="36"/>
      <c r="G702" s="36"/>
      <c r="H702" s="36"/>
      <c r="I702" s="36"/>
      <c r="J702" s="36"/>
      <c r="K702" s="36"/>
      <c r="L702" s="36"/>
      <c r="M702" s="36"/>
      <c r="N702" s="36"/>
      <c r="O702" s="36"/>
      <c r="P702" s="36"/>
    </row>
    <row r="703" spans="3:16" ht="13" x14ac:dyDescent="0.6">
      <c r="C703" s="36"/>
      <c r="D703" s="36"/>
      <c r="E703" s="36"/>
      <c r="F703" s="36"/>
      <c r="G703" s="36"/>
      <c r="H703" s="36"/>
      <c r="I703" s="36"/>
      <c r="J703" s="36"/>
      <c r="K703" s="36"/>
      <c r="L703" s="36"/>
      <c r="M703" s="36"/>
      <c r="N703" s="36"/>
      <c r="O703" s="36"/>
      <c r="P703" s="36"/>
    </row>
    <row r="704" spans="3:16" ht="13" x14ac:dyDescent="0.6">
      <c r="C704" s="36"/>
      <c r="D704" s="36"/>
      <c r="E704" s="36"/>
      <c r="F704" s="36"/>
      <c r="G704" s="36"/>
      <c r="H704" s="36"/>
      <c r="I704" s="36"/>
      <c r="J704" s="36"/>
      <c r="K704" s="36"/>
      <c r="L704" s="36"/>
      <c r="M704" s="36"/>
      <c r="N704" s="36"/>
      <c r="O704" s="36"/>
      <c r="P704" s="36"/>
    </row>
    <row r="705" spans="3:16" ht="13" x14ac:dyDescent="0.6">
      <c r="C705" s="36"/>
      <c r="D705" s="36"/>
      <c r="E705" s="36"/>
      <c r="F705" s="36"/>
      <c r="G705" s="36"/>
      <c r="H705" s="36"/>
      <c r="I705" s="36"/>
      <c r="J705" s="36"/>
      <c r="K705" s="36"/>
      <c r="L705" s="36"/>
      <c r="M705" s="36"/>
      <c r="N705" s="36"/>
      <c r="O705" s="36"/>
      <c r="P705" s="36"/>
    </row>
    <row r="706" spans="3:16" ht="13" x14ac:dyDescent="0.6">
      <c r="C706" s="36"/>
      <c r="D706" s="36"/>
      <c r="E706" s="36"/>
      <c r="F706" s="36"/>
      <c r="G706" s="36"/>
      <c r="H706" s="36"/>
      <c r="I706" s="36"/>
      <c r="J706" s="36"/>
      <c r="K706" s="36"/>
      <c r="L706" s="36"/>
      <c r="M706" s="36"/>
      <c r="N706" s="36"/>
      <c r="O706" s="36"/>
      <c r="P706" s="36"/>
    </row>
    <row r="707" spans="3:16" ht="13" x14ac:dyDescent="0.6">
      <c r="C707" s="36"/>
      <c r="D707" s="36"/>
      <c r="E707" s="36"/>
      <c r="F707" s="36"/>
      <c r="G707" s="36"/>
      <c r="H707" s="36"/>
      <c r="I707" s="36"/>
      <c r="J707" s="36"/>
      <c r="K707" s="36"/>
      <c r="L707" s="36"/>
      <c r="M707" s="36"/>
      <c r="N707" s="36"/>
      <c r="O707" s="36"/>
      <c r="P707" s="36"/>
    </row>
    <row r="708" spans="3:16" ht="13" x14ac:dyDescent="0.6">
      <c r="C708" s="36"/>
      <c r="D708" s="36"/>
      <c r="E708" s="36"/>
      <c r="F708" s="36"/>
      <c r="G708" s="36"/>
      <c r="H708" s="36"/>
      <c r="I708" s="36"/>
      <c r="J708" s="36"/>
      <c r="K708" s="36"/>
      <c r="L708" s="36"/>
      <c r="M708" s="36"/>
      <c r="N708" s="36"/>
      <c r="O708" s="36"/>
      <c r="P708" s="36"/>
    </row>
    <row r="709" spans="3:16" ht="13" x14ac:dyDescent="0.6">
      <c r="C709" s="36"/>
      <c r="D709" s="36"/>
      <c r="E709" s="36"/>
      <c r="F709" s="36"/>
      <c r="G709" s="36"/>
      <c r="H709" s="36"/>
      <c r="I709" s="36"/>
      <c r="J709" s="36"/>
      <c r="K709" s="36"/>
      <c r="L709" s="36"/>
      <c r="M709" s="36"/>
      <c r="N709" s="36"/>
      <c r="O709" s="36"/>
      <c r="P709" s="36"/>
    </row>
    <row r="710" spans="3:16" ht="13" x14ac:dyDescent="0.6">
      <c r="C710" s="36"/>
      <c r="D710" s="36"/>
      <c r="E710" s="36"/>
      <c r="F710" s="36"/>
      <c r="G710" s="36"/>
      <c r="H710" s="36"/>
      <c r="I710" s="36"/>
      <c r="J710" s="36"/>
      <c r="K710" s="36"/>
      <c r="L710" s="36"/>
      <c r="M710" s="36"/>
      <c r="N710" s="36"/>
      <c r="O710" s="36"/>
      <c r="P710" s="36"/>
    </row>
    <row r="711" spans="3:16" ht="13" x14ac:dyDescent="0.6">
      <c r="C711" s="36"/>
      <c r="D711" s="36"/>
      <c r="E711" s="36"/>
      <c r="F711" s="36"/>
      <c r="G711" s="36"/>
      <c r="H711" s="36"/>
      <c r="I711" s="36"/>
      <c r="J711" s="36"/>
      <c r="K711" s="36"/>
      <c r="L711" s="36"/>
      <c r="M711" s="36"/>
      <c r="N711" s="36"/>
      <c r="O711" s="36"/>
      <c r="P711" s="36"/>
    </row>
    <row r="712" spans="3:16" ht="13" x14ac:dyDescent="0.6">
      <c r="C712" s="36"/>
      <c r="D712" s="36"/>
      <c r="E712" s="36"/>
      <c r="F712" s="36"/>
      <c r="G712" s="36"/>
      <c r="H712" s="36"/>
      <c r="I712" s="36"/>
      <c r="J712" s="36"/>
      <c r="K712" s="36"/>
      <c r="L712" s="36"/>
      <c r="M712" s="36"/>
      <c r="N712" s="36"/>
      <c r="O712" s="36"/>
      <c r="P712" s="36"/>
    </row>
    <row r="713" spans="3:16" ht="13" x14ac:dyDescent="0.6">
      <c r="C713" s="36"/>
      <c r="D713" s="36"/>
      <c r="E713" s="36"/>
      <c r="F713" s="36"/>
      <c r="G713" s="36"/>
      <c r="H713" s="36"/>
      <c r="I713" s="36"/>
      <c r="J713" s="36"/>
      <c r="K713" s="36"/>
      <c r="L713" s="36"/>
      <c r="M713" s="36"/>
      <c r="N713" s="36"/>
      <c r="O713" s="36"/>
      <c r="P713" s="36"/>
    </row>
    <row r="714" spans="3:16" ht="13" x14ac:dyDescent="0.6">
      <c r="C714" s="36"/>
      <c r="D714" s="36"/>
      <c r="E714" s="36"/>
      <c r="F714" s="36"/>
      <c r="G714" s="36"/>
      <c r="H714" s="36"/>
      <c r="I714" s="36"/>
      <c r="J714" s="36"/>
      <c r="K714" s="36"/>
      <c r="L714" s="36"/>
      <c r="M714" s="36"/>
      <c r="N714" s="36"/>
      <c r="O714" s="36"/>
      <c r="P714" s="36"/>
    </row>
    <row r="715" spans="3:16" ht="13" x14ac:dyDescent="0.6">
      <c r="C715" s="36"/>
      <c r="D715" s="36"/>
      <c r="E715" s="36"/>
      <c r="F715" s="36"/>
      <c r="G715" s="36"/>
      <c r="H715" s="36"/>
      <c r="I715" s="36"/>
      <c r="J715" s="36"/>
      <c r="K715" s="36"/>
      <c r="L715" s="36"/>
      <c r="M715" s="36"/>
      <c r="N715" s="36"/>
      <c r="O715" s="36"/>
      <c r="P715" s="36"/>
    </row>
    <row r="716" spans="3:16" ht="13" x14ac:dyDescent="0.6">
      <c r="C716" s="36"/>
      <c r="D716" s="36"/>
      <c r="E716" s="36"/>
      <c r="F716" s="36"/>
      <c r="G716" s="36"/>
      <c r="H716" s="36"/>
      <c r="I716" s="36"/>
      <c r="J716" s="36"/>
      <c r="K716" s="36"/>
      <c r="L716" s="36"/>
      <c r="M716" s="36"/>
      <c r="N716" s="36"/>
      <c r="O716" s="36"/>
      <c r="P716" s="36"/>
    </row>
    <row r="717" spans="3:16" ht="13" x14ac:dyDescent="0.6">
      <c r="C717" s="36"/>
      <c r="D717" s="36"/>
      <c r="E717" s="36"/>
      <c r="F717" s="36"/>
      <c r="G717" s="36"/>
      <c r="H717" s="36"/>
      <c r="I717" s="36"/>
      <c r="J717" s="36"/>
      <c r="K717" s="36"/>
      <c r="L717" s="36"/>
      <c r="M717" s="36"/>
      <c r="N717" s="36"/>
      <c r="O717" s="36"/>
      <c r="P717" s="36"/>
    </row>
    <row r="718" spans="3:16" ht="13" x14ac:dyDescent="0.6">
      <c r="C718" s="36"/>
      <c r="D718" s="36"/>
      <c r="E718" s="36"/>
      <c r="F718" s="36"/>
      <c r="G718" s="36"/>
      <c r="H718" s="36"/>
      <c r="I718" s="36"/>
      <c r="J718" s="36"/>
      <c r="K718" s="36"/>
      <c r="L718" s="36"/>
      <c r="M718" s="36"/>
      <c r="N718" s="36"/>
      <c r="O718" s="36"/>
      <c r="P718" s="36"/>
    </row>
    <row r="719" spans="3:16" ht="13" x14ac:dyDescent="0.6">
      <c r="C719" s="36"/>
      <c r="D719" s="36"/>
      <c r="E719" s="36"/>
      <c r="F719" s="36"/>
      <c r="G719" s="36"/>
      <c r="H719" s="36"/>
      <c r="I719" s="36"/>
      <c r="J719" s="36"/>
      <c r="K719" s="36"/>
      <c r="L719" s="36"/>
      <c r="M719" s="36"/>
      <c r="N719" s="36"/>
      <c r="O719" s="36"/>
      <c r="P719" s="36"/>
    </row>
    <row r="720" spans="3:16" ht="13" x14ac:dyDescent="0.6">
      <c r="C720" s="36"/>
      <c r="D720" s="36"/>
      <c r="E720" s="36"/>
      <c r="F720" s="36"/>
      <c r="G720" s="36"/>
      <c r="H720" s="36"/>
      <c r="I720" s="36"/>
      <c r="J720" s="36"/>
      <c r="K720" s="36"/>
      <c r="L720" s="36"/>
      <c r="M720" s="36"/>
      <c r="N720" s="36"/>
      <c r="O720" s="36"/>
      <c r="P720" s="36"/>
    </row>
    <row r="721" spans="3:16" ht="13" x14ac:dyDescent="0.6">
      <c r="C721" s="36"/>
      <c r="D721" s="36"/>
      <c r="E721" s="36"/>
      <c r="F721" s="36"/>
      <c r="G721" s="36"/>
      <c r="H721" s="36"/>
      <c r="I721" s="36"/>
      <c r="J721" s="36"/>
      <c r="K721" s="36"/>
      <c r="L721" s="36"/>
      <c r="M721" s="36"/>
      <c r="N721" s="36"/>
      <c r="O721" s="36"/>
      <c r="P721" s="36"/>
    </row>
    <row r="722" spans="3:16" ht="13" x14ac:dyDescent="0.6">
      <c r="C722" s="36"/>
      <c r="D722" s="36"/>
      <c r="E722" s="36"/>
      <c r="F722" s="36"/>
      <c r="G722" s="36"/>
      <c r="H722" s="36"/>
      <c r="I722" s="36"/>
      <c r="J722" s="36"/>
      <c r="K722" s="36"/>
      <c r="L722" s="36"/>
      <c r="M722" s="36"/>
      <c r="N722" s="36"/>
      <c r="O722" s="36"/>
      <c r="P722" s="36"/>
    </row>
    <row r="723" spans="3:16" ht="13" x14ac:dyDescent="0.6">
      <c r="C723" s="36"/>
      <c r="D723" s="36"/>
      <c r="E723" s="36"/>
      <c r="F723" s="36"/>
      <c r="G723" s="36"/>
      <c r="H723" s="36"/>
      <c r="I723" s="36"/>
      <c r="J723" s="36"/>
      <c r="K723" s="36"/>
      <c r="L723" s="36"/>
      <c r="M723" s="36"/>
      <c r="N723" s="36"/>
      <c r="O723" s="36"/>
      <c r="P723" s="36"/>
    </row>
    <row r="724" spans="3:16" ht="13" x14ac:dyDescent="0.6">
      <c r="C724" s="36"/>
      <c r="D724" s="36"/>
      <c r="E724" s="36"/>
      <c r="F724" s="36"/>
      <c r="G724" s="36"/>
      <c r="H724" s="36"/>
      <c r="I724" s="36"/>
      <c r="J724" s="36"/>
      <c r="K724" s="36"/>
      <c r="L724" s="36"/>
      <c r="M724" s="36"/>
      <c r="N724" s="36"/>
      <c r="O724" s="36"/>
      <c r="P724" s="36"/>
    </row>
    <row r="725" spans="3:16" ht="13" x14ac:dyDescent="0.6">
      <c r="C725" s="36"/>
      <c r="D725" s="36"/>
      <c r="E725" s="36"/>
      <c r="F725" s="36"/>
      <c r="G725" s="36"/>
      <c r="H725" s="36"/>
      <c r="I725" s="36"/>
      <c r="J725" s="36"/>
      <c r="K725" s="36"/>
      <c r="L725" s="36"/>
      <c r="M725" s="36"/>
      <c r="N725" s="36"/>
      <c r="O725" s="36"/>
      <c r="P725" s="36"/>
    </row>
    <row r="726" spans="3:16" ht="13" x14ac:dyDescent="0.6">
      <c r="C726" s="36"/>
      <c r="D726" s="36"/>
      <c r="E726" s="36"/>
      <c r="F726" s="36"/>
      <c r="G726" s="36"/>
      <c r="H726" s="36"/>
      <c r="I726" s="36"/>
      <c r="J726" s="36"/>
      <c r="K726" s="36"/>
      <c r="L726" s="36"/>
      <c r="M726" s="36"/>
      <c r="N726" s="36"/>
      <c r="O726" s="36"/>
      <c r="P726" s="36"/>
    </row>
    <row r="727" spans="3:16" ht="13" x14ac:dyDescent="0.6">
      <c r="C727" s="36"/>
      <c r="D727" s="36"/>
      <c r="E727" s="36"/>
      <c r="F727" s="36"/>
      <c r="G727" s="36"/>
      <c r="H727" s="36"/>
      <c r="I727" s="36"/>
      <c r="J727" s="36"/>
      <c r="K727" s="36"/>
      <c r="L727" s="36"/>
      <c r="M727" s="36"/>
      <c r="N727" s="36"/>
      <c r="O727" s="36"/>
      <c r="P727" s="36"/>
    </row>
    <row r="728" spans="3:16" ht="13" x14ac:dyDescent="0.6">
      <c r="C728" s="36"/>
      <c r="D728" s="36"/>
      <c r="E728" s="36"/>
      <c r="F728" s="36"/>
      <c r="G728" s="36"/>
      <c r="H728" s="36"/>
      <c r="I728" s="36"/>
      <c r="J728" s="36"/>
      <c r="K728" s="36"/>
      <c r="L728" s="36"/>
      <c r="M728" s="36"/>
      <c r="N728" s="36"/>
      <c r="O728" s="36"/>
      <c r="P728" s="36"/>
    </row>
    <row r="729" spans="3:16" ht="13" x14ac:dyDescent="0.6">
      <c r="C729" s="36"/>
      <c r="D729" s="36"/>
      <c r="E729" s="36"/>
      <c r="F729" s="36"/>
      <c r="G729" s="36"/>
      <c r="H729" s="36"/>
      <c r="I729" s="36"/>
      <c r="J729" s="36"/>
      <c r="K729" s="36"/>
      <c r="L729" s="36"/>
      <c r="M729" s="36"/>
      <c r="N729" s="36"/>
      <c r="O729" s="36"/>
      <c r="P729" s="36"/>
    </row>
    <row r="730" spans="3:16" ht="13" x14ac:dyDescent="0.6">
      <c r="C730" s="36"/>
      <c r="D730" s="36"/>
      <c r="E730" s="36"/>
      <c r="F730" s="36"/>
      <c r="G730" s="36"/>
      <c r="H730" s="36"/>
      <c r="I730" s="36"/>
      <c r="J730" s="36"/>
      <c r="K730" s="36"/>
      <c r="L730" s="36"/>
      <c r="M730" s="36"/>
      <c r="N730" s="36"/>
      <c r="O730" s="36"/>
      <c r="P730" s="36"/>
    </row>
    <row r="731" spans="3:16" ht="13" x14ac:dyDescent="0.6">
      <c r="C731" s="36"/>
      <c r="D731" s="36"/>
      <c r="E731" s="36"/>
      <c r="F731" s="36"/>
      <c r="G731" s="36"/>
      <c r="H731" s="36"/>
      <c r="I731" s="36"/>
      <c r="J731" s="36"/>
      <c r="K731" s="36"/>
      <c r="L731" s="36"/>
      <c r="M731" s="36"/>
      <c r="N731" s="36"/>
      <c r="O731" s="36"/>
      <c r="P731" s="36"/>
    </row>
    <row r="732" spans="3:16" ht="13" x14ac:dyDescent="0.6">
      <c r="C732" s="36"/>
      <c r="D732" s="36"/>
      <c r="E732" s="36"/>
      <c r="F732" s="36"/>
      <c r="G732" s="36"/>
      <c r="H732" s="36"/>
      <c r="I732" s="36"/>
      <c r="J732" s="36"/>
      <c r="K732" s="36"/>
      <c r="L732" s="36"/>
      <c r="M732" s="36"/>
      <c r="N732" s="36"/>
      <c r="O732" s="36"/>
      <c r="P732" s="36"/>
    </row>
    <row r="733" spans="3:16" ht="13" x14ac:dyDescent="0.6">
      <c r="C733" s="36"/>
      <c r="D733" s="36"/>
      <c r="E733" s="36"/>
      <c r="F733" s="36"/>
      <c r="G733" s="36"/>
      <c r="H733" s="36"/>
      <c r="I733" s="36"/>
      <c r="J733" s="36"/>
      <c r="K733" s="36"/>
      <c r="L733" s="36"/>
      <c r="M733" s="36"/>
      <c r="N733" s="36"/>
      <c r="O733" s="36"/>
      <c r="P733" s="36"/>
    </row>
    <row r="734" spans="3:16" ht="13" x14ac:dyDescent="0.6">
      <c r="C734" s="36"/>
      <c r="D734" s="36"/>
      <c r="E734" s="36"/>
      <c r="F734" s="36"/>
      <c r="G734" s="36"/>
      <c r="H734" s="36"/>
      <c r="I734" s="36"/>
      <c r="J734" s="36"/>
      <c r="K734" s="36"/>
      <c r="L734" s="36"/>
      <c r="M734" s="36"/>
      <c r="N734" s="36"/>
      <c r="O734" s="36"/>
      <c r="P734" s="36"/>
    </row>
    <row r="735" spans="3:16" ht="13" x14ac:dyDescent="0.6">
      <c r="C735" s="36"/>
      <c r="D735" s="36"/>
      <c r="E735" s="36"/>
      <c r="F735" s="36"/>
      <c r="G735" s="36"/>
      <c r="H735" s="36"/>
      <c r="I735" s="36"/>
      <c r="J735" s="36"/>
      <c r="K735" s="36"/>
      <c r="L735" s="36"/>
      <c r="M735" s="36"/>
      <c r="N735" s="36"/>
      <c r="O735" s="36"/>
      <c r="P735" s="36"/>
    </row>
    <row r="736" spans="3:16" ht="13" x14ac:dyDescent="0.6">
      <c r="C736" s="36"/>
      <c r="D736" s="36"/>
      <c r="E736" s="36"/>
      <c r="F736" s="36"/>
      <c r="G736" s="36"/>
      <c r="H736" s="36"/>
      <c r="I736" s="36"/>
      <c r="J736" s="36"/>
      <c r="K736" s="36"/>
      <c r="L736" s="36"/>
      <c r="M736" s="36"/>
      <c r="N736" s="36"/>
      <c r="O736" s="36"/>
      <c r="P736" s="36"/>
    </row>
    <row r="737" spans="3:16" ht="13" x14ac:dyDescent="0.6">
      <c r="C737" s="36"/>
      <c r="D737" s="36"/>
      <c r="E737" s="36"/>
      <c r="F737" s="36"/>
      <c r="G737" s="36"/>
      <c r="H737" s="36"/>
      <c r="I737" s="36"/>
      <c r="J737" s="36"/>
      <c r="K737" s="36"/>
      <c r="L737" s="36"/>
      <c r="M737" s="36"/>
      <c r="N737" s="36"/>
      <c r="O737" s="36"/>
      <c r="P737" s="36"/>
    </row>
    <row r="738" spans="3:16" ht="13" x14ac:dyDescent="0.6">
      <c r="C738" s="36"/>
      <c r="D738" s="36"/>
      <c r="E738" s="36"/>
      <c r="F738" s="36"/>
      <c r="G738" s="36"/>
      <c r="H738" s="36"/>
      <c r="I738" s="36"/>
      <c r="J738" s="36"/>
      <c r="K738" s="36"/>
      <c r="L738" s="36"/>
      <c r="M738" s="36"/>
      <c r="N738" s="36"/>
      <c r="O738" s="36"/>
      <c r="P738" s="36"/>
    </row>
    <row r="739" spans="3:16" ht="13" x14ac:dyDescent="0.6">
      <c r="C739" s="36"/>
      <c r="D739" s="36"/>
      <c r="E739" s="36"/>
      <c r="F739" s="36"/>
      <c r="G739" s="36"/>
      <c r="H739" s="36"/>
      <c r="I739" s="36"/>
      <c r="J739" s="36"/>
      <c r="K739" s="36"/>
      <c r="L739" s="36"/>
      <c r="M739" s="36"/>
      <c r="N739" s="36"/>
      <c r="O739" s="36"/>
      <c r="P739" s="36"/>
    </row>
    <row r="740" spans="3:16" ht="13" x14ac:dyDescent="0.6">
      <c r="C740" s="36"/>
      <c r="D740" s="36"/>
      <c r="E740" s="36"/>
      <c r="F740" s="36"/>
      <c r="G740" s="36"/>
      <c r="H740" s="36"/>
      <c r="I740" s="36"/>
      <c r="J740" s="36"/>
      <c r="K740" s="36"/>
      <c r="L740" s="36"/>
      <c r="M740" s="36"/>
      <c r="N740" s="36"/>
      <c r="O740" s="36"/>
      <c r="P740" s="36"/>
    </row>
    <row r="741" spans="3:16" ht="13" x14ac:dyDescent="0.6">
      <c r="C741" s="36"/>
      <c r="D741" s="36"/>
      <c r="E741" s="36"/>
      <c r="F741" s="36"/>
      <c r="G741" s="36"/>
      <c r="H741" s="36"/>
      <c r="I741" s="36"/>
      <c r="J741" s="36"/>
      <c r="K741" s="36"/>
      <c r="L741" s="36"/>
      <c r="M741" s="36"/>
      <c r="N741" s="36"/>
      <c r="O741" s="36"/>
      <c r="P741" s="36"/>
    </row>
    <row r="742" spans="3:16" ht="13" x14ac:dyDescent="0.6">
      <c r="C742" s="36"/>
      <c r="D742" s="36"/>
      <c r="E742" s="36"/>
      <c r="F742" s="36"/>
      <c r="G742" s="36"/>
      <c r="H742" s="36"/>
      <c r="I742" s="36"/>
      <c r="J742" s="36"/>
      <c r="K742" s="36"/>
      <c r="L742" s="36"/>
      <c r="M742" s="36"/>
      <c r="N742" s="36"/>
      <c r="O742" s="36"/>
      <c r="P742" s="36"/>
    </row>
    <row r="743" spans="3:16" ht="13" x14ac:dyDescent="0.6">
      <c r="C743" s="36"/>
      <c r="D743" s="36"/>
      <c r="E743" s="36"/>
      <c r="F743" s="36"/>
      <c r="G743" s="36"/>
      <c r="H743" s="36"/>
      <c r="I743" s="36"/>
      <c r="J743" s="36"/>
      <c r="K743" s="36"/>
      <c r="L743" s="36"/>
      <c r="M743" s="36"/>
      <c r="N743" s="36"/>
      <c r="O743" s="36"/>
      <c r="P743" s="36"/>
    </row>
    <row r="744" spans="3:16" ht="13" x14ac:dyDescent="0.6">
      <c r="C744" s="36"/>
      <c r="D744" s="36"/>
      <c r="E744" s="36"/>
      <c r="F744" s="36"/>
      <c r="G744" s="36"/>
      <c r="H744" s="36"/>
      <c r="I744" s="36"/>
      <c r="J744" s="36"/>
      <c r="K744" s="36"/>
      <c r="L744" s="36"/>
      <c r="M744" s="36"/>
      <c r="N744" s="36"/>
      <c r="O744" s="36"/>
      <c r="P744" s="36"/>
    </row>
    <row r="745" spans="3:16" ht="13" x14ac:dyDescent="0.6">
      <c r="C745" s="36"/>
      <c r="D745" s="36"/>
      <c r="E745" s="36"/>
      <c r="F745" s="36"/>
      <c r="G745" s="36"/>
      <c r="H745" s="36"/>
      <c r="I745" s="36"/>
      <c r="J745" s="36"/>
      <c r="K745" s="36"/>
      <c r="L745" s="36"/>
      <c r="M745" s="36"/>
      <c r="N745" s="36"/>
      <c r="O745" s="36"/>
      <c r="P745" s="36"/>
    </row>
    <row r="746" spans="3:16" ht="13" x14ac:dyDescent="0.6">
      <c r="C746" s="36"/>
      <c r="D746" s="36"/>
      <c r="E746" s="36"/>
      <c r="F746" s="36"/>
      <c r="G746" s="36"/>
      <c r="H746" s="36"/>
      <c r="I746" s="36"/>
      <c r="J746" s="36"/>
      <c r="K746" s="36"/>
      <c r="L746" s="36"/>
      <c r="M746" s="36"/>
      <c r="N746" s="36"/>
      <c r="O746" s="36"/>
      <c r="P746" s="36"/>
    </row>
    <row r="747" spans="3:16" ht="13" x14ac:dyDescent="0.6">
      <c r="C747" s="36"/>
      <c r="D747" s="36"/>
      <c r="E747" s="36"/>
      <c r="F747" s="36"/>
      <c r="G747" s="36"/>
      <c r="H747" s="36"/>
      <c r="I747" s="36"/>
      <c r="J747" s="36"/>
      <c r="K747" s="36"/>
      <c r="L747" s="36"/>
      <c r="M747" s="36"/>
      <c r="N747" s="36"/>
      <c r="O747" s="36"/>
      <c r="P747" s="36"/>
    </row>
    <row r="748" spans="3:16" ht="13" x14ac:dyDescent="0.6">
      <c r="C748" s="36"/>
      <c r="D748" s="36"/>
      <c r="E748" s="36"/>
      <c r="F748" s="36"/>
      <c r="G748" s="36"/>
      <c r="H748" s="36"/>
      <c r="I748" s="36"/>
      <c r="J748" s="36"/>
      <c r="K748" s="36"/>
      <c r="L748" s="36"/>
      <c r="M748" s="36"/>
      <c r="N748" s="36"/>
      <c r="O748" s="36"/>
      <c r="P748" s="36"/>
    </row>
    <row r="749" spans="3:16" ht="13" x14ac:dyDescent="0.6">
      <c r="C749" s="36"/>
      <c r="D749" s="36"/>
      <c r="E749" s="36"/>
      <c r="F749" s="36"/>
      <c r="G749" s="36"/>
      <c r="H749" s="36"/>
      <c r="I749" s="36"/>
      <c r="J749" s="36"/>
      <c r="K749" s="36"/>
      <c r="L749" s="36"/>
      <c r="M749" s="36"/>
      <c r="N749" s="36"/>
      <c r="O749" s="36"/>
      <c r="P749" s="36"/>
    </row>
    <row r="750" spans="3:16" ht="13" x14ac:dyDescent="0.6">
      <c r="C750" s="36"/>
      <c r="D750" s="36"/>
      <c r="E750" s="36"/>
      <c r="F750" s="36"/>
      <c r="G750" s="36"/>
      <c r="H750" s="36"/>
      <c r="I750" s="36"/>
      <c r="J750" s="36"/>
      <c r="K750" s="36"/>
      <c r="L750" s="36"/>
      <c r="M750" s="36"/>
      <c r="N750" s="36"/>
      <c r="O750" s="36"/>
      <c r="P750" s="36"/>
    </row>
    <row r="751" spans="3:16" ht="13" x14ac:dyDescent="0.6">
      <c r="C751" s="36"/>
      <c r="D751" s="36"/>
      <c r="E751" s="36"/>
      <c r="F751" s="36"/>
      <c r="G751" s="36"/>
      <c r="H751" s="36"/>
      <c r="I751" s="36"/>
      <c r="J751" s="36"/>
      <c r="K751" s="36"/>
      <c r="L751" s="36"/>
      <c r="M751" s="36"/>
      <c r="N751" s="36"/>
      <c r="O751" s="36"/>
      <c r="P751" s="36"/>
    </row>
    <row r="752" spans="3:16" ht="13" x14ac:dyDescent="0.6">
      <c r="C752" s="36"/>
      <c r="D752" s="36"/>
      <c r="E752" s="36"/>
      <c r="F752" s="36"/>
      <c r="G752" s="36"/>
      <c r="H752" s="36"/>
      <c r="I752" s="36"/>
      <c r="J752" s="36"/>
      <c r="K752" s="36"/>
      <c r="L752" s="36"/>
      <c r="M752" s="36"/>
      <c r="N752" s="36"/>
      <c r="O752" s="36"/>
      <c r="P752" s="36"/>
    </row>
    <row r="753" spans="3:16" ht="13" x14ac:dyDescent="0.6">
      <c r="C753" s="36"/>
      <c r="D753" s="36"/>
      <c r="E753" s="36"/>
      <c r="F753" s="36"/>
      <c r="G753" s="36"/>
      <c r="H753" s="36"/>
      <c r="I753" s="36"/>
      <c r="J753" s="36"/>
      <c r="K753" s="36"/>
      <c r="L753" s="36"/>
      <c r="M753" s="36"/>
      <c r="N753" s="36"/>
      <c r="O753" s="36"/>
      <c r="P753" s="36"/>
    </row>
    <row r="754" spans="3:16" ht="13" x14ac:dyDescent="0.6">
      <c r="C754" s="36"/>
      <c r="D754" s="36"/>
      <c r="E754" s="36"/>
      <c r="F754" s="36"/>
      <c r="G754" s="36"/>
      <c r="H754" s="36"/>
      <c r="I754" s="36"/>
      <c r="J754" s="36"/>
      <c r="K754" s="36"/>
      <c r="L754" s="36"/>
      <c r="M754" s="36"/>
      <c r="N754" s="36"/>
      <c r="O754" s="36"/>
      <c r="P754" s="36"/>
    </row>
    <row r="755" spans="3:16" ht="13" x14ac:dyDescent="0.6">
      <c r="C755" s="36"/>
      <c r="D755" s="36"/>
      <c r="E755" s="36"/>
      <c r="F755" s="36"/>
      <c r="G755" s="36"/>
      <c r="H755" s="36"/>
      <c r="I755" s="36"/>
      <c r="J755" s="36"/>
      <c r="K755" s="36"/>
      <c r="L755" s="36"/>
      <c r="M755" s="36"/>
      <c r="N755" s="36"/>
      <c r="O755" s="36"/>
      <c r="P755" s="36"/>
    </row>
    <row r="756" spans="3:16" ht="13" x14ac:dyDescent="0.6">
      <c r="C756" s="36"/>
      <c r="D756" s="36"/>
      <c r="E756" s="36"/>
      <c r="F756" s="36"/>
      <c r="G756" s="36"/>
      <c r="H756" s="36"/>
      <c r="I756" s="36"/>
      <c r="J756" s="36"/>
      <c r="K756" s="36"/>
      <c r="L756" s="36"/>
      <c r="M756" s="36"/>
      <c r="N756" s="36"/>
      <c r="O756" s="36"/>
      <c r="P756" s="36"/>
    </row>
    <row r="757" spans="3:16" ht="13" x14ac:dyDescent="0.6">
      <c r="C757" s="36"/>
      <c r="D757" s="36"/>
      <c r="E757" s="36"/>
      <c r="F757" s="36"/>
      <c r="G757" s="36"/>
      <c r="H757" s="36"/>
      <c r="I757" s="36"/>
      <c r="J757" s="36"/>
      <c r="K757" s="36"/>
      <c r="L757" s="36"/>
      <c r="M757" s="36"/>
      <c r="N757" s="36"/>
      <c r="O757" s="36"/>
      <c r="P757" s="36"/>
    </row>
    <row r="758" spans="3:16" ht="13" x14ac:dyDescent="0.6">
      <c r="C758" s="36"/>
      <c r="D758" s="36"/>
      <c r="E758" s="36"/>
      <c r="F758" s="36"/>
      <c r="G758" s="36"/>
      <c r="H758" s="36"/>
      <c r="I758" s="36"/>
      <c r="J758" s="36"/>
      <c r="K758" s="36"/>
      <c r="L758" s="36"/>
      <c r="M758" s="36"/>
      <c r="N758" s="36"/>
      <c r="O758" s="36"/>
      <c r="P758" s="36"/>
    </row>
    <row r="759" spans="3:16" ht="13" x14ac:dyDescent="0.6">
      <c r="C759" s="36"/>
      <c r="D759" s="36"/>
      <c r="E759" s="36"/>
      <c r="F759" s="36"/>
      <c r="G759" s="36"/>
      <c r="H759" s="36"/>
      <c r="I759" s="36"/>
      <c r="J759" s="36"/>
      <c r="K759" s="36"/>
      <c r="L759" s="36"/>
      <c r="M759" s="36"/>
      <c r="N759" s="36"/>
      <c r="O759" s="36"/>
      <c r="P759" s="36"/>
    </row>
    <row r="760" spans="3:16" ht="13" x14ac:dyDescent="0.6">
      <c r="C760" s="36"/>
      <c r="D760" s="36"/>
      <c r="E760" s="36"/>
      <c r="F760" s="36"/>
      <c r="G760" s="36"/>
      <c r="H760" s="36"/>
      <c r="I760" s="36"/>
      <c r="J760" s="36"/>
      <c r="K760" s="36"/>
      <c r="L760" s="36"/>
      <c r="M760" s="36"/>
      <c r="N760" s="36"/>
      <c r="O760" s="36"/>
      <c r="P760" s="36"/>
    </row>
    <row r="761" spans="3:16" ht="13" x14ac:dyDescent="0.6">
      <c r="C761" s="36"/>
      <c r="D761" s="36"/>
      <c r="E761" s="36"/>
      <c r="F761" s="36"/>
      <c r="G761" s="36"/>
      <c r="H761" s="36"/>
      <c r="I761" s="36"/>
      <c r="J761" s="36"/>
      <c r="K761" s="36"/>
      <c r="L761" s="36"/>
      <c r="M761" s="36"/>
      <c r="N761" s="36"/>
      <c r="O761" s="36"/>
      <c r="P761" s="36"/>
    </row>
    <row r="762" spans="3:16" ht="13" x14ac:dyDescent="0.6">
      <c r="C762" s="36"/>
      <c r="D762" s="36"/>
      <c r="E762" s="36"/>
      <c r="F762" s="36"/>
      <c r="G762" s="36"/>
      <c r="H762" s="36"/>
      <c r="I762" s="36"/>
      <c r="J762" s="36"/>
      <c r="K762" s="36"/>
      <c r="L762" s="36"/>
      <c r="M762" s="36"/>
      <c r="N762" s="36"/>
      <c r="O762" s="36"/>
      <c r="P762" s="36"/>
    </row>
    <row r="763" spans="3:16" ht="13" x14ac:dyDescent="0.6">
      <c r="C763" s="36"/>
      <c r="D763" s="36"/>
      <c r="E763" s="36"/>
      <c r="F763" s="36"/>
      <c r="G763" s="36"/>
      <c r="H763" s="36"/>
      <c r="I763" s="36"/>
      <c r="J763" s="36"/>
      <c r="K763" s="36"/>
      <c r="L763" s="36"/>
      <c r="M763" s="36"/>
      <c r="N763" s="36"/>
      <c r="O763" s="36"/>
      <c r="P763" s="36"/>
    </row>
    <row r="764" spans="3:16" ht="13" x14ac:dyDescent="0.6">
      <c r="C764" s="36"/>
      <c r="D764" s="36"/>
      <c r="E764" s="36"/>
      <c r="F764" s="36"/>
      <c r="G764" s="36"/>
      <c r="H764" s="36"/>
      <c r="I764" s="36"/>
      <c r="J764" s="36"/>
      <c r="K764" s="36"/>
      <c r="L764" s="36"/>
      <c r="M764" s="36"/>
      <c r="N764" s="36"/>
      <c r="O764" s="36"/>
      <c r="P764" s="36"/>
    </row>
    <row r="765" spans="3:16" ht="13" x14ac:dyDescent="0.6">
      <c r="C765" s="36"/>
      <c r="D765" s="36"/>
      <c r="E765" s="36"/>
      <c r="F765" s="36"/>
      <c r="G765" s="36"/>
      <c r="H765" s="36"/>
      <c r="I765" s="36"/>
      <c r="J765" s="36"/>
      <c r="K765" s="36"/>
      <c r="L765" s="36"/>
      <c r="M765" s="36"/>
      <c r="N765" s="36"/>
      <c r="O765" s="36"/>
      <c r="P765" s="36"/>
    </row>
    <row r="766" spans="3:16" ht="13" x14ac:dyDescent="0.6">
      <c r="C766" s="36"/>
      <c r="D766" s="36"/>
      <c r="E766" s="36"/>
      <c r="F766" s="36"/>
      <c r="G766" s="36"/>
      <c r="H766" s="36"/>
      <c r="I766" s="36"/>
      <c r="J766" s="36"/>
      <c r="K766" s="36"/>
      <c r="L766" s="36"/>
      <c r="M766" s="36"/>
      <c r="N766" s="36"/>
      <c r="O766" s="36"/>
      <c r="P766" s="36"/>
    </row>
    <row r="767" spans="3:16" ht="13" x14ac:dyDescent="0.6">
      <c r="C767" s="36"/>
      <c r="D767" s="36"/>
      <c r="E767" s="36"/>
      <c r="F767" s="36"/>
      <c r="G767" s="36"/>
      <c r="H767" s="36"/>
      <c r="I767" s="36"/>
      <c r="J767" s="36"/>
      <c r="K767" s="36"/>
      <c r="L767" s="36"/>
      <c r="M767" s="36"/>
      <c r="N767" s="36"/>
      <c r="O767" s="36"/>
      <c r="P767" s="36"/>
    </row>
    <row r="768" spans="3:16" ht="13" x14ac:dyDescent="0.6">
      <c r="C768" s="36"/>
      <c r="D768" s="36"/>
      <c r="E768" s="36"/>
      <c r="F768" s="36"/>
      <c r="G768" s="36"/>
      <c r="H768" s="36"/>
      <c r="I768" s="36"/>
      <c r="J768" s="36"/>
      <c r="K768" s="36"/>
      <c r="L768" s="36"/>
      <c r="M768" s="36"/>
      <c r="N768" s="36"/>
      <c r="O768" s="36"/>
      <c r="P768" s="36"/>
    </row>
    <row r="769" spans="3:16" ht="13" x14ac:dyDescent="0.6">
      <c r="C769" s="36"/>
      <c r="D769" s="36"/>
      <c r="E769" s="36"/>
      <c r="F769" s="36"/>
      <c r="G769" s="36"/>
      <c r="H769" s="36"/>
      <c r="I769" s="36"/>
      <c r="J769" s="36"/>
      <c r="K769" s="36"/>
      <c r="L769" s="36"/>
      <c r="M769" s="36"/>
      <c r="N769" s="36"/>
      <c r="O769" s="36"/>
      <c r="P769" s="36"/>
    </row>
    <row r="770" spans="3:16" ht="13" x14ac:dyDescent="0.6">
      <c r="C770" s="36"/>
      <c r="D770" s="36"/>
      <c r="E770" s="36"/>
      <c r="F770" s="36"/>
      <c r="G770" s="36"/>
      <c r="H770" s="36"/>
      <c r="I770" s="36"/>
      <c r="J770" s="36"/>
      <c r="K770" s="36"/>
      <c r="L770" s="36"/>
      <c r="M770" s="36"/>
      <c r="N770" s="36"/>
      <c r="O770" s="36"/>
      <c r="P770" s="36"/>
    </row>
    <row r="771" spans="3:16" ht="13" x14ac:dyDescent="0.6">
      <c r="C771" s="36"/>
      <c r="D771" s="36"/>
      <c r="E771" s="36"/>
      <c r="F771" s="36"/>
      <c r="G771" s="36"/>
      <c r="H771" s="36"/>
      <c r="I771" s="36"/>
      <c r="J771" s="36"/>
      <c r="K771" s="36"/>
      <c r="L771" s="36"/>
      <c r="M771" s="36"/>
      <c r="N771" s="36"/>
      <c r="O771" s="36"/>
      <c r="P771" s="36"/>
    </row>
    <row r="772" spans="3:16" ht="13" x14ac:dyDescent="0.6">
      <c r="C772" s="36"/>
      <c r="D772" s="36"/>
      <c r="E772" s="36"/>
      <c r="F772" s="36"/>
      <c r="G772" s="36"/>
      <c r="H772" s="36"/>
      <c r="I772" s="36"/>
      <c r="J772" s="36"/>
      <c r="K772" s="36"/>
      <c r="L772" s="36"/>
      <c r="M772" s="36"/>
      <c r="N772" s="36"/>
      <c r="O772" s="36"/>
      <c r="P772" s="36"/>
    </row>
    <row r="773" spans="3:16" ht="13" x14ac:dyDescent="0.6">
      <c r="C773" s="36"/>
      <c r="D773" s="36"/>
      <c r="E773" s="36"/>
      <c r="F773" s="36"/>
      <c r="G773" s="36"/>
      <c r="H773" s="36"/>
      <c r="I773" s="36"/>
      <c r="J773" s="36"/>
      <c r="K773" s="36"/>
      <c r="L773" s="36"/>
      <c r="M773" s="36"/>
      <c r="N773" s="36"/>
      <c r="O773" s="36"/>
      <c r="P773" s="36"/>
    </row>
    <row r="774" spans="3:16" ht="13" x14ac:dyDescent="0.6">
      <c r="C774" s="36"/>
      <c r="D774" s="36"/>
      <c r="E774" s="36"/>
      <c r="F774" s="36"/>
      <c r="G774" s="36"/>
      <c r="H774" s="36"/>
      <c r="I774" s="36"/>
      <c r="J774" s="36"/>
      <c r="K774" s="36"/>
      <c r="L774" s="36"/>
      <c r="M774" s="36"/>
      <c r="N774" s="36"/>
      <c r="O774" s="36"/>
      <c r="P774" s="36"/>
    </row>
    <row r="775" spans="3:16" ht="13" x14ac:dyDescent="0.6">
      <c r="C775" s="36"/>
      <c r="D775" s="36"/>
      <c r="E775" s="36"/>
      <c r="F775" s="36"/>
      <c r="G775" s="36"/>
      <c r="H775" s="36"/>
      <c r="I775" s="36"/>
      <c r="J775" s="36"/>
      <c r="K775" s="36"/>
      <c r="L775" s="36"/>
      <c r="M775" s="36"/>
      <c r="N775" s="36"/>
      <c r="O775" s="36"/>
      <c r="P775" s="36"/>
    </row>
    <row r="776" spans="3:16" ht="13" x14ac:dyDescent="0.6">
      <c r="C776" s="36"/>
      <c r="D776" s="36"/>
      <c r="E776" s="36"/>
      <c r="F776" s="36"/>
      <c r="G776" s="36"/>
      <c r="H776" s="36"/>
      <c r="I776" s="36"/>
      <c r="J776" s="36"/>
      <c r="K776" s="36"/>
      <c r="L776" s="36"/>
      <c r="M776" s="36"/>
      <c r="N776" s="36"/>
      <c r="O776" s="36"/>
      <c r="P776" s="36"/>
    </row>
    <row r="777" spans="3:16" ht="13" x14ac:dyDescent="0.6">
      <c r="C777" s="36"/>
      <c r="D777" s="36"/>
      <c r="E777" s="36"/>
      <c r="F777" s="36"/>
      <c r="G777" s="36"/>
      <c r="H777" s="36"/>
      <c r="I777" s="36"/>
      <c r="J777" s="36"/>
      <c r="K777" s="36"/>
      <c r="L777" s="36"/>
      <c r="M777" s="36"/>
      <c r="N777" s="36"/>
      <c r="O777" s="36"/>
      <c r="P777" s="36"/>
    </row>
    <row r="778" spans="3:16" ht="13" x14ac:dyDescent="0.6">
      <c r="C778" s="36"/>
      <c r="D778" s="36"/>
      <c r="E778" s="36"/>
      <c r="F778" s="36"/>
      <c r="G778" s="36"/>
      <c r="H778" s="36"/>
      <c r="I778" s="36"/>
      <c r="J778" s="36"/>
      <c r="K778" s="36"/>
      <c r="L778" s="36"/>
      <c r="M778" s="36"/>
      <c r="N778" s="36"/>
      <c r="O778" s="36"/>
      <c r="P778" s="36"/>
    </row>
    <row r="779" spans="3:16" ht="13" x14ac:dyDescent="0.6">
      <c r="C779" s="36"/>
      <c r="D779" s="36"/>
      <c r="E779" s="36"/>
      <c r="F779" s="36"/>
      <c r="G779" s="36"/>
      <c r="H779" s="36"/>
      <c r="I779" s="36"/>
      <c r="J779" s="36"/>
      <c r="K779" s="36"/>
      <c r="L779" s="36"/>
      <c r="M779" s="36"/>
      <c r="N779" s="36"/>
      <c r="O779" s="36"/>
      <c r="P779" s="36"/>
    </row>
    <row r="780" spans="3:16" ht="13" x14ac:dyDescent="0.6">
      <c r="C780" s="36"/>
      <c r="D780" s="36"/>
      <c r="E780" s="36"/>
      <c r="F780" s="36"/>
      <c r="G780" s="36"/>
      <c r="H780" s="36"/>
      <c r="I780" s="36"/>
      <c r="J780" s="36"/>
      <c r="K780" s="36"/>
      <c r="L780" s="36"/>
      <c r="M780" s="36"/>
      <c r="N780" s="36"/>
      <c r="O780" s="36"/>
      <c r="P780" s="36"/>
    </row>
    <row r="781" spans="3:16" ht="13" x14ac:dyDescent="0.6">
      <c r="C781" s="36"/>
      <c r="D781" s="36"/>
      <c r="E781" s="36"/>
      <c r="F781" s="36"/>
      <c r="G781" s="36"/>
      <c r="H781" s="36"/>
      <c r="I781" s="36"/>
      <c r="J781" s="36"/>
      <c r="K781" s="36"/>
      <c r="L781" s="36"/>
      <c r="M781" s="36"/>
      <c r="N781" s="36"/>
      <c r="O781" s="36"/>
      <c r="P781" s="36"/>
    </row>
    <row r="782" spans="3:16" ht="13" x14ac:dyDescent="0.6">
      <c r="C782" s="36"/>
      <c r="D782" s="36"/>
      <c r="E782" s="36"/>
      <c r="F782" s="36"/>
      <c r="G782" s="36"/>
      <c r="H782" s="36"/>
      <c r="I782" s="36"/>
      <c r="J782" s="36"/>
      <c r="K782" s="36"/>
      <c r="L782" s="36"/>
      <c r="M782" s="36"/>
      <c r="N782" s="36"/>
      <c r="O782" s="36"/>
      <c r="P782" s="36"/>
    </row>
    <row r="783" spans="3:16" ht="13" x14ac:dyDescent="0.6">
      <c r="C783" s="36"/>
      <c r="D783" s="36"/>
      <c r="E783" s="36"/>
      <c r="F783" s="36"/>
      <c r="G783" s="36"/>
      <c r="H783" s="36"/>
      <c r="I783" s="36"/>
      <c r="J783" s="36"/>
      <c r="K783" s="36"/>
      <c r="L783" s="36"/>
      <c r="M783" s="36"/>
      <c r="N783" s="36"/>
      <c r="O783" s="36"/>
      <c r="P783" s="36"/>
    </row>
    <row r="784" spans="3:16" ht="13" x14ac:dyDescent="0.6">
      <c r="C784" s="36"/>
      <c r="D784" s="36"/>
      <c r="E784" s="36"/>
      <c r="F784" s="36"/>
      <c r="G784" s="36"/>
      <c r="H784" s="36"/>
      <c r="I784" s="36"/>
      <c r="J784" s="36"/>
      <c r="K784" s="36"/>
      <c r="L784" s="36"/>
      <c r="M784" s="36"/>
      <c r="N784" s="36"/>
      <c r="O784" s="36"/>
      <c r="P784" s="36"/>
    </row>
    <row r="785" spans="3:16" ht="13" x14ac:dyDescent="0.6">
      <c r="C785" s="36"/>
      <c r="D785" s="36"/>
      <c r="E785" s="36"/>
      <c r="F785" s="36"/>
      <c r="G785" s="36"/>
      <c r="H785" s="36"/>
      <c r="I785" s="36"/>
      <c r="J785" s="36"/>
      <c r="K785" s="36"/>
      <c r="L785" s="36"/>
      <c r="M785" s="36"/>
      <c r="N785" s="36"/>
      <c r="O785" s="36"/>
      <c r="P785" s="36"/>
    </row>
    <row r="786" spans="3:16" ht="13" x14ac:dyDescent="0.6">
      <c r="C786" s="36"/>
      <c r="D786" s="36"/>
      <c r="E786" s="36"/>
      <c r="F786" s="36"/>
      <c r="G786" s="36"/>
      <c r="H786" s="36"/>
      <c r="I786" s="36"/>
      <c r="J786" s="36"/>
      <c r="K786" s="36"/>
      <c r="L786" s="36"/>
      <c r="M786" s="36"/>
      <c r="N786" s="36"/>
      <c r="O786" s="36"/>
      <c r="P786" s="36"/>
    </row>
    <row r="787" spans="3:16" ht="13" x14ac:dyDescent="0.6">
      <c r="C787" s="36"/>
      <c r="D787" s="36"/>
      <c r="E787" s="36"/>
      <c r="F787" s="36"/>
      <c r="G787" s="36"/>
      <c r="H787" s="36"/>
      <c r="I787" s="36"/>
      <c r="J787" s="36"/>
      <c r="K787" s="36"/>
      <c r="L787" s="36"/>
      <c r="M787" s="36"/>
      <c r="N787" s="36"/>
      <c r="O787" s="36"/>
      <c r="P787" s="36"/>
    </row>
    <row r="788" spans="3:16" ht="13" x14ac:dyDescent="0.6">
      <c r="C788" s="36"/>
      <c r="D788" s="36"/>
      <c r="E788" s="36"/>
      <c r="F788" s="36"/>
      <c r="G788" s="36"/>
      <c r="H788" s="36"/>
      <c r="I788" s="36"/>
      <c r="J788" s="36"/>
      <c r="K788" s="36"/>
      <c r="L788" s="36"/>
      <c r="M788" s="36"/>
      <c r="N788" s="36"/>
      <c r="O788" s="36"/>
      <c r="P788" s="36"/>
    </row>
    <row r="789" spans="3:16" ht="13" x14ac:dyDescent="0.6">
      <c r="C789" s="36"/>
      <c r="D789" s="36"/>
      <c r="E789" s="36"/>
      <c r="F789" s="36"/>
      <c r="G789" s="36"/>
      <c r="H789" s="36"/>
      <c r="I789" s="36"/>
      <c r="J789" s="36"/>
      <c r="K789" s="36"/>
      <c r="L789" s="36"/>
      <c r="M789" s="36"/>
      <c r="N789" s="36"/>
      <c r="O789" s="36"/>
      <c r="P789" s="36"/>
    </row>
    <row r="790" spans="3:16" ht="13" x14ac:dyDescent="0.6">
      <c r="C790" s="36"/>
      <c r="D790" s="36"/>
      <c r="E790" s="36"/>
      <c r="F790" s="36"/>
      <c r="G790" s="36"/>
      <c r="H790" s="36"/>
      <c r="I790" s="36"/>
      <c r="J790" s="36"/>
      <c r="K790" s="36"/>
      <c r="L790" s="36"/>
      <c r="M790" s="36"/>
      <c r="N790" s="36"/>
      <c r="O790" s="36"/>
      <c r="P790" s="36"/>
    </row>
    <row r="791" spans="3:16" ht="13" x14ac:dyDescent="0.6">
      <c r="C791" s="36"/>
      <c r="D791" s="36"/>
      <c r="E791" s="36"/>
      <c r="F791" s="36"/>
      <c r="G791" s="36"/>
      <c r="H791" s="36"/>
      <c r="I791" s="36"/>
      <c r="J791" s="36"/>
      <c r="K791" s="36"/>
      <c r="L791" s="36"/>
      <c r="M791" s="36"/>
      <c r="N791" s="36"/>
      <c r="O791" s="36"/>
      <c r="P791" s="36"/>
    </row>
    <row r="792" spans="3:16" ht="13" x14ac:dyDescent="0.6">
      <c r="C792" s="36"/>
      <c r="D792" s="36"/>
      <c r="E792" s="36"/>
      <c r="F792" s="36"/>
      <c r="G792" s="36"/>
      <c r="H792" s="36"/>
      <c r="I792" s="36"/>
      <c r="J792" s="36"/>
      <c r="K792" s="36"/>
      <c r="L792" s="36"/>
      <c r="M792" s="36"/>
      <c r="N792" s="36"/>
      <c r="O792" s="36"/>
      <c r="P792" s="36"/>
    </row>
    <row r="793" spans="3:16" ht="13" x14ac:dyDescent="0.6">
      <c r="C793" s="36"/>
      <c r="D793" s="36"/>
      <c r="E793" s="36"/>
      <c r="F793" s="36"/>
      <c r="G793" s="36"/>
      <c r="H793" s="36"/>
      <c r="I793" s="36"/>
      <c r="J793" s="36"/>
      <c r="K793" s="36"/>
      <c r="L793" s="36"/>
      <c r="M793" s="36"/>
      <c r="N793" s="36"/>
      <c r="O793" s="36"/>
      <c r="P793" s="36"/>
    </row>
    <row r="794" spans="3:16" ht="13" x14ac:dyDescent="0.6">
      <c r="C794" s="36"/>
      <c r="D794" s="36"/>
      <c r="E794" s="36"/>
      <c r="F794" s="36"/>
      <c r="G794" s="36"/>
      <c r="H794" s="36"/>
      <c r="I794" s="36"/>
      <c r="J794" s="36"/>
      <c r="K794" s="36"/>
      <c r="L794" s="36"/>
      <c r="M794" s="36"/>
      <c r="N794" s="36"/>
      <c r="O794" s="36"/>
      <c r="P794" s="36"/>
    </row>
    <row r="795" spans="3:16" ht="13" x14ac:dyDescent="0.6">
      <c r="C795" s="36"/>
      <c r="D795" s="36"/>
      <c r="E795" s="36"/>
      <c r="F795" s="36"/>
      <c r="G795" s="36"/>
      <c r="H795" s="36"/>
      <c r="I795" s="36"/>
      <c r="J795" s="36"/>
      <c r="K795" s="36"/>
      <c r="L795" s="36"/>
      <c r="M795" s="36"/>
      <c r="N795" s="36"/>
      <c r="O795" s="36"/>
      <c r="P795" s="36"/>
    </row>
    <row r="796" spans="3:16" ht="13" x14ac:dyDescent="0.6">
      <c r="C796" s="36"/>
      <c r="D796" s="36"/>
      <c r="E796" s="36"/>
      <c r="F796" s="36"/>
      <c r="G796" s="36"/>
      <c r="H796" s="36"/>
      <c r="I796" s="36"/>
      <c r="J796" s="36"/>
      <c r="K796" s="36"/>
      <c r="L796" s="36"/>
      <c r="M796" s="36"/>
      <c r="N796" s="36"/>
      <c r="O796" s="36"/>
      <c r="P796" s="36"/>
    </row>
    <row r="797" spans="3:16" ht="13" x14ac:dyDescent="0.6">
      <c r="C797" s="36"/>
      <c r="D797" s="36"/>
      <c r="E797" s="36"/>
      <c r="F797" s="36"/>
      <c r="G797" s="36"/>
      <c r="H797" s="36"/>
      <c r="I797" s="36"/>
      <c r="J797" s="36"/>
      <c r="K797" s="36"/>
      <c r="L797" s="36"/>
      <c r="M797" s="36"/>
      <c r="N797" s="36"/>
      <c r="O797" s="36"/>
      <c r="P797" s="36"/>
    </row>
    <row r="798" spans="3:16" ht="13" x14ac:dyDescent="0.6">
      <c r="C798" s="36"/>
      <c r="D798" s="36"/>
      <c r="E798" s="36"/>
      <c r="F798" s="36"/>
      <c r="G798" s="36"/>
      <c r="H798" s="36"/>
      <c r="I798" s="36"/>
      <c r="J798" s="36"/>
      <c r="K798" s="36"/>
      <c r="L798" s="36"/>
      <c r="M798" s="36"/>
      <c r="N798" s="36"/>
      <c r="O798" s="36"/>
      <c r="P798" s="36"/>
    </row>
    <row r="799" spans="3:16" ht="13" x14ac:dyDescent="0.6">
      <c r="C799" s="36"/>
      <c r="D799" s="36"/>
      <c r="E799" s="36"/>
      <c r="F799" s="36"/>
      <c r="G799" s="36"/>
      <c r="H799" s="36"/>
      <c r="I799" s="36"/>
      <c r="J799" s="36"/>
      <c r="K799" s="36"/>
      <c r="L799" s="36"/>
      <c r="M799" s="36"/>
      <c r="N799" s="36"/>
      <c r="O799" s="36"/>
      <c r="P799" s="36"/>
    </row>
    <row r="800" spans="3:16" ht="13" x14ac:dyDescent="0.6">
      <c r="C800" s="36"/>
      <c r="D800" s="36"/>
      <c r="E800" s="36"/>
      <c r="F800" s="36"/>
      <c r="G800" s="36"/>
      <c r="H800" s="36"/>
      <c r="I800" s="36"/>
      <c r="J800" s="36"/>
      <c r="K800" s="36"/>
      <c r="L800" s="36"/>
      <c r="M800" s="36"/>
      <c r="N800" s="36"/>
      <c r="O800" s="36"/>
      <c r="P800" s="36"/>
    </row>
    <row r="801" spans="3:16" ht="13" x14ac:dyDescent="0.6">
      <c r="C801" s="36"/>
      <c r="D801" s="36"/>
      <c r="E801" s="36"/>
      <c r="F801" s="36"/>
      <c r="G801" s="36"/>
      <c r="H801" s="36"/>
      <c r="I801" s="36"/>
      <c r="J801" s="36"/>
      <c r="K801" s="36"/>
      <c r="L801" s="36"/>
      <c r="M801" s="36"/>
      <c r="N801" s="36"/>
      <c r="O801" s="36"/>
      <c r="P801" s="36"/>
    </row>
    <row r="802" spans="3:16" ht="13" x14ac:dyDescent="0.6">
      <c r="C802" s="36"/>
      <c r="D802" s="36"/>
      <c r="E802" s="36"/>
      <c r="F802" s="36"/>
      <c r="G802" s="36"/>
      <c r="H802" s="36"/>
      <c r="I802" s="36"/>
      <c r="J802" s="36"/>
      <c r="K802" s="36"/>
      <c r="L802" s="36"/>
      <c r="M802" s="36"/>
      <c r="N802" s="36"/>
      <c r="O802" s="36"/>
      <c r="P802" s="36"/>
    </row>
    <row r="803" spans="3:16" ht="13" x14ac:dyDescent="0.6">
      <c r="C803" s="36"/>
      <c r="D803" s="36"/>
      <c r="E803" s="36"/>
      <c r="F803" s="36"/>
      <c r="G803" s="36"/>
      <c r="H803" s="36"/>
      <c r="I803" s="36"/>
      <c r="J803" s="36"/>
      <c r="K803" s="36"/>
      <c r="L803" s="36"/>
      <c r="M803" s="36"/>
      <c r="N803" s="36"/>
      <c r="O803" s="36"/>
      <c r="P803" s="36"/>
    </row>
    <row r="804" spans="3:16" ht="13" x14ac:dyDescent="0.6">
      <c r="C804" s="36"/>
      <c r="D804" s="36"/>
      <c r="E804" s="36"/>
      <c r="F804" s="36"/>
      <c r="G804" s="36"/>
      <c r="H804" s="36"/>
      <c r="I804" s="36"/>
      <c r="J804" s="36"/>
      <c r="K804" s="36"/>
      <c r="L804" s="36"/>
      <c r="M804" s="36"/>
      <c r="N804" s="36"/>
      <c r="O804" s="36"/>
      <c r="P804" s="36"/>
    </row>
    <row r="805" spans="3:16" ht="13" x14ac:dyDescent="0.6">
      <c r="C805" s="36"/>
      <c r="D805" s="36"/>
      <c r="E805" s="36"/>
      <c r="F805" s="36"/>
      <c r="G805" s="36"/>
      <c r="H805" s="36"/>
      <c r="I805" s="36"/>
      <c r="J805" s="36"/>
      <c r="K805" s="36"/>
      <c r="L805" s="36"/>
      <c r="M805" s="36"/>
      <c r="N805" s="36"/>
      <c r="O805" s="36"/>
      <c r="P805" s="36"/>
    </row>
    <row r="806" spans="3:16" ht="13" x14ac:dyDescent="0.6">
      <c r="C806" s="36"/>
      <c r="D806" s="36"/>
      <c r="E806" s="36"/>
      <c r="F806" s="36"/>
      <c r="G806" s="36"/>
      <c r="H806" s="36"/>
      <c r="I806" s="36"/>
      <c r="J806" s="36"/>
      <c r="K806" s="36"/>
      <c r="L806" s="36"/>
      <c r="M806" s="36"/>
      <c r="N806" s="36"/>
      <c r="O806" s="36"/>
      <c r="P806" s="36"/>
    </row>
    <row r="807" spans="3:16" ht="13" x14ac:dyDescent="0.6">
      <c r="C807" s="36"/>
      <c r="D807" s="36"/>
      <c r="E807" s="36"/>
      <c r="F807" s="36"/>
      <c r="G807" s="36"/>
      <c r="H807" s="36"/>
      <c r="I807" s="36"/>
      <c r="J807" s="36"/>
      <c r="K807" s="36"/>
      <c r="L807" s="36"/>
      <c r="M807" s="36"/>
      <c r="N807" s="36"/>
      <c r="O807" s="36"/>
      <c r="P807" s="36"/>
    </row>
    <row r="808" spans="3:16" ht="13" x14ac:dyDescent="0.6">
      <c r="C808" s="36"/>
      <c r="D808" s="36"/>
      <c r="E808" s="36"/>
      <c r="F808" s="36"/>
      <c r="G808" s="36"/>
      <c r="H808" s="36"/>
      <c r="I808" s="36"/>
      <c r="J808" s="36"/>
      <c r="K808" s="36"/>
      <c r="L808" s="36"/>
      <c r="M808" s="36"/>
      <c r="N808" s="36"/>
      <c r="O808" s="36"/>
      <c r="P808" s="36"/>
    </row>
    <row r="809" spans="3:16" ht="13" x14ac:dyDescent="0.6">
      <c r="C809" s="36"/>
      <c r="D809" s="36"/>
      <c r="E809" s="36"/>
      <c r="F809" s="36"/>
      <c r="G809" s="36"/>
      <c r="H809" s="36"/>
      <c r="I809" s="36"/>
      <c r="J809" s="36"/>
      <c r="K809" s="36"/>
      <c r="L809" s="36"/>
      <c r="M809" s="36"/>
      <c r="N809" s="36"/>
      <c r="O809" s="36"/>
      <c r="P809" s="36"/>
    </row>
    <row r="810" spans="3:16" ht="13" x14ac:dyDescent="0.6">
      <c r="C810" s="36"/>
      <c r="D810" s="36"/>
      <c r="E810" s="36"/>
      <c r="F810" s="36"/>
      <c r="G810" s="36"/>
      <c r="H810" s="36"/>
      <c r="I810" s="36"/>
      <c r="J810" s="36"/>
      <c r="K810" s="36"/>
      <c r="L810" s="36"/>
      <c r="M810" s="36"/>
      <c r="N810" s="36"/>
      <c r="O810" s="36"/>
      <c r="P810" s="36"/>
    </row>
    <row r="811" spans="3:16" ht="13" x14ac:dyDescent="0.6">
      <c r="C811" s="36"/>
      <c r="D811" s="36"/>
      <c r="E811" s="36"/>
      <c r="F811" s="36"/>
      <c r="G811" s="36"/>
      <c r="H811" s="36"/>
      <c r="I811" s="36"/>
      <c r="J811" s="36"/>
      <c r="K811" s="36"/>
      <c r="L811" s="36"/>
      <c r="M811" s="36"/>
      <c r="N811" s="36"/>
      <c r="O811" s="36"/>
      <c r="P811" s="36"/>
    </row>
    <row r="812" spans="3:16" ht="13" x14ac:dyDescent="0.6">
      <c r="C812" s="36"/>
      <c r="D812" s="36"/>
      <c r="E812" s="36"/>
      <c r="F812" s="36"/>
      <c r="G812" s="36"/>
      <c r="H812" s="36"/>
      <c r="I812" s="36"/>
      <c r="J812" s="36"/>
      <c r="K812" s="36"/>
      <c r="L812" s="36"/>
      <c r="M812" s="36"/>
      <c r="N812" s="36"/>
      <c r="O812" s="36"/>
      <c r="P812" s="36"/>
    </row>
    <row r="813" spans="3:16" ht="13" x14ac:dyDescent="0.6">
      <c r="C813" s="36"/>
      <c r="D813" s="36"/>
      <c r="E813" s="36"/>
      <c r="F813" s="36"/>
      <c r="G813" s="36"/>
      <c r="H813" s="36"/>
      <c r="I813" s="36"/>
      <c r="J813" s="36"/>
      <c r="K813" s="36"/>
      <c r="L813" s="36"/>
      <c r="M813" s="36"/>
      <c r="N813" s="36"/>
      <c r="O813" s="36"/>
      <c r="P813" s="36"/>
    </row>
    <row r="814" spans="3:16" ht="13" x14ac:dyDescent="0.6">
      <c r="C814" s="36"/>
      <c r="D814" s="36"/>
      <c r="E814" s="36"/>
      <c r="F814" s="36"/>
      <c r="G814" s="36"/>
      <c r="H814" s="36"/>
      <c r="I814" s="36"/>
      <c r="J814" s="36"/>
      <c r="K814" s="36"/>
      <c r="L814" s="36"/>
      <c r="M814" s="36"/>
      <c r="N814" s="36"/>
      <c r="O814" s="36"/>
      <c r="P814" s="36"/>
    </row>
    <row r="815" spans="3:16" ht="13" x14ac:dyDescent="0.6">
      <c r="C815" s="36"/>
      <c r="D815" s="36"/>
      <c r="E815" s="36"/>
      <c r="F815" s="36"/>
      <c r="G815" s="36"/>
      <c r="H815" s="36"/>
      <c r="I815" s="36"/>
      <c r="J815" s="36"/>
      <c r="K815" s="36"/>
      <c r="L815" s="36"/>
      <c r="M815" s="36"/>
      <c r="N815" s="36"/>
      <c r="O815" s="36"/>
      <c r="P815" s="36"/>
    </row>
    <row r="816" spans="3:16" ht="13" x14ac:dyDescent="0.6">
      <c r="C816" s="36"/>
      <c r="D816" s="36"/>
      <c r="E816" s="36"/>
      <c r="F816" s="36"/>
      <c r="G816" s="36"/>
      <c r="H816" s="36"/>
      <c r="I816" s="36"/>
      <c r="J816" s="36"/>
      <c r="K816" s="36"/>
      <c r="L816" s="36"/>
      <c r="M816" s="36"/>
      <c r="N816" s="36"/>
      <c r="O816" s="36"/>
      <c r="P816" s="36"/>
    </row>
    <row r="817" spans="3:16" ht="13" x14ac:dyDescent="0.6">
      <c r="C817" s="36"/>
      <c r="D817" s="36"/>
      <c r="E817" s="36"/>
      <c r="F817" s="36"/>
      <c r="G817" s="36"/>
      <c r="H817" s="36"/>
      <c r="I817" s="36"/>
      <c r="J817" s="36"/>
      <c r="K817" s="36"/>
      <c r="L817" s="36"/>
      <c r="M817" s="36"/>
      <c r="N817" s="36"/>
      <c r="O817" s="36"/>
      <c r="P817" s="36"/>
    </row>
    <row r="818" spans="3:16" ht="13" x14ac:dyDescent="0.6">
      <c r="C818" s="36"/>
      <c r="D818" s="36"/>
      <c r="E818" s="36"/>
      <c r="F818" s="36"/>
      <c r="G818" s="36"/>
      <c r="H818" s="36"/>
      <c r="I818" s="36"/>
      <c r="J818" s="36"/>
      <c r="K818" s="36"/>
      <c r="L818" s="36"/>
      <c r="M818" s="36"/>
      <c r="N818" s="36"/>
      <c r="O818" s="36"/>
      <c r="P818" s="36"/>
    </row>
    <row r="819" spans="3:16" ht="13" x14ac:dyDescent="0.6">
      <c r="C819" s="36"/>
      <c r="D819" s="36"/>
      <c r="E819" s="36"/>
      <c r="F819" s="36"/>
      <c r="G819" s="36"/>
      <c r="H819" s="36"/>
      <c r="I819" s="36"/>
      <c r="J819" s="36"/>
      <c r="K819" s="36"/>
      <c r="L819" s="36"/>
      <c r="M819" s="36"/>
      <c r="N819" s="36"/>
      <c r="O819" s="36"/>
      <c r="P819" s="36"/>
    </row>
    <row r="820" spans="3:16" ht="13" x14ac:dyDescent="0.6">
      <c r="C820" s="36"/>
      <c r="D820" s="36"/>
      <c r="E820" s="36"/>
      <c r="F820" s="36"/>
      <c r="G820" s="36"/>
      <c r="H820" s="36"/>
      <c r="I820" s="36"/>
      <c r="J820" s="36"/>
      <c r="K820" s="36"/>
      <c r="L820" s="36"/>
      <c r="M820" s="36"/>
      <c r="N820" s="36"/>
      <c r="O820" s="36"/>
      <c r="P820" s="36"/>
    </row>
    <row r="821" spans="3:16" ht="13" x14ac:dyDescent="0.6">
      <c r="C821" s="36"/>
      <c r="D821" s="36"/>
      <c r="E821" s="36"/>
      <c r="F821" s="36"/>
      <c r="G821" s="36"/>
      <c r="H821" s="36"/>
      <c r="I821" s="36"/>
      <c r="J821" s="36"/>
      <c r="K821" s="36"/>
      <c r="L821" s="36"/>
      <c r="M821" s="36"/>
      <c r="N821" s="36"/>
      <c r="O821" s="36"/>
      <c r="P821" s="36"/>
    </row>
    <row r="822" spans="3:16" ht="13" x14ac:dyDescent="0.6">
      <c r="C822" s="36"/>
      <c r="D822" s="36"/>
      <c r="E822" s="36"/>
      <c r="F822" s="36"/>
      <c r="G822" s="36"/>
      <c r="H822" s="36"/>
      <c r="I822" s="36"/>
      <c r="J822" s="36"/>
      <c r="K822" s="36"/>
      <c r="L822" s="36"/>
      <c r="M822" s="36"/>
      <c r="N822" s="36"/>
      <c r="O822" s="36"/>
      <c r="P822" s="36"/>
    </row>
    <row r="823" spans="3:16" ht="13" x14ac:dyDescent="0.6">
      <c r="C823" s="36"/>
      <c r="D823" s="36"/>
      <c r="E823" s="36"/>
      <c r="F823" s="36"/>
      <c r="G823" s="36"/>
      <c r="H823" s="36"/>
      <c r="I823" s="36"/>
      <c r="J823" s="36"/>
      <c r="K823" s="36"/>
      <c r="L823" s="36"/>
      <c r="M823" s="36"/>
      <c r="N823" s="36"/>
      <c r="O823" s="36"/>
      <c r="P823" s="36"/>
    </row>
    <row r="824" spans="3:16" ht="13" x14ac:dyDescent="0.6">
      <c r="C824" s="36"/>
      <c r="D824" s="36"/>
      <c r="E824" s="36"/>
      <c r="F824" s="36"/>
      <c r="G824" s="36"/>
      <c r="H824" s="36"/>
      <c r="I824" s="36"/>
      <c r="J824" s="36"/>
      <c r="K824" s="36"/>
      <c r="L824" s="36"/>
      <c r="M824" s="36"/>
      <c r="N824" s="36"/>
      <c r="O824" s="36"/>
      <c r="P824" s="36"/>
    </row>
    <row r="825" spans="3:16" ht="13" x14ac:dyDescent="0.6">
      <c r="C825" s="36"/>
      <c r="D825" s="36"/>
      <c r="E825" s="36"/>
      <c r="F825" s="36"/>
      <c r="G825" s="36"/>
      <c r="H825" s="36"/>
      <c r="I825" s="36"/>
      <c r="J825" s="36"/>
      <c r="K825" s="36"/>
      <c r="L825" s="36"/>
      <c r="M825" s="36"/>
      <c r="N825" s="36"/>
      <c r="O825" s="36"/>
      <c r="P825" s="36"/>
    </row>
    <row r="826" spans="3:16" ht="13" x14ac:dyDescent="0.6">
      <c r="C826" s="36"/>
      <c r="D826" s="36"/>
      <c r="E826" s="36"/>
      <c r="F826" s="36"/>
      <c r="G826" s="36"/>
      <c r="H826" s="36"/>
      <c r="I826" s="36"/>
      <c r="J826" s="36"/>
      <c r="K826" s="36"/>
      <c r="L826" s="36"/>
      <c r="M826" s="36"/>
      <c r="N826" s="36"/>
      <c r="O826" s="36"/>
      <c r="P826" s="36"/>
    </row>
    <row r="827" spans="3:16" ht="13" x14ac:dyDescent="0.6">
      <c r="C827" s="36"/>
      <c r="D827" s="36"/>
      <c r="E827" s="36"/>
      <c r="F827" s="36"/>
      <c r="G827" s="36"/>
      <c r="H827" s="36"/>
      <c r="I827" s="36"/>
      <c r="J827" s="36"/>
      <c r="K827" s="36"/>
      <c r="L827" s="36"/>
      <c r="M827" s="36"/>
      <c r="N827" s="36"/>
      <c r="O827" s="36"/>
      <c r="P827" s="36"/>
    </row>
    <row r="828" spans="3:16" ht="13" x14ac:dyDescent="0.6">
      <c r="C828" s="36"/>
      <c r="D828" s="36"/>
      <c r="E828" s="36"/>
      <c r="F828" s="36"/>
      <c r="G828" s="36"/>
      <c r="H828" s="36"/>
      <c r="I828" s="36"/>
      <c r="J828" s="36"/>
      <c r="K828" s="36"/>
      <c r="L828" s="36"/>
      <c r="M828" s="36"/>
      <c r="N828" s="36"/>
      <c r="O828" s="36"/>
      <c r="P828" s="36"/>
    </row>
    <row r="829" spans="3:16" ht="13" x14ac:dyDescent="0.6">
      <c r="C829" s="36"/>
      <c r="D829" s="36"/>
      <c r="E829" s="36"/>
      <c r="F829" s="36"/>
      <c r="G829" s="36"/>
      <c r="H829" s="36"/>
      <c r="I829" s="36"/>
      <c r="J829" s="36"/>
      <c r="K829" s="36"/>
      <c r="L829" s="36"/>
      <c r="M829" s="36"/>
      <c r="N829" s="36"/>
      <c r="O829" s="36"/>
      <c r="P829" s="36"/>
    </row>
    <row r="830" spans="3:16" ht="13" x14ac:dyDescent="0.6">
      <c r="C830" s="36"/>
      <c r="D830" s="36"/>
      <c r="E830" s="36"/>
      <c r="F830" s="36"/>
      <c r="G830" s="36"/>
      <c r="H830" s="36"/>
      <c r="I830" s="36"/>
      <c r="J830" s="36"/>
      <c r="K830" s="36"/>
      <c r="L830" s="36"/>
      <c r="M830" s="36"/>
      <c r="N830" s="36"/>
      <c r="O830" s="36"/>
      <c r="P830" s="36"/>
    </row>
    <row r="831" spans="3:16" ht="13" x14ac:dyDescent="0.6">
      <c r="C831" s="36"/>
      <c r="D831" s="36"/>
      <c r="E831" s="36"/>
      <c r="F831" s="36"/>
      <c r="G831" s="36"/>
      <c r="H831" s="36"/>
      <c r="I831" s="36"/>
      <c r="J831" s="36"/>
      <c r="K831" s="36"/>
      <c r="L831" s="36"/>
      <c r="M831" s="36"/>
      <c r="N831" s="36"/>
      <c r="O831" s="36"/>
      <c r="P831" s="36"/>
    </row>
    <row r="832" spans="3:16" ht="13" x14ac:dyDescent="0.6">
      <c r="C832" s="36"/>
      <c r="D832" s="36"/>
      <c r="E832" s="36"/>
      <c r="F832" s="36"/>
      <c r="G832" s="36"/>
      <c r="H832" s="36"/>
      <c r="I832" s="36"/>
      <c r="J832" s="36"/>
      <c r="K832" s="36"/>
      <c r="L832" s="36"/>
      <c r="M832" s="36"/>
      <c r="N832" s="36"/>
      <c r="O832" s="36"/>
      <c r="P832" s="36"/>
    </row>
    <row r="833" spans="3:16" ht="13" x14ac:dyDescent="0.6">
      <c r="C833" s="36"/>
      <c r="D833" s="36"/>
      <c r="E833" s="36"/>
      <c r="F833" s="36"/>
      <c r="G833" s="36"/>
      <c r="H833" s="36"/>
      <c r="I833" s="36"/>
      <c r="J833" s="36"/>
      <c r="K833" s="36"/>
      <c r="L833" s="36"/>
      <c r="M833" s="36"/>
      <c r="N833" s="36"/>
      <c r="O833" s="36"/>
      <c r="P833" s="36"/>
    </row>
    <row r="834" spans="3:16" ht="13" x14ac:dyDescent="0.6">
      <c r="C834" s="36"/>
      <c r="D834" s="36"/>
      <c r="E834" s="36"/>
      <c r="F834" s="36"/>
      <c r="G834" s="36"/>
      <c r="H834" s="36"/>
      <c r="I834" s="36"/>
      <c r="J834" s="36"/>
      <c r="K834" s="36"/>
      <c r="L834" s="36"/>
      <c r="M834" s="36"/>
      <c r="N834" s="36"/>
      <c r="O834" s="36"/>
      <c r="P834" s="36"/>
    </row>
    <row r="835" spans="3:16" ht="13" x14ac:dyDescent="0.6">
      <c r="C835" s="36"/>
      <c r="D835" s="36"/>
      <c r="E835" s="36"/>
      <c r="F835" s="36"/>
      <c r="G835" s="36"/>
      <c r="H835" s="36"/>
      <c r="I835" s="36"/>
      <c r="J835" s="36"/>
      <c r="K835" s="36"/>
      <c r="L835" s="36"/>
      <c r="M835" s="36"/>
      <c r="N835" s="36"/>
      <c r="O835" s="36"/>
      <c r="P835" s="36"/>
    </row>
    <row r="836" spans="3:16" ht="13" x14ac:dyDescent="0.6">
      <c r="C836" s="36"/>
      <c r="D836" s="36"/>
      <c r="E836" s="36"/>
      <c r="F836" s="36"/>
      <c r="G836" s="36"/>
      <c r="H836" s="36"/>
      <c r="I836" s="36"/>
      <c r="J836" s="36"/>
      <c r="K836" s="36"/>
      <c r="L836" s="36"/>
      <c r="M836" s="36"/>
      <c r="N836" s="36"/>
      <c r="O836" s="36"/>
      <c r="P836" s="36"/>
    </row>
    <row r="837" spans="3:16" ht="13" x14ac:dyDescent="0.6">
      <c r="C837" s="36"/>
      <c r="D837" s="36"/>
      <c r="E837" s="36"/>
      <c r="F837" s="36"/>
      <c r="G837" s="36"/>
      <c r="H837" s="36"/>
      <c r="I837" s="36"/>
      <c r="J837" s="36"/>
      <c r="K837" s="36"/>
      <c r="L837" s="36"/>
      <c r="M837" s="36"/>
      <c r="N837" s="36"/>
      <c r="O837" s="36"/>
      <c r="P837" s="36"/>
    </row>
    <row r="838" spans="3:16" ht="13" x14ac:dyDescent="0.6">
      <c r="C838" s="36"/>
      <c r="D838" s="36"/>
      <c r="E838" s="36"/>
      <c r="F838" s="36"/>
      <c r="G838" s="36"/>
      <c r="H838" s="36"/>
      <c r="I838" s="36"/>
      <c r="J838" s="36"/>
      <c r="K838" s="36"/>
      <c r="L838" s="36"/>
      <c r="M838" s="36"/>
      <c r="N838" s="36"/>
      <c r="O838" s="36"/>
      <c r="P838" s="36"/>
    </row>
    <row r="839" spans="3:16" ht="13" x14ac:dyDescent="0.6">
      <c r="C839" s="36"/>
      <c r="D839" s="36"/>
      <c r="E839" s="36"/>
      <c r="F839" s="36"/>
      <c r="G839" s="36"/>
      <c r="H839" s="36"/>
      <c r="I839" s="36"/>
      <c r="J839" s="36"/>
      <c r="K839" s="36"/>
      <c r="L839" s="36"/>
      <c r="M839" s="36"/>
      <c r="N839" s="36"/>
      <c r="O839" s="36"/>
      <c r="P839" s="36"/>
    </row>
    <row r="840" spans="3:16" ht="13" x14ac:dyDescent="0.6">
      <c r="C840" s="36"/>
      <c r="D840" s="36"/>
      <c r="E840" s="36"/>
      <c r="F840" s="36"/>
      <c r="G840" s="36"/>
      <c r="H840" s="36"/>
      <c r="I840" s="36"/>
      <c r="J840" s="36"/>
      <c r="K840" s="36"/>
      <c r="L840" s="36"/>
      <c r="M840" s="36"/>
      <c r="N840" s="36"/>
      <c r="O840" s="36"/>
      <c r="P840" s="36"/>
    </row>
    <row r="841" spans="3:16" ht="13" x14ac:dyDescent="0.6">
      <c r="C841" s="36"/>
      <c r="D841" s="36"/>
      <c r="E841" s="36"/>
      <c r="F841" s="36"/>
      <c r="G841" s="36"/>
      <c r="H841" s="36"/>
      <c r="I841" s="36"/>
      <c r="J841" s="36"/>
      <c r="K841" s="36"/>
      <c r="L841" s="36"/>
      <c r="M841" s="36"/>
      <c r="N841" s="36"/>
      <c r="O841" s="36"/>
      <c r="P841" s="36"/>
    </row>
    <row r="842" spans="3:16" ht="13" x14ac:dyDescent="0.6">
      <c r="C842" s="36"/>
      <c r="D842" s="36"/>
      <c r="E842" s="36"/>
      <c r="F842" s="36"/>
      <c r="G842" s="36"/>
      <c r="H842" s="36"/>
      <c r="I842" s="36"/>
      <c r="J842" s="36"/>
      <c r="K842" s="36"/>
      <c r="L842" s="36"/>
      <c r="M842" s="36"/>
      <c r="N842" s="36"/>
      <c r="O842" s="36"/>
      <c r="P842" s="36"/>
    </row>
    <row r="843" spans="3:16" ht="13" x14ac:dyDescent="0.6">
      <c r="C843" s="36"/>
      <c r="D843" s="36"/>
      <c r="E843" s="36"/>
      <c r="F843" s="36"/>
      <c r="G843" s="36"/>
      <c r="H843" s="36"/>
      <c r="I843" s="36"/>
      <c r="J843" s="36"/>
      <c r="K843" s="36"/>
      <c r="L843" s="36"/>
      <c r="M843" s="36"/>
      <c r="N843" s="36"/>
      <c r="O843" s="36"/>
      <c r="P843" s="36"/>
    </row>
    <row r="844" spans="3:16" ht="13" x14ac:dyDescent="0.6">
      <c r="C844" s="36"/>
      <c r="D844" s="36"/>
      <c r="E844" s="36"/>
      <c r="F844" s="36"/>
      <c r="G844" s="36"/>
      <c r="H844" s="36"/>
      <c r="I844" s="36"/>
      <c r="J844" s="36"/>
      <c r="K844" s="36"/>
      <c r="L844" s="36"/>
      <c r="M844" s="36"/>
      <c r="N844" s="36"/>
      <c r="O844" s="36"/>
      <c r="P844" s="36"/>
    </row>
    <row r="845" spans="3:16" ht="13" x14ac:dyDescent="0.6">
      <c r="C845" s="36"/>
      <c r="D845" s="36"/>
      <c r="E845" s="36"/>
      <c r="F845" s="36"/>
      <c r="G845" s="36"/>
      <c r="H845" s="36"/>
      <c r="I845" s="36"/>
      <c r="J845" s="36"/>
      <c r="K845" s="36"/>
      <c r="L845" s="36"/>
      <c r="M845" s="36"/>
      <c r="N845" s="36"/>
      <c r="O845" s="36"/>
      <c r="P845" s="36"/>
    </row>
    <row r="846" spans="3:16" ht="13" x14ac:dyDescent="0.6">
      <c r="C846" s="36"/>
      <c r="D846" s="36"/>
      <c r="E846" s="36"/>
      <c r="F846" s="36"/>
      <c r="G846" s="36"/>
      <c r="H846" s="36"/>
      <c r="I846" s="36"/>
      <c r="J846" s="36"/>
      <c r="K846" s="36"/>
      <c r="L846" s="36"/>
      <c r="M846" s="36"/>
      <c r="N846" s="36"/>
      <c r="O846" s="36"/>
      <c r="P846" s="36"/>
    </row>
    <row r="847" spans="3:16" ht="13" x14ac:dyDescent="0.6">
      <c r="C847" s="36"/>
      <c r="D847" s="36"/>
      <c r="E847" s="36"/>
      <c r="F847" s="36"/>
      <c r="G847" s="36"/>
      <c r="H847" s="36"/>
      <c r="I847" s="36"/>
      <c r="J847" s="36"/>
      <c r="K847" s="36"/>
      <c r="L847" s="36"/>
      <c r="M847" s="36"/>
      <c r="N847" s="36"/>
      <c r="O847" s="36"/>
      <c r="P847" s="36"/>
    </row>
    <row r="848" spans="3:16" ht="13" x14ac:dyDescent="0.6">
      <c r="C848" s="36"/>
      <c r="D848" s="36"/>
      <c r="E848" s="36"/>
      <c r="F848" s="36"/>
      <c r="G848" s="36"/>
      <c r="H848" s="36"/>
      <c r="I848" s="36"/>
      <c r="J848" s="36"/>
      <c r="K848" s="36"/>
      <c r="L848" s="36"/>
      <c r="M848" s="36"/>
      <c r="N848" s="36"/>
      <c r="O848" s="36"/>
      <c r="P848" s="36"/>
    </row>
    <row r="849" spans="3:16" ht="13" x14ac:dyDescent="0.6">
      <c r="C849" s="36"/>
      <c r="D849" s="36"/>
      <c r="E849" s="36"/>
      <c r="F849" s="36"/>
      <c r="G849" s="36"/>
      <c r="H849" s="36"/>
      <c r="I849" s="36"/>
      <c r="J849" s="36"/>
      <c r="K849" s="36"/>
      <c r="L849" s="36"/>
      <c r="M849" s="36"/>
      <c r="N849" s="36"/>
      <c r="O849" s="36"/>
      <c r="P849" s="36"/>
    </row>
    <row r="850" spans="3:16" ht="13" x14ac:dyDescent="0.6">
      <c r="C850" s="36"/>
      <c r="D850" s="36"/>
      <c r="E850" s="36"/>
      <c r="F850" s="36"/>
      <c r="G850" s="36"/>
      <c r="H850" s="36"/>
      <c r="I850" s="36"/>
      <c r="J850" s="36"/>
      <c r="K850" s="36"/>
      <c r="L850" s="36"/>
      <c r="M850" s="36"/>
      <c r="N850" s="36"/>
      <c r="O850" s="36"/>
      <c r="P850" s="36"/>
    </row>
    <row r="851" spans="3:16" ht="13" x14ac:dyDescent="0.6">
      <c r="C851" s="36"/>
      <c r="D851" s="36"/>
      <c r="E851" s="36"/>
      <c r="F851" s="36"/>
      <c r="G851" s="36"/>
      <c r="H851" s="36"/>
      <c r="I851" s="36"/>
      <c r="J851" s="36"/>
      <c r="K851" s="36"/>
      <c r="L851" s="36"/>
      <c r="M851" s="36"/>
      <c r="N851" s="36"/>
      <c r="O851" s="36"/>
      <c r="P851" s="36"/>
    </row>
    <row r="852" spans="3:16" ht="13" x14ac:dyDescent="0.6">
      <c r="C852" s="36"/>
      <c r="D852" s="36"/>
      <c r="E852" s="36"/>
      <c r="F852" s="36"/>
      <c r="G852" s="36"/>
      <c r="H852" s="36"/>
      <c r="I852" s="36"/>
      <c r="J852" s="36"/>
      <c r="K852" s="36"/>
      <c r="L852" s="36"/>
      <c r="M852" s="36"/>
      <c r="N852" s="36"/>
      <c r="O852" s="36"/>
      <c r="P852" s="36"/>
    </row>
    <row r="853" spans="3:16" ht="13" x14ac:dyDescent="0.6">
      <c r="C853" s="36"/>
      <c r="D853" s="36"/>
      <c r="E853" s="36"/>
      <c r="F853" s="36"/>
      <c r="G853" s="36"/>
      <c r="H853" s="36"/>
      <c r="I853" s="36"/>
      <c r="J853" s="36"/>
      <c r="K853" s="36"/>
      <c r="L853" s="36"/>
      <c r="M853" s="36"/>
      <c r="N853" s="36"/>
      <c r="O853" s="36"/>
      <c r="P853" s="36"/>
    </row>
    <row r="854" spans="3:16" ht="13" x14ac:dyDescent="0.6">
      <c r="C854" s="36"/>
      <c r="D854" s="36"/>
      <c r="E854" s="36"/>
      <c r="F854" s="36"/>
      <c r="G854" s="36"/>
      <c r="H854" s="36"/>
      <c r="I854" s="36"/>
      <c r="J854" s="36"/>
      <c r="K854" s="36"/>
      <c r="L854" s="36"/>
      <c r="M854" s="36"/>
      <c r="N854" s="36"/>
      <c r="O854" s="36"/>
      <c r="P854" s="36"/>
    </row>
    <row r="855" spans="3:16" ht="13" x14ac:dyDescent="0.6">
      <c r="C855" s="36"/>
      <c r="D855" s="36"/>
      <c r="E855" s="36"/>
      <c r="F855" s="36"/>
      <c r="G855" s="36"/>
      <c r="H855" s="36"/>
      <c r="I855" s="36"/>
      <c r="J855" s="36"/>
      <c r="K855" s="36"/>
      <c r="L855" s="36"/>
      <c r="M855" s="36"/>
      <c r="N855" s="36"/>
      <c r="O855" s="36"/>
      <c r="P855" s="36"/>
    </row>
    <row r="856" spans="3:16" ht="13" x14ac:dyDescent="0.6">
      <c r="C856" s="36"/>
      <c r="D856" s="36"/>
      <c r="E856" s="36"/>
      <c r="F856" s="36"/>
      <c r="G856" s="36"/>
      <c r="H856" s="36"/>
      <c r="I856" s="36"/>
      <c r="J856" s="36"/>
      <c r="K856" s="36"/>
      <c r="L856" s="36"/>
      <c r="M856" s="36"/>
      <c r="N856" s="36"/>
      <c r="O856" s="36"/>
      <c r="P856" s="36"/>
    </row>
    <row r="857" spans="3:16" ht="13" x14ac:dyDescent="0.6">
      <c r="C857" s="36"/>
      <c r="D857" s="36"/>
      <c r="E857" s="36"/>
      <c r="F857" s="36"/>
      <c r="G857" s="36"/>
      <c r="H857" s="36"/>
      <c r="I857" s="36"/>
      <c r="J857" s="36"/>
      <c r="K857" s="36"/>
      <c r="L857" s="36"/>
      <c r="M857" s="36"/>
      <c r="N857" s="36"/>
      <c r="O857" s="36"/>
      <c r="P857" s="36"/>
    </row>
    <row r="858" spans="3:16" ht="13" x14ac:dyDescent="0.6">
      <c r="C858" s="36"/>
      <c r="D858" s="36"/>
      <c r="E858" s="36"/>
      <c r="F858" s="36"/>
      <c r="G858" s="36"/>
      <c r="H858" s="36"/>
      <c r="I858" s="36"/>
      <c r="J858" s="36"/>
      <c r="K858" s="36"/>
      <c r="L858" s="36"/>
      <c r="M858" s="36"/>
      <c r="N858" s="36"/>
      <c r="O858" s="36"/>
      <c r="P858" s="36"/>
    </row>
    <row r="859" spans="3:16" ht="13" x14ac:dyDescent="0.6">
      <c r="C859" s="36"/>
      <c r="D859" s="36"/>
      <c r="E859" s="36"/>
      <c r="F859" s="36"/>
      <c r="G859" s="36"/>
      <c r="H859" s="36"/>
      <c r="I859" s="36"/>
      <c r="J859" s="36"/>
      <c r="K859" s="36"/>
      <c r="L859" s="36"/>
      <c r="M859" s="36"/>
      <c r="N859" s="36"/>
      <c r="O859" s="36"/>
      <c r="P859" s="36"/>
    </row>
    <row r="860" spans="3:16" ht="13" x14ac:dyDescent="0.6">
      <c r="C860" s="36"/>
      <c r="D860" s="36"/>
      <c r="E860" s="36"/>
      <c r="F860" s="36"/>
      <c r="G860" s="36"/>
      <c r="H860" s="36"/>
      <c r="I860" s="36"/>
      <c r="J860" s="36"/>
      <c r="K860" s="36"/>
      <c r="L860" s="36"/>
      <c r="M860" s="36"/>
      <c r="N860" s="36"/>
      <c r="O860" s="36"/>
      <c r="P860" s="36"/>
    </row>
    <row r="861" spans="3:16" ht="13" x14ac:dyDescent="0.6">
      <c r="C861" s="36"/>
      <c r="D861" s="36"/>
      <c r="E861" s="36"/>
      <c r="F861" s="36"/>
      <c r="G861" s="36"/>
      <c r="H861" s="36"/>
      <c r="I861" s="36"/>
      <c r="J861" s="36"/>
      <c r="K861" s="36"/>
      <c r="L861" s="36"/>
      <c r="M861" s="36"/>
      <c r="N861" s="36"/>
      <c r="O861" s="36"/>
      <c r="P861" s="36"/>
    </row>
    <row r="862" spans="3:16" ht="13" x14ac:dyDescent="0.6">
      <c r="C862" s="36"/>
      <c r="D862" s="36"/>
      <c r="E862" s="36"/>
      <c r="F862" s="36"/>
      <c r="G862" s="36"/>
      <c r="H862" s="36"/>
      <c r="I862" s="36"/>
      <c r="J862" s="36"/>
      <c r="K862" s="36"/>
      <c r="L862" s="36"/>
      <c r="M862" s="36"/>
      <c r="N862" s="36"/>
      <c r="O862" s="36"/>
      <c r="P862" s="36"/>
    </row>
    <row r="863" spans="3:16" ht="13" x14ac:dyDescent="0.6">
      <c r="C863" s="36"/>
      <c r="D863" s="36"/>
      <c r="E863" s="36"/>
      <c r="F863" s="36"/>
      <c r="G863" s="36"/>
      <c r="H863" s="36"/>
      <c r="I863" s="36"/>
      <c r="J863" s="36"/>
      <c r="K863" s="36"/>
      <c r="L863" s="36"/>
      <c r="M863" s="36"/>
      <c r="N863" s="36"/>
      <c r="O863" s="36"/>
      <c r="P863" s="36"/>
    </row>
    <row r="864" spans="3:16" ht="13" x14ac:dyDescent="0.6">
      <c r="C864" s="36"/>
      <c r="D864" s="36"/>
      <c r="E864" s="36"/>
      <c r="F864" s="36"/>
      <c r="G864" s="36"/>
      <c r="H864" s="36"/>
      <c r="I864" s="36"/>
      <c r="J864" s="36"/>
      <c r="K864" s="36"/>
      <c r="L864" s="36"/>
      <c r="M864" s="36"/>
      <c r="N864" s="36"/>
      <c r="O864" s="36"/>
      <c r="P864" s="36"/>
    </row>
    <row r="865" spans="3:16" ht="13" x14ac:dyDescent="0.6">
      <c r="C865" s="36"/>
      <c r="D865" s="36"/>
      <c r="E865" s="36"/>
      <c r="F865" s="36"/>
      <c r="G865" s="36"/>
      <c r="H865" s="36"/>
      <c r="I865" s="36"/>
      <c r="J865" s="36"/>
      <c r="K865" s="36"/>
      <c r="L865" s="36"/>
      <c r="M865" s="36"/>
      <c r="N865" s="36"/>
      <c r="O865" s="36"/>
      <c r="P865" s="36"/>
    </row>
    <row r="866" spans="3:16" ht="13" x14ac:dyDescent="0.6">
      <c r="C866" s="36"/>
      <c r="D866" s="36"/>
      <c r="E866" s="36"/>
      <c r="F866" s="36"/>
      <c r="G866" s="36"/>
      <c r="H866" s="36"/>
      <c r="I866" s="36"/>
      <c r="J866" s="36"/>
      <c r="K866" s="36"/>
      <c r="L866" s="36"/>
      <c r="M866" s="36"/>
      <c r="N866" s="36"/>
      <c r="O866" s="36"/>
      <c r="P866" s="36"/>
    </row>
    <row r="867" spans="3:16" ht="13" x14ac:dyDescent="0.6">
      <c r="C867" s="36"/>
      <c r="D867" s="36"/>
      <c r="E867" s="36"/>
      <c r="F867" s="36"/>
      <c r="G867" s="36"/>
      <c r="H867" s="36"/>
      <c r="I867" s="36"/>
      <c r="J867" s="36"/>
      <c r="K867" s="36"/>
      <c r="L867" s="36"/>
      <c r="M867" s="36"/>
      <c r="N867" s="36"/>
      <c r="O867" s="36"/>
      <c r="P867" s="36"/>
    </row>
    <row r="868" spans="3:16" ht="13" x14ac:dyDescent="0.6">
      <c r="C868" s="36"/>
      <c r="D868" s="36"/>
      <c r="E868" s="36"/>
      <c r="F868" s="36"/>
      <c r="G868" s="36"/>
      <c r="H868" s="36"/>
      <c r="I868" s="36"/>
      <c r="J868" s="36"/>
      <c r="K868" s="36"/>
      <c r="L868" s="36"/>
      <c r="M868" s="36"/>
      <c r="N868" s="36"/>
      <c r="O868" s="36"/>
      <c r="P868" s="36"/>
    </row>
    <row r="869" spans="3:16" ht="13" x14ac:dyDescent="0.6">
      <c r="C869" s="36"/>
      <c r="D869" s="36"/>
      <c r="E869" s="36"/>
      <c r="F869" s="36"/>
      <c r="G869" s="36"/>
      <c r="H869" s="36"/>
      <c r="I869" s="36"/>
      <c r="J869" s="36"/>
      <c r="K869" s="36"/>
      <c r="L869" s="36"/>
      <c r="M869" s="36"/>
      <c r="N869" s="36"/>
      <c r="O869" s="36"/>
      <c r="P869" s="36"/>
    </row>
    <row r="870" spans="3:16" ht="13" x14ac:dyDescent="0.6">
      <c r="C870" s="36"/>
      <c r="D870" s="36"/>
      <c r="E870" s="36"/>
      <c r="F870" s="36"/>
      <c r="G870" s="36"/>
      <c r="H870" s="36"/>
      <c r="I870" s="36"/>
      <c r="J870" s="36"/>
      <c r="K870" s="36"/>
      <c r="L870" s="36"/>
      <c r="M870" s="36"/>
      <c r="N870" s="36"/>
      <c r="O870" s="36"/>
      <c r="P870" s="36"/>
    </row>
    <row r="871" spans="3:16" ht="13" x14ac:dyDescent="0.6">
      <c r="C871" s="36"/>
      <c r="D871" s="36"/>
      <c r="E871" s="36"/>
      <c r="F871" s="36"/>
      <c r="G871" s="36"/>
      <c r="H871" s="36"/>
      <c r="I871" s="36"/>
      <c r="J871" s="36"/>
      <c r="K871" s="36"/>
      <c r="L871" s="36"/>
      <c r="M871" s="36"/>
      <c r="N871" s="36"/>
      <c r="O871" s="36"/>
      <c r="P871" s="36"/>
    </row>
    <row r="872" spans="3:16" ht="13" x14ac:dyDescent="0.6">
      <c r="C872" s="36"/>
      <c r="D872" s="36"/>
      <c r="E872" s="36"/>
      <c r="F872" s="36"/>
      <c r="G872" s="36"/>
      <c r="H872" s="36"/>
      <c r="I872" s="36"/>
      <c r="J872" s="36"/>
      <c r="K872" s="36"/>
      <c r="L872" s="36"/>
      <c r="M872" s="36"/>
      <c r="N872" s="36"/>
      <c r="O872" s="36"/>
      <c r="P872" s="36"/>
    </row>
    <row r="873" spans="3:16" ht="13" x14ac:dyDescent="0.6">
      <c r="C873" s="36"/>
      <c r="D873" s="36"/>
      <c r="E873" s="36"/>
      <c r="F873" s="36"/>
      <c r="G873" s="36"/>
      <c r="H873" s="36"/>
      <c r="I873" s="36"/>
      <c r="J873" s="36"/>
      <c r="K873" s="36"/>
      <c r="L873" s="36"/>
      <c r="M873" s="36"/>
      <c r="N873" s="36"/>
      <c r="O873" s="36"/>
      <c r="P873" s="36"/>
    </row>
    <row r="874" spans="3:16" ht="13" x14ac:dyDescent="0.6">
      <c r="C874" s="36"/>
      <c r="D874" s="36"/>
      <c r="E874" s="36"/>
      <c r="F874" s="36"/>
      <c r="G874" s="36"/>
      <c r="H874" s="36"/>
      <c r="I874" s="36"/>
      <c r="J874" s="36"/>
      <c r="K874" s="36"/>
      <c r="L874" s="36"/>
      <c r="M874" s="36"/>
      <c r="N874" s="36"/>
      <c r="O874" s="36"/>
      <c r="P874" s="36"/>
    </row>
    <row r="875" spans="3:16" ht="13" x14ac:dyDescent="0.6">
      <c r="C875" s="36"/>
      <c r="D875" s="36"/>
      <c r="E875" s="36"/>
      <c r="F875" s="36"/>
      <c r="G875" s="36"/>
      <c r="H875" s="36"/>
      <c r="I875" s="36"/>
      <c r="J875" s="36"/>
      <c r="K875" s="36"/>
      <c r="L875" s="36"/>
      <c r="M875" s="36"/>
      <c r="N875" s="36"/>
      <c r="O875" s="36"/>
      <c r="P875" s="36"/>
    </row>
    <row r="876" spans="3:16" ht="13" x14ac:dyDescent="0.6">
      <c r="C876" s="36"/>
      <c r="D876" s="36"/>
      <c r="E876" s="36"/>
      <c r="F876" s="36"/>
      <c r="G876" s="36"/>
      <c r="H876" s="36"/>
      <c r="I876" s="36"/>
      <c r="J876" s="36"/>
      <c r="K876" s="36"/>
      <c r="L876" s="36"/>
      <c r="M876" s="36"/>
      <c r="N876" s="36"/>
      <c r="O876" s="36"/>
      <c r="P876" s="36"/>
    </row>
    <row r="877" spans="3:16" ht="13" x14ac:dyDescent="0.6">
      <c r="C877" s="36"/>
      <c r="D877" s="36"/>
      <c r="E877" s="36"/>
      <c r="F877" s="36"/>
      <c r="G877" s="36"/>
      <c r="H877" s="36"/>
      <c r="I877" s="36"/>
      <c r="J877" s="36"/>
      <c r="K877" s="36"/>
      <c r="L877" s="36"/>
      <c r="M877" s="36"/>
      <c r="N877" s="36"/>
      <c r="O877" s="36"/>
      <c r="P877" s="36"/>
    </row>
    <row r="878" spans="3:16" ht="13" x14ac:dyDescent="0.6">
      <c r="C878" s="36"/>
      <c r="D878" s="36"/>
      <c r="E878" s="36"/>
      <c r="F878" s="36"/>
      <c r="G878" s="36"/>
      <c r="H878" s="36"/>
      <c r="I878" s="36"/>
      <c r="J878" s="36"/>
      <c r="K878" s="36"/>
      <c r="L878" s="36"/>
      <c r="M878" s="36"/>
      <c r="N878" s="36"/>
      <c r="O878" s="36"/>
      <c r="P878" s="36"/>
    </row>
    <row r="879" spans="3:16" ht="13" x14ac:dyDescent="0.6">
      <c r="C879" s="36"/>
      <c r="D879" s="36"/>
      <c r="E879" s="36"/>
      <c r="F879" s="36"/>
      <c r="G879" s="36"/>
      <c r="H879" s="36"/>
      <c r="I879" s="36"/>
      <c r="J879" s="36"/>
      <c r="K879" s="36"/>
      <c r="L879" s="36"/>
      <c r="M879" s="36"/>
      <c r="N879" s="36"/>
      <c r="O879" s="36"/>
      <c r="P879" s="36"/>
    </row>
    <row r="880" spans="3:16" ht="13" x14ac:dyDescent="0.6">
      <c r="C880" s="36"/>
      <c r="D880" s="36"/>
      <c r="E880" s="36"/>
      <c r="F880" s="36"/>
      <c r="G880" s="36"/>
      <c r="H880" s="36"/>
      <c r="I880" s="36"/>
      <c r="J880" s="36"/>
      <c r="K880" s="36"/>
      <c r="L880" s="36"/>
      <c r="M880" s="36"/>
      <c r="N880" s="36"/>
      <c r="O880" s="36"/>
      <c r="P880" s="36"/>
    </row>
    <row r="881" spans="3:16" ht="13" x14ac:dyDescent="0.6">
      <c r="C881" s="36"/>
      <c r="D881" s="36"/>
      <c r="E881" s="36"/>
      <c r="F881" s="36"/>
      <c r="G881" s="36"/>
      <c r="H881" s="36"/>
      <c r="I881" s="36"/>
      <c r="J881" s="36"/>
      <c r="K881" s="36"/>
      <c r="L881" s="36"/>
      <c r="M881" s="36"/>
      <c r="N881" s="36"/>
      <c r="O881" s="36"/>
      <c r="P881" s="36"/>
    </row>
    <row r="882" spans="3:16" ht="13" x14ac:dyDescent="0.6">
      <c r="C882" s="36"/>
      <c r="D882" s="36"/>
      <c r="E882" s="36"/>
      <c r="F882" s="36"/>
      <c r="G882" s="36"/>
      <c r="H882" s="36"/>
      <c r="I882" s="36"/>
      <c r="J882" s="36"/>
      <c r="K882" s="36"/>
      <c r="L882" s="36"/>
      <c r="M882" s="36"/>
      <c r="N882" s="36"/>
      <c r="O882" s="36"/>
      <c r="P882" s="36"/>
    </row>
    <row r="883" spans="3:16" ht="13" x14ac:dyDescent="0.6">
      <c r="C883" s="36"/>
      <c r="D883" s="36"/>
      <c r="E883" s="36"/>
      <c r="F883" s="36"/>
      <c r="G883" s="36"/>
      <c r="H883" s="36"/>
      <c r="I883" s="36"/>
      <c r="J883" s="36"/>
      <c r="K883" s="36"/>
      <c r="L883" s="36"/>
      <c r="M883" s="36"/>
      <c r="N883" s="36"/>
      <c r="O883" s="36"/>
      <c r="P883" s="36"/>
    </row>
    <row r="884" spans="3:16" ht="13" x14ac:dyDescent="0.6">
      <c r="C884" s="36"/>
      <c r="D884" s="36"/>
      <c r="E884" s="36"/>
      <c r="F884" s="36"/>
      <c r="G884" s="36"/>
      <c r="H884" s="36"/>
      <c r="I884" s="36"/>
      <c r="J884" s="36"/>
      <c r="K884" s="36"/>
      <c r="L884" s="36"/>
      <c r="M884" s="36"/>
      <c r="N884" s="36"/>
      <c r="O884" s="36"/>
      <c r="P884" s="36"/>
    </row>
    <row r="885" spans="3:16" ht="13" x14ac:dyDescent="0.6">
      <c r="C885" s="36"/>
      <c r="D885" s="36"/>
      <c r="E885" s="36"/>
      <c r="F885" s="36"/>
      <c r="G885" s="36"/>
      <c r="H885" s="36"/>
      <c r="I885" s="36"/>
      <c r="J885" s="36"/>
      <c r="K885" s="36"/>
      <c r="L885" s="36"/>
      <c r="M885" s="36"/>
      <c r="N885" s="36"/>
      <c r="O885" s="36"/>
      <c r="P885" s="36"/>
    </row>
    <row r="886" spans="3:16" ht="13" x14ac:dyDescent="0.6">
      <c r="C886" s="36"/>
      <c r="D886" s="36"/>
      <c r="E886" s="36"/>
      <c r="F886" s="36"/>
      <c r="G886" s="36"/>
      <c r="H886" s="36"/>
      <c r="I886" s="36"/>
      <c r="J886" s="36"/>
      <c r="K886" s="36"/>
      <c r="L886" s="36"/>
      <c r="M886" s="36"/>
      <c r="N886" s="36"/>
      <c r="O886" s="36"/>
      <c r="P886" s="36"/>
    </row>
    <row r="887" spans="3:16" ht="13" x14ac:dyDescent="0.6">
      <c r="C887" s="36"/>
      <c r="D887" s="36"/>
      <c r="E887" s="36"/>
      <c r="F887" s="36"/>
      <c r="G887" s="36"/>
      <c r="H887" s="36"/>
      <c r="I887" s="36"/>
      <c r="J887" s="36"/>
      <c r="K887" s="36"/>
      <c r="L887" s="36"/>
      <c r="M887" s="36"/>
      <c r="N887" s="36"/>
      <c r="O887" s="36"/>
      <c r="P887" s="36"/>
    </row>
    <row r="888" spans="3:16" ht="13" x14ac:dyDescent="0.6">
      <c r="C888" s="36"/>
      <c r="D888" s="36"/>
      <c r="E888" s="36"/>
      <c r="F888" s="36"/>
      <c r="G888" s="36"/>
      <c r="H888" s="36"/>
      <c r="I888" s="36"/>
      <c r="J888" s="36"/>
      <c r="K888" s="36"/>
      <c r="L888" s="36"/>
      <c r="M888" s="36"/>
      <c r="N888" s="36"/>
      <c r="O888" s="36"/>
      <c r="P888" s="36"/>
    </row>
    <row r="889" spans="3:16" ht="13" x14ac:dyDescent="0.6">
      <c r="C889" s="36"/>
      <c r="D889" s="36"/>
      <c r="E889" s="36"/>
      <c r="F889" s="36"/>
      <c r="G889" s="36"/>
      <c r="H889" s="36"/>
      <c r="I889" s="36"/>
      <c r="J889" s="36"/>
      <c r="K889" s="36"/>
      <c r="L889" s="36"/>
      <c r="M889" s="36"/>
      <c r="N889" s="36"/>
      <c r="O889" s="36"/>
      <c r="P889" s="36"/>
    </row>
    <row r="890" spans="3:16" ht="13" x14ac:dyDescent="0.6">
      <c r="C890" s="36"/>
      <c r="D890" s="36"/>
      <c r="E890" s="36"/>
      <c r="F890" s="36"/>
      <c r="G890" s="36"/>
      <c r="H890" s="36"/>
      <c r="I890" s="36"/>
      <c r="J890" s="36"/>
      <c r="K890" s="36"/>
      <c r="L890" s="36"/>
      <c r="M890" s="36"/>
      <c r="N890" s="36"/>
      <c r="O890" s="36"/>
      <c r="P890" s="36"/>
    </row>
    <row r="891" spans="3:16" ht="13" x14ac:dyDescent="0.6">
      <c r="C891" s="36"/>
      <c r="D891" s="36"/>
      <c r="E891" s="36"/>
      <c r="F891" s="36"/>
      <c r="G891" s="36"/>
      <c r="H891" s="36"/>
      <c r="I891" s="36"/>
      <c r="J891" s="36"/>
      <c r="K891" s="36"/>
      <c r="L891" s="36"/>
      <c r="M891" s="36"/>
      <c r="N891" s="36"/>
      <c r="O891" s="36"/>
      <c r="P891" s="36"/>
    </row>
    <row r="892" spans="3:16" ht="13" x14ac:dyDescent="0.6">
      <c r="C892" s="36"/>
      <c r="D892" s="36"/>
      <c r="E892" s="36"/>
      <c r="F892" s="36"/>
      <c r="G892" s="36"/>
      <c r="H892" s="36"/>
      <c r="I892" s="36"/>
      <c r="J892" s="36"/>
      <c r="K892" s="36"/>
      <c r="L892" s="36"/>
      <c r="M892" s="36"/>
      <c r="N892" s="36"/>
      <c r="O892" s="36"/>
      <c r="P892" s="36"/>
    </row>
    <row r="893" spans="3:16" ht="13" x14ac:dyDescent="0.6">
      <c r="C893" s="36"/>
      <c r="D893" s="36"/>
      <c r="E893" s="36"/>
      <c r="F893" s="36"/>
      <c r="G893" s="36"/>
      <c r="H893" s="36"/>
      <c r="I893" s="36"/>
      <c r="J893" s="36"/>
      <c r="K893" s="36"/>
      <c r="L893" s="36"/>
      <c r="M893" s="36"/>
      <c r="N893" s="36"/>
      <c r="O893" s="36"/>
      <c r="P893" s="36"/>
    </row>
    <row r="894" spans="3:16" ht="13" x14ac:dyDescent="0.6">
      <c r="C894" s="36"/>
      <c r="D894" s="36"/>
      <c r="E894" s="36"/>
      <c r="F894" s="36"/>
      <c r="G894" s="36"/>
      <c r="H894" s="36"/>
      <c r="I894" s="36"/>
      <c r="J894" s="36"/>
      <c r="K894" s="36"/>
      <c r="L894" s="36"/>
      <c r="M894" s="36"/>
      <c r="N894" s="36"/>
      <c r="O894" s="36"/>
      <c r="P894" s="36"/>
    </row>
    <row r="895" spans="3:16" ht="13" x14ac:dyDescent="0.6">
      <c r="C895" s="36"/>
      <c r="D895" s="36"/>
      <c r="E895" s="36"/>
      <c r="F895" s="36"/>
      <c r="G895" s="36"/>
      <c r="H895" s="36"/>
      <c r="I895" s="36"/>
      <c r="J895" s="36"/>
      <c r="K895" s="36"/>
      <c r="L895" s="36"/>
      <c r="M895" s="36"/>
      <c r="N895" s="36"/>
      <c r="O895" s="36"/>
      <c r="P895" s="36"/>
    </row>
    <row r="896" spans="3:16" ht="13" x14ac:dyDescent="0.6">
      <c r="C896" s="36"/>
      <c r="D896" s="36"/>
      <c r="E896" s="36"/>
      <c r="F896" s="36"/>
      <c r="G896" s="36"/>
      <c r="H896" s="36"/>
      <c r="I896" s="36"/>
      <c r="J896" s="36"/>
      <c r="K896" s="36"/>
      <c r="L896" s="36"/>
      <c r="M896" s="36"/>
      <c r="N896" s="36"/>
      <c r="O896" s="36"/>
      <c r="P896" s="36"/>
    </row>
    <row r="897" spans="3:16" ht="13" x14ac:dyDescent="0.6">
      <c r="C897" s="36"/>
      <c r="D897" s="36"/>
      <c r="E897" s="36"/>
      <c r="F897" s="36"/>
      <c r="G897" s="36"/>
      <c r="H897" s="36"/>
      <c r="I897" s="36"/>
      <c r="J897" s="36"/>
      <c r="K897" s="36"/>
      <c r="L897" s="36"/>
      <c r="M897" s="36"/>
      <c r="N897" s="36"/>
      <c r="O897" s="36"/>
      <c r="P897" s="36"/>
    </row>
    <row r="898" spans="3:16" ht="13" x14ac:dyDescent="0.6">
      <c r="C898" s="36"/>
      <c r="D898" s="36"/>
      <c r="E898" s="36"/>
      <c r="F898" s="36"/>
      <c r="G898" s="36"/>
      <c r="H898" s="36"/>
      <c r="I898" s="36"/>
      <c r="J898" s="36"/>
      <c r="K898" s="36"/>
      <c r="L898" s="36"/>
      <c r="M898" s="36"/>
      <c r="N898" s="36"/>
      <c r="O898" s="36"/>
      <c r="P898" s="36"/>
    </row>
    <row r="899" spans="3:16" ht="13" x14ac:dyDescent="0.6">
      <c r="C899" s="36"/>
      <c r="D899" s="36"/>
      <c r="E899" s="36"/>
      <c r="F899" s="36"/>
      <c r="G899" s="36"/>
      <c r="H899" s="36"/>
      <c r="I899" s="36"/>
      <c r="J899" s="36"/>
      <c r="K899" s="36"/>
      <c r="L899" s="36"/>
      <c r="M899" s="36"/>
      <c r="N899" s="36"/>
      <c r="O899" s="36"/>
      <c r="P899" s="36"/>
    </row>
    <row r="900" spans="3:16" ht="13" x14ac:dyDescent="0.6">
      <c r="C900" s="36"/>
      <c r="D900" s="36"/>
      <c r="E900" s="36"/>
      <c r="F900" s="36"/>
      <c r="G900" s="36"/>
      <c r="H900" s="36"/>
      <c r="I900" s="36"/>
      <c r="J900" s="36"/>
      <c r="K900" s="36"/>
      <c r="L900" s="36"/>
      <c r="M900" s="36"/>
      <c r="N900" s="36"/>
      <c r="O900" s="36"/>
      <c r="P900" s="36"/>
    </row>
    <row r="901" spans="3:16" ht="13" x14ac:dyDescent="0.6">
      <c r="C901" s="36"/>
      <c r="D901" s="36"/>
      <c r="E901" s="36"/>
      <c r="F901" s="36"/>
      <c r="G901" s="36"/>
      <c r="H901" s="36"/>
      <c r="I901" s="36"/>
      <c r="J901" s="36"/>
      <c r="K901" s="36"/>
      <c r="L901" s="36"/>
      <c r="M901" s="36"/>
      <c r="N901" s="36"/>
      <c r="O901" s="36"/>
      <c r="P901" s="36"/>
    </row>
    <row r="902" spans="3:16" ht="13" x14ac:dyDescent="0.6">
      <c r="C902" s="36"/>
      <c r="D902" s="36"/>
      <c r="E902" s="36"/>
      <c r="F902" s="36"/>
      <c r="G902" s="36"/>
      <c r="H902" s="36"/>
      <c r="I902" s="36"/>
      <c r="J902" s="36"/>
      <c r="K902" s="36"/>
      <c r="L902" s="36"/>
      <c r="M902" s="36"/>
      <c r="N902" s="36"/>
      <c r="O902" s="36"/>
      <c r="P902" s="36"/>
    </row>
    <row r="903" spans="3:16" ht="13" x14ac:dyDescent="0.6">
      <c r="C903" s="36"/>
      <c r="D903" s="36"/>
      <c r="E903" s="36"/>
      <c r="F903" s="36"/>
      <c r="G903" s="36"/>
      <c r="H903" s="36"/>
      <c r="I903" s="36"/>
      <c r="J903" s="36"/>
      <c r="K903" s="36"/>
      <c r="L903" s="36"/>
      <c r="M903" s="36"/>
      <c r="N903" s="36"/>
      <c r="O903" s="36"/>
      <c r="P903" s="36"/>
    </row>
    <row r="904" spans="3:16" ht="13" x14ac:dyDescent="0.6">
      <c r="C904" s="36"/>
      <c r="D904" s="36"/>
      <c r="E904" s="36"/>
      <c r="F904" s="36"/>
      <c r="G904" s="36"/>
      <c r="H904" s="36"/>
      <c r="I904" s="36"/>
      <c r="J904" s="36"/>
      <c r="K904" s="36"/>
      <c r="L904" s="36"/>
      <c r="M904" s="36"/>
      <c r="N904" s="36"/>
      <c r="O904" s="36"/>
      <c r="P904" s="36"/>
    </row>
    <row r="905" spans="3:16" ht="13" x14ac:dyDescent="0.6">
      <c r="C905" s="36"/>
      <c r="D905" s="36"/>
      <c r="E905" s="36"/>
      <c r="F905" s="36"/>
      <c r="G905" s="36"/>
      <c r="H905" s="36"/>
      <c r="I905" s="36"/>
      <c r="J905" s="36"/>
      <c r="K905" s="36"/>
      <c r="L905" s="36"/>
      <c r="M905" s="36"/>
      <c r="N905" s="36"/>
      <c r="O905" s="36"/>
      <c r="P905" s="36"/>
    </row>
    <row r="906" spans="3:16" ht="13" x14ac:dyDescent="0.6">
      <c r="C906" s="36"/>
      <c r="D906" s="36"/>
      <c r="E906" s="36"/>
      <c r="F906" s="36"/>
      <c r="G906" s="36"/>
      <c r="H906" s="36"/>
      <c r="I906" s="36"/>
      <c r="J906" s="36"/>
      <c r="K906" s="36"/>
      <c r="L906" s="36"/>
      <c r="M906" s="36"/>
      <c r="N906" s="36"/>
      <c r="O906" s="36"/>
      <c r="P906" s="36"/>
    </row>
    <row r="907" spans="3:16" ht="13" x14ac:dyDescent="0.6">
      <c r="C907" s="36"/>
      <c r="D907" s="36"/>
      <c r="E907" s="36"/>
      <c r="F907" s="36"/>
      <c r="G907" s="36"/>
      <c r="H907" s="36"/>
      <c r="I907" s="36"/>
      <c r="J907" s="36"/>
      <c r="K907" s="36"/>
      <c r="L907" s="36"/>
      <c r="M907" s="36"/>
      <c r="N907" s="36"/>
      <c r="O907" s="36"/>
      <c r="P907" s="36"/>
    </row>
    <row r="908" spans="3:16" ht="13" x14ac:dyDescent="0.6">
      <c r="C908" s="36"/>
      <c r="D908" s="36"/>
      <c r="E908" s="36"/>
      <c r="F908" s="36"/>
      <c r="G908" s="36"/>
      <c r="H908" s="36"/>
      <c r="I908" s="36"/>
      <c r="J908" s="36"/>
      <c r="K908" s="36"/>
      <c r="L908" s="36"/>
      <c r="M908" s="36"/>
      <c r="N908" s="36"/>
      <c r="O908" s="36"/>
      <c r="P908" s="36"/>
    </row>
    <row r="909" spans="3:16" ht="13" x14ac:dyDescent="0.6">
      <c r="C909" s="36"/>
      <c r="D909" s="36"/>
      <c r="E909" s="36"/>
      <c r="F909" s="36"/>
      <c r="G909" s="36"/>
      <c r="H909" s="36"/>
      <c r="I909" s="36"/>
      <c r="J909" s="36"/>
      <c r="K909" s="36"/>
      <c r="L909" s="36"/>
      <c r="M909" s="36"/>
      <c r="N909" s="36"/>
      <c r="O909" s="36"/>
      <c r="P909" s="36"/>
    </row>
    <row r="910" spans="3:16" ht="13" x14ac:dyDescent="0.6">
      <c r="C910" s="36"/>
      <c r="D910" s="36"/>
      <c r="E910" s="36"/>
      <c r="F910" s="36"/>
      <c r="G910" s="36"/>
      <c r="H910" s="36"/>
      <c r="I910" s="36"/>
      <c r="J910" s="36"/>
      <c r="K910" s="36"/>
      <c r="L910" s="36"/>
      <c r="M910" s="36"/>
      <c r="N910" s="36"/>
      <c r="O910" s="36"/>
      <c r="P910" s="36"/>
    </row>
    <row r="911" spans="3:16" ht="13" x14ac:dyDescent="0.6">
      <c r="C911" s="36"/>
      <c r="D911" s="36"/>
      <c r="E911" s="36"/>
      <c r="F911" s="36"/>
      <c r="G911" s="36"/>
      <c r="H911" s="36"/>
      <c r="I911" s="36"/>
      <c r="J911" s="36"/>
      <c r="K911" s="36"/>
      <c r="L911" s="36"/>
      <c r="M911" s="36"/>
      <c r="N911" s="36"/>
      <c r="O911" s="36"/>
      <c r="P911" s="36"/>
    </row>
    <row r="912" spans="3:16" ht="13" x14ac:dyDescent="0.6">
      <c r="C912" s="36"/>
      <c r="D912" s="36"/>
      <c r="E912" s="36"/>
      <c r="F912" s="36"/>
      <c r="G912" s="36"/>
      <c r="H912" s="36"/>
      <c r="I912" s="36"/>
      <c r="J912" s="36"/>
      <c r="K912" s="36"/>
      <c r="L912" s="36"/>
      <c r="M912" s="36"/>
      <c r="N912" s="36"/>
      <c r="O912" s="36"/>
      <c r="P912" s="36"/>
    </row>
    <row r="913" spans="3:16" ht="13" x14ac:dyDescent="0.6">
      <c r="C913" s="36"/>
      <c r="D913" s="36"/>
      <c r="E913" s="36"/>
      <c r="F913" s="36"/>
      <c r="G913" s="36"/>
      <c r="H913" s="36"/>
      <c r="I913" s="36"/>
      <c r="J913" s="36"/>
      <c r="K913" s="36"/>
      <c r="L913" s="36"/>
      <c r="M913" s="36"/>
      <c r="N913" s="36"/>
      <c r="O913" s="36"/>
      <c r="P913" s="36"/>
    </row>
    <row r="914" spans="3:16" ht="13" x14ac:dyDescent="0.6">
      <c r="C914" s="36"/>
      <c r="D914" s="36"/>
      <c r="E914" s="36"/>
      <c r="F914" s="36"/>
      <c r="G914" s="36"/>
      <c r="H914" s="36"/>
      <c r="I914" s="36"/>
      <c r="J914" s="36"/>
      <c r="K914" s="36"/>
      <c r="L914" s="36"/>
      <c r="M914" s="36"/>
      <c r="N914" s="36"/>
      <c r="O914" s="36"/>
      <c r="P914" s="36"/>
    </row>
    <row r="915" spans="3:16" ht="13" x14ac:dyDescent="0.6">
      <c r="C915" s="36"/>
      <c r="D915" s="36"/>
      <c r="E915" s="36"/>
      <c r="F915" s="36"/>
      <c r="G915" s="36"/>
      <c r="H915" s="36"/>
      <c r="I915" s="36"/>
      <c r="J915" s="36"/>
      <c r="K915" s="36"/>
      <c r="L915" s="36"/>
      <c r="M915" s="36"/>
      <c r="N915" s="36"/>
      <c r="O915" s="36"/>
      <c r="P915" s="36"/>
    </row>
    <row r="916" spans="3:16" ht="13" x14ac:dyDescent="0.6">
      <c r="C916" s="36"/>
      <c r="D916" s="36"/>
      <c r="E916" s="36"/>
      <c r="F916" s="36"/>
      <c r="G916" s="36"/>
      <c r="H916" s="36"/>
      <c r="I916" s="36"/>
      <c r="J916" s="36"/>
      <c r="K916" s="36"/>
      <c r="L916" s="36"/>
      <c r="M916" s="36"/>
      <c r="N916" s="36"/>
      <c r="O916" s="36"/>
      <c r="P916" s="36"/>
    </row>
    <row r="917" spans="3:16" ht="13" x14ac:dyDescent="0.6">
      <c r="C917" s="36"/>
      <c r="D917" s="36"/>
      <c r="E917" s="36"/>
      <c r="F917" s="36"/>
      <c r="G917" s="36"/>
      <c r="H917" s="36"/>
      <c r="I917" s="36"/>
      <c r="J917" s="36"/>
      <c r="K917" s="36"/>
      <c r="L917" s="36"/>
      <c r="M917" s="36"/>
      <c r="N917" s="36"/>
      <c r="O917" s="36"/>
      <c r="P917" s="36"/>
    </row>
    <row r="918" spans="3:16" ht="13" x14ac:dyDescent="0.6">
      <c r="C918" s="36"/>
      <c r="D918" s="36"/>
      <c r="E918" s="36"/>
      <c r="F918" s="36"/>
      <c r="G918" s="36"/>
      <c r="H918" s="36"/>
      <c r="I918" s="36"/>
      <c r="J918" s="36"/>
      <c r="K918" s="36"/>
      <c r="L918" s="36"/>
      <c r="M918" s="36"/>
      <c r="N918" s="36"/>
      <c r="O918" s="36"/>
      <c r="P918" s="36"/>
    </row>
    <row r="919" spans="3:16" ht="13" x14ac:dyDescent="0.6">
      <c r="C919" s="36"/>
      <c r="D919" s="36"/>
      <c r="E919" s="36"/>
      <c r="F919" s="36"/>
      <c r="G919" s="36"/>
      <c r="H919" s="36"/>
      <c r="I919" s="36"/>
      <c r="J919" s="36"/>
      <c r="K919" s="36"/>
      <c r="L919" s="36"/>
      <c r="M919" s="36"/>
      <c r="N919" s="36"/>
      <c r="O919" s="36"/>
      <c r="P919" s="36"/>
    </row>
    <row r="920" spans="3:16" ht="13" x14ac:dyDescent="0.6">
      <c r="C920" s="36"/>
      <c r="D920" s="36"/>
      <c r="E920" s="36"/>
      <c r="F920" s="36"/>
      <c r="G920" s="36"/>
      <c r="H920" s="36"/>
      <c r="I920" s="36"/>
      <c r="J920" s="36"/>
      <c r="K920" s="36"/>
      <c r="L920" s="36"/>
      <c r="M920" s="36"/>
      <c r="N920" s="36"/>
      <c r="O920" s="36"/>
      <c r="P920" s="36"/>
    </row>
    <row r="921" spans="3:16" ht="13" x14ac:dyDescent="0.6">
      <c r="C921" s="36"/>
      <c r="D921" s="36"/>
      <c r="E921" s="36"/>
      <c r="F921" s="36"/>
      <c r="G921" s="36"/>
      <c r="H921" s="36"/>
      <c r="I921" s="36"/>
      <c r="J921" s="36"/>
      <c r="K921" s="36"/>
      <c r="L921" s="36"/>
      <c r="M921" s="36"/>
      <c r="N921" s="36"/>
      <c r="O921" s="36"/>
      <c r="P921" s="36"/>
    </row>
    <row r="922" spans="3:16" ht="13" x14ac:dyDescent="0.6">
      <c r="C922" s="36"/>
      <c r="D922" s="36"/>
      <c r="E922" s="36"/>
      <c r="F922" s="36"/>
      <c r="G922" s="36"/>
      <c r="H922" s="36"/>
      <c r="I922" s="36"/>
      <c r="J922" s="36"/>
      <c r="K922" s="36"/>
      <c r="L922" s="36"/>
      <c r="M922" s="36"/>
      <c r="N922" s="36"/>
      <c r="O922" s="36"/>
      <c r="P922" s="36"/>
    </row>
    <row r="923" spans="3:16" ht="13" x14ac:dyDescent="0.6">
      <c r="C923" s="36"/>
      <c r="D923" s="36"/>
      <c r="E923" s="36"/>
      <c r="F923" s="36"/>
      <c r="G923" s="36"/>
      <c r="H923" s="36"/>
      <c r="I923" s="36"/>
      <c r="J923" s="36"/>
      <c r="K923" s="36"/>
      <c r="L923" s="36"/>
      <c r="M923" s="36"/>
      <c r="N923" s="36"/>
      <c r="O923" s="36"/>
      <c r="P923" s="36"/>
    </row>
    <row r="924" spans="3:16" ht="13" x14ac:dyDescent="0.6">
      <c r="C924" s="36"/>
      <c r="D924" s="36"/>
      <c r="E924" s="36"/>
      <c r="F924" s="36"/>
      <c r="G924" s="36"/>
      <c r="H924" s="36"/>
      <c r="I924" s="36"/>
      <c r="J924" s="36"/>
      <c r="K924" s="36"/>
      <c r="L924" s="36"/>
      <c r="M924" s="36"/>
      <c r="N924" s="36"/>
      <c r="O924" s="36"/>
      <c r="P924" s="36"/>
    </row>
    <row r="925" spans="3:16" ht="13" x14ac:dyDescent="0.6">
      <c r="C925" s="36"/>
      <c r="D925" s="36"/>
      <c r="E925" s="36"/>
      <c r="F925" s="36"/>
      <c r="G925" s="36"/>
      <c r="H925" s="36"/>
      <c r="I925" s="36"/>
      <c r="J925" s="36"/>
      <c r="K925" s="36"/>
      <c r="L925" s="36"/>
      <c r="M925" s="36"/>
      <c r="N925" s="36"/>
      <c r="O925" s="36"/>
      <c r="P925" s="36"/>
    </row>
    <row r="926" spans="3:16" ht="13" x14ac:dyDescent="0.6">
      <c r="C926" s="36"/>
      <c r="D926" s="36"/>
      <c r="E926" s="36"/>
      <c r="F926" s="36"/>
      <c r="G926" s="36"/>
      <c r="H926" s="36"/>
      <c r="I926" s="36"/>
      <c r="J926" s="36"/>
      <c r="K926" s="36"/>
      <c r="L926" s="36"/>
      <c r="M926" s="36"/>
      <c r="N926" s="36"/>
      <c r="O926" s="36"/>
      <c r="P926" s="36"/>
    </row>
    <row r="927" spans="3:16" ht="13" x14ac:dyDescent="0.6">
      <c r="C927" s="36"/>
      <c r="D927" s="36"/>
      <c r="E927" s="36"/>
      <c r="F927" s="36"/>
      <c r="G927" s="36"/>
      <c r="H927" s="36"/>
      <c r="I927" s="36"/>
      <c r="J927" s="36"/>
      <c r="K927" s="36"/>
      <c r="L927" s="36"/>
      <c r="M927" s="36"/>
      <c r="N927" s="36"/>
      <c r="O927" s="36"/>
      <c r="P927" s="36"/>
    </row>
    <row r="928" spans="3:16" ht="13" x14ac:dyDescent="0.6">
      <c r="C928" s="36"/>
      <c r="D928" s="36"/>
      <c r="E928" s="36"/>
      <c r="F928" s="36"/>
      <c r="G928" s="36"/>
      <c r="H928" s="36"/>
      <c r="I928" s="36"/>
      <c r="J928" s="36"/>
      <c r="K928" s="36"/>
      <c r="L928" s="36"/>
      <c r="M928" s="36"/>
      <c r="N928" s="36"/>
      <c r="O928" s="36"/>
      <c r="P928" s="36"/>
    </row>
    <row r="929" spans="3:16" ht="13" x14ac:dyDescent="0.6">
      <c r="C929" s="36"/>
      <c r="D929" s="36"/>
      <c r="E929" s="36"/>
      <c r="F929" s="36"/>
      <c r="G929" s="36"/>
      <c r="H929" s="36"/>
      <c r="I929" s="36"/>
      <c r="J929" s="36"/>
      <c r="K929" s="36"/>
      <c r="L929" s="36"/>
      <c r="M929" s="36"/>
      <c r="N929" s="36"/>
      <c r="O929" s="36"/>
      <c r="P929" s="36"/>
    </row>
    <row r="930" spans="3:16" ht="13" x14ac:dyDescent="0.6">
      <c r="C930" s="36"/>
      <c r="D930" s="36"/>
      <c r="E930" s="36"/>
      <c r="F930" s="36"/>
      <c r="G930" s="36"/>
      <c r="H930" s="36"/>
      <c r="I930" s="36"/>
      <c r="J930" s="36"/>
      <c r="K930" s="36"/>
      <c r="L930" s="36"/>
      <c r="M930" s="36"/>
      <c r="N930" s="36"/>
      <c r="O930" s="36"/>
      <c r="P930" s="36"/>
    </row>
    <row r="931" spans="3:16" ht="13" x14ac:dyDescent="0.6">
      <c r="C931" s="36"/>
      <c r="D931" s="36"/>
      <c r="E931" s="36"/>
      <c r="F931" s="36"/>
      <c r="G931" s="36"/>
      <c r="H931" s="36"/>
      <c r="I931" s="36"/>
      <c r="J931" s="36"/>
      <c r="K931" s="36"/>
      <c r="L931" s="36"/>
      <c r="M931" s="36"/>
      <c r="N931" s="36"/>
      <c r="O931" s="36"/>
      <c r="P931" s="36"/>
    </row>
    <row r="932" spans="3:16" ht="13" x14ac:dyDescent="0.6">
      <c r="C932" s="36"/>
      <c r="D932" s="36"/>
      <c r="E932" s="36"/>
      <c r="F932" s="36"/>
      <c r="G932" s="36"/>
      <c r="H932" s="36"/>
      <c r="I932" s="36"/>
      <c r="J932" s="36"/>
      <c r="K932" s="36"/>
      <c r="L932" s="36"/>
      <c r="M932" s="36"/>
      <c r="N932" s="36"/>
      <c r="O932" s="36"/>
      <c r="P932" s="36"/>
    </row>
    <row r="933" spans="3:16" ht="13" x14ac:dyDescent="0.6">
      <c r="C933" s="36"/>
      <c r="D933" s="36"/>
      <c r="E933" s="36"/>
      <c r="F933" s="36"/>
      <c r="G933" s="36"/>
      <c r="H933" s="36"/>
      <c r="I933" s="36"/>
      <c r="J933" s="36"/>
      <c r="K933" s="36"/>
      <c r="L933" s="36"/>
      <c r="M933" s="36"/>
      <c r="N933" s="36"/>
      <c r="O933" s="36"/>
      <c r="P933" s="36"/>
    </row>
    <row r="934" spans="3:16" ht="13" x14ac:dyDescent="0.6">
      <c r="C934" s="36"/>
      <c r="D934" s="36"/>
      <c r="E934" s="36"/>
      <c r="F934" s="36"/>
      <c r="G934" s="36"/>
      <c r="H934" s="36"/>
      <c r="I934" s="36"/>
      <c r="J934" s="36"/>
      <c r="K934" s="36"/>
      <c r="L934" s="36"/>
      <c r="M934" s="36"/>
      <c r="N934" s="36"/>
      <c r="O934" s="36"/>
      <c r="P934" s="36"/>
    </row>
    <row r="935" spans="3:16" ht="13" x14ac:dyDescent="0.6">
      <c r="C935" s="36"/>
      <c r="D935" s="36"/>
      <c r="E935" s="36"/>
      <c r="F935" s="36"/>
      <c r="G935" s="36"/>
      <c r="H935" s="36"/>
      <c r="I935" s="36"/>
      <c r="J935" s="36"/>
      <c r="K935" s="36"/>
      <c r="L935" s="36"/>
      <c r="M935" s="36"/>
      <c r="N935" s="36"/>
      <c r="O935" s="36"/>
      <c r="P935" s="36"/>
    </row>
    <row r="936" spans="3:16" ht="13" x14ac:dyDescent="0.6">
      <c r="C936" s="36"/>
      <c r="D936" s="36"/>
      <c r="E936" s="36"/>
      <c r="F936" s="36"/>
      <c r="G936" s="36"/>
      <c r="H936" s="36"/>
      <c r="I936" s="36"/>
      <c r="J936" s="36"/>
      <c r="K936" s="36"/>
      <c r="L936" s="36"/>
      <c r="M936" s="36"/>
      <c r="N936" s="36"/>
      <c r="O936" s="36"/>
      <c r="P936" s="36"/>
    </row>
    <row r="937" spans="3:16" ht="13" x14ac:dyDescent="0.6">
      <c r="C937" s="36"/>
      <c r="D937" s="36"/>
      <c r="E937" s="36"/>
      <c r="F937" s="36"/>
      <c r="G937" s="36"/>
      <c r="H937" s="36"/>
      <c r="I937" s="36"/>
      <c r="J937" s="36"/>
      <c r="K937" s="36"/>
      <c r="L937" s="36"/>
      <c r="M937" s="36"/>
      <c r="N937" s="36"/>
      <c r="O937" s="36"/>
      <c r="P937" s="36"/>
    </row>
    <row r="938" spans="3:16" ht="13" x14ac:dyDescent="0.6">
      <c r="C938" s="36"/>
      <c r="D938" s="36"/>
      <c r="E938" s="36"/>
      <c r="F938" s="36"/>
      <c r="G938" s="36"/>
      <c r="H938" s="36"/>
      <c r="I938" s="36"/>
      <c r="J938" s="36"/>
      <c r="K938" s="36"/>
      <c r="L938" s="36"/>
      <c r="M938" s="36"/>
      <c r="N938" s="36"/>
      <c r="O938" s="36"/>
      <c r="P938" s="36"/>
    </row>
    <row r="939" spans="3:16" ht="13" x14ac:dyDescent="0.6">
      <c r="C939" s="36"/>
      <c r="D939" s="36"/>
      <c r="E939" s="36"/>
      <c r="F939" s="36"/>
      <c r="G939" s="36"/>
      <c r="H939" s="36"/>
      <c r="I939" s="36"/>
      <c r="J939" s="36"/>
      <c r="K939" s="36"/>
      <c r="L939" s="36"/>
      <c r="M939" s="36"/>
      <c r="N939" s="36"/>
      <c r="O939" s="36"/>
      <c r="P939" s="36"/>
    </row>
    <row r="940" spans="3:16" ht="13" x14ac:dyDescent="0.6">
      <c r="C940" s="36"/>
      <c r="D940" s="36"/>
      <c r="E940" s="36"/>
      <c r="F940" s="36"/>
      <c r="G940" s="36"/>
      <c r="H940" s="36"/>
      <c r="I940" s="36"/>
      <c r="J940" s="36"/>
      <c r="K940" s="36"/>
      <c r="L940" s="36"/>
      <c r="M940" s="36"/>
      <c r="N940" s="36"/>
      <c r="O940" s="36"/>
      <c r="P940" s="36"/>
    </row>
    <row r="941" spans="3:16" ht="13" x14ac:dyDescent="0.6">
      <c r="C941" s="36"/>
      <c r="D941" s="36"/>
      <c r="E941" s="36"/>
      <c r="F941" s="36"/>
      <c r="G941" s="36"/>
      <c r="H941" s="36"/>
      <c r="I941" s="36"/>
      <c r="J941" s="36"/>
      <c r="K941" s="36"/>
      <c r="L941" s="36"/>
      <c r="M941" s="36"/>
      <c r="N941" s="36"/>
      <c r="O941" s="36"/>
      <c r="P941" s="36"/>
    </row>
    <row r="942" spans="3:16" ht="13" x14ac:dyDescent="0.6">
      <c r="C942" s="36"/>
      <c r="D942" s="36"/>
      <c r="E942" s="36"/>
      <c r="F942" s="36"/>
      <c r="G942" s="36"/>
      <c r="H942" s="36"/>
      <c r="I942" s="36"/>
      <c r="J942" s="36"/>
      <c r="K942" s="36"/>
      <c r="L942" s="36"/>
      <c r="M942" s="36"/>
      <c r="N942" s="36"/>
      <c r="O942" s="36"/>
      <c r="P942" s="36"/>
    </row>
    <row r="943" spans="3:16" ht="13" x14ac:dyDescent="0.6">
      <c r="C943" s="36"/>
      <c r="D943" s="36"/>
      <c r="E943" s="36"/>
      <c r="F943" s="36"/>
      <c r="G943" s="36"/>
      <c r="H943" s="36"/>
      <c r="I943" s="36"/>
      <c r="J943" s="36"/>
      <c r="K943" s="36"/>
      <c r="L943" s="36"/>
      <c r="M943" s="36"/>
      <c r="N943" s="36"/>
      <c r="O943" s="36"/>
      <c r="P943" s="36"/>
    </row>
    <row r="944" spans="3:16" ht="13" x14ac:dyDescent="0.6">
      <c r="C944" s="36"/>
      <c r="D944" s="36"/>
      <c r="E944" s="36"/>
      <c r="F944" s="36"/>
      <c r="G944" s="36"/>
      <c r="H944" s="36"/>
      <c r="I944" s="36"/>
      <c r="J944" s="36"/>
      <c r="K944" s="36"/>
      <c r="L944" s="36"/>
      <c r="M944" s="36"/>
      <c r="N944" s="36"/>
      <c r="O944" s="36"/>
      <c r="P944" s="36"/>
    </row>
    <row r="945" spans="3:16" ht="13" x14ac:dyDescent="0.6">
      <c r="C945" s="36"/>
      <c r="D945" s="36"/>
      <c r="E945" s="36"/>
      <c r="F945" s="36"/>
      <c r="G945" s="36"/>
      <c r="H945" s="36"/>
      <c r="I945" s="36"/>
      <c r="J945" s="36"/>
      <c r="K945" s="36"/>
      <c r="L945" s="36"/>
      <c r="M945" s="36"/>
      <c r="N945" s="36"/>
      <c r="O945" s="36"/>
      <c r="P945" s="36"/>
    </row>
    <row r="946" spans="3:16" ht="13" x14ac:dyDescent="0.6">
      <c r="C946" s="36"/>
      <c r="D946" s="36"/>
      <c r="E946" s="36"/>
      <c r="F946" s="36"/>
      <c r="G946" s="36"/>
      <c r="H946" s="36"/>
      <c r="I946" s="36"/>
      <c r="J946" s="36"/>
      <c r="K946" s="36"/>
      <c r="L946" s="36"/>
      <c r="M946" s="36"/>
      <c r="N946" s="36"/>
      <c r="O946" s="36"/>
      <c r="P946" s="36"/>
    </row>
    <row r="947" spans="3:16" ht="13" x14ac:dyDescent="0.6">
      <c r="C947" s="36"/>
      <c r="D947" s="36"/>
      <c r="E947" s="36"/>
      <c r="F947" s="36"/>
      <c r="G947" s="36"/>
      <c r="H947" s="36"/>
      <c r="I947" s="36"/>
      <c r="J947" s="36"/>
      <c r="K947" s="36"/>
      <c r="L947" s="36"/>
      <c r="M947" s="36"/>
      <c r="N947" s="36"/>
      <c r="O947" s="36"/>
      <c r="P947" s="36"/>
    </row>
    <row r="948" spans="3:16" ht="13" x14ac:dyDescent="0.6">
      <c r="C948" s="36"/>
      <c r="D948" s="36"/>
      <c r="E948" s="36"/>
      <c r="F948" s="36"/>
      <c r="G948" s="36"/>
      <c r="H948" s="36"/>
      <c r="I948" s="36"/>
      <c r="J948" s="36"/>
      <c r="K948" s="36"/>
      <c r="L948" s="36"/>
      <c r="M948" s="36"/>
      <c r="N948" s="36"/>
      <c r="O948" s="36"/>
      <c r="P948" s="36"/>
    </row>
    <row r="949" spans="3:16" ht="13" x14ac:dyDescent="0.6">
      <c r="C949" s="36"/>
      <c r="D949" s="36"/>
      <c r="E949" s="36"/>
      <c r="F949" s="36"/>
      <c r="G949" s="36"/>
      <c r="H949" s="36"/>
      <c r="I949" s="36"/>
      <c r="J949" s="36"/>
      <c r="K949" s="36"/>
      <c r="L949" s="36"/>
      <c r="M949" s="36"/>
      <c r="N949" s="36"/>
      <c r="O949" s="36"/>
      <c r="P949" s="36"/>
    </row>
    <row r="950" spans="3:16" ht="13" x14ac:dyDescent="0.6">
      <c r="C950" s="36"/>
      <c r="D950" s="36"/>
      <c r="E950" s="36"/>
      <c r="F950" s="36"/>
      <c r="G950" s="36"/>
      <c r="H950" s="36"/>
      <c r="I950" s="36"/>
      <c r="J950" s="36"/>
      <c r="K950" s="36"/>
      <c r="L950" s="36"/>
      <c r="M950" s="36"/>
      <c r="N950" s="36"/>
      <c r="O950" s="36"/>
      <c r="P950" s="36"/>
    </row>
    <row r="951" spans="3:16" ht="13" x14ac:dyDescent="0.6">
      <c r="C951" s="36"/>
      <c r="D951" s="36"/>
      <c r="E951" s="36"/>
      <c r="F951" s="36"/>
      <c r="G951" s="36"/>
      <c r="H951" s="36"/>
      <c r="I951" s="36"/>
      <c r="J951" s="36"/>
      <c r="K951" s="36"/>
      <c r="L951" s="36"/>
      <c r="M951" s="36"/>
      <c r="N951" s="36"/>
      <c r="O951" s="36"/>
      <c r="P951" s="36"/>
    </row>
    <row r="952" spans="3:16" ht="13" x14ac:dyDescent="0.6">
      <c r="C952" s="36"/>
      <c r="D952" s="36"/>
      <c r="E952" s="36"/>
      <c r="F952" s="36"/>
      <c r="G952" s="36"/>
      <c r="H952" s="36"/>
      <c r="I952" s="36"/>
      <c r="J952" s="36"/>
      <c r="K952" s="36"/>
      <c r="L952" s="36"/>
      <c r="M952" s="36"/>
      <c r="N952" s="36"/>
      <c r="O952" s="36"/>
      <c r="P952" s="36"/>
    </row>
    <row r="953" spans="3:16" ht="13" x14ac:dyDescent="0.6">
      <c r="C953" s="36"/>
      <c r="D953" s="36"/>
      <c r="E953" s="36"/>
      <c r="F953" s="36"/>
      <c r="G953" s="36"/>
      <c r="H953" s="36"/>
      <c r="I953" s="36"/>
      <c r="J953" s="36"/>
      <c r="K953" s="36"/>
      <c r="L953" s="36"/>
      <c r="M953" s="36"/>
      <c r="N953" s="36"/>
      <c r="O953" s="36"/>
      <c r="P953" s="36"/>
    </row>
    <row r="954" spans="3:16" ht="13" x14ac:dyDescent="0.6">
      <c r="C954" s="36"/>
      <c r="D954" s="36"/>
      <c r="E954" s="36"/>
      <c r="F954" s="36"/>
      <c r="G954" s="36"/>
      <c r="H954" s="36"/>
      <c r="I954" s="36"/>
      <c r="J954" s="36"/>
      <c r="K954" s="36"/>
      <c r="L954" s="36"/>
      <c r="M954" s="36"/>
      <c r="N954" s="36"/>
      <c r="O954" s="36"/>
      <c r="P954" s="36"/>
    </row>
    <row r="955" spans="3:16" ht="13" x14ac:dyDescent="0.6">
      <c r="C955" s="36"/>
      <c r="D955" s="36"/>
      <c r="E955" s="36"/>
      <c r="F955" s="36"/>
      <c r="G955" s="36"/>
      <c r="H955" s="36"/>
      <c r="I955" s="36"/>
      <c r="J955" s="36"/>
      <c r="K955" s="36"/>
      <c r="L955" s="36"/>
      <c r="M955" s="36"/>
      <c r="N955" s="36"/>
      <c r="O955" s="36"/>
      <c r="P955" s="36"/>
    </row>
    <row r="956" spans="3:16" ht="13" x14ac:dyDescent="0.6">
      <c r="C956" s="36"/>
      <c r="D956" s="36"/>
      <c r="E956" s="36"/>
      <c r="F956" s="36"/>
      <c r="G956" s="36"/>
      <c r="H956" s="36"/>
      <c r="I956" s="36"/>
      <c r="J956" s="36"/>
      <c r="K956" s="36"/>
      <c r="L956" s="36"/>
      <c r="M956" s="36"/>
      <c r="N956" s="36"/>
      <c r="O956" s="36"/>
      <c r="P956" s="36"/>
    </row>
    <row r="957" spans="3:16" ht="13" x14ac:dyDescent="0.6">
      <c r="C957" s="36"/>
      <c r="D957" s="36"/>
      <c r="E957" s="36"/>
      <c r="F957" s="36"/>
      <c r="G957" s="36"/>
      <c r="H957" s="36"/>
      <c r="I957" s="36"/>
      <c r="J957" s="36"/>
      <c r="K957" s="36"/>
      <c r="L957" s="36"/>
      <c r="M957" s="36"/>
      <c r="N957" s="36"/>
      <c r="O957" s="36"/>
      <c r="P957" s="36"/>
    </row>
    <row r="958" spans="3:16" ht="13" x14ac:dyDescent="0.6">
      <c r="C958" s="36"/>
      <c r="D958" s="36"/>
      <c r="E958" s="36"/>
      <c r="F958" s="36"/>
      <c r="G958" s="36"/>
      <c r="H958" s="36"/>
      <c r="I958" s="36"/>
      <c r="J958" s="36"/>
      <c r="K958" s="36"/>
      <c r="L958" s="36"/>
      <c r="M958" s="36"/>
      <c r="N958" s="36"/>
      <c r="O958" s="36"/>
      <c r="P958" s="36"/>
    </row>
    <row r="959" spans="3:16" ht="13" x14ac:dyDescent="0.6">
      <c r="C959" s="36"/>
      <c r="D959" s="36"/>
      <c r="E959" s="36"/>
      <c r="F959" s="36"/>
      <c r="G959" s="36"/>
      <c r="H959" s="36"/>
      <c r="I959" s="36"/>
      <c r="J959" s="36"/>
      <c r="K959" s="36"/>
      <c r="L959" s="36"/>
      <c r="M959" s="36"/>
      <c r="N959" s="36"/>
      <c r="O959" s="36"/>
      <c r="P959" s="36"/>
    </row>
    <row r="960" spans="3:16" ht="13" x14ac:dyDescent="0.6">
      <c r="C960" s="36"/>
      <c r="D960" s="36"/>
      <c r="E960" s="36"/>
      <c r="F960" s="36"/>
      <c r="G960" s="36"/>
      <c r="H960" s="36"/>
      <c r="I960" s="36"/>
      <c r="J960" s="36"/>
      <c r="K960" s="36"/>
      <c r="L960" s="36"/>
      <c r="M960" s="36"/>
      <c r="N960" s="36"/>
      <c r="O960" s="36"/>
      <c r="P960" s="36"/>
    </row>
    <row r="961" spans="3:16" ht="13" x14ac:dyDescent="0.6">
      <c r="C961" s="36"/>
      <c r="D961" s="36"/>
      <c r="E961" s="36"/>
      <c r="F961" s="36"/>
      <c r="G961" s="36"/>
      <c r="H961" s="36"/>
      <c r="I961" s="36"/>
      <c r="J961" s="36"/>
      <c r="K961" s="36"/>
      <c r="L961" s="36"/>
      <c r="M961" s="36"/>
      <c r="N961" s="36"/>
      <c r="O961" s="36"/>
      <c r="P961" s="36"/>
    </row>
    <row r="962" spans="3:16" ht="13" x14ac:dyDescent="0.6">
      <c r="C962" s="36"/>
      <c r="D962" s="36"/>
      <c r="E962" s="36"/>
      <c r="F962" s="36"/>
      <c r="G962" s="36"/>
      <c r="H962" s="36"/>
      <c r="I962" s="36"/>
      <c r="J962" s="36"/>
      <c r="K962" s="36"/>
      <c r="L962" s="36"/>
      <c r="M962" s="36"/>
      <c r="N962" s="36"/>
      <c r="O962" s="36"/>
      <c r="P962" s="36"/>
    </row>
    <row r="963" spans="3:16" ht="13" x14ac:dyDescent="0.6">
      <c r="C963" s="36"/>
      <c r="D963" s="36"/>
      <c r="E963" s="36"/>
      <c r="F963" s="36"/>
      <c r="G963" s="36"/>
      <c r="H963" s="36"/>
      <c r="I963" s="36"/>
      <c r="J963" s="36"/>
      <c r="K963" s="36"/>
      <c r="L963" s="36"/>
      <c r="M963" s="36"/>
      <c r="N963" s="36"/>
      <c r="O963" s="36"/>
      <c r="P963" s="36"/>
    </row>
    <row r="964" spans="3:16" ht="13" x14ac:dyDescent="0.6">
      <c r="C964" s="36"/>
      <c r="D964" s="36"/>
      <c r="E964" s="36"/>
      <c r="F964" s="36"/>
      <c r="G964" s="36"/>
      <c r="H964" s="36"/>
      <c r="I964" s="36"/>
      <c r="J964" s="36"/>
      <c r="K964" s="36"/>
      <c r="L964" s="36"/>
      <c r="M964" s="36"/>
      <c r="N964" s="36"/>
      <c r="O964" s="36"/>
      <c r="P964" s="36"/>
    </row>
    <row r="965" spans="3:16" ht="13" x14ac:dyDescent="0.6">
      <c r="C965" s="36"/>
      <c r="D965" s="36"/>
      <c r="E965" s="36"/>
      <c r="F965" s="36"/>
      <c r="G965" s="36"/>
      <c r="H965" s="36"/>
      <c r="I965" s="36"/>
      <c r="J965" s="36"/>
      <c r="K965" s="36"/>
      <c r="L965" s="36"/>
      <c r="M965" s="36"/>
      <c r="N965" s="36"/>
      <c r="O965" s="36"/>
      <c r="P965" s="36"/>
    </row>
    <row r="966" spans="3:16" ht="13" x14ac:dyDescent="0.6">
      <c r="C966" s="36"/>
      <c r="D966" s="36"/>
      <c r="E966" s="36"/>
      <c r="F966" s="36"/>
      <c r="G966" s="36"/>
      <c r="H966" s="36"/>
      <c r="I966" s="36"/>
      <c r="J966" s="36"/>
      <c r="K966" s="36"/>
      <c r="L966" s="36"/>
      <c r="M966" s="36"/>
      <c r="N966" s="36"/>
      <c r="O966" s="36"/>
      <c r="P966" s="36"/>
    </row>
    <row r="967" spans="3:16" ht="13" x14ac:dyDescent="0.6">
      <c r="C967" s="36"/>
      <c r="D967" s="36"/>
      <c r="E967" s="36"/>
      <c r="F967" s="36"/>
      <c r="G967" s="36"/>
      <c r="H967" s="36"/>
      <c r="I967" s="36"/>
      <c r="J967" s="36"/>
      <c r="K967" s="36"/>
      <c r="L967" s="36"/>
      <c r="M967" s="36"/>
      <c r="N967" s="36"/>
      <c r="O967" s="36"/>
      <c r="P967" s="36"/>
    </row>
    <row r="968" spans="3:16" ht="13" x14ac:dyDescent="0.6">
      <c r="C968" s="36"/>
      <c r="D968" s="36"/>
      <c r="E968" s="36"/>
      <c r="F968" s="36"/>
      <c r="G968" s="36"/>
      <c r="H968" s="36"/>
      <c r="I968" s="36"/>
      <c r="J968" s="36"/>
      <c r="K968" s="36"/>
      <c r="L968" s="36"/>
      <c r="M968" s="36"/>
      <c r="N968" s="36"/>
      <c r="O968" s="36"/>
      <c r="P968" s="36"/>
    </row>
    <row r="969" spans="3:16" ht="13" x14ac:dyDescent="0.6">
      <c r="C969" s="36"/>
      <c r="D969" s="36"/>
      <c r="E969" s="36"/>
      <c r="F969" s="36"/>
      <c r="G969" s="36"/>
      <c r="H969" s="36"/>
      <c r="I969" s="36"/>
      <c r="J969" s="36"/>
      <c r="K969" s="36"/>
      <c r="L969" s="36"/>
      <c r="M969" s="36"/>
      <c r="N969" s="36"/>
      <c r="O969" s="36"/>
      <c r="P969" s="36"/>
    </row>
    <row r="970" spans="3:16" ht="13" x14ac:dyDescent="0.6">
      <c r="C970" s="36"/>
      <c r="D970" s="36"/>
      <c r="E970" s="36"/>
      <c r="F970" s="36"/>
      <c r="G970" s="36"/>
      <c r="H970" s="36"/>
      <c r="I970" s="36"/>
      <c r="J970" s="36"/>
      <c r="K970" s="36"/>
      <c r="L970" s="36"/>
      <c r="M970" s="36"/>
      <c r="N970" s="36"/>
      <c r="O970" s="36"/>
      <c r="P970" s="36"/>
    </row>
    <row r="971" spans="3:16" ht="13" x14ac:dyDescent="0.6">
      <c r="C971" s="36"/>
      <c r="D971" s="36"/>
      <c r="E971" s="36"/>
      <c r="F971" s="36"/>
      <c r="G971" s="36"/>
      <c r="H971" s="36"/>
      <c r="I971" s="36"/>
      <c r="J971" s="36"/>
      <c r="K971" s="36"/>
      <c r="L971" s="36"/>
      <c r="M971" s="36"/>
      <c r="N971" s="36"/>
      <c r="O971" s="36"/>
      <c r="P971" s="36"/>
    </row>
    <row r="972" spans="3:16" ht="13" x14ac:dyDescent="0.6">
      <c r="C972" s="36"/>
      <c r="D972" s="36"/>
      <c r="E972" s="36"/>
      <c r="F972" s="36"/>
      <c r="G972" s="36"/>
      <c r="H972" s="36"/>
      <c r="I972" s="36"/>
      <c r="J972" s="36"/>
      <c r="K972" s="36"/>
      <c r="L972" s="36"/>
      <c r="M972" s="36"/>
      <c r="N972" s="36"/>
      <c r="O972" s="36"/>
      <c r="P972" s="36"/>
    </row>
    <row r="973" spans="3:16" ht="13" x14ac:dyDescent="0.6">
      <c r="C973" s="36"/>
      <c r="D973" s="36"/>
      <c r="E973" s="36"/>
      <c r="F973" s="36"/>
      <c r="G973" s="36"/>
      <c r="H973" s="36"/>
      <c r="I973" s="36"/>
      <c r="J973" s="36"/>
      <c r="K973" s="36"/>
      <c r="L973" s="36"/>
      <c r="M973" s="36"/>
      <c r="N973" s="36"/>
      <c r="O973" s="36"/>
      <c r="P973" s="36"/>
    </row>
    <row r="974" spans="3:16" ht="13" x14ac:dyDescent="0.6">
      <c r="C974" s="36"/>
      <c r="D974" s="36"/>
      <c r="E974" s="36"/>
      <c r="F974" s="36"/>
      <c r="G974" s="36"/>
      <c r="H974" s="36"/>
      <c r="I974" s="36"/>
      <c r="J974" s="36"/>
      <c r="K974" s="36"/>
      <c r="L974" s="36"/>
      <c r="M974" s="36"/>
      <c r="N974" s="36"/>
      <c r="O974" s="36"/>
      <c r="P974" s="36"/>
    </row>
    <row r="975" spans="3:16" ht="13" x14ac:dyDescent="0.6">
      <c r="C975" s="36"/>
      <c r="D975" s="36"/>
      <c r="E975" s="36"/>
      <c r="F975" s="36"/>
      <c r="G975" s="36"/>
      <c r="H975" s="36"/>
      <c r="I975" s="36"/>
      <c r="J975" s="36"/>
      <c r="K975" s="36"/>
      <c r="L975" s="36"/>
      <c r="M975" s="36"/>
      <c r="N975" s="36"/>
      <c r="O975" s="36"/>
      <c r="P975" s="36"/>
    </row>
    <row r="976" spans="3:16" ht="13" x14ac:dyDescent="0.6">
      <c r="C976" s="36"/>
      <c r="D976" s="36"/>
      <c r="E976" s="36"/>
      <c r="F976" s="36"/>
      <c r="G976" s="36"/>
      <c r="H976" s="36"/>
      <c r="I976" s="36"/>
      <c r="J976" s="36"/>
      <c r="K976" s="36"/>
      <c r="L976" s="36"/>
      <c r="M976" s="36"/>
      <c r="N976" s="36"/>
      <c r="O976" s="36"/>
      <c r="P976" s="36"/>
    </row>
    <row r="977" spans="3:16" ht="13" x14ac:dyDescent="0.6">
      <c r="C977" s="36"/>
      <c r="D977" s="36"/>
      <c r="E977" s="36"/>
      <c r="F977" s="36"/>
      <c r="G977" s="36"/>
      <c r="H977" s="36"/>
      <c r="I977" s="36"/>
      <c r="J977" s="36"/>
      <c r="K977" s="36"/>
      <c r="L977" s="36"/>
      <c r="M977" s="36"/>
      <c r="N977" s="36"/>
      <c r="O977" s="36"/>
      <c r="P977" s="36"/>
    </row>
    <row r="978" spans="3:16" ht="13" x14ac:dyDescent="0.6">
      <c r="C978" s="36"/>
      <c r="D978" s="36"/>
      <c r="E978" s="36"/>
      <c r="F978" s="36"/>
      <c r="G978" s="36"/>
      <c r="H978" s="36"/>
      <c r="I978" s="36"/>
      <c r="J978" s="36"/>
      <c r="K978" s="36"/>
      <c r="L978" s="36"/>
      <c r="M978" s="36"/>
      <c r="N978" s="36"/>
      <c r="O978" s="36"/>
      <c r="P978" s="36"/>
    </row>
    <row r="979" spans="3:16" ht="13" x14ac:dyDescent="0.6">
      <c r="C979" s="36"/>
      <c r="D979" s="36"/>
      <c r="E979" s="36"/>
      <c r="F979" s="36"/>
      <c r="G979" s="36"/>
      <c r="H979" s="36"/>
      <c r="I979" s="36"/>
      <c r="J979" s="36"/>
      <c r="K979" s="36"/>
      <c r="L979" s="36"/>
      <c r="M979" s="36"/>
      <c r="N979" s="36"/>
      <c r="O979" s="36"/>
      <c r="P979" s="36"/>
    </row>
    <row r="980" spans="3:16" ht="13" x14ac:dyDescent="0.6">
      <c r="C980" s="36"/>
      <c r="D980" s="36"/>
      <c r="E980" s="36"/>
      <c r="F980" s="36"/>
      <c r="G980" s="36"/>
      <c r="H980" s="36"/>
      <c r="I980" s="36"/>
      <c r="J980" s="36"/>
      <c r="K980" s="36"/>
      <c r="L980" s="36"/>
      <c r="M980" s="36"/>
      <c r="N980" s="36"/>
      <c r="O980" s="36"/>
      <c r="P980" s="36"/>
    </row>
    <row r="981" spans="3:16" ht="13" x14ac:dyDescent="0.6">
      <c r="C981" s="36"/>
      <c r="D981" s="36"/>
      <c r="E981" s="36"/>
      <c r="F981" s="36"/>
      <c r="G981" s="36"/>
      <c r="H981" s="36"/>
      <c r="I981" s="36"/>
      <c r="J981" s="36"/>
      <c r="K981" s="36"/>
      <c r="L981" s="36"/>
      <c r="M981" s="36"/>
      <c r="N981" s="36"/>
      <c r="O981" s="36"/>
      <c r="P981" s="36"/>
    </row>
    <row r="982" spans="3:16" ht="13" x14ac:dyDescent="0.6">
      <c r="C982" s="36"/>
      <c r="D982" s="36"/>
      <c r="E982" s="36"/>
      <c r="F982" s="36"/>
      <c r="G982" s="36"/>
      <c r="H982" s="36"/>
      <c r="I982" s="36"/>
      <c r="J982" s="36"/>
      <c r="K982" s="36"/>
      <c r="L982" s="36"/>
      <c r="M982" s="36"/>
      <c r="N982" s="36"/>
      <c r="O982" s="36"/>
      <c r="P982" s="36"/>
    </row>
    <row r="983" spans="3:16" ht="13" x14ac:dyDescent="0.6">
      <c r="C983" s="36"/>
      <c r="D983" s="36"/>
      <c r="E983" s="36"/>
      <c r="F983" s="36"/>
      <c r="G983" s="36"/>
      <c r="H983" s="36"/>
      <c r="I983" s="36"/>
      <c r="J983" s="36"/>
      <c r="K983" s="36"/>
      <c r="L983" s="36"/>
      <c r="M983" s="36"/>
      <c r="N983" s="36"/>
      <c r="O983" s="36"/>
      <c r="P983" s="36"/>
    </row>
    <row r="984" spans="3:16" ht="13" x14ac:dyDescent="0.6">
      <c r="C984" s="36"/>
      <c r="D984" s="36"/>
      <c r="E984" s="36"/>
      <c r="F984" s="36"/>
      <c r="G984" s="36"/>
      <c r="H984" s="36"/>
      <c r="I984" s="36"/>
      <c r="J984" s="36"/>
      <c r="K984" s="36"/>
      <c r="L984" s="36"/>
      <c r="M984" s="36"/>
      <c r="N984" s="36"/>
      <c r="O984" s="36"/>
      <c r="P984" s="36"/>
    </row>
    <row r="985" spans="3:16" ht="13" x14ac:dyDescent="0.6">
      <c r="C985" s="36"/>
      <c r="D985" s="36"/>
      <c r="E985" s="36"/>
      <c r="F985" s="36"/>
      <c r="G985" s="36"/>
      <c r="H985" s="36"/>
      <c r="I985" s="36"/>
      <c r="J985" s="36"/>
      <c r="K985" s="36"/>
      <c r="L985" s="36"/>
      <c r="M985" s="36"/>
      <c r="N985" s="36"/>
      <c r="O985" s="36"/>
      <c r="P985" s="36"/>
    </row>
    <row r="986" spans="3:16" ht="13" x14ac:dyDescent="0.6">
      <c r="C986" s="36"/>
      <c r="D986" s="36"/>
      <c r="E986" s="36"/>
      <c r="F986" s="36"/>
      <c r="G986" s="36"/>
      <c r="H986" s="36"/>
      <c r="I986" s="36"/>
      <c r="J986" s="36"/>
      <c r="K986" s="36"/>
      <c r="L986" s="36"/>
      <c r="M986" s="36"/>
      <c r="N986" s="36"/>
      <c r="O986" s="36"/>
      <c r="P986" s="36"/>
    </row>
    <row r="987" spans="3:16" ht="13" x14ac:dyDescent="0.6">
      <c r="C987" s="36"/>
      <c r="D987" s="36"/>
      <c r="E987" s="36"/>
      <c r="F987" s="36"/>
      <c r="G987" s="36"/>
      <c r="H987" s="36"/>
      <c r="I987" s="36"/>
      <c r="J987" s="36"/>
      <c r="K987" s="36"/>
      <c r="L987" s="36"/>
      <c r="M987" s="36"/>
      <c r="N987" s="36"/>
      <c r="O987" s="36"/>
      <c r="P987" s="36"/>
    </row>
    <row r="988" spans="3:16" ht="13" x14ac:dyDescent="0.6">
      <c r="C988" s="36"/>
      <c r="D988" s="36"/>
      <c r="E988" s="36"/>
      <c r="F988" s="36"/>
      <c r="G988" s="36"/>
      <c r="H988" s="36"/>
      <c r="I988" s="36"/>
      <c r="J988" s="36"/>
      <c r="K988" s="36"/>
      <c r="L988" s="36"/>
      <c r="M988" s="36"/>
      <c r="N988" s="36"/>
      <c r="O988" s="36"/>
      <c r="P988" s="36"/>
    </row>
    <row r="989" spans="3:16" ht="13" x14ac:dyDescent="0.6">
      <c r="C989" s="36"/>
      <c r="D989" s="36"/>
      <c r="E989" s="36"/>
      <c r="F989" s="36"/>
      <c r="G989" s="36"/>
      <c r="H989" s="36"/>
      <c r="I989" s="36"/>
      <c r="J989" s="36"/>
      <c r="K989" s="36"/>
      <c r="L989" s="36"/>
      <c r="M989" s="36"/>
      <c r="N989" s="36"/>
      <c r="O989" s="36"/>
      <c r="P989" s="36"/>
    </row>
    <row r="990" spans="3:16" ht="13" x14ac:dyDescent="0.6">
      <c r="C990" s="36"/>
      <c r="D990" s="36"/>
      <c r="E990" s="36"/>
      <c r="F990" s="36"/>
      <c r="G990" s="36"/>
      <c r="H990" s="36"/>
      <c r="I990" s="36"/>
      <c r="J990" s="36"/>
      <c r="K990" s="36"/>
      <c r="L990" s="36"/>
      <c r="M990" s="36"/>
      <c r="N990" s="36"/>
      <c r="O990" s="36"/>
      <c r="P990" s="36"/>
    </row>
    <row r="991" spans="3:16" ht="13" x14ac:dyDescent="0.6">
      <c r="C991" s="36"/>
      <c r="D991" s="36"/>
      <c r="E991" s="36"/>
      <c r="F991" s="36"/>
      <c r="G991" s="36"/>
      <c r="H991" s="36"/>
      <c r="I991" s="36"/>
      <c r="J991" s="36"/>
      <c r="K991" s="36"/>
      <c r="L991" s="36"/>
      <c r="M991" s="36"/>
      <c r="N991" s="36"/>
      <c r="O991" s="36"/>
      <c r="P991" s="36"/>
    </row>
    <row r="992" spans="3:16" ht="13" x14ac:dyDescent="0.6">
      <c r="C992" s="36"/>
      <c r="D992" s="36"/>
      <c r="E992" s="36"/>
      <c r="F992" s="36"/>
      <c r="G992" s="36"/>
      <c r="H992" s="36"/>
      <c r="I992" s="36"/>
      <c r="J992" s="36"/>
      <c r="K992" s="36"/>
      <c r="L992" s="36"/>
      <c r="M992" s="36"/>
      <c r="N992" s="36"/>
      <c r="O992" s="36"/>
      <c r="P992" s="36"/>
    </row>
    <row r="993" spans="3:16" ht="13" x14ac:dyDescent="0.6">
      <c r="C993" s="36"/>
      <c r="D993" s="36"/>
      <c r="E993" s="36"/>
      <c r="F993" s="36"/>
      <c r="G993" s="36"/>
      <c r="H993" s="36"/>
      <c r="I993" s="36"/>
      <c r="J993" s="36"/>
      <c r="K993" s="36"/>
      <c r="L993" s="36"/>
      <c r="M993" s="36"/>
      <c r="N993" s="36"/>
      <c r="O993" s="36"/>
      <c r="P993" s="36"/>
    </row>
    <row r="994" spans="3:16" ht="13" x14ac:dyDescent="0.6">
      <c r="C994" s="36"/>
      <c r="D994" s="36"/>
      <c r="E994" s="36"/>
      <c r="F994" s="36"/>
      <c r="G994" s="36"/>
      <c r="H994" s="36"/>
      <c r="I994" s="36"/>
      <c r="J994" s="36"/>
      <c r="K994" s="36"/>
      <c r="L994" s="36"/>
      <c r="M994" s="36"/>
      <c r="N994" s="36"/>
      <c r="O994" s="36"/>
      <c r="P994" s="36"/>
    </row>
    <row r="995" spans="3:16" ht="13" x14ac:dyDescent="0.6">
      <c r="C995" s="36"/>
      <c r="D995" s="36"/>
      <c r="E995" s="36"/>
      <c r="F995" s="36"/>
      <c r="G995" s="36"/>
      <c r="H995" s="36"/>
      <c r="I995" s="36"/>
      <c r="J995" s="36"/>
      <c r="K995" s="36"/>
      <c r="L995" s="36"/>
      <c r="M995" s="36"/>
      <c r="N995" s="36"/>
      <c r="O995" s="36"/>
      <c r="P995" s="36"/>
    </row>
    <row r="996" spans="3:16" ht="13" x14ac:dyDescent="0.6">
      <c r="C996" s="36"/>
      <c r="D996" s="36"/>
      <c r="E996" s="36"/>
      <c r="F996" s="36"/>
      <c r="G996" s="36"/>
      <c r="H996" s="36"/>
      <c r="I996" s="36"/>
      <c r="J996" s="36"/>
      <c r="K996" s="36"/>
      <c r="L996" s="36"/>
      <c r="M996" s="36"/>
      <c r="N996" s="36"/>
      <c r="O996" s="36"/>
      <c r="P996" s="36"/>
    </row>
    <row r="997" spans="3:16" ht="13" x14ac:dyDescent="0.6">
      <c r="C997" s="36"/>
      <c r="D997" s="36"/>
      <c r="E997" s="36"/>
      <c r="F997" s="36"/>
      <c r="G997" s="36"/>
      <c r="H997" s="36"/>
      <c r="I997" s="36"/>
      <c r="J997" s="36"/>
      <c r="K997" s="36"/>
      <c r="L997" s="36"/>
      <c r="M997" s="36"/>
      <c r="N997" s="36"/>
      <c r="O997" s="36"/>
      <c r="P997" s="36"/>
    </row>
    <row r="998" spans="3:16" ht="13" x14ac:dyDescent="0.6">
      <c r="C998" s="36"/>
      <c r="D998" s="36"/>
      <c r="E998" s="36"/>
      <c r="F998" s="36"/>
      <c r="G998" s="36"/>
      <c r="H998" s="36"/>
      <c r="I998" s="36"/>
      <c r="J998" s="36"/>
      <c r="K998" s="36"/>
      <c r="L998" s="36"/>
      <c r="M998" s="36"/>
      <c r="N998" s="36"/>
      <c r="O998" s="36"/>
      <c r="P998" s="36"/>
    </row>
    <row r="999" spans="3:16" ht="13" x14ac:dyDescent="0.6">
      <c r="C999" s="36"/>
      <c r="D999" s="36"/>
      <c r="E999" s="36"/>
      <c r="F999" s="36"/>
      <c r="G999" s="36"/>
      <c r="H999" s="36"/>
      <c r="I999" s="36"/>
      <c r="J999" s="36"/>
      <c r="K999" s="36"/>
      <c r="L999" s="36"/>
      <c r="M999" s="36"/>
      <c r="N999" s="36"/>
      <c r="O999" s="36"/>
      <c r="P999" s="36"/>
    </row>
    <row r="1000" spans="3:16" ht="13" x14ac:dyDescent="0.6">
      <c r="C1000" s="36"/>
      <c r="D1000" s="36"/>
      <c r="E1000" s="36"/>
      <c r="F1000" s="36"/>
      <c r="G1000" s="36"/>
      <c r="H1000" s="36"/>
      <c r="I1000" s="36"/>
      <c r="J1000" s="36"/>
      <c r="K1000" s="36"/>
      <c r="L1000" s="36"/>
      <c r="M1000" s="36"/>
      <c r="N1000" s="36"/>
      <c r="O1000" s="36"/>
      <c r="P1000" s="36"/>
    </row>
  </sheetData>
  <mergeCells count="16">
    <mergeCell ref="P1:Q1"/>
    <mergeCell ref="R1:S1"/>
    <mergeCell ref="P129:Q129"/>
    <mergeCell ref="R129:S129"/>
    <mergeCell ref="D1:E1"/>
    <mergeCell ref="D129:E129"/>
    <mergeCell ref="F129:G129"/>
    <mergeCell ref="H129:I129"/>
    <mergeCell ref="J129:K129"/>
    <mergeCell ref="L129:M129"/>
    <mergeCell ref="N129:O129"/>
    <mergeCell ref="F1:G1"/>
    <mergeCell ref="H1:I1"/>
    <mergeCell ref="J1:K1"/>
    <mergeCell ref="L1:M1"/>
    <mergeCell ref="N1:O1"/>
  </mergeCells>
  <conditionalFormatting sqref="P5:P125 P133:P252">
    <cfRule type="expression" dxfId="1" priority="1">
      <formula>P5&gt;N5*1.3</formula>
    </cfRule>
  </conditionalFormatting>
  <conditionalFormatting sqref="Q5:Q125 Q133:Q252">
    <cfRule type="expression" dxfId="0" priority="2">
      <formula>Q5&gt;O5*1.5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Thông tin xe</vt:lpstr>
      <vt:lpstr>Lịch tải</vt:lpstr>
      <vt:lpstr>Phạt nguội</vt:lpstr>
      <vt:lpstr>Hiệu suất sử dụng xe</vt:lpstr>
      <vt:lpstr>Nhân sự</vt:lpstr>
      <vt:lpstr>Tải tăng cường Lấy</vt:lpstr>
      <vt:lpstr>Ontime xe tải</vt:lpstr>
      <vt:lpstr>Giao</vt:lpstr>
      <vt:lpstr>Lấy</vt:lpstr>
      <vt:lpstr>TP. HCM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Làng Nguyễn</cp:lastModifiedBy>
  <dcterms:modified xsi:type="dcterms:W3CDTF">2026-06-01T08:56:38Z</dcterms:modified>
</cp:coreProperties>
</file>